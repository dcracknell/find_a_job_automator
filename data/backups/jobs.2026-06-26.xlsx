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'jobs'!$A$1:$V$2172</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2172" headerRowCount="1">
  <autoFilter ref="A1:V2172"/>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0168291" TargetMode="External" Id="rId12" /><Relationship Type="http://schemas.openxmlformats.org/officeDocument/2006/relationships/hyperlink" Target="https://www.linkedin.com/jobs/view/4430172231" TargetMode="External" Id="rId13" /><Relationship Type="http://schemas.openxmlformats.org/officeDocument/2006/relationships/hyperlink" Target="https://www.linkedin.com/jobs/view/4428684166" TargetMode="External" Id="rId14" /><Relationship Type="http://schemas.openxmlformats.org/officeDocument/2006/relationships/hyperlink" Target="https://www.linkedin.com/jobs/view/4428664423" TargetMode="External" Id="rId15" /></Relationships>
</file>

<file path=xl/worksheets/_rels/sheet2.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0168291" TargetMode="External" Id="rId12" /><Relationship Type="http://schemas.openxmlformats.org/officeDocument/2006/relationships/hyperlink" Target="https://www.linkedin.com/jobs/view/4430172231" TargetMode="External" Id="rId13" /><Relationship Type="http://schemas.openxmlformats.org/officeDocument/2006/relationships/hyperlink" Target="https://www.linkedin.com/jobs/view/4428684166" TargetMode="External" Id="rId14" /><Relationship Type="http://schemas.openxmlformats.org/officeDocument/2006/relationships/hyperlink" Target="https://www.linkedin.com/jobs/view/4428664423" TargetMode="External" Id="rId15" /><Relationship Type="http://schemas.openxmlformats.org/officeDocument/2006/relationships/hyperlink" Target="https://www.linkedin.com/jobs/view/4425827162" TargetMode="External" Id="rId16" /><Relationship Type="http://schemas.openxmlformats.org/officeDocument/2006/relationships/hyperlink" Target="https://uk.indeed.com/viewjob" TargetMode="External" Id="rId17" /><Relationship Type="http://schemas.openxmlformats.org/officeDocument/2006/relationships/hyperlink" Target="https://uk.indeed.com/viewjob" TargetMode="External" Id="rId18" /><Relationship Type="http://schemas.openxmlformats.org/officeDocument/2006/relationships/hyperlink" Target="https://www.linkedin.com/jobs/view/4416581795" TargetMode="External" Id="rId19" /><Relationship Type="http://schemas.openxmlformats.org/officeDocument/2006/relationships/hyperlink" Target="https://www.linkedin.com/jobs/view/4428214732" TargetMode="External" Id="rId20" /><Relationship Type="http://schemas.openxmlformats.org/officeDocument/2006/relationships/hyperlink" Target="https://www.linkedin.com/jobs/view/4428265124" TargetMode="External" Id="rId21" /><Relationship Type="http://schemas.openxmlformats.org/officeDocument/2006/relationships/hyperlink" Target="https://www.linkedin.com/jobs/view/4321439643" TargetMode="External" Id="rId22" /><Relationship Type="http://schemas.openxmlformats.org/officeDocument/2006/relationships/hyperlink" Target="https://www.linkedin.com/jobs/view/4431207349" TargetMode="External" Id="rId23" /><Relationship Type="http://schemas.openxmlformats.org/officeDocument/2006/relationships/hyperlink" Target="https://www.linkedin.com/jobs/view/4426758903" TargetMode="External" Id="rId24" /><Relationship Type="http://schemas.openxmlformats.org/officeDocument/2006/relationships/hyperlink" Target="https://www.linkedin.com/jobs/view/4430794096" TargetMode="External" Id="rId25" /><Relationship Type="http://schemas.openxmlformats.org/officeDocument/2006/relationships/hyperlink" Target="https://www.linkedin.com/jobs/view/4430162406" TargetMode="External" Id="rId26" /><Relationship Type="http://schemas.openxmlformats.org/officeDocument/2006/relationships/hyperlink" Target="https://www.linkedin.com/jobs/view/4428674291" TargetMode="External" Id="rId27" /><Relationship Type="http://schemas.openxmlformats.org/officeDocument/2006/relationships/hyperlink" Target="https://www.linkedin.com/jobs/view/4428679277" TargetMode="External" Id="rId28" /><Relationship Type="http://schemas.openxmlformats.org/officeDocument/2006/relationships/hyperlink" Target="https://www.linkedin.com/jobs/view/4428672276" TargetMode="External" Id="rId29" /><Relationship Type="http://schemas.openxmlformats.org/officeDocument/2006/relationships/hyperlink" Target="https://www.linkedin.com/jobs/view/4428684158" TargetMode="External" Id="rId30" /><Relationship Type="http://schemas.openxmlformats.org/officeDocument/2006/relationships/hyperlink" Target="https://www.linkedin.com/jobs/view/4428672272" TargetMode="External" Id="rId31" /><Relationship Type="http://schemas.openxmlformats.org/officeDocument/2006/relationships/hyperlink" Target="https://www.linkedin.com/jobs/view/4422867414" TargetMode="External" Id="rId32" /><Relationship Type="http://schemas.openxmlformats.org/officeDocument/2006/relationships/hyperlink" Target="https://www.linkedin.com/jobs/view/4425631457" TargetMode="External" Id="rId33" /><Relationship Type="http://schemas.openxmlformats.org/officeDocument/2006/relationships/hyperlink" Target="https://uk.indeed.com/viewjob" TargetMode="External" Id="rId34" /><Relationship Type="http://schemas.openxmlformats.org/officeDocument/2006/relationships/hyperlink" Target="https://uk.indeed.com/viewjob" TargetMode="External" Id="rId35" /><Relationship Type="http://schemas.openxmlformats.org/officeDocument/2006/relationships/hyperlink" Target="https://www.linkedin.com/jobs/view/4427981490" TargetMode="External" Id="rId36" /><Relationship Type="http://schemas.openxmlformats.org/officeDocument/2006/relationships/hyperlink" Target="https://www.linkedin.com/jobs/view/4422898003" TargetMode="External" Id="rId37" /><Relationship Type="http://schemas.openxmlformats.org/officeDocument/2006/relationships/hyperlink" Target="https://www.linkedin.com/jobs/view/4428231728" TargetMode="External" Id="rId38" /><Relationship Type="http://schemas.openxmlformats.org/officeDocument/2006/relationships/hyperlink" Target="https://www.linkedin.com/jobs/view/4430935012" TargetMode="External" Id="rId39" /><Relationship Type="http://schemas.openxmlformats.org/officeDocument/2006/relationships/hyperlink" Target="https://www.linkedin.com/jobs/view/3980058714" TargetMode="External" Id="rId40" /><Relationship Type="http://schemas.openxmlformats.org/officeDocument/2006/relationships/hyperlink" Target="https://www.linkedin.com/jobs/view/4420400605" TargetMode="External" Id="rId41" /><Relationship Type="http://schemas.openxmlformats.org/officeDocument/2006/relationships/hyperlink" Target="https://www.linkedin.com/jobs/view/4419825846" TargetMode="External" Id="rId42" /><Relationship Type="http://schemas.openxmlformats.org/officeDocument/2006/relationships/hyperlink" Target="https://www.linkedin.com/jobs/view/4431213853" TargetMode="External" Id="rId43" /><Relationship Type="http://schemas.openxmlformats.org/officeDocument/2006/relationships/hyperlink" Target="https://www.linkedin.com/jobs/view/4427520686" TargetMode="External" Id="rId44" /><Relationship Type="http://schemas.openxmlformats.org/officeDocument/2006/relationships/hyperlink" Target="https://uk.indeed.com/viewjob" TargetMode="External" Id="rId45" /><Relationship Type="http://schemas.openxmlformats.org/officeDocument/2006/relationships/hyperlink" Target="https://www.linkedin.com/jobs/view/4427523645" TargetMode="External" Id="rId46" /><Relationship Type="http://schemas.openxmlformats.org/officeDocument/2006/relationships/hyperlink" Target="https://www.linkedin.com/jobs/view/4429399130" TargetMode="External" Id="rId47" /><Relationship Type="http://schemas.openxmlformats.org/officeDocument/2006/relationships/hyperlink" Target="https://www.linkedin.com/jobs/view/4432295002" TargetMode="External" Id="rId48" /><Relationship Type="http://schemas.openxmlformats.org/officeDocument/2006/relationships/hyperlink" Target="https://www.linkedin.com/jobs/view/4431327916" TargetMode="External" Id="rId49" /><Relationship Type="http://schemas.openxmlformats.org/officeDocument/2006/relationships/hyperlink" Target="https://uk.indeed.com/viewjob" TargetMode="External" Id="rId50" /><Relationship Type="http://schemas.openxmlformats.org/officeDocument/2006/relationships/hyperlink" Target="https://www.linkedin.com/jobs/view/4432283189" TargetMode="External" Id="rId51" /><Relationship Type="http://schemas.openxmlformats.org/officeDocument/2006/relationships/hyperlink" Target="https://www.linkedin.com/jobs/view/4398235144" TargetMode="External" Id="rId52" /><Relationship Type="http://schemas.openxmlformats.org/officeDocument/2006/relationships/hyperlink" Target="https://www.linkedin.com/jobs/view/4427936631" TargetMode="External" Id="rId53" /><Relationship Type="http://schemas.openxmlformats.org/officeDocument/2006/relationships/hyperlink" Target="https://www.linkedin.com/jobs/view/4421690043" TargetMode="External" Id="rId54" /><Relationship Type="http://schemas.openxmlformats.org/officeDocument/2006/relationships/hyperlink" Target="https://www.linkedin.com/jobs/view/4368768223" TargetMode="External" Id="rId55" /><Relationship Type="http://schemas.openxmlformats.org/officeDocument/2006/relationships/hyperlink" Target="https://www.linkedin.com/jobs/view/4368538161" TargetMode="External" Id="rId56" /><Relationship Type="http://schemas.openxmlformats.org/officeDocument/2006/relationships/hyperlink" Target="https://www.linkedin.com/jobs/view/4430931067" TargetMode="External" Id="rId57" /><Relationship Type="http://schemas.openxmlformats.org/officeDocument/2006/relationships/hyperlink" Target="https://www.linkedin.com/jobs/view/4423949766" TargetMode="External" Id="rId58" /><Relationship Type="http://schemas.openxmlformats.org/officeDocument/2006/relationships/hyperlink" Target="https://www.linkedin.com/jobs/view/4425623640" TargetMode="External" Id="rId59" /><Relationship Type="http://schemas.openxmlformats.org/officeDocument/2006/relationships/hyperlink" Target="https://www.linkedin.com/jobs/view/4361930320" TargetMode="External" Id="rId60" /><Relationship Type="http://schemas.openxmlformats.org/officeDocument/2006/relationships/hyperlink" Target="https://www.linkedin.com/jobs/view/4357634994" TargetMode="External" Id="rId61" /><Relationship Type="http://schemas.openxmlformats.org/officeDocument/2006/relationships/hyperlink" Target="https://www.linkedin.com/jobs/view/4403530385" TargetMode="External" Id="rId62" /><Relationship Type="http://schemas.openxmlformats.org/officeDocument/2006/relationships/hyperlink" Target="https://www.linkedin.com/jobs/view/4420716961" TargetMode="External" Id="rId63" /><Relationship Type="http://schemas.openxmlformats.org/officeDocument/2006/relationships/hyperlink" Target="https://www.linkedin.com/jobs/view/4425237729" TargetMode="External" Id="rId64" /><Relationship Type="http://schemas.openxmlformats.org/officeDocument/2006/relationships/hyperlink" Target="https://www.linkedin.com/jobs/view/4426982422" TargetMode="External" Id="rId65" /><Relationship Type="http://schemas.openxmlformats.org/officeDocument/2006/relationships/hyperlink" Target="https://www.linkedin.com/jobs/view/4432227972" TargetMode="External" Id="rId66" /><Relationship Type="http://schemas.openxmlformats.org/officeDocument/2006/relationships/hyperlink" Target="https://www.linkedin.com/jobs/view/4419657053" TargetMode="External" Id="rId67" /><Relationship Type="http://schemas.openxmlformats.org/officeDocument/2006/relationships/hyperlink" Target="https://www.linkedin.com/jobs/view/4426603513" TargetMode="External" Id="rId68" /><Relationship Type="http://schemas.openxmlformats.org/officeDocument/2006/relationships/hyperlink" Target="https://dyson.wd3.myworkdayjobs.com/job/United-Kingdom---Malmesbury-Office/Security-Shift-Officer_JR36909" TargetMode="External" Id="rId69" /><Relationship Type="http://schemas.openxmlformats.org/officeDocument/2006/relationships/hyperlink" Target="https://dyson.wd3.myworkdayjobs.com/job/Malaysia---Global-Development-Campus-Johor-Bahru/Advanced-New-Product-Development-Graduate-Engineer_JR36989" TargetMode="External" Id="rId70" /><Relationship Type="http://schemas.openxmlformats.org/officeDocument/2006/relationships/hyperlink" Target="https://dyson.wd3.myworkdayjobs.com/job/France---Paris-Opera-Demo-Store/Expert_JR35891" TargetMode="External" Id="rId71" /><Relationship Type="http://schemas.openxmlformats.org/officeDocument/2006/relationships/hyperlink" Target="https://dyson.wd3.myworkdayjobs.com/job/India---Bangalore-Sales-Office/General-Sales-Manager_JR36858" TargetMode="External" Id="rId72" /><Relationship Type="http://schemas.openxmlformats.org/officeDocument/2006/relationships/hyperlink" Target="https://dyson.wd3.myworkdayjobs.com/job/Australia---Victoria-Remote/Retail-Sales-Assistant---Various-Locations_JR35717" TargetMode="External" Id="rId73" /><Relationship Type="http://schemas.openxmlformats.org/officeDocument/2006/relationships/hyperlink" Target="https://dyson.wd3.myworkdayjobs.com/job/Netherlands---Amsterdam-Office/Marketplaces-COE-Manager_JR35508" TargetMode="External" Id="rId74" /><Relationship Type="http://schemas.openxmlformats.org/officeDocument/2006/relationships/hyperlink" Target="https://dyson.wd3.myworkdayjobs.com/job/Sweden---Stockholm-Office/Trading-Activation-Executive--Parental-Leave-Cover-_JR36693" TargetMode="External" Id="rId75" /><Relationship Type="http://schemas.openxmlformats.org/officeDocument/2006/relationships/hyperlink" Target="https://job-boards.greenhouse.io/graphcore/jobs/8238597002" TargetMode="External" Id="rId76" /><Relationship Type="http://schemas.openxmlformats.org/officeDocument/2006/relationships/hyperlink" Target="https://job-boards.greenhouse.io/graphcore/jobs/8238605002" TargetMode="External" Id="rId77" /><Relationship Type="http://schemas.openxmlformats.org/officeDocument/2006/relationships/hyperlink" Target="https://job-boards.greenhouse.io/graphcore/jobs/8245742002" TargetMode="External" Id="rId78" /><Relationship Type="http://schemas.openxmlformats.org/officeDocument/2006/relationships/hyperlink" Target="https://job-boards.greenhouse.io/graphcore/jobs/8230202002" TargetMode="External" Id="rId79" /><Relationship Type="http://schemas.openxmlformats.org/officeDocument/2006/relationships/hyperlink" Target="https://job-boards.greenhouse.io/graphcore/jobs/8235270002" TargetMode="External" Id="rId80" /><Relationship Type="http://schemas.openxmlformats.org/officeDocument/2006/relationships/hyperlink" Target="https://job-boards.greenhouse.io/graphcore/jobs/8238577002" TargetMode="External" Id="rId81" /><Relationship Type="http://schemas.openxmlformats.org/officeDocument/2006/relationships/hyperlink" Target="https://job-boards.greenhouse.io/graphcore/jobs/8471683002" TargetMode="External" Id="rId82" /><Relationship Type="http://schemas.openxmlformats.org/officeDocument/2006/relationships/hyperlink" Target="https://job-boards.greenhouse.io/graphcore/jobs/8562515002" TargetMode="External" Id="rId83" /><Relationship Type="http://schemas.openxmlformats.org/officeDocument/2006/relationships/hyperlink" Target="https://job-boards.greenhouse.io/graphcore/jobs/8478749002" TargetMode="External" Id="rId84" /><Relationship Type="http://schemas.openxmlformats.org/officeDocument/2006/relationships/hyperlink" Target="https://job-boards.greenhouse.io/graphcore/jobs/8570452002" TargetMode="External" Id="rId85" /><Relationship Type="http://schemas.openxmlformats.org/officeDocument/2006/relationships/hyperlink" Target="https://job-boards.greenhouse.io/graphcore/jobs/8539033002" TargetMode="External" Id="rId86" /><Relationship Type="http://schemas.openxmlformats.org/officeDocument/2006/relationships/hyperlink" Target="https://job-boards.greenhouse.io/graphcore/jobs/8557829002" TargetMode="External" Id="rId87" /><Relationship Type="http://schemas.openxmlformats.org/officeDocument/2006/relationships/hyperlink" Target="https://job-boards.greenhouse.io/graphcore/jobs/8551488002" TargetMode="External" Id="rId88" /><Relationship Type="http://schemas.openxmlformats.org/officeDocument/2006/relationships/hyperlink" Target="https://job-boards.greenhouse.io/graphcore/jobs/8504462002" TargetMode="External" Id="rId89" /><Relationship Type="http://schemas.openxmlformats.org/officeDocument/2006/relationships/hyperlink" Target="https://job-boards.greenhouse.io/graphcore/jobs/8564594002" TargetMode="External" Id="rId90" /><Relationship Type="http://schemas.openxmlformats.org/officeDocument/2006/relationships/hyperlink" Target="https://job-boards.greenhouse.io/graphcore/jobs/8383085002" TargetMode="External" Id="rId91" /><Relationship Type="http://schemas.openxmlformats.org/officeDocument/2006/relationships/hyperlink" Target="https://job-boards.greenhouse.io/graphcore/jobs/8589876002" TargetMode="External" Id="rId92" /><Relationship Type="http://schemas.openxmlformats.org/officeDocument/2006/relationships/hyperlink" Target="https://job-boards.greenhouse.io/graphcore/jobs/8539920002" TargetMode="External" Id="rId93" /><Relationship Type="http://schemas.openxmlformats.org/officeDocument/2006/relationships/hyperlink" Target="https://job-boards.greenhouse.io/graphcore/jobs/8570813002" TargetMode="External" Id="rId94" /><Relationship Type="http://schemas.openxmlformats.org/officeDocument/2006/relationships/hyperlink" Target="https://job-boards.greenhouse.io/graphcore/jobs/8537160002" TargetMode="External" Id="rId95" /><Relationship Type="http://schemas.openxmlformats.org/officeDocument/2006/relationships/hyperlink" Target="https://job-boards.greenhouse.io/graphcore/jobs/8552086002" TargetMode="External" Id="rId96" /><Relationship Type="http://schemas.openxmlformats.org/officeDocument/2006/relationships/hyperlink" Target="https://job-boards.greenhouse.io/graphcore/jobs/8453609002" TargetMode="External" Id="rId97" /><Relationship Type="http://schemas.openxmlformats.org/officeDocument/2006/relationships/hyperlink" Target="https://job-boards.greenhouse.io/graphcore/jobs/8562938002" TargetMode="External" Id="rId98" /><Relationship Type="http://schemas.openxmlformats.org/officeDocument/2006/relationships/hyperlink" Target="https://job-boards.greenhouse.io/graphcore/jobs/8360506002" TargetMode="External" Id="rId99" /><Relationship Type="http://schemas.openxmlformats.org/officeDocument/2006/relationships/hyperlink" Target="https://job-boards.greenhouse.io/graphcore/jobs/8360495002" TargetMode="External" Id="rId100" /><Relationship Type="http://schemas.openxmlformats.org/officeDocument/2006/relationships/hyperlink" Target="https://job-boards.greenhouse.io/graphcore/jobs/8554922002" TargetMode="External" Id="rId101" /><Relationship Type="http://schemas.openxmlformats.org/officeDocument/2006/relationships/hyperlink" Target="https://job-boards.greenhouse.io/graphcore/jobs/8550173002" TargetMode="External" Id="rId102" /><Relationship Type="http://schemas.openxmlformats.org/officeDocument/2006/relationships/hyperlink" Target="https://job-boards.greenhouse.io/graphcore/jobs/8549336002" TargetMode="External" Id="rId103" /><Relationship Type="http://schemas.openxmlformats.org/officeDocument/2006/relationships/hyperlink" Target="https://job-boards.greenhouse.io/graphcore/jobs/8558136002" TargetMode="External" Id="rId104" /><Relationship Type="http://schemas.openxmlformats.org/officeDocument/2006/relationships/hyperlink" Target="https://job-boards.greenhouse.io/graphcore/jobs/8555006002" TargetMode="External" Id="rId105" /><Relationship Type="http://schemas.openxmlformats.org/officeDocument/2006/relationships/hyperlink" Target="https://job-boards.greenhouse.io/graphcore/jobs/8530945002" TargetMode="External" Id="rId106" /><Relationship Type="http://schemas.openxmlformats.org/officeDocument/2006/relationships/hyperlink" Target="https://job-boards.greenhouse.io/graphcore/jobs/8420380002" TargetMode="External" Id="rId107" /><Relationship Type="http://schemas.openxmlformats.org/officeDocument/2006/relationships/hyperlink" Target="https://job-boards.greenhouse.io/graphcore/jobs/8540581002" TargetMode="External" Id="rId108" /><Relationship Type="http://schemas.openxmlformats.org/officeDocument/2006/relationships/hyperlink" Target="https://job-boards.greenhouse.io/graphcore/jobs/8571154002" TargetMode="External" Id="rId109" /><Relationship Type="http://schemas.openxmlformats.org/officeDocument/2006/relationships/hyperlink" Target="https://job-boards.greenhouse.io/graphcore/jobs/8535462002" TargetMode="External" Id="rId110" /><Relationship Type="http://schemas.openxmlformats.org/officeDocument/2006/relationships/hyperlink" Target="https://job-boards.greenhouse.io/graphcore/jobs/8542613002" TargetMode="External" Id="rId111" /><Relationship Type="http://schemas.openxmlformats.org/officeDocument/2006/relationships/hyperlink" Target="https://job-boards.greenhouse.io/graphcore/jobs/8540773002" TargetMode="External" Id="rId112" /><Relationship Type="http://schemas.openxmlformats.org/officeDocument/2006/relationships/hyperlink" Target="https://job-boards.greenhouse.io/graphcore/jobs/8550053002" TargetMode="External" Id="rId113" /><Relationship Type="http://schemas.openxmlformats.org/officeDocument/2006/relationships/hyperlink" Target="https://job-boards.greenhouse.io/graphcore/jobs/8533046002" TargetMode="External" Id="rId114" /><Relationship Type="http://schemas.openxmlformats.org/officeDocument/2006/relationships/hyperlink" Target="https://job-boards.greenhouse.io/graphcore/jobs/8559553002" TargetMode="External" Id="rId115" /><Relationship Type="http://schemas.openxmlformats.org/officeDocument/2006/relationships/hyperlink" Target="https://job-boards.greenhouse.io/graphcore/jobs/8353227002" TargetMode="External" Id="rId116" /><Relationship Type="http://schemas.openxmlformats.org/officeDocument/2006/relationships/hyperlink" Target="https://job-boards.greenhouse.io/graphcore/jobs/8223577002" TargetMode="External" Id="rId117" /><Relationship Type="http://schemas.openxmlformats.org/officeDocument/2006/relationships/hyperlink" Target="https://job-boards.greenhouse.io/graphcore/jobs/8549419002" TargetMode="External" Id="rId118" /><Relationship Type="http://schemas.openxmlformats.org/officeDocument/2006/relationships/hyperlink" Target="https://job-boards.greenhouse.io/graphcore/jobs/8587365002" TargetMode="External" Id="rId119" /><Relationship Type="http://schemas.openxmlformats.org/officeDocument/2006/relationships/hyperlink" Target="https://job-boards.greenhouse.io/graphcore/jobs/8518940002" TargetMode="External" Id="rId120" /><Relationship Type="http://schemas.openxmlformats.org/officeDocument/2006/relationships/hyperlink" Target="https://job-boards.greenhouse.io/graphcore/jobs/8491548002" TargetMode="External" Id="rId121" /><Relationship Type="http://schemas.openxmlformats.org/officeDocument/2006/relationships/hyperlink" Target="https://job-boards.greenhouse.io/graphcore/jobs/8559597002" TargetMode="External" Id="rId122" /><Relationship Type="http://schemas.openxmlformats.org/officeDocument/2006/relationships/hyperlink" Target="https://job-boards.greenhouse.io/graphcore/jobs/8539084002" TargetMode="External" Id="rId123" /><Relationship Type="http://schemas.openxmlformats.org/officeDocument/2006/relationships/hyperlink" Target="https://job-boards.greenhouse.io/graphcore/jobs/8549968002" TargetMode="External" Id="rId124" /><Relationship Type="http://schemas.openxmlformats.org/officeDocument/2006/relationships/hyperlink" Target="https://job-boards.greenhouse.io/graphcore/jobs/8467394002" TargetMode="External" Id="rId125" /><Relationship Type="http://schemas.openxmlformats.org/officeDocument/2006/relationships/hyperlink" Target="https://job-boards.greenhouse.io/graphcore/jobs/8549391002" TargetMode="External" Id="rId126" /><Relationship Type="http://schemas.openxmlformats.org/officeDocument/2006/relationships/hyperlink" Target="https://job-boards.greenhouse.io/graphcore/jobs/8383084002" TargetMode="External" Id="rId127" /><Relationship Type="http://schemas.openxmlformats.org/officeDocument/2006/relationships/hyperlink" Target="https://job-boards.greenhouse.io/graphcore/jobs/8383035002" TargetMode="External" Id="rId128" /><Relationship Type="http://schemas.openxmlformats.org/officeDocument/2006/relationships/hyperlink" Target="https://job-boards.greenhouse.io/graphcore/jobs/8471155002" TargetMode="External" Id="rId129" /><Relationship Type="http://schemas.openxmlformats.org/officeDocument/2006/relationships/hyperlink" Target="https://job-boards.greenhouse.io/graphcore/jobs/8547739002" TargetMode="External" Id="rId130" /><Relationship Type="http://schemas.openxmlformats.org/officeDocument/2006/relationships/hyperlink" Target="https://job-boards.greenhouse.io/graphcore/jobs/8557915002" TargetMode="External" Id="rId131" /><Relationship Type="http://schemas.openxmlformats.org/officeDocument/2006/relationships/hyperlink" Target="https://job-boards.greenhouse.io/graphcore/jobs/8556059002" TargetMode="External" Id="rId132" /><Relationship Type="http://schemas.openxmlformats.org/officeDocument/2006/relationships/hyperlink" Target="https://job-boards.greenhouse.io/graphcore/jobs/8420314002" TargetMode="External" Id="rId133" /><Relationship Type="http://schemas.openxmlformats.org/officeDocument/2006/relationships/hyperlink" Target="https://job-boards.greenhouse.io/graphcore/jobs/8551495002" TargetMode="External" Id="rId134" /><Relationship Type="http://schemas.openxmlformats.org/officeDocument/2006/relationships/hyperlink" Target="https://job-boards.greenhouse.io/graphcore/jobs/8491405002" TargetMode="External" Id="rId135" /><Relationship Type="http://schemas.openxmlformats.org/officeDocument/2006/relationships/hyperlink" Target="https://job-boards.greenhouse.io/graphcore/jobs/8466438002" TargetMode="External" Id="rId136" /><Relationship Type="http://schemas.openxmlformats.org/officeDocument/2006/relationships/hyperlink" Target="https://job-boards.greenhouse.io/graphcore/jobs/8554852002" TargetMode="External" Id="rId137" /><Relationship Type="http://schemas.openxmlformats.org/officeDocument/2006/relationships/hyperlink" Target="https://job-boards.greenhouse.io/graphcore/jobs/8420432002" TargetMode="External" Id="rId138" /><Relationship Type="http://schemas.openxmlformats.org/officeDocument/2006/relationships/hyperlink" Target="https://job-boards.greenhouse.io/graphcore/jobs/8463817002" TargetMode="External" Id="rId139" /><Relationship Type="http://schemas.openxmlformats.org/officeDocument/2006/relationships/hyperlink" Target="https://job-boards.greenhouse.io/graphcore/jobs/8545354002" TargetMode="External" Id="rId140" /><Relationship Type="http://schemas.openxmlformats.org/officeDocument/2006/relationships/hyperlink" Target="https://job-boards.greenhouse.io/graphcore/jobs/8554653002" TargetMode="External" Id="rId141" /><Relationship Type="http://schemas.openxmlformats.org/officeDocument/2006/relationships/hyperlink" Target="https://job-boards.greenhouse.io/graphcore/jobs/8545352002" TargetMode="External" Id="rId142" /><Relationship Type="http://schemas.openxmlformats.org/officeDocument/2006/relationships/hyperlink" Target="https://job-boards.greenhouse.io/graphcore/jobs/8522539002" TargetMode="External" Id="rId143" /><Relationship Type="http://schemas.openxmlformats.org/officeDocument/2006/relationships/hyperlink" Target="https://job-boards.greenhouse.io/graphcore/jobs/8522637002" TargetMode="External" Id="rId144" /><Relationship Type="http://schemas.openxmlformats.org/officeDocument/2006/relationships/hyperlink" Target="https://job-boards.greenhouse.io/graphcore/jobs/8540898002" TargetMode="External" Id="rId145" /><Relationship Type="http://schemas.openxmlformats.org/officeDocument/2006/relationships/hyperlink" Target="https://job-boards.greenhouse.io/graphcore/jobs/8484842002" TargetMode="External" Id="rId146" /><Relationship Type="http://schemas.openxmlformats.org/officeDocument/2006/relationships/hyperlink" Target="https://job-boards.greenhouse.io/graphcore/jobs/8467387002" TargetMode="External" Id="rId147" /><Relationship Type="http://schemas.openxmlformats.org/officeDocument/2006/relationships/hyperlink" Target="https://job-boards.greenhouse.io/graphcore/jobs/8561992002" TargetMode="External" Id="rId148" /><Relationship Type="http://schemas.openxmlformats.org/officeDocument/2006/relationships/hyperlink" Target="https://job-boards.greenhouse.io/graphcore/jobs/8559423002" TargetMode="External" Id="rId149" /><Relationship Type="http://schemas.openxmlformats.org/officeDocument/2006/relationships/hyperlink" Target="https://job-boards.greenhouse.io/graphcore/jobs/8558047002" TargetMode="External" Id="rId150" /><Relationship Type="http://schemas.openxmlformats.org/officeDocument/2006/relationships/hyperlink" Target="https://job-boards.greenhouse.io/cerebrassystems/jobs/6538655003" TargetMode="External" Id="rId151" /><Relationship Type="http://schemas.openxmlformats.org/officeDocument/2006/relationships/hyperlink" Target="https://job-boards.greenhouse.io/cerebrassystems/jobs/7691353003" TargetMode="External" Id="rId152" /><Relationship Type="http://schemas.openxmlformats.org/officeDocument/2006/relationships/hyperlink" Target="https://job-boards.greenhouse.io/cerebrassystems/jobs/7683606003" TargetMode="External" Id="rId153" /><Relationship Type="http://schemas.openxmlformats.org/officeDocument/2006/relationships/hyperlink" Target="https://job-boards.greenhouse.io/cerebrassystems/jobs/7691343003" TargetMode="External" Id="rId154" /><Relationship Type="http://schemas.openxmlformats.org/officeDocument/2006/relationships/hyperlink" Target="https://job-boards.greenhouse.io/cerebrassystems/jobs/7735288003" TargetMode="External" Id="rId155" /><Relationship Type="http://schemas.openxmlformats.org/officeDocument/2006/relationships/hyperlink" Target="https://job-boards.greenhouse.io/cerebrassystems/jobs/7625563003" TargetMode="External" Id="rId156" /><Relationship Type="http://schemas.openxmlformats.org/officeDocument/2006/relationships/hyperlink" Target="https://job-boards.greenhouse.io/cerebrassystems/jobs/5913347003" TargetMode="External" Id="rId157" /><Relationship Type="http://schemas.openxmlformats.org/officeDocument/2006/relationships/hyperlink" Target="https://job-boards.greenhouse.io/cerebrassystems/jobs/7593896003" TargetMode="External" Id="rId158" /><Relationship Type="http://schemas.openxmlformats.org/officeDocument/2006/relationships/hyperlink" Target="https://job-boards.greenhouse.io/cerebrassystems/jobs/6549894003" TargetMode="External" Id="rId159" /><Relationship Type="http://schemas.openxmlformats.org/officeDocument/2006/relationships/hyperlink" Target="https://job-boards.greenhouse.io/cerebrassystems/jobs/7588502003" TargetMode="External" Id="rId160" /><Relationship Type="http://schemas.openxmlformats.org/officeDocument/2006/relationships/hyperlink" Target="https://job-boards.greenhouse.io/cerebrassystems/jobs/7655035003" TargetMode="External" Id="rId161" /><Relationship Type="http://schemas.openxmlformats.org/officeDocument/2006/relationships/hyperlink" Target="https://job-boards.greenhouse.io/cerebrassystems/jobs/7753254003" TargetMode="External" Id="rId162" /><Relationship Type="http://schemas.openxmlformats.org/officeDocument/2006/relationships/hyperlink" Target="https://job-boards.greenhouse.io/cerebrassystems/jobs/7614890003" TargetMode="External" Id="rId163" /><Relationship Type="http://schemas.openxmlformats.org/officeDocument/2006/relationships/hyperlink" Target="https://job-boards.greenhouse.io/cerebrassystems/jobs/7580399003" TargetMode="External" Id="rId164" /><Relationship Type="http://schemas.openxmlformats.org/officeDocument/2006/relationships/hyperlink" Target="https://job-boards.greenhouse.io/cerebrassystems/jobs/7635821003" TargetMode="External" Id="rId165" /><Relationship Type="http://schemas.openxmlformats.org/officeDocument/2006/relationships/hyperlink" Target="https://job-boards.greenhouse.io/cerebrassystems/jobs/7522566003" TargetMode="External" Id="rId166" /><Relationship Type="http://schemas.openxmlformats.org/officeDocument/2006/relationships/hyperlink" Target="https://job-boards.greenhouse.io/cerebrassystems/jobs/7763846003" TargetMode="External" Id="rId167" /><Relationship Type="http://schemas.openxmlformats.org/officeDocument/2006/relationships/hyperlink" Target="https://job-boards.greenhouse.io/cerebrassystems/jobs/7763894003" TargetMode="External" Id="rId168" /><Relationship Type="http://schemas.openxmlformats.org/officeDocument/2006/relationships/hyperlink" Target="https://job-boards.greenhouse.io/cerebrassystems/jobs/7582638003" TargetMode="External" Id="rId169" /><Relationship Type="http://schemas.openxmlformats.org/officeDocument/2006/relationships/hyperlink" Target="https://job-boards.greenhouse.io/cerebrassystems/jobs/7628237003" TargetMode="External" Id="rId170" /><Relationship Type="http://schemas.openxmlformats.org/officeDocument/2006/relationships/hyperlink" Target="https://job-boards.greenhouse.io/cerebrassystems/jobs/7677112003" TargetMode="External" Id="rId171" /><Relationship Type="http://schemas.openxmlformats.org/officeDocument/2006/relationships/hyperlink" Target="https://job-boards.greenhouse.io/cerebrassystems/jobs/7582897003" TargetMode="External" Id="rId172" /><Relationship Type="http://schemas.openxmlformats.org/officeDocument/2006/relationships/hyperlink" Target="https://job-boards.greenhouse.io/cerebrassystems/jobs/7628224003" TargetMode="External" Id="rId173" /><Relationship Type="http://schemas.openxmlformats.org/officeDocument/2006/relationships/hyperlink" Target="https://job-boards.greenhouse.io/cerebrassystems/jobs/6654277003" TargetMode="External" Id="rId174" /><Relationship Type="http://schemas.openxmlformats.org/officeDocument/2006/relationships/hyperlink" Target="https://job-boards.greenhouse.io/cerebrassystems/jobs/7636808003" TargetMode="External" Id="rId175" /><Relationship Type="http://schemas.openxmlformats.org/officeDocument/2006/relationships/hyperlink" Target="https://job-boards.greenhouse.io/cerebrassystems/jobs/7486714003" TargetMode="External" Id="rId176" /><Relationship Type="http://schemas.openxmlformats.org/officeDocument/2006/relationships/hyperlink" Target="https://job-boards.greenhouse.io/cerebrassystems/jobs/7618093003" TargetMode="External" Id="rId177" /><Relationship Type="http://schemas.openxmlformats.org/officeDocument/2006/relationships/hyperlink" Target="https://job-boards.greenhouse.io/cerebrassystems/jobs/6658665003" TargetMode="External" Id="rId178" /><Relationship Type="http://schemas.openxmlformats.org/officeDocument/2006/relationships/hyperlink" Target="https://job-boards.greenhouse.io/cerebrassystems/jobs/7720168003" TargetMode="External" Id="rId179" /><Relationship Type="http://schemas.openxmlformats.org/officeDocument/2006/relationships/hyperlink" Target="https://job-boards.greenhouse.io/cerebrassystems/jobs/7611652003" TargetMode="External" Id="rId180" /><Relationship Type="http://schemas.openxmlformats.org/officeDocument/2006/relationships/hyperlink" Target="https://job-boards.greenhouse.io/cerebrassystems/jobs/7628218003" TargetMode="External" Id="rId181" /><Relationship Type="http://schemas.openxmlformats.org/officeDocument/2006/relationships/hyperlink" Target="https://job-boards.greenhouse.io/cerebrassystems/jobs/7628220003" TargetMode="External" Id="rId182" /><Relationship Type="http://schemas.openxmlformats.org/officeDocument/2006/relationships/hyperlink" Target="https://job-boards.greenhouse.io/cerebrassystems/jobs/7629637003" TargetMode="External" Id="rId183" /><Relationship Type="http://schemas.openxmlformats.org/officeDocument/2006/relationships/hyperlink" Target="https://job-boards.greenhouse.io/cerebrassystems/jobs/7524095003" TargetMode="External" Id="rId184" /><Relationship Type="http://schemas.openxmlformats.org/officeDocument/2006/relationships/hyperlink" Target="https://job-boards.greenhouse.io/cerebrassystems/jobs/7752149003" TargetMode="External" Id="rId185" /><Relationship Type="http://schemas.openxmlformats.org/officeDocument/2006/relationships/hyperlink" Target="https://job-boards.greenhouse.io/cerebrassystems/jobs/7669166003" TargetMode="External" Id="rId186" /><Relationship Type="http://schemas.openxmlformats.org/officeDocument/2006/relationships/hyperlink" Target="https://job-boards.greenhouse.io/cerebrassystems/jobs/7694185003" TargetMode="External" Id="rId187" /><Relationship Type="http://schemas.openxmlformats.org/officeDocument/2006/relationships/hyperlink" Target="https://job-boards.greenhouse.io/cerebrassystems/jobs/7634141003" TargetMode="External" Id="rId188" /><Relationship Type="http://schemas.openxmlformats.org/officeDocument/2006/relationships/hyperlink" Target="https://job-boards.greenhouse.io/cerebrassystems/jobs/7774479003" TargetMode="External" Id="rId189" /><Relationship Type="http://schemas.openxmlformats.org/officeDocument/2006/relationships/hyperlink" Target="https://job-boards.greenhouse.io/cerebrassystems/jobs/7599454003" TargetMode="External" Id="rId190" /><Relationship Type="http://schemas.openxmlformats.org/officeDocument/2006/relationships/hyperlink" Target="https://job-boards.greenhouse.io/cerebrassystems/jobs/7527601003" TargetMode="External" Id="rId191" /><Relationship Type="http://schemas.openxmlformats.org/officeDocument/2006/relationships/hyperlink" Target="https://job-boards.greenhouse.io/cerebrassystems/jobs/7762739003" TargetMode="External" Id="rId192" /><Relationship Type="http://schemas.openxmlformats.org/officeDocument/2006/relationships/hyperlink" Target="https://job-boards.greenhouse.io/cerebrassystems/jobs/7112048003" TargetMode="External" Id="rId193" /><Relationship Type="http://schemas.openxmlformats.org/officeDocument/2006/relationships/hyperlink" Target="https://job-boards.greenhouse.io/cerebrassystems/jobs/7528266003" TargetMode="External" Id="rId194" /><Relationship Type="http://schemas.openxmlformats.org/officeDocument/2006/relationships/hyperlink" Target="https://job-boards.greenhouse.io/cerebrassystems/jobs/7724730003" TargetMode="External" Id="rId195" /><Relationship Type="http://schemas.openxmlformats.org/officeDocument/2006/relationships/hyperlink" Target="https://job-boards.greenhouse.io/cerebrassystems/jobs/7764007003" TargetMode="External" Id="rId196" /><Relationship Type="http://schemas.openxmlformats.org/officeDocument/2006/relationships/hyperlink" Target="https://job-boards.greenhouse.io/cerebrassystems/jobs/6585289003" TargetMode="External" Id="rId197" /><Relationship Type="http://schemas.openxmlformats.org/officeDocument/2006/relationships/hyperlink" Target="https://job-boards.greenhouse.io/cerebrassystems/jobs/7720309003" TargetMode="External" Id="rId198" /><Relationship Type="http://schemas.openxmlformats.org/officeDocument/2006/relationships/hyperlink" Target="https://job-boards.greenhouse.io/cerebrassystems/jobs/7751790003" TargetMode="External" Id="rId199" /><Relationship Type="http://schemas.openxmlformats.org/officeDocument/2006/relationships/hyperlink" Target="https://job-boards.greenhouse.io/cerebrassystems/jobs/7647319003" TargetMode="External" Id="rId200" /><Relationship Type="http://schemas.openxmlformats.org/officeDocument/2006/relationships/hyperlink" Target="https://job-boards.greenhouse.io/cerebrassystems/jobs/7497712003" TargetMode="External" Id="rId201" /><Relationship Type="http://schemas.openxmlformats.org/officeDocument/2006/relationships/hyperlink" Target="https://job-boards.greenhouse.io/cerebrassystems/jobs/7749004003" TargetMode="External" Id="rId202" /><Relationship Type="http://schemas.openxmlformats.org/officeDocument/2006/relationships/hyperlink" Target="https://job-boards.greenhouse.io/cerebrassystems/jobs/7730279003" TargetMode="External" Id="rId203" /><Relationship Type="http://schemas.openxmlformats.org/officeDocument/2006/relationships/hyperlink" Target="https://job-boards.greenhouse.io/cerebrassystems/jobs/7647330003" TargetMode="External" Id="rId204" /><Relationship Type="http://schemas.openxmlformats.org/officeDocument/2006/relationships/hyperlink" Target="https://job-boards.greenhouse.io/cerebrassystems/jobs/7656210003" TargetMode="External" Id="rId205" /><Relationship Type="http://schemas.openxmlformats.org/officeDocument/2006/relationships/hyperlink" Target="https://job-boards.greenhouse.io/cerebrassystems/jobs/7628229003" TargetMode="External" Id="rId206" /><Relationship Type="http://schemas.openxmlformats.org/officeDocument/2006/relationships/hyperlink" Target="https://job-boards.greenhouse.io/cerebrassystems/jobs/7628240003" TargetMode="External" Id="rId207" /><Relationship Type="http://schemas.openxmlformats.org/officeDocument/2006/relationships/hyperlink" Target="https://sifive.wd1.myworkdayjobs.com/job/Ahmedabad-India/NoC-Design-Verification-Engineer_R-101348" TargetMode="External" Id="rId208" /><Relationship Type="http://schemas.openxmlformats.org/officeDocument/2006/relationships/hyperlink" Target="https://sifive.wd1.myworkdayjobs.com/job/Cambridge-England-United-Kingdom/Technical-Functional-Safety-Program-Manager_R-101332" TargetMode="External" Id="rId209" /><Relationship Type="http://schemas.openxmlformats.org/officeDocument/2006/relationships/hyperlink" Target="https://sifive.wd1.myworkdayjobs.com/job/Hyderabad-India/Sr-CPU-DV-Engineer_R-101279" TargetMode="External" Id="rId210" /><Relationship Type="http://schemas.openxmlformats.org/officeDocument/2006/relationships/hyperlink" Target="https://sifive.wd1.myworkdayjobs.com/job/Santa-Clara-California-United-States/Intern---Design-Verification-Infrastructure-Engineer---Platform_R-101292" TargetMode="External" Id="rId211" /><Relationship Type="http://schemas.openxmlformats.org/officeDocument/2006/relationships/hyperlink" Target="https://sifive.wd1.myworkdayjobs.com/job/Hsinchu-Taiwan/RTL-Design-Engineer_R-101289" TargetMode="External" Id="rId212" /><Relationship Type="http://schemas.openxmlformats.org/officeDocument/2006/relationships/hyperlink" Target="https://sifive.wd1.myworkdayjobs.com/job/Hsinchu-Taiwan/Performance-Model-Engineer_R-101283" TargetMode="External" Id="rId213" /><Relationship Type="http://schemas.openxmlformats.org/officeDocument/2006/relationships/hyperlink" Target="https://sifive.wd1.myworkdayjobs.com/job/Santa-Clara-California-United-States/CPU-Power-Management-Design-Engineer_R-101089" TargetMode="External" Id="rId214" /><Relationship Type="http://schemas.openxmlformats.org/officeDocument/2006/relationships/hyperlink" Target="https://sifive.wd1.myworkdayjobs.com/job/Santa-Clara-California-United-States/Core-Performance-Architect_R-101086" TargetMode="External" Id="rId215" /><Relationship Type="http://schemas.openxmlformats.org/officeDocument/2006/relationships/hyperlink" Target="https://sifive.wd1.myworkdayjobs.com/job/Santa-Clara-CA/Datacenter-System-Software-Architect_R-101140" TargetMode="External" Id="rId216" /><Relationship Type="http://schemas.openxmlformats.org/officeDocument/2006/relationships/hyperlink" Target="https://sifive.wd1.myworkdayjobs.com/job/Santa-Clara-California-United-States/Debug-Trace-Profiling-Design-Engineer_R-101155" TargetMode="External" Id="rId217" /><Relationship Type="http://schemas.openxmlformats.org/officeDocument/2006/relationships/hyperlink" Target="https://sifive.wd1.myworkdayjobs.com/job/Santa-Clara-California-United-States/Executive-Business-Partner---Executive-Assistant-to-the-CTO---EVP-Engineering_R-101189" TargetMode="External" Id="rId218" /><Relationship Type="http://schemas.openxmlformats.org/officeDocument/2006/relationships/hyperlink" Target="https://sifive.wd1.myworkdayjobs.com/job/Santa-Clara-CA/Interconnect-Design-Engineer_R-101156" TargetMode="External" Id="rId219" /><Relationship Type="http://schemas.openxmlformats.org/officeDocument/2006/relationships/hyperlink" Target="https://sifive.wd1.myworkdayjobs.com/job/Santa-Clara-California-United-States/Platform-Technologies-Language---Frontend-Design-Engineer_R-101130" TargetMode="External" Id="rId220" /><Relationship Type="http://schemas.openxmlformats.org/officeDocument/2006/relationships/hyperlink" Target="https://dyson.wd3.myworkdayjobs.com/job/Germany---Nordrhein-Westfalen-Remote/Retail-Stores--Supervisor---Team-Lead_JR35735" TargetMode="External" Id="rId221" /><Relationship Type="http://schemas.openxmlformats.org/officeDocument/2006/relationships/hyperlink" Target="https://dyson.wd3.myworkdayjobs.com/job/United-Kingdom---London-Oxford-Street-Office/Key-Account-Executive---John-Lewis-Partnership_JR36723" TargetMode="External" Id="rId222" /><Relationship Type="http://schemas.openxmlformats.org/officeDocument/2006/relationships/hyperlink" Target="https://dyson.wd3.myworkdayjobs.com/job/United-Kingdom---Malmesbury-Office/Key-Account-Executive---Beauty_JR36722" TargetMode="External" Id="rId223" /><Relationship Type="http://schemas.openxmlformats.org/officeDocument/2006/relationships/hyperlink" Target="https://dyson.wd3.myworkdayjobs.com/job/Spain---Madrid-Office/Performance-Media-Manager_JR35336-1" TargetMode="External" Id="rId224" /><Relationship Type="http://schemas.openxmlformats.org/officeDocument/2006/relationships/hyperlink" Target="https://dyson.wd3.myworkdayjobs.com/job/Poland---Krakow-Office/Payroll-Specialist_JR36652" TargetMode="External" Id="rId225" /><Relationship Type="http://schemas.openxmlformats.org/officeDocument/2006/relationships/hyperlink" Target="https://dyson.wd3.myworkdayjobs.com/job/Germany---Bayern-Remote/Friseurin-Hair-Stylistin_JR36356" TargetMode="External" Id="rId226" /><Relationship Type="http://schemas.openxmlformats.org/officeDocument/2006/relationships/hyperlink" Target="https://dyson.wd3.myworkdayjobs.com/job/Turkey---Ankara-Panora-Demo-Zone/Store-Manager---Ankara-Panora-AVM_JR36061" TargetMode="External" Id="rId227" /><Relationship Type="http://schemas.openxmlformats.org/officeDocument/2006/relationships/hyperlink" Target="https://dyson.wd3.myworkdayjobs.com/job/Germany---Baden-Wrttemberg-Remote/Dyson-Expert_JR34858" TargetMode="External" Id="rId228" /><Relationship Type="http://schemas.openxmlformats.org/officeDocument/2006/relationships/hyperlink" Target="https://dyson.wd3.myworkdayjobs.com/job/Germany---Nordrhein-Westfalen-Remote/Retail-Expert_JR33565" TargetMode="External" Id="rId229" /><Relationship Type="http://schemas.openxmlformats.org/officeDocument/2006/relationships/hyperlink" Target="https://dyson.wd3.myworkdayjobs.com/job/Germany---Nordrhein-Westfalen-Remote/Verkaufsberater-in-Sales-Associate_JR36157-1" TargetMode="External" Id="rId230" /><Relationship Type="http://schemas.openxmlformats.org/officeDocument/2006/relationships/hyperlink" Target="https://dyson.wd3.myworkdayjobs.com/job/India---Lucknow-Sales-Office/Zonal-Sales-Manager_JR36591" TargetMode="External" Id="rId231" /><Relationship Type="http://schemas.openxmlformats.org/officeDocument/2006/relationships/hyperlink" Target="https://dyson.wd3.myworkdayjobs.com/job/Singapore---Technology-Centre/Demand-Planner_JR36845" TargetMode="External" Id="rId232" /><Relationship Type="http://schemas.openxmlformats.org/officeDocument/2006/relationships/hyperlink" Target="https://dyson.wd3.myworkdayjobs.com/job/China---Dalian-Office/Sales-Order-Processing--Analyst---Specialist_JR36877-1" TargetMode="External" Id="rId233" /><Relationship Type="http://schemas.openxmlformats.org/officeDocument/2006/relationships/hyperlink" Target="https://dyson.wd3.myworkdayjobs.com/job/China---Dalian-Office/Sales-Order-Processing-Analyst_JR36878" TargetMode="External" Id="rId234" /><Relationship Type="http://schemas.openxmlformats.org/officeDocument/2006/relationships/hyperlink" Target="https://dyson.wd3.myworkdayjobs.com/job/Singapore---St-James-Power-Station-Headquarters/Finance-Manager---Cost-of-Acquisition_JR36776" TargetMode="External" Id="rId235" /><Relationship Type="http://schemas.openxmlformats.org/officeDocument/2006/relationships/hyperlink" Target="https://dyson.wd3.myworkdayjobs.com/job/Germany---Rheinland-Pfalz-Remote/Dyson-Expert_JR35086" TargetMode="External" Id="rId236" /><Relationship Type="http://schemas.openxmlformats.org/officeDocument/2006/relationships/hyperlink" Target="https://dyson.wd3.myworkdayjobs.com/job/Germany---Frankfurt-MyZeil-Demo-Store/Verkaufsberaterin-Sales-Associate_JR36564" TargetMode="External" Id="rId237" /><Relationship Type="http://schemas.openxmlformats.org/officeDocument/2006/relationships/hyperlink" Target="https://dyson.wd3.myworkdayjobs.com/job/Turkey---Istanbul-Office/Sales-Planning-Manager_JR36812" TargetMode="External" Id="rId238" /><Relationship Type="http://schemas.openxmlformats.org/officeDocument/2006/relationships/hyperlink" Target="https://dyson.wd3.myworkdayjobs.com/job/Turkey---Ankara-Panora-Demo-Zone/Dyson-Expert---Ankara-Panora-AVM--Part-Time-_JR36599" TargetMode="External" Id="rId239" /><Relationship Type="http://schemas.openxmlformats.org/officeDocument/2006/relationships/hyperlink" Target="https://dyson.wd3.myworkdayjobs.com/job/Germany---Cologne-Office/Finance-Manager--Retailer-Accounts-_JR36769" TargetMode="External" Id="rId240" /><Relationship Type="http://schemas.openxmlformats.org/officeDocument/2006/relationships/hyperlink" Target="https://dyson.wd3.myworkdayjobs.com/job/Germany---Niedersachsen-Remote/Dyson-Expert_JR34697" TargetMode="External" Id="rId241" /><Relationship Type="http://schemas.openxmlformats.org/officeDocument/2006/relationships/hyperlink" Target="https://dyson.wd3.myworkdayjobs.com/job/Malaysia---Global-Development-Campus-Johor-Bahru/Graduate-Electronics-Hardware-Engineer--Malaysia-_JR36942" TargetMode="External" Id="rId242" /><Relationship Type="http://schemas.openxmlformats.org/officeDocument/2006/relationships/hyperlink" Target="https://dyson.wd3.myworkdayjobs.com/job/Singapore---Technology-Centre/Global-Supply-Chain-Graduate_JR35368" TargetMode="External" Id="rId243" /><Relationship Type="http://schemas.openxmlformats.org/officeDocument/2006/relationships/hyperlink" Target="https://dyson.wd3.myworkdayjobs.com/job/Malaysia---Global-Development-Campus-Johor-Bahru/Graduate-Packaging-Engineer_JR36941" TargetMode="External" Id="rId244" /><Relationship Type="http://schemas.openxmlformats.org/officeDocument/2006/relationships/hyperlink" Target="https://dyson.wd3.myworkdayjobs.com/job/Malaysia---Global-Development-Campus-Johor-Bahru/Graduate-Electronics-Engineer_JR36936" TargetMode="External" Id="rId245" /><Relationship Type="http://schemas.openxmlformats.org/officeDocument/2006/relationships/hyperlink" Target="https://dyson.wd3.myworkdayjobs.com/job/Singapore---Technology-Centre/Design-Engineer_JR36893" TargetMode="External" Id="rId246" /><Relationship Type="http://schemas.openxmlformats.org/officeDocument/2006/relationships/hyperlink" Target="https://dyson.wd3.myworkdayjobs.com/job/Malaysia---Global-Development-Campus-Johor-Bahru/Graduate-Design-Engineer--Malaysia-_JR36908-1" TargetMode="External" Id="rId247" /><Relationship Type="http://schemas.openxmlformats.org/officeDocument/2006/relationships/hyperlink" Target="https://dyson.wd3.myworkdayjobs.com/job/Japan---Tokyo-Office/Sales-Manager--Department-Store----Key-Account-Manager--EM-_JR34537" TargetMode="External" Id="rId248" /><Relationship Type="http://schemas.openxmlformats.org/officeDocument/2006/relationships/hyperlink" Target="https://dyson.wd3.myworkdayjobs.com/job/Singapore---St-James-Power-Station-Headquarters/Design-Manager---Experience_JR36331-1" TargetMode="External" Id="rId249" /><Relationship Type="http://schemas.openxmlformats.org/officeDocument/2006/relationships/hyperlink" Target="https://uk.indeed.com/viewjob" TargetMode="External" Id="rId250" /><Relationship Type="http://schemas.openxmlformats.org/officeDocument/2006/relationships/hyperlink" Target="https://www.linkedin.com/jobs/view/4424367816" TargetMode="External" Id="rId251" /><Relationship Type="http://schemas.openxmlformats.org/officeDocument/2006/relationships/hyperlink" Target="https://www.linkedin.com/jobs/view/4419828531" TargetMode="External" Id="rId252" /><Relationship Type="http://schemas.openxmlformats.org/officeDocument/2006/relationships/hyperlink" Target="https://www.linkedin.com/jobs/view/4430363778" TargetMode="External" Id="rId253" /><Relationship Type="http://schemas.openxmlformats.org/officeDocument/2006/relationships/hyperlink" Target="https://www.linkedin.com/jobs/view/4426479865" TargetMode="External" Id="rId254" /><Relationship Type="http://schemas.openxmlformats.org/officeDocument/2006/relationships/hyperlink" Target="https://www.linkedin.com/jobs/view/4414001759" TargetMode="External" Id="rId255" /><Relationship Type="http://schemas.openxmlformats.org/officeDocument/2006/relationships/hyperlink" Target="https://uk.indeed.com/viewjob" TargetMode="External" Id="rId256" /><Relationship Type="http://schemas.openxmlformats.org/officeDocument/2006/relationships/hyperlink" Target="https://www.linkedin.com/jobs/view/4428107057" TargetMode="External" Id="rId257" /><Relationship Type="http://schemas.openxmlformats.org/officeDocument/2006/relationships/hyperlink" Target="https://www.linkedin.com/jobs/view/4421804402" TargetMode="External" Id="rId258" /><Relationship Type="http://schemas.openxmlformats.org/officeDocument/2006/relationships/hyperlink" Target="https://www.linkedin.com/jobs/view/4426203528" TargetMode="External" Id="rId259" /><Relationship Type="http://schemas.openxmlformats.org/officeDocument/2006/relationships/hyperlink" Target="https://uk.indeed.com/viewjob" TargetMode="External" Id="rId260" /><Relationship Type="http://schemas.openxmlformats.org/officeDocument/2006/relationships/hyperlink" Target="https://www.linkedin.com/jobs/view/4415917167" TargetMode="External" Id="rId261" /><Relationship Type="http://schemas.openxmlformats.org/officeDocument/2006/relationships/hyperlink" Target="https://uk.indeed.com/viewjob" TargetMode="External" Id="rId262" /><Relationship Type="http://schemas.openxmlformats.org/officeDocument/2006/relationships/hyperlink" Target="https://www.linkedin.com/jobs/view/4421125234" TargetMode="External" Id="rId263" /><Relationship Type="http://schemas.openxmlformats.org/officeDocument/2006/relationships/hyperlink" Target="https://www.linkedin.com/jobs/view/4421117629" TargetMode="External" Id="rId264" /><Relationship Type="http://schemas.openxmlformats.org/officeDocument/2006/relationships/hyperlink" Target="https://www.linkedin.com/jobs/view/4421109592" TargetMode="External" Id="rId265" /><Relationship Type="http://schemas.openxmlformats.org/officeDocument/2006/relationships/hyperlink" Target="https://www.linkedin.com/jobs/view/4428826015" TargetMode="External" Id="rId266" /><Relationship Type="http://schemas.openxmlformats.org/officeDocument/2006/relationships/hyperlink" Target="https://www.linkedin.com/jobs/view/4427387178" TargetMode="External" Id="rId267" /><Relationship Type="http://schemas.openxmlformats.org/officeDocument/2006/relationships/hyperlink" Target="https://www.linkedin.com/jobs/view/4353476730" TargetMode="External" Id="rId268" /><Relationship Type="http://schemas.openxmlformats.org/officeDocument/2006/relationships/hyperlink" Target="https://www.linkedin.com/jobs/view/4353646278" TargetMode="External" Id="rId269" /><Relationship Type="http://schemas.openxmlformats.org/officeDocument/2006/relationships/hyperlink" Target="https://www.linkedin.com/jobs/view/4430476481" TargetMode="External" Id="rId270" /><Relationship Type="http://schemas.openxmlformats.org/officeDocument/2006/relationships/hyperlink" Target="https://www.linkedin.com/jobs/view/4353683499" TargetMode="External" Id="rId271" /><Relationship Type="http://schemas.openxmlformats.org/officeDocument/2006/relationships/hyperlink" Target="https://www.linkedin.com/jobs/view/4432274211" TargetMode="External" Id="rId272" /><Relationship Type="http://schemas.openxmlformats.org/officeDocument/2006/relationships/hyperlink" Target="https://www.linkedin.com/jobs/view/4405333727" TargetMode="External" Id="rId273" /><Relationship Type="http://schemas.openxmlformats.org/officeDocument/2006/relationships/hyperlink" Target="https://www.linkedin.com/jobs/view/4402131567" TargetMode="External" Id="rId274" /><Relationship Type="http://schemas.openxmlformats.org/officeDocument/2006/relationships/hyperlink" Target="https://www.linkedin.com/jobs/view/4424406771" TargetMode="External" Id="rId275" /><Relationship Type="http://schemas.openxmlformats.org/officeDocument/2006/relationships/hyperlink" Target="https://www.linkedin.com/jobs/view/4426919730" TargetMode="External" Id="rId276" /><Relationship Type="http://schemas.openxmlformats.org/officeDocument/2006/relationships/hyperlink" Target="https://www.linkedin.com/jobs/view/4421152484" TargetMode="External" Id="rId277" /><Relationship Type="http://schemas.openxmlformats.org/officeDocument/2006/relationships/hyperlink" Target="https://www.linkedin.com/jobs/view/4393023078" TargetMode="External" Id="rId278" /><Relationship Type="http://schemas.openxmlformats.org/officeDocument/2006/relationships/hyperlink" Target="https://www.linkedin.com/jobs/view/4422922018" TargetMode="External" Id="rId279" /><Relationship Type="http://schemas.openxmlformats.org/officeDocument/2006/relationships/hyperlink" Target="https://www.linkedin.com/jobs/view/4423918503" TargetMode="External" Id="rId280" /><Relationship Type="http://schemas.openxmlformats.org/officeDocument/2006/relationships/hyperlink" Target="https://www.linkedin.com/jobs/view/4417205784" TargetMode="External" Id="rId281" /><Relationship Type="http://schemas.openxmlformats.org/officeDocument/2006/relationships/hyperlink" Target="https://www.linkedin.com/jobs/view/4408421116" TargetMode="External" Id="rId282" /><Relationship Type="http://schemas.openxmlformats.org/officeDocument/2006/relationships/hyperlink" Target="https://www.linkedin.com/jobs/view/4408420118" TargetMode="External" Id="rId283" /><Relationship Type="http://schemas.openxmlformats.org/officeDocument/2006/relationships/hyperlink" Target="https://www.linkedin.com/jobs/view/4424184433" TargetMode="External" Id="rId284" /><Relationship Type="http://schemas.openxmlformats.org/officeDocument/2006/relationships/hyperlink" Target="https://uk.indeed.com/viewjob" TargetMode="External" Id="rId285" /><Relationship Type="http://schemas.openxmlformats.org/officeDocument/2006/relationships/hyperlink" Target="https://uk.indeed.com/viewjob" TargetMode="External" Id="rId286" /><Relationship Type="http://schemas.openxmlformats.org/officeDocument/2006/relationships/hyperlink" Target="https://www.linkedin.com/jobs/view/4411352812" TargetMode="External" Id="rId287" /><Relationship Type="http://schemas.openxmlformats.org/officeDocument/2006/relationships/hyperlink" Target="https://www.linkedin.com/jobs/view/4419611065" TargetMode="External" Id="rId288" /><Relationship Type="http://schemas.openxmlformats.org/officeDocument/2006/relationships/hyperlink" Target="https://www.linkedin.com/jobs/view/4425694502" TargetMode="External" Id="rId289" /><Relationship Type="http://schemas.openxmlformats.org/officeDocument/2006/relationships/hyperlink" Target="https://www.linkedin.com/jobs/view/4425334139" TargetMode="External" Id="rId290" /><Relationship Type="http://schemas.openxmlformats.org/officeDocument/2006/relationships/hyperlink" Target="https://www.linkedin.com/jobs/view/4416711528" TargetMode="External" Id="rId291" /><Relationship Type="http://schemas.openxmlformats.org/officeDocument/2006/relationships/hyperlink" Target="https://www.linkedin.com/jobs/view/4426807493" TargetMode="External" Id="rId292" /><Relationship Type="http://schemas.openxmlformats.org/officeDocument/2006/relationships/hyperlink" Target="https://www.linkedin.com/jobs/view/4428277216" TargetMode="External" Id="rId293" /><Relationship Type="http://schemas.openxmlformats.org/officeDocument/2006/relationships/hyperlink" Target="https://www.linkedin.com/jobs/view/4428816796" TargetMode="External" Id="rId294" /><Relationship Type="http://schemas.openxmlformats.org/officeDocument/2006/relationships/hyperlink" Target="https://www.linkedin.com/jobs/view/4427549047" TargetMode="External" Id="rId295" /><Relationship Type="http://schemas.openxmlformats.org/officeDocument/2006/relationships/hyperlink" Target="https://www.linkedin.com/jobs/view/4431314645" TargetMode="External" Id="rId296" /><Relationship Type="http://schemas.openxmlformats.org/officeDocument/2006/relationships/hyperlink" Target="https://www.linkedin.com/jobs/view/4430356696" TargetMode="External" Id="rId297" /><Relationship Type="http://schemas.openxmlformats.org/officeDocument/2006/relationships/hyperlink" Target="https://www.linkedin.com/jobs/view/4420704367" TargetMode="External" Id="rId298" /><Relationship Type="http://schemas.openxmlformats.org/officeDocument/2006/relationships/hyperlink" Target="https://www.linkedin.com/jobs/view/4423628870" TargetMode="External" Id="rId299" /><Relationship Type="http://schemas.openxmlformats.org/officeDocument/2006/relationships/hyperlink" Target="https://uk.indeed.com/viewjob" TargetMode="External" Id="rId300" /><Relationship Type="http://schemas.openxmlformats.org/officeDocument/2006/relationships/hyperlink" Target="https://uk.indeed.com/viewjob" TargetMode="External" Id="rId301" /><Relationship Type="http://schemas.openxmlformats.org/officeDocument/2006/relationships/hyperlink" Target="https://uk.indeed.com/viewjob" TargetMode="External" Id="rId302" /><Relationship Type="http://schemas.openxmlformats.org/officeDocument/2006/relationships/hyperlink" Target="https://uk.indeed.com/viewjob" TargetMode="External" Id="rId303" /><Relationship Type="http://schemas.openxmlformats.org/officeDocument/2006/relationships/hyperlink" Target="https://www.linkedin.com/jobs/view/4416784944" TargetMode="External" Id="rId304" /><Relationship Type="http://schemas.openxmlformats.org/officeDocument/2006/relationships/hyperlink" Target="https://www.linkedin.com/jobs/view/4426975479" TargetMode="External" Id="rId305" /><Relationship Type="http://schemas.openxmlformats.org/officeDocument/2006/relationships/hyperlink" Target="https://www.linkedin.com/jobs/view/4426967603" TargetMode="External" Id="rId306" /><Relationship Type="http://schemas.openxmlformats.org/officeDocument/2006/relationships/hyperlink" Target="https://www.linkedin.com/jobs/view/4424085531" TargetMode="External" Id="rId307" /><Relationship Type="http://schemas.openxmlformats.org/officeDocument/2006/relationships/hyperlink" Target="https://www.linkedin.com/jobs/view/4418218257" TargetMode="External" Id="rId308" /><Relationship Type="http://schemas.openxmlformats.org/officeDocument/2006/relationships/hyperlink" Target="https://www.linkedin.com/jobs/view/4417220303" TargetMode="External" Id="rId309" /><Relationship Type="http://schemas.openxmlformats.org/officeDocument/2006/relationships/hyperlink" Target="https://www.linkedin.com/jobs/view/4422349050" TargetMode="External" Id="rId310" /><Relationship Type="http://schemas.openxmlformats.org/officeDocument/2006/relationships/hyperlink" Target="https://www.linkedin.com/jobs/view/4427938376" TargetMode="External" Id="rId311" /><Relationship Type="http://schemas.openxmlformats.org/officeDocument/2006/relationships/hyperlink" Target="https://www.linkedin.com/jobs/view/4423511163" TargetMode="External" Id="rId312" /><Relationship Type="http://schemas.openxmlformats.org/officeDocument/2006/relationships/hyperlink" Target="https://www.linkedin.com/jobs/view/4425861231" TargetMode="External" Id="rId313" /><Relationship Type="http://schemas.openxmlformats.org/officeDocument/2006/relationships/hyperlink" Target="https://uk.indeed.com/viewjob" TargetMode="External" Id="rId314" /><Relationship Type="http://schemas.openxmlformats.org/officeDocument/2006/relationships/hyperlink" Target="https://uk.indeed.com/viewjob" TargetMode="External" Id="rId315" /><Relationship Type="http://schemas.openxmlformats.org/officeDocument/2006/relationships/hyperlink" Target="https://www.linkedin.com/jobs/view/4424754458" TargetMode="External" Id="rId316" /><Relationship Type="http://schemas.openxmlformats.org/officeDocument/2006/relationships/hyperlink" Target="https://www.linkedin.com/jobs/view/4429982729" TargetMode="External" Id="rId317" /><Relationship Type="http://schemas.openxmlformats.org/officeDocument/2006/relationships/hyperlink" Target="https://www.linkedin.com/jobs/view/4417312512" TargetMode="External" Id="rId318" /><Relationship Type="http://schemas.openxmlformats.org/officeDocument/2006/relationships/hyperlink" Target="https://uk.indeed.com/viewjob" TargetMode="External" Id="rId319" /><Relationship Type="http://schemas.openxmlformats.org/officeDocument/2006/relationships/hyperlink" Target="https://www.linkedin.com/jobs/view/4420999102" TargetMode="External" Id="rId320" /><Relationship Type="http://schemas.openxmlformats.org/officeDocument/2006/relationships/hyperlink" Target="https://www.linkedin.com/jobs/view/4428499793" TargetMode="External" Id="rId321" /><Relationship Type="http://schemas.openxmlformats.org/officeDocument/2006/relationships/hyperlink" Target="https://www.linkedin.com/jobs/view/4429542837" TargetMode="External" Id="rId322" /><Relationship Type="http://schemas.openxmlformats.org/officeDocument/2006/relationships/hyperlink" Target="https://uk.indeed.com/viewjob" TargetMode="External" Id="rId323" /><Relationship Type="http://schemas.openxmlformats.org/officeDocument/2006/relationships/hyperlink" Target="https://www.linkedin.com/jobs/view/4430490115" TargetMode="External" Id="rId324" /><Relationship Type="http://schemas.openxmlformats.org/officeDocument/2006/relationships/hyperlink" Target="https://www.linkedin.com/jobs/view/4341879428" TargetMode="External" Id="rId325" /><Relationship Type="http://schemas.openxmlformats.org/officeDocument/2006/relationships/hyperlink" Target="https://www.linkedin.com/jobs/view/4416629284" TargetMode="External" Id="rId326" /><Relationship Type="http://schemas.openxmlformats.org/officeDocument/2006/relationships/hyperlink" Target="https://www.linkedin.com/jobs/view/4404999568" TargetMode="External" Id="rId327" /><Relationship Type="http://schemas.openxmlformats.org/officeDocument/2006/relationships/hyperlink" Target="https://www.linkedin.com/jobs/view/4419438174" TargetMode="External" Id="rId328" /><Relationship Type="http://schemas.openxmlformats.org/officeDocument/2006/relationships/hyperlink" Target="https://www.linkedin.com/jobs/view/4416532150" TargetMode="External" Id="rId329" /><Relationship Type="http://schemas.openxmlformats.org/officeDocument/2006/relationships/hyperlink" Target="https://www.linkedin.com/jobs/view/4428990019" TargetMode="External" Id="rId330" /><Relationship Type="http://schemas.openxmlformats.org/officeDocument/2006/relationships/hyperlink" Target="https://www.linkedin.com/jobs/view/4419078025" TargetMode="External" Id="rId331" /><Relationship Type="http://schemas.openxmlformats.org/officeDocument/2006/relationships/hyperlink" Target="https://job-boards.greenhouse.io/gocardless/jobs/7942125" TargetMode="External" Id="rId332" /><Relationship Type="http://schemas.openxmlformats.org/officeDocument/2006/relationships/hyperlink" Target="https://www.linkedin.com/jobs/view/4426829327" TargetMode="External" Id="rId333" /><Relationship Type="http://schemas.openxmlformats.org/officeDocument/2006/relationships/hyperlink" Target="https://www.linkedin.com/jobs/view/4421796090" TargetMode="External" Id="rId334" /><Relationship Type="http://schemas.openxmlformats.org/officeDocument/2006/relationships/hyperlink" Target="https://www.linkedin.com/jobs/view/4405801761" TargetMode="External" Id="rId335" /><Relationship Type="http://schemas.openxmlformats.org/officeDocument/2006/relationships/hyperlink" Target="https://www.linkedin.com/jobs/view/4419837938" TargetMode="External" Id="rId336" /><Relationship Type="http://schemas.openxmlformats.org/officeDocument/2006/relationships/hyperlink" Target="https://uk.indeed.com/viewjob" TargetMode="External" Id="rId337" /><Relationship Type="http://schemas.openxmlformats.org/officeDocument/2006/relationships/hyperlink" Target="https://www.linkedin.com/jobs/view/4417084012" TargetMode="External" Id="rId338" /><Relationship Type="http://schemas.openxmlformats.org/officeDocument/2006/relationships/hyperlink" Target="https://www.linkedin.com/jobs/view/4410985669" TargetMode="External" Id="rId339" /><Relationship Type="http://schemas.openxmlformats.org/officeDocument/2006/relationships/hyperlink" Target="https://www.linkedin.com/jobs/view/4346111046" TargetMode="External" Id="rId340" /><Relationship Type="http://schemas.openxmlformats.org/officeDocument/2006/relationships/hyperlink" Target="https://www.linkedin.com/jobs/view/4425996571" TargetMode="External" Id="rId341" /><Relationship Type="http://schemas.openxmlformats.org/officeDocument/2006/relationships/hyperlink" Target="https://www.linkedin.com/jobs/view/4418956698" TargetMode="External" Id="rId342" /><Relationship Type="http://schemas.openxmlformats.org/officeDocument/2006/relationships/hyperlink" Target="https://job-boards.greenhouse.io/gocardless/jobs/7996584" TargetMode="External" Id="rId343" /><Relationship Type="http://schemas.openxmlformats.org/officeDocument/2006/relationships/hyperlink" Target="https://job-boards.greenhouse.io/gocardless/jobs/7436395" TargetMode="External" Id="rId344" /><Relationship Type="http://schemas.openxmlformats.org/officeDocument/2006/relationships/hyperlink" Target="https://www.linkedin.com/jobs/view/4426459629" TargetMode="External" Id="rId345" /><Relationship Type="http://schemas.openxmlformats.org/officeDocument/2006/relationships/hyperlink" Target="https://www.linkedin.com/jobs/view/4414339439" TargetMode="External" Id="rId346" /><Relationship Type="http://schemas.openxmlformats.org/officeDocument/2006/relationships/hyperlink" Target="https://www.linkedin.com/jobs/view/4417936467" TargetMode="External" Id="rId347" /><Relationship Type="http://schemas.openxmlformats.org/officeDocument/2006/relationships/hyperlink" Target="https://www.linkedin.com/jobs/view/4413615784" TargetMode="External" Id="rId348" /><Relationship Type="http://schemas.openxmlformats.org/officeDocument/2006/relationships/hyperlink" Target="https://www.linkedin.com/jobs/view/4423981707" TargetMode="External" Id="rId349" /><Relationship Type="http://schemas.openxmlformats.org/officeDocument/2006/relationships/hyperlink" Target="https://www.linkedin.com/jobs/view/4429928492" TargetMode="External" Id="rId350" /><Relationship Type="http://schemas.openxmlformats.org/officeDocument/2006/relationships/hyperlink" Target="https://www.linkedin.com/jobs/view/4415773612" TargetMode="External" Id="rId351" /><Relationship Type="http://schemas.openxmlformats.org/officeDocument/2006/relationships/hyperlink" Target="https://www.linkedin.com/jobs/view/4418993007" TargetMode="External" Id="rId352" /><Relationship Type="http://schemas.openxmlformats.org/officeDocument/2006/relationships/hyperlink" Target="https://www.linkedin.com/jobs/view/4417653790" TargetMode="External" Id="rId353" /><Relationship Type="http://schemas.openxmlformats.org/officeDocument/2006/relationships/hyperlink" Target="https://www.linkedin.com/jobs/view/4419683836" TargetMode="External" Id="rId354" /><Relationship Type="http://schemas.openxmlformats.org/officeDocument/2006/relationships/hyperlink" Target="https://www.linkedin.com/jobs/view/4428728939" TargetMode="External" Id="rId355" /><Relationship Type="http://schemas.openxmlformats.org/officeDocument/2006/relationships/hyperlink" Target="https://www.linkedin.com/jobs/view/4429527348" TargetMode="External" Id="rId356" /><Relationship Type="http://schemas.openxmlformats.org/officeDocument/2006/relationships/hyperlink" Target="https://www.linkedin.com/jobs/view/4426829234" TargetMode="External" Id="rId357" /><Relationship Type="http://schemas.openxmlformats.org/officeDocument/2006/relationships/hyperlink" Target="https://uk.indeed.com/viewjob" TargetMode="External" Id="rId358" /><Relationship Type="http://schemas.openxmlformats.org/officeDocument/2006/relationships/hyperlink" Target="https://www.linkedin.com/jobs/view/4418590254" TargetMode="External" Id="rId359" /><Relationship Type="http://schemas.openxmlformats.org/officeDocument/2006/relationships/hyperlink" Target="https://uk.indeed.com/viewjob" TargetMode="External" Id="rId360" /><Relationship Type="http://schemas.openxmlformats.org/officeDocument/2006/relationships/hyperlink" Target="https://www.linkedin.com/jobs/view/4420701459" TargetMode="External" Id="rId361" /><Relationship Type="http://schemas.openxmlformats.org/officeDocument/2006/relationships/hyperlink" Target="https://www.linkedin.com/jobs/view/4429944589" TargetMode="External" Id="rId362" /><Relationship Type="http://schemas.openxmlformats.org/officeDocument/2006/relationships/hyperlink" Target="https://www.linkedin.com/jobs/view/4424548261" TargetMode="External" Id="rId363" /><Relationship Type="http://schemas.openxmlformats.org/officeDocument/2006/relationships/hyperlink" Target="https://www.linkedin.com/jobs/view/4413973520" TargetMode="External" Id="rId364" /><Relationship Type="http://schemas.openxmlformats.org/officeDocument/2006/relationships/hyperlink" Target="https://www.linkedin.com/jobs/view/4419693535" TargetMode="External" Id="rId365" /><Relationship Type="http://schemas.openxmlformats.org/officeDocument/2006/relationships/hyperlink" Target="https://www.linkedin.com/jobs/view/4429037794" TargetMode="External" Id="rId366" /><Relationship Type="http://schemas.openxmlformats.org/officeDocument/2006/relationships/hyperlink" Target="https://www.linkedin.com/jobs/view/4428861979" TargetMode="External" Id="rId367" /><Relationship Type="http://schemas.openxmlformats.org/officeDocument/2006/relationships/hyperlink" Target="https://www.linkedin.com/jobs/view/4426622237" TargetMode="External" Id="rId368" /><Relationship Type="http://schemas.openxmlformats.org/officeDocument/2006/relationships/hyperlink" Target="https://www.linkedin.com/jobs/view/4422255995" TargetMode="External" Id="rId369" /><Relationship Type="http://schemas.openxmlformats.org/officeDocument/2006/relationships/hyperlink" Target="https://www.linkedin.com/jobs/view/4430420163" TargetMode="External" Id="rId370" /><Relationship Type="http://schemas.openxmlformats.org/officeDocument/2006/relationships/hyperlink" Target="https://www.linkedin.com/jobs/view/4423649170" TargetMode="External" Id="rId371" /><Relationship Type="http://schemas.openxmlformats.org/officeDocument/2006/relationships/hyperlink" Target="https://www.linkedin.com/jobs/view/4420469884" TargetMode="External" Id="rId372" /><Relationship Type="http://schemas.openxmlformats.org/officeDocument/2006/relationships/hyperlink" Target="https://www.linkedin.com/jobs/view/4426306065" TargetMode="External" Id="rId373" /><Relationship Type="http://schemas.openxmlformats.org/officeDocument/2006/relationships/hyperlink" Target="https://www.linkedin.com/jobs/view/4408429845" TargetMode="External" Id="rId374" /><Relationship Type="http://schemas.openxmlformats.org/officeDocument/2006/relationships/hyperlink" Target="https://www.linkedin.com/jobs/view/4429846865" TargetMode="External" Id="rId375" /><Relationship Type="http://schemas.openxmlformats.org/officeDocument/2006/relationships/hyperlink" Target="https://www.linkedin.com/jobs/view/4425643391" TargetMode="External" Id="rId376" /><Relationship Type="http://schemas.openxmlformats.org/officeDocument/2006/relationships/hyperlink" Target="https://www.linkedin.com/jobs/view/4423138969" TargetMode="External" Id="rId377" /><Relationship Type="http://schemas.openxmlformats.org/officeDocument/2006/relationships/hyperlink" Target="https://www.linkedin.com/jobs/view/4422352205" TargetMode="External" Id="rId378" /><Relationship Type="http://schemas.openxmlformats.org/officeDocument/2006/relationships/hyperlink" Target="https://www.linkedin.com/jobs/view/4427470911" TargetMode="External" Id="rId379" /><Relationship Type="http://schemas.openxmlformats.org/officeDocument/2006/relationships/hyperlink" Target="https://www.linkedin.com/jobs/view/4427246621" TargetMode="External" Id="rId380" /><Relationship Type="http://schemas.openxmlformats.org/officeDocument/2006/relationships/hyperlink" Target="https://uk.indeed.com/viewjob" TargetMode="External" Id="rId381" /><Relationship Type="http://schemas.openxmlformats.org/officeDocument/2006/relationships/hyperlink" Target="https://www.linkedin.com/jobs/view/4406209036" TargetMode="External" Id="rId382" /><Relationship Type="http://schemas.openxmlformats.org/officeDocument/2006/relationships/hyperlink" Target="https://www.linkedin.com/jobs/view/4404049606" TargetMode="External" Id="rId383" /><Relationship Type="http://schemas.openxmlformats.org/officeDocument/2006/relationships/hyperlink" Target="https://www.linkedin.com/jobs/view/4397074215" TargetMode="External" Id="rId384" /><Relationship Type="http://schemas.openxmlformats.org/officeDocument/2006/relationships/hyperlink" Target="https://job-boards.greenhouse.io/typeform/jobs/7942504" TargetMode="External" Id="rId385" /><Relationship Type="http://schemas.openxmlformats.org/officeDocument/2006/relationships/hyperlink" Target="https://www.linkedin.com/jobs/view/4424363559" TargetMode="External" Id="rId386" /><Relationship Type="http://schemas.openxmlformats.org/officeDocument/2006/relationships/hyperlink" Target="https://uk.indeed.com/viewjob" TargetMode="External" Id="rId387" /><Relationship Type="http://schemas.openxmlformats.org/officeDocument/2006/relationships/hyperlink" Target="https://www.linkedin.com/jobs/view/4422474521" TargetMode="External" Id="rId388" /><Relationship Type="http://schemas.openxmlformats.org/officeDocument/2006/relationships/hyperlink" Target="https://www.linkedin.com/jobs/view/4421927415" TargetMode="External" Id="rId389" /><Relationship Type="http://schemas.openxmlformats.org/officeDocument/2006/relationships/hyperlink" Target="https://www.linkedin.com/jobs/view/4418741606" TargetMode="External" Id="rId390" /><Relationship Type="http://schemas.openxmlformats.org/officeDocument/2006/relationships/hyperlink" Target="https://uk.indeed.com/viewjob" TargetMode="External" Id="rId391" /><Relationship Type="http://schemas.openxmlformats.org/officeDocument/2006/relationships/hyperlink" Target="https://uk.indeed.com/viewjob" TargetMode="External" Id="rId392" /><Relationship Type="http://schemas.openxmlformats.org/officeDocument/2006/relationships/hyperlink" Target="https://uk.indeed.com/viewjob" TargetMode="External" Id="rId393" /><Relationship Type="http://schemas.openxmlformats.org/officeDocument/2006/relationships/hyperlink" Target="https://www.linkedin.com/jobs/view/4415192785" TargetMode="External" Id="rId394" /><Relationship Type="http://schemas.openxmlformats.org/officeDocument/2006/relationships/hyperlink" Target="https://www.linkedin.com/jobs/view/4418107037" TargetMode="External" Id="rId395" /><Relationship Type="http://schemas.openxmlformats.org/officeDocument/2006/relationships/hyperlink" Target="https://www.linkedin.com/jobs/view/4420834893" TargetMode="External" Id="rId396" /><Relationship Type="http://schemas.openxmlformats.org/officeDocument/2006/relationships/hyperlink" Target="https://uk.indeed.com/viewjob" TargetMode="External" Id="rId397" /><Relationship Type="http://schemas.openxmlformats.org/officeDocument/2006/relationships/hyperlink" Target="https://www.linkedin.com/jobs/view/4426805391" TargetMode="External" Id="rId398" /><Relationship Type="http://schemas.openxmlformats.org/officeDocument/2006/relationships/hyperlink" Target="https://uk.indeed.com/viewjob" TargetMode="External" Id="rId399" /><Relationship Type="http://schemas.openxmlformats.org/officeDocument/2006/relationships/hyperlink" Target="https://www.linkedin.com/jobs/view/4426414007" TargetMode="External" Id="rId400" /><Relationship Type="http://schemas.openxmlformats.org/officeDocument/2006/relationships/hyperlink" Target="https://www.linkedin.com/jobs/view/4424745252" TargetMode="External" Id="rId401" /><Relationship Type="http://schemas.openxmlformats.org/officeDocument/2006/relationships/hyperlink" Target="https://www.linkedin.com/jobs/view/4418085677" TargetMode="External" Id="rId402" /><Relationship Type="http://schemas.openxmlformats.org/officeDocument/2006/relationships/hyperlink" Target="https://uk.indeed.com/viewjob" TargetMode="External" Id="rId403" /><Relationship Type="http://schemas.openxmlformats.org/officeDocument/2006/relationships/hyperlink" Target="https://www.linkedin.com/jobs/view/4426288811" TargetMode="External" Id="rId404" /><Relationship Type="http://schemas.openxmlformats.org/officeDocument/2006/relationships/hyperlink" Target="https://www.linkedin.com/jobs/view/4415267222" TargetMode="External" Id="rId405" /><Relationship Type="http://schemas.openxmlformats.org/officeDocument/2006/relationships/hyperlink" Target="https://uk.indeed.com/viewjob" TargetMode="External" Id="rId406" /><Relationship Type="http://schemas.openxmlformats.org/officeDocument/2006/relationships/hyperlink" Target="https://uk.indeed.com/viewjob" TargetMode="External" Id="rId407" /><Relationship Type="http://schemas.openxmlformats.org/officeDocument/2006/relationships/hyperlink" Target="https://www.linkedin.com/jobs/view/4427544322" TargetMode="External" Id="rId408" /><Relationship Type="http://schemas.openxmlformats.org/officeDocument/2006/relationships/hyperlink" Target="https://www.linkedin.com/jobs/view/4420294183" TargetMode="External" Id="rId409" /><Relationship Type="http://schemas.openxmlformats.org/officeDocument/2006/relationships/hyperlink" Target="https://www.linkedin.com/jobs/view/4423351827" TargetMode="External" Id="rId410" /><Relationship Type="http://schemas.openxmlformats.org/officeDocument/2006/relationships/hyperlink" Target="https://www.linkedin.com/jobs/view/4279718488" TargetMode="External" Id="rId411" /><Relationship Type="http://schemas.openxmlformats.org/officeDocument/2006/relationships/hyperlink" Target="https://www.linkedin.com/jobs/view/4428701815" TargetMode="External" Id="rId412" /><Relationship Type="http://schemas.openxmlformats.org/officeDocument/2006/relationships/hyperlink" Target="https://www.linkedin.com/jobs/view/4425921106" TargetMode="External" Id="rId413" /><Relationship Type="http://schemas.openxmlformats.org/officeDocument/2006/relationships/hyperlink" Target="https://www.linkedin.com/jobs/view/4429505174" TargetMode="External" Id="rId414" /><Relationship Type="http://schemas.openxmlformats.org/officeDocument/2006/relationships/hyperlink" Target="https://www.linkedin.com/jobs/view/4430459950" TargetMode="External" Id="rId415" /><Relationship Type="http://schemas.openxmlformats.org/officeDocument/2006/relationships/hyperlink" Target="https://www.linkedin.com/jobs/view/4423651481" TargetMode="External" Id="rId416" /><Relationship Type="http://schemas.openxmlformats.org/officeDocument/2006/relationships/hyperlink" Target="https://www.linkedin.com/jobs/view/4429355922" TargetMode="External" Id="rId417" /><Relationship Type="http://schemas.openxmlformats.org/officeDocument/2006/relationships/hyperlink" Target="https://boards.greenhouse.io/cloudflare/jobs/7446310" TargetMode="External" Id="rId418" /><Relationship Type="http://schemas.openxmlformats.org/officeDocument/2006/relationships/hyperlink" Target="https://www.linkedin.com/jobs/view/4425251495" TargetMode="External" Id="rId419" /><Relationship Type="http://schemas.openxmlformats.org/officeDocument/2006/relationships/hyperlink" Target="https://uk.indeed.com/viewjob" TargetMode="External" Id="rId420" /><Relationship Type="http://schemas.openxmlformats.org/officeDocument/2006/relationships/hyperlink" Target="https://www.linkedin.com/jobs/view/4427338134" TargetMode="External" Id="rId421" /><Relationship Type="http://schemas.openxmlformats.org/officeDocument/2006/relationships/hyperlink" Target="https://www.linkedin.com/jobs/view/4427989102" TargetMode="External" Id="rId422" /><Relationship Type="http://schemas.openxmlformats.org/officeDocument/2006/relationships/hyperlink" Target="https://www.linkedin.com/jobs/view/4425875965" TargetMode="External" Id="rId423" /><Relationship Type="http://schemas.openxmlformats.org/officeDocument/2006/relationships/hyperlink" Target="https://www.linkedin.com/jobs/view/4418810736" TargetMode="External" Id="rId424" /><Relationship Type="http://schemas.openxmlformats.org/officeDocument/2006/relationships/hyperlink" Target="https://www.linkedin.com/jobs/view/4424773611" TargetMode="External" Id="rId425" /><Relationship Type="http://schemas.openxmlformats.org/officeDocument/2006/relationships/hyperlink" Target="https://uk.indeed.com/viewjob" TargetMode="External" Id="rId426" /><Relationship Type="http://schemas.openxmlformats.org/officeDocument/2006/relationships/hyperlink" Target="https://www.linkedin.com/jobs/view/4427335881" TargetMode="External" Id="rId427" /><Relationship Type="http://schemas.openxmlformats.org/officeDocument/2006/relationships/hyperlink" Target="https://www.linkedin.com/jobs/view/4424766591" TargetMode="External" Id="rId428" /><Relationship Type="http://schemas.openxmlformats.org/officeDocument/2006/relationships/hyperlink" Target="https://www.linkedin.com/jobs/view/4422427722" TargetMode="External" Id="rId429" /><Relationship Type="http://schemas.openxmlformats.org/officeDocument/2006/relationships/hyperlink" Target="https://www.linkedin.com/jobs/view/4417079291" TargetMode="External" Id="rId430" /><Relationship Type="http://schemas.openxmlformats.org/officeDocument/2006/relationships/hyperlink" Target="https://uk.indeed.com/viewjob" TargetMode="External" Id="rId431" /><Relationship Type="http://schemas.openxmlformats.org/officeDocument/2006/relationships/hyperlink" Target="https://www.linkedin.com/jobs/view/4423380719" TargetMode="External" Id="rId432" /><Relationship Type="http://schemas.openxmlformats.org/officeDocument/2006/relationships/hyperlink" Target="https://www.linkedin.com/jobs/view/4427295210" TargetMode="External" Id="rId433" /><Relationship Type="http://schemas.openxmlformats.org/officeDocument/2006/relationships/hyperlink" Target="https://www.linkedin.com/jobs/view/4419094634" TargetMode="External" Id="rId434" /><Relationship Type="http://schemas.openxmlformats.org/officeDocument/2006/relationships/hyperlink" Target="https://www.linkedin.com/jobs/view/4427840569" TargetMode="External" Id="rId435" /><Relationship Type="http://schemas.openxmlformats.org/officeDocument/2006/relationships/hyperlink" Target="https://www.linkedin.com/jobs/view/4419221212" TargetMode="External" Id="rId436" /><Relationship Type="http://schemas.openxmlformats.org/officeDocument/2006/relationships/hyperlink" Target="https://www.linkedin.com/jobs/view/4410156145" TargetMode="External" Id="rId437" /><Relationship Type="http://schemas.openxmlformats.org/officeDocument/2006/relationships/hyperlink" Target="https://www.linkedin.com/jobs/view/4429362870" TargetMode="External" Id="rId438" /><Relationship Type="http://schemas.openxmlformats.org/officeDocument/2006/relationships/hyperlink" Target="https://www.linkedin.com/jobs/view/4425573012" TargetMode="External" Id="rId439" /><Relationship Type="http://schemas.openxmlformats.org/officeDocument/2006/relationships/hyperlink" Target="https://www.linkedin.com/jobs/view/4407945731" TargetMode="External" Id="rId440" /><Relationship Type="http://schemas.openxmlformats.org/officeDocument/2006/relationships/hyperlink" Target="https://www.linkedin.com/jobs/view/4428121508" TargetMode="External" Id="rId441" /><Relationship Type="http://schemas.openxmlformats.org/officeDocument/2006/relationships/hyperlink" Target="https://www.linkedin.com/jobs/view/4433050714" TargetMode="External" Id="rId442" /><Relationship Type="http://schemas.openxmlformats.org/officeDocument/2006/relationships/hyperlink" Target="https://www.linkedin.com/jobs/view/4432234588" TargetMode="External" Id="rId443" /><Relationship Type="http://schemas.openxmlformats.org/officeDocument/2006/relationships/hyperlink" Target="https://www.linkedin.com/jobs/view/4431835515" TargetMode="External" Id="rId444" /><Relationship Type="http://schemas.openxmlformats.org/officeDocument/2006/relationships/hyperlink" Target="https://www.linkedin.com/jobs/view/4430582278" TargetMode="External" Id="rId445" /><Relationship Type="http://schemas.openxmlformats.org/officeDocument/2006/relationships/hyperlink" Target="https://www.linkedin.com/jobs/view/4423131953" TargetMode="External" Id="rId446" /><Relationship Type="http://schemas.openxmlformats.org/officeDocument/2006/relationships/hyperlink" Target="https://www.linkedin.com/jobs/view/4422938846" TargetMode="External" Id="rId447" /><Relationship Type="http://schemas.openxmlformats.org/officeDocument/2006/relationships/hyperlink" Target="https://www.linkedin.com/jobs/view/4374123102" TargetMode="External" Id="rId448" /><Relationship Type="http://schemas.openxmlformats.org/officeDocument/2006/relationships/hyperlink" Target="https://www.linkedin.com/jobs/view/4402475782" TargetMode="External" Id="rId449" /><Relationship Type="http://schemas.openxmlformats.org/officeDocument/2006/relationships/hyperlink" Target="https://www.linkedin.com/jobs/view/4428923987" TargetMode="External" Id="rId450" /><Relationship Type="http://schemas.openxmlformats.org/officeDocument/2006/relationships/hyperlink" Target="https://www.linkedin.com/jobs/view/4430975059" TargetMode="External" Id="rId451" /><Relationship Type="http://schemas.openxmlformats.org/officeDocument/2006/relationships/hyperlink" Target="https://www.linkedin.com/jobs/view/4423921631" TargetMode="External" Id="rId452" /><Relationship Type="http://schemas.openxmlformats.org/officeDocument/2006/relationships/hyperlink" Target="https://www.linkedin.com/jobs/view/4430571286" TargetMode="External" Id="rId453" /><Relationship Type="http://schemas.openxmlformats.org/officeDocument/2006/relationships/hyperlink" Target="https://www.linkedin.com/jobs/view/4427498884" TargetMode="External" Id="rId454" /><Relationship Type="http://schemas.openxmlformats.org/officeDocument/2006/relationships/hyperlink" Target="https://uk.indeed.com/viewjob" TargetMode="External" Id="rId455" /><Relationship Type="http://schemas.openxmlformats.org/officeDocument/2006/relationships/hyperlink" Target="https://www.linkedin.com/jobs/view/4421928358" TargetMode="External" Id="rId456" /><Relationship Type="http://schemas.openxmlformats.org/officeDocument/2006/relationships/hyperlink" Target="https://www.linkedin.com/jobs/view/4402473779" TargetMode="External" Id="rId457" /><Relationship Type="http://schemas.openxmlformats.org/officeDocument/2006/relationships/hyperlink" Target="https://www.linkedin.com/jobs/view/4425802905" TargetMode="External" Id="rId458" /><Relationship Type="http://schemas.openxmlformats.org/officeDocument/2006/relationships/hyperlink" Target="https://www.linkedin.com/jobs/view/4430073676" TargetMode="External" Id="rId459" /><Relationship Type="http://schemas.openxmlformats.org/officeDocument/2006/relationships/hyperlink" Target="https://uk.indeed.com/viewjob" TargetMode="External" Id="rId460" /><Relationship Type="http://schemas.openxmlformats.org/officeDocument/2006/relationships/hyperlink" Target="https://uk.indeed.com/viewjob" TargetMode="External" Id="rId461" /><Relationship Type="http://schemas.openxmlformats.org/officeDocument/2006/relationships/hyperlink" Target="https://www.linkedin.com/jobs/view/4430490371" TargetMode="External" Id="rId462" /><Relationship Type="http://schemas.openxmlformats.org/officeDocument/2006/relationships/hyperlink" Target="https://www.linkedin.com/jobs/view/4415697388" TargetMode="External" Id="rId463" /><Relationship Type="http://schemas.openxmlformats.org/officeDocument/2006/relationships/hyperlink" Target="https://www.linkedin.com/jobs/view/4337647906" TargetMode="External" Id="rId464" /><Relationship Type="http://schemas.openxmlformats.org/officeDocument/2006/relationships/hyperlink" Target="https://www.linkedin.com/jobs/view/4423557840" TargetMode="External" Id="rId465" /><Relationship Type="http://schemas.openxmlformats.org/officeDocument/2006/relationships/hyperlink" Target="https://www.linkedin.com/jobs/view/4431197739" TargetMode="External" Id="rId466" /><Relationship Type="http://schemas.openxmlformats.org/officeDocument/2006/relationships/hyperlink" Target="https://www.linkedin.com/jobs/view/4428601190" TargetMode="External" Id="rId467" /><Relationship Type="http://schemas.openxmlformats.org/officeDocument/2006/relationships/hyperlink" Target="https://www.linkedin.com/jobs/view/4425484078" TargetMode="External" Id="rId468" /><Relationship Type="http://schemas.openxmlformats.org/officeDocument/2006/relationships/hyperlink" Target="https://uk.indeed.com/viewjob" TargetMode="External" Id="rId469" /><Relationship Type="http://schemas.openxmlformats.org/officeDocument/2006/relationships/hyperlink" Target="https://www.linkedin.com/jobs/view/4427974765" TargetMode="External" Id="rId470" /><Relationship Type="http://schemas.openxmlformats.org/officeDocument/2006/relationships/hyperlink" Target="https://www.linkedin.com/jobs/view/4374112834" TargetMode="External" Id="rId471" /><Relationship Type="http://schemas.openxmlformats.org/officeDocument/2006/relationships/hyperlink" Target="https://www.linkedin.com/jobs/view/4374110902" TargetMode="External" Id="rId472" /><Relationship Type="http://schemas.openxmlformats.org/officeDocument/2006/relationships/hyperlink" Target="https://www.linkedin.com/jobs/view/4314643049" TargetMode="External" Id="rId473" /><Relationship Type="http://schemas.openxmlformats.org/officeDocument/2006/relationships/hyperlink" Target="https://www.linkedin.com/jobs/view/4374126011" TargetMode="External" Id="rId474" /><Relationship Type="http://schemas.openxmlformats.org/officeDocument/2006/relationships/hyperlink" Target="https://www.linkedin.com/jobs/view/4374108909" TargetMode="External" Id="rId475" /><Relationship Type="http://schemas.openxmlformats.org/officeDocument/2006/relationships/hyperlink" Target="https://www.linkedin.com/jobs/view/4424335907" TargetMode="External" Id="rId476" /><Relationship Type="http://schemas.openxmlformats.org/officeDocument/2006/relationships/hyperlink" Target="https://www.linkedin.com/jobs/view/4430904691" TargetMode="External" Id="rId477" /><Relationship Type="http://schemas.openxmlformats.org/officeDocument/2006/relationships/hyperlink" Target="https://www.linkedin.com/jobs/view/4406822320" TargetMode="External" Id="rId478" /><Relationship Type="http://schemas.openxmlformats.org/officeDocument/2006/relationships/hyperlink" Target="https://www.linkedin.com/jobs/view/4402713874" TargetMode="External" Id="rId479" /><Relationship Type="http://schemas.openxmlformats.org/officeDocument/2006/relationships/hyperlink" Target="https://www.linkedin.com/jobs/view/4374122092" TargetMode="External" Id="rId480" /><Relationship Type="http://schemas.openxmlformats.org/officeDocument/2006/relationships/hyperlink" Target="https://www.linkedin.com/jobs/view/4423981389" TargetMode="External" Id="rId481" /><Relationship Type="http://schemas.openxmlformats.org/officeDocument/2006/relationships/hyperlink" Target="https://www.linkedin.com/jobs/view/4415271707" TargetMode="External" Id="rId482" /><Relationship Type="http://schemas.openxmlformats.org/officeDocument/2006/relationships/hyperlink" Target="https://www.linkedin.com/jobs/view/4427258805" TargetMode="External" Id="rId483" /><Relationship Type="http://schemas.openxmlformats.org/officeDocument/2006/relationships/hyperlink" Target="https://www.linkedin.com/jobs/view/4427266362" TargetMode="External" Id="rId484" /><Relationship Type="http://schemas.openxmlformats.org/officeDocument/2006/relationships/hyperlink" Target="https://www.linkedin.com/jobs/view/4427258804" TargetMode="External" Id="rId485" /><Relationship Type="http://schemas.openxmlformats.org/officeDocument/2006/relationships/hyperlink" Target="https://www.linkedin.com/jobs/view/4427274287" TargetMode="External" Id="rId486" /><Relationship Type="http://schemas.openxmlformats.org/officeDocument/2006/relationships/hyperlink" Target="https://www.linkedin.com/jobs/view/4427276278" TargetMode="External" Id="rId487" /><Relationship Type="http://schemas.openxmlformats.org/officeDocument/2006/relationships/hyperlink" Target="https://www.linkedin.com/jobs/view/4427267353" TargetMode="External" Id="rId488" /><Relationship Type="http://schemas.openxmlformats.org/officeDocument/2006/relationships/hyperlink" Target="https://www.linkedin.com/jobs/view/4427268352" TargetMode="External" Id="rId489" /><Relationship Type="http://schemas.openxmlformats.org/officeDocument/2006/relationships/hyperlink" Target="https://www.linkedin.com/jobs/view/4427279219" TargetMode="External" Id="rId490" /><Relationship Type="http://schemas.openxmlformats.org/officeDocument/2006/relationships/hyperlink" Target="https://www.linkedin.com/jobs/view/4427264388" TargetMode="External" Id="rId491" /><Relationship Type="http://schemas.openxmlformats.org/officeDocument/2006/relationships/hyperlink" Target="https://uk.indeed.com/viewjob" TargetMode="External" Id="rId492" /><Relationship Type="http://schemas.openxmlformats.org/officeDocument/2006/relationships/hyperlink" Target="https://www.linkedin.com/jobs/view/4427790642" TargetMode="External" Id="rId493" /><Relationship Type="http://schemas.openxmlformats.org/officeDocument/2006/relationships/hyperlink" Target="https://uk.indeed.com/viewjob" TargetMode="External" Id="rId494" /><Relationship Type="http://schemas.openxmlformats.org/officeDocument/2006/relationships/hyperlink" Target="https://www.linkedin.com/jobs/view/4427456132" TargetMode="External" Id="rId495" /><Relationship Type="http://schemas.openxmlformats.org/officeDocument/2006/relationships/hyperlink" Target="https://www.linkedin.com/jobs/view/4427449263" TargetMode="External" Id="rId496" /><Relationship Type="http://schemas.openxmlformats.org/officeDocument/2006/relationships/hyperlink" Target="https://www.linkedin.com/jobs/view/4427277248" TargetMode="External" Id="rId497" /><Relationship Type="http://schemas.openxmlformats.org/officeDocument/2006/relationships/hyperlink" Target="https://www.linkedin.com/jobs/view/4418776341" TargetMode="External" Id="rId498" /><Relationship Type="http://schemas.openxmlformats.org/officeDocument/2006/relationships/hyperlink" Target="https://uk.indeed.com/viewjob" TargetMode="External" Id="rId499" /><Relationship Type="http://schemas.openxmlformats.org/officeDocument/2006/relationships/hyperlink" Target="https://uk.indeed.com/viewjob" TargetMode="External" Id="rId500" /><Relationship Type="http://schemas.openxmlformats.org/officeDocument/2006/relationships/hyperlink" Target="https://www.linkedin.com/jobs/view/4371573316" TargetMode="External" Id="rId501" /><Relationship Type="http://schemas.openxmlformats.org/officeDocument/2006/relationships/hyperlink" Target="https://www.linkedin.com/jobs/view/4424702280" TargetMode="External" Id="rId502" /><Relationship Type="http://schemas.openxmlformats.org/officeDocument/2006/relationships/hyperlink" Target="https://uk.indeed.com/viewjob" TargetMode="External" Id="rId503" /><Relationship Type="http://schemas.openxmlformats.org/officeDocument/2006/relationships/hyperlink" Target="https://www.linkedin.com/jobs/view/4396652953" TargetMode="External" Id="rId504" /><Relationship Type="http://schemas.openxmlformats.org/officeDocument/2006/relationships/hyperlink" Target="https://www.linkedin.com/jobs/view/4428425111" TargetMode="External" Id="rId505" /><Relationship Type="http://schemas.openxmlformats.org/officeDocument/2006/relationships/hyperlink" Target="https://www.linkedin.com/jobs/view/4427450289" TargetMode="External" Id="rId506" /><Relationship Type="http://schemas.openxmlformats.org/officeDocument/2006/relationships/hyperlink" Target="https://www.linkedin.com/jobs/view/4427266360" TargetMode="External" Id="rId507" /><Relationship Type="http://schemas.openxmlformats.org/officeDocument/2006/relationships/hyperlink" Target="https://www.linkedin.com/jobs/view/4427282178" TargetMode="External" Id="rId508" /><Relationship Type="http://schemas.openxmlformats.org/officeDocument/2006/relationships/hyperlink" Target="https://www.linkedin.com/jobs/view/4426248160" TargetMode="External" Id="rId509" /><Relationship Type="http://schemas.openxmlformats.org/officeDocument/2006/relationships/hyperlink" Target="https://www.linkedin.com/jobs/view/4429313389" TargetMode="External" Id="rId510" /><Relationship Type="http://schemas.openxmlformats.org/officeDocument/2006/relationships/hyperlink" Target="https://www.linkedin.com/jobs/view/4429092783" TargetMode="External" Id="rId511" /><Relationship Type="http://schemas.openxmlformats.org/officeDocument/2006/relationships/hyperlink" Target="https://www.linkedin.com/jobs/view/4429308155" TargetMode="External" Id="rId512" /><Relationship Type="http://schemas.openxmlformats.org/officeDocument/2006/relationships/hyperlink" Target="https://www.linkedin.com/jobs/view/4428435035" TargetMode="External" Id="rId513" /><Relationship Type="http://schemas.openxmlformats.org/officeDocument/2006/relationships/hyperlink" Target="https://www.linkedin.com/jobs/view/4424895142" TargetMode="External" Id="rId514" /><Relationship Type="http://schemas.openxmlformats.org/officeDocument/2006/relationships/hyperlink" Target="https://www.linkedin.com/jobs/view/4427538763" TargetMode="External" Id="rId515" /><Relationship Type="http://schemas.openxmlformats.org/officeDocument/2006/relationships/hyperlink" Target="https://www.linkedin.com/jobs/view/4429302516" TargetMode="External" Id="rId516" /><Relationship Type="http://schemas.openxmlformats.org/officeDocument/2006/relationships/hyperlink" Target="https://www.linkedin.com/jobs/view/4429096286" TargetMode="External" Id="rId517" /><Relationship Type="http://schemas.openxmlformats.org/officeDocument/2006/relationships/hyperlink" Target="https://www.linkedin.com/jobs/view/4429099292" TargetMode="External" Id="rId518" /><Relationship Type="http://schemas.openxmlformats.org/officeDocument/2006/relationships/hyperlink" Target="https://www.linkedin.com/jobs/view/4427458104" TargetMode="External" Id="rId519" /><Relationship Type="http://schemas.openxmlformats.org/officeDocument/2006/relationships/hyperlink" Target="https://www.linkedin.com/jobs/view/4429312477" TargetMode="External" Id="rId520" /><Relationship Type="http://schemas.openxmlformats.org/officeDocument/2006/relationships/hyperlink" Target="https://www.linkedin.com/jobs/view/4429309148" TargetMode="External" Id="rId521" /><Relationship Type="http://schemas.openxmlformats.org/officeDocument/2006/relationships/hyperlink" Target="https://www.linkedin.com/jobs/view/4429095658" TargetMode="External" Id="rId522" /><Relationship Type="http://schemas.openxmlformats.org/officeDocument/2006/relationships/hyperlink" Target="https://www.linkedin.com/jobs/view/4429311465" TargetMode="External" Id="rId523" /><Relationship Type="http://schemas.openxmlformats.org/officeDocument/2006/relationships/hyperlink" Target="https://www.linkedin.com/jobs/view/4418831595" TargetMode="External" Id="rId524" /><Relationship Type="http://schemas.openxmlformats.org/officeDocument/2006/relationships/hyperlink" Target="https://www.linkedin.com/jobs/view/4424853322" TargetMode="External" Id="rId525" /><Relationship Type="http://schemas.openxmlformats.org/officeDocument/2006/relationships/hyperlink" Target="https://www.linkedin.com/jobs/view/4426197674" TargetMode="External" Id="rId526" /><Relationship Type="http://schemas.openxmlformats.org/officeDocument/2006/relationships/hyperlink" Target="https://uk.indeed.com/viewjob" TargetMode="External" Id="rId527" /><Relationship Type="http://schemas.openxmlformats.org/officeDocument/2006/relationships/hyperlink" Target="https://www.linkedin.com/jobs/view/4423131116" TargetMode="External" Id="rId528" /><Relationship Type="http://schemas.openxmlformats.org/officeDocument/2006/relationships/hyperlink" Target="https://www.linkedin.com/jobs/view/4429311112" TargetMode="External" Id="rId529" /><Relationship Type="http://schemas.openxmlformats.org/officeDocument/2006/relationships/hyperlink" Target="https://www.linkedin.com/jobs/view/4424637450" TargetMode="External" Id="rId530" /><Relationship Type="http://schemas.openxmlformats.org/officeDocument/2006/relationships/hyperlink" Target="https://www.linkedin.com/jobs/view/4426483426" TargetMode="External" Id="rId531" /><Relationship Type="http://schemas.openxmlformats.org/officeDocument/2006/relationships/hyperlink" Target="https://www.linkedin.com/jobs/view/4428423133" TargetMode="External" Id="rId532" /><Relationship Type="http://schemas.openxmlformats.org/officeDocument/2006/relationships/hyperlink" Target="https://www.linkedin.com/jobs/view/4429100222" TargetMode="External" Id="rId533" /><Relationship Type="http://schemas.openxmlformats.org/officeDocument/2006/relationships/hyperlink" Target="https://www.linkedin.com/jobs/view/4426400716" TargetMode="External" Id="rId534" /><Relationship Type="http://schemas.openxmlformats.org/officeDocument/2006/relationships/hyperlink" Target="https://www.linkedin.com/jobs/view/4421961663" TargetMode="External" Id="rId535" /><Relationship Type="http://schemas.openxmlformats.org/officeDocument/2006/relationships/hyperlink" Target="https://www.linkedin.com/jobs/view/4425182855" TargetMode="External" Id="rId536" /><Relationship Type="http://schemas.openxmlformats.org/officeDocument/2006/relationships/hyperlink" Target="https://www.linkedin.com/jobs/view/4366728527" TargetMode="External" Id="rId537" /><Relationship Type="http://schemas.openxmlformats.org/officeDocument/2006/relationships/hyperlink" Target="https://www.linkedin.com/jobs/view/4422694777" TargetMode="External" Id="rId538" /><Relationship Type="http://schemas.openxmlformats.org/officeDocument/2006/relationships/hyperlink" Target="https://www.linkedin.com/jobs/view/4423664508" TargetMode="External" Id="rId539" /><Relationship Type="http://schemas.openxmlformats.org/officeDocument/2006/relationships/hyperlink" Target="https://www.linkedin.com/jobs/view/4428519512" TargetMode="External" Id="rId540" /><Relationship Type="http://schemas.openxmlformats.org/officeDocument/2006/relationships/hyperlink" Target="https://www.linkedin.com/jobs/view/4431689432" TargetMode="External" Id="rId541" /><Relationship Type="http://schemas.openxmlformats.org/officeDocument/2006/relationships/hyperlink" Target="https://www.linkedin.com/jobs/view/4431659288" TargetMode="External" Id="rId542" /><Relationship Type="http://schemas.openxmlformats.org/officeDocument/2006/relationships/hyperlink" Target="https://www.linkedin.com/jobs/view/4431745077" TargetMode="External" Id="rId543" /><Relationship Type="http://schemas.openxmlformats.org/officeDocument/2006/relationships/hyperlink" Target="https://www.linkedin.com/jobs/view/4431656658" TargetMode="External" Id="rId544" /><Relationship Type="http://schemas.openxmlformats.org/officeDocument/2006/relationships/hyperlink" Target="https://www.linkedin.com/jobs/view/4431313770" TargetMode="External" Id="rId545" /><Relationship Type="http://schemas.openxmlformats.org/officeDocument/2006/relationships/hyperlink" Target="https://www.linkedin.com/jobs/view/4414658257" TargetMode="External" Id="rId546" /><Relationship Type="http://schemas.openxmlformats.org/officeDocument/2006/relationships/hyperlink" Target="https://www.linkedin.com/jobs/view/4413995066" TargetMode="External" Id="rId547" /><Relationship Type="http://schemas.openxmlformats.org/officeDocument/2006/relationships/hyperlink" Target="https://www.linkedin.com/jobs/view/4420293893" TargetMode="External" Id="rId548" /><Relationship Type="http://schemas.openxmlformats.org/officeDocument/2006/relationships/hyperlink" Target="https://uk.indeed.com/viewjob" TargetMode="External" Id="rId549" /><Relationship Type="http://schemas.openxmlformats.org/officeDocument/2006/relationships/hyperlink" Target="https://www.linkedin.com/jobs/view/4423347550" TargetMode="External" Id="rId550" /><Relationship Type="http://schemas.openxmlformats.org/officeDocument/2006/relationships/hyperlink" Target="https://www.linkedin.com/jobs/view/4431332583" TargetMode="External" Id="rId551" /><Relationship Type="http://schemas.openxmlformats.org/officeDocument/2006/relationships/hyperlink" Target="https://uk.indeed.com/viewjob" TargetMode="External" Id="rId552" /><Relationship Type="http://schemas.openxmlformats.org/officeDocument/2006/relationships/hyperlink" Target="https://www.linkedin.com/jobs/view/4430012754" TargetMode="External" Id="rId553" /><Relationship Type="http://schemas.openxmlformats.org/officeDocument/2006/relationships/hyperlink" Target="https://www.linkedin.com/jobs/view/4428843328" TargetMode="External" Id="rId554" /><Relationship Type="http://schemas.openxmlformats.org/officeDocument/2006/relationships/hyperlink" Target="https://www.linkedin.com/jobs/view/4430952006" TargetMode="External" Id="rId555" /><Relationship Type="http://schemas.openxmlformats.org/officeDocument/2006/relationships/hyperlink" Target="https://uk.indeed.com/viewjob" TargetMode="External" Id="rId556" /><Relationship Type="http://schemas.openxmlformats.org/officeDocument/2006/relationships/hyperlink" Target="https://www.linkedin.com/jobs/view/4346173838" TargetMode="External" Id="rId557" /><Relationship Type="http://schemas.openxmlformats.org/officeDocument/2006/relationships/hyperlink" Target="https://www.linkedin.com/jobs/view/4430931921" TargetMode="External" Id="rId558" /><Relationship Type="http://schemas.openxmlformats.org/officeDocument/2006/relationships/hyperlink" Target="https://www.linkedin.com/jobs/view/4361206836" TargetMode="External" Id="rId559" /><Relationship Type="http://schemas.openxmlformats.org/officeDocument/2006/relationships/hyperlink" Target="https://www.linkedin.com/jobs/view/4346178265" TargetMode="External" Id="rId560" /><Relationship Type="http://schemas.openxmlformats.org/officeDocument/2006/relationships/hyperlink" Target="https://www.linkedin.com/jobs/view/4422950602" TargetMode="External" Id="rId561" /><Relationship Type="http://schemas.openxmlformats.org/officeDocument/2006/relationships/hyperlink" Target="https://www.linkedin.com/jobs/view/4419620327" TargetMode="External" Id="rId562" /><Relationship Type="http://schemas.openxmlformats.org/officeDocument/2006/relationships/hyperlink" Target="https://www.linkedin.com/jobs/view/4412967334" TargetMode="External" Id="rId563" /><Relationship Type="http://schemas.openxmlformats.org/officeDocument/2006/relationships/hyperlink" Target="https://www.linkedin.com/jobs/view/4429633861" TargetMode="External" Id="rId564" /><Relationship Type="http://schemas.openxmlformats.org/officeDocument/2006/relationships/hyperlink" Target="https://www.linkedin.com/jobs/view/4384043009" TargetMode="External" Id="rId565" /><Relationship Type="http://schemas.openxmlformats.org/officeDocument/2006/relationships/hyperlink" Target="https://www.linkedin.com/jobs/view/4415032013" TargetMode="External" Id="rId566" /><Relationship Type="http://schemas.openxmlformats.org/officeDocument/2006/relationships/hyperlink" Target="https://www.linkedin.com/jobs/view/4431244443" TargetMode="External" Id="rId567" /><Relationship Type="http://schemas.openxmlformats.org/officeDocument/2006/relationships/hyperlink" Target="https://www.linkedin.com/jobs/view/4431249373" TargetMode="External" Id="rId568" /><Relationship Type="http://schemas.openxmlformats.org/officeDocument/2006/relationships/hyperlink" Target="https://www.linkedin.com/jobs/view/4431229546" TargetMode="External" Id="rId569" /><Relationship Type="http://schemas.openxmlformats.org/officeDocument/2006/relationships/hyperlink" Target="https://www.linkedin.com/jobs/view/4431235481" TargetMode="External" Id="rId570" /><Relationship Type="http://schemas.openxmlformats.org/officeDocument/2006/relationships/hyperlink" Target="https://www.linkedin.com/jobs/view/4430359396" TargetMode="External" Id="rId571" /><Relationship Type="http://schemas.openxmlformats.org/officeDocument/2006/relationships/hyperlink" Target="https://www.linkedin.com/jobs/view/4430354433" TargetMode="External" Id="rId572" /><Relationship Type="http://schemas.openxmlformats.org/officeDocument/2006/relationships/hyperlink" Target="https://www.linkedin.com/jobs/view/4432122678" TargetMode="External" Id="rId573" /><Relationship Type="http://schemas.openxmlformats.org/officeDocument/2006/relationships/hyperlink" Target="https://www.linkedin.com/jobs/view/4432117802" TargetMode="External" Id="rId574" /><Relationship Type="http://schemas.openxmlformats.org/officeDocument/2006/relationships/hyperlink" Target="https://www.linkedin.com/jobs/view/4432630799" TargetMode="External" Id="rId575" /><Relationship Type="http://schemas.openxmlformats.org/officeDocument/2006/relationships/hyperlink" Target="https://www.linkedin.com/jobs/view/4431242466" TargetMode="External" Id="rId576" /><Relationship Type="http://schemas.openxmlformats.org/officeDocument/2006/relationships/hyperlink" Target="https://www.linkedin.com/jobs/view/4427283744" TargetMode="External" Id="rId577" /><Relationship Type="http://schemas.openxmlformats.org/officeDocument/2006/relationships/hyperlink" Target="https://www.linkedin.com/jobs/view/4431233524" TargetMode="External" Id="rId578" /><Relationship Type="http://schemas.openxmlformats.org/officeDocument/2006/relationships/hyperlink" Target="https://www.linkedin.com/jobs/view/4431242458" TargetMode="External" Id="rId579" /><Relationship Type="http://schemas.openxmlformats.org/officeDocument/2006/relationships/hyperlink" Target="https://www.linkedin.com/jobs/view/4430366378" TargetMode="External" Id="rId580" /><Relationship Type="http://schemas.openxmlformats.org/officeDocument/2006/relationships/hyperlink" Target="https://www.linkedin.com/jobs/view/4430372367" TargetMode="External" Id="rId581" /><Relationship Type="http://schemas.openxmlformats.org/officeDocument/2006/relationships/hyperlink" Target="https://www.linkedin.com/jobs/view/4430360372" TargetMode="External" Id="rId582" /><Relationship Type="http://schemas.openxmlformats.org/officeDocument/2006/relationships/hyperlink" Target="https://www.linkedin.com/jobs/view/4430561195" TargetMode="External" Id="rId583" /><Relationship Type="http://schemas.openxmlformats.org/officeDocument/2006/relationships/hyperlink" Target="https://www.linkedin.com/jobs/view/4423149262" TargetMode="External" Id="rId584" /><Relationship Type="http://schemas.openxmlformats.org/officeDocument/2006/relationships/hyperlink" Target="https://www.linkedin.com/jobs/view/4362625157" TargetMode="External" Id="rId585" /><Relationship Type="http://schemas.openxmlformats.org/officeDocument/2006/relationships/hyperlink" Target="https://www.linkedin.com/jobs/view/4334169298" TargetMode="External" Id="rId586" /><Relationship Type="http://schemas.openxmlformats.org/officeDocument/2006/relationships/hyperlink" Target="https://www.linkedin.com/jobs/view/4431206101" TargetMode="External" Id="rId587" /><Relationship Type="http://schemas.openxmlformats.org/officeDocument/2006/relationships/hyperlink" Target="https://www.linkedin.com/jobs/view/4430367385" TargetMode="External" Id="rId588" /><Relationship Type="http://schemas.openxmlformats.org/officeDocument/2006/relationships/hyperlink" Target="https://www.linkedin.com/jobs/view/4430034890" TargetMode="External" Id="rId589" /><Relationship Type="http://schemas.openxmlformats.org/officeDocument/2006/relationships/hyperlink" Target="https://www.linkedin.com/jobs/view/4431238507" TargetMode="External" Id="rId590" /><Relationship Type="http://schemas.openxmlformats.org/officeDocument/2006/relationships/hyperlink" Target="https://www.linkedin.com/jobs/view/4431235489" TargetMode="External" Id="rId591" /><Relationship Type="http://schemas.openxmlformats.org/officeDocument/2006/relationships/hyperlink" Target="https://www.linkedin.com/jobs/view/4414675838" TargetMode="External" Id="rId592" /><Relationship Type="http://schemas.openxmlformats.org/officeDocument/2006/relationships/hyperlink" Target="https://www.linkedin.com/jobs/view/4383713222" TargetMode="External" Id="rId593" /><Relationship Type="http://schemas.openxmlformats.org/officeDocument/2006/relationships/hyperlink" Target="https://www.linkedin.com/jobs/view/4429563057" TargetMode="External" Id="rId594" /><Relationship Type="http://schemas.openxmlformats.org/officeDocument/2006/relationships/hyperlink" Target="https://www.linkedin.com/jobs/view/4427961457" TargetMode="External" Id="rId595" /><Relationship Type="http://schemas.openxmlformats.org/officeDocument/2006/relationships/hyperlink" Target="https://www.linkedin.com/jobs/view/4430972733" TargetMode="External" Id="rId596" /><Relationship Type="http://schemas.openxmlformats.org/officeDocument/2006/relationships/hyperlink" Target="https://www.linkedin.com/jobs/view/4423920668" TargetMode="External" Id="rId597" /><Relationship Type="http://schemas.openxmlformats.org/officeDocument/2006/relationships/hyperlink" Target="https://www.linkedin.com/jobs/view/4430047137" TargetMode="External" Id="rId598" /><Relationship Type="http://schemas.openxmlformats.org/officeDocument/2006/relationships/hyperlink" Target="https://www.linkedin.com/jobs/view/4430372368" TargetMode="External" Id="rId599" /><Relationship Type="http://schemas.openxmlformats.org/officeDocument/2006/relationships/hyperlink" Target="https://www.linkedin.com/jobs/view/4430028929" TargetMode="External" Id="rId600" /><Relationship Type="http://schemas.openxmlformats.org/officeDocument/2006/relationships/hyperlink" Target="https://www.linkedin.com/jobs/view/4430037855" TargetMode="External" Id="rId601" /><Relationship Type="http://schemas.openxmlformats.org/officeDocument/2006/relationships/hyperlink" Target="https://www.linkedin.com/jobs/view/4430031931" TargetMode="External" Id="rId602" /><Relationship Type="http://schemas.openxmlformats.org/officeDocument/2006/relationships/hyperlink" Target="https://www.linkedin.com/jobs/view/4430036922" TargetMode="External" Id="rId603" /><Relationship Type="http://schemas.openxmlformats.org/officeDocument/2006/relationships/hyperlink" Target="https://www.linkedin.com/jobs/view/4430029953" TargetMode="External" Id="rId604" /><Relationship Type="http://schemas.openxmlformats.org/officeDocument/2006/relationships/hyperlink" Target="https://uk.indeed.com/viewjob" TargetMode="External" Id="rId605" /><Relationship Type="http://schemas.openxmlformats.org/officeDocument/2006/relationships/hyperlink" Target="https://www.linkedin.com/jobs/view/4424549759" TargetMode="External" Id="rId606" /><Relationship Type="http://schemas.openxmlformats.org/officeDocument/2006/relationships/hyperlink" Target="https://www.linkedin.com/jobs/view/4424494279" TargetMode="External" Id="rId607" /><Relationship Type="http://schemas.openxmlformats.org/officeDocument/2006/relationships/hyperlink" Target="https://www.linkedin.com/jobs/view/4424439435" TargetMode="External" Id="rId608" /><Relationship Type="http://schemas.openxmlformats.org/officeDocument/2006/relationships/hyperlink" Target="https://www.linkedin.com/jobs/view/4430036925" TargetMode="External" Id="rId609" /><Relationship Type="http://schemas.openxmlformats.org/officeDocument/2006/relationships/hyperlink" Target="https://www.linkedin.com/jobs/view/4424759747" TargetMode="External" Id="rId610" /><Relationship Type="http://schemas.openxmlformats.org/officeDocument/2006/relationships/hyperlink" Target="https://www.linkedin.com/jobs/view/4343355500" TargetMode="External" Id="rId611" /><Relationship Type="http://schemas.openxmlformats.org/officeDocument/2006/relationships/hyperlink" Target="https://www.linkedin.com/jobs/view/4187442788" TargetMode="External" Id="rId612" /><Relationship Type="http://schemas.openxmlformats.org/officeDocument/2006/relationships/hyperlink" Target="https://www.linkedin.com/jobs/view/4352311143" TargetMode="External" Id="rId613" /><Relationship Type="http://schemas.openxmlformats.org/officeDocument/2006/relationships/hyperlink" Target="https://www.linkedin.com/jobs/view/4352370999" TargetMode="External" Id="rId614" /><Relationship Type="http://schemas.openxmlformats.org/officeDocument/2006/relationships/hyperlink" Target="https://www.linkedin.com/jobs/view/4352370996" TargetMode="External" Id="rId615" /><Relationship Type="http://schemas.openxmlformats.org/officeDocument/2006/relationships/hyperlink" Target="https://www.linkedin.com/jobs/view/4352271885" TargetMode="External" Id="rId616" /><Relationship Type="http://schemas.openxmlformats.org/officeDocument/2006/relationships/hyperlink" Target="https://www.linkedin.com/jobs/view/4352390897" TargetMode="External" Id="rId617" /><Relationship Type="http://schemas.openxmlformats.org/officeDocument/2006/relationships/hyperlink" Target="https://www.linkedin.com/jobs/view/4352218352" TargetMode="External" Id="rId618" /><Relationship Type="http://schemas.openxmlformats.org/officeDocument/2006/relationships/hyperlink" Target="https://www.linkedin.com/jobs/view/4429640050" TargetMode="External" Id="rId619" /><Relationship Type="http://schemas.openxmlformats.org/officeDocument/2006/relationships/hyperlink" Target="https://www.linkedin.com/jobs/view/4318540350" TargetMode="External" Id="rId620" /><Relationship Type="http://schemas.openxmlformats.org/officeDocument/2006/relationships/hyperlink" Target="https://uk.indeed.com/viewjob" TargetMode="External" Id="rId621" /><Relationship Type="http://schemas.openxmlformats.org/officeDocument/2006/relationships/hyperlink" Target="https://www.linkedin.com/jobs/view/4424166719" TargetMode="External" Id="rId622" /><Relationship Type="http://schemas.openxmlformats.org/officeDocument/2006/relationships/hyperlink" Target="https://uk.indeed.com/viewjob" TargetMode="External" Id="rId623" /><Relationship Type="http://schemas.openxmlformats.org/officeDocument/2006/relationships/hyperlink" Target="https://uk.indeed.com/viewjob" TargetMode="External" Id="rId624" /><Relationship Type="http://schemas.openxmlformats.org/officeDocument/2006/relationships/hyperlink" Target="https://www.linkedin.com/jobs/view/4428411998" TargetMode="External" Id="rId625" /><Relationship Type="http://schemas.openxmlformats.org/officeDocument/2006/relationships/hyperlink" Target="https://www.linkedin.com/jobs/view/4428429082" TargetMode="External" Id="rId626" /><Relationship Type="http://schemas.openxmlformats.org/officeDocument/2006/relationships/hyperlink" Target="https://www.linkedin.com/jobs/view/4428420166" TargetMode="External" Id="rId627" /><Relationship Type="http://schemas.openxmlformats.org/officeDocument/2006/relationships/hyperlink" Target="https://www.linkedin.com/jobs/view/4428411997" TargetMode="External" Id="rId628" /><Relationship Type="http://schemas.openxmlformats.org/officeDocument/2006/relationships/hyperlink" Target="https://www.linkedin.com/jobs/view/4427449261" TargetMode="External" Id="rId629" /><Relationship Type="http://schemas.openxmlformats.org/officeDocument/2006/relationships/hyperlink" Target="https://www.linkedin.com/jobs/view/4427436715" TargetMode="External" Id="rId630" /><Relationship Type="http://schemas.openxmlformats.org/officeDocument/2006/relationships/hyperlink" Target="https://www.linkedin.com/jobs/view/4427453201" TargetMode="External" Id="rId631" /><Relationship Type="http://schemas.openxmlformats.org/officeDocument/2006/relationships/hyperlink" Target="https://www.linkedin.com/jobs/view/4427436714" TargetMode="External" Id="rId632" /><Relationship Type="http://schemas.openxmlformats.org/officeDocument/2006/relationships/hyperlink" Target="https://www.linkedin.com/jobs/view/4430497232" TargetMode="External" Id="rId633" /><Relationship Type="http://schemas.openxmlformats.org/officeDocument/2006/relationships/hyperlink" Target="https://www.linkedin.com/jobs/view/4187439973" TargetMode="External" Id="rId634" /><Relationship Type="http://schemas.openxmlformats.org/officeDocument/2006/relationships/hyperlink" Target="https://www.linkedin.com/jobs/view/4402292559" TargetMode="External" Id="rId635" /><Relationship Type="http://schemas.openxmlformats.org/officeDocument/2006/relationships/hyperlink" Target="https://www.linkedin.com/jobs/view/4429358051" TargetMode="External" Id="rId636" /><Relationship Type="http://schemas.openxmlformats.org/officeDocument/2006/relationships/hyperlink" Target="https://www.linkedin.com/jobs/view/4429305593" TargetMode="External" Id="rId637" /><Relationship Type="http://schemas.openxmlformats.org/officeDocument/2006/relationships/hyperlink" Target="https://www.linkedin.com/jobs/view/4426179349" TargetMode="External" Id="rId638" /><Relationship Type="http://schemas.openxmlformats.org/officeDocument/2006/relationships/hyperlink" Target="https://www.linkedin.com/jobs/view/4420293878" TargetMode="External" Id="rId639" /><Relationship Type="http://schemas.openxmlformats.org/officeDocument/2006/relationships/hyperlink" Target="https://www.linkedin.com/jobs/view/4428289219" TargetMode="External" Id="rId640" /><Relationship Type="http://schemas.openxmlformats.org/officeDocument/2006/relationships/hyperlink" Target="https://www.linkedin.com/jobs/view/4430918816" TargetMode="External" Id="rId641" /><Relationship Type="http://schemas.openxmlformats.org/officeDocument/2006/relationships/hyperlink" Target="https://job-boards.greenhouse.io/monzo/jobs/7916598" TargetMode="External" Id="rId642" /><Relationship Type="http://schemas.openxmlformats.org/officeDocument/2006/relationships/hyperlink" Target="https://www.linkedin.com/jobs/view/4379662791" TargetMode="External" Id="rId643" /><Relationship Type="http://schemas.openxmlformats.org/officeDocument/2006/relationships/hyperlink" Target="https://www.linkedin.com/jobs/view/4422290001" TargetMode="External" Id="rId644" /><Relationship Type="http://schemas.openxmlformats.org/officeDocument/2006/relationships/hyperlink" Target="https://uk.indeed.com/viewjob" TargetMode="External" Id="rId645" /><Relationship Type="http://schemas.openxmlformats.org/officeDocument/2006/relationships/hyperlink" Target="https://www.linkedin.com/jobs/view/4424944587" TargetMode="External" Id="rId646" /><Relationship Type="http://schemas.openxmlformats.org/officeDocument/2006/relationships/hyperlink" Target="https://www.linkedin.com/jobs/view/4427043090" TargetMode="External" Id="rId647" /><Relationship Type="http://schemas.openxmlformats.org/officeDocument/2006/relationships/hyperlink" Target="https://www.linkedin.com/jobs/view/4429559438" TargetMode="External" Id="rId648" /><Relationship Type="http://schemas.openxmlformats.org/officeDocument/2006/relationships/hyperlink" Target="https://www.linkedin.com/jobs/view/4426265438" TargetMode="External" Id="rId649" /><Relationship Type="http://schemas.openxmlformats.org/officeDocument/2006/relationships/hyperlink" Target="https://www.linkedin.com/jobs/view/4415296707" TargetMode="External" Id="rId650" /><Relationship Type="http://schemas.openxmlformats.org/officeDocument/2006/relationships/hyperlink" Target="https://www.linkedin.com/jobs/view/4426959659" TargetMode="External" Id="rId651" /><Relationship Type="http://schemas.openxmlformats.org/officeDocument/2006/relationships/hyperlink" Target="https://www.linkedin.com/jobs/view/4409357961" TargetMode="External" Id="rId652" /><Relationship Type="http://schemas.openxmlformats.org/officeDocument/2006/relationships/hyperlink" Target="https://www.linkedin.com/jobs/view/4416572098" TargetMode="External" Id="rId653" /><Relationship Type="http://schemas.openxmlformats.org/officeDocument/2006/relationships/hyperlink" Target="https://uk.indeed.com/viewjob" TargetMode="External" Id="rId654" /><Relationship Type="http://schemas.openxmlformats.org/officeDocument/2006/relationships/hyperlink" Target="https://www.linkedin.com/jobs/view/4417335830" TargetMode="External" Id="rId655" /><Relationship Type="http://schemas.openxmlformats.org/officeDocument/2006/relationships/hyperlink" Target="https://www.linkedin.com/jobs/view/4425808581" TargetMode="External" Id="rId656" /><Relationship Type="http://schemas.openxmlformats.org/officeDocument/2006/relationships/hyperlink" Target="https://www.linkedin.com/jobs/view/4418822848" TargetMode="External" Id="rId657" /><Relationship Type="http://schemas.openxmlformats.org/officeDocument/2006/relationships/hyperlink" Target="https://www.linkedin.com/jobs/view/4419751772" TargetMode="External" Id="rId658" /><Relationship Type="http://schemas.openxmlformats.org/officeDocument/2006/relationships/hyperlink" Target="https://uk.indeed.com/viewjob" TargetMode="External" Id="rId659" /><Relationship Type="http://schemas.openxmlformats.org/officeDocument/2006/relationships/hyperlink" Target="https://www.linkedin.com/jobs/view/4427512142" TargetMode="External" Id="rId660" /><Relationship Type="http://schemas.openxmlformats.org/officeDocument/2006/relationships/hyperlink" Target="https://job-boards.greenhouse.io/graphcore/jobs/8605368002" TargetMode="External" Id="rId661" /><Relationship Type="http://schemas.openxmlformats.org/officeDocument/2006/relationships/hyperlink" Target="https://uk.indeed.com/viewjob" TargetMode="External" Id="rId662" /><Relationship Type="http://schemas.openxmlformats.org/officeDocument/2006/relationships/hyperlink" Target="https://www.linkedin.com/jobs/view/4430537555" TargetMode="External" Id="rId663" /><Relationship Type="http://schemas.openxmlformats.org/officeDocument/2006/relationships/hyperlink" Target="https://www.linkedin.com/jobs/view/4430451015" TargetMode="External" Id="rId664" /><Relationship Type="http://schemas.openxmlformats.org/officeDocument/2006/relationships/hyperlink" Target="https://www.linkedin.com/jobs/view/4423648628" TargetMode="External" Id="rId665" /><Relationship Type="http://schemas.openxmlformats.org/officeDocument/2006/relationships/hyperlink" Target="https://www.linkedin.com/jobs/view/4422272887" TargetMode="External" Id="rId666" /><Relationship Type="http://schemas.openxmlformats.org/officeDocument/2006/relationships/hyperlink" Target="https://www.linkedin.com/jobs/view/4398235138" TargetMode="External" Id="rId667" /><Relationship Type="http://schemas.openxmlformats.org/officeDocument/2006/relationships/hyperlink" Target="https://www.linkedin.com/jobs/view/4398239059" TargetMode="External" Id="rId668" /><Relationship Type="http://schemas.openxmlformats.org/officeDocument/2006/relationships/hyperlink" Target="https://www.linkedin.com/jobs/view/4430395748" TargetMode="External" Id="rId669" /><Relationship Type="http://schemas.openxmlformats.org/officeDocument/2006/relationships/hyperlink" Target="https://www.linkedin.com/jobs/view/4417664435" TargetMode="External" Id="rId670" /><Relationship Type="http://schemas.openxmlformats.org/officeDocument/2006/relationships/hyperlink" Target="https://www.linkedin.com/jobs/view/4431307048" TargetMode="External" Id="rId671" /><Relationship Type="http://schemas.openxmlformats.org/officeDocument/2006/relationships/hyperlink" Target="https://www.linkedin.com/jobs/view/4430379881" TargetMode="External" Id="rId672" /><Relationship Type="http://schemas.openxmlformats.org/officeDocument/2006/relationships/hyperlink" Target="https://www.linkedin.com/jobs/view/4417211473" TargetMode="External" Id="rId673" /><Relationship Type="http://schemas.openxmlformats.org/officeDocument/2006/relationships/hyperlink" Target="https://uk.indeed.com/viewjob" TargetMode="External" Id="rId674" /><Relationship Type="http://schemas.openxmlformats.org/officeDocument/2006/relationships/hyperlink" Target="https://www.linkedin.com/jobs/view/4420142267" TargetMode="External" Id="rId675" /><Relationship Type="http://schemas.openxmlformats.org/officeDocument/2006/relationships/hyperlink" Target="https://www.linkedin.com/jobs/view/4295082327" TargetMode="External" Id="rId676" /><Relationship Type="http://schemas.openxmlformats.org/officeDocument/2006/relationships/hyperlink" Target="https://www.linkedin.com/jobs/view/4430565053" TargetMode="External" Id="rId677" /><Relationship Type="http://schemas.openxmlformats.org/officeDocument/2006/relationships/hyperlink" Target="https://www.linkedin.com/jobs/view/4430704901" TargetMode="External" Id="rId678" /><Relationship Type="http://schemas.openxmlformats.org/officeDocument/2006/relationships/hyperlink" Target="https://www.linkedin.com/jobs/view/4415919055" TargetMode="External" Id="rId679" /><Relationship Type="http://schemas.openxmlformats.org/officeDocument/2006/relationships/hyperlink" Target="https://www.linkedin.com/jobs/view/4419852214" TargetMode="External" Id="rId680" /><Relationship Type="http://schemas.openxmlformats.org/officeDocument/2006/relationships/hyperlink" Target="https://www.linkedin.com/jobs/view/4426896284" TargetMode="External" Id="rId681" /><Relationship Type="http://schemas.openxmlformats.org/officeDocument/2006/relationships/hyperlink" Target="https://www.linkedin.com/jobs/view/4426310512" TargetMode="External" Id="rId682" /><Relationship Type="http://schemas.openxmlformats.org/officeDocument/2006/relationships/hyperlink" Target="https://www.linkedin.com/jobs/view/4424708701" TargetMode="External" Id="rId683" /><Relationship Type="http://schemas.openxmlformats.org/officeDocument/2006/relationships/hyperlink" Target="https://www.linkedin.com/jobs/view/4421745982" TargetMode="External" Id="rId684" /><Relationship Type="http://schemas.openxmlformats.org/officeDocument/2006/relationships/hyperlink" Target="https://www.linkedin.com/jobs/view/4427463298" TargetMode="External" Id="rId685" /><Relationship Type="http://schemas.openxmlformats.org/officeDocument/2006/relationships/hyperlink" Target="https://www.linkedin.com/jobs/view/4427626920" TargetMode="External" Id="rId686" /><Relationship Type="http://schemas.openxmlformats.org/officeDocument/2006/relationships/hyperlink" Target="https://uk.indeed.com/viewjob" TargetMode="External" Id="rId687" /><Relationship Type="http://schemas.openxmlformats.org/officeDocument/2006/relationships/hyperlink" Target="https://www.linkedin.com/jobs/view/4416801766" TargetMode="External" Id="rId688" /><Relationship Type="http://schemas.openxmlformats.org/officeDocument/2006/relationships/hyperlink" Target="https://uk.indeed.com/viewjob" TargetMode="External" Id="rId689" /><Relationship Type="http://schemas.openxmlformats.org/officeDocument/2006/relationships/hyperlink" Target="https://www.linkedin.com/jobs/view/4378193198" TargetMode="External" Id="rId690" /><Relationship Type="http://schemas.openxmlformats.org/officeDocument/2006/relationships/hyperlink" Target="https://www.linkedin.com/jobs/view/4423359192" TargetMode="External" Id="rId691" /><Relationship Type="http://schemas.openxmlformats.org/officeDocument/2006/relationships/hyperlink" Target="https://uk.indeed.com/viewjob" TargetMode="External" Id="rId692" /><Relationship Type="http://schemas.openxmlformats.org/officeDocument/2006/relationships/hyperlink" Target="https://uk.indeed.com/viewjob" TargetMode="External" Id="rId693" /><Relationship Type="http://schemas.openxmlformats.org/officeDocument/2006/relationships/hyperlink" Target="https://www.linkedin.com/jobs/view/4409930992" TargetMode="External" Id="rId694" /><Relationship Type="http://schemas.openxmlformats.org/officeDocument/2006/relationships/hyperlink" Target="https://www.linkedin.com/jobs/view/4397403251" TargetMode="External" Id="rId695" /><Relationship Type="http://schemas.openxmlformats.org/officeDocument/2006/relationships/hyperlink" Target="https://www.linkedin.com/jobs/view/4424895326" TargetMode="External" Id="rId696" /><Relationship Type="http://schemas.openxmlformats.org/officeDocument/2006/relationships/hyperlink" Target="https://www.linkedin.com/jobs/view/4423148930" TargetMode="External" Id="rId697" /><Relationship Type="http://schemas.openxmlformats.org/officeDocument/2006/relationships/hyperlink" Target="https://www.linkedin.com/jobs/view/4423007710" TargetMode="External" Id="rId698" /><Relationship Type="http://schemas.openxmlformats.org/officeDocument/2006/relationships/hyperlink" Target="https://www.linkedin.com/jobs/view/4430124265" TargetMode="External" Id="rId699" /><Relationship Type="http://schemas.openxmlformats.org/officeDocument/2006/relationships/hyperlink" Target="https://www.linkedin.com/jobs/view/4391564515" TargetMode="External" Id="rId700" /><Relationship Type="http://schemas.openxmlformats.org/officeDocument/2006/relationships/hyperlink" Target="https://www.linkedin.com/jobs/view/4426495763" TargetMode="External" Id="rId701" /><Relationship Type="http://schemas.openxmlformats.org/officeDocument/2006/relationships/hyperlink" Target="https://www.linkedin.com/jobs/view/4404067913" TargetMode="External" Id="rId702" /><Relationship Type="http://schemas.openxmlformats.org/officeDocument/2006/relationships/hyperlink" Target="https://www.linkedin.com/jobs/view/4352526153" TargetMode="External" Id="rId703" /><Relationship Type="http://schemas.openxmlformats.org/officeDocument/2006/relationships/hyperlink" Target="https://www.linkedin.com/jobs/view/4423100448" TargetMode="External" Id="rId704" /><Relationship Type="http://schemas.openxmlformats.org/officeDocument/2006/relationships/hyperlink" Target="https://www.linkedin.com/jobs/view/4398247096" TargetMode="External" Id="rId705" /><Relationship Type="http://schemas.openxmlformats.org/officeDocument/2006/relationships/hyperlink" Target="https://www.linkedin.com/jobs/view/4429950389" TargetMode="External" Id="rId706" /><Relationship Type="http://schemas.openxmlformats.org/officeDocument/2006/relationships/hyperlink" Target="https://www.linkedin.com/jobs/view/4426825173" TargetMode="External" Id="rId707" /><Relationship Type="http://schemas.openxmlformats.org/officeDocument/2006/relationships/hyperlink" Target="https://www.linkedin.com/jobs/view/4424069802" TargetMode="External" Id="rId708" /><Relationship Type="http://schemas.openxmlformats.org/officeDocument/2006/relationships/hyperlink" Target="https://www.linkedin.com/jobs/view/4426305783" TargetMode="External" Id="rId709" /><Relationship Type="http://schemas.openxmlformats.org/officeDocument/2006/relationships/hyperlink" Target="https://www.linkedin.com/jobs/view/4428950758" TargetMode="External" Id="rId710" /><Relationship Type="http://schemas.openxmlformats.org/officeDocument/2006/relationships/hyperlink" Target="https://www.linkedin.com/jobs/view/4429997110" TargetMode="External" Id="rId711" /><Relationship Type="http://schemas.openxmlformats.org/officeDocument/2006/relationships/hyperlink" Target="https://www.linkedin.com/jobs/view/4429883406" TargetMode="External" Id="rId712" /><Relationship Type="http://schemas.openxmlformats.org/officeDocument/2006/relationships/hyperlink" Target="https://www.linkedin.com/jobs/view/4429889183" TargetMode="External" Id="rId713" /><Relationship Type="http://schemas.openxmlformats.org/officeDocument/2006/relationships/hyperlink" Target="https://www.linkedin.com/jobs/view/4431888289" TargetMode="External" Id="rId714" /><Relationship Type="http://schemas.openxmlformats.org/officeDocument/2006/relationships/hyperlink" Target="https://www.linkedin.com/jobs/view/4431244549" TargetMode="External" Id="rId715" /><Relationship Type="http://schemas.openxmlformats.org/officeDocument/2006/relationships/hyperlink" Target="https://www.linkedin.com/jobs/view/4429888251" TargetMode="External" Id="rId716" /><Relationship Type="http://schemas.openxmlformats.org/officeDocument/2006/relationships/hyperlink" Target="https://www.linkedin.com/jobs/view/4381838948" TargetMode="External" Id="rId717" /><Relationship Type="http://schemas.openxmlformats.org/officeDocument/2006/relationships/hyperlink" Target="https://www.linkedin.com/jobs/view/4431194786" TargetMode="External" Id="rId718" /><Relationship Type="http://schemas.openxmlformats.org/officeDocument/2006/relationships/hyperlink" Target="https://www.linkedin.com/jobs/view/4432203430" TargetMode="External" Id="rId719" /><Relationship Type="http://schemas.openxmlformats.org/officeDocument/2006/relationships/hyperlink" Target="https://www.linkedin.com/jobs/view/4430332528" TargetMode="External" Id="rId720" /><Relationship Type="http://schemas.openxmlformats.org/officeDocument/2006/relationships/hyperlink" Target="https://www.linkedin.com/jobs/view/4410911786" TargetMode="External" Id="rId721" /><Relationship Type="http://schemas.openxmlformats.org/officeDocument/2006/relationships/hyperlink" Target="https://www.linkedin.com/jobs/view/4398552238" TargetMode="External" Id="rId722" /><Relationship Type="http://schemas.openxmlformats.org/officeDocument/2006/relationships/hyperlink" Target="https://www.linkedin.com/jobs/view/4431762492" TargetMode="External" Id="rId723" /><Relationship Type="http://schemas.openxmlformats.org/officeDocument/2006/relationships/hyperlink" Target="https://uk.indeed.com/viewjob" TargetMode="External" Id="rId724" /><Relationship Type="http://schemas.openxmlformats.org/officeDocument/2006/relationships/hyperlink" Target="https://www.linkedin.com/jobs/view/4325882364" TargetMode="External" Id="rId725" /><Relationship Type="http://schemas.openxmlformats.org/officeDocument/2006/relationships/hyperlink" Target="https://www.linkedin.com/jobs/view/4418142400" TargetMode="External" Id="rId726" /><Relationship Type="http://schemas.openxmlformats.org/officeDocument/2006/relationships/hyperlink" Target="https://www.linkedin.com/jobs/view/4418140528" TargetMode="External" Id="rId727" /><Relationship Type="http://schemas.openxmlformats.org/officeDocument/2006/relationships/hyperlink" Target="https://www.linkedin.com/jobs/view/4379456422" TargetMode="External" Id="rId728" /><Relationship Type="http://schemas.openxmlformats.org/officeDocument/2006/relationships/hyperlink" Target="https://www.linkedin.com/jobs/view/4426305591" TargetMode="External" Id="rId729" /><Relationship Type="http://schemas.openxmlformats.org/officeDocument/2006/relationships/hyperlink" Target="https://www.linkedin.com/jobs/view/4425985261" TargetMode="External" Id="rId730" /><Relationship Type="http://schemas.openxmlformats.org/officeDocument/2006/relationships/hyperlink" Target="https://www.linkedin.com/jobs/view/4361789945" TargetMode="External" Id="rId731" /><Relationship Type="http://schemas.openxmlformats.org/officeDocument/2006/relationships/hyperlink" Target="https://www.linkedin.com/jobs/view/4423626539" TargetMode="External" Id="rId732" /><Relationship Type="http://schemas.openxmlformats.org/officeDocument/2006/relationships/hyperlink" Target="https://www.linkedin.com/jobs/view/4428519828" TargetMode="External" Id="rId733" /><Relationship Type="http://schemas.openxmlformats.org/officeDocument/2006/relationships/hyperlink" Target="https://www.linkedin.com/jobs/view/4413335839" TargetMode="External" Id="rId734" /><Relationship Type="http://schemas.openxmlformats.org/officeDocument/2006/relationships/hyperlink" Target="https://www.linkedin.com/jobs/view/4425025321" TargetMode="External" Id="rId735" /><Relationship Type="http://schemas.openxmlformats.org/officeDocument/2006/relationships/hyperlink" Target="https://www.linkedin.com/jobs/view/4414688351" TargetMode="External" Id="rId736" /><Relationship Type="http://schemas.openxmlformats.org/officeDocument/2006/relationships/hyperlink" Target="https://www.linkedin.com/jobs/view/4418123994" TargetMode="External" Id="rId737" /><Relationship Type="http://schemas.openxmlformats.org/officeDocument/2006/relationships/hyperlink" Target="https://uk.indeed.com/viewjob" TargetMode="External" Id="rId738" /><Relationship Type="http://schemas.openxmlformats.org/officeDocument/2006/relationships/hyperlink" Target="https://www.linkedin.com/jobs/view/4422366068" TargetMode="External" Id="rId739" /><Relationship Type="http://schemas.openxmlformats.org/officeDocument/2006/relationships/hyperlink" Target="https://www.linkedin.com/jobs/view/4426260032" TargetMode="External" Id="rId740" /><Relationship Type="http://schemas.openxmlformats.org/officeDocument/2006/relationships/hyperlink" Target="https://www.linkedin.com/jobs/view/4425255577" TargetMode="External" Id="rId741" /><Relationship Type="http://schemas.openxmlformats.org/officeDocument/2006/relationships/hyperlink" Target="https://www.linkedin.com/jobs/view/4424889845" TargetMode="External" Id="rId742" /><Relationship Type="http://schemas.openxmlformats.org/officeDocument/2006/relationships/hyperlink" Target="https://www.linkedin.com/jobs/view/4310709296" TargetMode="External" Id="rId743" /><Relationship Type="http://schemas.openxmlformats.org/officeDocument/2006/relationships/hyperlink" Target="https://www.linkedin.com/jobs/view/4427715136" TargetMode="External" Id="rId744" /><Relationship Type="http://schemas.openxmlformats.org/officeDocument/2006/relationships/hyperlink" Target="https://www.linkedin.com/jobs/view/4422949290" TargetMode="External" Id="rId745" /><Relationship Type="http://schemas.openxmlformats.org/officeDocument/2006/relationships/hyperlink" Target="https://www.linkedin.com/jobs/view/4413317128" TargetMode="External" Id="rId746" /><Relationship Type="http://schemas.openxmlformats.org/officeDocument/2006/relationships/hyperlink" Target="https://www.linkedin.com/jobs/view/4427754084" TargetMode="External" Id="rId747" /><Relationship Type="http://schemas.openxmlformats.org/officeDocument/2006/relationships/hyperlink" Target="https://www.linkedin.com/jobs/view/4427557433" TargetMode="External" Id="rId748" /><Relationship Type="http://schemas.openxmlformats.org/officeDocument/2006/relationships/hyperlink" Target="https://www.linkedin.com/jobs/view/4374792255" TargetMode="External" Id="rId749" /><Relationship Type="http://schemas.openxmlformats.org/officeDocument/2006/relationships/hyperlink" Target="https://www.linkedin.com/jobs/view/4385415733" TargetMode="External" Id="rId750" /><Relationship Type="http://schemas.openxmlformats.org/officeDocument/2006/relationships/hyperlink" Target="https://www.linkedin.com/jobs/view/4299326370" TargetMode="External" Id="rId751" /><Relationship Type="http://schemas.openxmlformats.org/officeDocument/2006/relationships/hyperlink" Target="https://www.linkedin.com/jobs/view/4415092068" TargetMode="External" Id="rId752" /><Relationship Type="http://schemas.openxmlformats.org/officeDocument/2006/relationships/hyperlink" Target="https://www.linkedin.com/jobs/view/4422830433" TargetMode="External" Id="rId753" /><Relationship Type="http://schemas.openxmlformats.org/officeDocument/2006/relationships/hyperlink" Target="https://www.linkedin.com/jobs/view/4422903923" TargetMode="External" Id="rId754" /><Relationship Type="http://schemas.openxmlformats.org/officeDocument/2006/relationships/hyperlink" Target="https://www.linkedin.com/jobs/view/4430919960" TargetMode="External" Id="rId755" /><Relationship Type="http://schemas.openxmlformats.org/officeDocument/2006/relationships/hyperlink" Target="https://www.linkedin.com/jobs/view/4427575498" TargetMode="External" Id="rId756" /><Relationship Type="http://schemas.openxmlformats.org/officeDocument/2006/relationships/hyperlink" Target="https://www.linkedin.com/jobs/view/4424555650" TargetMode="External" Id="rId757" /><Relationship Type="http://schemas.openxmlformats.org/officeDocument/2006/relationships/hyperlink" Target="https://www.linkedin.com/jobs/view/4428229446" TargetMode="External" Id="rId758" /><Relationship Type="http://schemas.openxmlformats.org/officeDocument/2006/relationships/hyperlink" Target="https://uk.indeed.com/viewjob" TargetMode="External" Id="rId759" /><Relationship Type="http://schemas.openxmlformats.org/officeDocument/2006/relationships/hyperlink" Target="https://www.linkedin.com/jobs/view/4428219572" TargetMode="External" Id="rId760" /><Relationship Type="http://schemas.openxmlformats.org/officeDocument/2006/relationships/hyperlink" Target="https://www.linkedin.com/jobs/view/4429623973" TargetMode="External" Id="rId761" /><Relationship Type="http://schemas.openxmlformats.org/officeDocument/2006/relationships/hyperlink" Target="https://boards.greenhouse.io/cloudflare/jobs/7581107" TargetMode="External" Id="rId762" /><Relationship Type="http://schemas.openxmlformats.org/officeDocument/2006/relationships/hyperlink" Target="https://www.linkedin.com/jobs/view/4424616466" TargetMode="External" Id="rId763" /><Relationship Type="http://schemas.openxmlformats.org/officeDocument/2006/relationships/hyperlink" Target="https://www.linkedin.com/jobs/view/4423346340" TargetMode="External" Id="rId764" /><Relationship Type="http://schemas.openxmlformats.org/officeDocument/2006/relationships/hyperlink" Target="https://uk.indeed.com/viewjob" TargetMode="External" Id="rId765" /><Relationship Type="http://schemas.openxmlformats.org/officeDocument/2006/relationships/hyperlink" Target="https://uk.indeed.com/viewjob" TargetMode="External" Id="rId766" /><Relationship Type="http://schemas.openxmlformats.org/officeDocument/2006/relationships/hyperlink" Target="https://www.linkedin.com/jobs/view/4428847996" TargetMode="External" Id="rId767" /><Relationship Type="http://schemas.openxmlformats.org/officeDocument/2006/relationships/hyperlink" Target="https://uk.indeed.com/viewjob" TargetMode="External" Id="rId768" /><Relationship Type="http://schemas.openxmlformats.org/officeDocument/2006/relationships/hyperlink" Target="https://uk.indeed.com/viewjob" TargetMode="External" Id="rId769" /><Relationship Type="http://schemas.openxmlformats.org/officeDocument/2006/relationships/hyperlink" Target="https://www.linkedin.com/jobs/view/4424552523" TargetMode="External" Id="rId770" /><Relationship Type="http://schemas.openxmlformats.org/officeDocument/2006/relationships/hyperlink" Target="https://www.linkedin.com/jobs/view/4427358474" TargetMode="External" Id="rId771" /><Relationship Type="http://schemas.openxmlformats.org/officeDocument/2006/relationships/hyperlink" Target="https://www.linkedin.com/jobs/view/4425585284" TargetMode="External" Id="rId772" /><Relationship Type="http://schemas.openxmlformats.org/officeDocument/2006/relationships/hyperlink" Target="https://www.linkedin.com/jobs/view/4408429111" TargetMode="External" Id="rId773" /><Relationship Type="http://schemas.openxmlformats.org/officeDocument/2006/relationships/hyperlink" Target="https://www.linkedin.com/jobs/view/4422253838" TargetMode="External" Id="rId774" /><Relationship Type="http://schemas.openxmlformats.org/officeDocument/2006/relationships/hyperlink" Target="https://www.linkedin.com/jobs/view/4420683235" TargetMode="External" Id="rId775" /><Relationship Type="http://schemas.openxmlformats.org/officeDocument/2006/relationships/hyperlink" Target="https://www.linkedin.com/jobs/view/4423606636" TargetMode="External" Id="rId776" /><Relationship Type="http://schemas.openxmlformats.org/officeDocument/2006/relationships/hyperlink" Target="https://www.linkedin.com/jobs/view/4426981471" TargetMode="External" Id="rId777" /><Relationship Type="http://schemas.openxmlformats.org/officeDocument/2006/relationships/hyperlink" Target="https://www.linkedin.com/jobs/view/4428857716" TargetMode="External" Id="rId778" /><Relationship Type="http://schemas.openxmlformats.org/officeDocument/2006/relationships/hyperlink" Target="https://www.linkedin.com/jobs/view/4428867092" TargetMode="External" Id="rId779" /><Relationship Type="http://schemas.openxmlformats.org/officeDocument/2006/relationships/hyperlink" Target="https://www.linkedin.com/jobs/view/4430412298" TargetMode="External" Id="rId780" /><Relationship Type="http://schemas.openxmlformats.org/officeDocument/2006/relationships/hyperlink" Target="https://www.linkedin.com/jobs/view/4429305442" TargetMode="External" Id="rId781" /><Relationship Type="http://schemas.openxmlformats.org/officeDocument/2006/relationships/hyperlink" Target="https://www.linkedin.com/jobs/view/4416833931" TargetMode="External" Id="rId782" /><Relationship Type="http://schemas.openxmlformats.org/officeDocument/2006/relationships/hyperlink" Target="https://www.linkedin.com/jobs/view/4422912294" TargetMode="External" Id="rId783" /><Relationship Type="http://schemas.openxmlformats.org/officeDocument/2006/relationships/hyperlink" Target="https://www.linkedin.com/jobs/view/4416155367" TargetMode="External" Id="rId784" /><Relationship Type="http://schemas.openxmlformats.org/officeDocument/2006/relationships/hyperlink" Target="https://www.linkedin.com/jobs/view/4372394149" TargetMode="External" Id="rId785" /><Relationship Type="http://schemas.openxmlformats.org/officeDocument/2006/relationships/hyperlink" Target="https://www.linkedin.com/jobs/view/4432109403" TargetMode="External" Id="rId786" /><Relationship Type="http://schemas.openxmlformats.org/officeDocument/2006/relationships/hyperlink" Target="https://www.linkedin.com/jobs/view/4412484540" TargetMode="External" Id="rId787" /><Relationship Type="http://schemas.openxmlformats.org/officeDocument/2006/relationships/hyperlink" Target="https://www.linkedin.com/jobs/view/4433307115" TargetMode="External" Id="rId788" /><Relationship Type="http://schemas.openxmlformats.org/officeDocument/2006/relationships/hyperlink" Target="https://www.linkedin.com/jobs/view/4433086799" TargetMode="External" Id="rId789" /><Relationship Type="http://schemas.openxmlformats.org/officeDocument/2006/relationships/hyperlink" Target="https://www.linkedin.com/jobs/view/4432268425" TargetMode="External" Id="rId790" /><Relationship Type="http://schemas.openxmlformats.org/officeDocument/2006/relationships/hyperlink" Target="https://www.linkedin.com/jobs/view/4428247240" TargetMode="External" Id="rId791" /><Relationship Type="http://schemas.openxmlformats.org/officeDocument/2006/relationships/hyperlink" Target="https://www.linkedin.com/jobs/view/4423388346" TargetMode="External" Id="rId792" /><Relationship Type="http://schemas.openxmlformats.org/officeDocument/2006/relationships/hyperlink" Target="https://www.linkedin.com/jobs/view/4430444638" TargetMode="External" Id="rId793" /><Relationship Type="http://schemas.openxmlformats.org/officeDocument/2006/relationships/hyperlink" Target="https://www.linkedin.com/jobs/view/4428832859" TargetMode="External" Id="rId794" /><Relationship Type="http://schemas.openxmlformats.org/officeDocument/2006/relationships/hyperlink" Target="https://www.linkedin.com/jobs/view/4431669339" TargetMode="External" Id="rId795" /><Relationship Type="http://schemas.openxmlformats.org/officeDocument/2006/relationships/hyperlink" Target="https://www.linkedin.com/jobs/view/4393214133" TargetMode="External" Id="rId796" /><Relationship Type="http://schemas.openxmlformats.org/officeDocument/2006/relationships/hyperlink" Target="https://uk.indeed.com/viewjob" TargetMode="External" Id="rId797" /><Relationship Type="http://schemas.openxmlformats.org/officeDocument/2006/relationships/hyperlink" Target="https://uk.indeed.com/viewjob" TargetMode="External" Id="rId798" /><Relationship Type="http://schemas.openxmlformats.org/officeDocument/2006/relationships/hyperlink" Target="https://www.linkedin.com/jobs/view/4408230675" TargetMode="External" Id="rId799" /><Relationship Type="http://schemas.openxmlformats.org/officeDocument/2006/relationships/hyperlink" Target="https://www.linkedin.com/jobs/view/4431671310" TargetMode="External" Id="rId800" /><Relationship Type="http://schemas.openxmlformats.org/officeDocument/2006/relationships/hyperlink" Target="https://www.linkedin.com/jobs/view/4430949386" TargetMode="External" Id="rId801" /><Relationship Type="http://schemas.openxmlformats.org/officeDocument/2006/relationships/hyperlink" Target="https://www.linkedin.com/jobs/view/4420956298" TargetMode="External" Id="rId802" /><Relationship Type="http://schemas.openxmlformats.org/officeDocument/2006/relationships/hyperlink" Target="https://www.linkedin.com/jobs/view/4419091723" TargetMode="External" Id="rId803" /><Relationship Type="http://schemas.openxmlformats.org/officeDocument/2006/relationships/hyperlink" Target="https://www.linkedin.com/jobs/view/4412864329" TargetMode="External" Id="rId804" /><Relationship Type="http://schemas.openxmlformats.org/officeDocument/2006/relationships/hyperlink" Target="https://www.linkedin.com/jobs/view/4424745807" TargetMode="External" Id="rId805" /><Relationship Type="http://schemas.openxmlformats.org/officeDocument/2006/relationships/hyperlink" Target="https://www.linkedin.com/jobs/view/4420974292" TargetMode="External" Id="rId806" /><Relationship Type="http://schemas.openxmlformats.org/officeDocument/2006/relationships/hyperlink" Target="https://www.linkedin.com/jobs/view/4415288342" TargetMode="External" Id="rId807" /><Relationship Type="http://schemas.openxmlformats.org/officeDocument/2006/relationships/hyperlink" Target="https://www.linkedin.com/jobs/view/4430949386" TargetMode="External" Id="rId808" /><Relationship Type="http://schemas.openxmlformats.org/officeDocument/2006/relationships/hyperlink" Target="https://www.linkedin.com/jobs/view/4383961522" TargetMode="External" Id="rId809" /><Relationship Type="http://schemas.openxmlformats.org/officeDocument/2006/relationships/hyperlink" Target="https://uk.indeed.com/viewjob" TargetMode="External" Id="rId810" /><Relationship Type="http://schemas.openxmlformats.org/officeDocument/2006/relationships/hyperlink" Target="https://www.linkedin.com/jobs/view/4403476635" TargetMode="External" Id="rId811" /><Relationship Type="http://schemas.openxmlformats.org/officeDocument/2006/relationships/hyperlink" Target="https://www.linkedin.com/jobs/view/4411161352" TargetMode="External" Id="rId812" /><Relationship Type="http://schemas.openxmlformats.org/officeDocument/2006/relationships/hyperlink" Target="https://www.linkedin.com/jobs/view/4423362888" TargetMode="External" Id="rId813" /><Relationship Type="http://schemas.openxmlformats.org/officeDocument/2006/relationships/hyperlink" Target="https://www.linkedin.com/jobs/view/4423366508" TargetMode="External" Id="rId814" /><Relationship Type="http://schemas.openxmlformats.org/officeDocument/2006/relationships/hyperlink" Target="https://www.linkedin.com/jobs/view/4427190274" TargetMode="External" Id="rId815" /><Relationship Type="http://schemas.openxmlformats.org/officeDocument/2006/relationships/hyperlink" Target="https://www.linkedin.com/jobs/view/4425260203" TargetMode="External" Id="rId816" /><Relationship Type="http://schemas.openxmlformats.org/officeDocument/2006/relationships/hyperlink" Target="https://uk.indeed.com/viewjob" TargetMode="External" Id="rId817" /><Relationship Type="http://schemas.openxmlformats.org/officeDocument/2006/relationships/hyperlink" Target="https://www.linkedin.com/jobs/view/4369594926" TargetMode="External" Id="rId818" /><Relationship Type="http://schemas.openxmlformats.org/officeDocument/2006/relationships/hyperlink" Target="https://www.linkedin.com/jobs/view/4369816387" TargetMode="External" Id="rId819" /><Relationship Type="http://schemas.openxmlformats.org/officeDocument/2006/relationships/hyperlink" Target="https://uk.indeed.com/viewjob" TargetMode="External" Id="rId820" /><Relationship Type="http://schemas.openxmlformats.org/officeDocument/2006/relationships/hyperlink" Target="https://www.linkedin.com/jobs/view/4325338065" TargetMode="External" Id="rId821" /><Relationship Type="http://schemas.openxmlformats.org/officeDocument/2006/relationships/hyperlink" Target="https://www.linkedin.com/jobs/view/4417052715" TargetMode="External" Id="rId822" /><Relationship Type="http://schemas.openxmlformats.org/officeDocument/2006/relationships/hyperlink" Target="https://www.linkedin.com/jobs/view/4427982253" TargetMode="External" Id="rId823" /><Relationship Type="http://schemas.openxmlformats.org/officeDocument/2006/relationships/hyperlink" Target="https://www.linkedin.com/jobs/view/3930442053" TargetMode="External" Id="rId824" /><Relationship Type="http://schemas.openxmlformats.org/officeDocument/2006/relationships/hyperlink" Target="https://www.linkedin.com/jobs/view/4426860362" TargetMode="External" Id="rId825" /><Relationship Type="http://schemas.openxmlformats.org/officeDocument/2006/relationships/hyperlink" Target="https://www.linkedin.com/jobs/view/4395999500" TargetMode="External" Id="rId826" /><Relationship Type="http://schemas.openxmlformats.org/officeDocument/2006/relationships/hyperlink" Target="https://www.linkedin.com/jobs/view/4416277317" TargetMode="External" Id="rId827" /><Relationship Type="http://schemas.openxmlformats.org/officeDocument/2006/relationships/hyperlink" Target="https://www.linkedin.com/jobs/view/4410190747" TargetMode="External" Id="rId828" /><Relationship Type="http://schemas.openxmlformats.org/officeDocument/2006/relationships/hyperlink" Target="https://www.linkedin.com/jobs/view/4414038260" TargetMode="External" Id="rId829" /><Relationship Type="http://schemas.openxmlformats.org/officeDocument/2006/relationships/hyperlink" Target="https://www.linkedin.com/jobs/view/4416846023" TargetMode="External" Id="rId830" /><Relationship Type="http://schemas.openxmlformats.org/officeDocument/2006/relationships/hyperlink" Target="https://www.linkedin.com/jobs/view/4419279539" TargetMode="External" Id="rId831" /><Relationship Type="http://schemas.openxmlformats.org/officeDocument/2006/relationships/hyperlink" Target="https://uk.indeed.com/viewjob" TargetMode="External" Id="rId832" /><Relationship Type="http://schemas.openxmlformats.org/officeDocument/2006/relationships/hyperlink" Target="https://www.linkedin.com/jobs/view/4419699093" TargetMode="External" Id="rId833" /><Relationship Type="http://schemas.openxmlformats.org/officeDocument/2006/relationships/hyperlink" Target="https://www.linkedin.com/jobs/view/4432202266" TargetMode="External" Id="rId834" /><Relationship Type="http://schemas.openxmlformats.org/officeDocument/2006/relationships/hyperlink" Target="https://www.linkedin.com/jobs/view/4430969907" TargetMode="External" Id="rId835" /><Relationship Type="http://schemas.openxmlformats.org/officeDocument/2006/relationships/hyperlink" Target="https://www.linkedin.com/jobs/view/4419659033" TargetMode="External" Id="rId836" /><Relationship Type="http://schemas.openxmlformats.org/officeDocument/2006/relationships/hyperlink" Target="https://www.linkedin.com/jobs/view/4424868891" TargetMode="External" Id="rId837" /><Relationship Type="http://schemas.openxmlformats.org/officeDocument/2006/relationships/hyperlink" Target="https://www.linkedin.com/jobs/view/4427925706" TargetMode="External" Id="rId838" /><Relationship Type="http://schemas.openxmlformats.org/officeDocument/2006/relationships/hyperlink" Target="https://www.linkedin.com/jobs/view/4430561118" TargetMode="External" Id="rId839" /><Relationship Type="http://schemas.openxmlformats.org/officeDocument/2006/relationships/hyperlink" Target="https://www.linkedin.com/jobs/view/4429237940" TargetMode="External" Id="rId840" /><Relationship Type="http://schemas.openxmlformats.org/officeDocument/2006/relationships/hyperlink" Target="https://www.linkedin.com/jobs/view/4421667689" TargetMode="External" Id="rId841" /><Relationship Type="http://schemas.openxmlformats.org/officeDocument/2006/relationships/hyperlink" Target="https://www.linkedin.com/jobs/view/4430480594" TargetMode="External" Id="rId842" /><Relationship Type="http://schemas.openxmlformats.org/officeDocument/2006/relationships/hyperlink" Target="https://www.linkedin.com/jobs/view/4413599833" TargetMode="External" Id="rId843" /><Relationship Type="http://schemas.openxmlformats.org/officeDocument/2006/relationships/hyperlink" Target="https://www.linkedin.com/jobs/view/4415397957" TargetMode="External" Id="rId844" /><Relationship Type="http://schemas.openxmlformats.org/officeDocument/2006/relationships/hyperlink" Target="https://www.linkedin.com/jobs/view/4406012227" TargetMode="External" Id="rId845" /><Relationship Type="http://schemas.openxmlformats.org/officeDocument/2006/relationships/hyperlink" Target="https://www.linkedin.com/jobs/view/4422279679" TargetMode="External" Id="rId846" /><Relationship Type="http://schemas.openxmlformats.org/officeDocument/2006/relationships/hyperlink" Target="https://www.linkedin.com/jobs/view/4411654202" TargetMode="External" Id="rId847" /><Relationship Type="http://schemas.openxmlformats.org/officeDocument/2006/relationships/hyperlink" Target="https://www.linkedin.com/jobs/view/4421710262" TargetMode="External" Id="rId848" /><Relationship Type="http://schemas.openxmlformats.org/officeDocument/2006/relationships/hyperlink" Target="https://www.linkedin.com/jobs/view/4396458165" TargetMode="External" Id="rId849" /><Relationship Type="http://schemas.openxmlformats.org/officeDocument/2006/relationships/hyperlink" Target="https://www.linkedin.com/jobs/view/4396450613" TargetMode="External" Id="rId850" /><Relationship Type="http://schemas.openxmlformats.org/officeDocument/2006/relationships/hyperlink" Target="https://uk.indeed.com/viewjob" TargetMode="External" Id="rId851" /><Relationship Type="http://schemas.openxmlformats.org/officeDocument/2006/relationships/hyperlink" Target="https://www.linkedin.com/jobs/view/4424368478" TargetMode="External" Id="rId852" /><Relationship Type="http://schemas.openxmlformats.org/officeDocument/2006/relationships/hyperlink" Target="https://www.linkedin.com/jobs/view/4422915746" TargetMode="External" Id="rId853" /><Relationship Type="http://schemas.openxmlformats.org/officeDocument/2006/relationships/hyperlink" Target="https://uk.indeed.com/viewjob" TargetMode="External" Id="rId854" /><Relationship Type="http://schemas.openxmlformats.org/officeDocument/2006/relationships/hyperlink" Target="https://uk.indeed.com/viewjob" TargetMode="External" Id="rId855" /><Relationship Type="http://schemas.openxmlformats.org/officeDocument/2006/relationships/hyperlink" Target="https://www.linkedin.com/jobs/view/4426648664" TargetMode="External" Id="rId856" /><Relationship Type="http://schemas.openxmlformats.org/officeDocument/2006/relationships/hyperlink" Target="https://www.linkedin.com/jobs/view/4424178803" TargetMode="External" Id="rId857" /><Relationship Type="http://schemas.openxmlformats.org/officeDocument/2006/relationships/hyperlink" Target="https://www.linkedin.com/jobs/view/4410809866" TargetMode="External" Id="rId858" /><Relationship Type="http://schemas.openxmlformats.org/officeDocument/2006/relationships/hyperlink" Target="https://uk.indeed.com/viewjob" TargetMode="External" Id="rId859" /><Relationship Type="http://schemas.openxmlformats.org/officeDocument/2006/relationships/hyperlink" Target="https://www.linkedin.com/jobs/view/4426773991" TargetMode="External" Id="rId860" /><Relationship Type="http://schemas.openxmlformats.org/officeDocument/2006/relationships/hyperlink" Target="https://www.linkedin.com/jobs/view/4429712275" TargetMode="External" Id="rId861" /><Relationship Type="http://schemas.openxmlformats.org/officeDocument/2006/relationships/hyperlink" Target="https://www.linkedin.com/jobs/view/4393503807" TargetMode="External" Id="rId862" /><Relationship Type="http://schemas.openxmlformats.org/officeDocument/2006/relationships/hyperlink" Target="https://www.linkedin.com/jobs/view/4429649913" TargetMode="External" Id="rId863" /><Relationship Type="http://schemas.openxmlformats.org/officeDocument/2006/relationships/hyperlink" Target="https://www.linkedin.com/jobs/view/4429667601" TargetMode="External" Id="rId864" /><Relationship Type="http://schemas.openxmlformats.org/officeDocument/2006/relationships/hyperlink" Target="https://www.linkedin.com/jobs/view/4414758089" TargetMode="External" Id="rId865" /><Relationship Type="http://schemas.openxmlformats.org/officeDocument/2006/relationships/hyperlink" Target="https://uk.indeed.com/viewjob" TargetMode="External" Id="rId866" /><Relationship Type="http://schemas.openxmlformats.org/officeDocument/2006/relationships/hyperlink" Target="https://www.linkedin.com/jobs/view/4428811303" TargetMode="External" Id="rId867" /><Relationship Type="http://schemas.openxmlformats.org/officeDocument/2006/relationships/hyperlink" Target="https://www.linkedin.com/jobs/view/4427021784" TargetMode="External" Id="rId868" /><Relationship Type="http://schemas.openxmlformats.org/officeDocument/2006/relationships/hyperlink" Target="https://www.linkedin.com/jobs/view/4414338195" TargetMode="External" Id="rId869" /><Relationship Type="http://schemas.openxmlformats.org/officeDocument/2006/relationships/hyperlink" Target="https://www.linkedin.com/jobs/view/4428880132" TargetMode="External" Id="rId870" /><Relationship Type="http://schemas.openxmlformats.org/officeDocument/2006/relationships/hyperlink" Target="https://job-boards.greenhouse.io/gocardless/jobs/8018099" TargetMode="External" Id="rId871" /><Relationship Type="http://schemas.openxmlformats.org/officeDocument/2006/relationships/hyperlink" Target="https://job-boards.greenhouse.io/monzo/jobs/7768140" TargetMode="External" Id="rId872" /><Relationship Type="http://schemas.openxmlformats.org/officeDocument/2006/relationships/hyperlink" Target="https://www.linkedin.com/jobs/view/4428485589" TargetMode="External" Id="rId873" /><Relationship Type="http://schemas.openxmlformats.org/officeDocument/2006/relationships/hyperlink" Target="https://www.linkedin.com/jobs/view/4426821693" TargetMode="External" Id="rId874" /><Relationship Type="http://schemas.openxmlformats.org/officeDocument/2006/relationships/hyperlink" Target="https://www.linkedin.com/jobs/view/4413323903" TargetMode="External" Id="rId875" /><Relationship Type="http://schemas.openxmlformats.org/officeDocument/2006/relationships/hyperlink" Target="https://www.linkedin.com/jobs/view/4417202156" TargetMode="External" Id="rId876" /><Relationship Type="http://schemas.openxmlformats.org/officeDocument/2006/relationships/hyperlink" Target="https://www.linkedin.com/jobs/view/4413314822" TargetMode="External" Id="rId877" /><Relationship Type="http://schemas.openxmlformats.org/officeDocument/2006/relationships/hyperlink" Target="https://www.linkedin.com/jobs/view/4422818846" TargetMode="External" Id="rId878" /><Relationship Type="http://schemas.openxmlformats.org/officeDocument/2006/relationships/hyperlink" Target="https://www.linkedin.com/jobs/view/4424204521" TargetMode="External" Id="rId879" /><Relationship Type="http://schemas.openxmlformats.org/officeDocument/2006/relationships/hyperlink" Target="https://www.linkedin.com/jobs/view/4424186451" TargetMode="External" Id="rId880" /><Relationship Type="http://schemas.openxmlformats.org/officeDocument/2006/relationships/hyperlink" Target="https://www.linkedin.com/jobs/view/4429003936" TargetMode="External" Id="rId881" /><Relationship Type="http://schemas.openxmlformats.org/officeDocument/2006/relationships/hyperlink" Target="https://uk.indeed.com/viewjob" TargetMode="External" Id="rId882" /><Relationship Type="http://schemas.openxmlformats.org/officeDocument/2006/relationships/hyperlink" Target="https://www.linkedin.com/jobs/view/4429351953" TargetMode="External" Id="rId883" /><Relationship Type="http://schemas.openxmlformats.org/officeDocument/2006/relationships/hyperlink" Target="https://www.linkedin.com/jobs/view/4419620171" TargetMode="External" Id="rId884" /><Relationship Type="http://schemas.openxmlformats.org/officeDocument/2006/relationships/hyperlink" Target="https://www.linkedin.com/jobs/view/4424890248" TargetMode="External" Id="rId885" /><Relationship Type="http://schemas.openxmlformats.org/officeDocument/2006/relationships/hyperlink" Target="https://www.linkedin.com/jobs/view/4429849543" TargetMode="External" Id="rId886" /><Relationship Type="http://schemas.openxmlformats.org/officeDocument/2006/relationships/hyperlink" Target="https://boards.greenhouse.io/cloudflare/jobs/7309174" TargetMode="External" Id="rId887" /><Relationship Type="http://schemas.openxmlformats.org/officeDocument/2006/relationships/hyperlink" Target="https://www.linkedin.com/jobs/view/4431238627" TargetMode="External" Id="rId888" /><Relationship Type="http://schemas.openxmlformats.org/officeDocument/2006/relationships/hyperlink" Target="https://www.linkedin.com/jobs/view/4418265914" TargetMode="External" Id="rId889" /><Relationship Type="http://schemas.openxmlformats.org/officeDocument/2006/relationships/hyperlink" Target="https://www.linkedin.com/jobs/view/4430840698" TargetMode="External" Id="rId890" /><Relationship Type="http://schemas.openxmlformats.org/officeDocument/2006/relationships/hyperlink" Target="https://www.linkedin.com/jobs/view/4414344881" TargetMode="External" Id="rId891" /><Relationship Type="http://schemas.openxmlformats.org/officeDocument/2006/relationships/hyperlink" Target="https://www.linkedin.com/jobs/view/4422308687" TargetMode="External" Id="rId892" /><Relationship Type="http://schemas.openxmlformats.org/officeDocument/2006/relationships/hyperlink" Target="https://www.linkedin.com/jobs/view/4428906874" TargetMode="External" Id="rId893" /><Relationship Type="http://schemas.openxmlformats.org/officeDocument/2006/relationships/hyperlink" Target="https://www.linkedin.com/jobs/view/4362834283" TargetMode="External" Id="rId894" /><Relationship Type="http://schemas.openxmlformats.org/officeDocument/2006/relationships/hyperlink" Target="https://www.linkedin.com/jobs/view/4368719252" TargetMode="External" Id="rId895" /><Relationship Type="http://schemas.openxmlformats.org/officeDocument/2006/relationships/hyperlink" Target="https://www.linkedin.com/jobs/view/4430980168" TargetMode="External" Id="rId896" /><Relationship Type="http://schemas.openxmlformats.org/officeDocument/2006/relationships/hyperlink" Target="https://www.linkedin.com/jobs/view/4427713710" TargetMode="External" Id="rId897" /><Relationship Type="http://schemas.openxmlformats.org/officeDocument/2006/relationships/hyperlink" Target="https://www.linkedin.com/jobs/view/4420934521" TargetMode="External" Id="rId898" /><Relationship Type="http://schemas.openxmlformats.org/officeDocument/2006/relationships/hyperlink" Target="https://www.linkedin.com/jobs/view/4429962064" TargetMode="External" Id="rId899" /><Relationship Type="http://schemas.openxmlformats.org/officeDocument/2006/relationships/hyperlink" Target="https://www.linkedin.com/jobs/view/4424701919" TargetMode="External" Id="rId900" /><Relationship Type="http://schemas.openxmlformats.org/officeDocument/2006/relationships/hyperlink" Target="https://www.linkedin.com/jobs/view/4428980039" TargetMode="External" Id="rId901" /><Relationship Type="http://schemas.openxmlformats.org/officeDocument/2006/relationships/hyperlink" Target="https://www.linkedin.com/jobs/view/4430567299" TargetMode="External" Id="rId902" /><Relationship Type="http://schemas.openxmlformats.org/officeDocument/2006/relationships/hyperlink" Target="https://www.linkedin.com/jobs/view/4429332072" TargetMode="External" Id="rId903" /><Relationship Type="http://schemas.openxmlformats.org/officeDocument/2006/relationships/hyperlink" Target="https://www.linkedin.com/jobs/view/4422106128" TargetMode="External" Id="rId904" /><Relationship Type="http://schemas.openxmlformats.org/officeDocument/2006/relationships/hyperlink" Target="https://uk.indeed.com/viewjob" TargetMode="External" Id="rId905" /><Relationship Type="http://schemas.openxmlformats.org/officeDocument/2006/relationships/hyperlink" Target="https://uk.indeed.com/viewjob" TargetMode="External" Id="rId906" /><Relationship Type="http://schemas.openxmlformats.org/officeDocument/2006/relationships/hyperlink" Target="https://www.linkedin.com/jobs/view/4423359094" TargetMode="External" Id="rId907" /><Relationship Type="http://schemas.openxmlformats.org/officeDocument/2006/relationships/hyperlink" Target="https://www.linkedin.com/jobs/view/4387176252" TargetMode="External" Id="rId908" /><Relationship Type="http://schemas.openxmlformats.org/officeDocument/2006/relationships/hyperlink" Target="https://www.linkedin.com/jobs/view/4418756598" TargetMode="External" Id="rId909" /><Relationship Type="http://schemas.openxmlformats.org/officeDocument/2006/relationships/hyperlink" Target="https://www.linkedin.com/jobs/view/4428893305" TargetMode="External" Id="rId910" /><Relationship Type="http://schemas.openxmlformats.org/officeDocument/2006/relationships/hyperlink" Target="https://www.linkedin.com/jobs/view/4416813332" TargetMode="External" Id="rId911" /><Relationship Type="http://schemas.openxmlformats.org/officeDocument/2006/relationships/hyperlink" Target="https://www.linkedin.com/jobs/view/4387174326" TargetMode="External" Id="rId912" /><Relationship Type="http://schemas.openxmlformats.org/officeDocument/2006/relationships/hyperlink" Target="https://www.linkedin.com/jobs/view/4387154984" TargetMode="External" Id="rId913" /><Relationship Type="http://schemas.openxmlformats.org/officeDocument/2006/relationships/hyperlink" Target="https://www.linkedin.com/jobs/view/4395485973" TargetMode="External" Id="rId914" /><Relationship Type="http://schemas.openxmlformats.org/officeDocument/2006/relationships/hyperlink" Target="https://uk.indeed.com/viewjob" TargetMode="External" Id="rId915" /><Relationship Type="http://schemas.openxmlformats.org/officeDocument/2006/relationships/hyperlink" Target="https://www.linkedin.com/jobs/view/4427304577" TargetMode="External" Id="rId916" /><Relationship Type="http://schemas.openxmlformats.org/officeDocument/2006/relationships/hyperlink" Target="https://www.linkedin.com/jobs/view/4417652742" TargetMode="External" Id="rId917" /><Relationship Type="http://schemas.openxmlformats.org/officeDocument/2006/relationships/hyperlink" Target="https://www.linkedin.com/jobs/view/4328150936" TargetMode="External" Id="rId918" /><Relationship Type="http://schemas.openxmlformats.org/officeDocument/2006/relationships/hyperlink" Target="https://www.linkedin.com/jobs/view/4430933615" TargetMode="External" Id="rId919" /><Relationship Type="http://schemas.openxmlformats.org/officeDocument/2006/relationships/hyperlink" Target="https://job-boards.greenhouse.io/graphcore/jobs/8597205002" TargetMode="External" Id="rId920" /><Relationship Type="http://schemas.openxmlformats.org/officeDocument/2006/relationships/hyperlink" Target="https://www.linkedin.com/jobs/view/4429947511" TargetMode="External" Id="rId921" /><Relationship Type="http://schemas.openxmlformats.org/officeDocument/2006/relationships/hyperlink" Target="https://www.linkedin.com/jobs/view/4421843735" TargetMode="External" Id="rId922" /><Relationship Type="http://schemas.openxmlformats.org/officeDocument/2006/relationships/hyperlink" Target="https://www.linkedin.com/jobs/view/4353100431" TargetMode="External" Id="rId923" /><Relationship Type="http://schemas.openxmlformats.org/officeDocument/2006/relationships/hyperlink" Target="https://uk.indeed.com/viewjob" TargetMode="External" Id="rId924" /><Relationship Type="http://schemas.openxmlformats.org/officeDocument/2006/relationships/hyperlink" Target="https://www.linkedin.com/jobs/view/4428848987" TargetMode="External" Id="rId925" /><Relationship Type="http://schemas.openxmlformats.org/officeDocument/2006/relationships/hyperlink" Target="https://www.linkedin.com/jobs/view/4310121222" TargetMode="External" Id="rId926" /><Relationship Type="http://schemas.openxmlformats.org/officeDocument/2006/relationships/hyperlink" Target="https://www.linkedin.com/jobs/view/4364299632" TargetMode="External" Id="rId927" /><Relationship Type="http://schemas.openxmlformats.org/officeDocument/2006/relationships/hyperlink" Target="https://uk.indeed.com/viewjob" TargetMode="External" Id="rId928" /><Relationship Type="http://schemas.openxmlformats.org/officeDocument/2006/relationships/hyperlink" Target="https://www.linkedin.com/jobs/view/4416591590" TargetMode="External" Id="rId929" /><Relationship Type="http://schemas.openxmlformats.org/officeDocument/2006/relationships/hyperlink" Target="https://uk.indeed.com/viewjob" TargetMode="External" Id="rId930" /><Relationship Type="http://schemas.openxmlformats.org/officeDocument/2006/relationships/hyperlink" Target="https://www.linkedin.com/jobs/view/4429236840" TargetMode="External" Id="rId931" /><Relationship Type="http://schemas.openxmlformats.org/officeDocument/2006/relationships/hyperlink" Target="https://www.linkedin.com/jobs/view/4420120956" TargetMode="External" Id="rId932" /><Relationship Type="http://schemas.openxmlformats.org/officeDocument/2006/relationships/hyperlink" Target="https://www.linkedin.com/jobs/view/4421801172" TargetMode="External" Id="rId933" /><Relationship Type="http://schemas.openxmlformats.org/officeDocument/2006/relationships/hyperlink" Target="https://www.linkedin.com/jobs/view/4412726962" TargetMode="External" Id="rId934" /><Relationship Type="http://schemas.openxmlformats.org/officeDocument/2006/relationships/hyperlink" Target="https://www.linkedin.com/jobs/view/4429904924" TargetMode="External" Id="rId935" /><Relationship Type="http://schemas.openxmlformats.org/officeDocument/2006/relationships/hyperlink" Target="https://www.linkedin.com/jobs/view/4400805132" TargetMode="External" Id="rId936" /><Relationship Type="http://schemas.openxmlformats.org/officeDocument/2006/relationships/hyperlink" Target="https://uk.indeed.com/viewjob" TargetMode="External" Id="rId937" /><Relationship Type="http://schemas.openxmlformats.org/officeDocument/2006/relationships/hyperlink" Target="https://www.linkedin.com/jobs/view/4427978459" TargetMode="External" Id="rId938" /><Relationship Type="http://schemas.openxmlformats.org/officeDocument/2006/relationships/hyperlink" Target="https://www.linkedin.com/jobs/view/4429650654" TargetMode="External" Id="rId939" /><Relationship Type="http://schemas.openxmlformats.org/officeDocument/2006/relationships/hyperlink" Target="https://www.linkedin.com/jobs/view/4425310804" TargetMode="External" Id="rId940" /><Relationship Type="http://schemas.openxmlformats.org/officeDocument/2006/relationships/hyperlink" Target="https://www.linkedin.com/jobs/view/4387288409" TargetMode="External" Id="rId941" /><Relationship Type="http://schemas.openxmlformats.org/officeDocument/2006/relationships/hyperlink" Target="https://www.linkedin.com/jobs/view/4426404851" TargetMode="External" Id="rId942" /><Relationship Type="http://schemas.openxmlformats.org/officeDocument/2006/relationships/hyperlink" Target="https://www.linkedin.com/jobs/view/4422698195" TargetMode="External" Id="rId943" /><Relationship Type="http://schemas.openxmlformats.org/officeDocument/2006/relationships/hyperlink" Target="https://www.linkedin.com/jobs/view/4417665075" TargetMode="External" Id="rId944" /><Relationship Type="http://schemas.openxmlformats.org/officeDocument/2006/relationships/hyperlink" Target="https://www.linkedin.com/jobs/view/4415280991" TargetMode="External" Id="rId945" /><Relationship Type="http://schemas.openxmlformats.org/officeDocument/2006/relationships/hyperlink" Target="https://www.linkedin.com/jobs/view/4430577386" TargetMode="External" Id="rId946" /><Relationship Type="http://schemas.openxmlformats.org/officeDocument/2006/relationships/hyperlink" Target="https://job-boards.greenhouse.io/graphcore/jobs/8605723002" TargetMode="External" Id="rId947" /><Relationship Type="http://schemas.openxmlformats.org/officeDocument/2006/relationships/hyperlink" Target="https://job-boards.greenhouse.io/graphcore/jobs/8605733002" TargetMode="External" Id="rId948" /><Relationship Type="http://schemas.openxmlformats.org/officeDocument/2006/relationships/hyperlink" Target="https://job-boards.greenhouse.io/graphcore/jobs/8605734002" TargetMode="External" Id="rId949" /><Relationship Type="http://schemas.openxmlformats.org/officeDocument/2006/relationships/hyperlink" Target="https://www.linkedin.com/jobs/view/4432243117" TargetMode="External" Id="rId950" /><Relationship Type="http://schemas.openxmlformats.org/officeDocument/2006/relationships/hyperlink" Target="https://www.linkedin.com/jobs/view/4430594197" TargetMode="External" Id="rId951" /><Relationship Type="http://schemas.openxmlformats.org/officeDocument/2006/relationships/hyperlink" Target="https://www.linkedin.com/jobs/view/4427531204" TargetMode="External" Id="rId952" /><Relationship Type="http://schemas.openxmlformats.org/officeDocument/2006/relationships/hyperlink" Target="https://www.linkedin.com/jobs/view/4426222871" TargetMode="External" Id="rId953" /><Relationship Type="http://schemas.openxmlformats.org/officeDocument/2006/relationships/hyperlink" Target="https://job-boards.greenhouse.io/monzo/jobs/8020007" TargetMode="External" Id="rId954" /><Relationship Type="http://schemas.openxmlformats.org/officeDocument/2006/relationships/hyperlink" Target="https://www.linkedin.com/jobs/view/4421169015" TargetMode="External" Id="rId955" /><Relationship Type="http://schemas.openxmlformats.org/officeDocument/2006/relationships/hyperlink" Target="https://www.linkedin.com/jobs/view/4426418068" TargetMode="External" Id="rId956" /><Relationship Type="http://schemas.openxmlformats.org/officeDocument/2006/relationships/hyperlink" Target="https://www.linkedin.com/jobs/view/4408850334" TargetMode="External" Id="rId957" /><Relationship Type="http://schemas.openxmlformats.org/officeDocument/2006/relationships/hyperlink" Target="https://www.linkedin.com/jobs/view/4389306226" TargetMode="External" Id="rId958" /><Relationship Type="http://schemas.openxmlformats.org/officeDocument/2006/relationships/hyperlink" Target="https://www.linkedin.com/jobs/view/4429663456" TargetMode="External" Id="rId959" /><Relationship Type="http://schemas.openxmlformats.org/officeDocument/2006/relationships/hyperlink" Target="https://www.linkedin.com/jobs/view/4427040252" TargetMode="External" Id="rId960" /><Relationship Type="http://schemas.openxmlformats.org/officeDocument/2006/relationships/hyperlink" Target="https://www.linkedin.com/jobs/view/4426800134" TargetMode="External" Id="rId961" /><Relationship Type="http://schemas.openxmlformats.org/officeDocument/2006/relationships/hyperlink" Target="https://uk.indeed.com/viewjob" TargetMode="External" Id="rId962" /><Relationship Type="http://schemas.openxmlformats.org/officeDocument/2006/relationships/hyperlink" Target="https://www.linkedin.com/jobs/view/4389313003" TargetMode="External" Id="rId963" /><Relationship Type="http://schemas.openxmlformats.org/officeDocument/2006/relationships/hyperlink" Target="https://www.linkedin.com/jobs/view/4430380753" TargetMode="External" Id="rId964" /><Relationship Type="http://schemas.openxmlformats.org/officeDocument/2006/relationships/hyperlink" Target="https://www.linkedin.com/jobs/view/4421154412" TargetMode="External" Id="rId965" /><Relationship Type="http://schemas.openxmlformats.org/officeDocument/2006/relationships/hyperlink" Target="https://www.linkedin.com/jobs/view/4427929895" TargetMode="External" Id="rId966" /><Relationship Type="http://schemas.openxmlformats.org/officeDocument/2006/relationships/hyperlink" Target="https://www.linkedin.com/jobs/view/4421955072" TargetMode="External" Id="rId967" /><Relationship Type="http://schemas.openxmlformats.org/officeDocument/2006/relationships/hyperlink" Target="https://www.linkedin.com/jobs/view/4428814769" TargetMode="External" Id="rId968" /><Relationship Type="http://schemas.openxmlformats.org/officeDocument/2006/relationships/hyperlink" Target="https://www.linkedin.com/jobs/view/4427375062" TargetMode="External" Id="rId969" /><Relationship Type="http://schemas.openxmlformats.org/officeDocument/2006/relationships/hyperlink" Target="https://www.linkedin.com/jobs/view/4419682415" TargetMode="External" Id="rId970" /><Relationship Type="http://schemas.openxmlformats.org/officeDocument/2006/relationships/hyperlink" Target="https://www.linkedin.com/jobs/view/4429516739" TargetMode="External" Id="rId971" /><Relationship Type="http://schemas.openxmlformats.org/officeDocument/2006/relationships/hyperlink" Target="https://www.linkedin.com/jobs/view/4426793216" TargetMode="External" Id="rId972" /><Relationship Type="http://schemas.openxmlformats.org/officeDocument/2006/relationships/hyperlink" Target="https://www.linkedin.com/jobs/view/4384258608" TargetMode="External" Id="rId973" /><Relationship Type="http://schemas.openxmlformats.org/officeDocument/2006/relationships/hyperlink" Target="https://www.linkedin.com/jobs/view/4428527837" TargetMode="External" Id="rId974" /><Relationship Type="http://schemas.openxmlformats.org/officeDocument/2006/relationships/hyperlink" Target="https://www.linkedin.com/jobs/view/4429796657" TargetMode="External" Id="rId975" /><Relationship Type="http://schemas.openxmlformats.org/officeDocument/2006/relationships/hyperlink" Target="https://www.linkedin.com/jobs/view/4415597337" TargetMode="External" Id="rId976" /><Relationship Type="http://schemas.openxmlformats.org/officeDocument/2006/relationships/hyperlink" Target="https://www.linkedin.com/jobs/view/4412738742" TargetMode="External" Id="rId977" /><Relationship Type="http://schemas.openxmlformats.org/officeDocument/2006/relationships/hyperlink" Target="https://www.linkedin.com/jobs/view/4429317069" TargetMode="External" Id="rId978" /><Relationship Type="http://schemas.openxmlformats.org/officeDocument/2006/relationships/hyperlink" Target="https://uk.indeed.com/viewjob" TargetMode="External" Id="rId979" /><Relationship Type="http://schemas.openxmlformats.org/officeDocument/2006/relationships/hyperlink" Target="https://www.linkedin.com/jobs/view/4419142741" TargetMode="External" Id="rId980" /><Relationship Type="http://schemas.openxmlformats.org/officeDocument/2006/relationships/hyperlink" Target="https://uk.indeed.com/viewjob" TargetMode="External" Id="rId981" /><Relationship Type="http://schemas.openxmlformats.org/officeDocument/2006/relationships/hyperlink" Target="https://uk.indeed.com/viewjob" TargetMode="External" Id="rId982" /><Relationship Type="http://schemas.openxmlformats.org/officeDocument/2006/relationships/hyperlink" Target="https://www.linkedin.com/jobs/view/4415289487" TargetMode="External" Id="rId983" /><Relationship Type="http://schemas.openxmlformats.org/officeDocument/2006/relationships/hyperlink" Target="https://www.linkedin.com/jobs/view/4417242012" TargetMode="External" Id="rId984" /><Relationship Type="http://schemas.openxmlformats.org/officeDocument/2006/relationships/hyperlink" Target="https://uk.indeed.com/viewjob" TargetMode="External" Id="rId985" /><Relationship Type="http://schemas.openxmlformats.org/officeDocument/2006/relationships/hyperlink" Target="https://www.linkedin.com/jobs/view/4428343580" TargetMode="External" Id="rId986" /><Relationship Type="http://schemas.openxmlformats.org/officeDocument/2006/relationships/hyperlink" Target="https://www.linkedin.com/jobs/view/4428480290" TargetMode="External" Id="rId987" /><Relationship Type="http://schemas.openxmlformats.org/officeDocument/2006/relationships/hyperlink" Target="https://www.linkedin.com/jobs/view/4422008576" TargetMode="External" Id="rId988" /><Relationship Type="http://schemas.openxmlformats.org/officeDocument/2006/relationships/hyperlink" Target="https://uk.indeed.com/viewjob" TargetMode="External" Id="rId989" /><Relationship Type="http://schemas.openxmlformats.org/officeDocument/2006/relationships/hyperlink" Target="https://www.linkedin.com/jobs/view/4427857109" TargetMode="External" Id="rId990" /><Relationship Type="http://schemas.openxmlformats.org/officeDocument/2006/relationships/hyperlink" Target="https://www.linkedin.com/jobs/view/4415137874" TargetMode="External" Id="rId991" /><Relationship Type="http://schemas.openxmlformats.org/officeDocument/2006/relationships/hyperlink" Target="https://www.linkedin.com/jobs/view/4100040117" TargetMode="External" Id="rId992" /><Relationship Type="http://schemas.openxmlformats.org/officeDocument/2006/relationships/hyperlink" Target="https://www.linkedin.com/jobs/view/4428750343" TargetMode="External" Id="rId993" /><Relationship Type="http://schemas.openxmlformats.org/officeDocument/2006/relationships/hyperlink" Target="https://uk.indeed.com/viewjob" TargetMode="External" Id="rId994" /><Relationship Type="http://schemas.openxmlformats.org/officeDocument/2006/relationships/hyperlink" Target="https://www.linkedin.com/jobs/view/4430450015" TargetMode="External" Id="rId995" /><Relationship Type="http://schemas.openxmlformats.org/officeDocument/2006/relationships/hyperlink" Target="https://uk.indeed.com/viewjob" TargetMode="External" Id="rId996" /><Relationship Type="http://schemas.openxmlformats.org/officeDocument/2006/relationships/hyperlink" Target="https://www.linkedin.com/jobs/view/4429328233" TargetMode="External" Id="rId997" /><Relationship Type="http://schemas.openxmlformats.org/officeDocument/2006/relationships/hyperlink" Target="https://www.linkedin.com/jobs/view/4430725829" TargetMode="External" Id="rId998" /><Relationship Type="http://schemas.openxmlformats.org/officeDocument/2006/relationships/hyperlink" Target="https://job-boards.greenhouse.io/monzo/jobs/7065636" TargetMode="External" Id="rId999" /><Relationship Type="http://schemas.openxmlformats.org/officeDocument/2006/relationships/hyperlink" Target="https://job-boards.greenhouse.io/monzo/jobs/6758449" TargetMode="External" Id="rId1000" /><Relationship Type="http://schemas.openxmlformats.org/officeDocument/2006/relationships/hyperlink" Target="https://uk.indeed.com/viewjob" TargetMode="External" Id="rId1001" /><Relationship Type="http://schemas.openxmlformats.org/officeDocument/2006/relationships/hyperlink" Target="https://www.linkedin.com/jobs/view/4426334877" TargetMode="External" Id="rId1002" /><Relationship Type="http://schemas.openxmlformats.org/officeDocument/2006/relationships/hyperlink" Target="https://www.linkedin.com/jobs/view/4425594723" TargetMode="External" Id="rId1003" /><Relationship Type="http://schemas.openxmlformats.org/officeDocument/2006/relationships/hyperlink" Target="https://www.linkedin.com/jobs/view/4413628179" TargetMode="External" Id="rId1004" /><Relationship Type="http://schemas.openxmlformats.org/officeDocument/2006/relationships/hyperlink" Target="https://uk.indeed.com/viewjob" TargetMode="External" Id="rId1005" /><Relationship Type="http://schemas.openxmlformats.org/officeDocument/2006/relationships/hyperlink" Target="https://uk.indeed.com/viewjob" TargetMode="External" Id="rId1006" /><Relationship Type="http://schemas.openxmlformats.org/officeDocument/2006/relationships/hyperlink" Target="https://www.linkedin.com/jobs/view/4418139716" TargetMode="External" Id="rId1007" /><Relationship Type="http://schemas.openxmlformats.org/officeDocument/2006/relationships/hyperlink" Target="https://www.linkedin.com/jobs/view/4430475914" TargetMode="External" Id="rId1008" /><Relationship Type="http://schemas.openxmlformats.org/officeDocument/2006/relationships/hyperlink" Target="https://www.linkedin.com/jobs/view/4420097588" TargetMode="External" Id="rId1009" /><Relationship Type="http://schemas.openxmlformats.org/officeDocument/2006/relationships/hyperlink" Target="https://www.linkedin.com/jobs/view/4421967570" TargetMode="External" Id="rId1010" /><Relationship Type="http://schemas.openxmlformats.org/officeDocument/2006/relationships/hyperlink" Target="https://www.linkedin.com/jobs/view/4429235740" TargetMode="External" Id="rId1011" /><Relationship Type="http://schemas.openxmlformats.org/officeDocument/2006/relationships/hyperlink" Target="https://www.linkedin.com/jobs/view/4430441310" TargetMode="External" Id="rId1012" /><Relationship Type="http://schemas.openxmlformats.org/officeDocument/2006/relationships/hyperlink" Target="https://www.linkedin.com/jobs/view/4429300971" TargetMode="External" Id="rId1013" /><Relationship Type="http://schemas.openxmlformats.org/officeDocument/2006/relationships/hyperlink" Target="https://www.linkedin.com/jobs/view/4417240913" TargetMode="External" Id="rId1014" /><Relationship Type="http://schemas.openxmlformats.org/officeDocument/2006/relationships/hyperlink" Target="https://www.linkedin.com/jobs/view/4419608053" TargetMode="External" Id="rId1015" /><Relationship Type="http://schemas.openxmlformats.org/officeDocument/2006/relationships/hyperlink" Target="https://www.linkedin.com/jobs/view/4429320268" TargetMode="External" Id="rId1016" /><Relationship Type="http://schemas.openxmlformats.org/officeDocument/2006/relationships/hyperlink" Target="https://www.linkedin.com/jobs/view/4414054559" TargetMode="External" Id="rId1017" /><Relationship Type="http://schemas.openxmlformats.org/officeDocument/2006/relationships/hyperlink" Target="https://www.linkedin.com/jobs/view/4423930002" TargetMode="External" Id="rId1018" /><Relationship Type="http://schemas.openxmlformats.org/officeDocument/2006/relationships/hyperlink" Target="https://job-boards.greenhouse.io/graphcore/jobs/8593496002" TargetMode="External" Id="rId1019" /><Relationship Type="http://schemas.openxmlformats.org/officeDocument/2006/relationships/hyperlink" Target="https://job-boards.greenhouse.io/graphcore/jobs/8593486002" TargetMode="External" Id="rId1020" /><Relationship Type="http://schemas.openxmlformats.org/officeDocument/2006/relationships/hyperlink" Target="https://sifive.wd1.myworkdayjobs.com/job/Cambridge-England-United-Kingdom/Senior-ALU-Design-Engineer_R-101196" TargetMode="External" Id="rId1021" /><Relationship Type="http://schemas.openxmlformats.org/officeDocument/2006/relationships/hyperlink" Target="https://dyson.wd3.myworkdayjobs.com/job/Germany---Hamburg-Mnckeberg-Strasse-Demo-Store/Store-Leader_JR36274" TargetMode="External" Id="rId1022" /><Relationship Type="http://schemas.openxmlformats.org/officeDocument/2006/relationships/hyperlink" Target="https://dyson.wd3.myworkdayjobs.com/job/Philippines---Advanced-Manufacturing-Office/Head-of-HR---Philippines_JR36686-1" TargetMode="External" Id="rId1023" /><Relationship Type="http://schemas.openxmlformats.org/officeDocument/2006/relationships/hyperlink" Target="https://dyson.wd3.myworkdayjobs.com/job/Singapore---St-James-Power-Station-Headquarters/Senior-Security-Officer-2_JR36548" TargetMode="External" Id="rId1024" /><Relationship Type="http://schemas.openxmlformats.org/officeDocument/2006/relationships/hyperlink" Target="https://dyson.wd3.myworkdayjobs.com/job/Netherlands---Amsterdam-Office/Senior-Amazon-COE-Manager_JR35509" TargetMode="External" Id="rId1025" /><Relationship Type="http://schemas.openxmlformats.org/officeDocument/2006/relationships/hyperlink" Target="https://job-boards.greenhouse.io/graphcore/jobs/8231827002" TargetMode="External" Id="rId1026" /><Relationship Type="http://schemas.openxmlformats.org/officeDocument/2006/relationships/hyperlink" Target="https://job-boards.greenhouse.io/graphcore/jobs/8518723002" TargetMode="External" Id="rId1027" /><Relationship Type="http://schemas.openxmlformats.org/officeDocument/2006/relationships/hyperlink" Target="https://job-boards.greenhouse.io/graphcore/jobs/8557788002" TargetMode="External" Id="rId1028" /><Relationship Type="http://schemas.openxmlformats.org/officeDocument/2006/relationships/hyperlink" Target="https://job-boards.greenhouse.io/graphcore/jobs/8400021002" TargetMode="External" Id="rId1029" /><Relationship Type="http://schemas.openxmlformats.org/officeDocument/2006/relationships/hyperlink" Target="https://job-boards.greenhouse.io/graphcore/jobs/8286166002" TargetMode="External" Id="rId1030" /><Relationship Type="http://schemas.openxmlformats.org/officeDocument/2006/relationships/hyperlink" Target="https://job-boards.greenhouse.io/graphcore/jobs/8491411002" TargetMode="External" Id="rId1031" /><Relationship Type="http://schemas.openxmlformats.org/officeDocument/2006/relationships/hyperlink" Target="https://job-boards.greenhouse.io/graphcore/jobs/8331005002" TargetMode="External" Id="rId1032" /><Relationship Type="http://schemas.openxmlformats.org/officeDocument/2006/relationships/hyperlink" Target="https://job-boards.greenhouse.io/graphcore/jobs/8592111002" TargetMode="External" Id="rId1033" /><Relationship Type="http://schemas.openxmlformats.org/officeDocument/2006/relationships/hyperlink" Target="https://job-boards.greenhouse.io/graphcore/jobs/8592142002" TargetMode="External" Id="rId1034" /><Relationship Type="http://schemas.openxmlformats.org/officeDocument/2006/relationships/hyperlink" Target="https://job-boards.greenhouse.io/graphcore/jobs/8578833002" TargetMode="External" Id="rId1035" /><Relationship Type="http://schemas.openxmlformats.org/officeDocument/2006/relationships/hyperlink" Target="https://job-boards.greenhouse.io/graphcore/jobs/8508226002" TargetMode="External" Id="rId1036" /><Relationship Type="http://schemas.openxmlformats.org/officeDocument/2006/relationships/hyperlink" Target="https://job-boards.greenhouse.io/graphcore/jobs/8556420002" TargetMode="External" Id="rId1037" /><Relationship Type="http://schemas.openxmlformats.org/officeDocument/2006/relationships/hyperlink" Target="https://job-boards.greenhouse.io/graphcore/jobs/8518844002" TargetMode="External" Id="rId1038" /><Relationship Type="http://schemas.openxmlformats.org/officeDocument/2006/relationships/hyperlink" Target="https://job-boards.greenhouse.io/graphcore/jobs/8539076002" TargetMode="External" Id="rId1039" /><Relationship Type="http://schemas.openxmlformats.org/officeDocument/2006/relationships/hyperlink" Target="https://job-boards.greenhouse.io/graphcore/jobs/8580104002" TargetMode="External" Id="rId1040" /><Relationship Type="http://schemas.openxmlformats.org/officeDocument/2006/relationships/hyperlink" Target="https://job-boards.greenhouse.io/graphcore/jobs/8570429002" TargetMode="External" Id="rId1041" /><Relationship Type="http://schemas.openxmlformats.org/officeDocument/2006/relationships/hyperlink" Target="https://job-boards.greenhouse.io/graphcore/jobs/8540620002" TargetMode="External" Id="rId1042" /><Relationship Type="http://schemas.openxmlformats.org/officeDocument/2006/relationships/hyperlink" Target="https://job-boards.greenhouse.io/graphcore/jobs/8539141002" TargetMode="External" Id="rId1043" /><Relationship Type="http://schemas.openxmlformats.org/officeDocument/2006/relationships/hyperlink" Target="https://job-boards.greenhouse.io/graphcore/jobs/8563755002" TargetMode="External" Id="rId1044" /><Relationship Type="http://schemas.openxmlformats.org/officeDocument/2006/relationships/hyperlink" Target="https://job-boards.greenhouse.io/graphcore/jobs/8563760002" TargetMode="External" Id="rId1045" /><Relationship Type="http://schemas.openxmlformats.org/officeDocument/2006/relationships/hyperlink" Target="https://job-boards.greenhouse.io/graphcore/jobs/8552250002" TargetMode="External" Id="rId1046" /><Relationship Type="http://schemas.openxmlformats.org/officeDocument/2006/relationships/hyperlink" Target="https://job-boards.greenhouse.io/graphcore/jobs/8570757002" TargetMode="External" Id="rId1047" /><Relationship Type="http://schemas.openxmlformats.org/officeDocument/2006/relationships/hyperlink" Target="https://job-boards.greenhouse.io/graphcore/jobs/8518792002" TargetMode="External" Id="rId1048" /><Relationship Type="http://schemas.openxmlformats.org/officeDocument/2006/relationships/hyperlink" Target="https://job-boards.greenhouse.io/graphcore/jobs/8591785002" TargetMode="External" Id="rId1049" /><Relationship Type="http://schemas.openxmlformats.org/officeDocument/2006/relationships/hyperlink" Target="https://job-boards.greenhouse.io/graphcore/jobs/8221993002" TargetMode="External" Id="rId1050" /><Relationship Type="http://schemas.openxmlformats.org/officeDocument/2006/relationships/hyperlink" Target="https://job-boards.greenhouse.io/graphcore/jobs/8385929002" TargetMode="External" Id="rId1051" /><Relationship Type="http://schemas.openxmlformats.org/officeDocument/2006/relationships/hyperlink" Target="https://job-boards.greenhouse.io/graphcore/jobs/8591764002" TargetMode="External" Id="rId1052" /><Relationship Type="http://schemas.openxmlformats.org/officeDocument/2006/relationships/hyperlink" Target="https://job-boards.greenhouse.io/graphcore/jobs/8552164002" TargetMode="External" Id="rId1053" /><Relationship Type="http://schemas.openxmlformats.org/officeDocument/2006/relationships/hyperlink" Target="https://job-boards.greenhouse.io/graphcore/jobs/8555848002" TargetMode="External" Id="rId1054" /><Relationship Type="http://schemas.openxmlformats.org/officeDocument/2006/relationships/hyperlink" Target="https://job-boards.greenhouse.io/graphcore/jobs/8452538002" TargetMode="External" Id="rId1055" /><Relationship Type="http://schemas.openxmlformats.org/officeDocument/2006/relationships/hyperlink" Target="https://job-boards.greenhouse.io/graphcore/jobs/8562527002" TargetMode="External" Id="rId1056" /><Relationship Type="http://schemas.openxmlformats.org/officeDocument/2006/relationships/hyperlink" Target="https://job-boards.greenhouse.io/graphcore/jobs/8331057002" TargetMode="External" Id="rId1057" /><Relationship Type="http://schemas.openxmlformats.org/officeDocument/2006/relationships/hyperlink" Target="https://job-boards.greenhouse.io/graphcore/jobs/8397788002" TargetMode="External" Id="rId1058" /><Relationship Type="http://schemas.openxmlformats.org/officeDocument/2006/relationships/hyperlink" Target="https://job-boards.greenhouse.io/graphcore/jobs/8587305002" TargetMode="External" Id="rId1059" /><Relationship Type="http://schemas.openxmlformats.org/officeDocument/2006/relationships/hyperlink" Target="https://job-boards.greenhouse.io/graphcore/jobs/8556007002" TargetMode="External" Id="rId1060" /><Relationship Type="http://schemas.openxmlformats.org/officeDocument/2006/relationships/hyperlink" Target="https://job-boards.greenhouse.io/graphcore/jobs/8551299002" TargetMode="External" Id="rId1061" /><Relationship Type="http://schemas.openxmlformats.org/officeDocument/2006/relationships/hyperlink" Target="https://job-boards.greenhouse.io/graphcore/jobs/8288720002" TargetMode="External" Id="rId1062" /><Relationship Type="http://schemas.openxmlformats.org/officeDocument/2006/relationships/hyperlink" Target="https://job-boards.greenhouse.io/graphcore/jobs/8486444002" TargetMode="External" Id="rId1063" /><Relationship Type="http://schemas.openxmlformats.org/officeDocument/2006/relationships/hyperlink" Target="https://job-boards.greenhouse.io/graphcore/jobs/8392083002" TargetMode="External" Id="rId1064" /><Relationship Type="http://schemas.openxmlformats.org/officeDocument/2006/relationships/hyperlink" Target="https://job-boards.greenhouse.io/graphcore/jobs/8584807002" TargetMode="External" Id="rId1065" /><Relationship Type="http://schemas.openxmlformats.org/officeDocument/2006/relationships/hyperlink" Target="https://job-boards.greenhouse.io/graphcore/jobs/8555843002" TargetMode="External" Id="rId1066" /><Relationship Type="http://schemas.openxmlformats.org/officeDocument/2006/relationships/hyperlink" Target="https://job-boards.greenhouse.io/graphcore/jobs/8487598002" TargetMode="External" Id="rId1067" /><Relationship Type="http://schemas.openxmlformats.org/officeDocument/2006/relationships/hyperlink" Target="https://job-boards.greenhouse.io/graphcore/jobs/8551772002" TargetMode="External" Id="rId1068" /><Relationship Type="http://schemas.openxmlformats.org/officeDocument/2006/relationships/hyperlink" Target="https://job-boards.greenhouse.io/graphcore/jobs/8499911002" TargetMode="External" Id="rId1069" /><Relationship Type="http://schemas.openxmlformats.org/officeDocument/2006/relationships/hyperlink" Target="https://job-boards.greenhouse.io/graphcore/jobs/8307216002" TargetMode="External" Id="rId1070" /><Relationship Type="http://schemas.openxmlformats.org/officeDocument/2006/relationships/hyperlink" Target="https://job-boards.greenhouse.io/graphcore/jobs/8561921002" TargetMode="External" Id="rId1071" /><Relationship Type="http://schemas.openxmlformats.org/officeDocument/2006/relationships/hyperlink" Target="https://job-boards.greenhouse.io/graphcore/jobs/8561933002" TargetMode="External" Id="rId1072" /><Relationship Type="http://schemas.openxmlformats.org/officeDocument/2006/relationships/hyperlink" Target="https://job-boards.greenhouse.io/graphcore/jobs/8532820002" TargetMode="External" Id="rId1073" /><Relationship Type="http://schemas.openxmlformats.org/officeDocument/2006/relationships/hyperlink" Target="https://job-boards.greenhouse.io/graphcore/jobs/8532823002" TargetMode="External" Id="rId1074" /><Relationship Type="http://schemas.openxmlformats.org/officeDocument/2006/relationships/hyperlink" Target="https://job-boards.greenhouse.io/graphcore/jobs/8561919002" TargetMode="External" Id="rId1075" /><Relationship Type="http://schemas.openxmlformats.org/officeDocument/2006/relationships/hyperlink" Target="https://job-boards.greenhouse.io/graphcore/jobs/8561935002" TargetMode="External" Id="rId1076" /><Relationship Type="http://schemas.openxmlformats.org/officeDocument/2006/relationships/hyperlink" Target="https://job-boards.greenhouse.io/graphcore/jobs/8491246002" TargetMode="External" Id="rId1077" /><Relationship Type="http://schemas.openxmlformats.org/officeDocument/2006/relationships/hyperlink" Target="https://job-boards.greenhouse.io/graphcore/jobs/8561922002" TargetMode="External" Id="rId1078" /><Relationship Type="http://schemas.openxmlformats.org/officeDocument/2006/relationships/hyperlink" Target="https://job-boards.greenhouse.io/graphcore/jobs/8561937002" TargetMode="External" Id="rId1079" /><Relationship Type="http://schemas.openxmlformats.org/officeDocument/2006/relationships/hyperlink" Target="https://job-boards.greenhouse.io/graphcore/jobs/8236243002" TargetMode="External" Id="rId1080" /><Relationship Type="http://schemas.openxmlformats.org/officeDocument/2006/relationships/hyperlink" Target="https://job-boards.greenhouse.io/graphcore/jobs/8215495002" TargetMode="External" Id="rId1081" /><Relationship Type="http://schemas.openxmlformats.org/officeDocument/2006/relationships/hyperlink" Target="https://job-boards.greenhouse.io/graphcore/jobs/8561885002" TargetMode="External" Id="rId1082" /><Relationship Type="http://schemas.openxmlformats.org/officeDocument/2006/relationships/hyperlink" Target="https://job-boards.greenhouse.io/graphcore/jobs/8561882002" TargetMode="External" Id="rId1083" /><Relationship Type="http://schemas.openxmlformats.org/officeDocument/2006/relationships/hyperlink" Target="https://job-boards.greenhouse.io/graphcore/jobs/8561880002" TargetMode="External" Id="rId1084" /><Relationship Type="http://schemas.openxmlformats.org/officeDocument/2006/relationships/hyperlink" Target="https://job-boards.greenhouse.io/graphcore/jobs/8570789002" TargetMode="External" Id="rId1085" /><Relationship Type="http://schemas.openxmlformats.org/officeDocument/2006/relationships/hyperlink" Target="https://job-boards.greenhouse.io/graphcore/jobs/8540740002" TargetMode="External" Id="rId1086" /><Relationship Type="http://schemas.openxmlformats.org/officeDocument/2006/relationships/hyperlink" Target="https://job-boards.greenhouse.io/graphcore/jobs/8345184002" TargetMode="External" Id="rId1087" /><Relationship Type="http://schemas.openxmlformats.org/officeDocument/2006/relationships/hyperlink" Target="https://job-boards.greenhouse.io/graphcore/jobs/8588177002" TargetMode="External" Id="rId1088" /><Relationship Type="http://schemas.openxmlformats.org/officeDocument/2006/relationships/hyperlink" Target="https://job-boards.greenhouse.io/graphcore/jobs/8491680002" TargetMode="External" Id="rId1089" /><Relationship Type="http://schemas.openxmlformats.org/officeDocument/2006/relationships/hyperlink" Target="https://job-boards.greenhouse.io/graphcore/jobs/8564380002" TargetMode="External" Id="rId1090" /><Relationship Type="http://schemas.openxmlformats.org/officeDocument/2006/relationships/hyperlink" Target="https://job-boards.greenhouse.io/graphcore/jobs/8392724002" TargetMode="External" Id="rId1091" /><Relationship Type="http://schemas.openxmlformats.org/officeDocument/2006/relationships/hyperlink" Target="https://job-boards.greenhouse.io/graphcore/jobs/8331061002" TargetMode="External" Id="rId1092" /><Relationship Type="http://schemas.openxmlformats.org/officeDocument/2006/relationships/hyperlink" Target="https://job-boards.greenhouse.io/graphcore/jobs/8314206002" TargetMode="External" Id="rId1093" /><Relationship Type="http://schemas.openxmlformats.org/officeDocument/2006/relationships/hyperlink" Target="https://job-boards.greenhouse.io/graphcore/jobs/8587344002" TargetMode="External" Id="rId1094" /><Relationship Type="http://schemas.openxmlformats.org/officeDocument/2006/relationships/hyperlink" Target="https://job-boards.greenhouse.io/graphcore/jobs/8463815002" TargetMode="External" Id="rId1095" /><Relationship Type="http://schemas.openxmlformats.org/officeDocument/2006/relationships/hyperlink" Target="https://job-boards.greenhouse.io/graphcore/jobs/8424276002" TargetMode="External" Id="rId1096" /><Relationship Type="http://schemas.openxmlformats.org/officeDocument/2006/relationships/hyperlink" Target="https://job-boards.greenhouse.io/graphcore/jobs/8483256002" TargetMode="External" Id="rId1097" /><Relationship Type="http://schemas.openxmlformats.org/officeDocument/2006/relationships/hyperlink" Target="https://job-boards.greenhouse.io/graphcore/jobs/8475041002" TargetMode="External" Id="rId1098" /><Relationship Type="http://schemas.openxmlformats.org/officeDocument/2006/relationships/hyperlink" Target="https://job-boards.greenhouse.io/graphcore/jobs/8559387002" TargetMode="External" Id="rId1099" /><Relationship Type="http://schemas.openxmlformats.org/officeDocument/2006/relationships/hyperlink" Target="https://job-boards.greenhouse.io/graphcore/jobs/8537163002" TargetMode="External" Id="rId1100" /><Relationship Type="http://schemas.openxmlformats.org/officeDocument/2006/relationships/hyperlink" Target="https://job-boards.greenhouse.io/graphcore/jobs/8588019002" TargetMode="External" Id="rId1101" /><Relationship Type="http://schemas.openxmlformats.org/officeDocument/2006/relationships/hyperlink" Target="https://job-boards.greenhouse.io/graphcore/jobs/8288832002" TargetMode="External" Id="rId1102" /><Relationship Type="http://schemas.openxmlformats.org/officeDocument/2006/relationships/hyperlink" Target="https://job-boards.greenhouse.io/graphcore/jobs/8471161002" TargetMode="External" Id="rId1103" /><Relationship Type="http://schemas.openxmlformats.org/officeDocument/2006/relationships/hyperlink" Target="https://job-boards.greenhouse.io/graphcore/jobs/8551809002" TargetMode="External" Id="rId1104" /><Relationship Type="http://schemas.openxmlformats.org/officeDocument/2006/relationships/hyperlink" Target="https://job-boards.greenhouse.io/graphcore/jobs/8551607002" TargetMode="External" Id="rId1105" /><Relationship Type="http://schemas.openxmlformats.org/officeDocument/2006/relationships/hyperlink" Target="https://job-boards.greenhouse.io/graphcore/jobs/8461897002" TargetMode="External" Id="rId1106" /><Relationship Type="http://schemas.openxmlformats.org/officeDocument/2006/relationships/hyperlink" Target="https://job-boards.greenhouse.io/graphcore/jobs/8557872002" TargetMode="External" Id="rId1107" /><Relationship Type="http://schemas.openxmlformats.org/officeDocument/2006/relationships/hyperlink" Target="https://job-boards.greenhouse.io/graphcore/jobs/8558195002" TargetMode="External" Id="rId1108" /><Relationship Type="http://schemas.openxmlformats.org/officeDocument/2006/relationships/hyperlink" Target="https://job-boards.greenhouse.io/graphcore/jobs/8556367002" TargetMode="External" Id="rId1109" /><Relationship Type="http://schemas.openxmlformats.org/officeDocument/2006/relationships/hyperlink" Target="https://job-boards.greenhouse.io/graphcore/jobs/8561889002" TargetMode="External" Id="rId1110" /><Relationship Type="http://schemas.openxmlformats.org/officeDocument/2006/relationships/hyperlink" Target="https://job-boards.greenhouse.io/graphcore/jobs/8561894002" TargetMode="External" Id="rId1111" /><Relationship Type="http://schemas.openxmlformats.org/officeDocument/2006/relationships/hyperlink" Target="https://job-boards.greenhouse.io/graphcore/jobs/8561891002" TargetMode="External" Id="rId1112" /><Relationship Type="http://schemas.openxmlformats.org/officeDocument/2006/relationships/hyperlink" Target="https://job-boards.greenhouse.io/graphcore/jobs/8375821002" TargetMode="External" Id="rId1113" /><Relationship Type="http://schemas.openxmlformats.org/officeDocument/2006/relationships/hyperlink" Target="https://job-boards.greenhouse.io/graphcore/jobs/8504354002" TargetMode="External" Id="rId1114" /><Relationship Type="http://schemas.openxmlformats.org/officeDocument/2006/relationships/hyperlink" Target="https://job-boards.greenhouse.io/graphcore/jobs/8533901002" TargetMode="External" Id="rId1115" /><Relationship Type="http://schemas.openxmlformats.org/officeDocument/2006/relationships/hyperlink" Target="https://job-boards.greenhouse.io/graphcore/jobs/8533902002" TargetMode="External" Id="rId1116" /><Relationship Type="http://schemas.openxmlformats.org/officeDocument/2006/relationships/hyperlink" Target="https://job-boards.greenhouse.io/graphcore/jobs/8533895002" TargetMode="External" Id="rId1117" /><Relationship Type="http://schemas.openxmlformats.org/officeDocument/2006/relationships/hyperlink" Target="https://job-boards.greenhouse.io/graphcore/jobs/8533897002" TargetMode="External" Id="rId1118" /><Relationship Type="http://schemas.openxmlformats.org/officeDocument/2006/relationships/hyperlink" Target="https://job-boards.greenhouse.io/graphcore/jobs/8533907002" TargetMode="External" Id="rId1119" /><Relationship Type="http://schemas.openxmlformats.org/officeDocument/2006/relationships/hyperlink" Target="https://job-boards.greenhouse.io/graphcore/jobs/8533906002" TargetMode="External" Id="rId1120" /><Relationship Type="http://schemas.openxmlformats.org/officeDocument/2006/relationships/hyperlink" Target="https://job-boards.greenhouse.io/graphcore/jobs/8558989002" TargetMode="External" Id="rId1121" /><Relationship Type="http://schemas.openxmlformats.org/officeDocument/2006/relationships/hyperlink" Target="https://job-boards.greenhouse.io/graphcore/jobs/8446037002" TargetMode="External" Id="rId1122" /><Relationship Type="http://schemas.openxmlformats.org/officeDocument/2006/relationships/hyperlink" Target="https://job-boards.greenhouse.io/graphcore/jobs/8570801002" TargetMode="External" Id="rId1123" /><Relationship Type="http://schemas.openxmlformats.org/officeDocument/2006/relationships/hyperlink" Target="https://job-boards.greenhouse.io/graphcore/jobs/8426780002" TargetMode="External" Id="rId1124" /><Relationship Type="http://schemas.openxmlformats.org/officeDocument/2006/relationships/hyperlink" Target="https://job-boards.greenhouse.io/graphcore/jobs/8574179002" TargetMode="External" Id="rId1125" /><Relationship Type="http://schemas.openxmlformats.org/officeDocument/2006/relationships/hyperlink" Target="https://job-boards.greenhouse.io/graphcore/jobs/8551732002" TargetMode="External" Id="rId1126" /><Relationship Type="http://schemas.openxmlformats.org/officeDocument/2006/relationships/hyperlink" Target="https://job-boards.greenhouse.io/graphcore/jobs/8499922002" TargetMode="External" Id="rId1127" /><Relationship Type="http://schemas.openxmlformats.org/officeDocument/2006/relationships/hyperlink" Target="https://job-boards.greenhouse.io/graphcore/jobs/8307242002" TargetMode="External" Id="rId1128" /><Relationship Type="http://schemas.openxmlformats.org/officeDocument/2006/relationships/hyperlink" Target="https://job-boards.greenhouse.io/graphcore/jobs/8562401002" TargetMode="External" Id="rId1129" /><Relationship Type="http://schemas.openxmlformats.org/officeDocument/2006/relationships/hyperlink" Target="https://job-boards.greenhouse.io/graphcore/jobs/8562405002" TargetMode="External" Id="rId1130" /><Relationship Type="http://schemas.openxmlformats.org/officeDocument/2006/relationships/hyperlink" Target="https://job-boards.greenhouse.io/graphcore/jobs/8551907002" TargetMode="External" Id="rId1131" /><Relationship Type="http://schemas.openxmlformats.org/officeDocument/2006/relationships/hyperlink" Target="https://job-boards.greenhouse.io/graphcore/jobs/8288728002" TargetMode="External" Id="rId1132" /><Relationship Type="http://schemas.openxmlformats.org/officeDocument/2006/relationships/hyperlink" Target="https://job-boards.greenhouse.io/graphcore/jobs/8563081002" TargetMode="External" Id="rId1133" /><Relationship Type="http://schemas.openxmlformats.org/officeDocument/2006/relationships/hyperlink" Target="https://job-boards.greenhouse.io/graphcore/jobs/8560612002" TargetMode="External" Id="rId1134" /><Relationship Type="http://schemas.openxmlformats.org/officeDocument/2006/relationships/hyperlink" Target="https://job-boards.greenhouse.io/graphcore/jobs/8561870002" TargetMode="External" Id="rId1135" /><Relationship Type="http://schemas.openxmlformats.org/officeDocument/2006/relationships/hyperlink" Target="https://job-boards.greenhouse.io/graphcore/jobs/8561868002" TargetMode="External" Id="rId1136" /><Relationship Type="http://schemas.openxmlformats.org/officeDocument/2006/relationships/hyperlink" Target="https://job-boards.greenhouse.io/graphcore/jobs/8561869002" TargetMode="External" Id="rId1137" /><Relationship Type="http://schemas.openxmlformats.org/officeDocument/2006/relationships/hyperlink" Target="https://job-boards.greenhouse.io/graphcore/jobs/8505287002" TargetMode="External" Id="rId1138" /><Relationship Type="http://schemas.openxmlformats.org/officeDocument/2006/relationships/hyperlink" Target="https://job-boards.greenhouse.io/graphcore/jobs/8385996002" TargetMode="External" Id="rId1139" /><Relationship Type="http://schemas.openxmlformats.org/officeDocument/2006/relationships/hyperlink" Target="https://job-boards.greenhouse.io/graphcore/jobs/8505267002" TargetMode="External" Id="rId1140" /><Relationship Type="http://schemas.openxmlformats.org/officeDocument/2006/relationships/hyperlink" Target="https://job-boards.greenhouse.io/graphcore/jobs/8527814002" TargetMode="External" Id="rId1141" /><Relationship Type="http://schemas.openxmlformats.org/officeDocument/2006/relationships/hyperlink" Target="https://job-boards.greenhouse.io/graphcore/jobs/8542598002" TargetMode="External" Id="rId1142" /><Relationship Type="http://schemas.openxmlformats.org/officeDocument/2006/relationships/hyperlink" Target="https://job-boards.greenhouse.io/graphcore/jobs/8586161002" TargetMode="External" Id="rId1143" /><Relationship Type="http://schemas.openxmlformats.org/officeDocument/2006/relationships/hyperlink" Target="https://job-boards.greenhouse.io/graphcore/jobs/8480456002" TargetMode="External" Id="rId1144" /><Relationship Type="http://schemas.openxmlformats.org/officeDocument/2006/relationships/hyperlink" Target="https://job-boards.greenhouse.io/graphcore/jobs/8587313002" TargetMode="External" Id="rId1145" /><Relationship Type="http://schemas.openxmlformats.org/officeDocument/2006/relationships/hyperlink" Target="https://job-boards.greenhouse.io/graphcore/jobs/8557773002" TargetMode="External" Id="rId1146" /><Relationship Type="http://schemas.openxmlformats.org/officeDocument/2006/relationships/hyperlink" Target="https://job-boards.greenhouse.io/graphcore/jobs/8475099002" TargetMode="External" Id="rId1147" /><Relationship Type="http://schemas.openxmlformats.org/officeDocument/2006/relationships/hyperlink" Target="https://job-boards.greenhouse.io/graphcore/jobs/8551924002" TargetMode="External" Id="rId1148" /><Relationship Type="http://schemas.openxmlformats.org/officeDocument/2006/relationships/hyperlink" Target="https://job-boards.greenhouse.io/graphcore/jobs/8286990002" TargetMode="External" Id="rId1149" /><Relationship Type="http://schemas.openxmlformats.org/officeDocument/2006/relationships/hyperlink" Target="https://job-boards.greenhouse.io/graphcore/jobs/8221995002" TargetMode="External" Id="rId1150" /><Relationship Type="http://schemas.openxmlformats.org/officeDocument/2006/relationships/hyperlink" Target="https://job-boards.greenhouse.io/graphcore/jobs/8486440002" TargetMode="External" Id="rId1151" /><Relationship Type="http://schemas.openxmlformats.org/officeDocument/2006/relationships/hyperlink" Target="https://job-boards.greenhouse.io/graphcore/jobs/8547700002" TargetMode="External" Id="rId1152" /><Relationship Type="http://schemas.openxmlformats.org/officeDocument/2006/relationships/hyperlink" Target="https://job-boards.greenhouse.io/graphcore/jobs/8558223002" TargetMode="External" Id="rId1153" /><Relationship Type="http://schemas.openxmlformats.org/officeDocument/2006/relationships/hyperlink" Target="https://job-boards.greenhouse.io/graphcore/jobs/8558651002" TargetMode="External" Id="rId1154" /><Relationship Type="http://schemas.openxmlformats.org/officeDocument/2006/relationships/hyperlink" Target="https://job-boards.greenhouse.io/graphcore/jobs/8556276002" TargetMode="External" Id="rId1155" /><Relationship Type="http://schemas.openxmlformats.org/officeDocument/2006/relationships/hyperlink" Target="https://job-boards.greenhouse.io/graphcore/jobs/8556269002" TargetMode="External" Id="rId1156" /><Relationship Type="http://schemas.openxmlformats.org/officeDocument/2006/relationships/hyperlink" Target="https://job-boards.greenhouse.io/graphcore/jobs/8551935002" TargetMode="External" Id="rId1157" /><Relationship Type="http://schemas.openxmlformats.org/officeDocument/2006/relationships/hyperlink" Target="https://job-boards.greenhouse.io/graphcore/jobs/8561854002" TargetMode="External" Id="rId1158" /><Relationship Type="http://schemas.openxmlformats.org/officeDocument/2006/relationships/hyperlink" Target="https://job-boards.greenhouse.io/graphcore/jobs/8561855002" TargetMode="External" Id="rId1159" /><Relationship Type="http://schemas.openxmlformats.org/officeDocument/2006/relationships/hyperlink" Target="https://job-boards.greenhouse.io/graphcore/jobs/8561856002" TargetMode="External" Id="rId1160" /><Relationship Type="http://schemas.openxmlformats.org/officeDocument/2006/relationships/hyperlink" Target="https://job-boards.greenhouse.io/graphcore/jobs/8504323002" TargetMode="External" Id="rId1161" /><Relationship Type="http://schemas.openxmlformats.org/officeDocument/2006/relationships/hyperlink" Target="https://job-boards.greenhouse.io/graphcore/jobs/8460095002" TargetMode="External" Id="rId1162" /><Relationship Type="http://schemas.openxmlformats.org/officeDocument/2006/relationships/hyperlink" Target="https://job-boards.greenhouse.io/graphcore/jobs/8554645002" TargetMode="External" Id="rId1163" /><Relationship Type="http://schemas.openxmlformats.org/officeDocument/2006/relationships/hyperlink" Target="https://job-boards.greenhouse.io/graphcore/jobs/8460920002" TargetMode="External" Id="rId1164" /><Relationship Type="http://schemas.openxmlformats.org/officeDocument/2006/relationships/hyperlink" Target="https://job-boards.greenhouse.io/graphcore/jobs/8460942002" TargetMode="External" Id="rId1165" /><Relationship Type="http://schemas.openxmlformats.org/officeDocument/2006/relationships/hyperlink" Target="https://job-boards.greenhouse.io/graphcore/jobs/8593516002" TargetMode="External" Id="rId1166" /><Relationship Type="http://schemas.openxmlformats.org/officeDocument/2006/relationships/hyperlink" Target="https://job-boards.greenhouse.io/graphcore/jobs/8558960002" TargetMode="External" Id="rId1167" /><Relationship Type="http://schemas.openxmlformats.org/officeDocument/2006/relationships/hyperlink" Target="https://job-boards.greenhouse.io/graphcore/jobs/8511201002" TargetMode="External" Id="rId1168" /><Relationship Type="http://schemas.openxmlformats.org/officeDocument/2006/relationships/hyperlink" Target="https://job-boards.greenhouse.io/graphcore/jobs/8570785002" TargetMode="External" Id="rId1169" /><Relationship Type="http://schemas.openxmlformats.org/officeDocument/2006/relationships/hyperlink" Target="https://job-boards.greenhouse.io/graphcore/jobs/8372323002" TargetMode="External" Id="rId1170" /><Relationship Type="http://schemas.openxmlformats.org/officeDocument/2006/relationships/hyperlink" Target="https://job-boards.greenhouse.io/graphcore/jobs/8558952002" TargetMode="External" Id="rId1171" /><Relationship Type="http://schemas.openxmlformats.org/officeDocument/2006/relationships/hyperlink" Target="https://job-boards.greenhouse.io/cerebrassystems/jobs/7763752003" TargetMode="External" Id="rId1172" /><Relationship Type="http://schemas.openxmlformats.org/officeDocument/2006/relationships/hyperlink" Target="https://job-boards.greenhouse.io/cerebrassystems/jobs/7608975003" TargetMode="External" Id="rId1173" /><Relationship Type="http://schemas.openxmlformats.org/officeDocument/2006/relationships/hyperlink" Target="https://job-boards.greenhouse.io/cerebrassystems/jobs/7652064003" TargetMode="External" Id="rId1174" /><Relationship Type="http://schemas.openxmlformats.org/officeDocument/2006/relationships/hyperlink" Target="https://job-boards.greenhouse.io/cerebrassystems/jobs/7579627003" TargetMode="External" Id="rId1175" /><Relationship Type="http://schemas.openxmlformats.org/officeDocument/2006/relationships/hyperlink" Target="https://job-boards.greenhouse.io/cerebrassystems/jobs/7762028003" TargetMode="External" Id="rId1176" /><Relationship Type="http://schemas.openxmlformats.org/officeDocument/2006/relationships/hyperlink" Target="https://job-boards.greenhouse.io/cerebrassystems/jobs/7742830003" TargetMode="External" Id="rId1177" /><Relationship Type="http://schemas.openxmlformats.org/officeDocument/2006/relationships/hyperlink" Target="https://job-boards.greenhouse.io/cerebrassystems/jobs/6519874003" TargetMode="External" Id="rId1178" /><Relationship Type="http://schemas.openxmlformats.org/officeDocument/2006/relationships/hyperlink" Target="https://job-boards.greenhouse.io/cerebrassystems/jobs/7677635003" TargetMode="External" Id="rId1179" /><Relationship Type="http://schemas.openxmlformats.org/officeDocument/2006/relationships/hyperlink" Target="https://job-boards.greenhouse.io/cerebrassystems/jobs/7629636003" TargetMode="External" Id="rId1180" /><Relationship Type="http://schemas.openxmlformats.org/officeDocument/2006/relationships/hyperlink" Target="https://job-boards.greenhouse.io/cerebrassystems/jobs/7767933003" TargetMode="External" Id="rId1181" /><Relationship Type="http://schemas.openxmlformats.org/officeDocument/2006/relationships/hyperlink" Target="https://job-boards.greenhouse.io/cerebrassystems/jobs/7527591003" TargetMode="External" Id="rId1182" /><Relationship Type="http://schemas.openxmlformats.org/officeDocument/2006/relationships/hyperlink" Target="https://job-boards.greenhouse.io/cerebrassystems/jobs/7728798003" TargetMode="External" Id="rId1183" /><Relationship Type="http://schemas.openxmlformats.org/officeDocument/2006/relationships/hyperlink" Target="https://job-boards.greenhouse.io/cerebrassystems/jobs/7511484003" TargetMode="External" Id="rId1184" /><Relationship Type="http://schemas.openxmlformats.org/officeDocument/2006/relationships/hyperlink" Target="https://job-boards.greenhouse.io/cerebrassystems/jobs/7480543003" TargetMode="External" Id="rId1185" /><Relationship Type="http://schemas.openxmlformats.org/officeDocument/2006/relationships/hyperlink" Target="https://job-boards.greenhouse.io/cerebrassystems/jobs/7560555003" TargetMode="External" Id="rId1186" /><Relationship Type="http://schemas.openxmlformats.org/officeDocument/2006/relationships/hyperlink" Target="https://job-boards.greenhouse.io/cerebrassystems/jobs/7647324003" TargetMode="External" Id="rId1187" /><Relationship Type="http://schemas.openxmlformats.org/officeDocument/2006/relationships/hyperlink" Target="https://job-boards.greenhouse.io/cerebrassystems/jobs/7748840003" TargetMode="External" Id="rId1188" /><Relationship Type="http://schemas.openxmlformats.org/officeDocument/2006/relationships/hyperlink" Target="https://job-boards.greenhouse.io/cerebrassystems/jobs/7612274003" TargetMode="External" Id="rId1189" /><Relationship Type="http://schemas.openxmlformats.org/officeDocument/2006/relationships/hyperlink" Target="https://job-boards.greenhouse.io/cerebrassystems/jobs/7763907003" TargetMode="External" Id="rId1190" /><Relationship Type="http://schemas.openxmlformats.org/officeDocument/2006/relationships/hyperlink" Target="https://job-boards.greenhouse.io/cerebrassystems/jobs/7694944003" TargetMode="External" Id="rId1191" /><Relationship Type="http://schemas.openxmlformats.org/officeDocument/2006/relationships/hyperlink" Target="https://job-boards.greenhouse.io/cerebrassystems/jobs/7675820003" TargetMode="External" Id="rId1192" /><Relationship Type="http://schemas.openxmlformats.org/officeDocument/2006/relationships/hyperlink" Target="https://job-boards.greenhouse.io/cerebrassystems/jobs/7522557003" TargetMode="External" Id="rId1193" /><Relationship Type="http://schemas.openxmlformats.org/officeDocument/2006/relationships/hyperlink" Target="https://job-boards.greenhouse.io/cerebrassystems/jobs/7620384003" TargetMode="External" Id="rId1194" /><Relationship Type="http://schemas.openxmlformats.org/officeDocument/2006/relationships/hyperlink" Target="https://job-boards.greenhouse.io/cerebrassystems/jobs/7622330003" TargetMode="External" Id="rId1195" /><Relationship Type="http://schemas.openxmlformats.org/officeDocument/2006/relationships/hyperlink" Target="https://job-boards.greenhouse.io/cerebrassystems/jobs/7698266003" TargetMode="External" Id="rId1196" /><Relationship Type="http://schemas.openxmlformats.org/officeDocument/2006/relationships/hyperlink" Target="https://job-boards.greenhouse.io/cerebrassystems/jobs/7628238003" TargetMode="External" Id="rId1197" /><Relationship Type="http://schemas.openxmlformats.org/officeDocument/2006/relationships/hyperlink" Target="https://job-boards.greenhouse.io/cerebrassystems/jobs/7720337003" TargetMode="External" Id="rId1198" /><Relationship Type="http://schemas.openxmlformats.org/officeDocument/2006/relationships/hyperlink" Target="https://job-boards.greenhouse.io/cerebrassystems/jobs/7510635003" TargetMode="External" Id="rId1199" /><Relationship Type="http://schemas.openxmlformats.org/officeDocument/2006/relationships/hyperlink" Target="https://job-boards.greenhouse.io/cerebrassystems/jobs/7628233003" TargetMode="External" Id="rId1200" /><Relationship Type="http://schemas.openxmlformats.org/officeDocument/2006/relationships/hyperlink" Target="https://job-boards.greenhouse.io/cerebrassystems/jobs/7628230003" TargetMode="External" Id="rId1201" /><Relationship Type="http://schemas.openxmlformats.org/officeDocument/2006/relationships/hyperlink" Target="https://job-boards.greenhouse.io/cerebrassystems/jobs/7762063003" TargetMode="External" Id="rId1202" /><Relationship Type="http://schemas.openxmlformats.org/officeDocument/2006/relationships/hyperlink" Target="https://job-boards.greenhouse.io/cerebrassystems/jobs/7522548003" TargetMode="External" Id="rId1203" /><Relationship Type="http://schemas.openxmlformats.org/officeDocument/2006/relationships/hyperlink" Target="https://job-boards.greenhouse.io/cerebrassystems/jobs/7684098003" TargetMode="External" Id="rId1204" /><Relationship Type="http://schemas.openxmlformats.org/officeDocument/2006/relationships/hyperlink" Target="https://job-boards.greenhouse.io/cerebrassystems/jobs/7628236003" TargetMode="External" Id="rId1205" /><Relationship Type="http://schemas.openxmlformats.org/officeDocument/2006/relationships/hyperlink" Target="https://job-boards.greenhouse.io/cerebrassystems/jobs/7728796003" TargetMode="External" Id="rId1206" /><Relationship Type="http://schemas.openxmlformats.org/officeDocument/2006/relationships/hyperlink" Target="https://job-boards.greenhouse.io/cerebrassystems/jobs/7763735003" TargetMode="External" Id="rId1207" /><Relationship Type="http://schemas.openxmlformats.org/officeDocument/2006/relationships/hyperlink" Target="https://job-boards.greenhouse.io/cerebrassystems/jobs/7728797003" TargetMode="External" Id="rId1208" /><Relationship Type="http://schemas.openxmlformats.org/officeDocument/2006/relationships/hyperlink" Target="https://job-boards.greenhouse.io/cerebrassystems/jobs/7523546003" TargetMode="External" Id="rId1209" /><Relationship Type="http://schemas.openxmlformats.org/officeDocument/2006/relationships/hyperlink" Target="https://job-boards.greenhouse.io/cerebrassystems/jobs/7620254003" TargetMode="External" Id="rId1210" /><Relationship Type="http://schemas.openxmlformats.org/officeDocument/2006/relationships/hyperlink" Target="https://job-boards.greenhouse.io/cerebrassystems/jobs/7513711003" TargetMode="External" Id="rId1211" /><Relationship Type="http://schemas.openxmlformats.org/officeDocument/2006/relationships/hyperlink" Target="https://job-boards.greenhouse.io/cerebrassystems/jobs/7487314003" TargetMode="External" Id="rId1212" /><Relationship Type="http://schemas.openxmlformats.org/officeDocument/2006/relationships/hyperlink" Target="https://job-boards.greenhouse.io/cerebrassystems/jobs/6053533003" TargetMode="External" Id="rId1213" /><Relationship Type="http://schemas.openxmlformats.org/officeDocument/2006/relationships/hyperlink" Target="https://sifive.wd1.myworkdayjobs.com/job/Hsinchu-Taiwan/Performance-benchmarking-and-Infrastructure-Engineer-to-Senior-Engineer_R-101357" TargetMode="External" Id="rId1214" /><Relationship Type="http://schemas.openxmlformats.org/officeDocument/2006/relationships/hyperlink" Target="https://sifive.wd1.myworkdayjobs.com/job/Ahmedabad-India/Staff-Engineer_R-101347-1" TargetMode="External" Id="rId1215" /><Relationship Type="http://schemas.openxmlformats.org/officeDocument/2006/relationships/hyperlink" Target="https://sifive.wd1.myworkdayjobs.com/job/Hsinchu-Taiwan/Staff-System-Software-Engineer_R-101331" TargetMode="External" Id="rId1216" /><Relationship Type="http://schemas.openxmlformats.org/officeDocument/2006/relationships/hyperlink" Target="https://sifive.wd1.myworkdayjobs.com/job/Hsinchu-Taiwan/Staff-Verification-Engineer_R-101222" TargetMode="External" Id="rId1217" /><Relationship Type="http://schemas.openxmlformats.org/officeDocument/2006/relationships/hyperlink" Target="https://sifive.wd1.myworkdayjobs.com/job/Cambridge-England-United-Kingdom/Director-of-Licensing_R-101177" TargetMode="External" Id="rId1218" /><Relationship Type="http://schemas.openxmlformats.org/officeDocument/2006/relationships/hyperlink" Target="https://sifive.wd1.myworkdayjobs.com/job/Bengaluru-Karnataka-India/Staff-Design-Verification-Infrastructure-Engineer---VIPs-and-Testbench_R-101270" TargetMode="External" Id="rId1219" /><Relationship Type="http://schemas.openxmlformats.org/officeDocument/2006/relationships/hyperlink" Target="https://sifive.wd1.myworkdayjobs.com/job/Bengaluru-Karnataka-India/Staff-Design-Verification-Infrastructure-Engineer---VIPs-and-Testbench_R-101272" TargetMode="External" Id="rId1220" /><Relationship Type="http://schemas.openxmlformats.org/officeDocument/2006/relationships/hyperlink" Target="https://sifive.wd1.myworkdayjobs.com/job/Bengaluru-Karnataka-India/Staff-Engineer-for-RAS_R-101051-1" TargetMode="External" Id="rId1221" /><Relationship Type="http://schemas.openxmlformats.org/officeDocument/2006/relationships/hyperlink" Target="https://sifive.wd1.myworkdayjobs.com/job/Boston-Massachusetts-United-States/Staff-Design-Verification-Engineer---Coherent-Interconnect_R-101212" TargetMode="External" Id="rId1222" /><Relationship Type="http://schemas.openxmlformats.org/officeDocument/2006/relationships/hyperlink" Target="https://sifive.wd1.myworkdayjobs.com/job/Bengaluru-Karnataka-India/Senior-Engineer--PPA-Analytics---CAD_R-101160" TargetMode="External" Id="rId1223" /><Relationship Type="http://schemas.openxmlformats.org/officeDocument/2006/relationships/hyperlink" Target="https://sifive.wd1.myworkdayjobs.com/job/Bengaluru-Karnataka-India/Staff-Engineer--Low-Power-Verification---Formal-Equivalence_R-101164" TargetMode="External" Id="rId1224" /><Relationship Type="http://schemas.openxmlformats.org/officeDocument/2006/relationships/hyperlink" Target="https://sifive.wd1.myworkdayjobs.com/job/Bengaluru-Karnataka-India/Staff-Engineer--Physical-Design---Caches_R-101153" TargetMode="External" Id="rId1225" /><Relationship Type="http://schemas.openxmlformats.org/officeDocument/2006/relationships/hyperlink" Target="https://sifive.wd1.myworkdayjobs.com/job/Bengaluru-Karnataka-India/Senior-Staff-Engineer--Physical-Design---NoC_R-101150-1" TargetMode="External" Id="rId1226" /><Relationship Type="http://schemas.openxmlformats.org/officeDocument/2006/relationships/hyperlink" Target="https://sifive.wd1.myworkdayjobs.com/job/Austin-Texas-United-States/Principal-Design-Verification-Engineer---High-Performance-CPU-Subsystem_R-101284" TargetMode="External" Id="rId1227" /><Relationship Type="http://schemas.openxmlformats.org/officeDocument/2006/relationships/hyperlink" Target="https://sifive.wd1.myworkdayjobs.com/job/Boston-Massachusetts-United-States/Staff-Design-Verification-Engineer---Coherent-Interconnect_R-101214" TargetMode="External" Id="rId1228" /><Relationship Type="http://schemas.openxmlformats.org/officeDocument/2006/relationships/hyperlink" Target="https://sifive.wd1.myworkdayjobs.com/job/Ahmedabad-India/Senior---Lead-Design-Verification-Engineer--Formal---Simulation-_R-101325" TargetMode="External" Id="rId1229" /><Relationship Type="http://schemas.openxmlformats.org/officeDocument/2006/relationships/hyperlink" Target="https://sifive.wd1.myworkdayjobs.com/job/Ahmedabad-India/Sr-Design-Verification-Engineer_R-101324" TargetMode="External" Id="rId1230" /><Relationship Type="http://schemas.openxmlformats.org/officeDocument/2006/relationships/hyperlink" Target="https://sifive.wd1.myworkdayjobs.com/job/Hsinchu-Taiwan/Senior-Verification-Engineer_R-101220" TargetMode="External" Id="rId1231" /><Relationship Type="http://schemas.openxmlformats.org/officeDocument/2006/relationships/hyperlink" Target="https://sifive.wd1.myworkdayjobs.com/job/Hsinchu-Taiwan/Senior-Software-Engineer--Algorithms-and-Libraries-of-AI-ML-DSP_R-101298" TargetMode="External" Id="rId1232" /><Relationship Type="http://schemas.openxmlformats.org/officeDocument/2006/relationships/hyperlink" Target="https://sifive.wd1.myworkdayjobs.com/job/Hsinchu-Taiwan/Staff-Software-Engineer--AI-ML-Heterogeneous-Systems_R-101299" TargetMode="External" Id="rId1233" /><Relationship Type="http://schemas.openxmlformats.org/officeDocument/2006/relationships/hyperlink" Target="https://sifive.wd1.myworkdayjobs.com/job/Hsinchu-Taiwan/Senior-Software-Quality-Assurance-Engineer_R-101236" TargetMode="External" Id="rId1234" /><Relationship Type="http://schemas.openxmlformats.org/officeDocument/2006/relationships/hyperlink" Target="https://sifive.wd1.myworkdayjobs.com/job/Hsinchu-Taiwan/Staff-Software-Development-Engineer-in-Test_R-101235" TargetMode="External" Id="rId1235" /><Relationship Type="http://schemas.openxmlformats.org/officeDocument/2006/relationships/hyperlink" Target="https://sifive.wd1.myworkdayjobs.com/job/Hsinchu-Taiwan/System-Validation-Engineer-to-Staff-Engineer_R-101202" TargetMode="External" Id="rId1236" /><Relationship Type="http://schemas.openxmlformats.org/officeDocument/2006/relationships/hyperlink" Target="https://sifive.wd1.myworkdayjobs.com/job/Austin-Texas-United-States/Principal-Verification-Engineer_R-101194" TargetMode="External" Id="rId1237" /><Relationship Type="http://schemas.openxmlformats.org/officeDocument/2006/relationships/hyperlink" Target="https://sifive.wd1.myworkdayjobs.com/job/Austin-Texas-United-States/Staff-Verification-Engineer_R-101207" TargetMode="External" Id="rId1238" /><Relationship Type="http://schemas.openxmlformats.org/officeDocument/2006/relationships/hyperlink" Target="https://sifive.wd1.myworkdayjobs.com/job/Santa-Clara-California-United-States/Senior-Product-Manager_R-101190" TargetMode="External" Id="rId1239" /><Relationship Type="http://schemas.openxmlformats.org/officeDocument/2006/relationships/hyperlink" Target="https://sifive.wd1.myworkdayjobs.com/job/Santa-Clara-California-United-States/Linux-Platform-BSP-Lead_R-101145" TargetMode="External" Id="rId1240" /><Relationship Type="http://schemas.openxmlformats.org/officeDocument/2006/relationships/hyperlink" Target="https://dyson.wd3.myworkdayjobs.com/job/Mexico---Mexico-City-Office/Senior-Retail-Operations-Manager_JR36787" TargetMode="External" Id="rId1241" /><Relationship Type="http://schemas.openxmlformats.org/officeDocument/2006/relationships/hyperlink" Target="https://dyson.wd3.myworkdayjobs.com/job/Netherlands---Amsterdam-Office/Senior-E-Commerce-Trading-Manager_JR36758" TargetMode="External" Id="rId1242" /><Relationship Type="http://schemas.openxmlformats.org/officeDocument/2006/relationships/hyperlink" Target="https://dyson.wd3.myworkdayjobs.com/job/Portugal---Lisboa-Office/Senior-Trading-Activation---Affiliation-Executive_JR35858" TargetMode="External" Id="rId1243" /><Relationship Type="http://schemas.openxmlformats.org/officeDocument/2006/relationships/hyperlink" Target="https://dyson.wd3.myworkdayjobs.com/job/Philippines---Technology-Campus/Lead-Electronics-Project-Manager_JR36598" TargetMode="External" Id="rId1244" /><Relationship Type="http://schemas.openxmlformats.org/officeDocument/2006/relationships/hyperlink" Target="https://dyson.wd3.myworkdayjobs.com/job/China---Shenzhen-Office/Lead-Test-Engineer_JR36896" TargetMode="External" Id="rId1245" /><Relationship Type="http://schemas.openxmlformats.org/officeDocument/2006/relationships/hyperlink" Target="https://dyson.wd3.myworkdayjobs.com/job/Singapore---Technology-Centre/Lead-Analyst-FBI---Reporting-and-Data-Engineering_JR36899" TargetMode="External" Id="rId1246" /><Relationship Type="http://schemas.openxmlformats.org/officeDocument/2006/relationships/hyperlink" Target="https://dyson.wd3.myworkdayjobs.com/job/Philippines---Technology-Campus/Lead-Power-Electronics-Engineer_JR36603" TargetMode="External" Id="rId1247" /><Relationship Type="http://schemas.openxmlformats.org/officeDocument/2006/relationships/hyperlink" Target="https://dyson.wd3.myworkdayjobs.com/job/Singapore---St-James-Power-Station-Headquarters/Global-Senior-Manager--B2B-Product_JR35778" TargetMode="External" Id="rId1248" /><Relationship Type="http://schemas.openxmlformats.org/officeDocument/2006/relationships/hyperlink" Target="https://dyson.wd3.myworkdayjobs.com/job/Philippines---Technology-Campus/Lead-Electronics-Engineer_JR36601" TargetMode="External" Id="rId1249" /><Relationship Type="http://schemas.openxmlformats.org/officeDocument/2006/relationships/hyperlink" Target="https://dyson.wd3.myworkdayjobs.com/job/Philippines---Technology-Campus/Lead-Design-Engineer_JR36076" TargetMode="External" Id="rId1250" /><Relationship Type="http://schemas.openxmlformats.org/officeDocument/2006/relationships/hyperlink" Target="https://dyson.wd3.myworkdayjobs.com/job/Philippines---Technology-Campus/Senior-Operations-Manager--Outsourced-Operations_JR35841" TargetMode="External" Id="rId1251" /><Relationship Type="http://schemas.openxmlformats.org/officeDocument/2006/relationships/hyperlink" Target="https://www.linkedin.com/jobs/view/4402164881" TargetMode="External" Id="rId1252" /><Relationship Type="http://schemas.openxmlformats.org/officeDocument/2006/relationships/hyperlink" Target="https://www.linkedin.com/jobs/view/4426027323" TargetMode="External" Id="rId1253" /><Relationship Type="http://schemas.openxmlformats.org/officeDocument/2006/relationships/hyperlink" Target="https://www.linkedin.com/jobs/view/4422882656" TargetMode="External" Id="rId1254" /><Relationship Type="http://schemas.openxmlformats.org/officeDocument/2006/relationships/hyperlink" Target="https://www.linkedin.com/jobs/view/4430376982" TargetMode="External" Id="rId1255" /><Relationship Type="http://schemas.openxmlformats.org/officeDocument/2006/relationships/hyperlink" Target="https://www.linkedin.com/jobs/view/4429245436" TargetMode="External" Id="rId1256" /><Relationship Type="http://schemas.openxmlformats.org/officeDocument/2006/relationships/hyperlink" Target="https://www.linkedin.com/jobs/view/4407189671" TargetMode="External" Id="rId1257" /><Relationship Type="http://schemas.openxmlformats.org/officeDocument/2006/relationships/hyperlink" Target="https://www.linkedin.com/jobs/view/4423896895" TargetMode="External" Id="rId1258" /><Relationship Type="http://schemas.openxmlformats.org/officeDocument/2006/relationships/hyperlink" Target="https://www.linkedin.com/jobs/view/4430592265" TargetMode="External" Id="rId1259" /><Relationship Type="http://schemas.openxmlformats.org/officeDocument/2006/relationships/hyperlink" Target="https://www.linkedin.com/jobs/view/4426731934" TargetMode="External" Id="rId1260" /><Relationship Type="http://schemas.openxmlformats.org/officeDocument/2006/relationships/hyperlink" Target="https://job-boards.greenhouse.io/graphcore/jobs/8595061002" TargetMode="External" Id="rId1261" /><Relationship Type="http://schemas.openxmlformats.org/officeDocument/2006/relationships/hyperlink" Target="https://www.linkedin.com/jobs/view/4420739350" TargetMode="External" Id="rId1262" /><Relationship Type="http://schemas.openxmlformats.org/officeDocument/2006/relationships/hyperlink" Target="https://www.linkedin.com/jobs/view/4427834512" TargetMode="External" Id="rId1263" /><Relationship Type="http://schemas.openxmlformats.org/officeDocument/2006/relationships/hyperlink" Target="https://www.linkedin.com/jobs/view/4418817442" TargetMode="External" Id="rId1264" /><Relationship Type="http://schemas.openxmlformats.org/officeDocument/2006/relationships/hyperlink" Target="https://www.linkedin.com/jobs/view/4429226637" TargetMode="External" Id="rId1265" /><Relationship Type="http://schemas.openxmlformats.org/officeDocument/2006/relationships/hyperlink" Target="https://www.linkedin.com/jobs/view/4428047479" TargetMode="External" Id="rId1266" /><Relationship Type="http://schemas.openxmlformats.org/officeDocument/2006/relationships/hyperlink" Target="https://www.linkedin.com/jobs/view/4428051444" TargetMode="External" Id="rId1267" /><Relationship Type="http://schemas.openxmlformats.org/officeDocument/2006/relationships/hyperlink" Target="https://www.linkedin.com/jobs/view/4428051445" TargetMode="External" Id="rId1268" /><Relationship Type="http://schemas.openxmlformats.org/officeDocument/2006/relationships/hyperlink" Target="https://www.linkedin.com/jobs/view/4428054402" TargetMode="External" Id="rId1269" /><Relationship Type="http://schemas.openxmlformats.org/officeDocument/2006/relationships/hyperlink" Target="https://www.linkedin.com/jobs/view/4428063380" TargetMode="External" Id="rId1270" /><Relationship Type="http://schemas.openxmlformats.org/officeDocument/2006/relationships/hyperlink" Target="https://www.linkedin.com/jobs/view/4428051442" TargetMode="External" Id="rId1271" /><Relationship Type="http://schemas.openxmlformats.org/officeDocument/2006/relationships/hyperlink" Target="https://www.linkedin.com/jobs/view/4369214843" TargetMode="External" Id="rId1272" /><Relationship Type="http://schemas.openxmlformats.org/officeDocument/2006/relationships/hyperlink" Target="https://www.linkedin.com/jobs/view/4419278853" TargetMode="External" Id="rId1273" /><Relationship Type="http://schemas.openxmlformats.org/officeDocument/2006/relationships/hyperlink" Target="https://www.linkedin.com/jobs/view/4429100941" TargetMode="External" Id="rId1274" /><Relationship Type="http://schemas.openxmlformats.org/officeDocument/2006/relationships/hyperlink" Target="https://www.linkedin.com/jobs/view/4427839174" TargetMode="External" Id="rId1275" /><Relationship Type="http://schemas.openxmlformats.org/officeDocument/2006/relationships/hyperlink" Target="https://www.linkedin.com/jobs/view/3420722266" TargetMode="External" Id="rId1276" /><Relationship Type="http://schemas.openxmlformats.org/officeDocument/2006/relationships/hyperlink" Target="https://uk.indeed.com/viewjob" TargetMode="External" Id="rId1277" /><Relationship Type="http://schemas.openxmlformats.org/officeDocument/2006/relationships/hyperlink" Target="https://www.linkedin.com/jobs/view/4423643399" TargetMode="External" Id="rId1278" /><Relationship Type="http://schemas.openxmlformats.org/officeDocument/2006/relationships/hyperlink" Target="https://www.linkedin.com/jobs/view/4425791728" TargetMode="External" Id="rId1279" /><Relationship Type="http://schemas.openxmlformats.org/officeDocument/2006/relationships/hyperlink" Target="https://uk.indeed.com/viewjob" TargetMode="External" Id="rId1280" /><Relationship Type="http://schemas.openxmlformats.org/officeDocument/2006/relationships/hyperlink" Target="https://www.linkedin.com/jobs/view/4413661677" TargetMode="External" Id="rId1281" /><Relationship Type="http://schemas.openxmlformats.org/officeDocument/2006/relationships/hyperlink" Target="https://uk.indeed.com/viewjob" TargetMode="External" Id="rId1282" /><Relationship Type="http://schemas.openxmlformats.org/officeDocument/2006/relationships/hyperlink" Target="https://www.linkedin.com/jobs/view/4429026317" TargetMode="External" Id="rId1283" /><Relationship Type="http://schemas.openxmlformats.org/officeDocument/2006/relationships/hyperlink" Target="https://www.linkedin.com/jobs/view/4426176448" TargetMode="External" Id="rId1284" /><Relationship Type="http://schemas.openxmlformats.org/officeDocument/2006/relationships/hyperlink" Target="https://www.linkedin.com/jobs/view/4429790761" TargetMode="External" Id="rId1285" /><Relationship Type="http://schemas.openxmlformats.org/officeDocument/2006/relationships/hyperlink" Target="https://uk.indeed.com/viewjob" TargetMode="External" Id="rId1286" /><Relationship Type="http://schemas.openxmlformats.org/officeDocument/2006/relationships/hyperlink" Target="https://www.linkedin.com/jobs/view/4426088280" TargetMode="External" Id="rId1287" /><Relationship Type="http://schemas.openxmlformats.org/officeDocument/2006/relationships/hyperlink" Target="https://www.linkedin.com/jobs/view/4427496411" TargetMode="External" Id="rId1288" /><Relationship Type="http://schemas.openxmlformats.org/officeDocument/2006/relationships/hyperlink" Target="https://www.linkedin.com/jobs/view/4429839728" TargetMode="External" Id="rId1289" /><Relationship Type="http://schemas.openxmlformats.org/officeDocument/2006/relationships/hyperlink" Target="https://www.linkedin.com/jobs/view/4428526867" TargetMode="External" Id="rId1290" /><Relationship Type="http://schemas.openxmlformats.org/officeDocument/2006/relationships/hyperlink" Target="https://uk.indeed.com/viewjob" TargetMode="External" Id="rId1291" /><Relationship Type="http://schemas.openxmlformats.org/officeDocument/2006/relationships/hyperlink" Target="https://www.linkedin.com/jobs/view/4422432205" TargetMode="External" Id="rId1292" /><Relationship Type="http://schemas.openxmlformats.org/officeDocument/2006/relationships/hyperlink" Target="https://www.linkedin.com/jobs/view/4405134894" TargetMode="External" Id="rId1293" /><Relationship Type="http://schemas.openxmlformats.org/officeDocument/2006/relationships/hyperlink" Target="https://www.linkedin.com/jobs/view/4430119951" TargetMode="External" Id="rId1294" /><Relationship Type="http://schemas.openxmlformats.org/officeDocument/2006/relationships/hyperlink" Target="https://www.linkedin.com/jobs/view/4428108679" TargetMode="External" Id="rId1295" /><Relationship Type="http://schemas.openxmlformats.org/officeDocument/2006/relationships/hyperlink" Target="https://job-boards.greenhouse.io/cerebrassystems/jobs/7782108003" TargetMode="External" Id="rId1296" /><Relationship Type="http://schemas.openxmlformats.org/officeDocument/2006/relationships/hyperlink" Target="https://www.linkedin.com/jobs/view/4420290544" TargetMode="External" Id="rId1297" /><Relationship Type="http://schemas.openxmlformats.org/officeDocument/2006/relationships/hyperlink" Target="https://www.linkedin.com/jobs/view/4427636778" TargetMode="External" Id="rId1298" /><Relationship Type="http://schemas.openxmlformats.org/officeDocument/2006/relationships/hyperlink" Target="https://www.linkedin.com/jobs/view/4431734050" TargetMode="External" Id="rId1299" /><Relationship Type="http://schemas.openxmlformats.org/officeDocument/2006/relationships/hyperlink" Target="https://www.linkedin.com/jobs/view/4427516585" TargetMode="External" Id="rId1300" /><Relationship Type="http://schemas.openxmlformats.org/officeDocument/2006/relationships/hyperlink" Target="https://www.linkedin.com/jobs/view/4429266166" TargetMode="External" Id="rId1301" /><Relationship Type="http://schemas.openxmlformats.org/officeDocument/2006/relationships/hyperlink" Target="https://www.linkedin.com/jobs/view/4417959036" TargetMode="External" Id="rId1302" /><Relationship Type="http://schemas.openxmlformats.org/officeDocument/2006/relationships/hyperlink" Target="https://www.linkedin.com/jobs/view/4425122328" TargetMode="External" Id="rId1303" /><Relationship Type="http://schemas.openxmlformats.org/officeDocument/2006/relationships/hyperlink" Target="https://www.linkedin.com/jobs/view/4428972058" TargetMode="External" Id="rId1304" /><Relationship Type="http://schemas.openxmlformats.org/officeDocument/2006/relationships/hyperlink" Target="https://www.linkedin.com/jobs/view/4431667451" TargetMode="External" Id="rId1305" /><Relationship Type="http://schemas.openxmlformats.org/officeDocument/2006/relationships/hyperlink" Target="https://uk.indeed.com/viewjob" TargetMode="External" Id="rId1306" /><Relationship Type="http://schemas.openxmlformats.org/officeDocument/2006/relationships/hyperlink" Target="https://uk.indeed.com/viewjob" TargetMode="External" Id="rId1307" /><Relationship Type="http://schemas.openxmlformats.org/officeDocument/2006/relationships/hyperlink" Target="https://uk.indeed.com/viewjob" TargetMode="External" Id="rId1308" /><Relationship Type="http://schemas.openxmlformats.org/officeDocument/2006/relationships/hyperlink" Target="https://www.linkedin.com/jobs/view/4428261001" TargetMode="External" Id="rId1309" /><Relationship Type="http://schemas.openxmlformats.org/officeDocument/2006/relationships/hyperlink" Target="https://www.linkedin.com/jobs/view/4425339659" TargetMode="External" Id="rId1310" /><Relationship Type="http://schemas.openxmlformats.org/officeDocument/2006/relationships/hyperlink" Target="https://www.linkedin.com/jobs/view/4426745609" TargetMode="External" Id="rId1311" /><Relationship Type="http://schemas.openxmlformats.org/officeDocument/2006/relationships/hyperlink" Target="https://www.linkedin.com/jobs/view/4429797383" TargetMode="External" Id="rId1312" /><Relationship Type="http://schemas.openxmlformats.org/officeDocument/2006/relationships/hyperlink" Target="https://www.linkedin.com/jobs/view/4426499196" TargetMode="External" Id="rId1313" /><Relationship Type="http://schemas.openxmlformats.org/officeDocument/2006/relationships/hyperlink" Target="https://www.linkedin.com/jobs/view/4426497181" TargetMode="External" Id="rId1314" /><Relationship Type="http://schemas.openxmlformats.org/officeDocument/2006/relationships/hyperlink" Target="https://www.linkedin.com/jobs/view/4412022001" TargetMode="External" Id="rId1315" /><Relationship Type="http://schemas.openxmlformats.org/officeDocument/2006/relationships/hyperlink" Target="https://www.linkedin.com/jobs/view/4409453417" TargetMode="External" Id="rId1316" /><Relationship Type="http://schemas.openxmlformats.org/officeDocument/2006/relationships/hyperlink" Target="https://www.linkedin.com/jobs/view/4427464753" TargetMode="External" Id="rId1317" /><Relationship Type="http://schemas.openxmlformats.org/officeDocument/2006/relationships/hyperlink" Target="https://job-boards.greenhouse.io/cerebrassystems/jobs/7779234003" TargetMode="External" Id="rId1318" /><Relationship Type="http://schemas.openxmlformats.org/officeDocument/2006/relationships/hyperlink" Target="https://www.linkedin.com/jobs/view/4430009525" TargetMode="External" Id="rId1319" /><Relationship Type="http://schemas.openxmlformats.org/officeDocument/2006/relationships/hyperlink" Target="https://www.linkedin.com/jobs/view/4419904698" TargetMode="External" Id="rId1320" /><Relationship Type="http://schemas.openxmlformats.org/officeDocument/2006/relationships/hyperlink" Target="https://www.linkedin.com/jobs/view/4422693819" TargetMode="External" Id="rId1321" /><Relationship Type="http://schemas.openxmlformats.org/officeDocument/2006/relationships/hyperlink" Target="https://www.linkedin.com/jobs/view/4416655229" TargetMode="External" Id="rId1322" /><Relationship Type="http://schemas.openxmlformats.org/officeDocument/2006/relationships/hyperlink" Target="https://www.linkedin.com/jobs/view/4428083308" TargetMode="External" Id="rId1323" /><Relationship Type="http://schemas.openxmlformats.org/officeDocument/2006/relationships/hyperlink" Target="https://uk.indeed.com/viewjob" TargetMode="External" Id="rId1324" /><Relationship Type="http://schemas.openxmlformats.org/officeDocument/2006/relationships/hyperlink" Target="https://www.linkedin.com/jobs/view/4429799629" TargetMode="External" Id="rId1325" /><Relationship Type="http://schemas.openxmlformats.org/officeDocument/2006/relationships/hyperlink" Target="https://www.linkedin.com/jobs/view/4404867320" TargetMode="External" Id="rId1326" /><Relationship Type="http://schemas.openxmlformats.org/officeDocument/2006/relationships/hyperlink" Target="https://www.linkedin.com/jobs/view/4427393012" TargetMode="External" Id="rId1327" /><Relationship Type="http://schemas.openxmlformats.org/officeDocument/2006/relationships/hyperlink" Target="https://www.linkedin.com/jobs/view/4410137954" TargetMode="External" Id="rId1328" /><Relationship Type="http://schemas.openxmlformats.org/officeDocument/2006/relationships/hyperlink" Target="https://www.linkedin.com/jobs/view/4424426708" TargetMode="External" Id="rId1329" /><Relationship Type="http://schemas.openxmlformats.org/officeDocument/2006/relationships/hyperlink" Target="https://www.linkedin.com/jobs/view/4426824006" TargetMode="External" Id="rId1330" /><Relationship Type="http://schemas.openxmlformats.org/officeDocument/2006/relationships/hyperlink" Target="https://www.linkedin.com/jobs/view/4420918524" TargetMode="External" Id="rId1331" /><Relationship Type="http://schemas.openxmlformats.org/officeDocument/2006/relationships/hyperlink" Target="https://www.linkedin.com/jobs/view/4371306505" TargetMode="External" Id="rId1332" /><Relationship Type="http://schemas.openxmlformats.org/officeDocument/2006/relationships/hyperlink" Target="https://uk.indeed.com/viewjob" TargetMode="External" Id="rId1333" /><Relationship Type="http://schemas.openxmlformats.org/officeDocument/2006/relationships/hyperlink" Target="https://www.linkedin.com/jobs/view/4429630702" TargetMode="External" Id="rId1334" /><Relationship Type="http://schemas.openxmlformats.org/officeDocument/2006/relationships/hyperlink" Target="https://www.linkedin.com/jobs/view/4425267566" TargetMode="External" Id="rId1335" /><Relationship Type="http://schemas.openxmlformats.org/officeDocument/2006/relationships/hyperlink" Target="https://job-boards.greenhouse.io/gocardless/jobs/7916619" TargetMode="External" Id="rId1336" /><Relationship Type="http://schemas.openxmlformats.org/officeDocument/2006/relationships/hyperlink" Target="https://job-boards.greenhouse.io/gocardless/jobs/7938467" TargetMode="External" Id="rId1337" /><Relationship Type="http://schemas.openxmlformats.org/officeDocument/2006/relationships/hyperlink" Target="https://boards.greenhouse.io/cloudflare/jobs/7956851" TargetMode="External" Id="rId1338" /><Relationship Type="http://schemas.openxmlformats.org/officeDocument/2006/relationships/hyperlink" Target="https://boards.greenhouse.io/cloudflare/jobs/7956758" TargetMode="External" Id="rId1339" /><Relationship Type="http://schemas.openxmlformats.org/officeDocument/2006/relationships/hyperlink" Target="https://boards.greenhouse.io/cloudflare/jobs/6660802" TargetMode="External" Id="rId1340" /><Relationship Type="http://schemas.openxmlformats.org/officeDocument/2006/relationships/hyperlink" Target="https://boards.greenhouse.io/cloudflare/jobs/7975427" TargetMode="External" Id="rId1341" /><Relationship Type="http://schemas.openxmlformats.org/officeDocument/2006/relationships/hyperlink" Target="https://boards.greenhouse.io/cloudflare/jobs/7242551" TargetMode="External" Id="rId1342" /><Relationship Type="http://schemas.openxmlformats.org/officeDocument/2006/relationships/hyperlink" Target="https://boards.greenhouse.io/cloudflare/jobs/7907255" TargetMode="External" Id="rId1343" /><Relationship Type="http://schemas.openxmlformats.org/officeDocument/2006/relationships/hyperlink" Target="https://uk.indeed.com/viewjob" TargetMode="External" Id="rId1344" /><Relationship Type="http://schemas.openxmlformats.org/officeDocument/2006/relationships/hyperlink" Target="https://www.linkedin.com/jobs/view/4425241571" TargetMode="External" Id="rId1345" /><Relationship Type="http://schemas.openxmlformats.org/officeDocument/2006/relationships/hyperlink" Target="https://www.linkedin.com/jobs/view/4418087561" TargetMode="External" Id="rId1346" /><Relationship Type="http://schemas.openxmlformats.org/officeDocument/2006/relationships/hyperlink" Target="https://www.linkedin.com/jobs/view/4426969182" TargetMode="External" Id="rId1347" /><Relationship Type="http://schemas.openxmlformats.org/officeDocument/2006/relationships/hyperlink" Target="https://www.linkedin.com/jobs/view/4422408091" TargetMode="External" Id="rId1348" /><Relationship Type="http://schemas.openxmlformats.org/officeDocument/2006/relationships/hyperlink" Target="https://www.linkedin.com/jobs/view/4419441039" TargetMode="External" Id="rId1349" /><Relationship Type="http://schemas.openxmlformats.org/officeDocument/2006/relationships/hyperlink" Target="https://www.linkedin.com/jobs/view/4426491381" TargetMode="External" Id="rId1350" /><Relationship Type="http://schemas.openxmlformats.org/officeDocument/2006/relationships/hyperlink" Target="https://www.linkedin.com/jobs/view/4427490841" TargetMode="External" Id="rId1351" /><Relationship Type="http://schemas.openxmlformats.org/officeDocument/2006/relationships/hyperlink" Target="https://www.linkedin.com/jobs/view/4423363391" TargetMode="External" Id="rId1352" /><Relationship Type="http://schemas.openxmlformats.org/officeDocument/2006/relationships/hyperlink" Target="https://uk.indeed.com/viewjob" TargetMode="External" Id="rId1353" /><Relationship Type="http://schemas.openxmlformats.org/officeDocument/2006/relationships/hyperlink" Target="https://www.linkedin.com/jobs/view/4427934895" TargetMode="External" Id="rId1354" /><Relationship Type="http://schemas.openxmlformats.org/officeDocument/2006/relationships/hyperlink" Target="https://www.linkedin.com/jobs/view/4419284831" TargetMode="External" Id="rId1355" /><Relationship Type="http://schemas.openxmlformats.org/officeDocument/2006/relationships/hyperlink" Target="https://www.linkedin.com/jobs/view/4426754022" TargetMode="External" Id="rId1356" /><Relationship Type="http://schemas.openxmlformats.org/officeDocument/2006/relationships/hyperlink" Target="https://www.linkedin.com/jobs/view/4421102125" TargetMode="External" Id="rId1357" /><Relationship Type="http://schemas.openxmlformats.org/officeDocument/2006/relationships/hyperlink" Target="https://www.linkedin.com/jobs/view/4424051526" TargetMode="External" Id="rId1358" /><Relationship Type="http://schemas.openxmlformats.org/officeDocument/2006/relationships/hyperlink" Target="https://www.linkedin.com/jobs/view/4426305415" TargetMode="External" Id="rId1359" /><Relationship Type="http://schemas.openxmlformats.org/officeDocument/2006/relationships/hyperlink" Target="https://www.linkedin.com/jobs/view/4417201522" TargetMode="External" Id="rId1360" /><Relationship Type="http://schemas.openxmlformats.org/officeDocument/2006/relationships/hyperlink" Target="https://www.linkedin.com/jobs/view/4427704862" TargetMode="External" Id="rId1361" /><Relationship Type="http://schemas.openxmlformats.org/officeDocument/2006/relationships/hyperlink" Target="https://www.linkedin.com/jobs/view/4426987978" TargetMode="External" Id="rId1362" /><Relationship Type="http://schemas.openxmlformats.org/officeDocument/2006/relationships/hyperlink" Target="https://job-boards.greenhouse.io/typeform/jobs/7686285" TargetMode="External" Id="rId1363" /><Relationship Type="http://schemas.openxmlformats.org/officeDocument/2006/relationships/hyperlink" Target="https://job-boards.greenhouse.io/typeform/jobs/7913052" TargetMode="External" Id="rId1364" /><Relationship Type="http://schemas.openxmlformats.org/officeDocument/2006/relationships/hyperlink" Target="https://www.linkedin.com/jobs/view/4426965572" TargetMode="External" Id="rId1365" /><Relationship Type="http://schemas.openxmlformats.org/officeDocument/2006/relationships/hyperlink" Target="https://www.linkedin.com/jobs/view/4420947689" TargetMode="External" Id="rId1366" /><Relationship Type="http://schemas.openxmlformats.org/officeDocument/2006/relationships/hyperlink" Target="https://www.linkedin.com/jobs/view/4422252794" TargetMode="External" Id="rId1367" /><Relationship Type="http://schemas.openxmlformats.org/officeDocument/2006/relationships/hyperlink" Target="https://www.linkedin.com/jobs/view/4419687237" TargetMode="External" Id="rId1368" /><Relationship Type="http://schemas.openxmlformats.org/officeDocument/2006/relationships/hyperlink" Target="https://www.linkedin.com/jobs/view/4425559103" TargetMode="External" Id="rId1369" /><Relationship Type="http://schemas.openxmlformats.org/officeDocument/2006/relationships/hyperlink" Target="https://job-boards.greenhouse.io/graphcore/jobs/8491550002" TargetMode="External" Id="rId1370" /><Relationship Type="http://schemas.openxmlformats.org/officeDocument/2006/relationships/hyperlink" Target="https://www.linkedin.com/jobs/view/4431657467" TargetMode="External" Id="rId1371" /><Relationship Type="http://schemas.openxmlformats.org/officeDocument/2006/relationships/hyperlink" Target="https://job-boards.greenhouse.io/monzo/jobs/8020007" TargetMode="External" Id="rId1372" /><Relationship Type="http://schemas.openxmlformats.org/officeDocument/2006/relationships/hyperlink" Target="https://www.linkedin.com/jobs/view/4432573091" TargetMode="External" Id="rId1373" /><Relationship Type="http://schemas.openxmlformats.org/officeDocument/2006/relationships/hyperlink" Target="https://www.linkedin.com/jobs/view/4432579737" TargetMode="External" Id="rId1374" /><Relationship Type="http://schemas.openxmlformats.org/officeDocument/2006/relationships/hyperlink" Target="https://uk.indeed.com/viewjob" TargetMode="External" Id="rId1375" /><Relationship Type="http://schemas.openxmlformats.org/officeDocument/2006/relationships/hyperlink" Target="https://www.linkedin.com/jobs/view/4420957644" TargetMode="External" Id="rId1376" /><Relationship Type="http://schemas.openxmlformats.org/officeDocument/2006/relationships/hyperlink" Target="https://www.linkedin.com/jobs/view/4429491758" TargetMode="External" Id="rId1377" /><Relationship Type="http://schemas.openxmlformats.org/officeDocument/2006/relationships/hyperlink" Target="https://job-boards.greenhouse.io/graphcore/jobs/8605755002" TargetMode="External" Id="rId1378" /><Relationship Type="http://schemas.openxmlformats.org/officeDocument/2006/relationships/hyperlink" Target="https://job-boards.greenhouse.io/graphcore/jobs/8605749002" TargetMode="External" Id="rId1379" /><Relationship Type="http://schemas.openxmlformats.org/officeDocument/2006/relationships/hyperlink" Target="https://job-boards.greenhouse.io/graphcore/jobs/8605744002" TargetMode="External" Id="rId1380" /><Relationship Type="http://schemas.openxmlformats.org/officeDocument/2006/relationships/hyperlink" Target="https://www.linkedin.com/jobs/view/4432282602" TargetMode="External" Id="rId1381" /><Relationship Type="http://schemas.openxmlformats.org/officeDocument/2006/relationships/hyperlink" Target="https://www.linkedin.com/jobs/view/4409029174" TargetMode="External" Id="rId1382" /><Relationship Type="http://schemas.openxmlformats.org/officeDocument/2006/relationships/hyperlink" Target="https://www.linkedin.com/jobs/view/4384599318" TargetMode="External" Id="rId1383" /><Relationship Type="http://schemas.openxmlformats.org/officeDocument/2006/relationships/hyperlink" Target="https://www.linkedin.com/jobs/view/4422921255" TargetMode="External" Id="rId1384" /><Relationship Type="http://schemas.openxmlformats.org/officeDocument/2006/relationships/hyperlink" Target="https://uk.indeed.com/viewjob" TargetMode="External" Id="rId1385" /><Relationship Type="http://schemas.openxmlformats.org/officeDocument/2006/relationships/hyperlink" Target="https://www.linkedin.com/jobs/view/4430935385" TargetMode="External" Id="rId1386" /><Relationship Type="http://schemas.openxmlformats.org/officeDocument/2006/relationships/hyperlink" Target="https://uk.indeed.com/viewjob" TargetMode="External" Id="rId1387" /><Relationship Type="http://schemas.openxmlformats.org/officeDocument/2006/relationships/hyperlink" Target="https://www.linkedin.com/jobs/view/4429242825" TargetMode="External" Id="rId1388" /><Relationship Type="http://schemas.openxmlformats.org/officeDocument/2006/relationships/hyperlink" Target="https://uk.indeed.com/viewjob" TargetMode="External" Id="rId1389" /><Relationship Type="http://schemas.openxmlformats.org/officeDocument/2006/relationships/hyperlink" Target="https://uk.indeed.com/viewjob" TargetMode="External" Id="rId1390" /><Relationship Type="http://schemas.openxmlformats.org/officeDocument/2006/relationships/hyperlink" Target="https://uk.indeed.com/viewjob" TargetMode="External" Id="rId1391" /><Relationship Type="http://schemas.openxmlformats.org/officeDocument/2006/relationships/hyperlink" Target="https://www.linkedin.com/jobs/view/4424178517" TargetMode="External" Id="rId1392" /><Relationship Type="http://schemas.openxmlformats.org/officeDocument/2006/relationships/hyperlink" Target="https://www.linkedin.com/jobs/view/4419687930" TargetMode="External" Id="rId1393" /><Relationship Type="http://schemas.openxmlformats.org/officeDocument/2006/relationships/hyperlink" Target="https://www.linkedin.com/jobs/view/4413607542" TargetMode="External" Id="rId1394" /><Relationship Type="http://schemas.openxmlformats.org/officeDocument/2006/relationships/hyperlink" Target="https://uk.indeed.com/viewjob" TargetMode="External" Id="rId1395" /><Relationship Type="http://schemas.openxmlformats.org/officeDocument/2006/relationships/hyperlink" Target="https://www.linkedin.com/jobs/view/4427331142" TargetMode="External" Id="rId1396" /><Relationship Type="http://schemas.openxmlformats.org/officeDocument/2006/relationships/hyperlink" Target="https://www.linkedin.com/jobs/view/4422422949" TargetMode="External" Id="rId1397" /><Relationship Type="http://schemas.openxmlformats.org/officeDocument/2006/relationships/hyperlink" Target="https://www.linkedin.com/jobs/view/4420428675" TargetMode="External" Id="rId1398" /><Relationship Type="http://schemas.openxmlformats.org/officeDocument/2006/relationships/hyperlink" Target="https://www.linkedin.com/jobs/view/4408283243" TargetMode="External" Id="rId1399" /><Relationship Type="http://schemas.openxmlformats.org/officeDocument/2006/relationships/hyperlink" Target="https://uk.indeed.com/viewjob" TargetMode="External" Id="rId1400" /><Relationship Type="http://schemas.openxmlformats.org/officeDocument/2006/relationships/hyperlink" Target="https://www.linkedin.com/jobs/view/4430942890" TargetMode="External" Id="rId1401" /><Relationship Type="http://schemas.openxmlformats.org/officeDocument/2006/relationships/hyperlink" Target="https://www.linkedin.com/jobs/view/4429376548" TargetMode="External" Id="rId1402" /><Relationship Type="http://schemas.openxmlformats.org/officeDocument/2006/relationships/hyperlink" Target="https://www.linkedin.com/jobs/view/4425776652" TargetMode="External" Id="rId1403" /><Relationship Type="http://schemas.openxmlformats.org/officeDocument/2006/relationships/hyperlink" Target="https://www.linkedin.com/jobs/view/4420103208" TargetMode="External" Id="rId1404" /><Relationship Type="http://schemas.openxmlformats.org/officeDocument/2006/relationships/hyperlink" Target="https://www.linkedin.com/jobs/view/4424096325" TargetMode="External" Id="rId1405" /><Relationship Type="http://schemas.openxmlformats.org/officeDocument/2006/relationships/hyperlink" Target="https://www.linkedin.com/jobs/view/4419648494" TargetMode="External" Id="rId1406" /><Relationship Type="http://schemas.openxmlformats.org/officeDocument/2006/relationships/hyperlink" Target="https://www.linkedin.com/jobs/view/4418253120" TargetMode="External" Id="rId1407" /><Relationship Type="http://schemas.openxmlformats.org/officeDocument/2006/relationships/hyperlink" Target="https://www.linkedin.com/jobs/view/4430356092" TargetMode="External" Id="rId1408" /><Relationship Type="http://schemas.openxmlformats.org/officeDocument/2006/relationships/hyperlink" Target="https://www.linkedin.com/jobs/view/4428858341" TargetMode="External" Id="rId1409" /><Relationship Type="http://schemas.openxmlformats.org/officeDocument/2006/relationships/hyperlink" Target="https://www.linkedin.com/jobs/view/4423405123" TargetMode="External" Id="rId1410" /><Relationship Type="http://schemas.openxmlformats.org/officeDocument/2006/relationships/hyperlink" Target="https://www.linkedin.com/jobs/view/4417619548" TargetMode="External" Id="rId1411" /><Relationship Type="http://schemas.openxmlformats.org/officeDocument/2006/relationships/hyperlink" Target="https://www.linkedin.com/jobs/view/4430962281" TargetMode="External" Id="rId1412" /><Relationship Type="http://schemas.openxmlformats.org/officeDocument/2006/relationships/hyperlink" Target="https://www.linkedin.com/jobs/view/4424352701" TargetMode="External" Id="rId1413" /><Relationship Type="http://schemas.openxmlformats.org/officeDocument/2006/relationships/hyperlink" Target="https://www.linkedin.com/jobs/view/4418442573" TargetMode="External" Id="rId1414" /><Relationship Type="http://schemas.openxmlformats.org/officeDocument/2006/relationships/hyperlink" Target="https://www.linkedin.com/jobs/view/4413994778" TargetMode="External" Id="rId1415" /><Relationship Type="http://schemas.openxmlformats.org/officeDocument/2006/relationships/hyperlink" Target="https://www.linkedin.com/jobs/view/4414216109" TargetMode="External" Id="rId1416" /><Relationship Type="http://schemas.openxmlformats.org/officeDocument/2006/relationships/hyperlink" Target="https://www.linkedin.com/jobs/view/4391862930" TargetMode="External" Id="rId1417" /><Relationship Type="http://schemas.openxmlformats.org/officeDocument/2006/relationships/hyperlink" Target="https://www.linkedin.com/jobs/view/4429660503" TargetMode="External" Id="rId1418" /><Relationship Type="http://schemas.openxmlformats.org/officeDocument/2006/relationships/hyperlink" Target="https://www.linkedin.com/jobs/view/4422259712" TargetMode="External" Id="rId1419" /><Relationship Type="http://schemas.openxmlformats.org/officeDocument/2006/relationships/hyperlink" Target="https://www.linkedin.com/jobs/view/4427406354" TargetMode="External" Id="rId1420" /><Relationship Type="http://schemas.openxmlformats.org/officeDocument/2006/relationships/hyperlink" Target="https://www.linkedin.com/jobs/view/4421798401" TargetMode="External" Id="rId1421" /><Relationship Type="http://schemas.openxmlformats.org/officeDocument/2006/relationships/hyperlink" Target="https://uk.indeed.com/viewjob" TargetMode="External" Id="rId1422" /><Relationship Type="http://schemas.openxmlformats.org/officeDocument/2006/relationships/hyperlink" Target="https://www.linkedin.com/jobs/view/4428727050" TargetMode="External" Id="rId1423" /><Relationship Type="http://schemas.openxmlformats.org/officeDocument/2006/relationships/hyperlink" Target="https://www.linkedin.com/jobs/view/4295837574" TargetMode="External" Id="rId1424" /><Relationship Type="http://schemas.openxmlformats.org/officeDocument/2006/relationships/hyperlink" Target="https://www.linkedin.com/jobs/view/4424882851" TargetMode="External" Id="rId1425" /><Relationship Type="http://schemas.openxmlformats.org/officeDocument/2006/relationships/hyperlink" Target="https://www.linkedin.com/jobs/view/4390154133" TargetMode="External" Id="rId1426" /><Relationship Type="http://schemas.openxmlformats.org/officeDocument/2006/relationships/hyperlink" Target="https://www.linkedin.com/jobs/view/4423515466" TargetMode="External" Id="rId1427" /><Relationship Type="http://schemas.openxmlformats.org/officeDocument/2006/relationships/hyperlink" Target="https://www.linkedin.com/jobs/view/4400124309" TargetMode="External" Id="rId1428" /><Relationship Type="http://schemas.openxmlformats.org/officeDocument/2006/relationships/hyperlink" Target="https://www.linkedin.com/jobs/view/4430964634" TargetMode="External" Id="rId1429" /><Relationship Type="http://schemas.openxmlformats.org/officeDocument/2006/relationships/hyperlink" Target="https://www.linkedin.com/jobs/view/4432052740" TargetMode="External" Id="rId1430" /><Relationship Type="http://schemas.openxmlformats.org/officeDocument/2006/relationships/hyperlink" Target="https://www.linkedin.com/jobs/view/4433077921" TargetMode="External" Id="rId1431" /><Relationship Type="http://schemas.openxmlformats.org/officeDocument/2006/relationships/hyperlink" Target="https://www.linkedin.com/jobs/view/4410973803" TargetMode="External" Id="rId1432" /><Relationship Type="http://schemas.openxmlformats.org/officeDocument/2006/relationships/hyperlink" Target="https://boards.greenhouse.io/cloudflare/jobs/8025650" TargetMode="External" Id="rId1433" /><Relationship Type="http://schemas.openxmlformats.org/officeDocument/2006/relationships/hyperlink" Target="https://www.linkedin.com/jobs/view/4429987489" TargetMode="External" Id="rId1434" /><Relationship Type="http://schemas.openxmlformats.org/officeDocument/2006/relationships/hyperlink" Target="https://www.linkedin.com/jobs/view/4431250580" TargetMode="External" Id="rId1435" /><Relationship Type="http://schemas.openxmlformats.org/officeDocument/2006/relationships/hyperlink" Target="https://boards.greenhouse.io/cloudflare/jobs/8017959" TargetMode="External" Id="rId1436" /><Relationship Type="http://schemas.openxmlformats.org/officeDocument/2006/relationships/hyperlink" Target="https://www.linkedin.com/jobs/view/4427413112" TargetMode="External" Id="rId1437" /><Relationship Type="http://schemas.openxmlformats.org/officeDocument/2006/relationships/hyperlink" Target="https://www.linkedin.com/jobs/view/4427214460" TargetMode="External" Id="rId1438" /><Relationship Type="http://schemas.openxmlformats.org/officeDocument/2006/relationships/hyperlink" Target="https://www.linkedin.com/jobs/view/4428849037" TargetMode="External" Id="rId1439" /><Relationship Type="http://schemas.openxmlformats.org/officeDocument/2006/relationships/hyperlink" Target="https://www.linkedin.com/jobs/view/4361526031" TargetMode="External" Id="rId1440" /><Relationship Type="http://schemas.openxmlformats.org/officeDocument/2006/relationships/hyperlink" Target="https://www.linkedin.com/jobs/view/4413996886" TargetMode="External" Id="rId1441" /><Relationship Type="http://schemas.openxmlformats.org/officeDocument/2006/relationships/hyperlink" Target="https://www.linkedin.com/jobs/view/4422831573" TargetMode="External" Id="rId1442" /><Relationship Type="http://schemas.openxmlformats.org/officeDocument/2006/relationships/hyperlink" Target="https://www.linkedin.com/jobs/view/4422365132" TargetMode="External" Id="rId1443" /><Relationship Type="http://schemas.openxmlformats.org/officeDocument/2006/relationships/hyperlink" Target="https://www.linkedin.com/jobs/view/4431136578" TargetMode="External" Id="rId1444" /><Relationship Type="http://schemas.openxmlformats.org/officeDocument/2006/relationships/hyperlink" Target="https://www.linkedin.com/jobs/view/4422679568" TargetMode="External" Id="rId1445" /><Relationship Type="http://schemas.openxmlformats.org/officeDocument/2006/relationships/hyperlink" Target="https://www.linkedin.com/jobs/view/4425477191" TargetMode="External" Id="rId1446" /><Relationship Type="http://schemas.openxmlformats.org/officeDocument/2006/relationships/hyperlink" Target="https://www.linkedin.com/jobs/view/4427704286" TargetMode="External" Id="rId1447" /><Relationship Type="http://schemas.openxmlformats.org/officeDocument/2006/relationships/hyperlink" Target="https://uk.indeed.com/viewjob" TargetMode="External" Id="rId1448" /><Relationship Type="http://schemas.openxmlformats.org/officeDocument/2006/relationships/hyperlink" Target="https://www.linkedin.com/jobs/view/4422925031" TargetMode="External" Id="rId1449" /><Relationship Type="http://schemas.openxmlformats.org/officeDocument/2006/relationships/hyperlink" Target="https://www.linkedin.com/jobs/view/4419433658" TargetMode="External" Id="rId1450" /><Relationship Type="http://schemas.openxmlformats.org/officeDocument/2006/relationships/hyperlink" Target="https://www.linkedin.com/jobs/view/4429945627" TargetMode="External" Id="rId1451" /><Relationship Type="http://schemas.openxmlformats.org/officeDocument/2006/relationships/hyperlink" Target="https://www.linkedin.com/jobs/view/4429529040" TargetMode="External" Id="rId1452" /><Relationship Type="http://schemas.openxmlformats.org/officeDocument/2006/relationships/hyperlink" Target="https://www.linkedin.com/jobs/view/4429655106" TargetMode="External" Id="rId1453" /><Relationship Type="http://schemas.openxmlformats.org/officeDocument/2006/relationships/hyperlink" Target="https://job-boards.greenhouse.io/gocardless/jobs/7996723" TargetMode="External" Id="rId1454" /><Relationship Type="http://schemas.openxmlformats.org/officeDocument/2006/relationships/hyperlink" Target="https://uk.indeed.com/viewjob" TargetMode="External" Id="rId1455" /><Relationship Type="http://schemas.openxmlformats.org/officeDocument/2006/relationships/hyperlink" Target="https://www.linkedin.com/jobs/view/4413310318" TargetMode="External" Id="rId1456" /><Relationship Type="http://schemas.openxmlformats.org/officeDocument/2006/relationships/hyperlink" Target="https://www.linkedin.com/jobs/view/4414038032" TargetMode="External" Id="rId1457" /><Relationship Type="http://schemas.openxmlformats.org/officeDocument/2006/relationships/hyperlink" Target="https://www.linkedin.com/jobs/view/4413928926" TargetMode="External" Id="rId1458" /><Relationship Type="http://schemas.openxmlformats.org/officeDocument/2006/relationships/hyperlink" Target="https://www.linkedin.com/jobs/view/4427490926" TargetMode="External" Id="rId1459" /><Relationship Type="http://schemas.openxmlformats.org/officeDocument/2006/relationships/hyperlink" Target="https://www.linkedin.com/jobs/view/4426641780" TargetMode="External" Id="rId1460" /><Relationship Type="http://schemas.openxmlformats.org/officeDocument/2006/relationships/hyperlink" Target="https://www.linkedin.com/jobs/view/4427551992" TargetMode="External" Id="rId1461" /><Relationship Type="http://schemas.openxmlformats.org/officeDocument/2006/relationships/hyperlink" Target="https://www.linkedin.com/jobs/view/4429919483" TargetMode="External" Id="rId1462" /><Relationship Type="http://schemas.openxmlformats.org/officeDocument/2006/relationships/hyperlink" Target="https://www.linkedin.com/jobs/view/4384264455" TargetMode="External" Id="rId1463" /><Relationship Type="http://schemas.openxmlformats.org/officeDocument/2006/relationships/hyperlink" Target="https://www.linkedin.com/jobs/view/4423357615" TargetMode="External" Id="rId1464" /><Relationship Type="http://schemas.openxmlformats.org/officeDocument/2006/relationships/hyperlink" Target="https://uk.indeed.com/viewjob" TargetMode="External" Id="rId1465" /><Relationship Type="http://schemas.openxmlformats.org/officeDocument/2006/relationships/hyperlink" Target="https://www.linkedin.com/jobs/view/4427527012" TargetMode="External" Id="rId1466" /><Relationship Type="http://schemas.openxmlformats.org/officeDocument/2006/relationships/hyperlink" Target="https://www.linkedin.com/jobs/view/4426937021" TargetMode="External" Id="rId1467" /><Relationship Type="http://schemas.openxmlformats.org/officeDocument/2006/relationships/hyperlink" Target="https://www.linkedin.com/jobs/view/4420287758" TargetMode="External" Id="rId1468" /><Relationship Type="http://schemas.openxmlformats.org/officeDocument/2006/relationships/hyperlink" Target="https://www.linkedin.com/jobs/view/4397288291" TargetMode="External" Id="rId1469" /><Relationship Type="http://schemas.openxmlformats.org/officeDocument/2006/relationships/hyperlink" Target="https://www.linkedin.com/jobs/view/4428701778" TargetMode="External" Id="rId1470" /><Relationship Type="http://schemas.openxmlformats.org/officeDocument/2006/relationships/hyperlink" Target="https://www.linkedin.com/jobs/view/4430168342" TargetMode="External" Id="rId1471" /><Relationship Type="http://schemas.openxmlformats.org/officeDocument/2006/relationships/hyperlink" Target="https://www.linkedin.com/jobs/view/4422017156" TargetMode="External" Id="rId1472" /><Relationship Type="http://schemas.openxmlformats.org/officeDocument/2006/relationships/hyperlink" Target="https://www.linkedin.com/jobs/view/4430476788" TargetMode="External" Id="rId1473" /><Relationship Type="http://schemas.openxmlformats.org/officeDocument/2006/relationships/hyperlink" Target="https://www.linkedin.com/jobs/view/4423885681" TargetMode="External" Id="rId1474" /><Relationship Type="http://schemas.openxmlformats.org/officeDocument/2006/relationships/hyperlink" Target="https://www.linkedin.com/jobs/view/4421767658" TargetMode="External" Id="rId1475" /><Relationship Type="http://schemas.openxmlformats.org/officeDocument/2006/relationships/hyperlink" Target="https://www.linkedin.com/jobs/view/4425228918" TargetMode="External" Id="rId1476" /><Relationship Type="http://schemas.openxmlformats.org/officeDocument/2006/relationships/hyperlink" Target="https://www.linkedin.com/jobs/view/4420628268" TargetMode="External" Id="rId1477" /><Relationship Type="http://schemas.openxmlformats.org/officeDocument/2006/relationships/hyperlink" Target="https://www.linkedin.com/jobs/view/4429536265" TargetMode="External" Id="rId1478" /><Relationship Type="http://schemas.openxmlformats.org/officeDocument/2006/relationships/hyperlink" Target="https://www.linkedin.com/jobs/view/4424511867" TargetMode="External" Id="rId1479" /><Relationship Type="http://schemas.openxmlformats.org/officeDocument/2006/relationships/hyperlink" Target="https://boards.greenhouse.io/cloudflare/jobs/8018980" TargetMode="External" Id="rId1480" /><Relationship Type="http://schemas.openxmlformats.org/officeDocument/2006/relationships/hyperlink" Target="https://www.linkedin.com/jobs/view/4428854017" TargetMode="External" Id="rId1481" /><Relationship Type="http://schemas.openxmlformats.org/officeDocument/2006/relationships/hyperlink" Target="https://uk.indeed.com/viewjob" TargetMode="External" Id="rId1482" /><Relationship Type="http://schemas.openxmlformats.org/officeDocument/2006/relationships/hyperlink" Target="https://boards.greenhouse.io/cloudflare/jobs/8018536" TargetMode="External" Id="rId1483" /><Relationship Type="http://schemas.openxmlformats.org/officeDocument/2006/relationships/hyperlink" Target="https://boards.greenhouse.io/cloudflare/jobs/7579269" TargetMode="External" Id="rId1484" /><Relationship Type="http://schemas.openxmlformats.org/officeDocument/2006/relationships/hyperlink" Target="https://www.linkedin.com/jobs/view/4421168560" TargetMode="External" Id="rId1485" /><Relationship Type="http://schemas.openxmlformats.org/officeDocument/2006/relationships/hyperlink" Target="https://boards.greenhouse.io/cloudflare/jobs/6972536" TargetMode="External" Id="rId1486" /><Relationship Type="http://schemas.openxmlformats.org/officeDocument/2006/relationships/hyperlink" Target="https://boards.greenhouse.io/cloudflare/jobs/7068271" TargetMode="External" Id="rId1487" /><Relationship Type="http://schemas.openxmlformats.org/officeDocument/2006/relationships/hyperlink" Target="https://www.linkedin.com/jobs/view/4432069255" TargetMode="External" Id="rId1488" /><Relationship Type="http://schemas.openxmlformats.org/officeDocument/2006/relationships/hyperlink" Target="https://www.linkedin.com/jobs/view/4427746288" TargetMode="External" Id="rId1489" /><Relationship Type="http://schemas.openxmlformats.org/officeDocument/2006/relationships/hyperlink" Target="https://www.linkedin.com/jobs/view/4374544006" TargetMode="External" Id="rId1490" /><Relationship Type="http://schemas.openxmlformats.org/officeDocument/2006/relationships/hyperlink" Target="https://boards.greenhouse.io/cloudflare/jobs/8014902" TargetMode="External" Id="rId1491" /><Relationship Type="http://schemas.openxmlformats.org/officeDocument/2006/relationships/hyperlink" Target="https://uk.indeed.com/viewjob" TargetMode="External" Id="rId1492" /><Relationship Type="http://schemas.openxmlformats.org/officeDocument/2006/relationships/hyperlink" Target="https://www.linkedin.com/jobs/view/4430970997" TargetMode="External" Id="rId1493" /><Relationship Type="http://schemas.openxmlformats.org/officeDocument/2006/relationships/hyperlink" Target="https://www.linkedin.com/jobs/view/4423214510" TargetMode="External" Id="rId1494" /><Relationship Type="http://schemas.openxmlformats.org/officeDocument/2006/relationships/hyperlink" Target="https://www.linkedin.com/jobs/view/4427963531" TargetMode="External" Id="rId1495" /><Relationship Type="http://schemas.openxmlformats.org/officeDocument/2006/relationships/hyperlink" Target="https://www.linkedin.com/jobs/view/4311563103" TargetMode="External" Id="rId1496" /><Relationship Type="http://schemas.openxmlformats.org/officeDocument/2006/relationships/hyperlink" Target="https://www.linkedin.com/jobs/view/4413309340" TargetMode="External" Id="rId1497" /><Relationship Type="http://schemas.openxmlformats.org/officeDocument/2006/relationships/hyperlink" Target="https://uk.indeed.com/viewjob" TargetMode="External" Id="rId1498" /><Relationship Type="http://schemas.openxmlformats.org/officeDocument/2006/relationships/hyperlink" Target="https://www.linkedin.com/jobs/view/4428817861" TargetMode="External" Id="rId1499" /><Relationship Type="http://schemas.openxmlformats.org/officeDocument/2006/relationships/hyperlink" Target="https://www.linkedin.com/jobs/view/4427745203" TargetMode="External" Id="rId1500" /><Relationship Type="http://schemas.openxmlformats.org/officeDocument/2006/relationships/hyperlink" Target="https://www.linkedin.com/jobs/view/4430425532" TargetMode="External" Id="rId1501" /><Relationship Type="http://schemas.openxmlformats.org/officeDocument/2006/relationships/hyperlink" Target="https://www.linkedin.com/jobs/view/4427636686" TargetMode="External" Id="rId1502" /><Relationship Type="http://schemas.openxmlformats.org/officeDocument/2006/relationships/hyperlink" Target="https://www.linkedin.com/jobs/view/4422956320" TargetMode="External" Id="rId1503" /><Relationship Type="http://schemas.openxmlformats.org/officeDocument/2006/relationships/hyperlink" Target="https://www.linkedin.com/jobs/view/4426659586" TargetMode="External" Id="rId1504" /><Relationship Type="http://schemas.openxmlformats.org/officeDocument/2006/relationships/hyperlink" Target="https://job-boards.greenhouse.io/monzo/jobs/7946774" TargetMode="External" Id="rId1505" /><Relationship Type="http://schemas.openxmlformats.org/officeDocument/2006/relationships/hyperlink" Target="https://job-boards.greenhouse.io/monzo/jobs/8025947" TargetMode="External" Id="rId1506" /><Relationship Type="http://schemas.openxmlformats.org/officeDocument/2006/relationships/hyperlink" Target="https://job-boards.greenhouse.io/monzo/jobs/7564605" TargetMode="External" Id="rId1507" /><Relationship Type="http://schemas.openxmlformats.org/officeDocument/2006/relationships/hyperlink" Target="https://job-boards.greenhouse.io/graphcore/jobs/8605372002" TargetMode="External" Id="rId1508" /><Relationship Type="http://schemas.openxmlformats.org/officeDocument/2006/relationships/hyperlink" Target="https://job-boards.greenhouse.io/graphcore/jobs/8605700002" TargetMode="External" Id="rId1509" /><Relationship Type="http://schemas.openxmlformats.org/officeDocument/2006/relationships/hyperlink" Target="https://job-boards.greenhouse.io/graphcore/jobs/8605704002" TargetMode="External" Id="rId1510" /><Relationship Type="http://schemas.openxmlformats.org/officeDocument/2006/relationships/hyperlink" Target="https://job-boards.greenhouse.io/graphcore/jobs/8605701002" TargetMode="External" Id="rId1511" /><Relationship Type="http://schemas.openxmlformats.org/officeDocument/2006/relationships/hyperlink" Target="https://www.linkedin.com/jobs/view/4419298808" TargetMode="External" Id="rId1512" /><Relationship Type="http://schemas.openxmlformats.org/officeDocument/2006/relationships/hyperlink" Target="https://www.linkedin.com/jobs/view/4428275144" TargetMode="External" Id="rId1513" /><Relationship Type="http://schemas.openxmlformats.org/officeDocument/2006/relationships/hyperlink" Target="https://job-boards.greenhouse.io/graphcore/jobs/8599491002" TargetMode="External" Id="rId1514" /><Relationship Type="http://schemas.openxmlformats.org/officeDocument/2006/relationships/hyperlink" Target="https://www.linkedin.com/jobs/view/4427663011" TargetMode="External" Id="rId1515" /><Relationship Type="http://schemas.openxmlformats.org/officeDocument/2006/relationships/hyperlink" Target="https://www.linkedin.com/jobs/view/4428547888" TargetMode="External" Id="rId1516" /><Relationship Type="http://schemas.openxmlformats.org/officeDocument/2006/relationships/hyperlink" Target="https://www.linkedin.com/jobs/view/4416732501" TargetMode="External" Id="rId1517" /><Relationship Type="http://schemas.openxmlformats.org/officeDocument/2006/relationships/hyperlink" Target="https://www.linkedin.com/jobs/view/4426561895" TargetMode="External" Id="rId1518" /><Relationship Type="http://schemas.openxmlformats.org/officeDocument/2006/relationships/hyperlink" Target="https://www.linkedin.com/jobs/view/4426429723" TargetMode="External" Id="rId1519" /><Relationship Type="http://schemas.openxmlformats.org/officeDocument/2006/relationships/hyperlink" Target="https://www.linkedin.com/jobs/view/4430959869" TargetMode="External" Id="rId1520" /><Relationship Type="http://schemas.openxmlformats.org/officeDocument/2006/relationships/hyperlink" Target="https://uk.indeed.com/viewjob" TargetMode="External" Id="rId1521" /><Relationship Type="http://schemas.openxmlformats.org/officeDocument/2006/relationships/hyperlink" Target="https://www.linkedin.com/jobs/view/4426749633" TargetMode="External" Id="rId1522" /><Relationship Type="http://schemas.openxmlformats.org/officeDocument/2006/relationships/hyperlink" Target="https://www.linkedin.com/jobs/view/4417214817" TargetMode="External" Id="rId1523" /><Relationship Type="http://schemas.openxmlformats.org/officeDocument/2006/relationships/hyperlink" Target="https://www.linkedin.com/jobs/view/4425753109" TargetMode="External" Id="rId1524" /><Relationship Type="http://schemas.openxmlformats.org/officeDocument/2006/relationships/hyperlink" Target="https://www.linkedin.com/jobs/view/4408778124" TargetMode="External" Id="rId1525" /><Relationship Type="http://schemas.openxmlformats.org/officeDocument/2006/relationships/hyperlink" Target="https://www.linkedin.com/jobs/view/4421946904" TargetMode="External" Id="rId1526" /><Relationship Type="http://schemas.openxmlformats.org/officeDocument/2006/relationships/hyperlink" Target="https://www.linkedin.com/jobs/view/4423000166" TargetMode="External" Id="rId1527" /><Relationship Type="http://schemas.openxmlformats.org/officeDocument/2006/relationships/hyperlink" Target="https://www.linkedin.com/jobs/view/4428704799" TargetMode="External" Id="rId1528" /><Relationship Type="http://schemas.openxmlformats.org/officeDocument/2006/relationships/hyperlink" Target="https://job-boards.greenhouse.io/gocardless/jobs/7627201" TargetMode="External" Id="rId1529" /><Relationship Type="http://schemas.openxmlformats.org/officeDocument/2006/relationships/hyperlink" Target="https://uk.indeed.com/viewjob" TargetMode="External" Id="rId1530" /><Relationship Type="http://schemas.openxmlformats.org/officeDocument/2006/relationships/hyperlink" Target="https://uk.indeed.com/viewjob" TargetMode="External" Id="rId1531" /><Relationship Type="http://schemas.openxmlformats.org/officeDocument/2006/relationships/hyperlink" Target="https://uk.indeed.com/viewjob" TargetMode="External" Id="rId1532" /><Relationship Type="http://schemas.openxmlformats.org/officeDocument/2006/relationships/hyperlink" Target="https://uk.indeed.com/viewjob" TargetMode="External" Id="rId1533" /><Relationship Type="http://schemas.openxmlformats.org/officeDocument/2006/relationships/hyperlink" Target="https://uk.indeed.com/viewjob" TargetMode="External" Id="rId1534" /><Relationship Type="http://schemas.openxmlformats.org/officeDocument/2006/relationships/hyperlink" Target="https://uk.indeed.com/viewjob" TargetMode="External" Id="rId1535" /><Relationship Type="http://schemas.openxmlformats.org/officeDocument/2006/relationships/hyperlink" Target="https://www.linkedin.com/jobs/view/4429020341" TargetMode="External" Id="rId1536" /><Relationship Type="http://schemas.openxmlformats.org/officeDocument/2006/relationships/hyperlink" Target="https://www.linkedin.com/jobs/view/4427366360" TargetMode="External" Id="rId1537" /><Relationship Type="http://schemas.openxmlformats.org/officeDocument/2006/relationships/hyperlink" Target="https://www.linkedin.com/jobs/view/4424426262" TargetMode="External" Id="rId1538" /><Relationship Type="http://schemas.openxmlformats.org/officeDocument/2006/relationships/hyperlink" Target="https://uk.indeed.com/viewjob" TargetMode="External" Id="rId1539" /><Relationship Type="http://schemas.openxmlformats.org/officeDocument/2006/relationships/hyperlink" Target="https://job-boards.greenhouse.io/monzo/jobs/7118972" TargetMode="External" Id="rId1540" /><Relationship Type="http://schemas.openxmlformats.org/officeDocument/2006/relationships/hyperlink" Target="https://boards.greenhouse.io/cloudflare/jobs/7736431" TargetMode="External" Id="rId1541" /><Relationship Type="http://schemas.openxmlformats.org/officeDocument/2006/relationships/hyperlink" Target="https://boards.greenhouse.io/cloudflare/jobs/7742347" TargetMode="External" Id="rId1542" /><Relationship Type="http://schemas.openxmlformats.org/officeDocument/2006/relationships/hyperlink" Target="https://boards.greenhouse.io/cloudflare/jobs/7610071" TargetMode="External" Id="rId1543" /><Relationship Type="http://schemas.openxmlformats.org/officeDocument/2006/relationships/hyperlink" Target="https://uk.indeed.com/viewjob" TargetMode="External" Id="rId1544" /><Relationship Type="http://schemas.openxmlformats.org/officeDocument/2006/relationships/hyperlink" Target="https://www.linkedin.com/jobs/view/4417943554" TargetMode="External" Id="rId1545" /><Relationship Type="http://schemas.openxmlformats.org/officeDocument/2006/relationships/hyperlink" Target="https://www.linkedin.com/jobs/view/4418147828" TargetMode="External" Id="rId1546" /><Relationship Type="http://schemas.openxmlformats.org/officeDocument/2006/relationships/hyperlink" Target="https://www.linkedin.com/jobs/view/4414938391" TargetMode="External" Id="rId1547" /><Relationship Type="http://schemas.openxmlformats.org/officeDocument/2006/relationships/hyperlink" Target="https://www.linkedin.com/jobs/view/4402628995" TargetMode="External" Id="rId1548" /><Relationship Type="http://schemas.openxmlformats.org/officeDocument/2006/relationships/hyperlink" Target="https://sifive.wd1.myworkdayjobs.com/job/Santa-Clara-California-United-States/Interconnect-Design-Engineer_R-101375" TargetMode="External" Id="rId1549" /><Relationship Type="http://schemas.openxmlformats.org/officeDocument/2006/relationships/hyperlink" Target="https://dyson.wd3.myworkdayjobs.com/job/Germany---Cologne-Office/E-Commerce-Executive_JR36984-1" TargetMode="External" Id="rId1550" /><Relationship Type="http://schemas.openxmlformats.org/officeDocument/2006/relationships/hyperlink" Target="https://dyson.wd3.myworkdayjobs.com/job/Spain---Madrid-Workshop/Junior-Workshop-Technician_JR35725-1" TargetMode="External" Id="rId1551" /><Relationship Type="http://schemas.openxmlformats.org/officeDocument/2006/relationships/hyperlink" Target="https://dyson.wd3.myworkdayjobs.com/job/Singapore---Technology-Centre/Global-Supply-Chain-Business-Operations-Intern--Data---AI-_JR36850" TargetMode="External" Id="rId1552" /><Relationship Type="http://schemas.openxmlformats.org/officeDocument/2006/relationships/hyperlink" Target="https://dyson.wd3.myworkdayjobs.com/job/Ireland---Country-Remote/Dyson-Expert---Harvey-Norman-Blanchardstown--Part-Time-_JR37063" TargetMode="External" Id="rId1553" /><Relationship Type="http://schemas.openxmlformats.org/officeDocument/2006/relationships/hyperlink" Target="https://dyson.wd3.myworkdayjobs.com/job/Malaysia---Global-Development-Campus-Johor-Bahru/Graduate-Technology-Engineer_JR37060" TargetMode="External" Id="rId1554" /><Relationship Type="http://schemas.openxmlformats.org/officeDocument/2006/relationships/hyperlink" Target="https://www.linkedin.com/jobs/view/4425796476" TargetMode="External" Id="rId1555" /><Relationship Type="http://schemas.openxmlformats.org/officeDocument/2006/relationships/hyperlink" Target="https://www.linkedin.com/jobs/view/4426401220" TargetMode="External" Id="rId1556" /><Relationship Type="http://schemas.openxmlformats.org/officeDocument/2006/relationships/hyperlink" Target="https://www.linkedin.com/jobs/view/4425795512" TargetMode="External" Id="rId1557" /><Relationship Type="http://schemas.openxmlformats.org/officeDocument/2006/relationships/hyperlink" Target="https://www.linkedin.com/jobs/view/4424881187" TargetMode="External" Id="rId1558" /><Relationship Type="http://schemas.openxmlformats.org/officeDocument/2006/relationships/hyperlink" Target="https://www.linkedin.com/jobs/view/4421443830" TargetMode="External" Id="rId1559" /><Relationship Type="http://schemas.openxmlformats.org/officeDocument/2006/relationships/hyperlink" Target="https://uk.indeed.com/viewjob" TargetMode="External" Id="rId1560" /><Relationship Type="http://schemas.openxmlformats.org/officeDocument/2006/relationships/hyperlink" Target="https://www.linkedin.com/jobs/view/4424023550" TargetMode="External" Id="rId1561" /><Relationship Type="http://schemas.openxmlformats.org/officeDocument/2006/relationships/hyperlink" Target="https://www.linkedin.com/jobs/view/4424165873" TargetMode="External" Id="rId1562" /><Relationship Type="http://schemas.openxmlformats.org/officeDocument/2006/relationships/hyperlink" Target="https://www.linkedin.com/jobs/view/4430748101" TargetMode="External" Id="rId1563" /><Relationship Type="http://schemas.openxmlformats.org/officeDocument/2006/relationships/hyperlink" Target="https://www.linkedin.com/jobs/view/4428227504" TargetMode="External" Id="rId1564" /><Relationship Type="http://schemas.openxmlformats.org/officeDocument/2006/relationships/hyperlink" Target="https://boards.greenhouse.io/cloudflare/jobs/7955378" TargetMode="External" Id="rId1565" /><Relationship Type="http://schemas.openxmlformats.org/officeDocument/2006/relationships/hyperlink" Target="https://boards.greenhouse.io/cloudflare/jobs/7956849" TargetMode="External" Id="rId1566" /><Relationship Type="http://schemas.openxmlformats.org/officeDocument/2006/relationships/hyperlink" Target="https://boards.greenhouse.io/cloudflare/jobs/8002300" TargetMode="External" Id="rId1567" /><Relationship Type="http://schemas.openxmlformats.org/officeDocument/2006/relationships/hyperlink" Target="https://boards.greenhouse.io/cloudflare/jobs/7462799" TargetMode="External" Id="rId1568" /><Relationship Type="http://schemas.openxmlformats.org/officeDocument/2006/relationships/hyperlink" Target="https://boards.greenhouse.io/cloudflare/jobs/7462803" TargetMode="External" Id="rId1569" /><Relationship Type="http://schemas.openxmlformats.org/officeDocument/2006/relationships/hyperlink" Target="https://boards.greenhouse.io/cloudflare/jobs/7462801" TargetMode="External" Id="rId1570" /><Relationship Type="http://schemas.openxmlformats.org/officeDocument/2006/relationships/hyperlink" Target="https://boards.greenhouse.io/cloudflare/jobs/7462802" TargetMode="External" Id="rId1571" /><Relationship Type="http://schemas.openxmlformats.org/officeDocument/2006/relationships/hyperlink" Target="https://boards.greenhouse.io/cloudflare/jobs/7976246" TargetMode="External" Id="rId1572" /><Relationship Type="http://schemas.openxmlformats.org/officeDocument/2006/relationships/hyperlink" Target="https://boards.greenhouse.io/cloudflare/jobs/7956846" TargetMode="External" Id="rId1573" /><Relationship Type="http://schemas.openxmlformats.org/officeDocument/2006/relationships/hyperlink" Target="https://boards.greenhouse.io/cloudflare/jobs/7778796" TargetMode="External" Id="rId1574" /><Relationship Type="http://schemas.openxmlformats.org/officeDocument/2006/relationships/hyperlink" Target="https://boards.greenhouse.io/cloudflare/jobs/7577564" TargetMode="External" Id="rId1575" /><Relationship Type="http://schemas.openxmlformats.org/officeDocument/2006/relationships/hyperlink" Target="https://boards.greenhouse.io/cloudflare/jobs/7963860" TargetMode="External" Id="rId1576" /><Relationship Type="http://schemas.openxmlformats.org/officeDocument/2006/relationships/hyperlink" Target="https://boards.greenhouse.io/cloudflare/jobs/7972472" TargetMode="External" Id="rId1577" /><Relationship Type="http://schemas.openxmlformats.org/officeDocument/2006/relationships/hyperlink" Target="https://boards.greenhouse.io/cloudflare/jobs/7649981" TargetMode="External" Id="rId1578" /><Relationship Type="http://schemas.openxmlformats.org/officeDocument/2006/relationships/hyperlink" Target="https://boards.greenhouse.io/cloudflare/jobs/7855832" TargetMode="External" Id="rId1579" /><Relationship Type="http://schemas.openxmlformats.org/officeDocument/2006/relationships/hyperlink" Target="https://boards.greenhouse.io/cloudflare/jobs/7855864" TargetMode="External" Id="rId1580" /><Relationship Type="http://schemas.openxmlformats.org/officeDocument/2006/relationships/hyperlink" Target="https://boards.greenhouse.io/cloudflare/jobs/7863831" TargetMode="External" Id="rId1581" /><Relationship Type="http://schemas.openxmlformats.org/officeDocument/2006/relationships/hyperlink" Target="https://boards.greenhouse.io/cloudflare/jobs/7505582" TargetMode="External" Id="rId1582" /><Relationship Type="http://schemas.openxmlformats.org/officeDocument/2006/relationships/hyperlink" Target="https://boards.greenhouse.io/cloudflare/jobs/7831414" TargetMode="External" Id="rId1583" /><Relationship Type="http://schemas.openxmlformats.org/officeDocument/2006/relationships/hyperlink" Target="https://boards.greenhouse.io/cloudflare/jobs/7978788" TargetMode="External" Id="rId1584" /><Relationship Type="http://schemas.openxmlformats.org/officeDocument/2006/relationships/hyperlink" Target="https://boards.greenhouse.io/cloudflare/jobs/7742773" TargetMode="External" Id="rId1585" /><Relationship Type="http://schemas.openxmlformats.org/officeDocument/2006/relationships/hyperlink" Target="https://uk.indeed.com/viewjob" TargetMode="External" Id="rId1586" /><Relationship Type="http://schemas.openxmlformats.org/officeDocument/2006/relationships/hyperlink" Target="https://uk.indeed.com/viewjob" TargetMode="External" Id="rId1587" /><Relationship Type="http://schemas.openxmlformats.org/officeDocument/2006/relationships/hyperlink" Target="https://uk.indeed.com/viewjob" TargetMode="External" Id="rId1588" /><Relationship Type="http://schemas.openxmlformats.org/officeDocument/2006/relationships/hyperlink" Target="https://www.linkedin.com/jobs/view/4426779869" TargetMode="External" Id="rId1589" /><Relationship Type="http://schemas.openxmlformats.org/officeDocument/2006/relationships/hyperlink" Target="https://www.linkedin.com/jobs/view/4423984629" TargetMode="External" Id="rId1590" /><Relationship Type="http://schemas.openxmlformats.org/officeDocument/2006/relationships/hyperlink" Target="https://www.linkedin.com/jobs/view/4423391706" TargetMode="External" Id="rId1591" /><Relationship Type="http://schemas.openxmlformats.org/officeDocument/2006/relationships/hyperlink" Target="https://www.linkedin.com/jobs/view/4418769430" TargetMode="External" Id="rId1592" /><Relationship Type="http://schemas.openxmlformats.org/officeDocument/2006/relationships/hyperlink" Target="https://www.linkedin.com/jobs/view/4425993180" TargetMode="External" Id="rId1593" /><Relationship Type="http://schemas.openxmlformats.org/officeDocument/2006/relationships/hyperlink" Target="https://www.linkedin.com/jobs/view/4428482963" TargetMode="External" Id="rId1594" /><Relationship Type="http://schemas.openxmlformats.org/officeDocument/2006/relationships/hyperlink" Target="https://www.linkedin.com/jobs/view/4420424760" TargetMode="External" Id="rId1595" /><Relationship Type="http://schemas.openxmlformats.org/officeDocument/2006/relationships/hyperlink" Target="https://www.linkedin.com/jobs/view/4418622139" TargetMode="External" Id="rId1596" /><Relationship Type="http://schemas.openxmlformats.org/officeDocument/2006/relationships/hyperlink" Target="https://www.linkedin.com/jobs/view/4430423540" TargetMode="External" Id="rId1597" /><Relationship Type="http://schemas.openxmlformats.org/officeDocument/2006/relationships/hyperlink" Target="https://www.linkedin.com/jobs/view/4427328486" TargetMode="External" Id="rId1598" /><Relationship Type="http://schemas.openxmlformats.org/officeDocument/2006/relationships/hyperlink" Target="https://www.linkedin.com/jobs/view/4419917474" TargetMode="External" Id="rId1599" /><Relationship Type="http://schemas.openxmlformats.org/officeDocument/2006/relationships/hyperlink" Target="https://www.linkedin.com/jobs/view/4427764704" TargetMode="External" Id="rId1600" /><Relationship Type="http://schemas.openxmlformats.org/officeDocument/2006/relationships/hyperlink" Target="https://www.linkedin.com/jobs/view/4415317949" TargetMode="External" Id="rId1601" /><Relationship Type="http://schemas.openxmlformats.org/officeDocument/2006/relationships/hyperlink" Target="https://job-boards.greenhouse.io/graphcore/jobs/8603996002" TargetMode="External" Id="rId1602" /><Relationship Type="http://schemas.openxmlformats.org/officeDocument/2006/relationships/hyperlink" Target="https://job-boards.greenhouse.io/monzo/jobs/8027811" TargetMode="External" Id="rId1603" /><Relationship Type="http://schemas.openxmlformats.org/officeDocument/2006/relationships/hyperlink" Target="https://sifive.wd1.myworkdayjobs.com/job/Hyderabad-India/Engineer---Staff---Sr-Staff-Engineer---CPU-Verification--RAS-_R-101383" TargetMode="External" Id="rId1604" /><Relationship Type="http://schemas.openxmlformats.org/officeDocument/2006/relationships/hyperlink" Target="https://sifive.wd1.myworkdayjobs.com/job/Hsinchu-Taiwan/System-Software-Engineer_R-101344" TargetMode="External" Id="rId1605" /><Relationship Type="http://schemas.openxmlformats.org/officeDocument/2006/relationships/hyperlink" Target="https://sifive.wd1.myworkdayjobs.com/job/Bengaluru-Karnataka-India/Staff-Engineer---DV_R-101382" TargetMode="External" Id="rId1606" /><Relationship Type="http://schemas.openxmlformats.org/officeDocument/2006/relationships/hyperlink" Target="https://dyson.wd3.myworkdayjobs.com/job/Malaysia---Global-Development-Campus-Johor-Bahru/Associate-Global-Supply-Chain-Planning-Manager_JR35026" TargetMode="External" Id="rId1607" /><Relationship Type="http://schemas.openxmlformats.org/officeDocument/2006/relationships/hyperlink" Target="https://dyson.wd3.myworkdayjobs.com/job/Singapore---Technology-Centre/Global-Planning-Manager_JR36902" TargetMode="External" Id="rId1608" /><Relationship Type="http://schemas.openxmlformats.org/officeDocument/2006/relationships/hyperlink" Target="https://dyson.wd3.myworkdayjobs.com/job/Singapore---Technology-Centre/Global-Materials-Planning---Optimization-Manager_JR33092-1" TargetMode="External" Id="rId1609" /><Relationship Type="http://schemas.openxmlformats.org/officeDocument/2006/relationships/hyperlink" Target="https://dyson.wd3.myworkdayjobs.com/job/Singapore---St-James-Power-Station-Headquarters/Global-B2B-Lead-Category-Analyst_JR36872" TargetMode="External" Id="rId1610" /><Relationship Type="http://schemas.openxmlformats.org/officeDocument/2006/relationships/hyperlink" Target="https://dyson.wd3.myworkdayjobs.com/job/Taiwan---Taipei-Office/Senior-Business-Development-Manager_JR36459" TargetMode="External" Id="rId1611" /><Relationship Type="http://schemas.openxmlformats.org/officeDocument/2006/relationships/hyperlink" Target="https://www.linkedin.com/jobs/view/4402100878" TargetMode="External" Id="rId1612" /><Relationship Type="http://schemas.openxmlformats.org/officeDocument/2006/relationships/hyperlink" Target="https://www.linkedin.com/jobs/view/4422336501" TargetMode="External" Id="rId1613" /><Relationship Type="http://schemas.openxmlformats.org/officeDocument/2006/relationships/hyperlink" Target="https://www.linkedin.com/jobs/view/4411565848" TargetMode="External" Id="rId1614" /><Relationship Type="http://schemas.openxmlformats.org/officeDocument/2006/relationships/hyperlink" Target="https://job-boards.greenhouse.io/graphcore/jobs/8607697002" TargetMode="External" Id="rId1615" /><Relationship Type="http://schemas.openxmlformats.org/officeDocument/2006/relationships/hyperlink" Target="https://job-boards.greenhouse.io/graphcore/jobs/8607696002" TargetMode="External" Id="rId1616" /><Relationship Type="http://schemas.openxmlformats.org/officeDocument/2006/relationships/hyperlink" Target="https://job-boards.greenhouse.io/graphcore/jobs/8607695002" TargetMode="External" Id="rId1617" /><Relationship Type="http://schemas.openxmlformats.org/officeDocument/2006/relationships/hyperlink" Target="https://job-boards.greenhouse.io/graphcore/jobs/8588021002" TargetMode="External" Id="rId1618" /><Relationship Type="http://schemas.openxmlformats.org/officeDocument/2006/relationships/hyperlink" Target="https://job-boards.greenhouse.io/graphcore/jobs/8607728002" TargetMode="External" Id="rId1619" /><Relationship Type="http://schemas.openxmlformats.org/officeDocument/2006/relationships/hyperlink" Target="https://job-boards.greenhouse.io/graphcore/jobs/8607720002" TargetMode="External" Id="rId1620" /><Relationship Type="http://schemas.openxmlformats.org/officeDocument/2006/relationships/hyperlink" Target="https://job-boards.greenhouse.io/graphcore/jobs/8607724002" TargetMode="External" Id="rId1621" /><Relationship Type="http://schemas.openxmlformats.org/officeDocument/2006/relationships/hyperlink" Target="https://job-boards.greenhouse.io/graphcore/jobs/8607712002" TargetMode="External" Id="rId1622" /><Relationship Type="http://schemas.openxmlformats.org/officeDocument/2006/relationships/hyperlink" Target="https://job-boards.greenhouse.io/graphcore/jobs/8607710002" TargetMode="External" Id="rId1623" /><Relationship Type="http://schemas.openxmlformats.org/officeDocument/2006/relationships/hyperlink" Target="https://job-boards.greenhouse.io/graphcore/jobs/8607711002" TargetMode="External" Id="rId1624" /><Relationship Type="http://schemas.openxmlformats.org/officeDocument/2006/relationships/hyperlink" Target="https://dyson.wd3.myworkdayjobs.com/job/Netherlands---Amsterdam-Office/Senior-Trading-Operations-Specialist_JR36715" TargetMode="External" Id="rId1625" /><Relationship Type="http://schemas.openxmlformats.org/officeDocument/2006/relationships/hyperlink" Target="https://dyson.wd3.myworkdayjobs.com/job/Netherlands---Utrecht-De-Bijenkorf-Demo-Store/Stylist_JR35299" TargetMode="External" Id="rId1626" /><Relationship Type="http://schemas.openxmlformats.org/officeDocument/2006/relationships/hyperlink" Target="https://uk.indeed.com/viewjob" TargetMode="External" Id="rId1627" /><Relationship Type="http://schemas.openxmlformats.org/officeDocument/2006/relationships/hyperlink" Target="https://www.linkedin.com/jobs/view/4400754438" TargetMode="External" Id="rId1628" /><Relationship Type="http://schemas.openxmlformats.org/officeDocument/2006/relationships/hyperlink" Target="https://www.linkedin.com/jobs/view/4424883926" TargetMode="External" Id="rId1629" /><Relationship Type="http://schemas.openxmlformats.org/officeDocument/2006/relationships/hyperlink" Target="https://www.linkedin.com/jobs/view/4386874482" TargetMode="External" Id="rId1630" /><Relationship Type="http://schemas.openxmlformats.org/officeDocument/2006/relationships/hyperlink" Target="https://job-boards.greenhouse.io/graphcore/jobs/8608955002" TargetMode="External" Id="rId1631" /><Relationship Type="http://schemas.openxmlformats.org/officeDocument/2006/relationships/hyperlink" Target="https://job-boards.greenhouse.io/graphcore/jobs/8606359002" TargetMode="External" Id="rId1632" /><Relationship Type="http://schemas.openxmlformats.org/officeDocument/2006/relationships/hyperlink" Target="https://job-boards.greenhouse.io/graphcore/jobs/8604010002" TargetMode="External" Id="rId1633" /><Relationship Type="http://schemas.openxmlformats.org/officeDocument/2006/relationships/hyperlink" Target="https://boards.greenhouse.io/cloudflare/jobs/7528276" TargetMode="External" Id="rId1634" /><Relationship Type="http://schemas.openxmlformats.org/officeDocument/2006/relationships/hyperlink" Target="https://www.linkedin.com/jobs/view/4416269010" TargetMode="External" Id="rId1635" /><Relationship Type="http://schemas.openxmlformats.org/officeDocument/2006/relationships/hyperlink" Target="https://www.linkedin.com/jobs/view/4429526802" TargetMode="External" Id="rId1636" /><Relationship Type="http://schemas.openxmlformats.org/officeDocument/2006/relationships/hyperlink" Target="https://www.linkedin.com/jobs/view/4431659190" TargetMode="External" Id="rId1637" /><Relationship Type="http://schemas.openxmlformats.org/officeDocument/2006/relationships/hyperlink" Target="https://www.linkedin.com/jobs/view/4428817898" TargetMode="External" Id="rId1638" /><Relationship Type="http://schemas.openxmlformats.org/officeDocument/2006/relationships/hyperlink" Target="https://www.linkedin.com/jobs/view/4426971496" TargetMode="External" Id="rId1639" /><Relationship Type="http://schemas.openxmlformats.org/officeDocument/2006/relationships/hyperlink" Target="https://job-boards.greenhouse.io/graphcore/jobs/8605269002" TargetMode="External" Id="rId1640" /><Relationship Type="http://schemas.openxmlformats.org/officeDocument/2006/relationships/hyperlink" Target="https://job-boards.greenhouse.io/graphcore/jobs/8605255002" TargetMode="External" Id="rId1641" /><Relationship Type="http://schemas.openxmlformats.org/officeDocument/2006/relationships/hyperlink" Target="https://job-boards.greenhouse.io/monzo/jobs/8013699" TargetMode="External" Id="rId1642" /><Relationship Type="http://schemas.openxmlformats.org/officeDocument/2006/relationships/hyperlink" Target="https://boards.greenhouse.io/cloudflare/jobs/7956758" TargetMode="External" Id="rId1643" /><Relationship Type="http://schemas.openxmlformats.org/officeDocument/2006/relationships/hyperlink" Target="https://dyson.wd3.myworkdayjobs.com/job/United-Kingdom---London-Press-Office/Senior-Communications-Manager--Floorcare_JR36614-1" TargetMode="External" Id="rId1644" /><Relationship Type="http://schemas.openxmlformats.org/officeDocument/2006/relationships/hyperlink" Target="https://dyson.wd3.myworkdayjobs.com/job/Malaysia---Global-Development-Campus-Johor-Bahru/Senior-Devops-Engineer--JIRA-Admin-_JR36091-1" TargetMode="External" Id="rId1645" /><Relationship Type="http://schemas.openxmlformats.org/officeDocument/2006/relationships/hyperlink" Target="https://dyson.wd3.myworkdayjobs.com/job/Singapore---St-James-Power-Station-Headquarters/CRM-Manager_JR36177" TargetMode="External" Id="rId1646" /><Relationship Type="http://schemas.openxmlformats.org/officeDocument/2006/relationships/hyperlink" Target="https://dyson.wd3.myworkdayjobs.com/job/Singapore---St-James-Power-Station-Headquarters/Senior-Commercial-Manager--12-month-Maternity-Cover-_JR36923" TargetMode="External" Id="rId1647" /><Relationship Type="http://schemas.openxmlformats.org/officeDocument/2006/relationships/hyperlink" Target="https://www.linkedin.com/jobs/view/4362069920" TargetMode="External" Id="rId1648" /><Relationship Type="http://schemas.openxmlformats.org/officeDocument/2006/relationships/hyperlink" Target="https://www.linkedin.com/jobs/view/4425763927" TargetMode="External" Id="rId1649" /><Relationship Type="http://schemas.openxmlformats.org/officeDocument/2006/relationships/hyperlink" Target="https://www.linkedin.com/jobs/view/4419295404" TargetMode="External" Id="rId1650" /><Relationship Type="http://schemas.openxmlformats.org/officeDocument/2006/relationships/hyperlink" Target="https://job-boards.greenhouse.io/graphcore/jobs/8605788002" TargetMode="External" Id="rId1651" /><Relationship Type="http://schemas.openxmlformats.org/officeDocument/2006/relationships/hyperlink" Target="https://job-boards.greenhouse.io/graphcore/jobs/8562012002" TargetMode="External" Id="rId1652" /><Relationship Type="http://schemas.openxmlformats.org/officeDocument/2006/relationships/hyperlink" Target="https://job-boards.greenhouse.io/graphcore/jobs/8605722002" TargetMode="External" Id="rId1653" /><Relationship Type="http://schemas.openxmlformats.org/officeDocument/2006/relationships/hyperlink" Target="https://job-boards.greenhouse.io/graphcore/jobs/8605718002" TargetMode="External" Id="rId1654" /><Relationship Type="http://schemas.openxmlformats.org/officeDocument/2006/relationships/hyperlink" Target="https://job-boards.greenhouse.io/graphcore/jobs/8605719002" TargetMode="External" Id="rId1655" /><Relationship Type="http://schemas.openxmlformats.org/officeDocument/2006/relationships/hyperlink" Target="https://job-boards.greenhouse.io/monzo/jobs/7996955" TargetMode="External" Id="rId1656" /><Relationship Type="http://schemas.openxmlformats.org/officeDocument/2006/relationships/hyperlink" Target="https://sifive.wd1.myworkdayjobs.com/job/Hyderabad-India/Senior---Staff---Sr-Staff-Engineer---Design-Verification_R-101374" TargetMode="External" Id="rId1657" /><Relationship Type="http://schemas.openxmlformats.org/officeDocument/2006/relationships/hyperlink" Target="https://www.linkedin.com/jobs/view/4430891297" TargetMode="External" Id="rId1658" /><Relationship Type="http://schemas.openxmlformats.org/officeDocument/2006/relationships/hyperlink" Target="https://uk.indeed.com/viewjob" TargetMode="External" Id="rId1659" /><Relationship Type="http://schemas.openxmlformats.org/officeDocument/2006/relationships/hyperlink" Target="https://www.linkedin.com/jobs/view/4402700303" TargetMode="External" Id="rId1660" /><Relationship Type="http://schemas.openxmlformats.org/officeDocument/2006/relationships/hyperlink" Target="https://www.linkedin.com/jobs/view/4415367467" TargetMode="External" Id="rId1661" /><Relationship Type="http://schemas.openxmlformats.org/officeDocument/2006/relationships/hyperlink" Target="https://www.linkedin.com/jobs/view/4413814140" TargetMode="External" Id="rId1662" /><Relationship Type="http://schemas.openxmlformats.org/officeDocument/2006/relationships/hyperlink" Target="https://www.linkedin.com/jobs/view/4406918868" TargetMode="External" Id="rId1663" /><Relationship Type="http://schemas.openxmlformats.org/officeDocument/2006/relationships/hyperlink" Target="https://www.linkedin.com/jobs/view/4406930425" TargetMode="External" Id="rId1664" /><Relationship Type="http://schemas.openxmlformats.org/officeDocument/2006/relationships/hyperlink" Target="https://www.linkedin.com/jobs/view/4406915939" TargetMode="External" Id="rId1665" /><Relationship Type="http://schemas.openxmlformats.org/officeDocument/2006/relationships/hyperlink" Target="https://www.linkedin.com/jobs/view/4394787572" TargetMode="External" Id="rId1666" /><Relationship Type="http://schemas.openxmlformats.org/officeDocument/2006/relationships/hyperlink" Target="https://www.linkedin.com/jobs/view/4413453954" TargetMode="External" Id="rId1667" /><Relationship Type="http://schemas.openxmlformats.org/officeDocument/2006/relationships/hyperlink" Target="https://www.linkedin.com/jobs/view/4413467849" TargetMode="External" Id="rId1668" /><Relationship Type="http://schemas.openxmlformats.org/officeDocument/2006/relationships/hyperlink" Target="https://job-boards.greenhouse.io/graphcore/jobs/8599363002" TargetMode="External" Id="rId1669" /><Relationship Type="http://schemas.openxmlformats.org/officeDocument/2006/relationships/hyperlink" Target="https://job-boards.greenhouse.io/monzo/jobs/8025854" TargetMode="External" Id="rId1670" /><Relationship Type="http://schemas.openxmlformats.org/officeDocument/2006/relationships/hyperlink" Target="https://dyson.wd3.myworkdayjobs.com/job/Philippines---Technology-Campus/Principal-Design-Engineer_JR36077" TargetMode="External" Id="rId1671" /><Relationship Type="http://schemas.openxmlformats.org/officeDocument/2006/relationships/hyperlink" Target="https://www.linkedin.com/jobs/view/4432217622" TargetMode="External" Id="rId1672" /><Relationship Type="http://schemas.openxmlformats.org/officeDocument/2006/relationships/hyperlink" Target="https://www.linkedin.com/jobs/view/4409364808" TargetMode="External" Id="rId1673" /><Relationship Type="http://schemas.openxmlformats.org/officeDocument/2006/relationships/hyperlink" Target="https://www.linkedin.com/jobs/view/4426963594" TargetMode="External" Id="rId1674" /><Relationship Type="http://schemas.openxmlformats.org/officeDocument/2006/relationships/hyperlink" Target="https://www.linkedin.com/jobs/view/4419031440" TargetMode="External" Id="rId1675" /><Relationship Type="http://schemas.openxmlformats.org/officeDocument/2006/relationships/hyperlink" Target="https://www.linkedin.com/jobs/view/4423388432" TargetMode="External" Id="rId1676" /><Relationship Type="http://schemas.openxmlformats.org/officeDocument/2006/relationships/hyperlink" Target="https://www.linkedin.com/jobs/view/4423938514" TargetMode="External" Id="rId1677" /><Relationship Type="http://schemas.openxmlformats.org/officeDocument/2006/relationships/hyperlink" Target="https://www.linkedin.com/jobs/view/4423945053" TargetMode="External" Id="rId1678" /><Relationship Type="http://schemas.openxmlformats.org/officeDocument/2006/relationships/hyperlink" Target="https://www.linkedin.com/jobs/view/4429655451" TargetMode="External" Id="rId1679" /><Relationship Type="http://schemas.openxmlformats.org/officeDocument/2006/relationships/hyperlink" Target="https://www.linkedin.com/jobs/view/4424670519" TargetMode="External" Id="rId1680" /><Relationship Type="http://schemas.openxmlformats.org/officeDocument/2006/relationships/hyperlink" Target="https://www.linkedin.com/jobs/view/4421780561" TargetMode="External" Id="rId1681" /><Relationship Type="http://schemas.openxmlformats.org/officeDocument/2006/relationships/hyperlink" Target="https://www.linkedin.com/jobs/view/4432218038" TargetMode="External" Id="rId1682" /><Relationship Type="http://schemas.openxmlformats.org/officeDocument/2006/relationships/hyperlink" Target="https://www.linkedin.com/jobs/view/4423525659" TargetMode="External" Id="rId1683" /><Relationship Type="http://schemas.openxmlformats.org/officeDocument/2006/relationships/hyperlink" Target="https://www.linkedin.com/jobs/view/4420114158" TargetMode="External" Id="rId1684" /><Relationship Type="http://schemas.openxmlformats.org/officeDocument/2006/relationships/hyperlink" Target="https://www.linkedin.com/jobs/view/4424098232" TargetMode="External" Id="rId1685" /><Relationship Type="http://schemas.openxmlformats.org/officeDocument/2006/relationships/hyperlink" Target="https://www.linkedin.com/jobs/view/4430556104" TargetMode="External" Id="rId1686" /><Relationship Type="http://schemas.openxmlformats.org/officeDocument/2006/relationships/hyperlink" Target="https://job-boards.greenhouse.io/monzo/jobs/8023162" TargetMode="External" Id="rId1687" /><Relationship Type="http://schemas.openxmlformats.org/officeDocument/2006/relationships/hyperlink" Target="https://job-boards.greenhouse.io/monzo/jobs/8020414" TargetMode="External" Id="rId1688" /><Relationship Type="http://schemas.openxmlformats.org/officeDocument/2006/relationships/hyperlink" Target="https://job-boards.greenhouse.io/monzo/jobs/7694525" TargetMode="External" Id="rId1689" /><Relationship Type="http://schemas.openxmlformats.org/officeDocument/2006/relationships/hyperlink" Target="https://job-boards.greenhouse.io/monzo/jobs/7979000" TargetMode="External" Id="rId1690" /><Relationship Type="http://schemas.openxmlformats.org/officeDocument/2006/relationships/hyperlink" Target="https://job-boards.greenhouse.io/monzo/jobs/8023153" TargetMode="External" Id="rId1691" /><Relationship Type="http://schemas.openxmlformats.org/officeDocument/2006/relationships/hyperlink" Target="https://job-boards.greenhouse.io/monzo/jobs/8023158" TargetMode="External" Id="rId1692" /><Relationship Type="http://schemas.openxmlformats.org/officeDocument/2006/relationships/hyperlink" Target="https://dyson.wd3.myworkdayjobs.com/job/Netherlands---Amsterdam-Office/Amazon-Senior-Performance-Manager_JR35289" TargetMode="External" Id="rId1693" /><Relationship Type="http://schemas.openxmlformats.org/officeDocument/2006/relationships/hyperlink" Target="https://dyson.wd3.myworkdayjobs.com/job/Turkey---Sanliurfa-Piazza-Demo-Zone/Dyson-Expert---Sanliurfa-Piazza-AVM--Part-Time-_JR35430" TargetMode="External" Id="rId1694" /><Relationship Type="http://schemas.openxmlformats.org/officeDocument/2006/relationships/hyperlink" Target="https://dyson.wd3.myworkdayjobs.com/job/Turkey---Kahramanmaras-Piazza-Demo-Zone/Dyson-Expert---Kahramanmara-Piazza-AVM--Part-Time-_JR36944" TargetMode="External" Id="rId1695" /><Relationship Type="http://schemas.openxmlformats.org/officeDocument/2006/relationships/hyperlink" Target="https://www.linkedin.com/jobs/view/4331150844" TargetMode="External" Id="rId1696" /><Relationship Type="http://schemas.openxmlformats.org/officeDocument/2006/relationships/hyperlink" Target="https://www.linkedin.com/jobs/view/4430923640" TargetMode="External" Id="rId1697" /><Relationship Type="http://schemas.openxmlformats.org/officeDocument/2006/relationships/hyperlink" Target="https://job-boards.greenhouse.io/graphcore/jobs/8465365002" TargetMode="External" Id="rId1698" /><Relationship Type="http://schemas.openxmlformats.org/officeDocument/2006/relationships/hyperlink" Target="https://job-boards.greenhouse.io/cerebrassystems/jobs/7782132003" TargetMode="External" Id="rId1699" /><Relationship Type="http://schemas.openxmlformats.org/officeDocument/2006/relationships/hyperlink" Target="https://job-boards.greenhouse.io/cerebrassystems/jobs/7782127003" TargetMode="External" Id="rId1700" /><Relationship Type="http://schemas.openxmlformats.org/officeDocument/2006/relationships/hyperlink" Target="https://www.linkedin.com/jobs/view/4426346423" TargetMode="External" Id="rId1701" /><Relationship Type="http://schemas.openxmlformats.org/officeDocument/2006/relationships/hyperlink" Target="https://www.linkedin.com/jobs/view/4419256193" TargetMode="External" Id="rId1702" /><Relationship Type="http://schemas.openxmlformats.org/officeDocument/2006/relationships/hyperlink" Target="https://www.linkedin.com/jobs/view/4419403364" TargetMode="External" Id="rId1703" /><Relationship Type="http://schemas.openxmlformats.org/officeDocument/2006/relationships/hyperlink" Target="https://job-boards.greenhouse.io/graphcore/jobs/8222160002" TargetMode="External" Id="rId1704" /><Relationship Type="http://schemas.openxmlformats.org/officeDocument/2006/relationships/hyperlink" Target="https://job-boards.greenhouse.io/gocardless/jobs/7525979" TargetMode="External" Id="rId1705" /><Relationship Type="http://schemas.openxmlformats.org/officeDocument/2006/relationships/hyperlink" Target="https://job-boards.greenhouse.io/gocardless/jobs/7544236" TargetMode="External" Id="rId1706" /><Relationship Type="http://schemas.openxmlformats.org/officeDocument/2006/relationships/hyperlink" Target="https://job-boards.greenhouse.io/gocardless/jobs/7526075" TargetMode="External" Id="rId1707" /><Relationship Type="http://schemas.openxmlformats.org/officeDocument/2006/relationships/hyperlink" Target="https://dyson.wd3.myworkdayjobs.com/job/Spain---Barcelona-La-Maquinista-Demo-Store/Assistant-Store-Leader_JR36131" TargetMode="External" Id="rId1708" /><Relationship Type="http://schemas.openxmlformats.org/officeDocument/2006/relationships/hyperlink" Target="https://dyson.wd3.myworkdayjobs.com/job/Turkey---Country-Remote/Training-Senior-Executive_JR35438" TargetMode="External" Id="rId1709" /><Relationship Type="http://schemas.openxmlformats.org/officeDocument/2006/relationships/hyperlink" Target="https://dyson.wd3.myworkdayjobs.com/job/Singapore---St-James-Power-Station-Headquarters/Lead-Insight-Engineer_JR37054" TargetMode="External" Id="rId1710" /><Relationship Type="http://schemas.openxmlformats.org/officeDocument/2006/relationships/hyperlink" Target="https://dyson.wd3.myworkdayjobs.com/job/China---Shenzhen-Office/Senior-Compliance-and-Approvals-Engineer_JR31200" TargetMode="External" Id="rId1711" /><Relationship Type="http://schemas.openxmlformats.org/officeDocument/2006/relationships/hyperlink" Target="https://dyson.wd3.myworkdayjobs.com/job/Philippines---Technology-Campus/Lead-Insight-Engineer_JR36999" TargetMode="External" Id="rId1712" /><Relationship Type="http://schemas.openxmlformats.org/officeDocument/2006/relationships/hyperlink" Target="https://dyson.wd3.myworkdayjobs.com/job/Republic-of-Korea---Seoul-Office/Quality-Manager_JR36388" TargetMode="External" Id="rId1713" /><Relationship Type="http://schemas.openxmlformats.org/officeDocument/2006/relationships/hyperlink" Target="https://www.linkedin.com/jobs/view/4427995740" TargetMode="External" Id="rId1714" /><Relationship Type="http://schemas.openxmlformats.org/officeDocument/2006/relationships/hyperlink" Target="https://www.linkedin.com/jobs/view/4428919602" TargetMode="External" Id="rId1715" /><Relationship Type="http://schemas.openxmlformats.org/officeDocument/2006/relationships/hyperlink" Target="https://www.linkedin.com/jobs/view/4425375640" TargetMode="External" Id="rId1716" /><Relationship Type="http://schemas.openxmlformats.org/officeDocument/2006/relationships/hyperlink" Target="https://www.linkedin.com/jobs/view/4424950315" TargetMode="External" Id="rId1717" /><Relationship Type="http://schemas.openxmlformats.org/officeDocument/2006/relationships/hyperlink" Target="https://job-boards.greenhouse.io/gocardless/jobs/7858028" TargetMode="External" Id="rId1718" /><Relationship Type="http://schemas.openxmlformats.org/officeDocument/2006/relationships/hyperlink" Target="https://boards.greenhouse.io/cloudflare/jobs/7657028" TargetMode="External" Id="rId1719" /><Relationship Type="http://schemas.openxmlformats.org/officeDocument/2006/relationships/hyperlink" Target="https://boards.greenhouse.io/cloudflare/jobs/7883803" TargetMode="External" Id="rId1720" /><Relationship Type="http://schemas.openxmlformats.org/officeDocument/2006/relationships/hyperlink" Target="https://dyson.wd3.myworkdayjobs.com/job/Netherlands---Amsterdam-Office/Area-Manager_JR36206" TargetMode="External" Id="rId1721" /><Relationship Type="http://schemas.openxmlformats.org/officeDocument/2006/relationships/hyperlink" Target="https://www.linkedin.com/jobs/view/4420112753" TargetMode="External" Id="rId1722" /><Relationship Type="http://schemas.openxmlformats.org/officeDocument/2006/relationships/hyperlink" Target="https://www.linkedin.com/jobs/view/4418099397" TargetMode="External" Id="rId1723" /><Relationship Type="http://schemas.openxmlformats.org/officeDocument/2006/relationships/hyperlink" Target="https://www.linkedin.com/jobs/view/4416842140" TargetMode="External" Id="rId1724" /><Relationship Type="http://schemas.openxmlformats.org/officeDocument/2006/relationships/hyperlink" Target="https://boards.greenhouse.io/cloudflare/jobs/8016561" TargetMode="External" Id="rId1725" /><Relationship Type="http://schemas.openxmlformats.org/officeDocument/2006/relationships/hyperlink" Target="https://boards.greenhouse.io/cloudflare/jobs/7655695" TargetMode="External" Id="rId1726" /><Relationship Type="http://schemas.openxmlformats.org/officeDocument/2006/relationships/hyperlink" Target="https://boards.greenhouse.io/cloudflare/jobs/8016162" TargetMode="External" Id="rId1727" /><Relationship Type="http://schemas.openxmlformats.org/officeDocument/2006/relationships/hyperlink" Target="https://www.linkedin.com/jobs/view/4414921167" TargetMode="External" Id="rId1728" /><Relationship Type="http://schemas.openxmlformats.org/officeDocument/2006/relationships/hyperlink" Target="https://uk.indeed.com/viewjob" TargetMode="External" Id="rId1729" /><Relationship Type="http://schemas.openxmlformats.org/officeDocument/2006/relationships/hyperlink" Target="https://job-boards.greenhouse.io/graphcore/jobs/8595033002" TargetMode="External" Id="rId1730" /><Relationship Type="http://schemas.openxmlformats.org/officeDocument/2006/relationships/hyperlink" Target="https://job-boards.greenhouse.io/graphcore/jobs/8595010002" TargetMode="External" Id="rId1731" /><Relationship Type="http://schemas.openxmlformats.org/officeDocument/2006/relationships/hyperlink" Target="https://uk.indeed.com/viewjob" TargetMode="External" Id="rId1732" /><Relationship Type="http://schemas.openxmlformats.org/officeDocument/2006/relationships/hyperlink" Target="https://www.linkedin.com/jobs/view/4421963566" TargetMode="External" Id="rId1733" /><Relationship Type="http://schemas.openxmlformats.org/officeDocument/2006/relationships/hyperlink" Target="https://uk.indeed.com/viewjob" TargetMode="External" Id="rId1734" /><Relationship Type="http://schemas.openxmlformats.org/officeDocument/2006/relationships/hyperlink" Target="https://uk.indeed.com/viewjob" TargetMode="External" Id="rId1735" /><Relationship Type="http://schemas.openxmlformats.org/officeDocument/2006/relationships/hyperlink" Target="https://uk.indeed.com/viewjob" TargetMode="External" Id="rId1736" /><Relationship Type="http://schemas.openxmlformats.org/officeDocument/2006/relationships/hyperlink" Target="https://boards.greenhouse.io/cloudflare/jobs/7567848" TargetMode="External" Id="rId1737" /><Relationship Type="http://schemas.openxmlformats.org/officeDocument/2006/relationships/hyperlink" Target="https://uk.indeed.com/viewjob" TargetMode="External" Id="rId1738" /><Relationship Type="http://schemas.openxmlformats.org/officeDocument/2006/relationships/hyperlink" Target="https://www.linkedin.com/jobs/view/4426483710" TargetMode="External" Id="rId1739" /><Relationship Type="http://schemas.openxmlformats.org/officeDocument/2006/relationships/hyperlink" Target="https://www.linkedin.com/jobs/view/4423922098" TargetMode="External" Id="rId1740" /><Relationship Type="http://schemas.openxmlformats.org/officeDocument/2006/relationships/hyperlink" Target="https://www.linkedin.com/jobs/view/4408023578" TargetMode="External" Id="rId1741" /><Relationship Type="http://schemas.openxmlformats.org/officeDocument/2006/relationships/hyperlink" Target="https://www.linkedin.com/jobs/view/4424319441" TargetMode="External" Id="rId1742" /><Relationship Type="http://schemas.openxmlformats.org/officeDocument/2006/relationships/hyperlink" Target="https://www.linkedin.com/jobs/view/4413539873" TargetMode="External" Id="rId1743" /><Relationship Type="http://schemas.openxmlformats.org/officeDocument/2006/relationships/hyperlink" Target="https://www.linkedin.com/jobs/view/4431331627" TargetMode="External" Id="rId1744" /><Relationship Type="http://schemas.openxmlformats.org/officeDocument/2006/relationships/hyperlink" Target="https://www.linkedin.com/jobs/view/4427001994" TargetMode="External" Id="rId1745" /><Relationship Type="http://schemas.openxmlformats.org/officeDocument/2006/relationships/hyperlink" Target="https://www.linkedin.com/jobs/view/4386880054" TargetMode="External" Id="rId1746" /><Relationship Type="http://schemas.openxmlformats.org/officeDocument/2006/relationships/hyperlink" Target="https://www.linkedin.com/jobs/view/4426351660" TargetMode="External" Id="rId1747" /><Relationship Type="http://schemas.openxmlformats.org/officeDocument/2006/relationships/hyperlink" Target="https://www.linkedin.com/jobs/view/4404089647" TargetMode="External" Id="rId1748" /><Relationship Type="http://schemas.openxmlformats.org/officeDocument/2006/relationships/hyperlink" Target="https://www.linkedin.com/jobs/view/4404302577" TargetMode="External" Id="rId1749" /><Relationship Type="http://schemas.openxmlformats.org/officeDocument/2006/relationships/hyperlink" Target="https://uk.indeed.com/viewjob" TargetMode="External" Id="rId1750" /><Relationship Type="http://schemas.openxmlformats.org/officeDocument/2006/relationships/hyperlink" Target="https://www.linkedin.com/jobs/view/4369948429" TargetMode="External" Id="rId1751" /><Relationship Type="http://schemas.openxmlformats.org/officeDocument/2006/relationships/hyperlink" Target="https://job-boards.greenhouse.io/cerebrassystems/jobs/7779235003" TargetMode="External" Id="rId1752" /><Relationship Type="http://schemas.openxmlformats.org/officeDocument/2006/relationships/hyperlink" Target="https://job-boards.greenhouse.io/cerebrassystems/jobs/7779149003" TargetMode="External" Id="rId1753" /><Relationship Type="http://schemas.openxmlformats.org/officeDocument/2006/relationships/hyperlink" Target="https://sifive.wd1.myworkdayjobs.com/job/Hyderabad-India/Engijneer-1_R-101364" TargetMode="External" Id="rId1754" /><Relationship Type="http://schemas.openxmlformats.org/officeDocument/2006/relationships/hyperlink" Target="https://www.linkedin.com/jobs/view/3794404672" TargetMode="External" Id="rId1755" /><Relationship Type="http://schemas.openxmlformats.org/officeDocument/2006/relationships/hyperlink" Target="https://uk.indeed.com/viewjob" TargetMode="External" Id="rId1756" /><Relationship Type="http://schemas.openxmlformats.org/officeDocument/2006/relationships/hyperlink" Target="https://uk.indeed.com/viewjob" TargetMode="External" Id="rId1757" /><Relationship Type="http://schemas.openxmlformats.org/officeDocument/2006/relationships/hyperlink" Target="https://www.linkedin.com/jobs/view/4429610436" TargetMode="External" Id="rId1758" /><Relationship Type="http://schemas.openxmlformats.org/officeDocument/2006/relationships/hyperlink" Target="https://www.linkedin.com/jobs/view/4427346572" TargetMode="External" Id="rId1759" /><Relationship Type="http://schemas.openxmlformats.org/officeDocument/2006/relationships/hyperlink" Target="https://www.linkedin.com/jobs/view/4429541281" TargetMode="External" Id="rId1760" /><Relationship Type="http://schemas.openxmlformats.org/officeDocument/2006/relationships/hyperlink" Target="https://www.linkedin.com/jobs/view/4427525518" TargetMode="External" Id="rId1761" /><Relationship Type="http://schemas.openxmlformats.org/officeDocument/2006/relationships/hyperlink" Target="https://www.linkedin.com/jobs/view/4418751594" TargetMode="External" Id="rId1762" /><Relationship Type="http://schemas.openxmlformats.org/officeDocument/2006/relationships/hyperlink" Target="https://www.linkedin.com/jobs/view/4407184916" TargetMode="External" Id="rId1763" /><Relationship Type="http://schemas.openxmlformats.org/officeDocument/2006/relationships/hyperlink" Target="https://www.linkedin.com/jobs/view/4414022218" TargetMode="External" Id="rId1764" /><Relationship Type="http://schemas.openxmlformats.org/officeDocument/2006/relationships/hyperlink" Target="https://uk.indeed.com/viewjob" TargetMode="External" Id="rId1765" /><Relationship Type="http://schemas.openxmlformats.org/officeDocument/2006/relationships/hyperlink" Target="https://uk.indeed.com/viewjob" TargetMode="External" Id="rId1766" /><Relationship Type="http://schemas.openxmlformats.org/officeDocument/2006/relationships/hyperlink" Target="https://www.linkedin.com/jobs/view/4418840504" TargetMode="External" Id="rId1767" /><Relationship Type="http://schemas.openxmlformats.org/officeDocument/2006/relationships/hyperlink" Target="https://www.linkedin.com/jobs/view/4424048787" TargetMode="External" Id="rId1768" /><Relationship Type="http://schemas.openxmlformats.org/officeDocument/2006/relationships/hyperlink" Target="https://www.linkedin.com/jobs/view/4430013482" TargetMode="External" Id="rId1769" /><Relationship Type="http://schemas.openxmlformats.org/officeDocument/2006/relationships/hyperlink" Target="https://www.linkedin.com/jobs/view/4430418682" TargetMode="External" Id="rId1770" /><Relationship Type="http://schemas.openxmlformats.org/officeDocument/2006/relationships/hyperlink" Target="https://www.linkedin.com/jobs/view/4412683607" TargetMode="External" Id="rId1771" /><Relationship Type="http://schemas.openxmlformats.org/officeDocument/2006/relationships/hyperlink" Target="https://uk.indeed.com/viewjob" TargetMode="External" Id="rId1772" /><Relationship Type="http://schemas.openxmlformats.org/officeDocument/2006/relationships/hyperlink" Target="https://uk.indeed.com/viewjob" TargetMode="External" Id="rId1773" /><Relationship Type="http://schemas.openxmlformats.org/officeDocument/2006/relationships/hyperlink" Target="https://uk.indeed.com/viewjob" TargetMode="External" Id="rId1774" /><Relationship Type="http://schemas.openxmlformats.org/officeDocument/2006/relationships/hyperlink" Target="https://uk.indeed.com/viewjob" TargetMode="External" Id="rId1775" /><Relationship Type="http://schemas.openxmlformats.org/officeDocument/2006/relationships/hyperlink" Target="https://uk.indeed.com/viewjob" TargetMode="External" Id="rId1776" /><Relationship Type="http://schemas.openxmlformats.org/officeDocument/2006/relationships/hyperlink" Target="https://uk.indeed.com/viewjob" TargetMode="External" Id="rId1777" /><Relationship Type="http://schemas.openxmlformats.org/officeDocument/2006/relationships/hyperlink" Target="https://uk.indeed.com/viewjob" TargetMode="External" Id="rId1778" /><Relationship Type="http://schemas.openxmlformats.org/officeDocument/2006/relationships/hyperlink" Target="https://uk.indeed.com/viewjob" TargetMode="External" Id="rId1779" /><Relationship Type="http://schemas.openxmlformats.org/officeDocument/2006/relationships/hyperlink" Target="https://uk.indeed.com/viewjob" TargetMode="External" Id="rId1780" /><Relationship Type="http://schemas.openxmlformats.org/officeDocument/2006/relationships/hyperlink" Target="https://www.linkedin.com/jobs/view/4430957834" TargetMode="External" Id="rId1781" /><Relationship Type="http://schemas.openxmlformats.org/officeDocument/2006/relationships/hyperlink" Target="https://www.linkedin.com/jobs/view/4426469855" TargetMode="External" Id="rId1782" /><Relationship Type="http://schemas.openxmlformats.org/officeDocument/2006/relationships/hyperlink" Target="https://www.linkedin.com/jobs/view/4426455821" TargetMode="External" Id="rId1783" /><Relationship Type="http://schemas.openxmlformats.org/officeDocument/2006/relationships/hyperlink" Target="https://www.linkedin.com/jobs/view/4408260478" TargetMode="External" Id="rId1784" /><Relationship Type="http://schemas.openxmlformats.org/officeDocument/2006/relationships/hyperlink" Target="https://www.linkedin.com/jobs/view/4418185701" TargetMode="External" Id="rId1785" /><Relationship Type="http://schemas.openxmlformats.org/officeDocument/2006/relationships/hyperlink" Target="https://www.linkedin.com/jobs/view/4421161622" TargetMode="External" Id="rId1786" /><Relationship Type="http://schemas.openxmlformats.org/officeDocument/2006/relationships/hyperlink" Target="https://www.linkedin.com/jobs/view/4424398750" TargetMode="External" Id="rId1787" /><Relationship Type="http://schemas.openxmlformats.org/officeDocument/2006/relationships/hyperlink" Target="https://www.linkedin.com/jobs/view/4414264812" TargetMode="External" Id="rId1788" /><Relationship Type="http://schemas.openxmlformats.org/officeDocument/2006/relationships/hyperlink" Target="https://www.linkedin.com/jobs/view/4422393273" TargetMode="External" Id="rId1789" /><Relationship Type="http://schemas.openxmlformats.org/officeDocument/2006/relationships/hyperlink" Target="https://www.linkedin.com/jobs/view/4408546739" TargetMode="External" Id="rId1790" /><Relationship Type="http://schemas.openxmlformats.org/officeDocument/2006/relationships/hyperlink" Target="https://www.linkedin.com/jobs/view/4419679885" TargetMode="External" Id="rId1791" /><Relationship Type="http://schemas.openxmlformats.org/officeDocument/2006/relationships/hyperlink" Target="https://uk.indeed.com/viewjob" TargetMode="External" Id="rId1792" /><Relationship Type="http://schemas.openxmlformats.org/officeDocument/2006/relationships/hyperlink" Target="https://www.linkedin.com/jobs/view/4427645095" TargetMode="External" Id="rId1793" /><Relationship Type="http://schemas.openxmlformats.org/officeDocument/2006/relationships/hyperlink" Target="https://www.linkedin.com/jobs/view/4415774637" TargetMode="External" Id="rId1794" /><Relationship Type="http://schemas.openxmlformats.org/officeDocument/2006/relationships/hyperlink" Target="https://www.linkedin.com/jobs/view/4425167172" TargetMode="External" Id="rId1795" /><Relationship Type="http://schemas.openxmlformats.org/officeDocument/2006/relationships/hyperlink" Target="https://uk.indeed.com/viewjob" TargetMode="External" Id="rId1796" /><Relationship Type="http://schemas.openxmlformats.org/officeDocument/2006/relationships/hyperlink" Target="https://uk.indeed.com/viewjob" TargetMode="External" Id="rId1797" /><Relationship Type="http://schemas.openxmlformats.org/officeDocument/2006/relationships/hyperlink" Target="https://uk.indeed.com/viewjob" TargetMode="External" Id="rId1798" /><Relationship Type="http://schemas.openxmlformats.org/officeDocument/2006/relationships/hyperlink" Target="https://uk.indeed.com/viewjob" TargetMode="External" Id="rId1799" /><Relationship Type="http://schemas.openxmlformats.org/officeDocument/2006/relationships/hyperlink" Target="https://www.linkedin.com/jobs/view/4428077487" TargetMode="External" Id="rId1800" /><Relationship Type="http://schemas.openxmlformats.org/officeDocument/2006/relationships/hyperlink" Target="https://www.linkedin.com/jobs/view/4425080795" TargetMode="External" Id="rId1801" /><Relationship Type="http://schemas.openxmlformats.org/officeDocument/2006/relationships/hyperlink" Target="https://uk.indeed.com/viewjob" TargetMode="External" Id="rId1802" /><Relationship Type="http://schemas.openxmlformats.org/officeDocument/2006/relationships/hyperlink" Target="https://uk.indeed.com/viewjob" TargetMode="External" Id="rId1803" /><Relationship Type="http://schemas.openxmlformats.org/officeDocument/2006/relationships/hyperlink" Target="https://uk.indeed.com/viewjob" TargetMode="External" Id="rId1804" /><Relationship Type="http://schemas.openxmlformats.org/officeDocument/2006/relationships/hyperlink" Target="https://uk.indeed.com/viewjob" TargetMode="External" Id="rId1805" /><Relationship Type="http://schemas.openxmlformats.org/officeDocument/2006/relationships/hyperlink" Target="https://uk.indeed.com/viewjob" TargetMode="External" Id="rId1806" /><Relationship Type="http://schemas.openxmlformats.org/officeDocument/2006/relationships/hyperlink" Target="https://uk.indeed.com/viewjob" TargetMode="External" Id="rId1807" /><Relationship Type="http://schemas.openxmlformats.org/officeDocument/2006/relationships/hyperlink" Target="https://uk.indeed.com/viewjob" TargetMode="External" Id="rId1808" /><Relationship Type="http://schemas.openxmlformats.org/officeDocument/2006/relationships/hyperlink" Target="https://uk.indeed.com/viewjob" TargetMode="External" Id="rId1809" /><Relationship Type="http://schemas.openxmlformats.org/officeDocument/2006/relationships/hyperlink" Target="https://www.linkedin.com/jobs/view/4322243474" TargetMode="External" Id="rId1810" /><Relationship Type="http://schemas.openxmlformats.org/officeDocument/2006/relationships/hyperlink" Target="https://www.linkedin.com/jobs/view/4429265181" TargetMode="External" Id="rId1811" /><Relationship Type="http://schemas.openxmlformats.org/officeDocument/2006/relationships/hyperlink" Target="https://www.linkedin.com/jobs/view/4414775888" TargetMode="External" Id="rId1812" /><Relationship Type="http://schemas.openxmlformats.org/officeDocument/2006/relationships/hyperlink" Target="https://www.linkedin.com/jobs/view/4351235120" TargetMode="External" Id="rId1813" /><Relationship Type="http://schemas.openxmlformats.org/officeDocument/2006/relationships/hyperlink" Target="https://www.linkedin.com/jobs/view/4403168905" TargetMode="External" Id="rId1814" /><Relationship Type="http://schemas.openxmlformats.org/officeDocument/2006/relationships/hyperlink" Target="https://uk.indeed.com/viewjob" TargetMode="External" Id="rId1815" /><Relationship Type="http://schemas.openxmlformats.org/officeDocument/2006/relationships/hyperlink" Target="https://uk.indeed.com/viewjob" TargetMode="External" Id="rId1816" /><Relationship Type="http://schemas.openxmlformats.org/officeDocument/2006/relationships/hyperlink" Target="https://uk.indeed.com/viewjob" TargetMode="External" Id="rId1817" /><Relationship Type="http://schemas.openxmlformats.org/officeDocument/2006/relationships/hyperlink" Target="https://uk.indeed.com/viewjob" TargetMode="External" Id="rId1818" /><Relationship Type="http://schemas.openxmlformats.org/officeDocument/2006/relationships/hyperlink" Target="https://uk.indeed.com/viewjob" TargetMode="External" Id="rId1819" /><Relationship Type="http://schemas.openxmlformats.org/officeDocument/2006/relationships/hyperlink" Target="https://uk.indeed.com/viewjob" TargetMode="External" Id="rId1820" /><Relationship Type="http://schemas.openxmlformats.org/officeDocument/2006/relationships/hyperlink" Target="https://uk.indeed.com/viewjob" TargetMode="External" Id="rId1821" /><Relationship Type="http://schemas.openxmlformats.org/officeDocument/2006/relationships/hyperlink" Target="https://uk.indeed.com/viewjob" TargetMode="External" Id="rId1822" /><Relationship Type="http://schemas.openxmlformats.org/officeDocument/2006/relationships/hyperlink" Target="https://job-boards.greenhouse.io/graphcore/jobs/8471683002" TargetMode="External" Id="rId1823" /><Relationship Type="http://schemas.openxmlformats.org/officeDocument/2006/relationships/hyperlink" Target="https://job-boards.greenhouse.io/graphcore/jobs/8593492002" TargetMode="External" Id="rId1824" /><Relationship Type="http://schemas.openxmlformats.org/officeDocument/2006/relationships/hyperlink" Target="https://job-boards.greenhouse.io/monzo/jobs/7988046" TargetMode="External" Id="rId1825" /><Relationship Type="http://schemas.openxmlformats.org/officeDocument/2006/relationships/hyperlink" Target="https://boards.greenhouse.io/cloudflare/jobs/8007032" TargetMode="External" Id="rId1826" /><Relationship Type="http://schemas.openxmlformats.org/officeDocument/2006/relationships/hyperlink" Target="https://sifive.wd1.myworkdayjobs.com/job/Hyderabad-India/Engijneer-1_R-101364" TargetMode="External" Id="rId1827" /><Relationship Type="http://schemas.openxmlformats.org/officeDocument/2006/relationships/hyperlink" Target="https://sifive.wd1.myworkdayjobs.com/job/Bengaluru-Karnataka-India/Staff-Engineer---Formal-Verification_R-101363" TargetMode="External" Id="rId1828" /><Relationship Type="http://schemas.openxmlformats.org/officeDocument/2006/relationships/hyperlink" Target="https://dyson.wd3.myworkdayjobs.com/job/Netherlands---Amsterdam-Office/Rewards-Partner---EMEA---m-v-x-_JR34768" TargetMode="External" Id="rId1829" /><Relationship Type="http://schemas.openxmlformats.org/officeDocument/2006/relationships/hyperlink" Target="https://dyson.wd3.myworkdayjobs.com/job/Netherlands---Amsterdam-Office/Profit-Protection-Manager_JR33809-1" TargetMode="External" Id="rId1830" /><Relationship Type="http://schemas.openxmlformats.org/officeDocument/2006/relationships/hyperlink" Target="https://dyson.wd3.myworkdayjobs.com/job/Netherlands---Amsterdam-Office/Platform-Content-Specialist---Dysoncom_JR36823" TargetMode="External" Id="rId1831" /><Relationship Type="http://schemas.openxmlformats.org/officeDocument/2006/relationships/hyperlink" Target="https://dyson.wd3.myworkdayjobs.com/job/Poland---Krakow-Office/Order-to-Cash-Lead_JR36946" TargetMode="External" Id="rId1832" /><Relationship Type="http://schemas.openxmlformats.org/officeDocument/2006/relationships/hyperlink" Target="https://dyson.wd3.myworkdayjobs.com/job/France---Paris-Office/Performance-Media-Manager_JR36309" TargetMode="External" Id="rId1833" /><Relationship Type="http://schemas.openxmlformats.org/officeDocument/2006/relationships/hyperlink" Target="https://dyson.wd3.myworkdayjobs.com/job/Germany---Hessen-Remote/Jr-Area-Manager_JR36008-1" TargetMode="External" Id="rId1834" /><Relationship Type="http://schemas.openxmlformats.org/officeDocument/2006/relationships/hyperlink" Target="https://dyson.wd3.myworkdayjobs.com/job/United-Kingdom---England-Remote/Dyson-Expert---Middlesbrough-Teesside--Part-Time-_JR36108" TargetMode="External" Id="rId1835" /><Relationship Type="http://schemas.openxmlformats.org/officeDocument/2006/relationships/hyperlink" Target="https://dyson.wd3.myworkdayjobs.com/job/Ireland---Country-Remote/Dyson-Hair-Stylist---Brown-Thomas-Cork_JR34942" TargetMode="External" Id="rId1836" /><Relationship Type="http://schemas.openxmlformats.org/officeDocument/2006/relationships/hyperlink" Target="https://dyson.wd3.myworkdayjobs.com/job/Netherlands---Amsterdam-Office/eCommerce-Experience-Manager_JR36612" TargetMode="External" Id="rId1837" /><Relationship Type="http://schemas.openxmlformats.org/officeDocument/2006/relationships/hyperlink" Target="https://dyson.wd3.myworkdayjobs.com/job/Poland---Krakow-Office/Workday-Specialist_JR36710" TargetMode="External" Id="rId1838" /><Relationship Type="http://schemas.openxmlformats.org/officeDocument/2006/relationships/hyperlink" Target="https://dyson.wd3.myworkdayjobs.com/job/Malaysia---Global-Development-Campus-Johor-Bahru/SKU-Range-Graduate-Engineer_JR37016" TargetMode="External" Id="rId1839" /><Relationship Type="http://schemas.openxmlformats.org/officeDocument/2006/relationships/hyperlink" Target="https://dyson.wd3.myworkdayjobs.com/job/Malaysia---Global-Development-Campus-Johor-Bahru/Graduate-Product-Engineer_JR37015" TargetMode="External" Id="rId1840" /><Relationship Type="http://schemas.openxmlformats.org/officeDocument/2006/relationships/hyperlink" Target="https://www.linkedin.com/jobs/view/4429629721" TargetMode="External" Id="rId1841" /><Relationship Type="http://schemas.openxmlformats.org/officeDocument/2006/relationships/hyperlink" Target="https://www.linkedin.com/jobs/view/4429653059" TargetMode="External" Id="rId1842" /><Relationship Type="http://schemas.openxmlformats.org/officeDocument/2006/relationships/hyperlink" Target="https://www.linkedin.com/jobs/view/4429344371" TargetMode="External" Id="rId1843" /><Relationship Type="http://schemas.openxmlformats.org/officeDocument/2006/relationships/hyperlink" Target="https://www.linkedin.com/jobs/view/4428221636" TargetMode="External" Id="rId1844" /><Relationship Type="http://schemas.openxmlformats.org/officeDocument/2006/relationships/hyperlink" Target="https://uk.indeed.com/viewjob" TargetMode="External" Id="rId1845" /><Relationship Type="http://schemas.openxmlformats.org/officeDocument/2006/relationships/hyperlink" Target="https://job-boards.greenhouse.io/monzo/jobs/8018222" TargetMode="External" Id="rId1846" /><Relationship Type="http://schemas.openxmlformats.org/officeDocument/2006/relationships/hyperlink" Target="https://dyson.wd3.myworkdayjobs.com/job/United-Kingdom---London-Press-Office/Strategist---Influencers---Partnerships_JR34448" TargetMode="External" Id="rId1847" /><Relationship Type="http://schemas.openxmlformats.org/officeDocument/2006/relationships/hyperlink" Target="https://uk.indeed.com/viewjob" TargetMode="External" Id="rId1848" /><Relationship Type="http://schemas.openxmlformats.org/officeDocument/2006/relationships/hyperlink" Target="https://www.linkedin.com/jobs/view/4425482775" TargetMode="External" Id="rId1849" /><Relationship Type="http://schemas.openxmlformats.org/officeDocument/2006/relationships/hyperlink" Target="https://www.linkedin.com/jobs/view/4412905085" TargetMode="External" Id="rId1850" /><Relationship Type="http://schemas.openxmlformats.org/officeDocument/2006/relationships/hyperlink" Target="https://www.linkedin.com/jobs/view/4389582251" TargetMode="External" Id="rId1851" /><Relationship Type="http://schemas.openxmlformats.org/officeDocument/2006/relationships/hyperlink" Target="https://www.linkedin.com/jobs/view/4418836210" TargetMode="External" Id="rId1852" /><Relationship Type="http://schemas.openxmlformats.org/officeDocument/2006/relationships/hyperlink" Target="https://www.linkedin.com/jobs/view/4414463140" TargetMode="External" Id="rId1853" /><Relationship Type="http://schemas.openxmlformats.org/officeDocument/2006/relationships/hyperlink" Target="https://www.linkedin.com/jobs/view/4423670184" TargetMode="External" Id="rId1854" /><Relationship Type="http://schemas.openxmlformats.org/officeDocument/2006/relationships/hyperlink" Target="https://uk.indeed.com/viewjob" TargetMode="External" Id="rId1855" /><Relationship Type="http://schemas.openxmlformats.org/officeDocument/2006/relationships/hyperlink" Target="https://www.linkedin.com/jobs/view/4427839556" TargetMode="External" Id="rId1856" /><Relationship Type="http://schemas.openxmlformats.org/officeDocument/2006/relationships/hyperlink" Target="https://job-boards.greenhouse.io/graphcore/jobs/8539141002" TargetMode="External" Id="rId1857" /><Relationship Type="http://schemas.openxmlformats.org/officeDocument/2006/relationships/hyperlink" Target="https://job-boards.greenhouse.io/graphcore/jobs/8540620002" TargetMode="External" Id="rId1858" /><Relationship Type="http://schemas.openxmlformats.org/officeDocument/2006/relationships/hyperlink" Target="https://job-boards.greenhouse.io/monzo/jobs/8018267" TargetMode="External" Id="rId1859" /><Relationship Type="http://schemas.openxmlformats.org/officeDocument/2006/relationships/hyperlink" Target="https://job-boards.greenhouse.io/monzo/jobs/8007314" TargetMode="External" Id="rId1860" /><Relationship Type="http://schemas.openxmlformats.org/officeDocument/2006/relationships/hyperlink" Target="https://www.linkedin.com/jobs/view/4401310571" TargetMode="External" Id="rId1861" /><Relationship Type="http://schemas.openxmlformats.org/officeDocument/2006/relationships/hyperlink" Target="https://www.linkedin.com/jobs/view/4425615834" TargetMode="External" Id="rId1862" /><Relationship Type="http://schemas.openxmlformats.org/officeDocument/2006/relationships/hyperlink" Target="https://www.linkedin.com/jobs/view/4405425506" TargetMode="External" Id="rId1863" /><Relationship Type="http://schemas.openxmlformats.org/officeDocument/2006/relationships/hyperlink" Target="https://www.linkedin.com/jobs/view/4424349631" TargetMode="External" Id="rId1864" /><Relationship Type="http://schemas.openxmlformats.org/officeDocument/2006/relationships/hyperlink" Target="https://www.linkedin.com/jobs/view/4417200531" TargetMode="External" Id="rId1865" /><Relationship Type="http://schemas.openxmlformats.org/officeDocument/2006/relationships/hyperlink" Target="https://www.linkedin.com/jobs/view/4427839939" TargetMode="External" Id="rId1866" /><Relationship Type="http://schemas.openxmlformats.org/officeDocument/2006/relationships/hyperlink" Target="https://www.linkedin.com/jobs/view/4428262018" TargetMode="External" Id="rId1867" /><Relationship Type="http://schemas.openxmlformats.org/officeDocument/2006/relationships/hyperlink" Target="https://www.linkedin.com/jobs/view/4428290103" TargetMode="External" Id="rId1868" /><Relationship Type="http://schemas.openxmlformats.org/officeDocument/2006/relationships/hyperlink" Target="https://www.linkedin.com/jobs/view/4416634656" TargetMode="External" Id="rId1869" /><Relationship Type="http://schemas.openxmlformats.org/officeDocument/2006/relationships/hyperlink" Target="https://www.linkedin.com/jobs/view/4386503804" TargetMode="External" Id="rId1870" /><Relationship Type="http://schemas.openxmlformats.org/officeDocument/2006/relationships/hyperlink" Target="https://www.linkedin.com/jobs/view/4416264054" TargetMode="External" Id="rId1871" /><Relationship Type="http://schemas.openxmlformats.org/officeDocument/2006/relationships/hyperlink" Target="https://www.linkedin.com/jobs/view/4409377270" TargetMode="External" Id="rId1872" /><Relationship Type="http://schemas.openxmlformats.org/officeDocument/2006/relationships/hyperlink" Target="https://www.linkedin.com/jobs/view/4414366341" TargetMode="External" Id="rId1873" /><Relationship Type="http://schemas.openxmlformats.org/officeDocument/2006/relationships/hyperlink" Target="https://www.linkedin.com/jobs/view/4426805827" TargetMode="External" Id="rId1874" /><Relationship Type="http://schemas.openxmlformats.org/officeDocument/2006/relationships/hyperlink" Target="https://www.linkedin.com/jobs/view/4414084658" TargetMode="External" Id="rId1875" /><Relationship Type="http://schemas.openxmlformats.org/officeDocument/2006/relationships/hyperlink" Target="https://job-boards.greenhouse.io/graphcore/jobs/8598270002" TargetMode="External" Id="rId1876" /><Relationship Type="http://schemas.openxmlformats.org/officeDocument/2006/relationships/hyperlink" Target="https://job-boards.greenhouse.io/graphcore/jobs/8598240002" TargetMode="External" Id="rId1877" /><Relationship Type="http://schemas.openxmlformats.org/officeDocument/2006/relationships/hyperlink" Target="https://job-boards.greenhouse.io/graphcore/jobs/8598257002" TargetMode="External" Id="rId1878" /><Relationship Type="http://schemas.openxmlformats.org/officeDocument/2006/relationships/hyperlink" Target="https://job-boards.greenhouse.io/monzo/jobs/7343996" TargetMode="External" Id="rId1879" /><Relationship Type="http://schemas.openxmlformats.org/officeDocument/2006/relationships/hyperlink" Target="https://job-boards.greenhouse.io/monzo/jobs/6635595" TargetMode="External" Id="rId1880" /><Relationship Type="http://schemas.openxmlformats.org/officeDocument/2006/relationships/hyperlink" Target="https://job-boards.greenhouse.io/monzo/jobs/7908745" TargetMode="External" Id="rId1881" /><Relationship Type="http://schemas.openxmlformats.org/officeDocument/2006/relationships/hyperlink" Target="https://job-boards.greenhouse.io/monzo/jobs/7893962" TargetMode="External" Id="rId1882" /><Relationship Type="http://schemas.openxmlformats.org/officeDocument/2006/relationships/hyperlink" Target="https://job-boards.greenhouse.io/monzo/jobs/7817471" TargetMode="External" Id="rId1883" /><Relationship Type="http://schemas.openxmlformats.org/officeDocument/2006/relationships/hyperlink" Target="https://job-boards.greenhouse.io/monzo/jobs/7991200" TargetMode="External" Id="rId1884" /><Relationship Type="http://schemas.openxmlformats.org/officeDocument/2006/relationships/hyperlink" Target="https://job-boards.greenhouse.io/monzo/jobs/7991227" TargetMode="External" Id="rId1885" /><Relationship Type="http://schemas.openxmlformats.org/officeDocument/2006/relationships/hyperlink" Target="https://job-boards.greenhouse.io/monzo/jobs/8002441" TargetMode="External" Id="rId1886" /><Relationship Type="http://schemas.openxmlformats.org/officeDocument/2006/relationships/hyperlink" Target="https://job-boards.greenhouse.io/monzo/jobs/7912647" TargetMode="External" Id="rId1887" /><Relationship Type="http://schemas.openxmlformats.org/officeDocument/2006/relationships/hyperlink" Target="https://job-boards.greenhouse.io/monzo/jobs/5018066" TargetMode="External" Id="rId1888" /><Relationship Type="http://schemas.openxmlformats.org/officeDocument/2006/relationships/hyperlink" Target="https://job-boards.greenhouse.io/monzo/jobs/6945371" TargetMode="External" Id="rId1889" /><Relationship Type="http://schemas.openxmlformats.org/officeDocument/2006/relationships/hyperlink" Target="https://job-boards.greenhouse.io/monzo/jobs/7982132" TargetMode="External" Id="rId1890" /><Relationship Type="http://schemas.openxmlformats.org/officeDocument/2006/relationships/hyperlink" Target="https://job-boards.greenhouse.io/monzo/jobs/7982261" TargetMode="External" Id="rId1891" /><Relationship Type="http://schemas.openxmlformats.org/officeDocument/2006/relationships/hyperlink" Target="https://job-boards.greenhouse.io/monzo/jobs/7904222" TargetMode="External" Id="rId1892" /><Relationship Type="http://schemas.openxmlformats.org/officeDocument/2006/relationships/hyperlink" Target="https://job-boards.greenhouse.io/monzo/jobs/8000900" TargetMode="External" Id="rId1893" /><Relationship Type="http://schemas.openxmlformats.org/officeDocument/2006/relationships/hyperlink" Target="https://job-boards.greenhouse.io/monzo/jobs/8000142" TargetMode="External" Id="rId1894" /><Relationship Type="http://schemas.openxmlformats.org/officeDocument/2006/relationships/hyperlink" Target="https://job-boards.greenhouse.io/monzo/jobs/7873998" TargetMode="External" Id="rId1895" /><Relationship Type="http://schemas.openxmlformats.org/officeDocument/2006/relationships/hyperlink" Target="https://job-boards.greenhouse.io/monzo/jobs/7457551" TargetMode="External" Id="rId1896" /><Relationship Type="http://schemas.openxmlformats.org/officeDocument/2006/relationships/hyperlink" Target="https://job-boards.greenhouse.io/monzo/jobs/6758088" TargetMode="External" Id="rId1897" /><Relationship Type="http://schemas.openxmlformats.org/officeDocument/2006/relationships/hyperlink" Target="https://job-boards.greenhouse.io/monzo/jobs/7866258" TargetMode="External" Id="rId1898" /><Relationship Type="http://schemas.openxmlformats.org/officeDocument/2006/relationships/hyperlink" Target="https://job-boards.greenhouse.io/monzo/jobs/7973753" TargetMode="External" Id="rId1899" /><Relationship Type="http://schemas.openxmlformats.org/officeDocument/2006/relationships/hyperlink" Target="https://job-boards.greenhouse.io/monzo/jobs/7996449" TargetMode="External" Id="rId1900" /><Relationship Type="http://schemas.openxmlformats.org/officeDocument/2006/relationships/hyperlink" Target="https://job-boards.greenhouse.io/monzo/jobs/7775842" TargetMode="External" Id="rId1901" /><Relationship Type="http://schemas.openxmlformats.org/officeDocument/2006/relationships/hyperlink" Target="https://job-boards.greenhouse.io/monzo/jobs/7851401" TargetMode="External" Id="rId1902" /><Relationship Type="http://schemas.openxmlformats.org/officeDocument/2006/relationships/hyperlink" Target="https://job-boards.greenhouse.io/monzo/jobs/7653517" TargetMode="External" Id="rId1903" /><Relationship Type="http://schemas.openxmlformats.org/officeDocument/2006/relationships/hyperlink" Target="https://job-boards.greenhouse.io/monzo/jobs/7686358" TargetMode="External" Id="rId1904" /><Relationship Type="http://schemas.openxmlformats.org/officeDocument/2006/relationships/hyperlink" Target="https://job-boards.greenhouse.io/monzo/jobs/7775035" TargetMode="External" Id="rId1905" /><Relationship Type="http://schemas.openxmlformats.org/officeDocument/2006/relationships/hyperlink" Target="https://job-boards.greenhouse.io/monzo/jobs/6635837" TargetMode="External" Id="rId1906" /><Relationship Type="http://schemas.openxmlformats.org/officeDocument/2006/relationships/hyperlink" Target="https://job-boards.greenhouse.io/monzo/jobs/7988046" TargetMode="External" Id="rId1907" /><Relationship Type="http://schemas.openxmlformats.org/officeDocument/2006/relationships/hyperlink" Target="https://job-boards.greenhouse.io/monzo/jobs/7979692" TargetMode="External" Id="rId1908" /><Relationship Type="http://schemas.openxmlformats.org/officeDocument/2006/relationships/hyperlink" Target="https://job-boards.greenhouse.io/monzo/jobs/7655258" TargetMode="External" Id="rId1909" /><Relationship Type="http://schemas.openxmlformats.org/officeDocument/2006/relationships/hyperlink" Target="https://job-boards.greenhouse.io/monzo/jobs/6394676" TargetMode="External" Id="rId1910" /><Relationship Type="http://schemas.openxmlformats.org/officeDocument/2006/relationships/hyperlink" Target="https://job-boards.greenhouse.io/monzo/jobs/7978691" TargetMode="External" Id="rId1911" /><Relationship Type="http://schemas.openxmlformats.org/officeDocument/2006/relationships/hyperlink" Target="https://job-boards.greenhouse.io/monzo/jobs/7989321" TargetMode="External" Id="rId1912" /><Relationship Type="http://schemas.openxmlformats.org/officeDocument/2006/relationships/hyperlink" Target="https://job-boards.greenhouse.io/monzo/jobs/7061954" TargetMode="External" Id="rId1913" /><Relationship Type="http://schemas.openxmlformats.org/officeDocument/2006/relationships/hyperlink" Target="https://job-boards.greenhouse.io/monzo/jobs/7996433" TargetMode="External" Id="rId1914" /><Relationship Type="http://schemas.openxmlformats.org/officeDocument/2006/relationships/hyperlink" Target="https://job-boards.greenhouse.io/monzo/jobs/7686352" TargetMode="External" Id="rId1915" /><Relationship Type="http://schemas.openxmlformats.org/officeDocument/2006/relationships/hyperlink" Target="https://job-boards.greenhouse.io/monzo/jobs/7988048" TargetMode="External" Id="rId1916" /><Relationship Type="http://schemas.openxmlformats.org/officeDocument/2006/relationships/hyperlink" Target="https://job-boards.greenhouse.io/monzo/jobs/7981938" TargetMode="External" Id="rId1917" /><Relationship Type="http://schemas.openxmlformats.org/officeDocument/2006/relationships/hyperlink" Target="https://job-boards.greenhouse.io/monzo/jobs/7732437" TargetMode="External" Id="rId1918" /><Relationship Type="http://schemas.openxmlformats.org/officeDocument/2006/relationships/hyperlink" Target="https://job-boards.greenhouse.io/monzo/jobs/6656737" TargetMode="External" Id="rId1919" /><Relationship Type="http://schemas.openxmlformats.org/officeDocument/2006/relationships/hyperlink" Target="https://job-boards.greenhouse.io/monzo/jobs/6036797" TargetMode="External" Id="rId1920" /><Relationship Type="http://schemas.openxmlformats.org/officeDocument/2006/relationships/hyperlink" Target="https://job-boards.greenhouse.io/monzo/jobs/8007672" TargetMode="External" Id="rId1921" /><Relationship Type="http://schemas.openxmlformats.org/officeDocument/2006/relationships/hyperlink" Target="https://job-boards.greenhouse.io/monzo/jobs/6656228" TargetMode="External" Id="rId1922" /><Relationship Type="http://schemas.openxmlformats.org/officeDocument/2006/relationships/hyperlink" Target="https://job-boards.greenhouse.io/monzo/jobs/6636147" TargetMode="External" Id="rId1923" /><Relationship Type="http://schemas.openxmlformats.org/officeDocument/2006/relationships/hyperlink" Target="https://job-boards.greenhouse.io/monzo/jobs/6994700" TargetMode="External" Id="rId1924" /><Relationship Type="http://schemas.openxmlformats.org/officeDocument/2006/relationships/hyperlink" Target="https://job-boards.greenhouse.io/monzo/jobs/7902934" TargetMode="External" Id="rId1925" /><Relationship Type="http://schemas.openxmlformats.org/officeDocument/2006/relationships/hyperlink" Target="https://job-boards.greenhouse.io/monzo/jobs/7893700" TargetMode="External" Id="rId1926" /><Relationship Type="http://schemas.openxmlformats.org/officeDocument/2006/relationships/hyperlink" Target="https://job-boards.greenhouse.io/typeform/jobs/7850909" TargetMode="External" Id="rId1927" /><Relationship Type="http://schemas.openxmlformats.org/officeDocument/2006/relationships/hyperlink" Target="https://job-boards.greenhouse.io/typeform/jobs/7681767" TargetMode="External" Id="rId1928" /><Relationship Type="http://schemas.openxmlformats.org/officeDocument/2006/relationships/hyperlink" Target="https://job-boards.greenhouse.io/typeform/jobs/7457853" TargetMode="External" Id="rId1929" /><Relationship Type="http://schemas.openxmlformats.org/officeDocument/2006/relationships/hyperlink" Target="https://job-boards.greenhouse.io/gocardless/jobs/7795791" TargetMode="External" Id="rId1930" /><Relationship Type="http://schemas.openxmlformats.org/officeDocument/2006/relationships/hyperlink" Target="https://job-boards.greenhouse.io/gocardless/jobs/7957736" TargetMode="External" Id="rId1931" /><Relationship Type="http://schemas.openxmlformats.org/officeDocument/2006/relationships/hyperlink" Target="https://job-boards.greenhouse.io/gocardless/jobs/7972997" TargetMode="External" Id="rId1932" /><Relationship Type="http://schemas.openxmlformats.org/officeDocument/2006/relationships/hyperlink" Target="https://job-boards.greenhouse.io/gocardless/jobs/7556592" TargetMode="External" Id="rId1933" /><Relationship Type="http://schemas.openxmlformats.org/officeDocument/2006/relationships/hyperlink" Target="https://boards.greenhouse.io/cloudflare/jobs/6557318" TargetMode="External" Id="rId1934" /><Relationship Type="http://schemas.openxmlformats.org/officeDocument/2006/relationships/hyperlink" Target="https://boards.greenhouse.io/cloudflare/jobs/7991345" TargetMode="External" Id="rId1935" /><Relationship Type="http://schemas.openxmlformats.org/officeDocument/2006/relationships/hyperlink" Target="https://boards.greenhouse.io/cloudflare/jobs/7358456" TargetMode="External" Id="rId1936" /><Relationship Type="http://schemas.openxmlformats.org/officeDocument/2006/relationships/hyperlink" Target="https://boards.greenhouse.io/cloudflare/jobs/7588061" TargetMode="External" Id="rId1937" /><Relationship Type="http://schemas.openxmlformats.org/officeDocument/2006/relationships/hyperlink" Target="https://boards.greenhouse.io/cloudflare/jobs/7988072" TargetMode="External" Id="rId1938" /><Relationship Type="http://schemas.openxmlformats.org/officeDocument/2006/relationships/hyperlink" Target="https://boards.greenhouse.io/cloudflare/jobs/7535803" TargetMode="External" Id="rId1939" /><Relationship Type="http://schemas.openxmlformats.org/officeDocument/2006/relationships/hyperlink" Target="https://boards.greenhouse.io/cloudflare/jobs/7962540" TargetMode="External" Id="rId1940" /><Relationship Type="http://schemas.openxmlformats.org/officeDocument/2006/relationships/hyperlink" Target="https://boards.greenhouse.io/cloudflare/jobs/7964809" TargetMode="External" Id="rId1941" /><Relationship Type="http://schemas.openxmlformats.org/officeDocument/2006/relationships/hyperlink" Target="https://boards.greenhouse.io/cloudflare/jobs/7647474" TargetMode="External" Id="rId1942" /><Relationship Type="http://schemas.openxmlformats.org/officeDocument/2006/relationships/hyperlink" Target="https://boards.greenhouse.io/cloudflare/jobs/7799138" TargetMode="External" Id="rId1943" /><Relationship Type="http://schemas.openxmlformats.org/officeDocument/2006/relationships/hyperlink" Target="https://boards.greenhouse.io/cloudflare/jobs/7428796" TargetMode="External" Id="rId1944" /><Relationship Type="http://schemas.openxmlformats.org/officeDocument/2006/relationships/hyperlink" Target="https://boards.greenhouse.io/cloudflare/jobs/7756883" TargetMode="External" Id="rId1945" /><Relationship Type="http://schemas.openxmlformats.org/officeDocument/2006/relationships/hyperlink" Target="https://boards.greenhouse.io/cloudflare/jobs/7917883" TargetMode="External" Id="rId1946" /><Relationship Type="http://schemas.openxmlformats.org/officeDocument/2006/relationships/hyperlink" Target="https://boards.greenhouse.io/cloudflare/jobs/7606240" TargetMode="External" Id="rId1947" /><Relationship Type="http://schemas.openxmlformats.org/officeDocument/2006/relationships/hyperlink" Target="https://boards.greenhouse.io/cloudflare/jobs/7376838" TargetMode="External" Id="rId1948" /><Relationship Type="http://schemas.openxmlformats.org/officeDocument/2006/relationships/hyperlink" Target="https://boards.greenhouse.io/cloudflare/jobs/7641930" TargetMode="External" Id="rId1949" /><Relationship Type="http://schemas.openxmlformats.org/officeDocument/2006/relationships/hyperlink" Target="https://boards.greenhouse.io/cloudflare/jobs/7953656" TargetMode="External" Id="rId1950" /><Relationship Type="http://schemas.openxmlformats.org/officeDocument/2006/relationships/hyperlink" Target="https://boards.greenhouse.io/cloudflare/jobs/6998777" TargetMode="External" Id="rId1951" /><Relationship Type="http://schemas.openxmlformats.org/officeDocument/2006/relationships/hyperlink" Target="https://boards.greenhouse.io/cloudflare/jobs/7990300" TargetMode="External" Id="rId1952" /><Relationship Type="http://schemas.openxmlformats.org/officeDocument/2006/relationships/hyperlink" Target="https://boards.greenhouse.io/cloudflare/jobs/7997706" TargetMode="External" Id="rId1953" /><Relationship Type="http://schemas.openxmlformats.org/officeDocument/2006/relationships/hyperlink" Target="https://boards.greenhouse.io/cloudflare/jobs/7731626" TargetMode="External" Id="rId1954" /><Relationship Type="http://schemas.openxmlformats.org/officeDocument/2006/relationships/hyperlink" Target="https://boards.greenhouse.io/cloudflare/jobs/7731685" TargetMode="External" Id="rId1955" /><Relationship Type="http://schemas.openxmlformats.org/officeDocument/2006/relationships/hyperlink" Target="https://boards.greenhouse.io/cloudflare/jobs/7728103" TargetMode="External" Id="rId1956" /><Relationship Type="http://schemas.openxmlformats.org/officeDocument/2006/relationships/hyperlink" Target="https://boards.greenhouse.io/cloudflare/jobs/7469508" TargetMode="External" Id="rId1957" /><Relationship Type="http://schemas.openxmlformats.org/officeDocument/2006/relationships/hyperlink" Target="https://boards.greenhouse.io/cloudflare/jobs/7493333" TargetMode="External" Id="rId1958" /><Relationship Type="http://schemas.openxmlformats.org/officeDocument/2006/relationships/hyperlink" Target="https://boards.greenhouse.io/cloudflare/jobs/7817755" TargetMode="External" Id="rId1959" /><Relationship Type="http://schemas.openxmlformats.org/officeDocument/2006/relationships/hyperlink" Target="https://boards.greenhouse.io/cloudflare/jobs/7963589" TargetMode="External" Id="rId1960" /><Relationship Type="http://schemas.openxmlformats.org/officeDocument/2006/relationships/hyperlink" Target="https://boards.greenhouse.io/cloudflare/jobs/7985691" TargetMode="External" Id="rId1961" /><Relationship Type="http://schemas.openxmlformats.org/officeDocument/2006/relationships/hyperlink" Target="https://boards.greenhouse.io/cloudflare/jobs/7960699" TargetMode="External" Id="rId1962" /><Relationship Type="http://schemas.openxmlformats.org/officeDocument/2006/relationships/hyperlink" Target="https://boards.greenhouse.io/cloudflare/jobs/7946795" TargetMode="External" Id="rId1963" /><Relationship Type="http://schemas.openxmlformats.org/officeDocument/2006/relationships/hyperlink" Target="https://boards.greenhouse.io/cloudflare/jobs/7648618" TargetMode="External" Id="rId1964" /><Relationship Type="http://schemas.openxmlformats.org/officeDocument/2006/relationships/hyperlink" Target="https://boards.greenhouse.io/cloudflare/jobs/7817793" TargetMode="External" Id="rId1965" /><Relationship Type="http://schemas.openxmlformats.org/officeDocument/2006/relationships/hyperlink" Target="https://boards.greenhouse.io/cloudflare/jobs/7463793" TargetMode="External" Id="rId1966" /><Relationship Type="http://schemas.openxmlformats.org/officeDocument/2006/relationships/hyperlink" Target="https://boards.greenhouse.io/cloudflare/jobs/7793013" TargetMode="External" Id="rId1967" /><Relationship Type="http://schemas.openxmlformats.org/officeDocument/2006/relationships/hyperlink" Target="https://boards.greenhouse.io/cloudflare/jobs/7276690" TargetMode="External" Id="rId1968" /><Relationship Type="http://schemas.openxmlformats.org/officeDocument/2006/relationships/hyperlink" Target="https://boards.greenhouse.io/cloudflare/jobs/7521551" TargetMode="External" Id="rId1969" /><Relationship Type="http://schemas.openxmlformats.org/officeDocument/2006/relationships/hyperlink" Target="https://boards.greenhouse.io/cloudflare/jobs/7954710" TargetMode="External" Id="rId1970" /><Relationship Type="http://schemas.openxmlformats.org/officeDocument/2006/relationships/hyperlink" Target="https://boards.greenhouse.io/cloudflare/jobs/7956799" TargetMode="External" Id="rId1971" /><Relationship Type="http://schemas.openxmlformats.org/officeDocument/2006/relationships/hyperlink" Target="https://boards.greenhouse.io/cloudflare/jobs/7778747" TargetMode="External" Id="rId1972" /><Relationship Type="http://schemas.openxmlformats.org/officeDocument/2006/relationships/hyperlink" Target="https://boards.greenhouse.io/cloudflare/jobs/7518684" TargetMode="External" Id="rId1973" /><Relationship Type="http://schemas.openxmlformats.org/officeDocument/2006/relationships/hyperlink" Target="https://boards.greenhouse.io/cloudflare/jobs/7782508" TargetMode="External" Id="rId1974" /><Relationship Type="http://schemas.openxmlformats.org/officeDocument/2006/relationships/hyperlink" Target="https://boards.greenhouse.io/cloudflare/jobs/7778956" TargetMode="External" Id="rId1975" /><Relationship Type="http://schemas.openxmlformats.org/officeDocument/2006/relationships/hyperlink" Target="https://boards.greenhouse.io/cloudflare/jobs/7518699" TargetMode="External" Id="rId1976" /><Relationship Type="http://schemas.openxmlformats.org/officeDocument/2006/relationships/hyperlink" Target="https://boards.greenhouse.io/cloudflare/jobs/7975434" TargetMode="External" Id="rId1977" /><Relationship Type="http://schemas.openxmlformats.org/officeDocument/2006/relationships/hyperlink" Target="https://boards.greenhouse.io/cloudflare/jobs/7374554" TargetMode="External" Id="rId1978" /><Relationship Type="http://schemas.openxmlformats.org/officeDocument/2006/relationships/hyperlink" Target="https://boards.greenhouse.io/cloudflare/jobs/7812112" TargetMode="External" Id="rId1979" /><Relationship Type="http://schemas.openxmlformats.org/officeDocument/2006/relationships/hyperlink" Target="https://boards.greenhouse.io/cloudflare/jobs/7980647" TargetMode="External" Id="rId1980" /><Relationship Type="http://schemas.openxmlformats.org/officeDocument/2006/relationships/hyperlink" Target="https://boards.greenhouse.io/cloudflare/jobs/7520051" TargetMode="External" Id="rId1981" /><Relationship Type="http://schemas.openxmlformats.org/officeDocument/2006/relationships/hyperlink" Target="https://boards.greenhouse.io/cloudflare/jobs/7864156" TargetMode="External" Id="rId1982" /><Relationship Type="http://schemas.openxmlformats.org/officeDocument/2006/relationships/hyperlink" Target="https://boards.greenhouse.io/cloudflare/jobs/7551589" TargetMode="External" Id="rId1983" /><Relationship Type="http://schemas.openxmlformats.org/officeDocument/2006/relationships/hyperlink" Target="https://boards.greenhouse.io/cloudflare/jobs/7786402" TargetMode="External" Id="rId1984" /><Relationship Type="http://schemas.openxmlformats.org/officeDocument/2006/relationships/hyperlink" Target="https://boards.greenhouse.io/cloudflare/jobs/7954702" TargetMode="External" Id="rId1985" /><Relationship Type="http://schemas.openxmlformats.org/officeDocument/2006/relationships/hyperlink" Target="https://boards.greenhouse.io/cloudflare/jobs/7826822" TargetMode="External" Id="rId1986" /><Relationship Type="http://schemas.openxmlformats.org/officeDocument/2006/relationships/hyperlink" Target="https://boards.greenhouse.io/cloudflare/jobs/7518670" TargetMode="External" Id="rId1987" /><Relationship Type="http://schemas.openxmlformats.org/officeDocument/2006/relationships/hyperlink" Target="https://boards.greenhouse.io/cloudflare/jobs/7530475" TargetMode="External" Id="rId1988" /><Relationship Type="http://schemas.openxmlformats.org/officeDocument/2006/relationships/hyperlink" Target="https://boards.greenhouse.io/cloudflare/jobs/7526134" TargetMode="External" Id="rId1989" /><Relationship Type="http://schemas.openxmlformats.org/officeDocument/2006/relationships/hyperlink" Target="https://boards.greenhouse.io/cloudflare/jobs/7261894" TargetMode="External" Id="rId1990" /><Relationship Type="http://schemas.openxmlformats.org/officeDocument/2006/relationships/hyperlink" Target="https://boards.greenhouse.io/cloudflare/jobs/7994999" TargetMode="External" Id="rId1991" /><Relationship Type="http://schemas.openxmlformats.org/officeDocument/2006/relationships/hyperlink" Target="https://boards.greenhouse.io/cloudflare/jobs/7967144" TargetMode="External" Id="rId1992" /><Relationship Type="http://schemas.openxmlformats.org/officeDocument/2006/relationships/hyperlink" Target="https://boards.greenhouse.io/cloudflare/jobs/7767908" TargetMode="External" Id="rId1993" /><Relationship Type="http://schemas.openxmlformats.org/officeDocument/2006/relationships/hyperlink" Target="https://boards.greenhouse.io/cloudflare/jobs/7558153" TargetMode="External" Id="rId1994" /><Relationship Type="http://schemas.openxmlformats.org/officeDocument/2006/relationships/hyperlink" Target="https://boards.greenhouse.io/cloudflare/jobs/7520215" TargetMode="External" Id="rId1995" /><Relationship Type="http://schemas.openxmlformats.org/officeDocument/2006/relationships/hyperlink" Target="https://boards.greenhouse.io/cloudflare/jobs/7826916" TargetMode="External" Id="rId1996" /><Relationship Type="http://schemas.openxmlformats.org/officeDocument/2006/relationships/hyperlink" Target="https://boards.greenhouse.io/cloudflare/jobs/7947516" TargetMode="External" Id="rId1997" /><Relationship Type="http://schemas.openxmlformats.org/officeDocument/2006/relationships/hyperlink" Target="https://boards.greenhouse.io/cloudflare/jobs/7912382" TargetMode="External" Id="rId1998" /><Relationship Type="http://schemas.openxmlformats.org/officeDocument/2006/relationships/hyperlink" Target="https://boards.greenhouse.io/cloudflare/jobs/7577205" TargetMode="External" Id="rId1999" /><Relationship Type="http://schemas.openxmlformats.org/officeDocument/2006/relationships/hyperlink" Target="https://sifive.wd1.myworkdayjobs.com/job/La-Ciotat-France/Debug-Trace-Profiling-Design-Engineer_R-101155" TargetMode="External" Id="rId2000" /><Relationship Type="http://schemas.openxmlformats.org/officeDocument/2006/relationships/hyperlink" Target="https://sifive.wd1.myworkdayjobs.com/job/La-Ciotat-France/Lead-Debug-Trace-Profiling-Design-Engineer_R-101025" TargetMode="External" Id="rId2001" /><Relationship Type="http://schemas.openxmlformats.org/officeDocument/2006/relationships/hyperlink" Target="https://dyson.wd3.myworkdayjobs.com/job/United-Kingdom---England-Remote/Dyson-Expert---Newcastle-North-Shields--Part-Time-_JR34544" TargetMode="External" Id="rId2002" /><Relationship Type="http://schemas.openxmlformats.org/officeDocument/2006/relationships/hyperlink" Target="https://dyson.wd3.myworkdayjobs.com/job/China---Shenzhen-Office/Associate-Principal-Engineer_JR34975" TargetMode="External" Id="rId2003" /><Relationship Type="http://schemas.openxmlformats.org/officeDocument/2006/relationships/hyperlink" Target="https://dyson.wd3.myworkdayjobs.com/job/China---Shenzhen-Office/Service-Parts-Specialist_JR36327" TargetMode="External" Id="rId2004" /><Relationship Type="http://schemas.openxmlformats.org/officeDocument/2006/relationships/hyperlink" Target="https://dyson.wd3.myworkdayjobs.com/job/Philippines---Technology-Campus/Senior-Software-Manager_JR36348" TargetMode="External" Id="rId2005" /><Relationship Type="http://schemas.openxmlformats.org/officeDocument/2006/relationships/hyperlink" Target="https://dyson.wd3.myworkdayjobs.com/job/Canada---British-Columbia-Remote/Dyson-Expert_JR36960" TargetMode="External" Id="rId2006" /><Relationship Type="http://schemas.openxmlformats.org/officeDocument/2006/relationships/hyperlink" Target="https://dyson.wd3.myworkdayjobs.com/job/United-Kingdom---England-Remote/Dyson-Expert---Curry-s---Milton-Keynes--Part-Time-_JR36399" TargetMode="External" Id="rId2007" /><Relationship Type="http://schemas.openxmlformats.org/officeDocument/2006/relationships/hyperlink" Target="https://dyson.wd3.myworkdayjobs.com/job/United-Kingdom---England-Remote/Dyson-Expert---Curry-s--Staples-Corner--Part-Time-_JR36398" TargetMode="External" Id="rId2008" /><Relationship Type="http://schemas.openxmlformats.org/officeDocument/2006/relationships/hyperlink" Target="https://dyson.wd3.myworkdayjobs.com/job/United-Kingdom---England-Remote/Dyson-Expert---Watford-Curry-s_JR36726" TargetMode="External" Id="rId2009" /><Relationship Type="http://schemas.openxmlformats.org/officeDocument/2006/relationships/hyperlink" Target="https://dyson.wd3.myworkdayjobs.com/job/Turkey---Ankara-Panora-Demo-Zone/Assistant-Store-Manager---Ankara-Panora-AVM_JR36063" TargetMode="External" Id="rId2010" /><Relationship Type="http://schemas.openxmlformats.org/officeDocument/2006/relationships/hyperlink" Target="https://dyson.wd3.myworkdayjobs.com/job/Turkey---Ankara-Panora-Demo-Zone/Hair-Stylist---Ankara-Panora-AVM_JR36602" TargetMode="External" Id="rId2011" /><Relationship Type="http://schemas.openxmlformats.org/officeDocument/2006/relationships/hyperlink" Target="https://dyson.wd3.myworkdayjobs.com/job/Netherlands---Amsterdam-Office/Senior-Inventory-Optimization-Specialist---Central-Hub--Maternity-Leave-_JR35686" TargetMode="External" Id="rId2012" /><Relationship Type="http://schemas.openxmlformats.org/officeDocument/2006/relationships/hyperlink" Target="https://dyson.wd3.myworkdayjobs.com/job/United-Kingdom---Malmesbury-Office/Security-Shift-Officer_JR36911" TargetMode="External" Id="rId2013" /><Relationship Type="http://schemas.openxmlformats.org/officeDocument/2006/relationships/hyperlink" Target="https://dyson.wd3.myworkdayjobs.com/job/Turkey---Istanbul-Office/Delivery-Manager_JR36420" TargetMode="External" Id="rId2014" /><Relationship Type="http://schemas.openxmlformats.org/officeDocument/2006/relationships/hyperlink" Target="https://uk.indeed.com/viewjob" TargetMode="External" Id="rId2015" /><Relationship Type="http://schemas.openxmlformats.org/officeDocument/2006/relationships/hyperlink" Target="https://uk.indeed.com/viewjob" TargetMode="External" Id="rId2016" /><Relationship Type="http://schemas.openxmlformats.org/officeDocument/2006/relationships/hyperlink" Target="https://uk.indeed.com/viewjob" TargetMode="External" Id="rId2017" /><Relationship Type="http://schemas.openxmlformats.org/officeDocument/2006/relationships/hyperlink" Target="https://uk.indeed.com/viewjob" TargetMode="External" Id="rId2018" /><Relationship Type="http://schemas.openxmlformats.org/officeDocument/2006/relationships/hyperlink" Target="https://uk.indeed.com/viewjob" TargetMode="External" Id="rId2019" /><Relationship Type="http://schemas.openxmlformats.org/officeDocument/2006/relationships/hyperlink" Target="https://uk.indeed.com/viewjob" TargetMode="External" Id="rId2020" /><Relationship Type="http://schemas.openxmlformats.org/officeDocument/2006/relationships/hyperlink" Target="https://uk.indeed.com/viewjob" TargetMode="External" Id="rId2021" /><Relationship Type="http://schemas.openxmlformats.org/officeDocument/2006/relationships/hyperlink" Target="https://uk.indeed.com/viewjob" TargetMode="External" Id="rId2022" /><Relationship Type="http://schemas.openxmlformats.org/officeDocument/2006/relationships/hyperlink" Target="https://uk.indeed.com/viewjob" TargetMode="External" Id="rId2023" /><Relationship Type="http://schemas.openxmlformats.org/officeDocument/2006/relationships/hyperlink" Target="https://uk.indeed.com/viewjob" TargetMode="External" Id="rId2024" /><Relationship Type="http://schemas.openxmlformats.org/officeDocument/2006/relationships/hyperlink" Target="https://www.linkedin.com/jobs/view/4427708294" TargetMode="External" Id="rId2025" /><Relationship Type="http://schemas.openxmlformats.org/officeDocument/2006/relationships/hyperlink" Target="https://www.linkedin.com/jobs/view/4427286277" TargetMode="External" Id="rId2026" /><Relationship Type="http://schemas.openxmlformats.org/officeDocument/2006/relationships/hyperlink" Target="https://www.linkedin.com/jobs/view/4428704551" TargetMode="External" Id="rId2027" /><Relationship Type="http://schemas.openxmlformats.org/officeDocument/2006/relationships/hyperlink" Target="https://www.linkedin.com/jobs/view/4421801553" TargetMode="External" Id="rId2028" /><Relationship Type="http://schemas.openxmlformats.org/officeDocument/2006/relationships/hyperlink" Target="https://uk.indeed.com/viewjob" TargetMode="External" Id="rId2029" /><Relationship Type="http://schemas.openxmlformats.org/officeDocument/2006/relationships/hyperlink" Target="https://www.linkedin.com/jobs/view/4426239155" TargetMode="External" Id="rId2030" /><Relationship Type="http://schemas.openxmlformats.org/officeDocument/2006/relationships/hyperlink" Target="https://www.linkedin.com/jobs/view/4426534093" TargetMode="External" Id="rId2031" /><Relationship Type="http://schemas.openxmlformats.org/officeDocument/2006/relationships/hyperlink" Target="https://www.linkedin.com/jobs/view/4418579907" TargetMode="External" Id="rId2032" /><Relationship Type="http://schemas.openxmlformats.org/officeDocument/2006/relationships/hyperlink" Target="https://www.linkedin.com/jobs/view/4406965551" TargetMode="External" Id="rId2033" /><Relationship Type="http://schemas.openxmlformats.org/officeDocument/2006/relationships/hyperlink" Target="https://uk.indeed.com/viewjob" TargetMode="External" Id="rId2034" /><Relationship Type="http://schemas.openxmlformats.org/officeDocument/2006/relationships/hyperlink" Target="https://uk.indeed.com/viewjob" TargetMode="External" Id="rId2035" /><Relationship Type="http://schemas.openxmlformats.org/officeDocument/2006/relationships/hyperlink" Target="https://uk.indeed.com/viewjob" TargetMode="External" Id="rId2036" /><Relationship Type="http://schemas.openxmlformats.org/officeDocument/2006/relationships/hyperlink" Target="https://www.linkedin.com/jobs/view/4428676823" TargetMode="External" Id="rId2037" /><Relationship Type="http://schemas.openxmlformats.org/officeDocument/2006/relationships/hyperlink" Target="https://www.linkedin.com/jobs/view/4428713434" TargetMode="External" Id="rId2038" /><Relationship Type="http://schemas.openxmlformats.org/officeDocument/2006/relationships/hyperlink" Target="https://www.linkedin.com/jobs/view/4428713957" TargetMode="External" Id="rId2039" /><Relationship Type="http://schemas.openxmlformats.org/officeDocument/2006/relationships/hyperlink" Target="https://www.linkedin.com/jobs/view/4423400154" TargetMode="External" Id="rId2040" /><Relationship Type="http://schemas.openxmlformats.org/officeDocument/2006/relationships/hyperlink" Target="https://www.linkedin.com/jobs/view/4429510567" TargetMode="External" Id="rId2041" /><Relationship Type="http://schemas.openxmlformats.org/officeDocument/2006/relationships/hyperlink" Target="https://www.linkedin.com/jobs/view/4428849936" TargetMode="External" Id="rId2042" /><Relationship Type="http://schemas.openxmlformats.org/officeDocument/2006/relationships/hyperlink" Target="https://www.linkedin.com/jobs/view/4392586768" TargetMode="External" Id="rId2043" /><Relationship Type="http://schemas.openxmlformats.org/officeDocument/2006/relationships/hyperlink" Target="https://www.linkedin.com/jobs/view/4426217726" TargetMode="External" Id="rId2044" /><Relationship Type="http://schemas.openxmlformats.org/officeDocument/2006/relationships/hyperlink" Target="https://www.linkedin.com/jobs/view/4411516199" TargetMode="External" Id="rId2045" /><Relationship Type="http://schemas.openxmlformats.org/officeDocument/2006/relationships/hyperlink" Target="https://www.linkedin.com/jobs/view/4423586246" TargetMode="External" Id="rId2046" /><Relationship Type="http://schemas.openxmlformats.org/officeDocument/2006/relationships/hyperlink" Target="https://www.linkedin.com/jobs/view/4422254930" TargetMode="External" Id="rId2047" /><Relationship Type="http://schemas.openxmlformats.org/officeDocument/2006/relationships/hyperlink" Target="https://uk.indeed.com/viewjob" TargetMode="External" Id="rId2048" /><Relationship Type="http://schemas.openxmlformats.org/officeDocument/2006/relationships/hyperlink" Target="https://uk.indeed.com/viewjob" TargetMode="External" Id="rId2049" /><Relationship Type="http://schemas.openxmlformats.org/officeDocument/2006/relationships/hyperlink" Target="https://uk.indeed.com/viewjob" TargetMode="External" Id="rId2050" /><Relationship Type="http://schemas.openxmlformats.org/officeDocument/2006/relationships/hyperlink" Target="https://uk.indeed.com/viewjob" TargetMode="External" Id="rId2051" /><Relationship Type="http://schemas.openxmlformats.org/officeDocument/2006/relationships/hyperlink" Target="https://uk.indeed.com/viewjob" TargetMode="External" Id="rId2052" /><Relationship Type="http://schemas.openxmlformats.org/officeDocument/2006/relationships/hyperlink" Target="https://uk.indeed.com/viewjob" TargetMode="External" Id="rId2053" /><Relationship Type="http://schemas.openxmlformats.org/officeDocument/2006/relationships/hyperlink" Target="https://uk.indeed.com/viewjob" TargetMode="External" Id="rId2054" /><Relationship Type="http://schemas.openxmlformats.org/officeDocument/2006/relationships/hyperlink" Target="https://uk.indeed.com/viewjob" TargetMode="External" Id="rId2055" /><Relationship Type="http://schemas.openxmlformats.org/officeDocument/2006/relationships/hyperlink" Target="https://uk.indeed.com/viewjob" TargetMode="External" Id="rId2056" /><Relationship Type="http://schemas.openxmlformats.org/officeDocument/2006/relationships/hyperlink" Target="https://uk.indeed.com/viewjob" TargetMode="External" Id="rId2057" /><Relationship Type="http://schemas.openxmlformats.org/officeDocument/2006/relationships/hyperlink" Target="https://uk.indeed.com/viewjob" TargetMode="External" Id="rId2058" /><Relationship Type="http://schemas.openxmlformats.org/officeDocument/2006/relationships/hyperlink" Target="https://uk.indeed.com/viewjob" TargetMode="External" Id="rId2059" /><Relationship Type="http://schemas.openxmlformats.org/officeDocument/2006/relationships/hyperlink" Target="https://uk.indeed.com/viewjob" TargetMode="External" Id="rId2060" /><Relationship Type="http://schemas.openxmlformats.org/officeDocument/2006/relationships/hyperlink" Target="https://uk.indeed.com/viewjob" TargetMode="External" Id="rId2061" /><Relationship Type="http://schemas.openxmlformats.org/officeDocument/2006/relationships/hyperlink" Target="https://uk.indeed.com/viewjob" TargetMode="External" Id="rId2062" /><Relationship Type="http://schemas.openxmlformats.org/officeDocument/2006/relationships/hyperlink" Target="https://www.linkedin.com/jobs/view/4426858509" TargetMode="External" Id="rId2063" /><Relationship Type="http://schemas.openxmlformats.org/officeDocument/2006/relationships/hyperlink" Target="https://www.linkedin.com/jobs/view/4426688854" TargetMode="External" Id="rId2064" /><Relationship Type="http://schemas.openxmlformats.org/officeDocument/2006/relationships/hyperlink" Target="https://www.linkedin.com/jobs/view/4425461628" TargetMode="External" Id="rId2065" /><Relationship Type="http://schemas.openxmlformats.org/officeDocument/2006/relationships/hyperlink" Target="https://www.linkedin.com/jobs/view/4412757285" TargetMode="External" Id="rId2066" /><Relationship Type="http://schemas.openxmlformats.org/officeDocument/2006/relationships/hyperlink" Target="https://www.linkedin.com/jobs/view/4412741396" TargetMode="External" Id="rId2067" /><Relationship Type="http://schemas.openxmlformats.org/officeDocument/2006/relationships/hyperlink" Target="https://www.linkedin.com/jobs/view/4427939822" TargetMode="External" Id="rId2068" /><Relationship Type="http://schemas.openxmlformats.org/officeDocument/2006/relationships/hyperlink" Target="https://www.linkedin.com/jobs/view/4419286076" TargetMode="External" Id="rId2069" /><Relationship Type="http://schemas.openxmlformats.org/officeDocument/2006/relationships/hyperlink" Target="https://www.linkedin.com/jobs/view/4407874356" TargetMode="External" Id="rId2070" /><Relationship Type="http://schemas.openxmlformats.org/officeDocument/2006/relationships/hyperlink" Target="https://uk.indeed.com/viewjob" TargetMode="External" Id="rId2071" /><Relationship Type="http://schemas.openxmlformats.org/officeDocument/2006/relationships/hyperlink" Target="https://uk.indeed.com/viewjob" TargetMode="External" Id="rId2072" /><Relationship Type="http://schemas.openxmlformats.org/officeDocument/2006/relationships/hyperlink" Target="https://uk.indeed.com/viewjob" TargetMode="External" Id="rId2073" /><Relationship Type="http://schemas.openxmlformats.org/officeDocument/2006/relationships/hyperlink" Target="https://uk.indeed.com/viewjob" TargetMode="External" Id="rId2074" /><Relationship Type="http://schemas.openxmlformats.org/officeDocument/2006/relationships/hyperlink" Target="https://www.linkedin.com/jobs/view/4421330433" TargetMode="External" Id="rId2075" /><Relationship Type="http://schemas.openxmlformats.org/officeDocument/2006/relationships/hyperlink" Target="https://www.linkedin.com/jobs/view/4420416255" TargetMode="External" Id="rId2076" /><Relationship Type="http://schemas.openxmlformats.org/officeDocument/2006/relationships/hyperlink" Target="https://www.linkedin.com/jobs/view/4417876652" TargetMode="External" Id="rId2077" /><Relationship Type="http://schemas.openxmlformats.org/officeDocument/2006/relationships/hyperlink" Target="https://www.linkedin.com/jobs/view/4426486853" TargetMode="External" Id="rId2078" /><Relationship Type="http://schemas.openxmlformats.org/officeDocument/2006/relationships/hyperlink" Target="https://www.linkedin.com/jobs/view/4413560639" TargetMode="External" Id="rId2079" /><Relationship Type="http://schemas.openxmlformats.org/officeDocument/2006/relationships/hyperlink" Target="https://www.linkedin.com/jobs/view/4376890976" TargetMode="External" Id="rId2080" /><Relationship Type="http://schemas.openxmlformats.org/officeDocument/2006/relationships/hyperlink" Target="https://uk.indeed.com/viewjob" TargetMode="External" Id="rId2081" /><Relationship Type="http://schemas.openxmlformats.org/officeDocument/2006/relationships/hyperlink" Target="https://uk.indeed.com/viewjob" TargetMode="External" Id="rId2082" /><Relationship Type="http://schemas.openxmlformats.org/officeDocument/2006/relationships/hyperlink" Target="https://www.linkedin.com/jobs/view/4427281740" TargetMode="External" Id="rId2083" /><Relationship Type="http://schemas.openxmlformats.org/officeDocument/2006/relationships/hyperlink" Target="https://www.linkedin.com/jobs/view/4423333629" TargetMode="External" Id="rId2084" /><Relationship Type="http://schemas.openxmlformats.org/officeDocument/2006/relationships/hyperlink" Target="https://www.linkedin.com/jobs/view/4428701209" TargetMode="External" Id="rId2085" /><Relationship Type="http://schemas.openxmlformats.org/officeDocument/2006/relationships/hyperlink" Target="https://uk.indeed.com/viewjob" TargetMode="External" Id="rId2086" /><Relationship Type="http://schemas.openxmlformats.org/officeDocument/2006/relationships/hyperlink" Target="https://uk.indeed.com/viewjob" TargetMode="External" Id="rId2087" /><Relationship Type="http://schemas.openxmlformats.org/officeDocument/2006/relationships/hyperlink" Target="https://uk.indeed.com/viewjob" TargetMode="External" Id="rId2088" /><Relationship Type="http://schemas.openxmlformats.org/officeDocument/2006/relationships/hyperlink" Target="https://uk.indeed.com/viewjob" TargetMode="External" Id="rId2089" /><Relationship Type="http://schemas.openxmlformats.org/officeDocument/2006/relationships/hyperlink" Target="https://uk.indeed.com/viewjob" TargetMode="External" Id="rId2090" /><Relationship Type="http://schemas.openxmlformats.org/officeDocument/2006/relationships/hyperlink" Target="https://www.linkedin.com/jobs/view/4429781139" TargetMode="External" Id="rId2091" /><Relationship Type="http://schemas.openxmlformats.org/officeDocument/2006/relationships/hyperlink" Target="https://www.linkedin.com/jobs/view/4424885813" TargetMode="External" Id="rId2092" /><Relationship Type="http://schemas.openxmlformats.org/officeDocument/2006/relationships/hyperlink" Target="https://www.linkedin.com/jobs/view/4422103727" TargetMode="External" Id="rId2093" /><Relationship Type="http://schemas.openxmlformats.org/officeDocument/2006/relationships/hyperlink" Target="https://www.linkedin.com/jobs/view/4365108171" TargetMode="External" Id="rId2094" /><Relationship Type="http://schemas.openxmlformats.org/officeDocument/2006/relationships/hyperlink" Target="https://www.linkedin.com/jobs/view/4365110132" TargetMode="External" Id="rId2095" /><Relationship Type="http://schemas.openxmlformats.org/officeDocument/2006/relationships/hyperlink" Target="https://www.linkedin.com/jobs/view/4416700506" TargetMode="External" Id="rId2096" /><Relationship Type="http://schemas.openxmlformats.org/officeDocument/2006/relationships/hyperlink" Target="https://www.linkedin.com/jobs/view/4428714856" TargetMode="External" Id="rId2097" /><Relationship Type="http://schemas.openxmlformats.org/officeDocument/2006/relationships/hyperlink" Target="https://www.linkedin.com/jobs/view/4429021469" TargetMode="External" Id="rId2098" /><Relationship Type="http://schemas.openxmlformats.org/officeDocument/2006/relationships/hyperlink" Target="https://uk.indeed.com/viewjob" TargetMode="External" Id="rId2099" /><Relationship Type="http://schemas.openxmlformats.org/officeDocument/2006/relationships/hyperlink" Target="https://uk.indeed.com/viewjob" TargetMode="External" Id="rId2100" /><Relationship Type="http://schemas.openxmlformats.org/officeDocument/2006/relationships/hyperlink" Target="https://uk.indeed.com/viewjob" TargetMode="External" Id="rId2101" /><Relationship Type="http://schemas.openxmlformats.org/officeDocument/2006/relationships/hyperlink" Target="https://uk.indeed.com/viewjob" TargetMode="External" Id="rId2102" /><Relationship Type="http://schemas.openxmlformats.org/officeDocument/2006/relationships/hyperlink" Target="https://uk.indeed.com/viewjob" TargetMode="External" Id="rId2103" /><Relationship Type="http://schemas.openxmlformats.org/officeDocument/2006/relationships/hyperlink" Target="https://www.linkedin.com/jobs/view/4405156392" TargetMode="External" Id="rId2104" /><Relationship Type="http://schemas.openxmlformats.org/officeDocument/2006/relationships/hyperlink" Target="https://uk.indeed.com/viewjob" TargetMode="External" Id="rId2105" /><Relationship Type="http://schemas.openxmlformats.org/officeDocument/2006/relationships/hyperlink" Target="https://www.linkedin.com/jobs/view/4426072177" TargetMode="External" Id="rId2106" /><Relationship Type="http://schemas.openxmlformats.org/officeDocument/2006/relationships/hyperlink" Target="https://www.linkedin.com/jobs/view/4427533501" TargetMode="External" Id="rId2107" /><Relationship Type="http://schemas.openxmlformats.org/officeDocument/2006/relationships/hyperlink" Target="https://uk.indeed.com/viewjob" TargetMode="External" Id="rId2108" /><Relationship Type="http://schemas.openxmlformats.org/officeDocument/2006/relationships/hyperlink" Target="https://job-boards.greenhouse.io/monzo/jobs/7916595" TargetMode="External" Id="rId2109" /><Relationship Type="http://schemas.openxmlformats.org/officeDocument/2006/relationships/hyperlink" Target="https://job-boards.greenhouse.io/monzo/jobs/7850667" TargetMode="External" Id="rId2110" /><Relationship Type="http://schemas.openxmlformats.org/officeDocument/2006/relationships/hyperlink" Target="https://www.linkedin.com/jobs/view/4428013681" TargetMode="External" Id="rId2111" /><Relationship Type="http://schemas.openxmlformats.org/officeDocument/2006/relationships/hyperlink" Target="https://www.linkedin.com/jobs/view/4416320303" TargetMode="External" Id="rId2112" /><Relationship Type="http://schemas.openxmlformats.org/officeDocument/2006/relationships/hyperlink" Target="https://www.linkedin.com/jobs/view/4417094460" TargetMode="External" Id="rId2113" /><Relationship Type="http://schemas.openxmlformats.org/officeDocument/2006/relationships/hyperlink" Target="https://www.linkedin.com/jobs/view/4425307037" TargetMode="External" Id="rId2114" /><Relationship Type="http://schemas.openxmlformats.org/officeDocument/2006/relationships/hyperlink" Target="https://www.linkedin.com/jobs/view/4415563125" TargetMode="External" Id="rId2115" /><Relationship Type="http://schemas.openxmlformats.org/officeDocument/2006/relationships/hyperlink" Target="https://www.linkedin.com/jobs/view/4426191931" TargetMode="External" Id="rId2116" /><Relationship Type="http://schemas.openxmlformats.org/officeDocument/2006/relationships/hyperlink" Target="https://www.linkedin.com/jobs/view/4427204891" TargetMode="External" Id="rId2117" /><Relationship Type="http://schemas.openxmlformats.org/officeDocument/2006/relationships/hyperlink" Target="https://www.linkedin.com/jobs/view/4419068003" TargetMode="External" Id="rId2118" /><Relationship Type="http://schemas.openxmlformats.org/officeDocument/2006/relationships/hyperlink" Target="https://job-boards.greenhouse.io/graphcore/jobs/8542613002" TargetMode="External" Id="rId2119" /><Relationship Type="http://schemas.openxmlformats.org/officeDocument/2006/relationships/hyperlink" Target="https://job-boards.greenhouse.io/graphcore/jobs/8385695002" TargetMode="External" Id="rId2120" /><Relationship Type="http://schemas.openxmlformats.org/officeDocument/2006/relationships/hyperlink" Target="https://job-boards.greenhouse.io/monzo/jobs/8015626" TargetMode="External" Id="rId2121" /><Relationship Type="http://schemas.openxmlformats.org/officeDocument/2006/relationships/hyperlink" Target="https://job-boards.greenhouse.io/monzo/jobs/7582354" TargetMode="External" Id="rId2122" /><Relationship Type="http://schemas.openxmlformats.org/officeDocument/2006/relationships/hyperlink" Target="https://job-boards.greenhouse.io/monzo/jobs/6076740" TargetMode="External" Id="rId2123" /><Relationship Type="http://schemas.openxmlformats.org/officeDocument/2006/relationships/hyperlink" Target="https://job-boards.greenhouse.io/typeform/jobs/7905097" TargetMode="External" Id="rId2124" /><Relationship Type="http://schemas.openxmlformats.org/officeDocument/2006/relationships/hyperlink" Target="https://job-boards.greenhouse.io/typeform/jobs/7700412" TargetMode="External" Id="rId2125" /><Relationship Type="http://schemas.openxmlformats.org/officeDocument/2006/relationships/hyperlink" Target="https://job-boards.greenhouse.io/typeform/jobs/7905113" TargetMode="External" Id="rId2126" /><Relationship Type="http://schemas.openxmlformats.org/officeDocument/2006/relationships/hyperlink" Target="https://boards.greenhouse.io/cloudflare/jobs/8000779" TargetMode="External" Id="rId2127" /><Relationship Type="http://schemas.openxmlformats.org/officeDocument/2006/relationships/hyperlink" Target="https://boards.greenhouse.io/cloudflare/jobs/7896462" TargetMode="External" Id="rId2128" /><Relationship Type="http://schemas.openxmlformats.org/officeDocument/2006/relationships/hyperlink" Target="https://dyson.wd3.myworkdayjobs.com/job/United-Arab-Emirates---Dubai-Office/E-Commerce-Traffic---CRM-Manager_JR36836" TargetMode="External" Id="rId2129" /><Relationship Type="http://schemas.openxmlformats.org/officeDocument/2006/relationships/hyperlink" Target="https://dyson.wd3.myworkdayjobs.com/job/United-Arab-Emirates---Dubai-Office/Content-and-Social-Strategy-Executive_JR36895" TargetMode="External" Id="rId2130" /><Relationship Type="http://schemas.openxmlformats.org/officeDocument/2006/relationships/hyperlink" Target="https://dyson.wd3.myworkdayjobs.com/job/Germany---Baden-Wrttemberg-Remote/Dyson-Stylist_JR34859" TargetMode="External" Id="rId2131" /><Relationship Type="http://schemas.openxmlformats.org/officeDocument/2006/relationships/hyperlink" Target="https://dyson.wd3.myworkdayjobs.com/job/Germany---Baden-Wrttemberg-Remote/Stylist_JR34854" TargetMode="External" Id="rId2132" /><Relationship Type="http://schemas.openxmlformats.org/officeDocument/2006/relationships/hyperlink" Target="https://dyson.wd3.myworkdayjobs.com/job/Germany---Sachsen-Remote/Merchandiser_JR36818" TargetMode="External" Id="rId2133" /><Relationship Type="http://schemas.openxmlformats.org/officeDocument/2006/relationships/hyperlink" Target="https://uk.indeed.com/viewjob" TargetMode="External" Id="rId2134" /><Relationship Type="http://schemas.openxmlformats.org/officeDocument/2006/relationships/hyperlink" Target="https://www.linkedin.com/jobs/view/4426888519" TargetMode="External" Id="rId2135" /><Relationship Type="http://schemas.openxmlformats.org/officeDocument/2006/relationships/hyperlink" Target="https://www.linkedin.com/jobs/view/4399269415" TargetMode="External" Id="rId2136" /><Relationship Type="http://schemas.openxmlformats.org/officeDocument/2006/relationships/hyperlink" Target="https://www.linkedin.com/jobs/view/4395905189" TargetMode="External" Id="rId2137" /><Relationship Type="http://schemas.openxmlformats.org/officeDocument/2006/relationships/hyperlink" Target="https://www.linkedin.com/jobs/view/4429094248" TargetMode="External" Id="rId2138" /><Relationship Type="http://schemas.openxmlformats.org/officeDocument/2006/relationships/hyperlink" Target="https://www.linkedin.com/jobs/view/4427030455" TargetMode="External" Id="rId2139" /><Relationship Type="http://schemas.openxmlformats.org/officeDocument/2006/relationships/hyperlink" Target="https://www.linkedin.com/jobs/view/4427023667" TargetMode="External" Id="rId2140" /><Relationship Type="http://schemas.openxmlformats.org/officeDocument/2006/relationships/hyperlink" Target="https://www.linkedin.com/jobs/view/4417669023" TargetMode="External" Id="rId2141" /><Relationship Type="http://schemas.openxmlformats.org/officeDocument/2006/relationships/hyperlink" Target="https://www.linkedin.com/jobs/view/4429309943" TargetMode="External" Id="rId2142" /><Relationship Type="http://schemas.openxmlformats.org/officeDocument/2006/relationships/hyperlink" Target="https://www.linkedin.com/jobs/view/4429303960" TargetMode="External" Id="rId2143" /><Relationship Type="http://schemas.openxmlformats.org/officeDocument/2006/relationships/hyperlink" Target="https://www.linkedin.com/jobs/view/4427818682" TargetMode="External" Id="rId2144" /><Relationship Type="http://schemas.openxmlformats.org/officeDocument/2006/relationships/hyperlink" Target="https://uk.indeed.com/viewjob" TargetMode="External" Id="rId2145" /><Relationship Type="http://schemas.openxmlformats.org/officeDocument/2006/relationships/hyperlink" Target="https://uk.indeed.com/viewjob" TargetMode="External" Id="rId2146" /><Relationship Type="http://schemas.openxmlformats.org/officeDocument/2006/relationships/hyperlink" Target="https://uk.indeed.com/viewjob" TargetMode="External" Id="rId2147" /><Relationship Type="http://schemas.openxmlformats.org/officeDocument/2006/relationships/hyperlink" Target="https://uk.indeed.com/viewjob" TargetMode="External" Id="rId2148" /><Relationship Type="http://schemas.openxmlformats.org/officeDocument/2006/relationships/hyperlink" Target="https://www.linkedin.com/jobs/view/4426245432" TargetMode="External" Id="rId2149" /><Relationship Type="http://schemas.openxmlformats.org/officeDocument/2006/relationships/hyperlink" Target="https://www.linkedin.com/jobs/view/4400789807" TargetMode="External" Id="rId2150" /><Relationship Type="http://schemas.openxmlformats.org/officeDocument/2006/relationships/hyperlink" Target="https://job-boards.greenhouse.io/graphcore/jobs/8552045002" TargetMode="External" Id="rId2151" /><Relationship Type="http://schemas.openxmlformats.org/officeDocument/2006/relationships/hyperlink" Target="https://www.linkedin.com/jobs/view/4426360207" TargetMode="External" Id="rId2152" /><Relationship Type="http://schemas.openxmlformats.org/officeDocument/2006/relationships/hyperlink" Target="https://www.linkedin.com/jobs/view/4428390815" TargetMode="External" Id="rId2153" /><Relationship Type="http://schemas.openxmlformats.org/officeDocument/2006/relationships/hyperlink" Target="https://www.linkedin.com/jobs/view/4406958979" TargetMode="External" Id="rId2154" /><Relationship Type="http://schemas.openxmlformats.org/officeDocument/2006/relationships/hyperlink" Target="https://www.linkedin.com/jobs/view/4424354338" TargetMode="External" Id="rId2155" /><Relationship Type="http://schemas.openxmlformats.org/officeDocument/2006/relationships/hyperlink" Target="https://www.linkedin.com/jobs/view/4425380631" TargetMode="External" Id="rId2156" /><Relationship Type="http://schemas.openxmlformats.org/officeDocument/2006/relationships/hyperlink" Target="https://www.linkedin.com/jobs/view/4427997788" TargetMode="External" Id="rId2157" /><Relationship Type="http://schemas.openxmlformats.org/officeDocument/2006/relationships/hyperlink" Target="https://www.linkedin.com/jobs/view/4374049890" TargetMode="External" Id="rId2158" /><Relationship Type="http://schemas.openxmlformats.org/officeDocument/2006/relationships/hyperlink" Target="https://www.linkedin.com/jobs/view/4424222006" TargetMode="External" Id="rId2159" /><Relationship Type="http://schemas.openxmlformats.org/officeDocument/2006/relationships/hyperlink" Target="https://www.linkedin.com/jobs/view/4429020244" TargetMode="External" Id="rId2160" /><Relationship Type="http://schemas.openxmlformats.org/officeDocument/2006/relationships/hyperlink" Target="https://www.linkedin.com/jobs/view/4409377270" TargetMode="External" Id="rId2161" /><Relationship Type="http://schemas.openxmlformats.org/officeDocument/2006/relationships/hyperlink" Target="https://www.linkedin.com/jobs/view/4422655530" TargetMode="External" Id="rId2162" /><Relationship Type="http://schemas.openxmlformats.org/officeDocument/2006/relationships/hyperlink" Target="https://www.linkedin.com/jobs/view/4408403004" TargetMode="External" Id="rId2163" /><Relationship Type="http://schemas.openxmlformats.org/officeDocument/2006/relationships/hyperlink" Target="https://www.linkedin.com/jobs/view/4426966411" TargetMode="External" Id="rId2164" /><Relationship Type="http://schemas.openxmlformats.org/officeDocument/2006/relationships/hyperlink" Target="https://www.linkedin.com/jobs/view/4427983313" TargetMode="External" Id="rId2165" /><Relationship Type="http://schemas.openxmlformats.org/officeDocument/2006/relationships/hyperlink" Target="https://www.linkedin.com/jobs/view/4064409754" TargetMode="External" Id="rId2166" /><Relationship Type="http://schemas.openxmlformats.org/officeDocument/2006/relationships/hyperlink" Target="https://www.linkedin.com/jobs/view/4402700537" TargetMode="External" Id="rId2167" /><Relationship Type="http://schemas.openxmlformats.org/officeDocument/2006/relationships/hyperlink" Target="https://www.linkedin.com/jobs/view/4420119435" TargetMode="External" Id="rId2168" /><Relationship Type="http://schemas.openxmlformats.org/officeDocument/2006/relationships/hyperlink" Target="https://www.linkedin.com/jobs/view/4411360810" TargetMode="External" Id="rId2169" /><Relationship Type="http://schemas.openxmlformats.org/officeDocument/2006/relationships/hyperlink" Target="https://www.linkedin.com/jobs/view/4409459257" TargetMode="External" Id="rId2170" /><Relationship Type="http://schemas.openxmlformats.org/officeDocument/2006/relationships/hyperlink" Target="https://uk.indeed.com/viewjob" TargetMode="External" Id="rId2171" /><Relationship Type="http://schemas.openxmlformats.org/officeDocument/2006/relationships/table" Target="/xl/tables/table1.xml" Id="rId217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46198.87368055555</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P1 Apply</t>
        </is>
      </c>
      <c r="B29" s="7" t="n">
        <v>8.5</v>
      </c>
      <c r="C29" s="7" t="inlineStr">
        <is>
          <t>Junior</t>
        </is>
      </c>
      <c r="D29" s="7" t="inlineStr">
        <is>
          <t>new</t>
        </is>
      </c>
      <c r="E29" s="8" t="inlineStr">
        <is>
          <t>Junior Python Developer</t>
        </is>
      </c>
      <c r="F29" s="7" t="inlineStr">
        <is>
          <t>Station</t>
        </is>
      </c>
      <c r="G29" s="8" t="inlineStr">
        <is>
          <t>London Area, United Kingdom</t>
        </is>
      </c>
      <c r="H29" s="7" t="n"/>
      <c r="I29" s="9" t="inlineStr">
        <is>
          <t>Open posting</t>
        </is>
      </c>
      <c r="J29" s="8" t="inlineStr">
        <is>
          <t>Junior Python Developer title, Python, REST APIs, SQL/PostgreSQL, Django/Flask/FastAPI all match core and adjacent skills; London hybrid is within remote-ok policy.</t>
        </is>
      </c>
    </row>
    <row r="30">
      <c r="A30" s="7" t="inlineStr">
        <is>
          <t>P1 Apply</t>
        </is>
      </c>
      <c r="B30" s="7" t="n">
        <v>8.5</v>
      </c>
      <c r="C30" s="7" t="inlineStr">
        <is>
          <t>Graduate/Entry</t>
        </is>
      </c>
      <c r="D30" s="7" t="inlineStr">
        <is>
          <t>new</t>
        </is>
      </c>
      <c r="E30" s="8" t="inlineStr">
        <is>
          <t>Graduate Digital Design Engineer</t>
        </is>
      </c>
      <c r="F30" s="7" t="inlineStr">
        <is>
          <t>Renesas Electronics</t>
        </is>
      </c>
      <c r="G30" s="8" t="inlineStr">
        <is>
          <t>Edinburgh, Scotland, UK</t>
        </is>
      </c>
      <c r="H30" s="7" t="n"/>
      <c r="I30" s="9" t="inlineStr">
        <is>
          <t>Open posting</t>
        </is>
      </c>
      <c r="J30" s="8" t="inlineStr">
        <is>
          <t>FPGA/Verilog dissertation and digital design skills match RTL/HDL requirements; SystemVerilog vs Verilog minor gap.</t>
        </is>
      </c>
    </row>
    <row r="31">
      <c r="A31" s="7" t="inlineStr">
        <is>
          <t>P1 Apply</t>
        </is>
      </c>
      <c r="B31" s="7" t="n">
        <v>8.199999999999999</v>
      </c>
      <c r="C31" s="7" t="inlineStr">
        <is>
          <t>Graduate/Entry</t>
        </is>
      </c>
      <c r="D31" s="7" t="inlineStr">
        <is>
          <t>new</t>
        </is>
      </c>
      <c r="E31" s="8" t="inlineStr">
        <is>
          <t>Graduate Digital Design Engineer</t>
        </is>
      </c>
      <c r="F31" s="7" t="inlineStr">
        <is>
          <t>targetjobs UK</t>
        </is>
      </c>
      <c r="G31" s="8" t="inlineStr">
        <is>
          <t>Edinburgh, Scotland, UK</t>
        </is>
      </c>
      <c r="H31" s="7" t="n"/>
      <c r="I31" s="9" t="inlineStr">
        <is>
          <t>Open posting</t>
        </is>
      </c>
      <c r="J31" s="8" t="inlineStr">
        <is>
          <t>Graduate Digital Design Engineer matches core target role; Verilog, FPGA, Python, Git all evidenced; SystemVerilog is a minor gap.</t>
        </is>
      </c>
    </row>
    <row r="32">
      <c r="A32" s="7" t="inlineStr">
        <is>
          <t>P1 Apply</t>
        </is>
      </c>
      <c r="B32" s="7" t="n">
        <v>8</v>
      </c>
      <c r="C32" s="7" t="inlineStr">
        <is>
          <t>Junior</t>
        </is>
      </c>
      <c r="D32" s="7" t="inlineStr">
        <is>
          <t>new</t>
        </is>
      </c>
      <c r="E32" s="8" t="inlineStr">
        <is>
          <t>Full Stack Engineer</t>
        </is>
      </c>
      <c r="F32" s="7" t="inlineStr">
        <is>
          <t>Fortray Global Service Limited</t>
        </is>
      </c>
      <c r="G32" s="8" t="inlineStr">
        <is>
          <t>England, United Kingdom</t>
        </is>
      </c>
      <c r="H32" s="7" t="n"/>
      <c r="I32" s="9" t="inlineStr">
        <is>
          <t>Open posting</t>
        </is>
      </c>
      <c r="J32" s="8" t="inlineStr">
        <is>
          <t>Strong match for early-career full-stack role; Python, JS, REST APIs, Git, React, MongoDB, and Agile all present in profile.</t>
        </is>
      </c>
    </row>
    <row r="33">
      <c r="A33" s="7" t="inlineStr">
        <is>
          <t>P2 Strong</t>
        </is>
      </c>
      <c r="B33" s="7" t="n">
        <v>7.8</v>
      </c>
      <c r="C33" s="7" t="inlineStr">
        <is>
          <t>Graduate/Entry</t>
        </is>
      </c>
      <c r="D33" s="7" t="inlineStr">
        <is>
          <t>new</t>
        </is>
      </c>
      <c r="E33" s="8" t="inlineStr">
        <is>
          <t>Junior Software Engineer / Computer Science Graduate (Remote)</t>
        </is>
      </c>
      <c r="F33" s="7" t="inlineStr">
        <is>
          <t>CTW Content Protection</t>
        </is>
      </c>
      <c r="G33" s="8" t="inlineStr">
        <is>
          <t>GB</t>
        </is>
      </c>
      <c r="H33" s="7" t="n"/>
      <c r="I33" s="9" t="inlineStr">
        <is>
          <t>Open posting</t>
        </is>
      </c>
      <c r="J33" s="8" t="inlineStr">
        <is>
          <t>Python, SQL/MySQL, APIs, Docker, backend dev all directly match core skills; fully remote, salary £30-35k above floor, graduate-level role.</t>
        </is>
      </c>
    </row>
    <row r="34">
      <c r="A34" s="7" t="inlineStr">
        <is>
          <t>P2 Strong</t>
        </is>
      </c>
      <c r="B34" s="7" t="n">
        <v>7.5</v>
      </c>
      <c r="C34" s="7" t="inlineStr">
        <is>
          <t>Junior</t>
        </is>
      </c>
      <c r="D34" s="7" t="inlineStr">
        <is>
          <t>new</t>
        </is>
      </c>
      <c r="E34" s="8" t="inlineStr">
        <is>
          <t>Junior Data Engineer - Integration</t>
        </is>
      </c>
      <c r="F34" s="7" t="inlineStr">
        <is>
          <t>Ocean Infinity</t>
        </is>
      </c>
      <c r="G34" s="8" t="inlineStr">
        <is>
          <t>London, England, UK</t>
        </is>
      </c>
      <c r="H34" s="7" t="n"/>
      <c r="I34" s="9" t="inlineStr">
        <is>
          <t>Open posting</t>
        </is>
      </c>
      <c r="J34" s="8" t="inlineStr">
        <is>
          <t>Python, SQL, API integration, and backend data pipeline experience closely match this junior 0-2 year data engineering role.</t>
        </is>
      </c>
    </row>
    <row r="35">
      <c r="A35" s="7" t="inlineStr">
        <is>
          <t>P2 Strong</t>
        </is>
      </c>
      <c r="B35" s="7" t="n">
        <v>7.5</v>
      </c>
      <c r="C35" s="7" t="inlineStr">
        <is>
          <t>Junior</t>
        </is>
      </c>
      <c r="D35" s="7" t="inlineStr">
        <is>
          <t>new</t>
        </is>
      </c>
      <c r="E35" s="8" t="inlineStr">
        <is>
          <t>Junior Data Engineer - Integration</t>
        </is>
      </c>
      <c r="F35" s="7" t="inlineStr">
        <is>
          <t>Ocean Infinity</t>
        </is>
      </c>
      <c r="G35" s="8" t="inlineStr">
        <is>
          <t>Southampton, England, UK</t>
        </is>
      </c>
      <c r="H35" s="7" t="n"/>
      <c r="I35" s="9" t="inlineStr">
        <is>
          <t>Open posting</t>
        </is>
      </c>
      <c r="J35" s="8" t="inlineStr">
        <is>
          <t>Python, SQL, API integration, and backend data pipeline experience closely match this junior 0-2 year data engineering role.</t>
        </is>
      </c>
    </row>
    <row r="36">
      <c r="A36" s="7" t="inlineStr">
        <is>
          <t>P2 Strong</t>
        </is>
      </c>
      <c r="B36" s="7" t="n">
        <v>7.5</v>
      </c>
      <c r="C36" s="7" t="inlineStr">
        <is>
          <t>Unspecified</t>
        </is>
      </c>
      <c r="D36" s="7" t="inlineStr">
        <is>
          <t>new</t>
        </is>
      </c>
      <c r="E36" s="8" t="inlineStr">
        <is>
          <t>GPU Datapath Design Engineer</t>
        </is>
      </c>
      <c r="F36" s="7" t="inlineStr">
        <is>
          <t>Imagination Technologies</t>
        </is>
      </c>
      <c r="G36" s="8" t="inlineStr">
        <is>
          <t>Kings Langley, England, UK</t>
        </is>
      </c>
      <c r="H36" s="7" t="n"/>
      <c r="I36" s="9" t="inlineStr">
        <is>
          <t>Open posting</t>
        </is>
      </c>
      <c r="J36" s="8" t="inlineStr">
        <is>
          <t>FPGA/Verilog dissertation and digital design skills align well; no GPU-specific or ASIC experience, but training offered.</t>
        </is>
      </c>
    </row>
    <row r="37">
      <c r="A37" s="7" t="inlineStr">
        <is>
          <t>P2 Strong</t>
        </is>
      </c>
      <c r="B37" s="7" t="n">
        <v>7.5</v>
      </c>
      <c r="C37" s="7" t="inlineStr">
        <is>
          <t>Graduate/Entry</t>
        </is>
      </c>
      <c r="D37" s="7" t="inlineStr">
        <is>
          <t>new</t>
        </is>
      </c>
      <c r="E37" s="8" t="inlineStr">
        <is>
          <t>Graduate R&amp;D Engineer – System &amp; Architecture</t>
        </is>
      </c>
      <c r="F37" s="7" t="inlineStr">
        <is>
          <t>Microchip Technology</t>
        </is>
      </c>
      <c r="G37" s="8" t="inlineStr">
        <is>
          <t>Whiteley, ENG, GB</t>
        </is>
      </c>
      <c r="H37" s="7" t="n"/>
      <c r="I37" s="9" t="inlineStr">
        <is>
          <t>Open posting</t>
        </is>
      </c>
      <c r="J37" s="8" t="inlineStr">
        <is>
          <t>Graduate/early-career role matching embedded firmware, signal processing, and hardware-software interface skills from candidate's profile.</t>
        </is>
      </c>
    </row>
    <row r="38">
      <c r="A38" s="7" t="inlineStr">
        <is>
          <t>P2 Strong</t>
        </is>
      </c>
      <c r="B38" s="7" t="n">
        <v>7.5</v>
      </c>
      <c r="C38" s="7" t="inlineStr">
        <is>
          <t>Unspecified</t>
        </is>
      </c>
      <c r="D38" s="7" t="inlineStr">
        <is>
          <t>new</t>
        </is>
      </c>
      <c r="E38" s="8" t="inlineStr">
        <is>
          <t>Embedded Engineer - IoT Sensors &amp; Gateways / Smart Buildings</t>
        </is>
      </c>
      <c r="F38" s="7" t="inlineStr">
        <is>
          <t>Pressac Communications</t>
        </is>
      </c>
      <c r="G38" s="8" t="inlineStr">
        <is>
          <t>Nottingham, England, UK</t>
        </is>
      </c>
      <c r="H38" s="7" t="n"/>
      <c r="I38" s="9" t="inlineStr">
        <is>
          <t>Open posting</t>
        </is>
      </c>
      <c r="J38" s="8" t="inlineStr">
        <is>
          <t>Strong IoT/LoRaWAN, STM32, Raspberry Pi, and embedded C/Python match; missing commercial firmware experience and specific IDE tools (STM32 IDE, Keil).</t>
        </is>
      </c>
    </row>
    <row r="39">
      <c r="A39" s="7" t="inlineStr">
        <is>
          <t>P2 Strong</t>
        </is>
      </c>
      <c r="B39" s="7" t="n">
        <v>7.3</v>
      </c>
      <c r="C39" s="7" t="inlineStr">
        <is>
          <t>Unspecified</t>
        </is>
      </c>
      <c r="D39" s="7" t="inlineStr">
        <is>
          <t>new</t>
        </is>
      </c>
      <c r="E39" s="8" t="inlineStr">
        <is>
          <t>Computer Engineering</t>
        </is>
      </c>
      <c r="F39" s="7" t="inlineStr">
        <is>
          <t>Alignerr</t>
        </is>
      </c>
      <c r="G39" s="8" t="inlineStr">
        <is>
          <t>Manchester, England, UK</t>
        </is>
      </c>
      <c r="H39" s="7" t="n"/>
      <c r="I39" s="9" t="inlineStr">
        <is>
          <t>Open posting</t>
        </is>
      </c>
      <c r="J39" s="8" t="inlineStr">
        <is>
          <t>Strong FPGA, Verilog, embedded systems, and IoT skills align; pursuing MEng meets 'Masters pursuing' requirement; freelance contract only.</t>
        </is>
      </c>
    </row>
    <row r="40">
      <c r="A40" s="7" t="inlineStr">
        <is>
          <t>P2 Strong</t>
        </is>
      </c>
      <c r="B40" s="7" t="n">
        <v>7.2</v>
      </c>
      <c r="C40" s="7" t="inlineStr">
        <is>
          <t>Unspecified</t>
        </is>
      </c>
      <c r="D40" s="7" t="inlineStr">
        <is>
          <t>new</t>
        </is>
      </c>
      <c r="E40" s="8" t="inlineStr">
        <is>
          <t>Computer Engineering Expert - AI Content Specialist</t>
        </is>
      </c>
      <c r="F40" s="7" t="inlineStr">
        <is>
          <t>Alignerr</t>
        </is>
      </c>
      <c r="G40" s="8" t="inlineStr">
        <is>
          <t>Oxford, England, UK</t>
        </is>
      </c>
      <c r="H40" s="7" t="n"/>
      <c r="I40" s="9" t="inlineStr">
        <is>
          <t>Open posting</t>
        </is>
      </c>
      <c r="J40" s="8" t="inlineStr">
        <is>
          <t>MEng in ECE (pursuing Masters-level), FPGA/Verilog/embedded systems match well; contract/hourly role not a graduate permanent position.</t>
        </is>
      </c>
    </row>
    <row r="41">
      <c r="A41" s="7" t="inlineStr">
        <is>
          <t>P2 Strong</t>
        </is>
      </c>
      <c r="B41" s="7" t="n">
        <v>7.2</v>
      </c>
      <c r="C41" s="7" t="inlineStr">
        <is>
          <t>Unspecified</t>
        </is>
      </c>
      <c r="D41" s="7" t="inlineStr">
        <is>
          <t>new</t>
        </is>
      </c>
      <c r="E41" s="8" t="inlineStr">
        <is>
          <t>Computer Engineering Expert - AI Content Specialist</t>
        </is>
      </c>
      <c r="F41" s="7" t="inlineStr">
        <is>
          <t>Alignerr</t>
        </is>
      </c>
      <c r="G41" s="8" t="inlineStr">
        <is>
          <t>Birmingham, England, UK</t>
        </is>
      </c>
      <c r="H41" s="7" t="n"/>
      <c r="I41" s="9" t="inlineStr">
        <is>
          <t>Open posting</t>
        </is>
      </c>
      <c r="J41" s="8" t="inlineStr">
        <is>
          <t>MEng in ECE (pursuing Masters-level), FPGA/Verilog/embedded systems match well; contract/hourly role not a graduate permanent position.</t>
        </is>
      </c>
    </row>
    <row r="42">
      <c r="A42" s="7" t="inlineStr">
        <is>
          <t>P2 Strong</t>
        </is>
      </c>
      <c r="B42" s="7" t="n">
        <v>7.2</v>
      </c>
      <c r="C42" s="7" t="inlineStr">
        <is>
          <t>Unspecified</t>
        </is>
      </c>
      <c r="D42" s="7" t="inlineStr">
        <is>
          <t>new</t>
        </is>
      </c>
      <c r="E42" s="8" t="inlineStr">
        <is>
          <t>Computer Engineering</t>
        </is>
      </c>
      <c r="F42" s="7" t="inlineStr">
        <is>
          <t>Alignerr</t>
        </is>
      </c>
      <c r="G42" s="8" t="inlineStr">
        <is>
          <t>Birmingham, England, UK</t>
        </is>
      </c>
      <c r="H42" s="7" t="n"/>
      <c r="I42" s="9" t="inlineStr">
        <is>
          <t>Open posting</t>
        </is>
      </c>
      <c r="J42" s="8" t="inlineStr">
        <is>
          <t>FPGA, Verilog, embedded systems, and IoT match core JD domains; MEng satisfies degree requirement; hourly contract not a graduate role.</t>
        </is>
      </c>
    </row>
    <row r="43">
      <c r="A43" s="7" t="inlineStr">
        <is>
          <t>P2 Strong</t>
        </is>
      </c>
      <c r="B43" s="7" t="n">
        <v>7.2</v>
      </c>
      <c r="C43" s="7" t="inlineStr">
        <is>
          <t>Unspecified</t>
        </is>
      </c>
      <c r="D43" s="7" t="inlineStr">
        <is>
          <t>new</t>
        </is>
      </c>
      <c r="E43" s="8" t="inlineStr">
        <is>
          <t>Computer Engineering</t>
        </is>
      </c>
      <c r="F43" s="7" t="inlineStr">
        <is>
          <t>Alignerr</t>
        </is>
      </c>
      <c r="G43" s="8" t="inlineStr">
        <is>
          <t>Edinburgh, Scotland, UK</t>
        </is>
      </c>
      <c r="H43" s="7" t="n"/>
      <c r="I43" s="9" t="inlineStr">
        <is>
          <t>Open posting</t>
        </is>
      </c>
      <c r="J43" s="8" t="inlineStr">
        <is>
          <t>FPGA, Verilog, embedded systems, and IoT match core JD domains; MEng satisfies degree requirement; hourly contract not a graduate role.</t>
        </is>
      </c>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172"/>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8.5</v>
      </c>
      <c r="C2" s="12" t="inlineStr">
        <is>
          <t>Junior</t>
        </is>
      </c>
      <c r="D2" s="8" t="inlineStr">
        <is>
          <t>Junior Python Developer</t>
        </is>
      </c>
      <c r="E2" s="7" t="inlineStr">
        <is>
          <t>Station</t>
        </is>
      </c>
      <c r="F2" s="8" t="inlineStr">
        <is>
          <t>London Area, United Kingdom</t>
        </is>
      </c>
      <c r="G2" s="8" t="n"/>
      <c r="H2" s="14" t="n"/>
      <c r="I2" s="15">
        <f>IF($H2="","",$H2-TODAY())</f>
        <v/>
      </c>
      <c r="J2" s="16" t="inlineStr">
        <is>
          <t>Open posting</t>
        </is>
      </c>
      <c r="K2" s="8" t="inlineStr">
        <is>
          <t>Junior Python Developer title, Python, REST APIs, SQL/PostgreSQL, Django/Flask/FastAPI all match core and adjacent skills; London hybrid is within remote-ok policy.</t>
        </is>
      </c>
      <c r="L2" s="17" t="inlineStr">
        <is>
          <t>new</t>
        </is>
      </c>
      <c r="M2" s="18" t="inlineStr"/>
      <c r="N2" s="7" t="inlineStr">
        <is>
          <t>46f1d6296a3c9d0be7206d78909b5b20ff30a25d</t>
        </is>
      </c>
      <c r="O2" s="14" t="n"/>
      <c r="P2" s="7" t="inlineStr">
        <is>
          <t>jobspy</t>
        </is>
      </c>
      <c r="Q2" s="8" t="inlineStr">
        <is>
          <t>Python, REST APIs, SQL, FastAPI, Flask</t>
        </is>
      </c>
      <c r="R2" s="8" t="inlineStr">
        <is>
          <t>Junior Python Developer</t>
        </is>
      </c>
      <c r="S2" s="19" t="n"/>
      <c r="T2" s="19" t="n"/>
      <c r="U2" s="14" t="n">
        <v>46192</v>
      </c>
      <c r="V2" s="7" t="inlineStr">
        <is>
          <t>v2-cv-accuracy-13b988b18da8ea7d</t>
        </is>
      </c>
    </row>
    <row r="3" ht="28" customHeight="1">
      <c r="A3" s="12">
        <f>IF($L3="applied","Applied",IF($L3="interview","Interview",IF($L3="offer","Offer",IF($L3="rejected","Rejected",IF($L3="ignore","Ignore",IF($L3="archive","Archive",IF($L3="closed","Closed",IF($B3="","Unscored",IF(AND($B3&gt;=8,OR($H3="",$H3-TODAY()&lt;=14)),"P1 Apply",IF($B3&gt;=7,"P2 Strong",IF($B3&gt;=5,"P3 Maybe","P4 Low")))))))))))</f>
        <v/>
      </c>
      <c r="B3" s="13" t="n">
        <v>8.5</v>
      </c>
      <c r="C3" s="12" t="inlineStr">
        <is>
          <t>Graduate/Entry</t>
        </is>
      </c>
      <c r="D3" s="8" t="inlineStr">
        <is>
          <t>Graduate Digital Design Engineer</t>
        </is>
      </c>
      <c r="E3" s="7" t="inlineStr">
        <is>
          <t>Renesas Electronics</t>
        </is>
      </c>
      <c r="F3" s="8" t="inlineStr">
        <is>
          <t>Edinburgh, Scotland, UK</t>
        </is>
      </c>
      <c r="G3" s="8" t="n"/>
      <c r="H3" s="14" t="n"/>
      <c r="I3" s="15">
        <f>IF($H3="","",$H3-TODAY())</f>
        <v/>
      </c>
      <c r="J3" s="16" t="inlineStr">
        <is>
          <t>Open posting</t>
        </is>
      </c>
      <c r="K3" s="8" t="inlineStr">
        <is>
          <t>FPGA/Verilog dissertation and digital design skills match RTL/HDL requirements; SystemVerilog vs Verilog minor gap.</t>
        </is>
      </c>
      <c r="L3" s="17" t="inlineStr">
        <is>
          <t>new</t>
        </is>
      </c>
      <c r="M3" s="18" t="inlineStr"/>
      <c r="N3" s="7" t="inlineStr">
        <is>
          <t>9384b9741d9c0cb3b1a7ef6886b9de5772942944</t>
        </is>
      </c>
      <c r="O3" s="14" t="n">
        <v>46176</v>
      </c>
      <c r="P3" s="7" t="inlineStr">
        <is>
          <t>jobspy</t>
        </is>
      </c>
      <c r="Q3" s="8" t="inlineStr">
        <is>
          <t>Verilog, FPGA, Python, Git, digital design</t>
        </is>
      </c>
      <c r="R3" s="8" t="inlineStr">
        <is>
          <t>Graduate FPGA Engineer Verilog Vivado</t>
        </is>
      </c>
      <c r="S3" s="19" t="n"/>
      <c r="T3" s="19" t="n"/>
      <c r="U3" s="14" t="n">
        <v>46192</v>
      </c>
      <c r="V3" s="7" t="inlineStr">
        <is>
          <t>v2-cv-accuracy-13b988b18da8ea7d</t>
        </is>
      </c>
    </row>
    <row r="4" ht="28" customHeight="1">
      <c r="A4" s="12">
        <f>IF($L4="applied","Applied",IF($L4="interview","Interview",IF($L4="offer","Offer",IF($L4="rejected","Rejected",IF($L4="ignore","Ignore",IF($L4="archive","Archive",IF($L4="closed","Closed",IF($B4="","Unscored",IF(AND($B4&gt;=8,OR($H4="",$H4-TODAY()&lt;=14)),"P1 Apply",IF($B4&gt;=7,"P2 Strong",IF($B4&gt;=5,"P3 Maybe","P4 Low")))))))))))</f>
        <v/>
      </c>
      <c r="B4" s="13" t="n">
        <v>8.199999999999999</v>
      </c>
      <c r="C4" s="12" t="inlineStr">
        <is>
          <t>Graduate/Entry</t>
        </is>
      </c>
      <c r="D4" s="8" t="inlineStr">
        <is>
          <t>Graduate Digital Design Engineer</t>
        </is>
      </c>
      <c r="E4" s="7" t="inlineStr">
        <is>
          <t>targetjobs UK</t>
        </is>
      </c>
      <c r="F4" s="8" t="inlineStr">
        <is>
          <t>Edinburgh, Scotland, UK</t>
        </is>
      </c>
      <c r="G4" s="8" t="n"/>
      <c r="H4" s="14" t="n"/>
      <c r="I4" s="15">
        <f>IF($H4="","",$H4-TODAY())</f>
        <v/>
      </c>
      <c r="J4" s="16" t="inlineStr">
        <is>
          <t>Open posting</t>
        </is>
      </c>
      <c r="K4" s="8" t="inlineStr">
        <is>
          <t>Graduate Digital Design Engineer matches core target role; Verilog, FPGA, Python, Git all evidenced; SystemVerilog is a minor gap.</t>
        </is>
      </c>
      <c r="L4" s="17" t="inlineStr">
        <is>
          <t>new</t>
        </is>
      </c>
      <c r="M4" s="18" t="inlineStr"/>
      <c r="N4" s="7" t="inlineStr">
        <is>
          <t>e0f837217efc0250adb5a458ad8ad16bf518ff2a</t>
        </is>
      </c>
      <c r="O4" s="14" t="n">
        <v>46191</v>
      </c>
      <c r="P4" s="7" t="inlineStr">
        <is>
          <t>jobspy</t>
        </is>
      </c>
      <c r="Q4" s="8" t="inlineStr">
        <is>
          <t>Verilog, FPGA, Python, Git, digital design</t>
        </is>
      </c>
      <c r="R4" s="8" t="inlineStr">
        <is>
          <t>Graduate FPGA Engineer UK remote</t>
        </is>
      </c>
      <c r="S4" s="19" t="n"/>
      <c r="T4" s="19" t="n"/>
      <c r="U4" s="14" t="n">
        <v>46192</v>
      </c>
      <c r="V4" s="7" t="inlineStr">
        <is>
          <t>v2-cv-accuracy-13b988b18da8ea7d</t>
        </is>
      </c>
    </row>
    <row r="5" ht="28" customHeight="1">
      <c r="A5" s="12">
        <f>IF($L5="applied","Applied",IF($L5="interview","Interview",IF($L5="offer","Offer",IF($L5="rejected","Rejected",IF($L5="ignore","Ignore",IF($L5="archive","Archive",IF($L5="closed","Closed",IF($B5="","Unscored",IF(AND($B5&gt;=8,OR($H5="",$H5-TODAY()&lt;=14)),"P1 Apply",IF($B5&gt;=7,"P2 Strong",IF($B5&gt;=5,"P3 Maybe","P4 Low")))))))))))</f>
        <v/>
      </c>
      <c r="B5" s="13" t="n">
        <v>8</v>
      </c>
      <c r="C5" s="12" t="inlineStr">
        <is>
          <t>Junior</t>
        </is>
      </c>
      <c r="D5" s="8" t="inlineStr">
        <is>
          <t>Full Stack Engineer</t>
        </is>
      </c>
      <c r="E5" s="7" t="inlineStr">
        <is>
          <t>Fortray Global Service Limited</t>
        </is>
      </c>
      <c r="F5" s="8" t="inlineStr">
        <is>
          <t>England, United Kingdom</t>
        </is>
      </c>
      <c r="G5" s="8" t="n"/>
      <c r="H5" s="14" t="n"/>
      <c r="I5" s="15">
        <f>IF($H5="","",$H5-TODAY())</f>
        <v/>
      </c>
      <c r="J5" s="16" t="inlineStr">
        <is>
          <t>Open posting</t>
        </is>
      </c>
      <c r="K5" s="8" t="inlineStr">
        <is>
          <t>Strong match for early-career full-stack role; Python, JS, REST APIs, Git, React, MongoDB, and Agile all present in profile.</t>
        </is>
      </c>
      <c r="L5" s="17" t="inlineStr">
        <is>
          <t>new</t>
        </is>
      </c>
      <c r="M5" s="18" t="inlineStr"/>
      <c r="N5" s="7" t="inlineStr">
        <is>
          <t>6923b68fabb4fd9d9bc9051a629b6694c6be29e7</t>
        </is>
      </c>
      <c r="O5" s="14" t="n">
        <v>46188</v>
      </c>
      <c r="P5" s="7" t="inlineStr">
        <is>
          <t>jobspy</t>
        </is>
      </c>
      <c r="Q5" s="8" t="inlineStr">
        <is>
          <t>Python, JavaScript, REST APIs, Git, React</t>
        </is>
      </c>
      <c r="R5" s="8" t="inlineStr">
        <is>
          <t>entry level Full Stack Developer</t>
        </is>
      </c>
      <c r="S5" s="19" t="n"/>
      <c r="T5" s="19" t="n"/>
      <c r="U5" s="14" t="n">
        <v>46192</v>
      </c>
      <c r="V5" s="7" t="inlineStr">
        <is>
          <t>v2-cv-accuracy-13b988b18da8ea7d</t>
        </is>
      </c>
    </row>
    <row r="6" ht="28" customHeight="1">
      <c r="A6" s="12">
        <f>IF($L6="applied","Applied",IF($L6="interview","Interview",IF($L6="offer","Offer",IF($L6="rejected","Rejected",IF($L6="ignore","Ignore",IF($L6="archive","Archive",IF($L6="closed","Closed",IF($B6="","Unscored",IF(AND($B6&gt;=8,OR($H6="",$H6-TODAY()&lt;=14)),"P1 Apply",IF($B6&gt;=7,"P2 Strong",IF($B6&gt;=5,"P3 Maybe","P4 Low")))))))))))</f>
        <v/>
      </c>
      <c r="B6" s="13" t="n">
        <v>7.8</v>
      </c>
      <c r="C6" s="12" t="inlineStr">
        <is>
          <t>Graduate/Entry</t>
        </is>
      </c>
      <c r="D6" s="8" t="inlineStr">
        <is>
          <t>Junior Software Engineer / Computer Science Graduate (Remote)</t>
        </is>
      </c>
      <c r="E6" s="7" t="inlineStr">
        <is>
          <t>CTW Content Protection</t>
        </is>
      </c>
      <c r="F6" s="8" t="inlineStr">
        <is>
          <t>GB</t>
        </is>
      </c>
      <c r="G6" s="8" t="n"/>
      <c r="H6" s="14" t="n"/>
      <c r="I6" s="15">
        <f>IF($H6="","",$H6-TODAY())</f>
        <v/>
      </c>
      <c r="J6" s="16" t="inlineStr">
        <is>
          <t>Open posting</t>
        </is>
      </c>
      <c r="K6" s="8" t="inlineStr">
        <is>
          <t>Python, SQL/MySQL, APIs, Docker, backend dev all directly match core skills; fully remote, salary £30-35k above floor, graduate-level role.</t>
        </is>
      </c>
      <c r="L6" s="17" t="inlineStr">
        <is>
          <t>new</t>
        </is>
      </c>
      <c r="M6" s="18" t="inlineStr"/>
      <c r="N6" s="7" t="inlineStr">
        <is>
          <t>d0d916f9adcdabb6ccab921b95bc4589da3e3c50</t>
        </is>
      </c>
      <c r="O6" s="14" t="n">
        <v>46188</v>
      </c>
      <c r="P6" s="7" t="inlineStr">
        <is>
          <t>jobspy</t>
        </is>
      </c>
      <c r="Q6" s="8" t="inlineStr">
        <is>
          <t>Python, MySQL, Docker, API integration, SQL</t>
        </is>
      </c>
      <c r="R6" s="8" t="inlineStr">
        <is>
          <t>Platform Engineer backend Python SQL graduate</t>
        </is>
      </c>
      <c r="S6" s="19" t="n"/>
      <c r="T6" s="19" t="n"/>
      <c r="U6" s="14" t="n">
        <v>46192</v>
      </c>
      <c r="V6" s="7" t="inlineStr">
        <is>
          <t>v2-cv-accuracy-13b988b18da8ea7d</t>
        </is>
      </c>
    </row>
    <row r="7" ht="28" customHeight="1">
      <c r="A7" s="12">
        <f>IF($L7="applied","Applied",IF($L7="interview","Interview",IF($L7="offer","Offer",IF($L7="rejected","Rejected",IF($L7="ignore","Ignore",IF($L7="archive","Archive",IF($L7="closed","Closed",IF($B7="","Unscored",IF(AND($B7&gt;=8,OR($H7="",$H7-TODAY()&lt;=14)),"P1 Apply",IF($B7&gt;=7,"P2 Strong",IF($B7&gt;=5,"P3 Maybe","P4 Low")))))))))))</f>
        <v/>
      </c>
      <c r="B7" s="13" t="n">
        <v>7.5</v>
      </c>
      <c r="C7" s="12" t="inlineStr">
        <is>
          <t>Junior</t>
        </is>
      </c>
      <c r="D7" s="8" t="inlineStr">
        <is>
          <t>Junior Data Engineer - Integration</t>
        </is>
      </c>
      <c r="E7" s="7" t="inlineStr">
        <is>
          <t>Ocean Infinity</t>
        </is>
      </c>
      <c r="F7" s="8" t="inlineStr">
        <is>
          <t>London, England, UK</t>
        </is>
      </c>
      <c r="G7" s="8" t="n"/>
      <c r="H7" s="14" t="n"/>
      <c r="I7" s="15">
        <f>IF($H7="","",$H7-TODAY())</f>
        <v/>
      </c>
      <c r="J7" s="16" t="inlineStr">
        <is>
          <t>Open posting</t>
        </is>
      </c>
      <c r="K7" s="8" t="inlineStr">
        <is>
          <t>Python, SQL, API integration, and backend data pipeline experience closely match this junior 0-2 year data engineering role.</t>
        </is>
      </c>
      <c r="L7" s="17" t="inlineStr">
        <is>
          <t>new</t>
        </is>
      </c>
      <c r="M7" s="18" t="inlineStr"/>
      <c r="N7" s="7" t="inlineStr">
        <is>
          <t>1fe209d1974bbaeb8dc5366467e400e6e0ef17db</t>
        </is>
      </c>
      <c r="O7" s="14" t="n"/>
      <c r="P7" s="7" t="inlineStr">
        <is>
          <t>jobspy</t>
        </is>
      </c>
      <c r="Q7" s="8" t="inlineStr">
        <is>
          <t>Python, SQL, API integration, MySQL, backend development</t>
        </is>
      </c>
      <c r="R7" s="8" t="inlineStr">
        <is>
          <t>Junior Data Engineer Python SQL MySQL</t>
        </is>
      </c>
      <c r="S7" s="19" t="n"/>
      <c r="T7" s="19" t="n"/>
      <c r="U7" s="14" t="n">
        <v>46195</v>
      </c>
      <c r="V7" s="7" t="inlineStr">
        <is>
          <t>v2-cv-accuracy-13b988b18da8ea7d</t>
        </is>
      </c>
    </row>
    <row r="8" ht="28" customHeight="1">
      <c r="A8" s="12">
        <f>IF($L8="applied","Applied",IF($L8="interview","Interview",IF($L8="offer","Offer",IF($L8="rejected","Rejected",IF($L8="ignore","Ignore",IF($L8="archive","Archive",IF($L8="closed","Closed",IF($B8="","Unscored",IF(AND($B8&gt;=8,OR($H8="",$H8-TODAY()&lt;=14)),"P1 Apply",IF($B8&gt;=7,"P2 Strong",IF($B8&gt;=5,"P3 Maybe","P4 Low")))))))))))</f>
        <v/>
      </c>
      <c r="B8" s="13" t="n">
        <v>7.5</v>
      </c>
      <c r="C8" s="12" t="inlineStr">
        <is>
          <t>Junior</t>
        </is>
      </c>
      <c r="D8" s="8" t="inlineStr">
        <is>
          <t>Junior Data Engineer - Integration</t>
        </is>
      </c>
      <c r="E8" s="7" t="inlineStr">
        <is>
          <t>Ocean Infinity</t>
        </is>
      </c>
      <c r="F8" s="8" t="inlineStr">
        <is>
          <t>Southampton, England, UK</t>
        </is>
      </c>
      <c r="G8" s="8" t="n"/>
      <c r="H8" s="14" t="n"/>
      <c r="I8" s="15">
        <f>IF($H8="","",$H8-TODAY())</f>
        <v/>
      </c>
      <c r="J8" s="16" t="inlineStr">
        <is>
          <t>Open posting</t>
        </is>
      </c>
      <c r="K8" s="8" t="inlineStr">
        <is>
          <t>Python, SQL, API integration, and backend data pipeline experience closely match this junior 0-2 year data engineering role.</t>
        </is>
      </c>
      <c r="L8" s="17" t="inlineStr">
        <is>
          <t>new</t>
        </is>
      </c>
      <c r="M8" s="18" t="inlineStr"/>
      <c r="N8" s="7" t="inlineStr">
        <is>
          <t>06819d866830536a2f612df53be3d32627089eb3</t>
        </is>
      </c>
      <c r="O8" s="14" t="n"/>
      <c r="P8" s="7" t="inlineStr">
        <is>
          <t>jobspy</t>
        </is>
      </c>
      <c r="Q8" s="8" t="inlineStr">
        <is>
          <t>Python, SQL, API integration, MySQL, backend development</t>
        </is>
      </c>
      <c r="R8" s="8" t="inlineStr">
        <is>
          <t>Junior Data Engineer Python SQL MySQL</t>
        </is>
      </c>
      <c r="S8" s="19" t="n"/>
      <c r="T8" s="19" t="n"/>
      <c r="U8" s="14" t="n">
        <v>46195</v>
      </c>
      <c r="V8" s="7" t="inlineStr">
        <is>
          <t>v2-cv-accuracy-13b988b18da8ea7d</t>
        </is>
      </c>
    </row>
    <row r="9" ht="28" customHeight="1">
      <c r="A9" s="12">
        <f>IF($L9="applied","Applied",IF($L9="interview","Interview",IF($L9="offer","Offer",IF($L9="rejected","Rejected",IF($L9="ignore","Ignore",IF($L9="archive","Archive",IF($L9="closed","Closed",IF($B9="","Unscored",IF(AND($B9&gt;=8,OR($H9="",$H9-TODAY()&lt;=14)),"P1 Apply",IF($B9&gt;=7,"P2 Strong",IF($B9&gt;=5,"P3 Maybe","P4 Low")))))))))))</f>
        <v/>
      </c>
      <c r="B9" s="13" t="n">
        <v>7.5</v>
      </c>
      <c r="C9" s="12" t="inlineStr">
        <is>
          <t>Unspecified</t>
        </is>
      </c>
      <c r="D9" s="8" t="inlineStr">
        <is>
          <t>GPU Datapath Design Engineer</t>
        </is>
      </c>
      <c r="E9" s="7" t="inlineStr">
        <is>
          <t>Imagination Technologies</t>
        </is>
      </c>
      <c r="F9" s="8" t="inlineStr">
        <is>
          <t>Kings Langley, England, UK</t>
        </is>
      </c>
      <c r="G9" s="8" t="n"/>
      <c r="H9" s="14" t="n"/>
      <c r="I9" s="15">
        <f>IF($H9="","",$H9-TODAY())</f>
        <v/>
      </c>
      <c r="J9" s="16" t="inlineStr">
        <is>
          <t>Open posting</t>
        </is>
      </c>
      <c r="K9" s="8" t="inlineStr">
        <is>
          <t>FPGA/Verilog dissertation and digital design skills align well; no GPU-specific or ASIC experience, but training offered.</t>
        </is>
      </c>
      <c r="L9" s="17" t="inlineStr">
        <is>
          <t>new</t>
        </is>
      </c>
      <c r="M9" s="18" t="inlineStr"/>
      <c r="N9" s="7" t="inlineStr">
        <is>
          <t>d00bbbc4ca69b9bb8923cb0f10a4b434ea348ef2</t>
        </is>
      </c>
      <c r="O9" s="14" t="n">
        <v>46178</v>
      </c>
      <c r="P9" s="7" t="inlineStr">
        <is>
          <t>jobspy</t>
        </is>
      </c>
      <c r="Q9" s="8" t="inlineStr">
        <is>
          <t>Verilog, FPGA, Python, digital design, DSP</t>
        </is>
      </c>
      <c r="R9" s="8" t="inlineStr">
        <is>
          <t>Graduate FPGA Engineer Verilog Vivado</t>
        </is>
      </c>
      <c r="S9" s="19" t="n"/>
      <c r="T9" s="19" t="n"/>
      <c r="U9" s="14" t="n">
        <v>46194</v>
      </c>
      <c r="V9" s="7" t="inlineStr">
        <is>
          <t>v2-cv-accuracy-13b988b18da8ea7d</t>
        </is>
      </c>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7.5</v>
      </c>
      <c r="C10" s="12" t="inlineStr">
        <is>
          <t>Graduate/Entry</t>
        </is>
      </c>
      <c r="D10" s="8" t="inlineStr">
        <is>
          <t>Graduate R&amp;D Engineer – System &amp; Architecture</t>
        </is>
      </c>
      <c r="E10" s="7" t="inlineStr">
        <is>
          <t>Microchip Technology</t>
        </is>
      </c>
      <c r="F10" s="8" t="inlineStr">
        <is>
          <t>Whiteley, ENG, GB</t>
        </is>
      </c>
      <c r="G10" s="8" t="n"/>
      <c r="H10" s="14" t="n"/>
      <c r="I10" s="15">
        <f>IF($H10="","",$H10-TODAY())</f>
        <v/>
      </c>
      <c r="J10" s="16" t="inlineStr">
        <is>
          <t>Open posting</t>
        </is>
      </c>
      <c r="K10" s="8" t="inlineStr">
        <is>
          <t>Graduate/early-career role matching embedded firmware, signal processing, and hardware-software interface skills from candidate's profile.</t>
        </is>
      </c>
      <c r="L10" s="17" t="inlineStr">
        <is>
          <t>new</t>
        </is>
      </c>
      <c r="M10" s="18" t="inlineStr"/>
      <c r="N10" s="7" t="inlineStr">
        <is>
          <t>739a7a4fbff2e88cb93edf982e7e4550aea7d26c</t>
        </is>
      </c>
      <c r="O10" s="14" t="n">
        <v>46190</v>
      </c>
      <c r="P10" s="7" t="inlineStr">
        <is>
          <t>jobspy</t>
        </is>
      </c>
      <c r="Q10" s="8" t="inlineStr">
        <is>
          <t>embedded systems, C, STM32, signal processing, Python</t>
        </is>
      </c>
      <c r="R10" s="8" t="inlineStr">
        <is>
          <t>Graduate Systems Engineer embedded hardware software</t>
        </is>
      </c>
      <c r="S10" s="19" t="n"/>
      <c r="T10" s="19" t="n"/>
      <c r="U10" s="14" t="n">
        <v>46192</v>
      </c>
      <c r="V10" s="7" t="inlineStr">
        <is>
          <t>v2-cv-accuracy-13b988b18da8ea7d</t>
        </is>
      </c>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7.5</v>
      </c>
      <c r="C11" s="12" t="inlineStr">
        <is>
          <t>Unspecified</t>
        </is>
      </c>
      <c r="D11" s="8" t="inlineStr">
        <is>
          <t>Embedded Engineer - IoT Sensors &amp; Gateways / Smart Buildings</t>
        </is>
      </c>
      <c r="E11" s="7" t="inlineStr">
        <is>
          <t>Pressac Communications</t>
        </is>
      </c>
      <c r="F11" s="8" t="inlineStr">
        <is>
          <t>Nottingham, England, UK</t>
        </is>
      </c>
      <c r="G11" s="8" t="n"/>
      <c r="H11" s="14" t="n"/>
      <c r="I11" s="15">
        <f>IF($H11="","",$H11-TODAY())</f>
        <v/>
      </c>
      <c r="J11" s="16" t="inlineStr">
        <is>
          <t>Open posting</t>
        </is>
      </c>
      <c r="K11" s="8" t="inlineStr">
        <is>
          <t>Strong IoT/LoRaWAN, STM32, Raspberry Pi, and embedded C/Python match; missing commercial firmware experience and specific IDE tools (STM32 IDE, Keil).</t>
        </is>
      </c>
      <c r="L11" s="17" t="inlineStr">
        <is>
          <t>new</t>
        </is>
      </c>
      <c r="M11" s="18" t="inlineStr"/>
      <c r="N11" s="7" t="inlineStr">
        <is>
          <t>aae6ade6b34a2ad208b86b4d2dad8ba09445fbbe</t>
        </is>
      </c>
      <c r="O11" s="14" t="n">
        <v>46189</v>
      </c>
      <c r="P11" s="7" t="inlineStr">
        <is>
          <t>jobspy</t>
        </is>
      </c>
      <c r="Q11" s="8" t="inlineStr">
        <is>
          <t>LoRaWAN, STM32, Raspberry Pi, Python, embedded systems</t>
        </is>
      </c>
      <c r="R11" s="8" t="inlineStr">
        <is>
          <t>Junior Embedded Software Engineer STM32</t>
        </is>
      </c>
      <c r="S11" s="19" t="n"/>
      <c r="T11" s="19" t="n"/>
      <c r="U11" s="14" t="n">
        <v>46192</v>
      </c>
      <c r="V11" s="7" t="inlineStr">
        <is>
          <t>v2-cv-accuracy-13b988b18da8ea7d</t>
        </is>
      </c>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7.3</v>
      </c>
      <c r="C12" s="12" t="inlineStr">
        <is>
          <t>Unspecified</t>
        </is>
      </c>
      <c r="D12" s="8" t="inlineStr">
        <is>
          <t>Computer Engineering</t>
        </is>
      </c>
      <c r="E12" s="7" t="inlineStr">
        <is>
          <t>Alignerr</t>
        </is>
      </c>
      <c r="F12" s="8" t="inlineStr">
        <is>
          <t>Manchester, England, UK</t>
        </is>
      </c>
      <c r="G12" s="8" t="n"/>
      <c r="H12" s="14" t="n"/>
      <c r="I12" s="15">
        <f>IF($H12="","",$H12-TODAY())</f>
        <v/>
      </c>
      <c r="J12" s="16" t="inlineStr">
        <is>
          <t>Open posting</t>
        </is>
      </c>
      <c r="K12" s="8" t="inlineStr">
        <is>
          <t>Strong FPGA, Verilog, embedded systems, and IoT skills align; pursuing MEng meets 'Masters pursuing' requirement; freelance contract only.</t>
        </is>
      </c>
      <c r="L12" s="17" t="inlineStr">
        <is>
          <t>new</t>
        </is>
      </c>
      <c r="M12" s="18" t="inlineStr"/>
      <c r="N12" s="7" t="inlineStr">
        <is>
          <t>925fcb619fc33cf24860169a4c291257d865a046</t>
        </is>
      </c>
      <c r="O12" s="14" t="n">
        <v>46189</v>
      </c>
      <c r="P12" s="7" t="inlineStr">
        <is>
          <t>jobspy</t>
        </is>
      </c>
      <c r="Q12" s="8" t="inlineStr">
        <is>
          <t>FPGA, Verilog, embedded systems, IoT, digital design</t>
        </is>
      </c>
      <c r="R12" s="8" t="inlineStr">
        <is>
          <t>Graduate Computer Engineer digital design</t>
        </is>
      </c>
      <c r="S12" s="19" t="n"/>
      <c r="T12" s="19" t="n"/>
      <c r="U12" s="14" t="n">
        <v>46194</v>
      </c>
      <c r="V12" s="7" t="inlineStr">
        <is>
          <t>v2-cv-accuracy-13b988b18da8ea7d</t>
        </is>
      </c>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7.2</v>
      </c>
      <c r="C13" s="12" t="inlineStr">
        <is>
          <t>Unspecified</t>
        </is>
      </c>
      <c r="D13" s="8" t="inlineStr">
        <is>
          <t>Computer Engineering Expert - AI Content Specialist</t>
        </is>
      </c>
      <c r="E13" s="7" t="inlineStr">
        <is>
          <t>Alignerr</t>
        </is>
      </c>
      <c r="F13" s="8" t="inlineStr">
        <is>
          <t>Oxford, England, UK</t>
        </is>
      </c>
      <c r="G13" s="8" t="n"/>
      <c r="H13" s="14" t="n"/>
      <c r="I13" s="15">
        <f>IF($H13="","",$H13-TODAY())</f>
        <v/>
      </c>
      <c r="J13" s="16" t="inlineStr">
        <is>
          <t>Open posting</t>
        </is>
      </c>
      <c r="K13" s="8" t="inlineStr">
        <is>
          <t>MEng in ECE (pursuing Masters-level), FPGA/Verilog/embedded systems match well; contract/hourly role not a graduate permanent position.</t>
        </is>
      </c>
      <c r="L13" s="17" t="inlineStr">
        <is>
          <t>new</t>
        </is>
      </c>
      <c r="M13" s="18" t="inlineStr"/>
      <c r="N13" s="7" t="inlineStr">
        <is>
          <t>5b302bdc4392578b1e67cf6b53ca56f4c547210d</t>
        </is>
      </c>
      <c r="O13" s="14" t="n">
        <v>46191</v>
      </c>
      <c r="P13" s="7" t="inlineStr">
        <is>
          <t>jobspy</t>
        </is>
      </c>
      <c r="Q13" s="8" t="inlineStr">
        <is>
          <t>FPGA, Verilog, embedded systems, digital design, SolidWorks</t>
        </is>
      </c>
      <c r="R13" s="8" t="inlineStr">
        <is>
          <t>Graduate Computer Engineer digital design</t>
        </is>
      </c>
      <c r="S13" s="19" t="n"/>
      <c r="T13" s="19" t="n"/>
      <c r="U13" s="14" t="n">
        <v>46194</v>
      </c>
      <c r="V13" s="7" t="inlineStr">
        <is>
          <t>v2-cv-accuracy-13b988b18da8ea7d</t>
        </is>
      </c>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7.2</v>
      </c>
      <c r="C14" s="12" t="inlineStr">
        <is>
          <t>Unspecified</t>
        </is>
      </c>
      <c r="D14" s="8" t="inlineStr">
        <is>
          <t>Computer Engineering Expert - AI Content Specialist</t>
        </is>
      </c>
      <c r="E14" s="7" t="inlineStr">
        <is>
          <t>Alignerr</t>
        </is>
      </c>
      <c r="F14" s="8" t="inlineStr">
        <is>
          <t>Birmingham, England, UK</t>
        </is>
      </c>
      <c r="G14" s="8" t="n"/>
      <c r="H14" s="14" t="n"/>
      <c r="I14" s="15">
        <f>IF($H14="","",$H14-TODAY())</f>
        <v/>
      </c>
      <c r="J14" s="16" t="inlineStr">
        <is>
          <t>Open posting</t>
        </is>
      </c>
      <c r="K14" s="8" t="inlineStr">
        <is>
          <t>MEng in ECE (pursuing Masters-level), FPGA/Verilog/embedded systems match well; contract/hourly role not a graduate permanent position.</t>
        </is>
      </c>
      <c r="L14" s="17" t="inlineStr">
        <is>
          <t>new</t>
        </is>
      </c>
      <c r="M14" s="18" t="inlineStr"/>
      <c r="N14" s="7" t="inlineStr">
        <is>
          <t>4ada3c9d583603a2f905958297b3e23d04acb4bf</t>
        </is>
      </c>
      <c r="O14" s="14" t="n">
        <v>46191</v>
      </c>
      <c r="P14" s="7" t="inlineStr">
        <is>
          <t>jobspy</t>
        </is>
      </c>
      <c r="Q14" s="8" t="inlineStr">
        <is>
          <t>FPGA, Verilog, embedded systems, digital design, SolidWorks</t>
        </is>
      </c>
      <c r="R14" s="8" t="inlineStr">
        <is>
          <t>Graduate Computer Engineer digital design</t>
        </is>
      </c>
      <c r="S14" s="19" t="n"/>
      <c r="T14" s="19" t="n"/>
      <c r="U14" s="14" t="n">
        <v>46194</v>
      </c>
      <c r="V14" s="7" t="inlineStr">
        <is>
          <t>v2-cv-accuracy-13b988b18da8ea7d</t>
        </is>
      </c>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7.2</v>
      </c>
      <c r="C15" s="12" t="inlineStr">
        <is>
          <t>Unspecified</t>
        </is>
      </c>
      <c r="D15" s="8" t="inlineStr">
        <is>
          <t>Computer Engineering</t>
        </is>
      </c>
      <c r="E15" s="7" t="inlineStr">
        <is>
          <t>Alignerr</t>
        </is>
      </c>
      <c r="F15" s="8" t="inlineStr">
        <is>
          <t>Birmingham, England, UK</t>
        </is>
      </c>
      <c r="G15" s="8" t="n"/>
      <c r="H15" s="14" t="n"/>
      <c r="I15" s="15">
        <f>IF($H15="","",$H15-TODAY())</f>
        <v/>
      </c>
      <c r="J15" s="16" t="inlineStr">
        <is>
          <t>Open posting</t>
        </is>
      </c>
      <c r="K15" s="8" t="inlineStr">
        <is>
          <t>FPGA, Verilog, embedded systems, and IoT match core JD domains; MEng satisfies degree requirement; hourly contract not a graduate role.</t>
        </is>
      </c>
      <c r="L15" s="17" t="inlineStr">
        <is>
          <t>new</t>
        </is>
      </c>
      <c r="M15" s="18" t="inlineStr"/>
      <c r="N15" s="7" t="inlineStr">
        <is>
          <t>293e437b19ac5c627215558adf56744130a51fb4</t>
        </is>
      </c>
      <c r="O15" s="14" t="n">
        <v>46188</v>
      </c>
      <c r="P15" s="7" t="inlineStr">
        <is>
          <t>jobspy</t>
        </is>
      </c>
      <c r="Q15" s="8" t="inlineStr">
        <is>
          <t>FPGA, Verilog, embedded systems, IoT, SolidWorks</t>
        </is>
      </c>
      <c r="R15" s="8" t="inlineStr">
        <is>
          <t>Graduate Computer Engineer digital design</t>
        </is>
      </c>
      <c r="S15" s="19" t="n"/>
      <c r="T15" s="19" t="n"/>
      <c r="U15" s="14" t="n">
        <v>46194</v>
      </c>
      <c r="V15" s="7" t="inlineStr">
        <is>
          <t>v2-cv-accuracy-13b988b18da8ea7d</t>
        </is>
      </c>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7.2</v>
      </c>
      <c r="C16" s="12" t="inlineStr">
        <is>
          <t>Unspecified</t>
        </is>
      </c>
      <c r="D16" s="8" t="inlineStr">
        <is>
          <t>Computer Engineering</t>
        </is>
      </c>
      <c r="E16" s="7" t="inlineStr">
        <is>
          <t>Alignerr</t>
        </is>
      </c>
      <c r="F16" s="8" t="inlineStr">
        <is>
          <t>Edinburgh, Scotland, UK</t>
        </is>
      </c>
      <c r="G16" s="8" t="n"/>
      <c r="H16" s="14" t="n"/>
      <c r="I16" s="15">
        <f>IF($H16="","",$H16-TODAY())</f>
        <v/>
      </c>
      <c r="J16" s="16" t="inlineStr">
        <is>
          <t>Open posting</t>
        </is>
      </c>
      <c r="K16" s="8" t="inlineStr">
        <is>
          <t>FPGA, Verilog, embedded systems, and IoT match core JD domains; MEng satisfies degree requirement; hourly contract not a graduate role.</t>
        </is>
      </c>
      <c r="L16" s="17" t="inlineStr">
        <is>
          <t>new</t>
        </is>
      </c>
      <c r="M16" s="18" t="inlineStr"/>
      <c r="N16" s="7" t="inlineStr">
        <is>
          <t>6b8e2c2d38d8288a7329fdc7855bae1467ecb3a1</t>
        </is>
      </c>
      <c r="O16" s="14" t="n">
        <v>46188</v>
      </c>
      <c r="P16" s="7" t="inlineStr">
        <is>
          <t>jobspy</t>
        </is>
      </c>
      <c r="Q16" s="8" t="inlineStr">
        <is>
          <t>FPGA, Verilog, embedded systems, IoT, SolidWorks</t>
        </is>
      </c>
      <c r="R16" s="8" t="inlineStr">
        <is>
          <t>Graduate Computer Engineer digital design</t>
        </is>
      </c>
      <c r="S16" s="19" t="n"/>
      <c r="T16" s="19" t="n"/>
      <c r="U16" s="14" t="n">
        <v>46194</v>
      </c>
      <c r="V16" s="7" t="inlineStr">
        <is>
          <t>v2-cv-accuracy-13b988b18da8ea7d</t>
        </is>
      </c>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7.2</v>
      </c>
      <c r="C17" s="12" t="inlineStr">
        <is>
          <t>Junior</t>
        </is>
      </c>
      <c r="D17" s="8" t="inlineStr">
        <is>
          <t>Digital Design Engineer (AP)</t>
        </is>
      </c>
      <c r="E17" s="7" t="inlineStr">
        <is>
          <t>Cirrus Logic</t>
        </is>
      </c>
      <c r="F17" s="8" t="inlineStr">
        <is>
          <t>Edinburgh, Scotland, UK</t>
        </is>
      </c>
      <c r="G17" s="8" t="n"/>
      <c r="H17" s="14" t="n"/>
      <c r="I17" s="15">
        <f>IF($H17="","",$H17-TODAY())</f>
        <v/>
      </c>
      <c r="J17" s="16" t="inlineStr">
        <is>
          <t>Open posting</t>
        </is>
      </c>
      <c r="K17" s="8" t="inlineStr">
        <is>
          <t>Verilog and FPGA skills match well; gaps in SystemVerilog, synthesis flows, CDC tools, and Edinburgh location adds friction.</t>
        </is>
      </c>
      <c r="L17" s="17" t="inlineStr">
        <is>
          <t>new</t>
        </is>
      </c>
      <c r="M17" s="18" t="inlineStr"/>
      <c r="N17" s="7" t="inlineStr">
        <is>
          <t>a1cc467249a00aa9b92d12e7648d43e8f69f41e6</t>
        </is>
      </c>
      <c r="O17" s="14" t="n">
        <v>46182</v>
      </c>
      <c r="P17" s="7" t="inlineStr">
        <is>
          <t>jobspy</t>
        </is>
      </c>
      <c r="Q17" s="8" t="inlineStr">
        <is>
          <t>Verilog, FPGA, Vivado, digital design, DSP</t>
        </is>
      </c>
      <c r="R17" s="8" t="inlineStr">
        <is>
          <t>Graduate Digital Design Engineer FPGA</t>
        </is>
      </c>
      <c r="S17" s="19" t="n"/>
      <c r="T17" s="19" t="n"/>
      <c r="U17" s="14" t="n">
        <v>46193</v>
      </c>
      <c r="V17" s="7" t="inlineStr">
        <is>
          <t>v2-cv-accuracy-13b988b18da8ea7d</t>
        </is>
      </c>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7.2</v>
      </c>
      <c r="C18" s="12" t="inlineStr">
        <is>
          <t>Senior/Lead</t>
        </is>
      </c>
      <c r="D18" s="8" t="inlineStr">
        <is>
          <t>Software Engineer</t>
        </is>
      </c>
      <c r="E18" s="7" t="inlineStr">
        <is>
          <t>Crowder Consulting</t>
        </is>
      </c>
      <c r="F18" s="8" t="inlineStr">
        <is>
          <t>Birkenhead, ENG, GB</t>
        </is>
      </c>
      <c r="G18" s="8" t="n"/>
      <c r="H18" s="14" t="n"/>
      <c r="I18" s="15">
        <f>IF($H18="","",$H18-TODAY())</f>
        <v/>
      </c>
      <c r="J18" s="16" t="inlineStr">
        <is>
          <t>Open posting</t>
        </is>
      </c>
      <c r="K18" s="8" t="inlineStr">
        <is>
          <t>Python, SQL, Docker, REST APIs, and backend dev match well; no Java or cloud-platform experience evident in profile.</t>
        </is>
      </c>
      <c r="L18" s="17" t="inlineStr">
        <is>
          <t>new</t>
        </is>
      </c>
      <c r="M18" s="18" t="inlineStr"/>
      <c r="N18" s="7" t="inlineStr">
        <is>
          <t>8bae9f5a399a163efc3fbe14a19862a5fa85f27a</t>
        </is>
      </c>
      <c r="O18" s="14" t="n">
        <v>46183</v>
      </c>
      <c r="P18" s="7" t="inlineStr">
        <is>
          <t>jobspy</t>
        </is>
      </c>
      <c r="Q18" s="8" t="inlineStr">
        <is>
          <t>Python, SQL, Docker, MySQL, REST APIs</t>
        </is>
      </c>
      <c r="R18" s="8" t="inlineStr">
        <is>
          <t>Graduate Software Engineer Python Docker</t>
        </is>
      </c>
      <c r="S18" s="19" t="n"/>
      <c r="T18" s="19" t="n"/>
      <c r="U18" s="14" t="n">
        <v>46193</v>
      </c>
      <c r="V18" s="7" t="inlineStr">
        <is>
          <t>v2-cv-accuracy-13b988b18da8ea7d</t>
        </is>
      </c>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7.2</v>
      </c>
      <c r="C19" s="12" t="inlineStr">
        <is>
          <t>Mid-level</t>
        </is>
      </c>
      <c r="D19" s="8" t="inlineStr">
        <is>
          <t>Verification Engineer (f/m/d)</t>
        </is>
      </c>
      <c r="E19" s="7" t="inlineStr">
        <is>
          <t>Renesas</t>
        </is>
      </c>
      <c r="F19" s="8" t="inlineStr">
        <is>
          <t>Edinburgh, SCT, GB</t>
        </is>
      </c>
      <c r="G19" s="8" t="n"/>
      <c r="H19" s="14" t="n"/>
      <c r="I19" s="15">
        <f>IF($H19="","",$H19-TODAY())</f>
        <v/>
      </c>
      <c r="J19" s="16" t="inlineStr">
        <is>
          <t>Open posting</t>
        </is>
      </c>
      <c r="K19" s="8" t="inlineStr">
        <is>
          <t>FPGA dissertation, Verilog, digital design, and Git strongly match; SystemVerilog/UVM not explicitly evidenced but role accepts academic FPGA experience.</t>
        </is>
      </c>
      <c r="L19" s="17" t="inlineStr">
        <is>
          <t>new</t>
        </is>
      </c>
      <c r="M19" s="18" t="inlineStr"/>
      <c r="N19" s="7" t="inlineStr">
        <is>
          <t>656ebc383881b04d4b39edc8c7c8498c5a04a43f</t>
        </is>
      </c>
      <c r="O19" s="14" t="n">
        <v>46185</v>
      </c>
      <c r="P19" s="7" t="inlineStr">
        <is>
          <t>jobspy</t>
        </is>
      </c>
      <c r="Q19" s="8" t="inlineStr">
        <is>
          <t>Verilog, FPGA, digital design, Python, Git</t>
        </is>
      </c>
      <c r="R19" s="8" t="inlineStr">
        <is>
          <t>Digital Design Engineer FPGA Verilog</t>
        </is>
      </c>
      <c r="S19" s="19" t="n"/>
      <c r="T19" s="19" t="n"/>
      <c r="U19" s="14" t="n">
        <v>46193</v>
      </c>
      <c r="V19" s="7" t="inlineStr">
        <is>
          <t>v2-cv-accuracy-13b988b18da8ea7d</t>
        </is>
      </c>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7</v>
      </c>
      <c r="C20" s="12" t="inlineStr">
        <is>
          <t>Junior</t>
        </is>
      </c>
      <c r="D20" s="8" t="inlineStr">
        <is>
          <t>Manchester - Junior Developer - Elevate Programme</t>
        </is>
      </c>
      <c r="E20" s="7" t="inlineStr">
        <is>
          <t>Vantage Point Global</t>
        </is>
      </c>
      <c r="F20" s="8" t="inlineStr">
        <is>
          <t>Manchester, England, UK</t>
        </is>
      </c>
      <c r="G20" s="8" t="n"/>
      <c r="H20" s="14" t="n"/>
      <c r="I20" s="15">
        <f>IF($H20="","",$H20-TODAY())</f>
        <v/>
      </c>
      <c r="J20" s="16" t="inlineStr">
        <is>
          <t>Open posting</t>
        </is>
      </c>
      <c r="K20" s="8" t="inlineStr">
        <is>
          <t>Junior developer role matching experience level; JavaScript, APIs, SQL, and databases align well, though enterprise/consultancy platform focus is a gap.</t>
        </is>
      </c>
      <c r="L20" s="17" t="inlineStr">
        <is>
          <t>new</t>
        </is>
      </c>
      <c r="M20" s="18" t="inlineStr"/>
      <c r="N20" s="7" t="inlineStr">
        <is>
          <t>49d744a689360e4fd2e2433a67a0579f5163bc2a</t>
        </is>
      </c>
      <c r="O20" s="14" t="n">
        <v>46190</v>
      </c>
      <c r="P20" s="7" t="inlineStr">
        <is>
          <t>jobspy</t>
        </is>
      </c>
      <c r="Q20" s="8" t="inlineStr">
        <is>
          <t>JavaScript, SQL, API integration, Git, backend development</t>
        </is>
      </c>
      <c r="R20" s="8" t="inlineStr">
        <is>
          <t>Graduate Verification Engineer digital design</t>
        </is>
      </c>
      <c r="S20" s="19" t="n"/>
      <c r="T20" s="19" t="n"/>
      <c r="U20" s="14" t="n">
        <v>46194</v>
      </c>
      <c r="V20" s="7" t="inlineStr">
        <is>
          <t>v2-cv-accuracy-13b988b18da8ea7d</t>
        </is>
      </c>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7</v>
      </c>
      <c r="C21" s="12" t="inlineStr">
        <is>
          <t>Junior</t>
        </is>
      </c>
      <c r="D21" s="8" t="inlineStr">
        <is>
          <t>Junior Full Stack Developer</t>
        </is>
      </c>
      <c r="E21" s="7" t="inlineStr">
        <is>
          <t>Haystack</t>
        </is>
      </c>
      <c r="F21" s="8" t="inlineStr">
        <is>
          <t>London, England, UK</t>
        </is>
      </c>
      <c r="G21" s="8" t="n"/>
      <c r="H21" s="14" t="n"/>
      <c r="I21" s="15">
        <f>IF($H21="","",$H21-TODAY())</f>
        <v/>
      </c>
      <c r="J21" s="16" t="inlineStr">
        <is>
          <t>Open posting</t>
        </is>
      </c>
      <c r="K21" s="8" t="inlineStr">
        <is>
          <t>JavaScript, React, Node.js, APIs and AWS match adjacent skills; fully remote suits profile; limited JD detail on seniority requirements.</t>
        </is>
      </c>
      <c r="L21" s="17" t="inlineStr">
        <is>
          <t>new</t>
        </is>
      </c>
      <c r="M21" s="18" t="inlineStr"/>
      <c r="N21" s="7" t="inlineStr">
        <is>
          <t>eacb8ba7c567f6e07699dc4724081786e55aecf1</t>
        </is>
      </c>
      <c r="O21" s="14" t="n"/>
      <c r="P21" s="7" t="inlineStr">
        <is>
          <t>jobspy</t>
        </is>
      </c>
      <c r="Q21" s="8" t="inlineStr">
        <is>
          <t>JavaScript, React, Node.js, REST APIs, AWS</t>
        </is>
      </c>
      <c r="R21" s="8" t="inlineStr">
        <is>
          <t>junior Graduate Software Developer</t>
        </is>
      </c>
      <c r="S21" s="19" t="n"/>
      <c r="T21" s="19" t="n"/>
      <c r="U21" s="14" t="n">
        <v>46192</v>
      </c>
      <c r="V21" s="7" t="inlineStr">
        <is>
          <t>v2-cv-accuracy-13b988b18da8ea7d</t>
        </is>
      </c>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7</v>
      </c>
      <c r="C22" s="12" t="inlineStr">
        <is>
          <t>Mid-level</t>
        </is>
      </c>
      <c r="D22" s="8" t="inlineStr">
        <is>
          <t>Software Engineer - Graduates Considered</t>
        </is>
      </c>
      <c r="E22" s="7" t="inlineStr">
        <is>
          <t>RedTech Recruitment</t>
        </is>
      </c>
      <c r="F22" s="8" t="inlineStr">
        <is>
          <t>London Area, United Kingdom</t>
        </is>
      </c>
      <c r="G22" s="8" t="n"/>
      <c r="H22" s="14" t="n"/>
      <c r="I22" s="15">
        <f>IF($H22="","",$H22-TODAY())</f>
        <v/>
      </c>
      <c r="J22" s="16" t="inlineStr">
        <is>
          <t>Open posting</t>
        </is>
      </c>
      <c r="K22" s="8" t="inlineStr">
        <is>
          <t>Graduate-level Python role matching core skills; Cambridge/London location is outside 60-mile radius but hybrid is partial mitigation.</t>
        </is>
      </c>
      <c r="L22" s="17" t="inlineStr">
        <is>
          <t>new</t>
        </is>
      </c>
      <c r="M22" s="18" t="inlineStr"/>
      <c r="N22" s="7" t="inlineStr">
        <is>
          <t>845cfaa77fa2493790127833cc58821b2ef358c5</t>
        </is>
      </c>
      <c r="O22" s="14" t="n"/>
      <c r="P22" s="7" t="inlineStr">
        <is>
          <t>jobspy</t>
        </is>
      </c>
      <c r="Q22" s="8" t="inlineStr">
        <is>
          <t>Python, Docker, JavaScript, Git</t>
        </is>
      </c>
      <c r="R22" s="8" t="inlineStr">
        <is>
          <t>Junior Python Developer Docker Kubernetes Sheffield</t>
        </is>
      </c>
      <c r="S22" s="19" t="n"/>
      <c r="T22" s="19" t="n"/>
      <c r="U22" s="14" t="n">
        <v>46192</v>
      </c>
      <c r="V22" s="7" t="inlineStr">
        <is>
          <t>v2-cv-accuracy-13b988b18da8ea7d</t>
        </is>
      </c>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7</v>
      </c>
      <c r="C23" s="12" t="inlineStr">
        <is>
          <t>Graduate/Entry</t>
        </is>
      </c>
      <c r="D23" s="8" t="inlineStr">
        <is>
          <t>Graduate Validation Engineer</t>
        </is>
      </c>
      <c r="E23" s="7" t="inlineStr">
        <is>
          <t>Cirrus Logic</t>
        </is>
      </c>
      <c r="F23" s="8" t="inlineStr">
        <is>
          <t>Edinburgh, Scotland, UK</t>
        </is>
      </c>
      <c r="G23" s="8" t="n"/>
      <c r="H23" s="14" t="n"/>
      <c r="I23" s="15">
        <f>IF($H23="","",$H23-TODAY())</f>
        <v/>
      </c>
      <c r="J23" s="16" t="inlineStr">
        <is>
          <t>Open posting</t>
        </is>
      </c>
      <c r="K23" s="8" t="inlineStr">
        <is>
          <t>Graduate validation role suits experience level; Python, FPGA, digital/mixed-signal debugging align, though PCB design and LabVIEW are minor gaps.</t>
        </is>
      </c>
      <c r="L23" s="17" t="inlineStr">
        <is>
          <t>new</t>
        </is>
      </c>
      <c r="M23" s="18" t="inlineStr"/>
      <c r="N23" s="7" t="inlineStr">
        <is>
          <t>3cd185f1454f7f595f7f6679e2076489236211aa</t>
        </is>
      </c>
      <c r="O23" s="14" t="n">
        <v>46170</v>
      </c>
      <c r="P23" s="7" t="inlineStr">
        <is>
          <t>jobspy</t>
        </is>
      </c>
      <c r="Q23" s="8" t="inlineStr">
        <is>
          <t>Python, FPGA, digital design, embedded systems, signal processing</t>
        </is>
      </c>
      <c r="R23" s="8" t="inlineStr">
        <is>
          <t>Graduate Verification Engineer Verilog digital</t>
        </is>
      </c>
      <c r="S23" s="19" t="n"/>
      <c r="T23" s="19" t="n"/>
      <c r="U23" s="14" t="n">
        <v>46192</v>
      </c>
      <c r="V23" s="7" t="inlineStr">
        <is>
          <t>v2-cv-accuracy-13b988b18da8ea7d</t>
        </is>
      </c>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6.5</v>
      </c>
      <c r="C24" s="12" t="inlineStr">
        <is>
          <t>Graduate/Entry</t>
        </is>
      </c>
      <c r="D24" s="8" t="inlineStr">
        <is>
          <t>Graduate R&amp;D Engineer – System &amp; Architecture</t>
        </is>
      </c>
      <c r="E24" s="7" t="inlineStr">
        <is>
          <t>Microchip Technology Inc.</t>
        </is>
      </c>
      <c r="F24" s="8" t="inlineStr">
        <is>
          <t>Whiteley, England, UK</t>
        </is>
      </c>
      <c r="G24" s="8" t="n"/>
      <c r="H24" s="14" t="n"/>
      <c r="I24" s="15">
        <f>IF($H24="","",$H24-TODAY())</f>
        <v/>
      </c>
      <c r="J24" s="16" t="inlineStr">
        <is>
          <t>Open posting</t>
        </is>
      </c>
      <c r="K24" s="8" t="inlineStr">
        <is>
          <t>Embedded firmware and signal processing align well; analogue/capacitive sensing expertise is a gap not evidenced in profile.</t>
        </is>
      </c>
      <c r="L24" s="17" t="inlineStr">
        <is>
          <t>new</t>
        </is>
      </c>
      <c r="M24" s="18" t="inlineStr"/>
      <c r="N24" s="7" t="inlineStr">
        <is>
          <t>1bba1621a27c81939832e15f49a5a0f64e74cb5e</t>
        </is>
      </c>
      <c r="O24" s="14" t="n"/>
      <c r="P24" s="7" t="inlineStr">
        <is>
          <t>jobspy</t>
        </is>
      </c>
      <c r="Q24" s="8" t="inlineStr">
        <is>
          <t>embedded systems, digital design, signal processing, C, DSP</t>
        </is>
      </c>
      <c r="R24" s="8" t="inlineStr">
        <is>
          <t>Graduate Systems Engineer hardware software Sheffield</t>
        </is>
      </c>
      <c r="S24" s="19" t="n"/>
      <c r="T24" s="19" t="n"/>
      <c r="U24" s="14" t="n">
        <v>46196</v>
      </c>
      <c r="V24" s="7" t="inlineStr">
        <is>
          <t>v2-cv-accuracy-13b988b18da8ea7d</t>
        </is>
      </c>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6.5</v>
      </c>
      <c r="C25" s="12" t="inlineStr">
        <is>
          <t>Senior/Lead</t>
        </is>
      </c>
      <c r="D25" s="8" t="inlineStr">
        <is>
          <t>Software Engineer</t>
        </is>
      </c>
      <c r="E25" s="7" t="inlineStr">
        <is>
          <t>Venn Telecom</t>
        </is>
      </c>
      <c r="F25" s="8" t="inlineStr">
        <is>
          <t>Exeter, England, UK</t>
        </is>
      </c>
      <c r="G25" s="8" t="n"/>
      <c r="H25" s="14" t="n"/>
      <c r="I25" s="15">
        <f>IF($H25="","",$H25-TODAY())</f>
        <v/>
      </c>
      <c r="J25" s="16" t="inlineStr">
        <is>
          <t>Open posting</t>
        </is>
      </c>
      <c r="K25" s="8" t="inlineStr">
        <is>
          <t>Python, SQL, Docker, Node.js, and backend dev match well, but Exeter location is outside 60-mile radius and no cloud platform experience evidenced.</t>
        </is>
      </c>
      <c r="L25" s="17" t="inlineStr">
        <is>
          <t>new</t>
        </is>
      </c>
      <c r="M25" s="18" t="inlineStr"/>
      <c r="N25" s="7" t="inlineStr">
        <is>
          <t>ecebc3e7669434abafc4e4ebf5461fd3200ec838</t>
        </is>
      </c>
      <c r="O25" s="14" t="n">
        <v>46183</v>
      </c>
      <c r="P25" s="7" t="inlineStr">
        <is>
          <t>jobspy</t>
        </is>
      </c>
      <c r="Q25" s="8" t="inlineStr">
        <is>
          <t>Python, SQL, Docker, MySQL, Node.js</t>
        </is>
      </c>
      <c r="R25" s="8" t="inlineStr">
        <is>
          <t>Graduate Software Engineer Python backend</t>
        </is>
      </c>
      <c r="S25" s="19" t="n"/>
      <c r="T25" s="19" t="n"/>
      <c r="U25" s="14" t="n">
        <v>46195</v>
      </c>
      <c r="V25" s="7" t="inlineStr">
        <is>
          <t>v2-cv-accuracy-13b988b18da8ea7d</t>
        </is>
      </c>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6.5</v>
      </c>
      <c r="C26" s="12" t="inlineStr">
        <is>
          <t>Unspecified</t>
        </is>
      </c>
      <c r="D26" s="8" t="inlineStr">
        <is>
          <t>Computer Engineering</t>
        </is>
      </c>
      <c r="E26" s="7" t="inlineStr">
        <is>
          <t>Alignerr</t>
        </is>
      </c>
      <c r="F26" s="8" t="inlineStr">
        <is>
          <t>Cambridge, England, UK</t>
        </is>
      </c>
      <c r="G26" s="8" t="n"/>
      <c r="H26" s="14" t="n"/>
      <c r="I26" s="15">
        <f>IF($H26="","",$H26-TODAY())</f>
        <v/>
      </c>
      <c r="J26" s="16" t="inlineStr">
        <is>
          <t>Open posting</t>
        </is>
      </c>
      <c r="K26" s="8" t="inlineStr">
        <is>
          <t>FPGA/Verilog dissertation, embedded systems, and digital design directly match core duties; MEng pursuing satisfies advanced degree requirement.</t>
        </is>
      </c>
      <c r="L26" s="17" t="inlineStr">
        <is>
          <t>new</t>
        </is>
      </c>
      <c r="M26" s="18" t="inlineStr"/>
      <c r="N26" s="7" t="inlineStr">
        <is>
          <t>c3110f690efa5200346d49a4b255139a6e4b9afb</t>
        </is>
      </c>
      <c r="O26" s="14" t="n">
        <v>46192</v>
      </c>
      <c r="P26" s="7" t="inlineStr">
        <is>
          <t>jobspy</t>
        </is>
      </c>
      <c r="Q26" s="8" t="inlineStr">
        <is>
          <t>FPGA, Verilog, embedded systems, digital design, SolidWorks</t>
        </is>
      </c>
      <c r="R26" s="8" t="inlineStr">
        <is>
          <t>Graduate Computer Engineer digital design</t>
        </is>
      </c>
      <c r="S26" s="19" t="n"/>
      <c r="T26" s="19" t="n"/>
      <c r="U26" s="14" t="n">
        <v>46194</v>
      </c>
      <c r="V26" s="7" t="inlineStr">
        <is>
          <t>v2-cv-accuracy-13b988b18da8ea7d</t>
        </is>
      </c>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6.5</v>
      </c>
      <c r="C27" s="12" t="inlineStr">
        <is>
          <t>Unspecified</t>
        </is>
      </c>
      <c r="D27" s="8" t="inlineStr">
        <is>
          <t>Computer Engineering Expert - AI Content Specialist</t>
        </is>
      </c>
      <c r="E27" s="7" t="inlineStr">
        <is>
          <t>Alignerr</t>
        </is>
      </c>
      <c r="F27" s="8" t="inlineStr">
        <is>
          <t>London, England, UK</t>
        </is>
      </c>
      <c r="G27" s="8" t="n"/>
      <c r="H27" s="14" t="n"/>
      <c r="I27" s="15">
        <f>IF($H27="","",$H27-TODAY())</f>
        <v/>
      </c>
      <c r="J27" s="16" t="inlineStr">
        <is>
          <t>Open posting</t>
        </is>
      </c>
      <c r="K27" s="8" t="inlineStr">
        <is>
          <t>Same role as above; FPGA, Verilog, embedded systems, and digital logic design strongly align with content specialist requirements.</t>
        </is>
      </c>
      <c r="L27" s="17" t="inlineStr">
        <is>
          <t>new</t>
        </is>
      </c>
      <c r="M27" s="18" t="inlineStr"/>
      <c r="N27" s="7" t="inlineStr">
        <is>
          <t>5ca07c5cf62fb84fc42f4f548049e21619607a4f</t>
        </is>
      </c>
      <c r="O27" s="14" t="n">
        <v>46191</v>
      </c>
      <c r="P27" s="7" t="inlineStr">
        <is>
          <t>jobspy</t>
        </is>
      </c>
      <c r="Q27" s="8" t="inlineStr">
        <is>
          <t>FPGA, Verilog, embedded systems, digital design, SolidWorks</t>
        </is>
      </c>
      <c r="R27" s="8" t="inlineStr">
        <is>
          <t>Graduate Computer Engineer digital design</t>
        </is>
      </c>
      <c r="S27" s="19" t="n"/>
      <c r="T27" s="19" t="n"/>
      <c r="U27" s="14" t="n">
        <v>46194</v>
      </c>
      <c r="V27" s="7" t="inlineStr">
        <is>
          <t>v2-cv-accuracy-13b988b18da8ea7d</t>
        </is>
      </c>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6.5</v>
      </c>
      <c r="C28" s="12" t="inlineStr">
        <is>
          <t>Unspecified</t>
        </is>
      </c>
      <c r="D28" s="8" t="inlineStr">
        <is>
          <t>Computer Engineering</t>
        </is>
      </c>
      <c r="E28" s="7" t="inlineStr">
        <is>
          <t>Alignerr</t>
        </is>
      </c>
      <c r="F28" s="8" t="inlineStr">
        <is>
          <t>Oxford, England, UK</t>
        </is>
      </c>
      <c r="G28" s="8" t="n"/>
      <c r="H28" s="14" t="n"/>
      <c r="I28" s="15">
        <f>IF($H28="","",$H28-TODAY())</f>
        <v/>
      </c>
      <c r="J28" s="16" t="inlineStr">
        <is>
          <t>Open posting</t>
        </is>
      </c>
      <c r="K28" s="8" t="inlineStr">
        <is>
          <t>FPGA, Verilog, embedded systems, and MEng (pursuing) match well; contract/hourly pay and non-UK currency are minor concerns.</t>
        </is>
      </c>
      <c r="L28" s="17" t="inlineStr">
        <is>
          <t>new</t>
        </is>
      </c>
      <c r="M28" s="18" t="inlineStr"/>
      <c r="N28" s="7" t="inlineStr">
        <is>
          <t>60dec6dfcbf74ff2e76b42a15d50a130e991e554</t>
        </is>
      </c>
      <c r="O28" s="14" t="n">
        <v>46188</v>
      </c>
      <c r="P28" s="7" t="inlineStr">
        <is>
          <t>jobspy</t>
        </is>
      </c>
      <c r="Q28" s="8" t="inlineStr">
        <is>
          <t>FPGA, Verilog, embedded systems, digital design, SolidWorks</t>
        </is>
      </c>
      <c r="R28" s="8" t="inlineStr">
        <is>
          <t>Graduate Computer Engineer digital design</t>
        </is>
      </c>
      <c r="S28" s="19" t="n"/>
      <c r="T28" s="19" t="n"/>
      <c r="U28" s="14" t="n">
        <v>46194</v>
      </c>
      <c r="V28" s="7" t="inlineStr">
        <is>
          <t>v2-cv-accuracy-13b988b18da8ea7d</t>
        </is>
      </c>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6.5</v>
      </c>
      <c r="C29" s="12" t="inlineStr">
        <is>
          <t>Unspecified</t>
        </is>
      </c>
      <c r="D29" s="8" t="inlineStr">
        <is>
          <t>Computer Engineering</t>
        </is>
      </c>
      <c r="E29" s="7" t="inlineStr">
        <is>
          <t>Alignerr</t>
        </is>
      </c>
      <c r="F29" s="8" t="inlineStr">
        <is>
          <t>London, England, UK</t>
        </is>
      </c>
      <c r="G29" s="8" t="n"/>
      <c r="H29" s="14" t="n"/>
      <c r="I29" s="15">
        <f>IF($H29="","",$H29-TODAY())</f>
        <v/>
      </c>
      <c r="J29" s="16" t="inlineStr">
        <is>
          <t>Open posting</t>
        </is>
      </c>
      <c r="K29" s="8" t="inlineStr">
        <is>
          <t>FPGA, Verilog, embedded systems, and MEng (pursuing) match well; contract/hourly pay and non-UK currency are minor concerns.</t>
        </is>
      </c>
      <c r="L29" s="17" t="inlineStr">
        <is>
          <t>new</t>
        </is>
      </c>
      <c r="M29" s="18" t="inlineStr"/>
      <c r="N29" s="7" t="inlineStr">
        <is>
          <t>93cab7b860353c713f6fdb5853b08a434ddc3dfa</t>
        </is>
      </c>
      <c r="O29" s="14" t="n">
        <v>46188</v>
      </c>
      <c r="P29" s="7" t="inlineStr">
        <is>
          <t>jobspy</t>
        </is>
      </c>
      <c r="Q29" s="8" t="inlineStr">
        <is>
          <t>FPGA, Verilog, embedded systems, digital design, SolidWorks</t>
        </is>
      </c>
      <c r="R29" s="8" t="inlineStr">
        <is>
          <t>Graduate Computer Engineer digital design</t>
        </is>
      </c>
      <c r="S29" s="19" t="n"/>
      <c r="T29" s="19" t="n"/>
      <c r="U29" s="14" t="n">
        <v>46194</v>
      </c>
      <c r="V29" s="7" t="inlineStr">
        <is>
          <t>v2-cv-accuracy-13b988b18da8ea7d</t>
        </is>
      </c>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6.5</v>
      </c>
      <c r="C30" s="12" t="inlineStr">
        <is>
          <t>Unspecified</t>
        </is>
      </c>
      <c r="D30" s="8" t="inlineStr">
        <is>
          <t>Computer Engineering</t>
        </is>
      </c>
      <c r="E30" s="7" t="inlineStr">
        <is>
          <t>Alignerr</t>
        </is>
      </c>
      <c r="F30" s="8" t="inlineStr">
        <is>
          <t>Christchurch, England, UK</t>
        </is>
      </c>
      <c r="G30" s="8" t="n"/>
      <c r="H30" s="14" t="n"/>
      <c r="I30" s="15">
        <f>IF($H30="","",$H30-TODAY())</f>
        <v/>
      </c>
      <c r="J30" s="16" t="inlineStr">
        <is>
          <t>Open posting</t>
        </is>
      </c>
      <c r="K30" s="8" t="inlineStr">
        <is>
          <t>FPGA, Verilog, embedded systems, and MEng (pursuing) match well; contract/hourly pay and non-UK currency are minor concerns.</t>
        </is>
      </c>
      <c r="L30" s="17" t="inlineStr">
        <is>
          <t>new</t>
        </is>
      </c>
      <c r="M30" s="18" t="inlineStr"/>
      <c r="N30" s="7" t="inlineStr">
        <is>
          <t>05930b5225024aa12a5a26f832ac99f535a7bbdb</t>
        </is>
      </c>
      <c r="O30" s="14" t="n">
        <v>46188</v>
      </c>
      <c r="P30" s="7" t="inlineStr">
        <is>
          <t>jobspy</t>
        </is>
      </c>
      <c r="Q30" s="8" t="inlineStr">
        <is>
          <t>FPGA, Verilog, embedded systems, digital design, SolidWorks</t>
        </is>
      </c>
      <c r="R30" s="8" t="inlineStr">
        <is>
          <t>Graduate Computer Engineer digital design</t>
        </is>
      </c>
      <c r="S30" s="19" t="n"/>
      <c r="T30" s="19" t="n"/>
      <c r="U30" s="14" t="n">
        <v>46194</v>
      </c>
      <c r="V30" s="7" t="inlineStr">
        <is>
          <t>v2-cv-accuracy-13b988b18da8ea7d</t>
        </is>
      </c>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6.5</v>
      </c>
      <c r="C31" s="12" t="inlineStr">
        <is>
          <t>Unspecified</t>
        </is>
      </c>
      <c r="D31" s="8" t="inlineStr">
        <is>
          <t>Computer Engineering</t>
        </is>
      </c>
      <c r="E31" s="7" t="inlineStr">
        <is>
          <t>Alignerr</t>
        </is>
      </c>
      <c r="F31" s="8" t="inlineStr">
        <is>
          <t>Glasgow, Scotland, UK</t>
        </is>
      </c>
      <c r="G31" s="8" t="n"/>
      <c r="H31" s="14" t="n"/>
      <c r="I31" s="15">
        <f>IF($H31="","",$H31-TODAY())</f>
        <v/>
      </c>
      <c r="J31" s="16" t="inlineStr">
        <is>
          <t>Open posting</t>
        </is>
      </c>
      <c r="K31" s="8" t="inlineStr">
        <is>
          <t>FPGA, Verilog, embedded systems, and MEng (pursuing) match well; contract/hourly pay and non-UK currency are minor concerns.</t>
        </is>
      </c>
      <c r="L31" s="17" t="inlineStr">
        <is>
          <t>new</t>
        </is>
      </c>
      <c r="M31" s="18" t="inlineStr"/>
      <c r="N31" s="7" t="inlineStr">
        <is>
          <t>4eb8339c75fe77592d166b21e5510f46cc972a06</t>
        </is>
      </c>
      <c r="O31" s="14" t="n">
        <v>46188</v>
      </c>
      <c r="P31" s="7" t="inlineStr">
        <is>
          <t>jobspy</t>
        </is>
      </c>
      <c r="Q31" s="8" t="inlineStr">
        <is>
          <t>FPGA, Verilog, embedded systems, digital design, SolidWorks</t>
        </is>
      </c>
      <c r="R31" s="8" t="inlineStr">
        <is>
          <t>Graduate Computer Engineer digital design</t>
        </is>
      </c>
      <c r="S31" s="19" t="n"/>
      <c r="T31" s="19" t="n"/>
      <c r="U31" s="14" t="n">
        <v>46194</v>
      </c>
      <c r="V31" s="7" t="inlineStr">
        <is>
          <t>v2-cv-accuracy-13b988b18da8ea7d</t>
        </is>
      </c>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6.5</v>
      </c>
      <c r="C32" s="12" t="inlineStr">
        <is>
          <t>Unspecified</t>
        </is>
      </c>
      <c r="D32" s="8" t="inlineStr">
        <is>
          <t>Computer Engineering</t>
        </is>
      </c>
      <c r="E32" s="7" t="inlineStr">
        <is>
          <t>Alignerr</t>
        </is>
      </c>
      <c r="F32" s="8" t="inlineStr"/>
      <c r="G32" s="8" t="n"/>
      <c r="H32" s="14" t="n"/>
      <c r="I32" s="15">
        <f>IF($H32="","",$H32-TODAY())</f>
        <v/>
      </c>
      <c r="J32" s="16" t="inlineStr">
        <is>
          <t>Open posting</t>
        </is>
      </c>
      <c r="K32" s="8" t="inlineStr">
        <is>
          <t>FPGA, Verilog, embedded systems, and MEng (pursuing) match well; contract/hourly pay and non-UK currency are minor concerns.</t>
        </is>
      </c>
      <c r="L32" s="17" t="inlineStr">
        <is>
          <t>new</t>
        </is>
      </c>
      <c r="M32" s="18" t="inlineStr"/>
      <c r="N32" s="7" t="inlineStr">
        <is>
          <t>8163300ff098715cd31228ae69ab909e61757e1e</t>
        </is>
      </c>
      <c r="O32" s="14" t="n">
        <v>46188</v>
      </c>
      <c r="P32" s="7" t="inlineStr">
        <is>
          <t>jobspy</t>
        </is>
      </c>
      <c r="Q32" s="8" t="inlineStr">
        <is>
          <t>FPGA, Verilog, embedded systems, digital design, SolidWorks</t>
        </is>
      </c>
      <c r="R32" s="8" t="inlineStr">
        <is>
          <t>Graduate Computer Engineer digital design</t>
        </is>
      </c>
      <c r="S32" s="19" t="n"/>
      <c r="T32" s="19" t="n"/>
      <c r="U32" s="14" t="n">
        <v>46194</v>
      </c>
      <c r="V32" s="7" t="inlineStr">
        <is>
          <t>v2-cv-accuracy-13b988b18da8ea7d</t>
        </is>
      </c>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6.5</v>
      </c>
      <c r="C33" s="12" t="inlineStr">
        <is>
          <t>Senior/Lead</t>
        </is>
      </c>
      <c r="D33" s="8" t="inlineStr">
        <is>
          <t>Software Engineer</t>
        </is>
      </c>
      <c r="E33" s="7" t="inlineStr">
        <is>
          <t>Metric</t>
        </is>
      </c>
      <c r="F33" s="8" t="inlineStr">
        <is>
          <t>London Area, United Kingdom</t>
        </is>
      </c>
      <c r="G33" s="8" t="n"/>
      <c r="H33" s="14" t="n"/>
      <c r="I33" s="15">
        <f>IF($H33="","",$H33-TODAY())</f>
        <v/>
      </c>
      <c r="J33" s="16" t="inlineStr">
        <is>
          <t>Open posting</t>
        </is>
      </c>
      <c r="K33" s="8" t="inlineStr">
        <is>
          <t>Python, Linux, FPGA, embedded systems, and CI/CD match well; lacks production systems experience and C++/Rust, seniority framing slightly above graduate level.</t>
        </is>
      </c>
      <c r="L33" s="17" t="inlineStr">
        <is>
          <t>new</t>
        </is>
      </c>
      <c r="M33" s="18" t="inlineStr"/>
      <c r="N33" s="7" t="inlineStr">
        <is>
          <t>356bcab80ecc693618cdb8180e9db31fdb9f92f8</t>
        </is>
      </c>
      <c r="O33" s="14" t="n">
        <v>46174</v>
      </c>
      <c r="P33" s="7" t="inlineStr">
        <is>
          <t>jobspy</t>
        </is>
      </c>
      <c r="Q33" s="8" t="inlineStr">
        <is>
          <t>Python, FPGA, embedded systems, Git, CI/CD</t>
        </is>
      </c>
      <c r="R33" s="8" t="inlineStr">
        <is>
          <t>Embedded Software Engineer graduate C Python</t>
        </is>
      </c>
      <c r="S33" s="19" t="n"/>
      <c r="T33" s="19" t="n"/>
      <c r="U33" s="14" t="n">
        <v>46194</v>
      </c>
      <c r="V33" s="7" t="inlineStr">
        <is>
          <t>v2-cv-accuracy-13b988b18da8ea7d</t>
        </is>
      </c>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6.5</v>
      </c>
      <c r="C34" s="12" t="inlineStr">
        <is>
          <t>Unspecified</t>
        </is>
      </c>
      <c r="D34" s="8" t="inlineStr">
        <is>
          <t>Embedded System Engineer</t>
        </is>
      </c>
      <c r="E34" s="7" t="inlineStr">
        <is>
          <t>Open Cosmos</t>
        </is>
      </c>
      <c r="F34" s="8" t="inlineStr">
        <is>
          <t>Harwell, England, UK</t>
        </is>
      </c>
      <c r="G34" s="8" t="n"/>
      <c r="H34" s="14" t="n"/>
      <c r="I34" s="15">
        <f>IF($H34="","",$H34-TODAY())</f>
        <v/>
      </c>
      <c r="J34" s="16" t="inlineStr">
        <is>
          <t>Open posting</t>
        </is>
      </c>
      <c r="K34" s="8" t="inlineStr">
        <is>
          <t>Verilog, FPGA, and embedded systems match well but C/C++ RTOS proficiency and fault-tolerant space-grade design are gaps.</t>
        </is>
      </c>
      <c r="L34" s="17" t="inlineStr">
        <is>
          <t>new</t>
        </is>
      </c>
      <c r="M34" s="18" t="inlineStr"/>
      <c r="N34" s="7" t="inlineStr">
        <is>
          <t>f799d76cb9290d22f3ddec958fb63c3911d1857e</t>
        </is>
      </c>
      <c r="O34" s="14" t="n">
        <v>46181</v>
      </c>
      <c r="P34" s="7" t="inlineStr">
        <is>
          <t>jobspy</t>
        </is>
      </c>
      <c r="Q34" s="8" t="inlineStr">
        <is>
          <t>Verilog, FPGA, embedded systems, Vivado, sensor integration</t>
        </is>
      </c>
      <c r="R34" s="8" t="inlineStr">
        <is>
          <t>Graduate Signal Processing Engineer DSP</t>
        </is>
      </c>
      <c r="S34" s="19" t="n"/>
      <c r="T34" s="19" t="n"/>
      <c r="U34" s="14" t="n">
        <v>46193</v>
      </c>
      <c r="V34" s="7" t="inlineStr">
        <is>
          <t>v2-cv-accuracy-13b988b18da8ea7d</t>
        </is>
      </c>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6.5</v>
      </c>
      <c r="C35" s="12" t="inlineStr">
        <is>
          <t>Junior</t>
        </is>
      </c>
      <c r="D35" s="8" t="inlineStr">
        <is>
          <t>Junior Platform Engineer</t>
        </is>
      </c>
      <c r="E35" s="7" t="inlineStr">
        <is>
          <t>Bud Systems</t>
        </is>
      </c>
      <c r="F35" s="8" t="inlineStr">
        <is>
          <t>Bristol, ENG, GB</t>
        </is>
      </c>
      <c r="G35" s="8" t="n"/>
      <c r="H35" s="14" t="n"/>
      <c r="I35" s="15">
        <f>IF($H35="","",$H35-TODAY())</f>
        <v/>
      </c>
      <c r="J35" s="16" t="inlineStr">
        <is>
          <t>Open posting</t>
        </is>
      </c>
      <c r="K35" s="8" t="inlineStr">
        <is>
          <t>Good match on Python, SQL, Docker, Kubernetes, Git and CI/CD; SC Clearance eligibility requirement is a potential flag not confirmed in profile.</t>
        </is>
      </c>
      <c r="L35" s="17" t="inlineStr">
        <is>
          <t>new</t>
        </is>
      </c>
      <c r="M35" s="18" t="inlineStr"/>
      <c r="N35" s="7" t="inlineStr">
        <is>
          <t>5b010348e00166189f6e1862022ed946d204e1bf</t>
        </is>
      </c>
      <c r="O35" s="14" t="n">
        <v>46181</v>
      </c>
      <c r="P35" s="7" t="inlineStr">
        <is>
          <t>jobspy</t>
        </is>
      </c>
      <c r="Q35" s="8" t="inlineStr">
        <is>
          <t>Python, SQL, Docker, Kubernetes, Git</t>
        </is>
      </c>
      <c r="R35" s="8" t="inlineStr">
        <is>
          <t>Junior Python Developer SQL Docker</t>
        </is>
      </c>
      <c r="S35" s="19" t="n"/>
      <c r="T35" s="19" t="n"/>
      <c r="U35" s="14" t="n">
        <v>46193</v>
      </c>
      <c r="V35" s="7" t="inlineStr">
        <is>
          <t>v2-cv-accuracy-13b988b18da8ea7d</t>
        </is>
      </c>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6.5</v>
      </c>
      <c r="C36" s="12" t="inlineStr">
        <is>
          <t>Unspecified</t>
        </is>
      </c>
      <c r="D36" s="8" t="inlineStr">
        <is>
          <t>Software Developer</t>
        </is>
      </c>
      <c r="E36" s="7" t="inlineStr">
        <is>
          <t>nan</t>
        </is>
      </c>
      <c r="F36" s="8" t="inlineStr">
        <is>
          <t>Harrow, ENG, GB</t>
        </is>
      </c>
      <c r="G36" s="8" t="n"/>
      <c r="H36" s="14" t="n"/>
      <c r="I36" s="15">
        <f>IF($H36="","",$H36-TODAY())</f>
        <v/>
      </c>
      <c r="J36" s="16" t="inlineStr">
        <is>
          <t>Open posting</t>
        </is>
      </c>
      <c r="K36" s="8" t="inlineStr">
        <is>
          <t>Python, SQL, Docker, Kubernetes, REST APIs, and JavaScript match well; fintech/banking domain and OAuth2/compliance experience are gaps.</t>
        </is>
      </c>
      <c r="L36" s="17" t="inlineStr">
        <is>
          <t>new</t>
        </is>
      </c>
      <c r="M36" s="18" t="inlineStr"/>
      <c r="N36" s="7" t="inlineStr">
        <is>
          <t>e0a174ff327047b93e55ad030810b3af8a33f165</t>
        </is>
      </c>
      <c r="O36" s="14" t="n">
        <v>46191</v>
      </c>
      <c r="P36" s="7" t="inlineStr">
        <is>
          <t>jobspy</t>
        </is>
      </c>
      <c r="Q36" s="8" t="inlineStr">
        <is>
          <t>Python, SQL, Docker, Kubernetes, JavaScript</t>
        </is>
      </c>
      <c r="R36" s="8" t="inlineStr">
        <is>
          <t>Platform Engineer Docker Kubernetes Python</t>
        </is>
      </c>
      <c r="S36" s="19" t="n"/>
      <c r="T36" s="19" t="n"/>
      <c r="U36" s="14" t="n">
        <v>46193</v>
      </c>
      <c r="V36" s="7" t="inlineStr">
        <is>
          <t>v2-cv-accuracy-13b988b18da8ea7d</t>
        </is>
      </c>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6.5</v>
      </c>
      <c r="C37" s="12" t="inlineStr">
        <is>
          <t>Mid-level</t>
        </is>
      </c>
      <c r="D37" s="8" t="inlineStr">
        <is>
          <t>Verification Engineer (f/m/d)</t>
        </is>
      </c>
      <c r="E37" s="7" t="inlineStr">
        <is>
          <t>Renesas Electronics</t>
        </is>
      </c>
      <c r="F37" s="8" t="inlineStr">
        <is>
          <t>Edinburgh, Scotland, UK</t>
        </is>
      </c>
      <c r="G37" s="8" t="n"/>
      <c r="H37" s="14" t="n"/>
      <c r="I37" s="15">
        <f>IF($H37="","",$H37-TODAY())</f>
        <v/>
      </c>
      <c r="J37" s="16" t="inlineStr">
        <is>
          <t>Open posting</t>
        </is>
      </c>
      <c r="K37" s="8" t="inlineStr">
        <is>
          <t>Verilog/FPGA ASIC verification role suits profile well; SystemVerilog/UVM gap exists but 2-5 years experience and graduate-level entry align well.</t>
        </is>
      </c>
      <c r="L37" s="17" t="inlineStr">
        <is>
          <t>new</t>
        </is>
      </c>
      <c r="M37" s="18" t="inlineStr"/>
      <c r="N37" s="7" t="inlineStr">
        <is>
          <t>5787a86335d01a78a4ce39707259868b05fb9d30</t>
        </is>
      </c>
      <c r="O37" s="14" t="n">
        <v>46185</v>
      </c>
      <c r="P37" s="7" t="inlineStr">
        <is>
          <t>jobspy</t>
        </is>
      </c>
      <c r="Q37" s="8" t="inlineStr">
        <is>
          <t>Verilog, FPGA, Python, Git, digital design</t>
        </is>
      </c>
      <c r="R37" s="8" t="inlineStr">
        <is>
          <t>Verification Engineer FPGA Verilog digital</t>
        </is>
      </c>
      <c r="S37" s="19" t="n"/>
      <c r="T37" s="19" t="n"/>
      <c r="U37" s="14" t="n">
        <v>46193</v>
      </c>
      <c r="V37" s="7" t="inlineStr">
        <is>
          <t>v2-cv-accuracy-13b988b18da8ea7d</t>
        </is>
      </c>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6.5</v>
      </c>
      <c r="C38" s="12" t="inlineStr">
        <is>
          <t>Unspecified</t>
        </is>
      </c>
      <c r="D38" s="8" t="inlineStr">
        <is>
          <t>Software Engineer</t>
        </is>
      </c>
      <c r="E38" s="7" t="inlineStr">
        <is>
          <t>GlobalLogic</t>
        </is>
      </c>
      <c r="F38" s="8" t="inlineStr">
        <is>
          <t>London Area, United Kingdom</t>
        </is>
      </c>
      <c r="G38" s="8" t="n"/>
      <c r="H38" s="14" t="n"/>
      <c r="I38" s="15">
        <f>IF($H38="","",$H38-TODAY())</f>
        <v/>
      </c>
      <c r="J38" s="16" t="inlineStr">
        <is>
          <t>Open posting</t>
        </is>
      </c>
      <c r="K38" s="8" t="inlineStr">
        <is>
          <t>Python, JavaScript, and REST APIs match core skills; role leans toward workflow automation and operations engineering, slightly off target but technically relevant.</t>
        </is>
      </c>
      <c r="L38" s="17" t="inlineStr">
        <is>
          <t>new</t>
        </is>
      </c>
      <c r="M38" s="18" t="inlineStr"/>
      <c r="N38" s="7" t="inlineStr">
        <is>
          <t>22cf1dd318a8ee52173e705cd10025b10315ad6c</t>
        </is>
      </c>
      <c r="O38" s="14" t="n">
        <v>46174</v>
      </c>
      <c r="P38" s="7" t="inlineStr">
        <is>
          <t>jobspy</t>
        </is>
      </c>
      <c r="Q38" s="8" t="inlineStr">
        <is>
          <t>Python, JavaScript, REST APIs, Git</t>
        </is>
      </c>
      <c r="R38" s="8" t="inlineStr">
        <is>
          <t>Junior Python Developer</t>
        </is>
      </c>
      <c r="S38" s="19" t="n"/>
      <c r="T38" s="19" t="n"/>
      <c r="U38" s="14" t="n">
        <v>46192</v>
      </c>
      <c r="V38" s="7" t="inlineStr">
        <is>
          <t>v2-cv-accuracy-13b988b18da8ea7d</t>
        </is>
      </c>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6.5</v>
      </c>
      <c r="C39" s="12" t="inlineStr">
        <is>
          <t>Unspecified</t>
        </is>
      </c>
      <c r="D39" s="8" t="inlineStr">
        <is>
          <t>Python / Django Developer</t>
        </is>
      </c>
      <c r="E39" s="7" t="inlineStr">
        <is>
          <t>Bright Purple</t>
        </is>
      </c>
      <c r="F39" s="8" t="inlineStr">
        <is>
          <t>Edinburgh, Scotland, UK</t>
        </is>
      </c>
      <c r="G39" s="8" t="n"/>
      <c r="H39" s="14" t="n"/>
      <c r="I39" s="15">
        <f>IF($H39="","",$H39-TODAY())</f>
        <v/>
      </c>
      <c r="J39" s="16" t="inlineStr">
        <is>
          <t>Open posting</t>
        </is>
      </c>
      <c r="K39" s="8" t="inlineStr">
        <is>
          <t>Python, Django, REST APIs, JavaScript match core skills; remote role above salary floor; JD is vague on seniority but implies more than 2 years.</t>
        </is>
      </c>
      <c r="L39" s="17" t="inlineStr">
        <is>
          <t>new</t>
        </is>
      </c>
      <c r="M39" s="18" t="inlineStr"/>
      <c r="N39" s="7" t="inlineStr">
        <is>
          <t>e9f1e76d6840bf343c7cfbe370f7d4ccb01b627d</t>
        </is>
      </c>
      <c r="O39" s="14" t="n"/>
      <c r="P39" s="7" t="inlineStr">
        <is>
          <t>jobspy</t>
        </is>
      </c>
      <c r="Q39" s="8" t="inlineStr">
        <is>
          <t>Python, Django, REST APIs, JavaScript, Git</t>
        </is>
      </c>
      <c r="R39" s="8" t="inlineStr">
        <is>
          <t>Junior Python Developer remote</t>
        </is>
      </c>
      <c r="S39" s="19" t="n"/>
      <c r="T39" s="19" t="n"/>
      <c r="U39" s="14" t="n">
        <v>46192</v>
      </c>
      <c r="V39" s="7" t="inlineStr">
        <is>
          <t>v2-cv-accuracy-13b988b18da8ea7d</t>
        </is>
      </c>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6.5</v>
      </c>
      <c r="C40" s="12" t="inlineStr">
        <is>
          <t>Unspecified</t>
        </is>
      </c>
      <c r="D40" s="8" t="inlineStr">
        <is>
          <t>Software Developer, Risk and Regulatory</t>
        </is>
      </c>
      <c r="E40" s="7" t="inlineStr">
        <is>
          <t>bet365</t>
        </is>
      </c>
      <c r="F40" s="8" t="inlineStr">
        <is>
          <t>Stoke-On-Trent, England, UK</t>
        </is>
      </c>
      <c r="G40" s="8" t="n"/>
      <c r="H40" s="14" t="n"/>
      <c r="I40" s="15">
        <f>IF($H40="","",$H40-TODAY())</f>
        <v/>
      </c>
      <c r="J40" s="16" t="inlineStr">
        <is>
          <t>Open posting</t>
        </is>
      </c>
      <c r="K40" s="8" t="inlineStr">
        <is>
          <t>JavaScript and SQL match; Golang is a hard requirement not in profile, and Typescript only adjacent; full-stack focus partially fits.</t>
        </is>
      </c>
      <c r="L40" s="17" t="inlineStr">
        <is>
          <t>new</t>
        </is>
      </c>
      <c r="M40" s="18" t="inlineStr"/>
      <c r="N40" s="7" t="inlineStr">
        <is>
          <t>13273956279b754cdc860371b472255926d98f29</t>
        </is>
      </c>
      <c r="O40" s="14" t="n"/>
      <c r="P40" s="7" t="inlineStr">
        <is>
          <t>jobspy</t>
        </is>
      </c>
      <c r="Q40" s="8" t="inlineStr">
        <is>
          <t>JavaScript, SQL, React, Linux, Agile</t>
        </is>
      </c>
      <c r="R40" s="8" t="inlineStr">
        <is>
          <t>graduate Full Stack Developer</t>
        </is>
      </c>
      <c r="S40" s="19" t="n"/>
      <c r="T40" s="19" t="n"/>
      <c r="U40" s="14" t="n">
        <v>46192</v>
      </c>
      <c r="V40" s="7" t="inlineStr">
        <is>
          <t>v2-cv-accuracy-13b988b18da8ea7d</t>
        </is>
      </c>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6.5</v>
      </c>
      <c r="C41" s="12" t="inlineStr">
        <is>
          <t>Senior/Lead</t>
        </is>
      </c>
      <c r="D41" s="8" t="inlineStr">
        <is>
          <t>Embedded Digital Design Engineer</t>
        </is>
      </c>
      <c r="E41" s="7" t="inlineStr">
        <is>
          <t>MBDA</t>
        </is>
      </c>
      <c r="F41" s="8" t="inlineStr">
        <is>
          <t>Stevenage, England, UK</t>
        </is>
      </c>
      <c r="G41" s="8" t="n"/>
      <c r="H41" s="14" t="n"/>
      <c r="I41" s="15">
        <f>IF($H41="","",$H41-TODAY())</f>
        <v/>
      </c>
      <c r="J41" s="16" t="inlineStr">
        <is>
          <t>Open posting</t>
        </is>
      </c>
      <c r="K41" s="8" t="inlineStr">
        <is>
          <t>FPGA, Verilog, Vivado, DSP, and embedded systems directly match core skills; salary ~£50-60k is above floor but role may expect more experience than 2 years.</t>
        </is>
      </c>
      <c r="L41" s="17" t="inlineStr">
        <is>
          <t>new</t>
        </is>
      </c>
      <c r="M41" s="18" t="inlineStr"/>
      <c r="N41" s="7" t="inlineStr">
        <is>
          <t>04114849b6056cbc526a993d041db9e0cf911b97</t>
        </is>
      </c>
      <c r="O41" s="14" t="n">
        <v>46177</v>
      </c>
      <c r="P41" s="7" t="inlineStr">
        <is>
          <t>jobspy</t>
        </is>
      </c>
      <c r="Q41" s="8" t="inlineStr">
        <is>
          <t>FPGA, Verilog, Vivado, embedded systems, DSP</t>
        </is>
      </c>
      <c r="R41" s="8" t="inlineStr">
        <is>
          <t>Junior Hardware Engineer embedded digital design UK</t>
        </is>
      </c>
      <c r="S41" s="19" t="n"/>
      <c r="T41" s="19" t="n"/>
      <c r="U41" s="14" t="n">
        <v>46192</v>
      </c>
      <c r="V41" s="7" t="inlineStr">
        <is>
          <t>v2-cv-accuracy-13b988b18da8ea7d</t>
        </is>
      </c>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6.5</v>
      </c>
      <c r="C42" s="12" t="inlineStr">
        <is>
          <t>Graduate/Entry</t>
        </is>
      </c>
      <c r="D42" s="8" t="inlineStr">
        <is>
          <t>Graduate Platform Engineer</t>
        </is>
      </c>
      <c r="E42" s="7" t="inlineStr">
        <is>
          <t>Lean Tree</t>
        </is>
      </c>
      <c r="F42" s="8" t="inlineStr">
        <is>
          <t>London Area, United Kingdom</t>
        </is>
      </c>
      <c r="G42" s="8" t="n"/>
      <c r="H42" s="14" t="n"/>
      <c r="I42" s="15">
        <f>IF($H42="","",$H42-TODAY())</f>
        <v/>
      </c>
      <c r="J42" s="16" t="inlineStr">
        <is>
          <t>Open posting</t>
        </is>
      </c>
      <c r="K42" s="8" t="inlineStr">
        <is>
          <t>Graduate platform/cloud role matches level and some skills (Docker, Kubernetes, CI/CD, Git) but cloud infrastructure and IaC experience are absent from profile.</t>
        </is>
      </c>
      <c r="L42" s="17" t="inlineStr">
        <is>
          <t>new</t>
        </is>
      </c>
      <c r="M42" s="18" t="inlineStr"/>
      <c r="N42" s="7" t="inlineStr">
        <is>
          <t>f48697877b5a0b3d7ebb77639619f9e6e0a7e519</t>
        </is>
      </c>
      <c r="O42" s="14" t="n">
        <v>46170</v>
      </c>
      <c r="P42" s="7" t="inlineStr">
        <is>
          <t>jobspy</t>
        </is>
      </c>
      <c r="Q42" s="8" t="inlineStr">
        <is>
          <t>Docker, Kubernetes, Git, CI/CD, Python</t>
        </is>
      </c>
      <c r="R42" s="8" t="inlineStr">
        <is>
          <t>Graduate DevOps Engineer Docker Kubernetes Python</t>
        </is>
      </c>
      <c r="S42" s="19" t="n"/>
      <c r="T42" s="19" t="n"/>
      <c r="U42" s="14" t="n">
        <v>46192</v>
      </c>
      <c r="V42" s="7" t="inlineStr">
        <is>
          <t>v2-cv-accuracy-13b988b18da8ea7d</t>
        </is>
      </c>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6.2</v>
      </c>
      <c r="C43" s="12" t="inlineStr">
        <is>
          <t>Unspecified</t>
        </is>
      </c>
      <c r="D43" s="8" t="inlineStr">
        <is>
          <t>Software Engineer</t>
        </is>
      </c>
      <c r="E43" s="7" t="inlineStr">
        <is>
          <t>SRG</t>
        </is>
      </c>
      <c r="F43" s="8" t="inlineStr">
        <is>
          <t>Sedgefield, England, UK</t>
        </is>
      </c>
      <c r="G43" s="8" t="n"/>
      <c r="H43" s="14" t="n"/>
      <c r="I43" s="15">
        <f>IF($H43="","",$H43-TODAY())</f>
        <v/>
      </c>
      <c r="J43" s="16" t="inlineStr">
        <is>
          <t>Open posting</t>
        </is>
      </c>
      <c r="K43" s="8" t="inlineStr">
        <is>
          <t>Python, React, Node.js, sensor/hardware integration align well, but role is Sedgefield (outside 60mi radius) and salary above floor; AI/ML gaps minor.</t>
        </is>
      </c>
      <c r="L43" s="17" t="inlineStr">
        <is>
          <t>new</t>
        </is>
      </c>
      <c r="M43" s="18" t="inlineStr"/>
      <c r="N43" s="7" t="inlineStr">
        <is>
          <t>021546f4b2a5689f8452010b141d19155033ed6d</t>
        </is>
      </c>
      <c r="O43" s="14" t="n">
        <v>46183</v>
      </c>
      <c r="P43" s="7" t="inlineStr">
        <is>
          <t>jobspy</t>
        </is>
      </c>
      <c r="Q43" s="8" t="inlineStr">
        <is>
          <t>Python, React, Node.js, sensor integration, embedded systems</t>
        </is>
      </c>
      <c r="R43" s="8" t="inlineStr">
        <is>
          <t>Firmware Engineer Raspberry Pi embedded</t>
        </is>
      </c>
      <c r="S43" s="19" t="n"/>
      <c r="T43" s="19" t="n"/>
      <c r="U43" s="14" t="n">
        <v>46192</v>
      </c>
      <c r="V43" s="7" t="inlineStr">
        <is>
          <t>v2-cv-accuracy-13b988b18da8ea7d</t>
        </is>
      </c>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6</v>
      </c>
      <c r="C44" s="12" t="inlineStr">
        <is>
          <t>Junior</t>
        </is>
      </c>
      <c r="D44" s="8" t="inlineStr">
        <is>
          <t>Junior Engineer</t>
        </is>
      </c>
      <c r="E44" s="7" t="inlineStr">
        <is>
          <t>Whitespace</t>
        </is>
      </c>
      <c r="F44" s="8" t="inlineStr">
        <is>
          <t>Belfast, Northern Ireland, UK</t>
        </is>
      </c>
      <c r="G44" s="8" t="n"/>
      <c r="H44" s="14" t="n"/>
      <c r="I44" s="15">
        <f>IF($H44="","",$H44-TODAY())</f>
        <v/>
      </c>
      <c r="J44" s="16" t="inlineStr">
        <is>
          <t>Open posting</t>
        </is>
      </c>
      <c r="K44" s="8" t="inlineStr">
        <is>
          <t>Python, Docker, Kubernetes, REST APIs, and Node.js all match, but Belfast location exceeds 60-mile radius and role is primarily software-focused.</t>
        </is>
      </c>
      <c r="L44" s="17" t="inlineStr">
        <is>
          <t>new</t>
        </is>
      </c>
      <c r="M44" s="18" t="inlineStr"/>
      <c r="N44" s="7" t="inlineStr">
        <is>
          <t>7de041b147b0c8f278336cebb729dad0ca9b5bd9</t>
        </is>
      </c>
      <c r="O44" s="14" t="n"/>
      <c r="P44" s="7" t="inlineStr">
        <is>
          <t>jobspy</t>
        </is>
      </c>
      <c r="Q44" s="8" t="inlineStr">
        <is>
          <t>Python, Docker, Kubernetes, Node.js, REST APIs</t>
        </is>
      </c>
      <c r="R44" s="8" t="inlineStr">
        <is>
          <t>Graduate Backend Developer Python Docker Kubernetes</t>
        </is>
      </c>
      <c r="S44" s="19" t="n"/>
      <c r="T44" s="19" t="n"/>
      <c r="U44" s="14" t="n">
        <v>46196</v>
      </c>
      <c r="V44" s="7" t="inlineStr">
        <is>
          <t>v2-cv-accuracy-13b988b18da8ea7d</t>
        </is>
      </c>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6</v>
      </c>
      <c r="C45" s="12" t="inlineStr">
        <is>
          <t>Mid-level</t>
        </is>
      </c>
      <c r="D45" s="8" t="inlineStr">
        <is>
          <t>Public Cloud Assistant Infrastructure Engineer</t>
        </is>
      </c>
      <c r="E45" s="7" t="inlineStr">
        <is>
          <t>Lloyds Banking Group</t>
        </is>
      </c>
      <c r="F45" s="8" t="inlineStr">
        <is>
          <t>Bristol, England, UK</t>
        </is>
      </c>
      <c r="G45" s="8" t="n"/>
      <c r="H45" s="14" t="n"/>
      <c r="I45" s="15">
        <f>IF($H45="","",$H45-TODAY())</f>
        <v/>
      </c>
      <c r="J45" s="16" t="inlineStr">
        <is>
          <t>Open posting</t>
        </is>
      </c>
      <c r="K45" s="8" t="inlineStr">
        <is>
          <t>Kubernetes, Docker, Python, and CI/CD match; lacks Azure/GCP/Terraform experience and role is cloud-infrastructure focused rather than embedded/hardware.</t>
        </is>
      </c>
      <c r="L45" s="17" t="inlineStr">
        <is>
          <t>new</t>
        </is>
      </c>
      <c r="M45" s="18" t="inlineStr"/>
      <c r="N45" s="7" t="inlineStr">
        <is>
          <t>c3573bae982a6ac992589305fa245959f22a08de</t>
        </is>
      </c>
      <c r="O45" s="14" t="n">
        <v>46184</v>
      </c>
      <c r="P45" s="7" t="inlineStr">
        <is>
          <t>jobspy</t>
        </is>
      </c>
      <c r="Q45" s="8" t="inlineStr">
        <is>
          <t>Kubernetes, Docker, Python, CI/CD, API integration</t>
        </is>
      </c>
      <c r="R45" s="8" t="inlineStr">
        <is>
          <t>Platform Engineer graduate Docker Kubernetes Git</t>
        </is>
      </c>
      <c r="S45" s="19" t="n"/>
      <c r="T45" s="19" t="n"/>
      <c r="U45" s="14" t="n">
        <v>46194</v>
      </c>
      <c r="V45" s="7" t="inlineStr">
        <is>
          <t>v2-cv-accuracy-13b988b18da8ea7d</t>
        </is>
      </c>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6</v>
      </c>
      <c r="C46" s="12" t="inlineStr">
        <is>
          <t>Unspecified</t>
        </is>
      </c>
      <c r="D46" s="8" t="inlineStr">
        <is>
          <t>Software Engineer - Birkenhead</t>
        </is>
      </c>
      <c r="E46" s="7" t="inlineStr">
        <is>
          <t>Crowder Consulting</t>
        </is>
      </c>
      <c r="F46" s="8" t="inlineStr">
        <is>
          <t>Birkenhead, ENG, GB</t>
        </is>
      </c>
      <c r="G46" s="8" t="n"/>
      <c r="H46" s="14" t="n"/>
      <c r="I46" s="15">
        <f>IF($H46="","",$H46-TODAY())</f>
        <v/>
      </c>
      <c r="J46" s="16" t="inlineStr">
        <is>
          <t>Open posting</t>
        </is>
      </c>
      <c r="K46" s="8" t="inlineStr">
        <is>
          <t>Python, MySQL, Docker, APIs and CI/CD match well; Birkenhead location is ~70 miles from Sheffield, slightly outside search radius with hybrid working.</t>
        </is>
      </c>
      <c r="L46" s="17" t="inlineStr">
        <is>
          <t>new</t>
        </is>
      </c>
      <c r="M46" s="18" t="inlineStr"/>
      <c r="N46" s="7" t="inlineStr">
        <is>
          <t>97a37e8d5532300b5982e90ab78f83ac7ba8e4c3</t>
        </is>
      </c>
      <c r="O46" s="14" t="n">
        <v>46183</v>
      </c>
      <c r="P46" s="7" t="inlineStr">
        <is>
          <t>jobspy</t>
        </is>
      </c>
      <c r="Q46" s="8" t="inlineStr">
        <is>
          <t>Python, MySQL, Docker, API integration, JavaScript</t>
        </is>
      </c>
      <c r="R46" s="8" t="inlineStr">
        <is>
          <t>Graduate Software Engineer Python Docker</t>
        </is>
      </c>
      <c r="S46" s="19" t="n"/>
      <c r="T46" s="19" t="n"/>
      <c r="U46" s="14" t="n">
        <v>46193</v>
      </c>
      <c r="V46" s="7" t="inlineStr">
        <is>
          <t>v2-cv-accuracy-13b988b18da8ea7d</t>
        </is>
      </c>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6</v>
      </c>
      <c r="C47" s="12" t="inlineStr">
        <is>
          <t>Mid-level</t>
        </is>
      </c>
      <c r="D47" s="8" t="inlineStr">
        <is>
          <t>Public Cloud Assistant Infrastructure Engineer</t>
        </is>
      </c>
      <c r="E47" s="7" t="inlineStr">
        <is>
          <t>Lloyds Banking Group</t>
        </is>
      </c>
      <c r="F47" s="8" t="inlineStr">
        <is>
          <t>Leeds, England, UK</t>
        </is>
      </c>
      <c r="G47" s="8" t="n"/>
      <c r="H47" s="14" t="n"/>
      <c r="I47" s="15">
        <f>IF($H47="","",$H47-TODAY())</f>
        <v/>
      </c>
      <c r="J47" s="16" t="inlineStr">
        <is>
          <t>Open posting</t>
        </is>
      </c>
      <c r="K47" s="8" t="inlineStr">
        <is>
          <t>Kubernetes, Docker, Python, and CI/CD adjacent skills match this assistant-level cloud role; Terraform and Azure-specific experience are gaps but role suits a junior.</t>
        </is>
      </c>
      <c r="L47" s="17" t="inlineStr">
        <is>
          <t>new</t>
        </is>
      </c>
      <c r="M47" s="18" t="inlineStr"/>
      <c r="N47" s="7" t="inlineStr">
        <is>
          <t>899ac74c5d9863d95f709d93dbedc72db0bdb9c4</t>
        </is>
      </c>
      <c r="O47" s="14" t="n">
        <v>46184</v>
      </c>
      <c r="P47" s="7" t="inlineStr">
        <is>
          <t>jobspy</t>
        </is>
      </c>
      <c r="Q47" s="8" t="inlineStr">
        <is>
          <t>Docker, Kubernetes, Python, CI/CD, API integration</t>
        </is>
      </c>
      <c r="R47" s="8" t="inlineStr">
        <is>
          <t>Graduate Computer Engineer Sheffield</t>
        </is>
      </c>
      <c r="S47" s="19" t="n"/>
      <c r="T47" s="19" t="n"/>
      <c r="U47" s="14" t="n">
        <v>46193</v>
      </c>
      <c r="V47" s="7" t="inlineStr">
        <is>
          <t>v2-cv-accuracy-13b988b18da8ea7d</t>
        </is>
      </c>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6</v>
      </c>
      <c r="C48" s="12" t="inlineStr">
        <is>
          <t>Graduate/Entry</t>
        </is>
      </c>
      <c r="D48" s="8" t="inlineStr">
        <is>
          <t>Graduate Software Engineer</t>
        </is>
      </c>
      <c r="E48" s="7" t="inlineStr">
        <is>
          <t>targetjobs UK</t>
        </is>
      </c>
      <c r="F48" s="8" t="inlineStr">
        <is>
          <t>Gloucester, England, UK</t>
        </is>
      </c>
      <c r="G48" s="8" t="n"/>
      <c r="H48" s="14" t="n"/>
      <c r="I48" s="15">
        <f>IF($H48="","",$H48-TODAY())</f>
        <v/>
      </c>
      <c r="J48" s="16" t="inlineStr">
        <is>
          <t>Open posting</t>
        </is>
      </c>
      <c r="K48" s="8" t="inlineStr">
        <is>
          <t>Graduate SE role matches level and Python/JS/SQL skills, but Gloucester location exceeds 60-mile radius and defence context may require clearance.</t>
        </is>
      </c>
      <c r="L48" s="17" t="inlineStr">
        <is>
          <t>new</t>
        </is>
      </c>
      <c r="M48" s="18" t="inlineStr"/>
      <c r="N48" s="7" t="inlineStr">
        <is>
          <t>6f837dcdbfc2a939261956a535b2913948fce8d3</t>
        </is>
      </c>
      <c r="O48" s="14" t="n"/>
      <c r="P48" s="7" t="inlineStr">
        <is>
          <t>jobspy</t>
        </is>
      </c>
      <c r="Q48" s="8" t="inlineStr">
        <is>
          <t>Python, JavaScript, Agile, Git, PostgreSQL</t>
        </is>
      </c>
      <c r="R48" s="8" t="inlineStr">
        <is>
          <t>graduate Graduate Software Developer</t>
        </is>
      </c>
      <c r="S48" s="19" t="n"/>
      <c r="T48" s="19" t="n"/>
      <c r="U48" s="14" t="n">
        <v>46192</v>
      </c>
      <c r="V48" s="7" t="inlineStr">
        <is>
          <t>v2-cv-accuracy-13b988b18da8ea7d</t>
        </is>
      </c>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5.8</v>
      </c>
      <c r="C49" s="12" t="inlineStr">
        <is>
          <t>Junior</t>
        </is>
      </c>
      <c r="D49" s="8" t="inlineStr">
        <is>
          <t>Associate Engineer</t>
        </is>
      </c>
      <c r="E49" s="7" t="inlineStr">
        <is>
          <t>IBM</t>
        </is>
      </c>
      <c r="F49" s="8" t="inlineStr">
        <is>
          <t>Hursley, England, UK</t>
        </is>
      </c>
      <c r="G49" s="8" t="n"/>
      <c r="H49" s="14" t="n"/>
      <c r="I49" s="15">
        <f>IF($H49="","",$H49-TODAY())</f>
        <v/>
      </c>
      <c r="J49" s="16" t="inlineStr">
        <is>
          <t>Open posting</t>
        </is>
      </c>
      <c r="K49" s="8" t="inlineStr">
        <is>
          <t>Graduate Associate Engineer role matches level; Systems/DevOps tracks align, but locations (Gloucester/London/Winchester) are outside 60-mile radius.</t>
        </is>
      </c>
      <c r="L49" s="17" t="inlineStr">
        <is>
          <t>new</t>
        </is>
      </c>
      <c r="M49" s="18" t="inlineStr"/>
      <c r="N49" s="7" t="inlineStr">
        <is>
          <t>01826141460a1e232e8ba410d4c473170b9cbf2c</t>
        </is>
      </c>
      <c r="O49" s="14" t="n">
        <v>46196</v>
      </c>
      <c r="P49" s="7" t="inlineStr">
        <is>
          <t>jobspy</t>
        </is>
      </c>
      <c r="Q49" s="8" t="inlineStr">
        <is>
          <t>Python, Docker, Kubernetes, CI/CD, API integration</t>
        </is>
      </c>
      <c r="R49" s="8" t="inlineStr">
        <is>
          <t>Graduate Software Engineer Python Docker Kubernetes</t>
        </is>
      </c>
      <c r="S49" s="19" t="n"/>
      <c r="T49" s="19" t="n"/>
      <c r="U49" s="14" t="n">
        <v>46197</v>
      </c>
      <c r="V49" s="7" t="inlineStr">
        <is>
          <t>v2-cv-accuracy-13b988b18da8ea7d</t>
        </is>
      </c>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5.5</v>
      </c>
      <c r="C50" s="12" t="inlineStr">
        <is>
          <t>Unspecified</t>
        </is>
      </c>
      <c r="D50" s="8" t="inlineStr">
        <is>
          <t>Full Stack Software Engineer</t>
        </is>
      </c>
      <c r="E50" s="7" t="inlineStr">
        <is>
          <t>Frontier Resourcing</t>
        </is>
      </c>
      <c r="F50" s="8" t="inlineStr">
        <is>
          <t>Farnborough, England, UK</t>
        </is>
      </c>
      <c r="G50" s="8" t="n"/>
      <c r="H50" s="14" t="n"/>
      <c r="I50" s="15">
        <f>IF($H50="","",$H50-TODAY())</f>
        <v/>
      </c>
      <c r="J50" s="16" t="inlineStr">
        <is>
          <t>Open posting</t>
        </is>
      </c>
      <c r="K50" s="8" t="inlineStr">
        <is>
          <t>Python, Docker, Kubernetes, and Git match well; role is primarily fullstack software with Java/Go focus, hardware background underutilised.</t>
        </is>
      </c>
      <c r="L50" s="17" t="inlineStr">
        <is>
          <t>new</t>
        </is>
      </c>
      <c r="M50" s="18" t="inlineStr"/>
      <c r="N50" s="7" t="inlineStr">
        <is>
          <t>ffb51a55628a61704a0254eabb62bd96f7abedcb</t>
        </is>
      </c>
      <c r="O50" s="14" t="n">
        <v>46193</v>
      </c>
      <c r="P50" s="7" t="inlineStr">
        <is>
          <t>jobspy</t>
        </is>
      </c>
      <c r="Q50" s="8" t="inlineStr">
        <is>
          <t>Python, Docker, Kubernetes, Git, JavaScript</t>
        </is>
      </c>
      <c r="R50" s="8" t="inlineStr">
        <is>
          <t>Junior Python Developer backend Docker Kubernetes</t>
        </is>
      </c>
      <c r="S50" s="19" t="n"/>
      <c r="T50" s="19" t="n"/>
      <c r="U50" s="14" t="n">
        <v>46196</v>
      </c>
      <c r="V50" s="7" t="inlineStr">
        <is>
          <t>v2-cv-accuracy-13b988b18da8ea7d</t>
        </is>
      </c>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5.5</v>
      </c>
      <c r="C51" s="12" t="inlineStr">
        <is>
          <t>Mid-level</t>
        </is>
      </c>
      <c r="D51" s="8" t="inlineStr">
        <is>
          <t>Software Engineer</t>
        </is>
      </c>
      <c r="E51" s="7" t="inlineStr">
        <is>
          <t>JOBEE RECRUITMENT LTD</t>
        </is>
      </c>
      <c r="F51" s="8" t="inlineStr">
        <is>
          <t>London, ENG, GB</t>
        </is>
      </c>
      <c r="G51" s="8" t="n"/>
      <c r="H51" s="14" t="n"/>
      <c r="I51" s="15">
        <f>IF($H51="","",$H51-TODAY())</f>
        <v/>
      </c>
      <c r="J51" s="16" t="inlineStr">
        <is>
          <t>Open posting</t>
        </is>
      </c>
      <c r="K51" s="8" t="inlineStr">
        <is>
          <t>Python, SQL, Git, Linux, and API skills match well, but location is London on-site and JD is vague on seniority with a wide salary band.</t>
        </is>
      </c>
      <c r="L51" s="17" t="inlineStr">
        <is>
          <t>new</t>
        </is>
      </c>
      <c r="M51" s="18" t="inlineStr"/>
      <c r="N51" s="7" t="inlineStr">
        <is>
          <t>53a20bd306efb8795df98b3f8d6cf1e3f7269bfd</t>
        </is>
      </c>
      <c r="O51" s="14" t="n">
        <v>46175</v>
      </c>
      <c r="P51" s="7" t="inlineStr">
        <is>
          <t>jobspy</t>
        </is>
      </c>
      <c r="Q51" s="8" t="inlineStr">
        <is>
          <t>Python, SQL, MySQL, Git, API integration</t>
        </is>
      </c>
      <c r="R51" s="8" t="inlineStr">
        <is>
          <t>Graduate Software Engineer Python JavaScript remote</t>
        </is>
      </c>
      <c r="S51" s="19" t="n"/>
      <c r="T51" s="19" t="n"/>
      <c r="U51" s="14" t="n">
        <v>46196</v>
      </c>
      <c r="V51" s="7" t="inlineStr">
        <is>
          <t>v2-cv-accuracy-13b988b18da8ea7d</t>
        </is>
      </c>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5.5</v>
      </c>
      <c r="C52" s="12" t="inlineStr">
        <is>
          <t>Junior</t>
        </is>
      </c>
      <c r="D52" s="8" t="inlineStr">
        <is>
          <t>Associate Engineer</t>
        </is>
      </c>
      <c r="E52" s="7" t="inlineStr">
        <is>
          <t>IBM</t>
        </is>
      </c>
      <c r="F52" s="8" t="inlineStr">
        <is>
          <t>Cheltenham, England, UK</t>
        </is>
      </c>
      <c r="G52" s="8" t="n"/>
      <c r="H52" s="14" t="n"/>
      <c r="I52" s="15">
        <f>IF($H52="","",$H52-TODAY())</f>
        <v/>
      </c>
      <c r="J52" s="16" t="inlineStr">
        <is>
          <t>Open posting</t>
        </is>
      </c>
      <c r="K52" s="8" t="inlineStr">
        <is>
          <t>Graduate Associate Engineer role matches seniority; but focus is government cloud/software consulting far from hardware/embedded core skills, locations outside 60-mile radius.</t>
        </is>
      </c>
      <c r="L52" s="17" t="inlineStr">
        <is>
          <t>new</t>
        </is>
      </c>
      <c r="M52" s="18" t="inlineStr"/>
      <c r="N52" s="7" t="inlineStr">
        <is>
          <t>cdf357d0c45e5d898aa274bbc01b8095ee89ec7c</t>
        </is>
      </c>
      <c r="O52" s="14" t="n"/>
      <c r="P52" s="7" t="inlineStr">
        <is>
          <t>jobspy</t>
        </is>
      </c>
      <c r="Q52" s="8" t="inlineStr">
        <is>
          <t>Docker, Kubernetes, CI/CD, backend development, Git</t>
        </is>
      </c>
      <c r="R52" s="8" t="inlineStr">
        <is>
          <t>Graduate Software Engineer Python Docker Kubernetes</t>
        </is>
      </c>
      <c r="S52" s="19" t="n"/>
      <c r="T52" s="19" t="n"/>
      <c r="U52" s="14" t="n">
        <v>46196</v>
      </c>
      <c r="V52" s="7" t="inlineStr">
        <is>
          <t>v2-cv-accuracy-13b988b18da8ea7d</t>
        </is>
      </c>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5.5</v>
      </c>
      <c r="C53" s="12" t="inlineStr">
        <is>
          <t>Unspecified</t>
        </is>
      </c>
      <c r="D53" s="8" t="inlineStr">
        <is>
          <t>Digital Signal Processing DSP Engineer</t>
        </is>
      </c>
      <c r="E53" s="7" t="inlineStr">
        <is>
          <t>Lockheed Martin</t>
        </is>
      </c>
      <c r="F53" s="8" t="inlineStr">
        <is>
          <t>Gloucester, England, UK</t>
        </is>
      </c>
      <c r="G53" s="8" t="n"/>
      <c r="H53" s="14" t="n"/>
      <c r="I53" s="15">
        <f>IF($H53="","",$H53-TODAY())</f>
        <v/>
      </c>
      <c r="J53" s="16" t="inlineStr">
        <is>
          <t>Open posting</t>
        </is>
      </c>
      <c r="K53" s="8" t="inlineStr">
        <is>
          <t>DSP and signal processing skills align, but role requires RF/SDR reverse engineering experience absent from profile; Gloucester location is outside 60-mile radius.</t>
        </is>
      </c>
      <c r="L53" s="17" t="inlineStr">
        <is>
          <t>new</t>
        </is>
      </c>
      <c r="M53" s="18" t="inlineStr"/>
      <c r="N53" s="7" t="inlineStr">
        <is>
          <t>c3cbea0593f8cfedd9b79713be21af12a5d44922</t>
        </is>
      </c>
      <c r="O53" s="14" t="n">
        <v>46175</v>
      </c>
      <c r="P53" s="7" t="inlineStr">
        <is>
          <t>jobspy</t>
        </is>
      </c>
      <c r="Q53" s="8" t="inlineStr">
        <is>
          <t>DSP, Python, C, signal processing, digital design</t>
        </is>
      </c>
      <c r="R53" s="8" t="inlineStr">
        <is>
          <t>Graduate Signal Processing Engineer DSP</t>
        </is>
      </c>
      <c r="S53" s="19" t="n"/>
      <c r="T53" s="19" t="n"/>
      <c r="U53" s="14" t="n">
        <v>46193</v>
      </c>
      <c r="V53" s="7" t="inlineStr">
        <is>
          <t>v2-cv-accuracy-13b988b18da8ea7d</t>
        </is>
      </c>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5.5</v>
      </c>
      <c r="C54" s="12" t="inlineStr">
        <is>
          <t>Unspecified</t>
        </is>
      </c>
      <c r="D54" s="8" t="inlineStr">
        <is>
          <t>Field-Programmable Gate Arrays Engineer</t>
        </is>
      </c>
      <c r="E54" s="7" t="inlineStr">
        <is>
          <t>AAA Global</t>
        </is>
      </c>
      <c r="F54" s="8" t="inlineStr">
        <is>
          <t>England, United Kingdom</t>
        </is>
      </c>
      <c r="G54" s="8" t="n"/>
      <c r="H54" s="14" t="n"/>
      <c r="I54" s="15">
        <f>IF($H54="","",$H54-TODAY())</f>
        <v/>
      </c>
      <c r="J54" s="16" t="inlineStr">
        <is>
          <t>Open posting</t>
        </is>
      </c>
      <c r="K54" s="8" t="inlineStr">
        <is>
          <t>FPGA dissertation and Verilog are directly relevant, but role requires professional FPGA/ASIC experience and C++, which the profile lacks.</t>
        </is>
      </c>
      <c r="L54" s="17" t="inlineStr">
        <is>
          <t>new</t>
        </is>
      </c>
      <c r="M54" s="18" t="inlineStr"/>
      <c r="N54" s="7" t="inlineStr">
        <is>
          <t>1d66456f6a8ff61c8aaaa086e50cb68c8646cc0c</t>
        </is>
      </c>
      <c r="O54" s="14" t="n">
        <v>46185</v>
      </c>
      <c r="P54" s="7" t="inlineStr">
        <is>
          <t>jobspy</t>
        </is>
      </c>
      <c r="Q54" s="8" t="inlineStr">
        <is>
          <t>FPGA, Verilog, Vivado, digital design, Python</t>
        </is>
      </c>
      <c r="R54" s="8" t="inlineStr">
        <is>
          <t>Hardware Engineer graduate FPGA digital design</t>
        </is>
      </c>
      <c r="S54" s="19" t="n"/>
      <c r="T54" s="19" t="n"/>
      <c r="U54" s="14" t="n">
        <v>46193</v>
      </c>
      <c r="V54" s="7" t="inlineStr">
        <is>
          <t>v2-cv-accuracy-13b988b18da8ea7d</t>
        </is>
      </c>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5.5</v>
      </c>
      <c r="C55" s="12" t="inlineStr">
        <is>
          <t>Unspecified</t>
        </is>
      </c>
      <c r="D55" s="8" t="inlineStr">
        <is>
          <t>Software Engineer (Yocto / Buildroot) – Next-Generation Space Tech</t>
        </is>
      </c>
      <c r="E55" s="7" t="inlineStr">
        <is>
          <t>GTS Group Ltd</t>
        </is>
      </c>
      <c r="F55" s="8" t="inlineStr">
        <is>
          <t>Loughborough, England, UK</t>
        </is>
      </c>
      <c r="G55" s="8" t="n"/>
      <c r="H55" s="14" t="n"/>
      <c r="I55" s="15">
        <f>IF($H55="","",$H55-TODAY())</f>
        <v/>
      </c>
      <c r="J55" s="16" t="inlineStr">
        <is>
          <t>Open posting</t>
        </is>
      </c>
      <c r="K55" s="8" t="inlineStr">
        <is>
          <t>IoT and embedded systems overlap, but Yocto/Buildroot and bootloader dev are missing from profile; on-site Loughborough may exceed 60-mile radius.</t>
        </is>
      </c>
      <c r="L55" s="17" t="inlineStr">
        <is>
          <t>new</t>
        </is>
      </c>
      <c r="M55" s="18" t="inlineStr"/>
      <c r="N55" s="7" t="inlineStr">
        <is>
          <t>36fc034bb9c49f538199e3290b6484188c50243d</t>
        </is>
      </c>
      <c r="O55" s="14" t="n">
        <v>46174</v>
      </c>
      <c r="P55" s="7" t="inlineStr">
        <is>
          <t>jobspy</t>
        </is>
      </c>
      <c r="Q55" s="8" t="inlineStr">
        <is>
          <t>IoT, STM32, Python, embedded systems, LoRaWAN</t>
        </is>
      </c>
      <c r="R55" s="8" t="inlineStr">
        <is>
          <t>Firmware Engineer Embedded C Microcontroller</t>
        </is>
      </c>
      <c r="S55" s="19" t="n"/>
      <c r="T55" s="19" t="n"/>
      <c r="U55" s="14" t="n">
        <v>46193</v>
      </c>
      <c r="V55" s="7" t="inlineStr">
        <is>
          <t>v2-cv-accuracy-13b988b18da8ea7d</t>
        </is>
      </c>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5.5</v>
      </c>
      <c r="C56" s="12" t="inlineStr">
        <is>
          <t>Unspecified</t>
        </is>
      </c>
      <c r="D56" s="8" t="inlineStr">
        <is>
          <t>Embedded Software Engineer (LDN)</t>
        </is>
      </c>
      <c r="E56" s="7" t="inlineStr">
        <is>
          <t>Cirrus Logic</t>
        </is>
      </c>
      <c r="F56" s="8" t="inlineStr">
        <is>
          <t>London, England, UK</t>
        </is>
      </c>
      <c r="G56" s="8" t="n"/>
      <c r="H56" s="14" t="n"/>
      <c r="I56" s="15">
        <f>IF($H56="","",$H56-TODAY())</f>
        <v/>
      </c>
      <c r="J56" s="16" t="inlineStr">
        <is>
          <t>Open posting</t>
        </is>
      </c>
      <c r="K56" s="8" t="inlineStr">
        <is>
          <t>Strong embedded/DSP/FPGA alignment but role requires professional C/C++ MCU firmware experience beyond candidate's academic level.</t>
        </is>
      </c>
      <c r="L56" s="17" t="inlineStr">
        <is>
          <t>new</t>
        </is>
      </c>
      <c r="M56" s="18" t="inlineStr"/>
      <c r="N56" s="7" t="inlineStr">
        <is>
          <t>864164eb4888b72b85c23bec7ce000d613957a63</t>
        </is>
      </c>
      <c r="O56" s="14" t="n">
        <v>46187</v>
      </c>
      <c r="P56" s="7" t="inlineStr">
        <is>
          <t>jobspy</t>
        </is>
      </c>
      <c r="Q56" s="8" t="inlineStr">
        <is>
          <t>embedded systems, DSP, FPGA, C, digital design</t>
        </is>
      </c>
      <c r="R56" s="8" t="inlineStr">
        <is>
          <t>Embedded Systems Engineer FPGA DSP</t>
        </is>
      </c>
      <c r="S56" s="19" t="n"/>
      <c r="T56" s="19" t="n"/>
      <c r="U56" s="14" t="n">
        <v>46193</v>
      </c>
      <c r="V56" s="7" t="inlineStr">
        <is>
          <t>v2-cv-accuracy-13b988b18da8ea7d</t>
        </is>
      </c>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5.5</v>
      </c>
      <c r="C57" s="12" t="inlineStr">
        <is>
          <t>Unspecified</t>
        </is>
      </c>
      <c r="D57" s="8" t="inlineStr">
        <is>
          <t>Embedded Software Engineer (NWB)</t>
        </is>
      </c>
      <c r="E57" s="7" t="inlineStr">
        <is>
          <t>Cirrus Logic</t>
        </is>
      </c>
      <c r="F57" s="8" t="inlineStr">
        <is>
          <t>London, England, UK</t>
        </is>
      </c>
      <c r="G57" s="8" t="n"/>
      <c r="H57" s="14" t="n"/>
      <c r="I57" s="15">
        <f>IF($H57="","",$H57-TODAY())</f>
        <v/>
      </c>
      <c r="J57" s="16" t="inlineStr">
        <is>
          <t>Open posting</t>
        </is>
      </c>
      <c r="K57" s="8" t="inlineStr">
        <is>
          <t>Same strong embedded alignment as LDN role but location unclear; same gap in professional C/C++ MCU firmware depth.</t>
        </is>
      </c>
      <c r="L57" s="17" t="inlineStr">
        <is>
          <t>new</t>
        </is>
      </c>
      <c r="M57" s="18" t="inlineStr"/>
      <c r="N57" s="7" t="inlineStr">
        <is>
          <t>0b191a5177b6fdce5edb0fe0125d6842582176d6</t>
        </is>
      </c>
      <c r="O57" s="14" t="n">
        <v>46186</v>
      </c>
      <c r="P57" s="7" t="inlineStr">
        <is>
          <t>jobspy</t>
        </is>
      </c>
      <c r="Q57" s="8" t="inlineStr">
        <is>
          <t>embedded systems, DSP, FPGA, C, digital design</t>
        </is>
      </c>
      <c r="R57" s="8" t="inlineStr">
        <is>
          <t>Embedded Systems Engineer FPGA DSP</t>
        </is>
      </c>
      <c r="S57" s="19" t="n"/>
      <c r="T57" s="19" t="n"/>
      <c r="U57" s="14" t="n">
        <v>46193</v>
      </c>
      <c r="V57" s="7" t="inlineStr">
        <is>
          <t>v2-cv-accuracy-13b988b18da8ea7d</t>
        </is>
      </c>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5.5</v>
      </c>
      <c r="C58" s="12" t="inlineStr">
        <is>
          <t>Unspecified</t>
        </is>
      </c>
      <c r="D58" s="8" t="inlineStr">
        <is>
          <t>Software Developer, Risk and Regulatory</t>
        </is>
      </c>
      <c r="E58" s="7" t="inlineStr">
        <is>
          <t>bet365</t>
        </is>
      </c>
      <c r="F58" s="8" t="inlineStr">
        <is>
          <t>Manchester, England, UK</t>
        </is>
      </c>
      <c r="G58" s="8" t="n"/>
      <c r="H58" s="14" t="n"/>
      <c r="I58" s="15">
        <f>IF($H58="","",$H58-TODAY())</f>
        <v/>
      </c>
      <c r="J58" s="16" t="inlineStr">
        <is>
          <t>Open posting</t>
        </is>
      </c>
      <c r="K58" s="8" t="inlineStr">
        <is>
          <t>JavaScript and SQL match but core stack requires Golang and TypeScript which are not in candidate's core skills; Stoke location unclear.</t>
        </is>
      </c>
      <c r="L58" s="17" t="inlineStr">
        <is>
          <t>new</t>
        </is>
      </c>
      <c r="M58" s="18" t="inlineStr"/>
      <c r="N58" s="7" t="inlineStr">
        <is>
          <t>bbea7bd22439c0bc3828a489345a5dcabd3ff61b</t>
        </is>
      </c>
      <c r="O58" s="14" t="n"/>
      <c r="P58" s="7" t="inlineStr">
        <is>
          <t>jobspy</t>
        </is>
      </c>
      <c r="Q58" s="8" t="inlineStr">
        <is>
          <t>JavaScript, SQL, Agile, REST APIs</t>
        </is>
      </c>
      <c r="R58" s="8" t="inlineStr">
        <is>
          <t>Full Stack Developer</t>
        </is>
      </c>
      <c r="S58" s="19" t="n"/>
      <c r="T58" s="19" t="n"/>
      <c r="U58" s="14" t="n">
        <v>46192</v>
      </c>
      <c r="V58" s="7" t="inlineStr">
        <is>
          <t>v2-cv-accuracy-13b988b18da8ea7d</t>
        </is>
      </c>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5.5</v>
      </c>
      <c r="C59" s="12" t="inlineStr">
        <is>
          <t>Senior/Lead</t>
        </is>
      </c>
      <c r="D59" s="8" t="inlineStr">
        <is>
          <t>Data Engineer</t>
        </is>
      </c>
      <c r="E59" s="7" t="inlineStr">
        <is>
          <t>Fasanara Capital</t>
        </is>
      </c>
      <c r="F59" s="8" t="inlineStr">
        <is>
          <t>London, England, UK</t>
        </is>
      </c>
      <c r="G59" s="8" t="n"/>
      <c r="H59" s="14" t="n"/>
      <c r="I59" s="15">
        <f>IF($H59="","",$H59-TODAY())</f>
        <v/>
      </c>
      <c r="J59" s="16" t="inlineStr">
        <is>
          <t>Open posting</t>
        </is>
      </c>
      <c r="K59" s="8" t="inlineStr">
        <is>
          <t>Python and SQL/data pipeline skills match, but role targets crypto fintech with real-time low-latency trading systems beyond candidate's experience level.</t>
        </is>
      </c>
      <c r="L59" s="17" t="inlineStr">
        <is>
          <t>new</t>
        </is>
      </c>
      <c r="M59" s="18" t="inlineStr"/>
      <c r="N59" s="7" t="inlineStr">
        <is>
          <t>b2f150dae5218a0d0347341c053ad35bc38f8958</t>
        </is>
      </c>
      <c r="O59" s="14" t="n">
        <v>46175</v>
      </c>
      <c r="P59" s="7" t="inlineStr">
        <is>
          <t>jobspy</t>
        </is>
      </c>
      <c r="Q59" s="8" t="inlineStr">
        <is>
          <t>Python, SQL, data pipelines, API integration, backend development</t>
        </is>
      </c>
      <c r="R59" s="8" t="inlineStr">
        <is>
          <t>Graduate Data Engineer SQL Python pipeline</t>
        </is>
      </c>
      <c r="S59" s="19" t="n"/>
      <c r="T59" s="19" t="n"/>
      <c r="U59" s="14" t="n">
        <v>46192</v>
      </c>
      <c r="V59" s="7" t="inlineStr">
        <is>
          <t>v2-cv-accuracy-13b988b18da8ea7d</t>
        </is>
      </c>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5.5</v>
      </c>
      <c r="C60" s="12" t="inlineStr">
        <is>
          <t>Unspecified</t>
        </is>
      </c>
      <c r="D60" s="8" t="inlineStr">
        <is>
          <t>Data Engineer</t>
        </is>
      </c>
      <c r="E60" s="7" t="inlineStr">
        <is>
          <t>Investigo</t>
        </is>
      </c>
      <c r="F60" s="8" t="inlineStr">
        <is>
          <t>Birmingham, England, UK</t>
        </is>
      </c>
      <c r="G60" s="8" t="n"/>
      <c r="H60" s="14" t="n"/>
      <c r="I60" s="15">
        <f>IF($H60="","",$H60-TODAY())</f>
        <v/>
      </c>
      <c r="J60" s="16" t="inlineStr">
        <is>
          <t>Open posting</t>
        </is>
      </c>
      <c r="K60" s="8" t="inlineStr">
        <is>
          <t>SQL, Python, Docker, API integration match well, but role expects cloud data warehouse and Airflow experience not evidenced in the profile.</t>
        </is>
      </c>
      <c r="L60" s="17" t="inlineStr">
        <is>
          <t>new</t>
        </is>
      </c>
      <c r="M60" s="18" t="inlineStr"/>
      <c r="N60" s="7" t="inlineStr">
        <is>
          <t>209242566c1938717eed2a3d254c0abb85aa200a</t>
        </is>
      </c>
      <c r="O60" s="14" t="n">
        <v>46181</v>
      </c>
      <c r="P60" s="7" t="inlineStr">
        <is>
          <t>jobspy</t>
        </is>
      </c>
      <c r="Q60" s="8" t="inlineStr">
        <is>
          <t>Python, SQL, Docker, API integration, Git</t>
        </is>
      </c>
      <c r="R60" s="8" t="inlineStr">
        <is>
          <t>Graduate Data Engineer SQL Python pipeline</t>
        </is>
      </c>
      <c r="S60" s="19" t="n"/>
      <c r="T60" s="19" t="n"/>
      <c r="U60" s="14" t="n">
        <v>46192</v>
      </c>
      <c r="V60" s="7" t="inlineStr">
        <is>
          <t>v2-cv-accuracy-13b988b18da8ea7d</t>
        </is>
      </c>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5.5</v>
      </c>
      <c r="C61" s="12" t="inlineStr">
        <is>
          <t>Unspecified</t>
        </is>
      </c>
      <c r="D61" s="8" t="inlineStr">
        <is>
          <t>Validation Engineer</t>
        </is>
      </c>
      <c r="E61" s="7" t="inlineStr">
        <is>
          <t>Cirrus Logic</t>
        </is>
      </c>
      <c r="F61" s="8" t="inlineStr">
        <is>
          <t>Edinburgh, Scotland, UK</t>
        </is>
      </c>
      <c r="G61" s="8" t="n"/>
      <c r="H61" s="14" t="n"/>
      <c r="I61" s="15">
        <f>IF($H61="","",$H61-TODAY())</f>
        <v/>
      </c>
      <c r="J61" s="16" t="inlineStr">
        <is>
          <t>Open posting</t>
        </is>
      </c>
      <c r="K61" s="8" t="inlineStr">
        <is>
          <t>Electronics degree and Python/hardware skills align, but role needs analog/mixed-signal validation and PCB design experience not evidenced in profile.</t>
        </is>
      </c>
      <c r="L61" s="17" t="inlineStr">
        <is>
          <t>new</t>
        </is>
      </c>
      <c r="M61" s="18" t="inlineStr"/>
      <c r="N61" s="7" t="inlineStr">
        <is>
          <t>2746feee3ae53f62b800611973c920e0eeace21b</t>
        </is>
      </c>
      <c r="O61" s="14" t="n">
        <v>46170</v>
      </c>
      <c r="P61" s="7" t="inlineStr">
        <is>
          <t>jobspy</t>
        </is>
      </c>
      <c r="Q61" s="8" t="inlineStr">
        <is>
          <t>Python, FPGA, digital design, embedded systems, hardware design</t>
        </is>
      </c>
      <c r="R61" s="8" t="inlineStr">
        <is>
          <t>Graduate Verification Engineer Verilog digital</t>
        </is>
      </c>
      <c r="S61" s="19" t="n"/>
      <c r="T61" s="19" t="n"/>
      <c r="U61" s="14" t="n">
        <v>46192</v>
      </c>
      <c r="V61" s="7" t="inlineStr">
        <is>
          <t>v2-cv-accuracy-13b988b18da8ea7d</t>
        </is>
      </c>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5.5</v>
      </c>
      <c r="C62" s="12" t="inlineStr">
        <is>
          <t>Senior/Lead</t>
        </is>
      </c>
      <c r="D62" s="8" t="inlineStr">
        <is>
          <t>DevOps Engineer</t>
        </is>
      </c>
      <c r="E62" s="7" t="inlineStr">
        <is>
          <t>Next</t>
        </is>
      </c>
      <c r="F62" s="8" t="inlineStr">
        <is>
          <t>Leicester, England, UK</t>
        </is>
      </c>
      <c r="G62" s="8" t="n"/>
      <c r="H62" s="14" t="n"/>
      <c r="I62" s="15">
        <f>IF($H62="","",$H62-TODAY())</f>
        <v/>
      </c>
      <c r="J62" s="16" t="inlineStr">
        <is>
          <t>Open posting</t>
        </is>
      </c>
      <c r="K62" s="8" t="inlineStr">
        <is>
          <t>Docker, Kubernetes, Git, and CI/CD are present in profile; role lacks hardware focus and JD detail on seniority/salary is thin.</t>
        </is>
      </c>
      <c r="L62" s="17" t="inlineStr">
        <is>
          <t>new</t>
        </is>
      </c>
      <c r="M62" s="18" t="inlineStr"/>
      <c r="N62" s="7" t="inlineStr">
        <is>
          <t>e061a7e5945e808fce2c5563a4fcb6363cb92762</t>
        </is>
      </c>
      <c r="O62" s="14" t="n">
        <v>46188</v>
      </c>
      <c r="P62" s="7" t="inlineStr">
        <is>
          <t>jobspy</t>
        </is>
      </c>
      <c r="Q62" s="8" t="inlineStr">
        <is>
          <t>Docker, Kubernetes, Git, CI/CD, Python</t>
        </is>
      </c>
      <c r="R62" s="8" t="inlineStr">
        <is>
          <t>Graduate DevOps Engineer Docker Kubernetes Git</t>
        </is>
      </c>
      <c r="S62" s="19" t="n"/>
      <c r="T62" s="19" t="n"/>
      <c r="U62" s="14" t="n">
        <v>46192</v>
      </c>
      <c r="V62" s="7" t="inlineStr">
        <is>
          <t>v2-cv-accuracy-13b988b18da8ea7d</t>
        </is>
      </c>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5.5</v>
      </c>
      <c r="C63" s="12" t="inlineStr">
        <is>
          <t>Unspecified</t>
        </is>
      </c>
      <c r="D63" s="8" t="inlineStr">
        <is>
          <t>DevOps Engineer</t>
        </is>
      </c>
      <c r="E63" s="7" t="inlineStr">
        <is>
          <t>CGI</t>
        </is>
      </c>
      <c r="F63" s="8" t="inlineStr">
        <is>
          <t>Gloucester, England, UK</t>
        </is>
      </c>
      <c r="G63" s="8" t="n"/>
      <c r="H63" s="14" t="n"/>
      <c r="I63" s="15">
        <f>IF($H63="","",$H63-TODAY())</f>
        <v/>
      </c>
      <c r="J63" s="16" t="inlineStr">
        <is>
          <t>Open posting</t>
        </is>
      </c>
      <c r="K63" s="8" t="inlineStr">
        <is>
          <t>Docker/Kubernetes and Python match, but role needs strong DevOps experience, is Gloucester on-site only, and likely needs SC clearance.</t>
        </is>
      </c>
      <c r="L63" s="17" t="inlineStr">
        <is>
          <t>new</t>
        </is>
      </c>
      <c r="M63" s="18" t="inlineStr"/>
      <c r="N63" s="7" t="inlineStr">
        <is>
          <t>c2544d95879d9c0cea3bd590575b0e121b87b9c0</t>
        </is>
      </c>
      <c r="O63" s="14" t="n">
        <v>46173</v>
      </c>
      <c r="P63" s="7" t="inlineStr">
        <is>
          <t>jobspy</t>
        </is>
      </c>
      <c r="Q63" s="8" t="inlineStr">
        <is>
          <t>Docker, Kubernetes, Python, MySQL, Git</t>
        </is>
      </c>
      <c r="R63" s="8" t="inlineStr">
        <is>
          <t>Graduate DevOps Engineer Docker Kubernetes Git</t>
        </is>
      </c>
      <c r="S63" s="19" t="n"/>
      <c r="T63" s="19" t="n"/>
      <c r="U63" s="14" t="n">
        <v>46192</v>
      </c>
      <c r="V63" s="7" t="inlineStr">
        <is>
          <t>v2-cv-accuracy-13b988b18da8ea7d</t>
        </is>
      </c>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5.2</v>
      </c>
      <c r="C64" s="12" t="inlineStr">
        <is>
          <t>Mid-level</t>
        </is>
      </c>
      <c r="D64" s="8" t="inlineStr">
        <is>
          <t>Full-Stack Developer</t>
        </is>
      </c>
      <c r="E64" s="7" t="inlineStr">
        <is>
          <t>Intec Select</t>
        </is>
      </c>
      <c r="F64" s="8" t="inlineStr">
        <is>
          <t>London Area, United Kingdom</t>
        </is>
      </c>
      <c r="G64" s="8" t="n"/>
      <c r="H64" s="14" t="n"/>
      <c r="I64" s="15">
        <f>IF($H64="","",$H64-TODAY())</f>
        <v/>
      </c>
      <c r="J64" s="16" t="inlineStr">
        <is>
          <t>Open posting</t>
        </is>
      </c>
      <c r="K64" s="8" t="inlineStr">
        <is>
          <t>React, Node.js, SQL, Git match adjacent skills, but TypeScript is absent from profile and role is London-based with no salary stated.</t>
        </is>
      </c>
      <c r="L64" s="17" t="inlineStr">
        <is>
          <t>new</t>
        </is>
      </c>
      <c r="M64" s="18" t="inlineStr"/>
      <c r="N64" s="7" t="inlineStr">
        <is>
          <t>5405a5d5c62ae4fee126e91fbd86164a62cb2367</t>
        </is>
      </c>
      <c r="O64" s="14" t="n">
        <v>46177</v>
      </c>
      <c r="P64" s="7" t="inlineStr">
        <is>
          <t>jobspy</t>
        </is>
      </c>
      <c r="Q64" s="8" t="inlineStr">
        <is>
          <t>React, Node.js, SQL, Git, Docker</t>
        </is>
      </c>
      <c r="R64" s="8" t="inlineStr">
        <is>
          <t>Junior Python Developer backend SQL Docker</t>
        </is>
      </c>
      <c r="S64" s="19" t="n"/>
      <c r="T64" s="19" t="n"/>
      <c r="U64" s="14" t="n">
        <v>46196</v>
      </c>
      <c r="V64" s="7" t="inlineStr">
        <is>
          <t>v2-cv-accuracy-13b988b18da8ea7d</t>
        </is>
      </c>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5.2</v>
      </c>
      <c r="C65" s="12" t="inlineStr">
        <is>
          <t>Mid-level</t>
        </is>
      </c>
      <c r="D65" s="8" t="inlineStr">
        <is>
          <t>Back End Developer</t>
        </is>
      </c>
      <c r="E65" s="7" t="inlineStr">
        <is>
          <t>Spotted Recruitment</t>
        </is>
      </c>
      <c r="F65" s="8" t="inlineStr">
        <is>
          <t>Manchester, England, UK</t>
        </is>
      </c>
      <c r="G65" s="8" t="n"/>
      <c r="H65" s="14" t="n"/>
      <c r="I65" s="15">
        <f>IF($H65="","",$H65-TODAY())</f>
        <v/>
      </c>
      <c r="J65" s="16" t="inlineStr">
        <is>
          <t>Open posting</t>
        </is>
      </c>
      <c r="K65" s="8" t="inlineStr">
        <is>
          <t>SQL and backend/API skills match well but role requires commercial backend experience and Manchester office attendance weekly, location borderline.</t>
        </is>
      </c>
      <c r="L65" s="17" t="inlineStr">
        <is>
          <t>new</t>
        </is>
      </c>
      <c r="M65" s="18" t="inlineStr"/>
      <c r="N65" s="7" t="inlineStr">
        <is>
          <t>d624f3981eeac0e5726df90b0fc9001a22a10a74</t>
        </is>
      </c>
      <c r="O65" s="14" t="n">
        <v>46181</v>
      </c>
      <c r="P65" s="7" t="inlineStr">
        <is>
          <t>jobspy</t>
        </is>
      </c>
      <c r="Q65" s="8" t="inlineStr">
        <is>
          <t>SQL, MySQL, API integration, Python, Git</t>
        </is>
      </c>
      <c r="R65" s="8" t="inlineStr">
        <is>
          <t>Junior Python Developer backend SQL Sheffield</t>
        </is>
      </c>
      <c r="S65" s="19" t="n"/>
      <c r="T65" s="19" t="n"/>
      <c r="U65" s="14" t="n">
        <v>46193</v>
      </c>
      <c r="V65" s="7" t="inlineStr">
        <is>
          <t>v2-cv-accuracy-13b988b18da8ea7d</t>
        </is>
      </c>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5.2</v>
      </c>
      <c r="C66" s="12" t="inlineStr">
        <is>
          <t>Senior/Lead</t>
        </is>
      </c>
      <c r="D66" s="8" t="inlineStr">
        <is>
          <t>Data &amp; ML Platform Engineer</t>
        </is>
      </c>
      <c r="E66" s="7" t="inlineStr">
        <is>
          <t>TEKEVER</t>
        </is>
      </c>
      <c r="F66" s="8" t="inlineStr">
        <is>
          <t>Greater Bristol Area, United Kingdom</t>
        </is>
      </c>
      <c r="G66" s="8" t="n"/>
      <c r="H66" s="14" t="n"/>
      <c r="I66" s="15">
        <f>IF($H66="","",$H66-TODAY())</f>
        <v/>
      </c>
      <c r="J66" s="16" t="inlineStr">
        <is>
          <t>Open posting</t>
        </is>
      </c>
      <c r="K66" s="8" t="inlineStr">
        <is>
          <t>SQL, Docker, Kubernetes, and API integration match, but role requires MLOps/data science background and cloud platform experience absent from profile.</t>
        </is>
      </c>
      <c r="L66" s="17" t="inlineStr">
        <is>
          <t>new</t>
        </is>
      </c>
      <c r="M66" s="18" t="inlineStr"/>
      <c r="N66" s="7" t="inlineStr">
        <is>
          <t>860bf314a5c820450850c1a72e588a4fb721873f</t>
        </is>
      </c>
      <c r="O66" s="14" t="n">
        <v>46185</v>
      </c>
      <c r="P66" s="7" t="inlineStr">
        <is>
          <t>jobspy</t>
        </is>
      </c>
      <c r="Q66" s="8" t="inlineStr">
        <is>
          <t>SQL, Docker, Kubernetes, API integration, Python</t>
        </is>
      </c>
      <c r="R66" s="8" t="inlineStr">
        <is>
          <t>Graduate Data Engineer Python SQL MySQL</t>
        </is>
      </c>
      <c r="S66" s="19" t="n"/>
      <c r="T66" s="19" t="n"/>
      <c r="U66" s="14" t="n">
        <v>46193</v>
      </c>
      <c r="V66" s="7" t="inlineStr">
        <is>
          <t>v2-cv-accuracy-13b988b18da8ea7d</t>
        </is>
      </c>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v>
      </c>
      <c r="C67" s="12" t="inlineStr">
        <is>
          <t>Graduate/Entry</t>
        </is>
      </c>
      <c r="D67" s="8" t="inlineStr">
        <is>
          <t>Graduate Cloud and AI Engineer</t>
        </is>
      </c>
      <c r="E67" s="7" t="inlineStr">
        <is>
          <t>Reply</t>
        </is>
      </c>
      <c r="F67" s="8" t="inlineStr">
        <is>
          <t>Manchester Area, United Kingdom</t>
        </is>
      </c>
      <c r="G67" s="8" t="n"/>
      <c r="H67" s="14" t="n"/>
      <c r="I67" s="15">
        <f>IF($H67="","",$H67-TODAY())</f>
        <v/>
      </c>
      <c r="J67" s="16" t="inlineStr">
        <is>
          <t>Open posting</t>
        </is>
      </c>
      <c r="K67" s="8" t="inlineStr">
        <is>
          <t>Graduate cloud/AI role is level-appropriate and IoT/API skills match, but AWS-heavy focus and no evidence of AWS or frontend experience in profile.</t>
        </is>
      </c>
      <c r="L67" s="17" t="inlineStr">
        <is>
          <t>new</t>
        </is>
      </c>
      <c r="M67" s="18" t="inlineStr"/>
      <c r="N67" s="7" t="inlineStr">
        <is>
          <t>7537e762b73b86e2271ca923dca542ce22af351a</t>
        </is>
      </c>
      <c r="O67" s="14" t="n">
        <v>46196</v>
      </c>
      <c r="P67" s="7" t="inlineStr">
        <is>
          <t>jobspy</t>
        </is>
      </c>
      <c r="Q67" s="8" t="inlineStr">
        <is>
          <t>Python, IoT, API integration, Docker, backend development</t>
        </is>
      </c>
      <c r="R67" s="8" t="inlineStr">
        <is>
          <t>Graduate Software Engineer Python Docker Kubernetes</t>
        </is>
      </c>
      <c r="S67" s="19" t="n"/>
      <c r="T67" s="19" t="n"/>
      <c r="U67" s="14" t="n">
        <v>46197</v>
      </c>
      <c r="V67" s="7" t="inlineStr">
        <is>
          <t>v2-cv-accuracy-13b988b18da8ea7d</t>
        </is>
      </c>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v>
      </c>
      <c r="C68" s="12" t="inlineStr">
        <is>
          <t>Unspecified</t>
        </is>
      </c>
      <c r="D68" s="8" t="inlineStr">
        <is>
          <t>Signal Processing Software Engineer</t>
        </is>
      </c>
      <c r="E68" s="7" t="inlineStr">
        <is>
          <t>SII Group UK</t>
        </is>
      </c>
      <c r="F68" s="8" t="inlineStr">
        <is>
          <t>Manchester, England, UK</t>
        </is>
      </c>
      <c r="G68" s="8" t="n"/>
      <c r="H68" s="14" t="n"/>
      <c r="I68" s="15">
        <f>IF($H68="","",$H68-TODAY())</f>
        <v/>
      </c>
      <c r="J68" s="16" t="inlineStr">
        <is>
          <t>Open posting</t>
        </is>
      </c>
      <c r="K68" s="8" t="inlineStr">
        <is>
          <t>Signal processing is adjacent but role requires strong C++ and Linux software engineering depth not evidenced in profile.</t>
        </is>
      </c>
      <c r="L68" s="17" t="inlineStr">
        <is>
          <t>new</t>
        </is>
      </c>
      <c r="M68" s="18" t="inlineStr"/>
      <c r="N68" s="7" t="inlineStr">
        <is>
          <t>afcfb82e4c48bb51c551a4b576e6ec101b8e36a2</t>
        </is>
      </c>
      <c r="O68" s="14" t="n">
        <v>46176</v>
      </c>
      <c r="P68" s="7" t="inlineStr">
        <is>
          <t>jobspy</t>
        </is>
      </c>
      <c r="Q68" s="8" t="inlineStr">
        <is>
          <t>signal processing, Git, Linux, C</t>
        </is>
      </c>
      <c r="R68" s="8" t="inlineStr">
        <is>
          <t>Signal Processing Engineer graduate DSP</t>
        </is>
      </c>
      <c r="S68" s="19" t="n"/>
      <c r="T68" s="19" t="n"/>
      <c r="U68" s="14" t="n">
        <v>46195</v>
      </c>
      <c r="V68" s="7" t="inlineStr">
        <is>
          <t>v2-cv-accuracy-13b988b18da8ea7d</t>
        </is>
      </c>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v>
      </c>
      <c r="C69" s="12" t="inlineStr">
        <is>
          <t>Mid-level</t>
        </is>
      </c>
      <c r="D69" s="8" t="inlineStr">
        <is>
          <t>Software Engineer I</t>
        </is>
      </c>
      <c r="E69" s="7" t="inlineStr">
        <is>
          <t>RELX</t>
        </is>
      </c>
      <c r="F69" s="8" t="inlineStr">
        <is>
          <t>Cardiff, Wales, UK</t>
        </is>
      </c>
      <c r="G69" s="8" t="n"/>
      <c r="H69" s="14" t="n"/>
      <c r="I69" s="15">
        <f>IF($H69="","",$H69-TODAY())</f>
        <v/>
      </c>
      <c r="J69" s="16" t="inlineStr">
        <is>
          <t>Open posting</t>
        </is>
      </c>
      <c r="K69" s="8" t="inlineStr">
        <is>
          <t>PHP and Go are hard requirements absent from the profile; Python interest credited but core stack mismatch is significant.</t>
        </is>
      </c>
      <c r="L69" s="17" t="inlineStr">
        <is>
          <t>new</t>
        </is>
      </c>
      <c r="M69" s="18" t="inlineStr"/>
      <c r="N69" s="7" t="inlineStr">
        <is>
          <t>91b7f65840c7d67e2b79c8a305d73fe079a8d807</t>
        </is>
      </c>
      <c r="O69" s="14" t="n">
        <v>46184</v>
      </c>
      <c r="P69" s="7" t="inlineStr">
        <is>
          <t>jobspy</t>
        </is>
      </c>
      <c r="Q69" s="8" t="inlineStr">
        <is>
          <t>Python, CI/CD, Agile, Git</t>
        </is>
      </c>
      <c r="R69" s="8" t="inlineStr">
        <is>
          <t>entry level Full Stack Developer</t>
        </is>
      </c>
      <c r="S69" s="19" t="n"/>
      <c r="T69" s="19" t="n"/>
      <c r="U69" s="14" t="n">
        <v>46192</v>
      </c>
      <c r="V69" s="7" t="inlineStr">
        <is>
          <t>v2-cv-accuracy-13b988b18da8ea7d</t>
        </is>
      </c>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v>
      </c>
      <c r="C70" s="12" t="inlineStr">
        <is>
          <t>Unspecified</t>
        </is>
      </c>
      <c r="D70" s="8" t="inlineStr">
        <is>
          <t>Security Shift Officer</t>
        </is>
      </c>
      <c r="E70" s="7" t="inlineStr">
        <is>
          <t>Dyson</t>
        </is>
      </c>
      <c r="F70" s="8" t="inlineStr">
        <is>
          <t>United Kingdom - Malmesbury Office</t>
        </is>
      </c>
      <c r="G70" s="8" t="n"/>
      <c r="H70" s="14" t="n"/>
      <c r="I70" s="15">
        <f>IF($H70="","",$H70-TODAY())</f>
        <v/>
      </c>
      <c r="J70" s="16" t="inlineStr">
        <is>
          <t>Open posting</t>
        </is>
      </c>
      <c r="K70" s="8" t="n"/>
      <c r="L70" s="17" t="inlineStr">
        <is>
          <t>new</t>
        </is>
      </c>
      <c r="M70" s="18" t="inlineStr"/>
      <c r="N70" s="7" t="inlineStr">
        <is>
          <t>7086bd3d2bb244a5ec739c047c5375c0790713ad</t>
        </is>
      </c>
      <c r="O70" s="14" t="n"/>
      <c r="P70" s="7" t="inlineStr">
        <is>
          <t>workday</t>
        </is>
      </c>
      <c r="Q70" s="8" t="inlineStr"/>
      <c r="R70" s="8" t="n"/>
      <c r="S70" s="19" t="n"/>
      <c r="T70" s="19" t="n"/>
      <c r="U70" s="14" t="n">
        <v>46190</v>
      </c>
      <c r="V70" s="7" t="n"/>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v>
      </c>
      <c r="C71" s="12" t="inlineStr">
        <is>
          <t>Graduate/Entry</t>
        </is>
      </c>
      <c r="D71" s="8" t="inlineStr">
        <is>
          <t>Advanced New Product Development Graduate Engineer</t>
        </is>
      </c>
      <c r="E71" s="7" t="inlineStr">
        <is>
          <t>Dyson</t>
        </is>
      </c>
      <c r="F71" s="8" t="inlineStr">
        <is>
          <t>Malaysia - Global Development Campus, Johor Bahru</t>
        </is>
      </c>
      <c r="G71" s="8" t="n"/>
      <c r="H71" s="14" t="n"/>
      <c r="I71" s="15">
        <f>IF($H71="","",$H71-TODAY())</f>
        <v/>
      </c>
      <c r="J71" s="16" t="inlineStr">
        <is>
          <t>Open posting</t>
        </is>
      </c>
      <c r="K71" s="8" t="n"/>
      <c r="L71" s="17" t="inlineStr">
        <is>
          <t>new</t>
        </is>
      </c>
      <c r="M71" s="18" t="inlineStr"/>
      <c r="N71" s="7" t="inlineStr">
        <is>
          <t>beb74ed40776b5937ce915f3513ac0700cce6e4b</t>
        </is>
      </c>
      <c r="O71" s="14" t="n"/>
      <c r="P71" s="7" t="inlineStr">
        <is>
          <t>workday</t>
        </is>
      </c>
      <c r="Q71" s="8" t="inlineStr"/>
      <c r="R71" s="8" t="n"/>
      <c r="S71" s="19" t="n"/>
      <c r="T71" s="19" t="n"/>
      <c r="U71" s="14" t="n">
        <v>46190</v>
      </c>
      <c r="V71" s="7" t="n"/>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v>
      </c>
      <c r="C72" s="12" t="inlineStr">
        <is>
          <t>Unspecified</t>
        </is>
      </c>
      <c r="D72" s="8" t="inlineStr">
        <is>
          <t>Retail Expert (CDD)</t>
        </is>
      </c>
      <c r="E72" s="7" t="inlineStr">
        <is>
          <t>Dyson</t>
        </is>
      </c>
      <c r="F72" s="8" t="inlineStr">
        <is>
          <t>France - Paris Opera Demo Store</t>
        </is>
      </c>
      <c r="G72" s="8" t="n"/>
      <c r="H72" s="14" t="n"/>
      <c r="I72" s="15">
        <f>IF($H72="","",$H72-TODAY())</f>
        <v/>
      </c>
      <c r="J72" s="16" t="inlineStr">
        <is>
          <t>Open posting</t>
        </is>
      </c>
      <c r="K72" s="8" t="n"/>
      <c r="L72" s="17" t="inlineStr">
        <is>
          <t>new</t>
        </is>
      </c>
      <c r="M72" s="18" t="inlineStr"/>
      <c r="N72" s="7" t="inlineStr">
        <is>
          <t>329ac8c8fba466ae0e76c0feaadb235f527d90a4</t>
        </is>
      </c>
      <c r="O72" s="14" t="n"/>
      <c r="P72" s="7" t="inlineStr">
        <is>
          <t>workday</t>
        </is>
      </c>
      <c r="Q72" s="8" t="inlineStr"/>
      <c r="R72" s="8" t="n"/>
      <c r="S72" s="19" t="n"/>
      <c r="T72" s="19" t="n"/>
      <c r="U72" s="14" t="n">
        <v>46190</v>
      </c>
      <c r="V72" s="7" t="n"/>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v>
      </c>
      <c r="C73" s="12" t="inlineStr">
        <is>
          <t>Manager/Owner</t>
        </is>
      </c>
      <c r="D73" s="8" t="inlineStr">
        <is>
          <t>General Sales Manager</t>
        </is>
      </c>
      <c r="E73" s="7" t="inlineStr">
        <is>
          <t>Dyson</t>
        </is>
      </c>
      <c r="F73" s="8" t="inlineStr">
        <is>
          <t>India - Bangalore Sales Office</t>
        </is>
      </c>
      <c r="G73" s="8" t="n"/>
      <c r="H73" s="14" t="n"/>
      <c r="I73" s="15">
        <f>IF($H73="","",$H73-TODAY())</f>
        <v/>
      </c>
      <c r="J73" s="16" t="inlineStr">
        <is>
          <t>Open posting</t>
        </is>
      </c>
      <c r="K73" s="8" t="n"/>
      <c r="L73" s="17" t="inlineStr">
        <is>
          <t>new</t>
        </is>
      </c>
      <c r="M73" s="18" t="inlineStr"/>
      <c r="N73" s="7" t="inlineStr">
        <is>
          <t>dbe57fe2564478c04f8fc4963cf8a59fa5ed2ce9</t>
        </is>
      </c>
      <c r="O73" s="14" t="n"/>
      <c r="P73" s="7" t="inlineStr">
        <is>
          <t>workday</t>
        </is>
      </c>
      <c r="Q73" s="8" t="inlineStr"/>
      <c r="R73" s="8" t="n"/>
      <c r="S73" s="19" t="n"/>
      <c r="T73" s="19" t="n"/>
      <c r="U73" s="14" t="n">
        <v>46190</v>
      </c>
      <c r="V73" s="7" t="n"/>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v>
      </c>
      <c r="C74" s="12" t="inlineStr">
        <is>
          <t>Unspecified</t>
        </is>
      </c>
      <c r="D74" s="8" t="inlineStr">
        <is>
          <t>Retail Sales Assistant - Various Locations</t>
        </is>
      </c>
      <c r="E74" s="7" t="inlineStr">
        <is>
          <t>Dyson</t>
        </is>
      </c>
      <c r="F74" s="8" t="inlineStr">
        <is>
          <t>Australia - Victoria Remote</t>
        </is>
      </c>
      <c r="G74" s="8" t="n"/>
      <c r="H74" s="14" t="n"/>
      <c r="I74" s="15">
        <f>IF($H74="","",$H74-TODAY())</f>
        <v/>
      </c>
      <c r="J74" s="16" t="inlineStr">
        <is>
          <t>Open posting</t>
        </is>
      </c>
      <c r="K74" s="8" t="n"/>
      <c r="L74" s="17" t="inlineStr">
        <is>
          <t>new</t>
        </is>
      </c>
      <c r="M74" s="18" t="inlineStr"/>
      <c r="N74" s="7" t="inlineStr">
        <is>
          <t>7d800bdd1ed7c1051307dd72af11ebde27e0b518</t>
        </is>
      </c>
      <c r="O74" s="14" t="n"/>
      <c r="P74" s="7" t="inlineStr">
        <is>
          <t>workday</t>
        </is>
      </c>
      <c r="Q74" s="8" t="inlineStr"/>
      <c r="R74" s="8" t="n"/>
      <c r="S74" s="19" t="n"/>
      <c r="T74" s="19" t="n"/>
      <c r="U74" s="14" t="n">
        <v>46190</v>
      </c>
      <c r="V74" s="7" t="n"/>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v>
      </c>
      <c r="C75" s="12" t="inlineStr">
        <is>
          <t>Manager/Owner</t>
        </is>
      </c>
      <c r="D75" s="8" t="inlineStr">
        <is>
          <t>Marketplaces Manager</t>
        </is>
      </c>
      <c r="E75" s="7" t="inlineStr">
        <is>
          <t>Dyson</t>
        </is>
      </c>
      <c r="F75" s="8" t="inlineStr">
        <is>
          <t>Netherlands - Amsterdam Office</t>
        </is>
      </c>
      <c r="G75" s="8" t="n"/>
      <c r="H75" s="14" t="n"/>
      <c r="I75" s="15">
        <f>IF($H75="","",$H75-TODAY())</f>
        <v/>
      </c>
      <c r="J75" s="16" t="inlineStr">
        <is>
          <t>Open posting</t>
        </is>
      </c>
      <c r="K75" s="8" t="n"/>
      <c r="L75" s="17" t="inlineStr">
        <is>
          <t>new</t>
        </is>
      </c>
      <c r="M75" s="18" t="inlineStr"/>
      <c r="N75" s="7" t="inlineStr">
        <is>
          <t>62008e66bd3022ebaa97fbad1090a43197b0edbf</t>
        </is>
      </c>
      <c r="O75" s="14" t="n"/>
      <c r="P75" s="7" t="inlineStr">
        <is>
          <t>workday</t>
        </is>
      </c>
      <c r="Q75" s="8" t="inlineStr"/>
      <c r="R75" s="8" t="n"/>
      <c r="S75" s="19" t="n"/>
      <c r="T75" s="19" t="n"/>
      <c r="U75" s="14" t="n">
        <v>46190</v>
      </c>
      <c r="V75" s="7" t="n"/>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Unspecified</t>
        </is>
      </c>
      <c r="D76" s="8" t="inlineStr">
        <is>
          <t>Trading Activation Executive (Parental Leave Cover)</t>
        </is>
      </c>
      <c r="E76" s="7" t="inlineStr">
        <is>
          <t>Dyson</t>
        </is>
      </c>
      <c r="F76" s="8" t="inlineStr">
        <is>
          <t>Sweden - Stockholm Office</t>
        </is>
      </c>
      <c r="G76" s="8" t="n"/>
      <c r="H76" s="14" t="n"/>
      <c r="I76" s="15">
        <f>IF($H76="","",$H76-TODAY())</f>
        <v/>
      </c>
      <c r="J76" s="16" t="inlineStr">
        <is>
          <t>Open posting</t>
        </is>
      </c>
      <c r="K76" s="8" t="n"/>
      <c r="L76" s="17" t="inlineStr">
        <is>
          <t>new</t>
        </is>
      </c>
      <c r="M76" s="18" t="inlineStr"/>
      <c r="N76" s="7" t="inlineStr">
        <is>
          <t>239fac7818f94dd7509d0a00518e1333aaa8675f</t>
        </is>
      </c>
      <c r="O76" s="14" t="n"/>
      <c r="P76" s="7" t="inlineStr">
        <is>
          <t>workday</t>
        </is>
      </c>
      <c r="Q76" s="8" t="inlineStr"/>
      <c r="R76" s="8" t="n"/>
      <c r="S76" s="19" t="n"/>
      <c r="T76" s="19" t="n"/>
      <c r="U76" s="14" t="n">
        <v>46190</v>
      </c>
      <c r="V76" s="7" t="n"/>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Graduate/Entry</t>
        </is>
      </c>
      <c r="D77" s="8" t="inlineStr">
        <is>
          <t>2026 Graduate Firmware Engineer</t>
        </is>
      </c>
      <c r="E77" s="7" t="inlineStr">
        <is>
          <t>Graphcore</t>
        </is>
      </c>
      <c r="F77" s="8" t="inlineStr">
        <is>
          <t>Bristol, UK</t>
        </is>
      </c>
      <c r="G77" s="8" t="n"/>
      <c r="H77" s="14" t="n"/>
      <c r="I77" s="15">
        <f>IF($H77="","",$H77-TODAY())</f>
        <v/>
      </c>
      <c r="J77" s="16" t="inlineStr">
        <is>
          <t>Open posting</t>
        </is>
      </c>
      <c r="K77" s="8" t="n"/>
      <c r="L77" s="17" t="inlineStr">
        <is>
          <t>new</t>
        </is>
      </c>
      <c r="M77" s="18" t="inlineStr"/>
      <c r="N77" s="7" t="inlineStr">
        <is>
          <t>31853c891a9612d645ea869eff2f79c20c7f21fb</t>
        </is>
      </c>
      <c r="O77" s="14" t="n">
        <v>46189</v>
      </c>
      <c r="P77" s="7" t="inlineStr">
        <is>
          <t>greenhouse:graphcore</t>
        </is>
      </c>
      <c r="Q77" s="8" t="inlineStr"/>
      <c r="R77" s="8" t="n"/>
      <c r="S77" s="19" t="n"/>
      <c r="T77" s="19" t="n"/>
      <c r="U77" s="14" t="n">
        <v>46189</v>
      </c>
      <c r="V77" s="7" t="n"/>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Graduate/Entry</t>
        </is>
      </c>
      <c r="D78" s="8" t="inlineStr">
        <is>
          <t>2026 Graduate Software Engineer - Drivers</t>
        </is>
      </c>
      <c r="E78" s="7" t="inlineStr">
        <is>
          <t>Graphcore</t>
        </is>
      </c>
      <c r="F78" s="8" t="inlineStr">
        <is>
          <t>Bristol, UK</t>
        </is>
      </c>
      <c r="G78" s="8" t="n"/>
      <c r="H78" s="14" t="n"/>
      <c r="I78" s="15">
        <f>IF($H78="","",$H78-TODAY())</f>
        <v/>
      </c>
      <c r="J78" s="16" t="inlineStr">
        <is>
          <t>Open posting</t>
        </is>
      </c>
      <c r="K78" s="8" t="n"/>
      <c r="L78" s="17" t="inlineStr">
        <is>
          <t>new</t>
        </is>
      </c>
      <c r="M78" s="18" t="inlineStr"/>
      <c r="N78" s="7" t="inlineStr">
        <is>
          <t>3c4944fca3dbd2cce7be68bba67e371029fa594f</t>
        </is>
      </c>
      <c r="O78" s="14" t="n">
        <v>46189</v>
      </c>
      <c r="P78" s="7" t="inlineStr">
        <is>
          <t>greenhouse:graphcore</t>
        </is>
      </c>
      <c r="Q78" s="8" t="inlineStr"/>
      <c r="R78" s="8" t="n"/>
      <c r="S78" s="19" t="n"/>
      <c r="T78" s="19" t="n"/>
      <c r="U78" s="14" t="n">
        <v>46189</v>
      </c>
      <c r="V78" s="7" t="n"/>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Graduate/Entry</t>
        </is>
      </c>
      <c r="D79" s="8" t="inlineStr">
        <is>
          <t>2026 Graduate Software Engineer - Drivers</t>
        </is>
      </c>
      <c r="E79" s="7" t="inlineStr">
        <is>
          <t>Graphcore</t>
        </is>
      </c>
      <c r="F79" s="8" t="inlineStr">
        <is>
          <t>Cambridge, UK</t>
        </is>
      </c>
      <c r="G79" s="8" t="n"/>
      <c r="H79" s="14" t="n"/>
      <c r="I79" s="15">
        <f>IF($H79="","",$H79-TODAY())</f>
        <v/>
      </c>
      <c r="J79" s="16" t="inlineStr">
        <is>
          <t>Open posting</t>
        </is>
      </c>
      <c r="K79" s="8" t="n"/>
      <c r="L79" s="17" t="inlineStr">
        <is>
          <t>new</t>
        </is>
      </c>
      <c r="M79" s="18" t="inlineStr"/>
      <c r="N79" s="7" t="inlineStr">
        <is>
          <t>de00f232f0af706b5f23b86f2be58e61a979c7a4</t>
        </is>
      </c>
      <c r="O79" s="14" t="n">
        <v>46189</v>
      </c>
      <c r="P79" s="7" t="inlineStr">
        <is>
          <t>greenhouse:graphcore</t>
        </is>
      </c>
      <c r="Q79" s="8" t="inlineStr"/>
      <c r="R79" s="8" t="n"/>
      <c r="S79" s="19" t="n"/>
      <c r="T79" s="19" t="n"/>
      <c r="U79" s="14" t="n">
        <v>46189</v>
      </c>
      <c r="V79" s="7" t="n"/>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Graduate/Entry</t>
        </is>
      </c>
      <c r="D80" s="8" t="inlineStr">
        <is>
          <t>2026 Graduate Software Engineer - ML Kernels &amp; Runtime Team</t>
        </is>
      </c>
      <c r="E80" s="7" t="inlineStr">
        <is>
          <t>Graphcore</t>
        </is>
      </c>
      <c r="F80" s="8" t="inlineStr">
        <is>
          <t>Bristol, UK</t>
        </is>
      </c>
      <c r="G80" s="8" t="n"/>
      <c r="H80" s="14" t="n"/>
      <c r="I80" s="15">
        <f>IF($H80="","",$H80-TODAY())</f>
        <v/>
      </c>
      <c r="J80" s="16" t="inlineStr">
        <is>
          <t>Open posting</t>
        </is>
      </c>
      <c r="K80" s="8" t="n"/>
      <c r="L80" s="17" t="inlineStr">
        <is>
          <t>new</t>
        </is>
      </c>
      <c r="M80" s="18" t="inlineStr"/>
      <c r="N80" s="7" t="inlineStr">
        <is>
          <t>789877cef58d67f00a4c02378a1eed77aeab946c</t>
        </is>
      </c>
      <c r="O80" s="14" t="n">
        <v>46189</v>
      </c>
      <c r="P80" s="7" t="inlineStr">
        <is>
          <t>greenhouse:graphcore</t>
        </is>
      </c>
      <c r="Q80" s="8" t="inlineStr"/>
      <c r="R80" s="8" t="n"/>
      <c r="S80" s="19" t="n"/>
      <c r="T80" s="19" t="n"/>
      <c r="U80" s="14" t="n">
        <v>46189</v>
      </c>
      <c r="V80" s="7" t="n"/>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Graduate/Entry</t>
        </is>
      </c>
      <c r="D81" s="8" t="inlineStr">
        <is>
          <t>2026 Graduate Software Engineer - PyTorch</t>
        </is>
      </c>
      <c r="E81" s="7" t="inlineStr">
        <is>
          <t>Graphcore</t>
        </is>
      </c>
      <c r="F81" s="8" t="inlineStr">
        <is>
          <t>Bristol, UK</t>
        </is>
      </c>
      <c r="G81" s="8" t="n"/>
      <c r="H81" s="14" t="n"/>
      <c r="I81" s="15">
        <f>IF($H81="","",$H81-TODAY())</f>
        <v/>
      </c>
      <c r="J81" s="16" t="inlineStr">
        <is>
          <t>Open posting</t>
        </is>
      </c>
      <c r="K81" s="8" t="n"/>
      <c r="L81" s="17" t="inlineStr">
        <is>
          <t>new</t>
        </is>
      </c>
      <c r="M81" s="18" t="inlineStr"/>
      <c r="N81" s="7" t="inlineStr">
        <is>
          <t>4cb4bf5b936749248e8de6ec1e2c44e95e34b912</t>
        </is>
      </c>
      <c r="O81" s="14" t="n">
        <v>46189</v>
      </c>
      <c r="P81" s="7" t="inlineStr">
        <is>
          <t>greenhouse:graphcore</t>
        </is>
      </c>
      <c r="Q81" s="8" t="inlineStr"/>
      <c r="R81" s="8" t="n"/>
      <c r="S81" s="19" t="n"/>
      <c r="T81" s="19" t="n"/>
      <c r="U81" s="14" t="n">
        <v>46189</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Graduate/Entry</t>
        </is>
      </c>
      <c r="D82" s="8" t="inlineStr">
        <is>
          <t>2026 Graduate Software Engineer - Triton</t>
        </is>
      </c>
      <c r="E82" s="7" t="inlineStr">
        <is>
          <t>Graphcore</t>
        </is>
      </c>
      <c r="F82" s="8" t="inlineStr">
        <is>
          <t>Bristol, UK</t>
        </is>
      </c>
      <c r="G82" s="8" t="n"/>
      <c r="H82" s="14" t="n"/>
      <c r="I82" s="15">
        <f>IF($H82="","",$H82-TODAY())</f>
        <v/>
      </c>
      <c r="J82" s="16" t="inlineStr">
        <is>
          <t>Open posting</t>
        </is>
      </c>
      <c r="K82" s="8" t="n"/>
      <c r="L82" s="17" t="inlineStr">
        <is>
          <t>new</t>
        </is>
      </c>
      <c r="M82" s="18" t="inlineStr"/>
      <c r="N82" s="7" t="inlineStr">
        <is>
          <t>f3c6805fd358be96ae330699622fd5bb99a20d4e</t>
        </is>
      </c>
      <c r="O82" s="14" t="n">
        <v>46189</v>
      </c>
      <c r="P82" s="7" t="inlineStr">
        <is>
          <t>greenhouse:graphcore</t>
        </is>
      </c>
      <c r="Q82" s="8" t="inlineStr"/>
      <c r="R82" s="8" t="n"/>
      <c r="S82" s="19" t="n"/>
      <c r="T82" s="19" t="n"/>
      <c r="U82" s="14" t="n">
        <v>46189</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Unspecified</t>
        </is>
      </c>
      <c r="D83" s="8" t="inlineStr">
        <is>
          <t>AI Performance Engineer</t>
        </is>
      </c>
      <c r="E83" s="7" t="inlineStr">
        <is>
          <t>Graphcore</t>
        </is>
      </c>
      <c r="F83" s="8" t="inlineStr">
        <is>
          <t>US - Milpitas</t>
        </is>
      </c>
      <c r="G83" s="8" t="n"/>
      <c r="H83" s="14" t="n"/>
      <c r="I83" s="15">
        <f>IF($H83="","",$H83-TODAY())</f>
        <v/>
      </c>
      <c r="J83" s="16" t="inlineStr">
        <is>
          <t>Open posting</t>
        </is>
      </c>
      <c r="K83" s="8" t="n"/>
      <c r="L83" s="17" t="inlineStr">
        <is>
          <t>new</t>
        </is>
      </c>
      <c r="M83" s="18" t="inlineStr"/>
      <c r="N83" s="7" t="inlineStr">
        <is>
          <t>692a5a8edd0d969ff9a4265353e2f00100f72fcc</t>
        </is>
      </c>
      <c r="O83" s="14" t="n">
        <v>46189</v>
      </c>
      <c r="P83" s="7" t="inlineStr">
        <is>
          <t>greenhouse:graphcore</t>
        </is>
      </c>
      <c r="Q83" s="8" t="inlineStr"/>
      <c r="R83" s="8" t="n"/>
      <c r="S83" s="19" t="n"/>
      <c r="T83" s="19" t="n"/>
      <c r="U83" s="14" t="n">
        <v>46189</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Senior/Lead</t>
        </is>
      </c>
      <c r="D84" s="8" t="inlineStr">
        <is>
          <t>AI Platform Architect</t>
        </is>
      </c>
      <c r="E84" s="7" t="inlineStr">
        <is>
          <t>Graphcore</t>
        </is>
      </c>
      <c r="F84" s="8" t="inlineStr">
        <is>
          <t>Austin, Texas, United States</t>
        </is>
      </c>
      <c r="G84" s="8" t="n"/>
      <c r="H84" s="14" t="n"/>
      <c r="I84" s="15">
        <f>IF($H84="","",$H84-TODAY())</f>
        <v/>
      </c>
      <c r="J84" s="16" t="inlineStr">
        <is>
          <t>Open posting</t>
        </is>
      </c>
      <c r="K84" s="8" t="n"/>
      <c r="L84" s="17" t="inlineStr">
        <is>
          <t>new</t>
        </is>
      </c>
      <c r="M84" s="18" t="inlineStr"/>
      <c r="N84" s="7" t="inlineStr">
        <is>
          <t>d4528279bfa348bb12136027b1e17006bccd5879</t>
        </is>
      </c>
      <c r="O84" s="14" t="n">
        <v>46189</v>
      </c>
      <c r="P84" s="7" t="inlineStr">
        <is>
          <t>greenhouse:graphcore</t>
        </is>
      </c>
      <c r="Q84" s="8" t="inlineStr"/>
      <c r="R84" s="8" t="n"/>
      <c r="S84" s="19" t="n"/>
      <c r="T84" s="19" t="n"/>
      <c r="U84" s="14" t="n">
        <v>46189</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Unspecified</t>
        </is>
      </c>
      <c r="D85" s="8" t="inlineStr">
        <is>
          <t>AI Research Engineer</t>
        </is>
      </c>
      <c r="E85" s="7" t="inlineStr">
        <is>
          <t>Graphcore</t>
        </is>
      </c>
      <c r="F85" s="8" t="inlineStr">
        <is>
          <t>Bristol, UK; Cambridge, UK; London, UK</t>
        </is>
      </c>
      <c r="G85" s="8" t="n"/>
      <c r="H85" s="14" t="n"/>
      <c r="I85" s="15">
        <f>IF($H85="","",$H85-TODAY())</f>
        <v/>
      </c>
      <c r="J85" s="16" t="inlineStr">
        <is>
          <t>Open posting</t>
        </is>
      </c>
      <c r="K85" s="8" t="n"/>
      <c r="L85" s="17" t="inlineStr">
        <is>
          <t>new</t>
        </is>
      </c>
      <c r="M85" s="18" t="inlineStr"/>
      <c r="N85" s="7" t="inlineStr">
        <is>
          <t>a95bcd3a01b424802027196a78bb5225e972c2d6</t>
        </is>
      </c>
      <c r="O85" s="14" t="n">
        <v>46189</v>
      </c>
      <c r="P85" s="7" t="inlineStr">
        <is>
          <t>greenhouse:graphcore</t>
        </is>
      </c>
      <c r="Q85" s="8" t="inlineStr"/>
      <c r="R85" s="8" t="n"/>
      <c r="S85" s="19" t="n"/>
      <c r="T85" s="19" t="n"/>
      <c r="U85" s="14" t="n">
        <v>46189</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Senior/Lead</t>
        </is>
      </c>
      <c r="D86" s="8" t="inlineStr">
        <is>
          <t>Atlassian Engineer</t>
        </is>
      </c>
      <c r="E86" s="7" t="inlineStr">
        <is>
          <t>Graphcore</t>
        </is>
      </c>
      <c r="F86" s="8" t="inlineStr">
        <is>
          <t>Bengaluru, India</t>
        </is>
      </c>
      <c r="G86" s="8" t="n"/>
      <c r="H86" s="14" t="n"/>
      <c r="I86" s="15">
        <f>IF($H86="","",$H86-TODAY())</f>
        <v/>
      </c>
      <c r="J86" s="16" t="inlineStr">
        <is>
          <t>Open posting</t>
        </is>
      </c>
      <c r="K86" s="8" t="n"/>
      <c r="L86" s="17" t="inlineStr">
        <is>
          <t>new</t>
        </is>
      </c>
      <c r="M86" s="18" t="inlineStr"/>
      <c r="N86" s="7" t="inlineStr">
        <is>
          <t>7a9950437a23ff2a7512dc76539a24f9f8372863</t>
        </is>
      </c>
      <c r="O86" s="14" t="n">
        <v>46189</v>
      </c>
      <c r="P86" s="7" t="inlineStr">
        <is>
          <t>greenhouse:graphcore</t>
        </is>
      </c>
      <c r="Q86" s="8" t="inlineStr"/>
      <c r="R86" s="8" t="n"/>
      <c r="S86" s="19" t="n"/>
      <c r="T86" s="19" t="n"/>
      <c r="U86" s="14" t="n">
        <v>46189</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Senior/Lead</t>
        </is>
      </c>
      <c r="D87" s="8" t="inlineStr">
        <is>
          <t>Automation Engineer</t>
        </is>
      </c>
      <c r="E87" s="7" t="inlineStr">
        <is>
          <t>Graphcore</t>
        </is>
      </c>
      <c r="F87" s="8" t="inlineStr">
        <is>
          <t>Bristol, UK</t>
        </is>
      </c>
      <c r="G87" s="8" t="n"/>
      <c r="H87" s="14" t="n"/>
      <c r="I87" s="15">
        <f>IF($H87="","",$H87-TODAY())</f>
        <v/>
      </c>
      <c r="J87" s="16" t="inlineStr">
        <is>
          <t>Open posting</t>
        </is>
      </c>
      <c r="K87" s="8" t="n"/>
      <c r="L87" s="17" t="inlineStr">
        <is>
          <t>new</t>
        </is>
      </c>
      <c r="M87" s="18" t="inlineStr"/>
      <c r="N87" s="7" t="inlineStr">
        <is>
          <t>120b4cec280e9d6812295a001d8f41371fe85412</t>
        </is>
      </c>
      <c r="O87" s="14" t="n">
        <v>46189</v>
      </c>
      <c r="P87" s="7" t="inlineStr">
        <is>
          <t>greenhouse:graphcore</t>
        </is>
      </c>
      <c r="Q87" s="8" t="inlineStr"/>
      <c r="R87" s="8" t="n"/>
      <c r="S87" s="19" t="n"/>
      <c r="T87" s="19" t="n"/>
      <c r="U87" s="14" t="n">
        <v>46189</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Senior/Lead</t>
        </is>
      </c>
      <c r="D88" s="8" t="inlineStr">
        <is>
          <t>BMC Engineer</t>
        </is>
      </c>
      <c r="E88" s="7" t="inlineStr">
        <is>
          <t>Graphcore</t>
        </is>
      </c>
      <c r="F88" s="8" t="inlineStr">
        <is>
          <t>Gdańsk, Pomeranian Voivodeship, Poland</t>
        </is>
      </c>
      <c r="G88" s="8" t="n"/>
      <c r="H88" s="14" t="n"/>
      <c r="I88" s="15">
        <f>IF($H88="","",$H88-TODAY())</f>
        <v/>
      </c>
      <c r="J88" s="16" t="inlineStr">
        <is>
          <t>Open posting</t>
        </is>
      </c>
      <c r="K88" s="8" t="n"/>
      <c r="L88" s="17" t="inlineStr">
        <is>
          <t>new</t>
        </is>
      </c>
      <c r="M88" s="18" t="inlineStr"/>
      <c r="N88" s="7" t="inlineStr">
        <is>
          <t>e43aee60d2c9de02e75b8a67699d6cc0b27a6e3f</t>
        </is>
      </c>
      <c r="O88" s="14" t="n">
        <v>46189</v>
      </c>
      <c r="P88" s="7" t="inlineStr">
        <is>
          <t>greenhouse:graphcore</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Unspecified</t>
        </is>
      </c>
      <c r="D89" s="8" t="inlineStr">
        <is>
          <t>Board Test Operations Engineer</t>
        </is>
      </c>
      <c r="E89" s="7" t="inlineStr">
        <is>
          <t>Graphcore</t>
        </is>
      </c>
      <c r="F89" s="8" t="inlineStr">
        <is>
          <t>Hsinchu City, Hsinchu City, Taiwan</t>
        </is>
      </c>
      <c r="G89" s="8" t="n"/>
      <c r="H89" s="14" t="n"/>
      <c r="I89" s="15">
        <f>IF($H89="","",$H89-TODAY())</f>
        <v/>
      </c>
      <c r="J89" s="16" t="inlineStr">
        <is>
          <t>Open posting</t>
        </is>
      </c>
      <c r="K89" s="8" t="n"/>
      <c r="L89" s="17" t="inlineStr">
        <is>
          <t>new</t>
        </is>
      </c>
      <c r="M89" s="18" t="inlineStr"/>
      <c r="N89" s="7" t="inlineStr">
        <is>
          <t>85f50a5f30ab6d37d627b930521d2c3545799ccd</t>
        </is>
      </c>
      <c r="O89" s="14" t="n">
        <v>46189</v>
      </c>
      <c r="P89" s="7" t="inlineStr">
        <is>
          <t>greenhouse:graphcore</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Manager/Owner</t>
        </is>
      </c>
      <c r="D90" s="8" t="inlineStr">
        <is>
          <t>Compliance Manager - Global Lab Environment</t>
        </is>
      </c>
      <c r="E90" s="7" t="inlineStr">
        <is>
          <t>Graphcore</t>
        </is>
      </c>
      <c r="F90" s="8" t="inlineStr">
        <is>
          <t>US - Milpitas</t>
        </is>
      </c>
      <c r="G90" s="8" t="n"/>
      <c r="H90" s="14" t="n"/>
      <c r="I90" s="15">
        <f>IF($H90="","",$H90-TODAY())</f>
        <v/>
      </c>
      <c r="J90" s="16" t="inlineStr">
        <is>
          <t>Open posting</t>
        </is>
      </c>
      <c r="K90" s="8" t="n"/>
      <c r="L90" s="17" t="inlineStr">
        <is>
          <t>new</t>
        </is>
      </c>
      <c r="M90" s="18" t="inlineStr"/>
      <c r="N90" s="7" t="inlineStr">
        <is>
          <t>48e3a0df49a7bc763a5dcb7fba9d96c56b9eeae1</t>
        </is>
      </c>
      <c r="O90" s="14" t="n">
        <v>46189</v>
      </c>
      <c r="P90" s="7" t="inlineStr">
        <is>
          <t>greenhouse:graphcore</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Unspecified</t>
        </is>
      </c>
      <c r="D91" s="8" t="inlineStr">
        <is>
          <t>Desktop and Engineering Support Engineer</t>
        </is>
      </c>
      <c r="E91" s="7" t="inlineStr">
        <is>
          <t>Graphcore</t>
        </is>
      </c>
      <c r="F91" s="8" t="inlineStr">
        <is>
          <t>臺北市, Taipei, Taiwan</t>
        </is>
      </c>
      <c r="G91" s="8" t="n"/>
      <c r="H91" s="14" t="n"/>
      <c r="I91" s="15">
        <f>IF($H91="","",$H91-TODAY())</f>
        <v/>
      </c>
      <c r="J91" s="16" t="inlineStr">
        <is>
          <t>Open posting</t>
        </is>
      </c>
      <c r="K91" s="8" t="n"/>
      <c r="L91" s="17" t="inlineStr">
        <is>
          <t>new</t>
        </is>
      </c>
      <c r="M91" s="18" t="inlineStr"/>
      <c r="N91" s="7" t="inlineStr">
        <is>
          <t>a1344cac629431ca87d31babade4f024b5bcd798</t>
        </is>
      </c>
      <c r="O91" s="14" t="n">
        <v>46189</v>
      </c>
      <c r="P91" s="7" t="inlineStr">
        <is>
          <t>greenhouse:graphcore</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Mid-level</t>
        </is>
      </c>
      <c r="D92" s="8" t="inlineStr">
        <is>
          <t>DFT Engineer</t>
        </is>
      </c>
      <c r="E92" s="7" t="inlineStr">
        <is>
          <t>Graphcore</t>
        </is>
      </c>
      <c r="F92" s="8" t="inlineStr">
        <is>
          <t>Bristol, UK; Cambridge, UK</t>
        </is>
      </c>
      <c r="G92" s="8" t="n"/>
      <c r="H92" s="14" t="n"/>
      <c r="I92" s="15">
        <f>IF($H92="","",$H92-TODAY())</f>
        <v/>
      </c>
      <c r="J92" s="16" t="inlineStr">
        <is>
          <t>Open posting</t>
        </is>
      </c>
      <c r="K92" s="8" t="n"/>
      <c r="L92" s="17" t="inlineStr">
        <is>
          <t>new</t>
        </is>
      </c>
      <c r="M92" s="18" t="inlineStr"/>
      <c r="N92" s="7" t="inlineStr">
        <is>
          <t>c383dd6aa7bf223c4ec0ba6e527227ff35dc5c00</t>
        </is>
      </c>
      <c r="O92" s="14" t="n">
        <v>46189</v>
      </c>
      <c r="P92" s="7" t="inlineStr">
        <is>
          <t>greenhouse:graphcore</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Senior/Lead</t>
        </is>
      </c>
      <c r="D93" s="8" t="inlineStr">
        <is>
          <t>Distinguished Engineer, End-to-End Security Architect</t>
        </is>
      </c>
      <c r="E93" s="7" t="inlineStr">
        <is>
          <t>Graphcore</t>
        </is>
      </c>
      <c r="F93" s="8" t="inlineStr">
        <is>
          <t>Austin, Texas, United States; US - Milpitas</t>
        </is>
      </c>
      <c r="G93" s="8" t="n"/>
      <c r="H93" s="14" t="n"/>
      <c r="I93" s="15">
        <f>IF($H93="","",$H93-TODAY())</f>
        <v/>
      </c>
      <c r="J93" s="16" t="inlineStr">
        <is>
          <t>Open posting</t>
        </is>
      </c>
      <c r="K93" s="8" t="n"/>
      <c r="L93" s="17" t="inlineStr">
        <is>
          <t>new</t>
        </is>
      </c>
      <c r="M93" s="18" t="inlineStr"/>
      <c r="N93" s="7" t="inlineStr">
        <is>
          <t>245584103bee2ad569d6d7dff163a45a08fd2d9c</t>
        </is>
      </c>
      <c r="O93" s="14" t="n">
        <v>46189</v>
      </c>
      <c r="P93" s="7" t="inlineStr">
        <is>
          <t>greenhouse:graphcore</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Mid-level</t>
        </is>
      </c>
      <c r="D94" s="8" t="inlineStr">
        <is>
          <t>Electrical Engineer</t>
        </is>
      </c>
      <c r="E94" s="7" t="inlineStr">
        <is>
          <t>Graphcore</t>
        </is>
      </c>
      <c r="F94" s="8" t="inlineStr">
        <is>
          <t>Austin, Texas, United States</t>
        </is>
      </c>
      <c r="G94" s="8" t="n"/>
      <c r="H94" s="14" t="n"/>
      <c r="I94" s="15">
        <f>IF($H94="","",$H94-TODAY())</f>
        <v/>
      </c>
      <c r="J94" s="16" t="inlineStr">
        <is>
          <t>Open posting</t>
        </is>
      </c>
      <c r="K94" s="8" t="n"/>
      <c r="L94" s="17" t="inlineStr">
        <is>
          <t>new</t>
        </is>
      </c>
      <c r="M94" s="18" t="inlineStr"/>
      <c r="N94" s="7" t="inlineStr">
        <is>
          <t>67721a28aff2fd56e940b4ca335efdafae3b999e</t>
        </is>
      </c>
      <c r="O94" s="14" t="n">
        <v>46189</v>
      </c>
      <c r="P94" s="7" t="inlineStr">
        <is>
          <t>greenhouse:graphcore</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Unspecified</t>
        </is>
      </c>
      <c r="D95" s="8" t="inlineStr">
        <is>
          <t>Electronics Lab Technician</t>
        </is>
      </c>
      <c r="E95" s="7" t="inlineStr">
        <is>
          <t>Graphcore</t>
        </is>
      </c>
      <c r="F95" s="8" t="inlineStr">
        <is>
          <t>Bristol, UK</t>
        </is>
      </c>
      <c r="G95" s="8" t="n"/>
      <c r="H95" s="14" t="n"/>
      <c r="I95" s="15">
        <f>IF($H95="","",$H95-TODAY())</f>
        <v/>
      </c>
      <c r="J95" s="16" t="inlineStr">
        <is>
          <t>Open posting</t>
        </is>
      </c>
      <c r="K95" s="8" t="n"/>
      <c r="L95" s="17" t="inlineStr">
        <is>
          <t>new</t>
        </is>
      </c>
      <c r="M95" s="18" t="inlineStr"/>
      <c r="N95" s="7" t="inlineStr">
        <is>
          <t>4b30aa96b0f15d99cd4f0042755fa67d67e7608a</t>
        </is>
      </c>
      <c r="O95" s="14" t="n">
        <v>46189</v>
      </c>
      <c r="P95" s="7" t="inlineStr">
        <is>
          <t>greenhouse:graphcore</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Unspecified</t>
        </is>
      </c>
      <c r="D96" s="8" t="inlineStr">
        <is>
          <t>Electronics Lab Technician</t>
        </is>
      </c>
      <c r="E96" s="7" t="inlineStr">
        <is>
          <t>Graphcore</t>
        </is>
      </c>
      <c r="F96" s="8" t="inlineStr">
        <is>
          <t>Bristol, UK</t>
        </is>
      </c>
      <c r="G96" s="8" t="n"/>
      <c r="H96" s="14" t="n"/>
      <c r="I96" s="15">
        <f>IF($H96="","",$H96-TODAY())</f>
        <v/>
      </c>
      <c r="J96" s="16" t="inlineStr">
        <is>
          <t>Open posting</t>
        </is>
      </c>
      <c r="K96" s="8" t="n"/>
      <c r="L96" s="17" t="inlineStr">
        <is>
          <t>new</t>
        </is>
      </c>
      <c r="M96" s="18" t="inlineStr"/>
      <c r="N96" s="7" t="inlineStr">
        <is>
          <t>20bc61a6d87e7dfe71a83f195f77ace0ab470636</t>
        </is>
      </c>
      <c r="O96" s="14" t="n">
        <v>46189</v>
      </c>
      <c r="P96" s="7" t="inlineStr">
        <is>
          <t>greenhouse:graphcore</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Manager/Owner</t>
        </is>
      </c>
      <c r="D97" s="8" t="inlineStr">
        <is>
          <t>Engineering Program Manager</t>
        </is>
      </c>
      <c r="E97" s="7" t="inlineStr">
        <is>
          <t>Graphcore</t>
        </is>
      </c>
      <c r="F97" s="8" t="inlineStr">
        <is>
          <t>Austin, Texas, United States</t>
        </is>
      </c>
      <c r="G97" s="8" t="n"/>
      <c r="H97" s="14" t="n"/>
      <c r="I97" s="15">
        <f>IF($H97="","",$H97-TODAY())</f>
        <v/>
      </c>
      <c r="J97" s="16" t="inlineStr">
        <is>
          <t>Open posting</t>
        </is>
      </c>
      <c r="K97" s="8" t="n"/>
      <c r="L97" s="17" t="inlineStr">
        <is>
          <t>new</t>
        </is>
      </c>
      <c r="M97" s="18" t="inlineStr"/>
      <c r="N97" s="7" t="inlineStr">
        <is>
          <t>2893fc34705f29f59b57ada8196d1b36662cfb5d</t>
        </is>
      </c>
      <c r="O97" s="14" t="n">
        <v>46189</v>
      </c>
      <c r="P97" s="7" t="inlineStr">
        <is>
          <t>greenhouse:graphcore</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Manager/Owner</t>
        </is>
      </c>
      <c r="D98" s="8" t="inlineStr">
        <is>
          <t>Global Sourcing Manager - Rack and Mechanicals</t>
        </is>
      </c>
      <c r="E98" s="7" t="inlineStr">
        <is>
          <t>Graphcore</t>
        </is>
      </c>
      <c r="F98" s="8" t="inlineStr">
        <is>
          <t>US - Milpitas</t>
        </is>
      </c>
      <c r="G98" s="8" t="n"/>
      <c r="H98" s="14" t="n"/>
      <c r="I98" s="15">
        <f>IF($H98="","",$H98-TODAY())</f>
        <v/>
      </c>
      <c r="J98" s="16" t="inlineStr">
        <is>
          <t>Open posting</t>
        </is>
      </c>
      <c r="K98" s="8" t="n"/>
      <c r="L98" s="17" t="inlineStr">
        <is>
          <t>new</t>
        </is>
      </c>
      <c r="M98" s="18" t="inlineStr"/>
      <c r="N98" s="7" t="inlineStr">
        <is>
          <t>3872568f4a3d27ee77abf40d309e0fa34abfb464</t>
        </is>
      </c>
      <c r="O98" s="14" t="n">
        <v>46189</v>
      </c>
      <c r="P98" s="7" t="inlineStr">
        <is>
          <t>greenhouse:graphcore</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Mid-level</t>
        </is>
      </c>
      <c r="D99" s="8" t="inlineStr">
        <is>
          <t>GPU Architect</t>
        </is>
      </c>
      <c r="E99" s="7" t="inlineStr">
        <is>
          <t>Graphcore</t>
        </is>
      </c>
      <c r="F99" s="8" t="inlineStr">
        <is>
          <t>US - Milpitas</t>
        </is>
      </c>
      <c r="G99" s="8" t="n"/>
      <c r="H99" s="14" t="n"/>
      <c r="I99" s="15">
        <f>IF($H99="","",$H99-TODAY())</f>
        <v/>
      </c>
      <c r="J99" s="16" t="inlineStr">
        <is>
          <t>Open posting</t>
        </is>
      </c>
      <c r="K99" s="8" t="n"/>
      <c r="L99" s="17" t="inlineStr">
        <is>
          <t>new</t>
        </is>
      </c>
      <c r="M99" s="18" t="inlineStr"/>
      <c r="N99" s="7" t="inlineStr">
        <is>
          <t>00459d72623c29321f2d2b39dc4508ae2eae10b9</t>
        </is>
      </c>
      <c r="O99" s="14" t="n">
        <v>46189</v>
      </c>
      <c r="P99" s="7" t="inlineStr">
        <is>
          <t>greenhouse:graphcore</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Graduate/Entry</t>
        </is>
      </c>
      <c r="D100" s="8" t="inlineStr">
        <is>
          <t>Graduate Silicon Engineer</t>
        </is>
      </c>
      <c r="E100" s="7" t="inlineStr">
        <is>
          <t>Graphcore</t>
        </is>
      </c>
      <c r="F100" s="8" t="inlineStr">
        <is>
          <t>Cambridge, UK</t>
        </is>
      </c>
      <c r="G100" s="8" t="n"/>
      <c r="H100" s="14" t="n"/>
      <c r="I100" s="15">
        <f>IF($H100="","",$H100-TODAY())</f>
        <v/>
      </c>
      <c r="J100" s="16" t="inlineStr">
        <is>
          <t>Open posting</t>
        </is>
      </c>
      <c r="K100" s="8" t="n"/>
      <c r="L100" s="17" t="inlineStr">
        <is>
          <t>new</t>
        </is>
      </c>
      <c r="M100" s="18" t="inlineStr"/>
      <c r="N100" s="7" t="inlineStr">
        <is>
          <t>73cd4aef40636c4c18cfecdd042be26dba7ead5e</t>
        </is>
      </c>
      <c r="O100" s="14" t="n">
        <v>46189</v>
      </c>
      <c r="P100" s="7" t="inlineStr">
        <is>
          <t>greenhouse:graphcore</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Graduate/Entry</t>
        </is>
      </c>
      <c r="D101" s="8" t="inlineStr">
        <is>
          <t>Graduate Silicon Engineer</t>
        </is>
      </c>
      <c r="E101" s="7" t="inlineStr">
        <is>
          <t>Graphcore</t>
        </is>
      </c>
      <c r="F101" s="8" t="inlineStr">
        <is>
          <t>Bristol, UK</t>
        </is>
      </c>
      <c r="G101" s="8" t="n"/>
      <c r="H101" s="14" t="n"/>
      <c r="I101" s="15">
        <f>IF($H101="","",$H101-TODAY())</f>
        <v/>
      </c>
      <c r="J101" s="16" t="inlineStr">
        <is>
          <t>Open posting</t>
        </is>
      </c>
      <c r="K101" s="8" t="n"/>
      <c r="L101" s="17" t="inlineStr">
        <is>
          <t>new</t>
        </is>
      </c>
      <c r="M101" s="18" t="inlineStr"/>
      <c r="N101" s="7" t="inlineStr">
        <is>
          <t>5dad5e3fb55d3cbbcbfad0a9d3134a58a97a0624</t>
        </is>
      </c>
      <c r="O101" s="14" t="n">
        <v>46189</v>
      </c>
      <c r="P101" s="7" t="inlineStr">
        <is>
          <t>greenhouse:graphcore</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Graduate/Entry</t>
        </is>
      </c>
      <c r="D102" s="8" t="inlineStr">
        <is>
          <t>Graduate SoC Architect</t>
        </is>
      </c>
      <c r="E102" s="7" t="inlineStr">
        <is>
          <t>Graphcore</t>
        </is>
      </c>
      <c r="F102" s="8" t="inlineStr">
        <is>
          <t>Bristol, UK</t>
        </is>
      </c>
      <c r="G102" s="8" t="n"/>
      <c r="H102" s="14" t="n"/>
      <c r="I102" s="15">
        <f>IF($H102="","",$H102-TODAY())</f>
        <v/>
      </c>
      <c r="J102" s="16" t="inlineStr">
        <is>
          <t>Open posting</t>
        </is>
      </c>
      <c r="K102" s="8" t="n"/>
      <c r="L102" s="17" t="inlineStr">
        <is>
          <t>new</t>
        </is>
      </c>
      <c r="M102" s="18" t="inlineStr"/>
      <c r="N102" s="7" t="inlineStr">
        <is>
          <t>e9897bf5eabc3ce2d0d93ca51a9b668521aa52f0</t>
        </is>
      </c>
      <c r="O102" s="14" t="n">
        <v>46189</v>
      </c>
      <c r="P102" s="7" t="inlineStr">
        <is>
          <t>greenhouse:graphcore</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Mid-level</t>
        </is>
      </c>
      <c r="D103" s="8" t="inlineStr">
        <is>
          <t>Hardware Development Engineer</t>
        </is>
      </c>
      <c r="E103" s="7" t="inlineStr">
        <is>
          <t>Graphcore</t>
        </is>
      </c>
      <c r="F103" s="8" t="inlineStr">
        <is>
          <t>Bristol, UK</t>
        </is>
      </c>
      <c r="G103" s="8" t="n"/>
      <c r="H103" s="14" t="n"/>
      <c r="I103" s="15">
        <f>IF($H103="","",$H103-TODAY())</f>
        <v/>
      </c>
      <c r="J103" s="16" t="inlineStr">
        <is>
          <t>Open posting</t>
        </is>
      </c>
      <c r="K103" s="8" t="n"/>
      <c r="L103" s="17" t="inlineStr">
        <is>
          <t>new</t>
        </is>
      </c>
      <c r="M103" s="18" t="inlineStr"/>
      <c r="N103" s="7" t="inlineStr">
        <is>
          <t>d00a4b77c80636db26a777c65d16acf6d09cd7d6</t>
        </is>
      </c>
      <c r="O103" s="14" t="n">
        <v>46189</v>
      </c>
      <c r="P103" s="7" t="inlineStr">
        <is>
          <t>greenhouse:graphcore</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Senior/Lead</t>
        </is>
      </c>
      <c r="D104" s="8" t="inlineStr">
        <is>
          <t>Hardware Reliability Engineer</t>
        </is>
      </c>
      <c r="E104" s="7" t="inlineStr">
        <is>
          <t>Graphcore</t>
        </is>
      </c>
      <c r="F104" s="8" t="inlineStr">
        <is>
          <t>Hsinchu City, Hsinchu City, Taiwan; 臺北市, Taipei, Taiwan</t>
        </is>
      </c>
      <c r="G104" s="8" t="n"/>
      <c r="H104" s="14" t="n"/>
      <c r="I104" s="15">
        <f>IF($H104="","",$H104-TODAY())</f>
        <v/>
      </c>
      <c r="J104" s="16" t="inlineStr">
        <is>
          <t>Open posting</t>
        </is>
      </c>
      <c r="K104" s="8" t="n"/>
      <c r="L104" s="17" t="inlineStr">
        <is>
          <t>new</t>
        </is>
      </c>
      <c r="M104" s="18" t="inlineStr"/>
      <c r="N104" s="7" t="inlineStr">
        <is>
          <t>e861ecac06f23d00b86b365bc97ebd4ff3dec171</t>
        </is>
      </c>
      <c r="O104" s="14" t="n">
        <v>46189</v>
      </c>
      <c r="P104" s="7" t="inlineStr">
        <is>
          <t>greenhouse:graphcore</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Unspecified</t>
        </is>
      </c>
      <c r="D105" s="8" t="inlineStr">
        <is>
          <t>Hardware Validation and Debug Engineer - DDR</t>
        </is>
      </c>
      <c r="E105" s="7" t="inlineStr">
        <is>
          <t>Graphcore</t>
        </is>
      </c>
      <c r="F105" s="8" t="inlineStr">
        <is>
          <t>Bristol, UK</t>
        </is>
      </c>
      <c r="G105" s="8" t="n"/>
      <c r="H105" s="14" t="n"/>
      <c r="I105" s="15">
        <f>IF($H105="","",$H105-TODAY())</f>
        <v/>
      </c>
      <c r="J105" s="16" t="inlineStr">
        <is>
          <t>Open posting</t>
        </is>
      </c>
      <c r="K105" s="8" t="n"/>
      <c r="L105" s="17" t="inlineStr">
        <is>
          <t>new</t>
        </is>
      </c>
      <c r="M105" s="18" t="inlineStr"/>
      <c r="N105" s="7" t="inlineStr">
        <is>
          <t>c3efb9f735b631d34e08ed841c3490dfeacdfb13</t>
        </is>
      </c>
      <c r="O105" s="14" t="n">
        <v>46189</v>
      </c>
      <c r="P105" s="7" t="inlineStr">
        <is>
          <t>greenhouse:graphcore</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Senior/Lead</t>
        </is>
      </c>
      <c r="D106" s="8" t="inlineStr">
        <is>
          <t>Hardware Validation &amp; Debug Engineer</t>
        </is>
      </c>
      <c r="E106" s="7" t="inlineStr">
        <is>
          <t>Graphcore</t>
        </is>
      </c>
      <c r="F106" s="8" t="inlineStr">
        <is>
          <t>Bristol, UK</t>
        </is>
      </c>
      <c r="G106" s="8" t="n"/>
      <c r="H106" s="14" t="n"/>
      <c r="I106" s="15">
        <f>IF($H106="","",$H106-TODAY())</f>
        <v/>
      </c>
      <c r="J106" s="16" t="inlineStr">
        <is>
          <t>Open posting</t>
        </is>
      </c>
      <c r="K106" s="8" t="n"/>
      <c r="L106" s="17" t="inlineStr">
        <is>
          <t>new</t>
        </is>
      </c>
      <c r="M106" s="18" t="inlineStr"/>
      <c r="N106" s="7" t="inlineStr">
        <is>
          <t>71a24caf3157186fd0f005bad12bfc712e2ae851</t>
        </is>
      </c>
      <c r="O106" s="14" t="n">
        <v>46189</v>
      </c>
      <c r="P106" s="7" t="inlineStr">
        <is>
          <t>greenhouse:graphcore</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Manager/Owner</t>
        </is>
      </c>
      <c r="D107" s="8" t="inlineStr">
        <is>
          <t>Hardware Validation Manager</t>
        </is>
      </c>
      <c r="E107" s="7" t="inlineStr">
        <is>
          <t>Graphcore</t>
        </is>
      </c>
      <c r="F107" s="8" t="inlineStr">
        <is>
          <t>Austin, Texas, United States; US - Milpitas</t>
        </is>
      </c>
      <c r="G107" s="8" t="n"/>
      <c r="H107" s="14" t="n"/>
      <c r="I107" s="15">
        <f>IF($H107="","",$H107-TODAY())</f>
        <v/>
      </c>
      <c r="J107" s="16" t="inlineStr">
        <is>
          <t>Open posting</t>
        </is>
      </c>
      <c r="K107" s="8" t="n"/>
      <c r="L107" s="17" t="inlineStr">
        <is>
          <t>new</t>
        </is>
      </c>
      <c r="M107" s="18" t="inlineStr"/>
      <c r="N107" s="7" t="inlineStr">
        <is>
          <t>5d147101507a2ae1a61c0645139bf2d8c080cd39</t>
        </is>
      </c>
      <c r="O107" s="14" t="n">
        <v>46189</v>
      </c>
      <c r="P107" s="7" t="inlineStr">
        <is>
          <t>greenhouse:graphcore</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Unspecified</t>
        </is>
      </c>
      <c r="D108" s="8" t="inlineStr">
        <is>
          <t>Infrastructure and MLOps Engineer</t>
        </is>
      </c>
      <c r="E108" s="7" t="inlineStr">
        <is>
          <t>Graphcore</t>
        </is>
      </c>
      <c r="F108" s="8" t="inlineStr">
        <is>
          <t>Bristol, UK; Cambridge, UK</t>
        </is>
      </c>
      <c r="G108" s="8" t="n"/>
      <c r="H108" s="14" t="n"/>
      <c r="I108" s="15">
        <f>IF($H108="","",$H108-TODAY())</f>
        <v/>
      </c>
      <c r="J108" s="16" t="inlineStr">
        <is>
          <t>Open posting</t>
        </is>
      </c>
      <c r="K108" s="8" t="n"/>
      <c r="L108" s="17" t="inlineStr">
        <is>
          <t>new</t>
        </is>
      </c>
      <c r="M108" s="18" t="inlineStr"/>
      <c r="N108" s="7" t="inlineStr">
        <is>
          <t>13d14220c97ab34dc2a64135a83a76a8f7472435</t>
        </is>
      </c>
      <c r="O108" s="14" t="n">
        <v>46189</v>
      </c>
      <c r="P108" s="7" t="inlineStr">
        <is>
          <t>greenhouse:graphcore</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Unspecified</t>
        </is>
      </c>
      <c r="D109" s="8" t="inlineStr">
        <is>
          <t>Lab Support Engineer (Linux)</t>
        </is>
      </c>
      <c r="E109" s="7" t="inlineStr">
        <is>
          <t>Graphcore</t>
        </is>
      </c>
      <c r="F109" s="8" t="inlineStr">
        <is>
          <t>Bristol, UK</t>
        </is>
      </c>
      <c r="G109" s="8" t="n"/>
      <c r="H109" s="14" t="n"/>
      <c r="I109" s="15">
        <f>IF($H109="","",$H109-TODAY())</f>
        <v/>
      </c>
      <c r="J109" s="16" t="inlineStr">
        <is>
          <t>Open posting</t>
        </is>
      </c>
      <c r="K109" s="8" t="n"/>
      <c r="L109" s="17" t="inlineStr">
        <is>
          <t>new</t>
        </is>
      </c>
      <c r="M109" s="18" t="inlineStr"/>
      <c r="N109" s="7" t="inlineStr">
        <is>
          <t>74fedf6bc136928a9c7ce07bfeac138ff096471a</t>
        </is>
      </c>
      <c r="O109" s="14" t="n">
        <v>46189</v>
      </c>
      <c r="P109" s="7" t="inlineStr">
        <is>
          <t>greenhouse:graphcore</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Junior</t>
        </is>
      </c>
      <c r="D110" s="8" t="inlineStr">
        <is>
          <t>Lab Technician</t>
        </is>
      </c>
      <c r="E110" s="7" t="inlineStr">
        <is>
          <t>Graphcore</t>
        </is>
      </c>
      <c r="F110" s="8" t="inlineStr">
        <is>
          <t>Bengaluru, India</t>
        </is>
      </c>
      <c r="G110" s="8" t="n"/>
      <c r="H110" s="14" t="n"/>
      <c r="I110" s="15">
        <f>IF($H110="","",$H110-TODAY())</f>
        <v/>
      </c>
      <c r="J110" s="16" t="inlineStr">
        <is>
          <t>Open posting</t>
        </is>
      </c>
      <c r="K110" s="8" t="n"/>
      <c r="L110" s="17" t="inlineStr">
        <is>
          <t>new</t>
        </is>
      </c>
      <c r="M110" s="18" t="inlineStr"/>
      <c r="N110" s="7" t="inlineStr">
        <is>
          <t>cb332f6d1f51acd568b1bb8a95476e06f014074c</t>
        </is>
      </c>
      <c r="O110" s="14" t="n">
        <v>46189</v>
      </c>
      <c r="P110" s="7" t="inlineStr">
        <is>
          <t>greenhouse:graphcore</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Mid-level</t>
        </is>
      </c>
      <c r="D111" s="8" t="inlineStr">
        <is>
          <t>Linux Engineer</t>
        </is>
      </c>
      <c r="E111" s="7" t="inlineStr">
        <is>
          <t>Graphcore</t>
        </is>
      </c>
      <c r="F111" s="8" t="inlineStr">
        <is>
          <t>Bristol, UK</t>
        </is>
      </c>
      <c r="G111" s="8" t="n"/>
      <c r="H111" s="14" t="n"/>
      <c r="I111" s="15">
        <f>IF($H111="","",$H111-TODAY())</f>
        <v/>
      </c>
      <c r="J111" s="16" t="inlineStr">
        <is>
          <t>Open posting</t>
        </is>
      </c>
      <c r="K111" s="8" t="n"/>
      <c r="L111" s="17" t="inlineStr">
        <is>
          <t>new</t>
        </is>
      </c>
      <c r="M111" s="18" t="inlineStr"/>
      <c r="N111" s="7" t="inlineStr">
        <is>
          <t>9eec6f274d608d7d89143a0148d30ce6cfeb2ae4</t>
        </is>
      </c>
      <c r="O111" s="14" t="n">
        <v>46189</v>
      </c>
      <c r="P111" s="7" t="inlineStr">
        <is>
          <t>greenhouse:graphcore</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Senior/Lead</t>
        </is>
      </c>
      <c r="D112" s="8" t="inlineStr">
        <is>
          <t>Manufacturing Product Engineer</t>
        </is>
      </c>
      <c r="E112" s="7" t="inlineStr">
        <is>
          <t>Graphcore</t>
        </is>
      </c>
      <c r="F112" s="8" t="inlineStr">
        <is>
          <t>Hsinchu City, Hsinchu City, Taiwan; 臺北市, Taipei, Taiwan</t>
        </is>
      </c>
      <c r="G112" s="8" t="n"/>
      <c r="H112" s="14" t="n"/>
      <c r="I112" s="15">
        <f>IF($H112="","",$H112-TODAY())</f>
        <v/>
      </c>
      <c r="J112" s="16" t="inlineStr">
        <is>
          <t>Open posting</t>
        </is>
      </c>
      <c r="K112" s="8" t="n"/>
      <c r="L112" s="17" t="inlineStr">
        <is>
          <t>new</t>
        </is>
      </c>
      <c r="M112" s="18" t="inlineStr"/>
      <c r="N112" s="7" t="inlineStr">
        <is>
          <t>cd7853f448bed607b07446692a666aaac7998915</t>
        </is>
      </c>
      <c r="O112" s="14" t="n">
        <v>46189</v>
      </c>
      <c r="P112" s="7" t="inlineStr">
        <is>
          <t>greenhouse:graphcore</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Manager/Owner</t>
        </is>
      </c>
      <c r="D113" s="8" t="inlineStr">
        <is>
          <t>Material Planning Manager</t>
        </is>
      </c>
      <c r="E113" s="7" t="inlineStr">
        <is>
          <t>Graphcore</t>
        </is>
      </c>
      <c r="F113" s="8" t="inlineStr">
        <is>
          <t>臺北市, Taipei, Taiwan</t>
        </is>
      </c>
      <c r="G113" s="8" t="n"/>
      <c r="H113" s="14" t="n"/>
      <c r="I113" s="15">
        <f>IF($H113="","",$H113-TODAY())</f>
        <v/>
      </c>
      <c r="J113" s="16" t="inlineStr">
        <is>
          <t>Open posting</t>
        </is>
      </c>
      <c r="K113" s="8" t="n"/>
      <c r="L113" s="17" t="inlineStr">
        <is>
          <t>new</t>
        </is>
      </c>
      <c r="M113" s="18" t="inlineStr"/>
      <c r="N113" s="7" t="inlineStr">
        <is>
          <t>b9a1c699e02f44708fe471ac7e9286701c34ae92</t>
        </is>
      </c>
      <c r="O113" s="14" t="n">
        <v>46189</v>
      </c>
      <c r="P113" s="7" t="inlineStr">
        <is>
          <t>greenhouse:graphcore</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Manager/Owner</t>
        </is>
      </c>
      <c r="D114" s="8" t="inlineStr">
        <is>
          <t>ML QA Technical Product Owner</t>
        </is>
      </c>
      <c r="E114" s="7" t="inlineStr">
        <is>
          <t>Graphcore</t>
        </is>
      </c>
      <c r="F114" s="8" t="inlineStr">
        <is>
          <t>Bristol, UK</t>
        </is>
      </c>
      <c r="G114" s="8" t="n"/>
      <c r="H114" s="14" t="n"/>
      <c r="I114" s="15">
        <f>IF($H114="","",$H114-TODAY())</f>
        <v/>
      </c>
      <c r="J114" s="16" t="inlineStr">
        <is>
          <t>Open posting</t>
        </is>
      </c>
      <c r="K114" s="8" t="n"/>
      <c r="L114" s="17" t="inlineStr">
        <is>
          <t>new</t>
        </is>
      </c>
      <c r="M114" s="18" t="inlineStr"/>
      <c r="N114" s="7" t="inlineStr">
        <is>
          <t>ad18d6a9cee7bd6c1ab8e43e7ca05f707f58af7c</t>
        </is>
      </c>
      <c r="O114" s="14" t="n">
        <v>46189</v>
      </c>
      <c r="P114" s="7" t="inlineStr">
        <is>
          <t>greenhouse:graphcore</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Unspecified</t>
        </is>
      </c>
      <c r="D115" s="8" t="inlineStr">
        <is>
          <t>Observability, Data Scientist</t>
        </is>
      </c>
      <c r="E115" s="7" t="inlineStr">
        <is>
          <t>Graphcore</t>
        </is>
      </c>
      <c r="F115" s="8" t="inlineStr">
        <is>
          <t>Gdańsk, Pomeranian Voivodeship, Poland</t>
        </is>
      </c>
      <c r="G115" s="8" t="n"/>
      <c r="H115" s="14" t="n"/>
      <c r="I115" s="15">
        <f>IF($H115="","",$H115-TODAY())</f>
        <v/>
      </c>
      <c r="J115" s="16" t="inlineStr">
        <is>
          <t>Open posting</t>
        </is>
      </c>
      <c r="K115" s="8" t="n"/>
      <c r="L115" s="17" t="inlineStr">
        <is>
          <t>new</t>
        </is>
      </c>
      <c r="M115" s="18" t="inlineStr"/>
      <c r="N115" s="7" t="inlineStr">
        <is>
          <t>e95cc2890b1b216481c304b201e02fe9f1f853c6</t>
        </is>
      </c>
      <c r="O115" s="14" t="n">
        <v>46189</v>
      </c>
      <c r="P115" s="7" t="inlineStr">
        <is>
          <t>greenhouse:graphcore</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Unspecified</t>
        </is>
      </c>
      <c r="D116" s="8" t="inlineStr">
        <is>
          <t>PCB CAD Librarian</t>
        </is>
      </c>
      <c r="E116" s="7" t="inlineStr">
        <is>
          <t>Graphcore</t>
        </is>
      </c>
      <c r="F116" s="8" t="inlineStr">
        <is>
          <t>Bristol, UK</t>
        </is>
      </c>
      <c r="G116" s="8" t="n"/>
      <c r="H116" s="14" t="n"/>
      <c r="I116" s="15">
        <f>IF($H116="","",$H116-TODAY())</f>
        <v/>
      </c>
      <c r="J116" s="16" t="inlineStr">
        <is>
          <t>Open posting</t>
        </is>
      </c>
      <c r="K116" s="8" t="n"/>
      <c r="L116" s="17" t="inlineStr">
        <is>
          <t>new</t>
        </is>
      </c>
      <c r="M116" s="18" t="inlineStr"/>
      <c r="N116" s="7" t="inlineStr">
        <is>
          <t>6e43e575e468377b2cc7d309fd29ded7f340f71a</t>
        </is>
      </c>
      <c r="O116" s="14" t="n">
        <v>46189</v>
      </c>
      <c r="P116" s="7" t="inlineStr">
        <is>
          <t>greenhouse:graphcore</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Senior/Lead</t>
        </is>
      </c>
      <c r="D117" s="8" t="inlineStr">
        <is>
          <t>People Partner - Poland</t>
        </is>
      </c>
      <c r="E117" s="7" t="inlineStr">
        <is>
          <t>Graphcore</t>
        </is>
      </c>
      <c r="F117" s="8" t="inlineStr">
        <is>
          <t>Gdańsk, Pomeranian Voivodeship, Poland</t>
        </is>
      </c>
      <c r="G117" s="8" t="n"/>
      <c r="H117" s="14" t="n"/>
      <c r="I117" s="15">
        <f>IF($H117="","",$H117-TODAY())</f>
        <v/>
      </c>
      <c r="J117" s="16" t="inlineStr">
        <is>
          <t>Open posting</t>
        </is>
      </c>
      <c r="K117" s="8" t="n"/>
      <c r="L117" s="17" t="inlineStr">
        <is>
          <t>new</t>
        </is>
      </c>
      <c r="M117" s="18" t="inlineStr"/>
      <c r="N117" s="7" t="inlineStr">
        <is>
          <t>65f92ff478a3188716a26431be938d4d8c0b4b6a</t>
        </is>
      </c>
      <c r="O117" s="14" t="n">
        <v>46189</v>
      </c>
      <c r="P117" s="7" t="inlineStr">
        <is>
          <t>greenhouse:graphcore</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Unspecified</t>
        </is>
      </c>
      <c r="D118" s="8" t="inlineStr">
        <is>
          <t>Post Silicon Validation Engineer</t>
        </is>
      </c>
      <c r="E118" s="7" t="inlineStr">
        <is>
          <t>Graphcore</t>
        </is>
      </c>
      <c r="F118" s="8" t="inlineStr">
        <is>
          <t>Bristol, UK</t>
        </is>
      </c>
      <c r="G118" s="8" t="n"/>
      <c r="H118" s="14" t="n"/>
      <c r="I118" s="15">
        <f>IF($H118="","",$H118-TODAY())</f>
        <v/>
      </c>
      <c r="J118" s="16" t="inlineStr">
        <is>
          <t>Open posting</t>
        </is>
      </c>
      <c r="K118" s="8" t="n"/>
      <c r="L118" s="17" t="inlineStr">
        <is>
          <t>new</t>
        </is>
      </c>
      <c r="M118" s="18" t="inlineStr"/>
      <c r="N118" s="7" t="inlineStr">
        <is>
          <t>b5ab1816ee0ea8165af1beff8e02c9c0d42d77da</t>
        </is>
      </c>
      <c r="O118" s="14" t="n">
        <v>46189</v>
      </c>
      <c r="P118" s="7" t="inlineStr">
        <is>
          <t>greenhouse:graphcore</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Unspecified</t>
        </is>
      </c>
      <c r="D119" s="8" t="inlineStr">
        <is>
          <t>Power Integrity Engineer</t>
        </is>
      </c>
      <c r="E119" s="7" t="inlineStr">
        <is>
          <t>Graphcore</t>
        </is>
      </c>
      <c r="F119" s="8" t="inlineStr">
        <is>
          <t>Bristol, UK; Cambridge, UK; London, UK</t>
        </is>
      </c>
      <c r="G119" s="8" t="n"/>
      <c r="H119" s="14" t="n"/>
      <c r="I119" s="15">
        <f>IF($H119="","",$H119-TODAY())</f>
        <v/>
      </c>
      <c r="J119" s="16" t="inlineStr">
        <is>
          <t>Open posting</t>
        </is>
      </c>
      <c r="K119" s="8" t="n"/>
      <c r="L119" s="17" t="inlineStr">
        <is>
          <t>new</t>
        </is>
      </c>
      <c r="M119" s="18" t="inlineStr"/>
      <c r="N119" s="7" t="inlineStr">
        <is>
          <t>2ff004b77c1a1048210023f69df0dfebf438e4c6</t>
        </is>
      </c>
      <c r="O119" s="14" t="n">
        <v>46189</v>
      </c>
      <c r="P119" s="7" t="inlineStr">
        <is>
          <t>greenhouse:graphcore</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Senior/Lead</t>
        </is>
      </c>
      <c r="D120" s="8" t="inlineStr">
        <is>
          <t>Power &amp; Performance Validation Engineer</t>
        </is>
      </c>
      <c r="E120" s="7" t="inlineStr">
        <is>
          <t>Graphcore</t>
        </is>
      </c>
      <c r="F120" s="8" t="inlineStr">
        <is>
          <t>Bengaluru, India</t>
        </is>
      </c>
      <c r="G120" s="8" t="n"/>
      <c r="H120" s="14" t="n"/>
      <c r="I120" s="15">
        <f>IF($H120="","",$H120-TODAY())</f>
        <v/>
      </c>
      <c r="J120" s="16" t="inlineStr">
        <is>
          <t>Open posting</t>
        </is>
      </c>
      <c r="K120" s="8" t="n"/>
      <c r="L120" s="17" t="inlineStr">
        <is>
          <t>new</t>
        </is>
      </c>
      <c r="M120" s="18" t="inlineStr"/>
      <c r="N120" s="7" t="inlineStr">
        <is>
          <t>31ebac692ccc0477d09df23101d1b034d1ef13ee</t>
        </is>
      </c>
      <c r="O120" s="14" t="n">
        <v>46189</v>
      </c>
      <c r="P120" s="7" t="inlineStr">
        <is>
          <t>greenhouse:graphcore</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Manager/Owner</t>
        </is>
      </c>
      <c r="D121" s="8" t="inlineStr">
        <is>
          <t>Project Manager</t>
        </is>
      </c>
      <c r="E121" s="7" t="inlineStr">
        <is>
          <t>Graphcore</t>
        </is>
      </c>
      <c r="F121" s="8" t="inlineStr">
        <is>
          <t>Bristol, UK; Cambridge, UK; London, UK</t>
        </is>
      </c>
      <c r="G121" s="8" t="n"/>
      <c r="H121" s="14" t="n"/>
      <c r="I121" s="15">
        <f>IF($H121="","",$H121-TODAY())</f>
        <v/>
      </c>
      <c r="J121" s="16" t="inlineStr">
        <is>
          <t>Open posting</t>
        </is>
      </c>
      <c r="K121" s="8" t="n"/>
      <c r="L121" s="17" t="inlineStr">
        <is>
          <t>new</t>
        </is>
      </c>
      <c r="M121" s="18" t="inlineStr"/>
      <c r="N121" s="7" t="inlineStr">
        <is>
          <t>c30d3543a7d45dd2b1ecc9f904db35c348617c9b</t>
        </is>
      </c>
      <c r="O121" s="14" t="n">
        <v>46189</v>
      </c>
      <c r="P121" s="7" t="inlineStr">
        <is>
          <t>greenhouse:graphcore</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Senior/Lead</t>
        </is>
      </c>
      <c r="D122" s="8" t="inlineStr">
        <is>
          <t>Pytorch Engineer</t>
        </is>
      </c>
      <c r="E122" s="7" t="inlineStr">
        <is>
          <t>Graphcore</t>
        </is>
      </c>
      <c r="F122" s="8" t="inlineStr">
        <is>
          <t>Bristol, UK</t>
        </is>
      </c>
      <c r="G122" s="8" t="n"/>
      <c r="H122" s="14" t="n"/>
      <c r="I122" s="15">
        <f>IF($H122="","",$H122-TODAY())</f>
        <v/>
      </c>
      <c r="J122" s="16" t="inlineStr">
        <is>
          <t>Open posting</t>
        </is>
      </c>
      <c r="K122" s="8" t="n"/>
      <c r="L122" s="17" t="inlineStr">
        <is>
          <t>new</t>
        </is>
      </c>
      <c r="M122" s="18" t="inlineStr"/>
      <c r="N122" s="7" t="inlineStr">
        <is>
          <t>e78458bfe8438005a0808143580a6a582a4fc6a9</t>
        </is>
      </c>
      <c r="O122" s="14" t="n">
        <v>46189</v>
      </c>
      <c r="P122" s="7" t="inlineStr">
        <is>
          <t>greenhouse:graphcore</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Unspecified</t>
        </is>
      </c>
      <c r="D123" s="8" t="inlineStr">
        <is>
          <t>Research Scientist (Visual Generative AI &amp; World Models)</t>
        </is>
      </c>
      <c r="E123" s="7" t="inlineStr">
        <is>
          <t>Graphcore</t>
        </is>
      </c>
      <c r="F123" s="8" t="inlineStr">
        <is>
          <t>Bristol, UK; Cambridge, UK; London, UK</t>
        </is>
      </c>
      <c r="G123" s="8" t="n"/>
      <c r="H123" s="14" t="n"/>
      <c r="I123" s="15">
        <f>IF($H123="","",$H123-TODAY())</f>
        <v/>
      </c>
      <c r="J123" s="16" t="inlineStr">
        <is>
          <t>Open posting</t>
        </is>
      </c>
      <c r="K123" s="8" t="n"/>
      <c r="L123" s="17" t="inlineStr">
        <is>
          <t>new</t>
        </is>
      </c>
      <c r="M123" s="18" t="inlineStr"/>
      <c r="N123" s="7" t="inlineStr">
        <is>
          <t>5d78bd7d7ee7c2053c0565c19430572cf8877433</t>
        </is>
      </c>
      <c r="O123" s="14" t="n">
        <v>46189</v>
      </c>
      <c r="P123" s="7" t="inlineStr">
        <is>
          <t>greenhouse:graphcore</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Senior/Lead</t>
        </is>
      </c>
      <c r="D124" s="8" t="inlineStr">
        <is>
          <t>Secrets Engineer</t>
        </is>
      </c>
      <c r="E124" s="7" t="inlineStr">
        <is>
          <t>Graphcore</t>
        </is>
      </c>
      <c r="F124" s="8" t="inlineStr">
        <is>
          <t>Bristol, UK</t>
        </is>
      </c>
      <c r="G124" s="8" t="n"/>
      <c r="H124" s="14" t="n"/>
      <c r="I124" s="15">
        <f>IF($H124="","",$H124-TODAY())</f>
        <v/>
      </c>
      <c r="J124" s="16" t="inlineStr">
        <is>
          <t>Open posting</t>
        </is>
      </c>
      <c r="K124" s="8" t="n"/>
      <c r="L124" s="17" t="inlineStr">
        <is>
          <t>new</t>
        </is>
      </c>
      <c r="M124" s="18" t="inlineStr"/>
      <c r="N124" s="7" t="inlineStr">
        <is>
          <t>292efa69d0b1af4da6d609bd1742ad67f8829b3b</t>
        </is>
      </c>
      <c r="O124" s="14" t="n">
        <v>46189</v>
      </c>
      <c r="P124" s="7" t="inlineStr">
        <is>
          <t>greenhouse:graphcore</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Unspecified</t>
        </is>
      </c>
      <c r="D125" s="8" t="inlineStr">
        <is>
          <t>Shock Vibration and Transportation Engineer</t>
        </is>
      </c>
      <c r="E125" s="7" t="inlineStr">
        <is>
          <t>Graphcore</t>
        </is>
      </c>
      <c r="F125" s="8" t="inlineStr">
        <is>
          <t>Hsinchu City, Hsinchu City, Taiwan; 臺北市, Taipei, Taiwan</t>
        </is>
      </c>
      <c r="G125" s="8" t="n"/>
      <c r="H125" s="14" t="n"/>
      <c r="I125" s="15">
        <f>IF($H125="","",$H125-TODAY())</f>
        <v/>
      </c>
      <c r="J125" s="16" t="inlineStr">
        <is>
          <t>Open posting</t>
        </is>
      </c>
      <c r="K125" s="8" t="n"/>
      <c r="L125" s="17" t="inlineStr">
        <is>
          <t>new</t>
        </is>
      </c>
      <c r="M125" s="18" t="inlineStr"/>
      <c r="N125" s="7" t="inlineStr">
        <is>
          <t>6844538f86c144ad3fd4af0a96f762daac3c49fd</t>
        </is>
      </c>
      <c r="O125" s="14" t="n">
        <v>46189</v>
      </c>
      <c r="P125" s="7" t="inlineStr">
        <is>
          <t>greenhouse:graphcore</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Unspecified</t>
        </is>
      </c>
      <c r="D126" s="8" t="inlineStr">
        <is>
          <t>Signal Integrity Engineer</t>
        </is>
      </c>
      <c r="E126" s="7" t="inlineStr">
        <is>
          <t>Graphcore</t>
        </is>
      </c>
      <c r="F126" s="8" t="inlineStr">
        <is>
          <t>Bristol, UK; Cambridge, UK; London, UK</t>
        </is>
      </c>
      <c r="G126" s="8" t="n"/>
      <c r="H126" s="14" t="n"/>
      <c r="I126" s="15">
        <f>IF($H126="","",$H126-TODAY())</f>
        <v/>
      </c>
      <c r="J126" s="16" t="inlineStr">
        <is>
          <t>Open posting</t>
        </is>
      </c>
      <c r="K126" s="8" t="n"/>
      <c r="L126" s="17" t="inlineStr">
        <is>
          <t>new</t>
        </is>
      </c>
      <c r="M126" s="18" t="inlineStr"/>
      <c r="N126" s="7" t="inlineStr">
        <is>
          <t>11c07ce9a34b9b15b374f18517e50b2e04c245a0</t>
        </is>
      </c>
      <c r="O126" s="14" t="n">
        <v>46189</v>
      </c>
      <c r="P126" s="7" t="inlineStr">
        <is>
          <t>greenhouse:graphcore</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Unspecified</t>
        </is>
      </c>
      <c r="D127" s="8" t="inlineStr">
        <is>
          <t>Signal Integrity Engineer</t>
        </is>
      </c>
      <c r="E127" s="7" t="inlineStr">
        <is>
          <t>Graphcore</t>
        </is>
      </c>
      <c r="F127" s="8" t="inlineStr">
        <is>
          <t>Bristol, UK; Cambridge, UK; London, UK</t>
        </is>
      </c>
      <c r="G127" s="8" t="n"/>
      <c r="H127" s="14" t="n"/>
      <c r="I127" s="15">
        <f>IF($H127="","",$H127-TODAY())</f>
        <v/>
      </c>
      <c r="J127" s="16" t="inlineStr">
        <is>
          <t>Open posting</t>
        </is>
      </c>
      <c r="K127" s="8" t="n"/>
      <c r="L127" s="17" t="inlineStr">
        <is>
          <t>new</t>
        </is>
      </c>
      <c r="M127" s="18" t="inlineStr"/>
      <c r="N127" s="7" t="inlineStr">
        <is>
          <t>c4949235b9fb0f0210577692b71f6d716fd8a864</t>
        </is>
      </c>
      <c r="O127" s="14" t="n">
        <v>46189</v>
      </c>
      <c r="P127" s="7" t="inlineStr">
        <is>
          <t>greenhouse:graphcore</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Unspecified</t>
        </is>
      </c>
      <c r="D128" s="8" t="inlineStr">
        <is>
          <t>Silicon Physical Design Engineer</t>
        </is>
      </c>
      <c r="E128" s="7" t="inlineStr">
        <is>
          <t>Graphcore</t>
        </is>
      </c>
      <c r="F128" s="8" t="inlineStr">
        <is>
          <t>Bristol, UK; Cambridge, UK</t>
        </is>
      </c>
      <c r="G128" s="8" t="n"/>
      <c r="H128" s="14" t="n"/>
      <c r="I128" s="15">
        <f>IF($H128="","",$H128-TODAY())</f>
        <v/>
      </c>
      <c r="J128" s="16" t="inlineStr">
        <is>
          <t>Open posting</t>
        </is>
      </c>
      <c r="K128" s="8" t="n"/>
      <c r="L128" s="17" t="inlineStr">
        <is>
          <t>new</t>
        </is>
      </c>
      <c r="M128" s="18" t="inlineStr"/>
      <c r="N128" s="7" t="inlineStr">
        <is>
          <t>cc9a42027b271ea6b550fc31a9abdce3fc087ea5</t>
        </is>
      </c>
      <c r="O128" s="14" t="n">
        <v>46189</v>
      </c>
      <c r="P128" s="7" t="inlineStr">
        <is>
          <t>greenhouse:graphcore</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Unspecified</t>
        </is>
      </c>
      <c r="D129" s="8" t="inlineStr">
        <is>
          <t>Silicon Verification Engineer</t>
        </is>
      </c>
      <c r="E129" s="7" t="inlineStr">
        <is>
          <t>Graphcore</t>
        </is>
      </c>
      <c r="F129" s="8" t="inlineStr">
        <is>
          <t>Bristol, UK; Cambridge, UK</t>
        </is>
      </c>
      <c r="G129" s="8" t="n"/>
      <c r="H129" s="14" t="n"/>
      <c r="I129" s="15">
        <f>IF($H129="","",$H129-TODAY())</f>
        <v/>
      </c>
      <c r="J129" s="16" t="inlineStr">
        <is>
          <t>Open posting</t>
        </is>
      </c>
      <c r="K129" s="8" t="n"/>
      <c r="L129" s="17" t="inlineStr">
        <is>
          <t>new</t>
        </is>
      </c>
      <c r="M129" s="18" t="inlineStr"/>
      <c r="N129" s="7" t="inlineStr">
        <is>
          <t>ec72c74302642f41c0a676d28944cf11c8566ea8</t>
        </is>
      </c>
      <c r="O129" s="14" t="n">
        <v>46189</v>
      </c>
      <c r="P129" s="7" t="inlineStr">
        <is>
          <t>greenhouse:graphcore</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Unspecified</t>
        </is>
      </c>
      <c r="D130" s="8" t="inlineStr">
        <is>
          <t>SoC Architect</t>
        </is>
      </c>
      <c r="E130" s="7" t="inlineStr">
        <is>
          <t>Graphcore</t>
        </is>
      </c>
      <c r="F130" s="8" t="inlineStr">
        <is>
          <t>Bristol, UK</t>
        </is>
      </c>
      <c r="G130" s="8" t="n"/>
      <c r="H130" s="14" t="n"/>
      <c r="I130" s="15">
        <f>IF($H130="","",$H130-TODAY())</f>
        <v/>
      </c>
      <c r="J130" s="16" t="inlineStr">
        <is>
          <t>Open posting</t>
        </is>
      </c>
      <c r="K130" s="8" t="n"/>
      <c r="L130" s="17" t="inlineStr">
        <is>
          <t>new</t>
        </is>
      </c>
      <c r="M130" s="18" t="inlineStr"/>
      <c r="N130" s="7" t="inlineStr">
        <is>
          <t>87d7bdbcc8578d25f9357ddb7b1e3093cf51afd9</t>
        </is>
      </c>
      <c r="O130" s="14" t="n">
        <v>46189</v>
      </c>
      <c r="P130" s="7" t="inlineStr">
        <is>
          <t>greenhouse:graphcore</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Unspecified</t>
        </is>
      </c>
      <c r="D131" s="8" t="inlineStr">
        <is>
          <t>Software Engineer</t>
        </is>
      </c>
      <c r="E131" s="7" t="inlineStr">
        <is>
          <t>Graphcore</t>
        </is>
      </c>
      <c r="F131" s="8" t="inlineStr">
        <is>
          <t>Gdańsk, Pomeranian Voivodeship, Poland</t>
        </is>
      </c>
      <c r="G131" s="8" t="n"/>
      <c r="H131" s="14" t="n"/>
      <c r="I131" s="15">
        <f>IF($H131="","",$H131-TODAY())</f>
        <v/>
      </c>
      <c r="J131" s="16" t="inlineStr">
        <is>
          <t>Open posting</t>
        </is>
      </c>
      <c r="K131" s="8" t="n"/>
      <c r="L131" s="17" t="inlineStr">
        <is>
          <t>new</t>
        </is>
      </c>
      <c r="M131" s="18" t="inlineStr"/>
      <c r="N131" s="7" t="inlineStr">
        <is>
          <t>f99e8a6f59e0b999a379cee2a16256635a6e0672</t>
        </is>
      </c>
      <c r="O131" s="14" t="n">
        <v>46189</v>
      </c>
      <c r="P131" s="7" t="inlineStr">
        <is>
          <t>greenhouse:graphcore</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Mid-level</t>
        </is>
      </c>
      <c r="D132" s="8" t="inlineStr">
        <is>
          <t>Software Engineer</t>
        </is>
      </c>
      <c r="E132" s="7" t="inlineStr">
        <is>
          <t>Graphcore</t>
        </is>
      </c>
      <c r="F132" s="8" t="inlineStr">
        <is>
          <t>Bristol, UK</t>
        </is>
      </c>
      <c r="G132" s="8" t="n"/>
      <c r="H132" s="14" t="n"/>
      <c r="I132" s="15">
        <f>IF($H132="","",$H132-TODAY())</f>
        <v/>
      </c>
      <c r="J132" s="16" t="inlineStr">
        <is>
          <t>Open posting</t>
        </is>
      </c>
      <c r="K132" s="8" t="n"/>
      <c r="L132" s="17" t="inlineStr">
        <is>
          <t>new</t>
        </is>
      </c>
      <c r="M132" s="18" t="inlineStr"/>
      <c r="N132" s="7" t="inlineStr">
        <is>
          <t>b99df577b3029a7d87ec93147d86143b2c4df8a0</t>
        </is>
      </c>
      <c r="O132" s="14" t="n">
        <v>46189</v>
      </c>
      <c r="P132" s="7" t="inlineStr">
        <is>
          <t>greenhouse:graphcore</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Mid-level</t>
        </is>
      </c>
      <c r="D133" s="8" t="inlineStr">
        <is>
          <t>Software Engineer</t>
        </is>
      </c>
      <c r="E133" s="7" t="inlineStr">
        <is>
          <t>Graphcore</t>
        </is>
      </c>
      <c r="F133" s="8" t="inlineStr">
        <is>
          <t>Bristol, UK</t>
        </is>
      </c>
      <c r="G133" s="8" t="n"/>
      <c r="H133" s="14" t="n"/>
      <c r="I133" s="15">
        <f>IF($H133="","",$H133-TODAY())</f>
        <v/>
      </c>
      <c r="J133" s="16" t="inlineStr">
        <is>
          <t>Open posting</t>
        </is>
      </c>
      <c r="K133" s="8" t="n"/>
      <c r="L133" s="17" t="inlineStr">
        <is>
          <t>new</t>
        </is>
      </c>
      <c r="M133" s="18" t="inlineStr"/>
      <c r="N133" s="7" t="inlineStr">
        <is>
          <t>3b3ed4ef693fe3f53d08b260595bafc44461c2eb</t>
        </is>
      </c>
      <c r="O133" s="14" t="n">
        <v>46189</v>
      </c>
      <c r="P133" s="7" t="inlineStr">
        <is>
          <t>greenhouse:graphcore</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Unspecified</t>
        </is>
      </c>
      <c r="D134" s="8" t="inlineStr">
        <is>
          <t>Software Engineer in Build Engineering</t>
        </is>
      </c>
      <c r="E134" s="7" t="inlineStr">
        <is>
          <t>Graphcore</t>
        </is>
      </c>
      <c r="F134" s="8" t="inlineStr">
        <is>
          <t>Bristol, UK; Cambridge, UK; Gdańsk, Pomeranian Voivodeship, Poland</t>
        </is>
      </c>
      <c r="G134" s="8" t="n"/>
      <c r="H134" s="14" t="n"/>
      <c r="I134" s="15">
        <f>IF($H134="","",$H134-TODAY())</f>
        <v/>
      </c>
      <c r="J134" s="16" t="inlineStr">
        <is>
          <t>Open posting</t>
        </is>
      </c>
      <c r="K134" s="8" t="n"/>
      <c r="L134" s="17" t="inlineStr">
        <is>
          <t>new</t>
        </is>
      </c>
      <c r="M134" s="18" t="inlineStr"/>
      <c r="N134" s="7" t="inlineStr">
        <is>
          <t>13d701ea917e4aa6981c301e5f6c395150a09208</t>
        </is>
      </c>
      <c r="O134" s="14" t="n">
        <v>46189</v>
      </c>
      <c r="P134" s="7" t="inlineStr">
        <is>
          <t>greenhouse:graphcore</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Unspecified</t>
        </is>
      </c>
      <c r="D135" s="8" t="inlineStr">
        <is>
          <t>Software Engineer - ML Kernels &amp; Runtime</t>
        </is>
      </c>
      <c r="E135" s="7" t="inlineStr">
        <is>
          <t>Graphcore</t>
        </is>
      </c>
      <c r="F135" s="8" t="inlineStr">
        <is>
          <t>Gdańsk, Pomeranian Voivodeship, Poland</t>
        </is>
      </c>
      <c r="G135" s="8" t="n"/>
      <c r="H135" s="14" t="n"/>
      <c r="I135" s="15">
        <f>IF($H135="","",$H135-TODAY())</f>
        <v/>
      </c>
      <c r="J135" s="16" t="inlineStr">
        <is>
          <t>Open posting</t>
        </is>
      </c>
      <c r="K135" s="8" t="n"/>
      <c r="L135" s="17" t="inlineStr">
        <is>
          <t>new</t>
        </is>
      </c>
      <c r="M135" s="18" t="inlineStr"/>
      <c r="N135" s="7" t="inlineStr">
        <is>
          <t>a2a775f6dc90f14d2a27acea690e762a15b794ba</t>
        </is>
      </c>
      <c r="O135" s="14" t="n">
        <v>46189</v>
      </c>
      <c r="P135" s="7" t="inlineStr">
        <is>
          <t>greenhouse:graphcore</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Unspecified</t>
        </is>
      </c>
      <c r="D136" s="8" t="inlineStr">
        <is>
          <t>Software Engineer - ML Kernels &amp; Runtime</t>
        </is>
      </c>
      <c r="E136" s="7" t="inlineStr">
        <is>
          <t>Graphcore</t>
        </is>
      </c>
      <c r="F136" s="8" t="inlineStr">
        <is>
          <t>Bristol, UK</t>
        </is>
      </c>
      <c r="G136" s="8" t="n"/>
      <c r="H136" s="14" t="n"/>
      <c r="I136" s="15">
        <f>IF($H136="","",$H136-TODAY())</f>
        <v/>
      </c>
      <c r="J136" s="16" t="inlineStr">
        <is>
          <t>Open posting</t>
        </is>
      </c>
      <c r="K136" s="8" t="n"/>
      <c r="L136" s="17" t="inlineStr">
        <is>
          <t>new</t>
        </is>
      </c>
      <c r="M136" s="18" t="inlineStr"/>
      <c r="N136" s="7" t="inlineStr">
        <is>
          <t>e061ceffc3e6f13cc7e0e75c0168d96ac92ba7ca</t>
        </is>
      </c>
      <c r="O136" s="14" t="n">
        <v>46189</v>
      </c>
      <c r="P136" s="7" t="inlineStr">
        <is>
          <t>greenhouse:graphcore</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Senior/Lead</t>
        </is>
      </c>
      <c r="D137" s="8" t="inlineStr">
        <is>
          <t>Software Engineer - Triton</t>
        </is>
      </c>
      <c r="E137" s="7" t="inlineStr">
        <is>
          <t>Graphcore</t>
        </is>
      </c>
      <c r="F137" s="8" t="inlineStr">
        <is>
          <t>Bristol, UK; Cambridge, UK</t>
        </is>
      </c>
      <c r="G137" s="8" t="n"/>
      <c r="H137" s="14" t="n"/>
      <c r="I137" s="15">
        <f>IF($H137="","",$H137-TODAY())</f>
        <v/>
      </c>
      <c r="J137" s="16" t="inlineStr">
        <is>
          <t>Open posting</t>
        </is>
      </c>
      <c r="K137" s="8" t="n"/>
      <c r="L137" s="17" t="inlineStr">
        <is>
          <t>new</t>
        </is>
      </c>
      <c r="M137" s="18" t="inlineStr"/>
      <c r="N137" s="7" t="inlineStr">
        <is>
          <t>f1fca744426d844e685593fb0efbd403284065f8</t>
        </is>
      </c>
      <c r="O137" s="14" t="n">
        <v>46189</v>
      </c>
      <c r="P137" s="7" t="inlineStr">
        <is>
          <t>greenhouse:graphcore</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Unspecified</t>
        </is>
      </c>
      <c r="D138" s="8" t="inlineStr">
        <is>
          <t>Software Infrastructure Engineer</t>
        </is>
      </c>
      <c r="E138" s="7" t="inlineStr">
        <is>
          <t>Graphcore</t>
        </is>
      </c>
      <c r="F138" s="8" t="inlineStr">
        <is>
          <t>Bristol, UK</t>
        </is>
      </c>
      <c r="G138" s="8" t="n"/>
      <c r="H138" s="14" t="n"/>
      <c r="I138" s="15">
        <f>IF($H138="","",$H138-TODAY())</f>
        <v/>
      </c>
      <c r="J138" s="16" t="inlineStr">
        <is>
          <t>Open posting</t>
        </is>
      </c>
      <c r="K138" s="8" t="n"/>
      <c r="L138" s="17" t="inlineStr">
        <is>
          <t>new</t>
        </is>
      </c>
      <c r="M138" s="18" t="inlineStr"/>
      <c r="N138" s="7" t="inlineStr">
        <is>
          <t>664063c3e90f54b3041abead9e87d78747967108</t>
        </is>
      </c>
      <c r="O138" s="14" t="n">
        <v>46189</v>
      </c>
      <c r="P138" s="7" t="inlineStr">
        <is>
          <t>greenhouse:graphcore</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Unspecified</t>
        </is>
      </c>
      <c r="D139" s="8" t="inlineStr">
        <is>
          <t>Software Infrastructure Kubernetes Engineer</t>
        </is>
      </c>
      <c r="E139" s="7" t="inlineStr">
        <is>
          <t>Graphcore</t>
        </is>
      </c>
      <c r="F139" s="8" t="inlineStr">
        <is>
          <t>Bristol, UK; Cambridge, UK; Gdańsk, Pomeranian Voivodeship, Poland</t>
        </is>
      </c>
      <c r="G139" s="8" t="n"/>
      <c r="H139" s="14" t="n"/>
      <c r="I139" s="15">
        <f>IF($H139="","",$H139-TODAY())</f>
        <v/>
      </c>
      <c r="J139" s="16" t="inlineStr">
        <is>
          <t>Open posting</t>
        </is>
      </c>
      <c r="K139" s="8" t="n"/>
      <c r="L139" s="17" t="inlineStr">
        <is>
          <t>new</t>
        </is>
      </c>
      <c r="M139" s="18" t="inlineStr"/>
      <c r="N139" s="7" t="inlineStr">
        <is>
          <t>ea04c2062eee6bb2dd1e98f7a41c345f24035ca4</t>
        </is>
      </c>
      <c r="O139" s="14" t="n">
        <v>46189</v>
      </c>
      <c r="P139" s="7" t="inlineStr">
        <is>
          <t>greenhouse:graphcore</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Senior/Lead</t>
        </is>
      </c>
      <c r="D140" s="8" t="inlineStr">
        <is>
          <t>Storage Architect</t>
        </is>
      </c>
      <c r="E140" s="7" t="inlineStr">
        <is>
          <t>Graphcore</t>
        </is>
      </c>
      <c r="F140" s="8" t="inlineStr">
        <is>
          <t>Austin, Texas, United States; US - Milpitas</t>
        </is>
      </c>
      <c r="G140" s="8" t="n"/>
      <c r="H140" s="14" t="n"/>
      <c r="I140" s="15">
        <f>IF($H140="","",$H140-TODAY())</f>
        <v/>
      </c>
      <c r="J140" s="16" t="inlineStr">
        <is>
          <t>Open posting</t>
        </is>
      </c>
      <c r="K140" s="8" t="n"/>
      <c r="L140" s="17" t="inlineStr">
        <is>
          <t>new</t>
        </is>
      </c>
      <c r="M140" s="18" t="inlineStr"/>
      <c r="N140" s="7" t="inlineStr">
        <is>
          <t>375b635fe19a91de88f1b46c5a0104493f5fa1b9</t>
        </is>
      </c>
      <c r="O140" s="14" t="n">
        <v>46189</v>
      </c>
      <c r="P140" s="7" t="inlineStr">
        <is>
          <t>greenhouse:graphcore</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Unspecified</t>
        </is>
      </c>
      <c r="D141" s="8" t="inlineStr">
        <is>
          <t>System Software Engineer</t>
        </is>
      </c>
      <c r="E141" s="7" t="inlineStr">
        <is>
          <t>Graphcore</t>
        </is>
      </c>
      <c r="F141" s="8" t="inlineStr">
        <is>
          <t>Cambridge, UK</t>
        </is>
      </c>
      <c r="G141" s="8" t="n"/>
      <c r="H141" s="14" t="n"/>
      <c r="I141" s="15">
        <f>IF($H141="","",$H141-TODAY())</f>
        <v/>
      </c>
      <c r="J141" s="16" t="inlineStr">
        <is>
          <t>Open posting</t>
        </is>
      </c>
      <c r="K141" s="8" t="n"/>
      <c r="L141" s="17" t="inlineStr">
        <is>
          <t>new</t>
        </is>
      </c>
      <c r="M141" s="18" t="inlineStr"/>
      <c r="N141" s="7" t="inlineStr">
        <is>
          <t>7f1f4c10edb49f762f649fd602d8feae37371e36</t>
        </is>
      </c>
      <c r="O141" s="14" t="n">
        <v>46189</v>
      </c>
      <c r="P141" s="7" t="inlineStr">
        <is>
          <t>greenhouse:graphcore</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Unspecified</t>
        </is>
      </c>
      <c r="D142" s="8" t="inlineStr">
        <is>
          <t>System Software Engineer</t>
        </is>
      </c>
      <c r="E142" s="7" t="inlineStr">
        <is>
          <t>Graphcore</t>
        </is>
      </c>
      <c r="F142" s="8" t="inlineStr">
        <is>
          <t>Gdańsk, Pomeranian Voivodeship, Poland</t>
        </is>
      </c>
      <c r="G142" s="8" t="n"/>
      <c r="H142" s="14" t="n"/>
      <c r="I142" s="15">
        <f>IF($H142="","",$H142-TODAY())</f>
        <v/>
      </c>
      <c r="J142" s="16" t="inlineStr">
        <is>
          <t>Open posting</t>
        </is>
      </c>
      <c r="K142" s="8" t="n"/>
      <c r="L142" s="17" t="inlineStr">
        <is>
          <t>new</t>
        </is>
      </c>
      <c r="M142" s="18" t="inlineStr"/>
      <c r="N142" s="7" t="inlineStr">
        <is>
          <t>ff7cfb16125c5b04ec25be6114bbb468680d653b</t>
        </is>
      </c>
      <c r="O142" s="14" t="n">
        <v>46189</v>
      </c>
      <c r="P142" s="7" t="inlineStr">
        <is>
          <t>greenhouse:graphcore</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Unspecified</t>
        </is>
      </c>
      <c r="D143" s="8" t="inlineStr">
        <is>
          <t>System Software Engineer</t>
        </is>
      </c>
      <c r="E143" s="7" t="inlineStr">
        <is>
          <t>Graphcore</t>
        </is>
      </c>
      <c r="F143" s="8" t="inlineStr">
        <is>
          <t>Bristol, UK</t>
        </is>
      </c>
      <c r="G143" s="8" t="n"/>
      <c r="H143" s="14" t="n"/>
      <c r="I143" s="15">
        <f>IF($H143="","",$H143-TODAY())</f>
        <v/>
      </c>
      <c r="J143" s="16" t="inlineStr">
        <is>
          <t>Open posting</t>
        </is>
      </c>
      <c r="K143" s="8" t="n"/>
      <c r="L143" s="17" t="inlineStr">
        <is>
          <t>new</t>
        </is>
      </c>
      <c r="M143" s="18" t="inlineStr"/>
      <c r="N143" s="7" t="inlineStr">
        <is>
          <t>7e7d8692e2476c57f9c7fae8e7c437e0560f67d2</t>
        </is>
      </c>
      <c r="O143" s="14" t="n">
        <v>46189</v>
      </c>
      <c r="P143" s="7" t="inlineStr">
        <is>
          <t>greenhouse:graphcore</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Manager/Owner</t>
        </is>
      </c>
      <c r="D144" s="8" t="inlineStr">
        <is>
          <t>Technical Product Manager</t>
        </is>
      </c>
      <c r="E144" s="7" t="inlineStr">
        <is>
          <t>Graphcore</t>
        </is>
      </c>
      <c r="F144" s="8" t="inlineStr">
        <is>
          <t>Bristol, UK</t>
        </is>
      </c>
      <c r="G144" s="8" t="n"/>
      <c r="H144" s="14" t="n"/>
      <c r="I144" s="15">
        <f>IF($H144="","",$H144-TODAY())</f>
        <v/>
      </c>
      <c r="J144" s="16" t="inlineStr">
        <is>
          <t>Open posting</t>
        </is>
      </c>
      <c r="K144" s="8" t="n"/>
      <c r="L144" s="17" t="inlineStr">
        <is>
          <t>new</t>
        </is>
      </c>
      <c r="M144" s="18" t="inlineStr"/>
      <c r="N144" s="7" t="inlineStr">
        <is>
          <t>aab604e9762882dc657ff27ec510149e83e2cd12</t>
        </is>
      </c>
      <c r="O144" s="14" t="n">
        <v>46189</v>
      </c>
      <c r="P144" s="7" t="inlineStr">
        <is>
          <t>greenhouse:graphcore</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Manager/Owner</t>
        </is>
      </c>
      <c r="D145" s="8" t="inlineStr">
        <is>
          <t>Technical Product Owner</t>
        </is>
      </c>
      <c r="E145" s="7" t="inlineStr">
        <is>
          <t>Graphcore</t>
        </is>
      </c>
      <c r="F145" s="8" t="inlineStr">
        <is>
          <t>Bristol, UK</t>
        </is>
      </c>
      <c r="G145" s="8" t="n"/>
      <c r="H145" s="14" t="n"/>
      <c r="I145" s="15">
        <f>IF($H145="","",$H145-TODAY())</f>
        <v/>
      </c>
      <c r="J145" s="16" t="inlineStr">
        <is>
          <t>Open posting</t>
        </is>
      </c>
      <c r="K145" s="8" t="n"/>
      <c r="L145" s="17" t="inlineStr">
        <is>
          <t>new</t>
        </is>
      </c>
      <c r="M145" s="18" t="inlineStr"/>
      <c r="N145" s="7" t="inlineStr">
        <is>
          <t>59aab399acf5d67c2f3e4a2230a543e4acae50d7</t>
        </is>
      </c>
      <c r="O145" s="14" t="n">
        <v>46189</v>
      </c>
      <c r="P145" s="7" t="inlineStr">
        <is>
          <t>greenhouse:graphcore</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Manager/Owner</t>
        </is>
      </c>
      <c r="D146" s="8" t="inlineStr">
        <is>
          <t>Technical Sourcing Manager</t>
        </is>
      </c>
      <c r="E146" s="7" t="inlineStr">
        <is>
          <t>Graphcore</t>
        </is>
      </c>
      <c r="F146" s="8" t="inlineStr">
        <is>
          <t>臺北市, Taipei, Taiwan</t>
        </is>
      </c>
      <c r="G146" s="8" t="n"/>
      <c r="H146" s="14" t="n"/>
      <c r="I146" s="15">
        <f>IF($H146="","",$H146-TODAY())</f>
        <v/>
      </c>
      <c r="J146" s="16" t="inlineStr">
        <is>
          <t>Open posting</t>
        </is>
      </c>
      <c r="K146" s="8" t="n"/>
      <c r="L146" s="17" t="inlineStr">
        <is>
          <t>new</t>
        </is>
      </c>
      <c r="M146" s="18" t="inlineStr"/>
      <c r="N146" s="7" t="inlineStr">
        <is>
          <t>426687e8a0599487df4eb405f197e147c1efda02</t>
        </is>
      </c>
      <c r="O146" s="14" t="n">
        <v>46189</v>
      </c>
      <c r="P146" s="7" t="inlineStr">
        <is>
          <t>greenhouse:graphcore</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Manager/Owner</t>
        </is>
      </c>
      <c r="D147" s="8" t="inlineStr">
        <is>
          <t>Technical Sourcing Manager</t>
        </is>
      </c>
      <c r="E147" s="7" t="inlineStr">
        <is>
          <t>Graphcore</t>
        </is>
      </c>
      <c r="F147" s="8" t="inlineStr">
        <is>
          <t>Bristol, UK</t>
        </is>
      </c>
      <c r="G147" s="8" t="n"/>
      <c r="H147" s="14" t="n"/>
      <c r="I147" s="15">
        <f>IF($H147="","",$H147-TODAY())</f>
        <v/>
      </c>
      <c r="J147" s="16" t="inlineStr">
        <is>
          <t>Open posting</t>
        </is>
      </c>
      <c r="K147" s="8" t="n"/>
      <c r="L147" s="17" t="inlineStr">
        <is>
          <t>new</t>
        </is>
      </c>
      <c r="M147" s="18" t="inlineStr"/>
      <c r="N147" s="7" t="inlineStr">
        <is>
          <t>da07fa3feb54f8bed5527b0473b734725c0e0a39</t>
        </is>
      </c>
      <c r="O147" s="14" t="n">
        <v>46189</v>
      </c>
      <c r="P147" s="7" t="inlineStr">
        <is>
          <t>greenhouse:graphcore</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Senior/Lead</t>
        </is>
      </c>
      <c r="D148" s="8" t="inlineStr">
        <is>
          <t>Test Development Engineer - Electronic Hardware</t>
        </is>
      </c>
      <c r="E148" s="7" t="inlineStr">
        <is>
          <t>Graphcore</t>
        </is>
      </c>
      <c r="F148" s="8" t="inlineStr">
        <is>
          <t>Bristol, UK</t>
        </is>
      </c>
      <c r="G148" s="8" t="n"/>
      <c r="H148" s="14" t="n"/>
      <c r="I148" s="15">
        <f>IF($H148="","",$H148-TODAY())</f>
        <v/>
      </c>
      <c r="J148" s="16" t="inlineStr">
        <is>
          <t>Open posting</t>
        </is>
      </c>
      <c r="K148" s="8" t="n"/>
      <c r="L148" s="17" t="inlineStr">
        <is>
          <t>new</t>
        </is>
      </c>
      <c r="M148" s="18" t="inlineStr"/>
      <c r="N148" s="7" t="inlineStr">
        <is>
          <t>8e60e39aa1ffa2ec97517dca91cbb9c8b9665bd0</t>
        </is>
      </c>
      <c r="O148" s="14" t="n">
        <v>46189</v>
      </c>
      <c r="P148" s="7" t="inlineStr">
        <is>
          <t>greenhouse:graphcore</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Senior/Lead</t>
        </is>
      </c>
      <c r="D149" s="8" t="inlineStr">
        <is>
          <t>Test Development Engineer - Electronic Hardware</t>
        </is>
      </c>
      <c r="E149" s="7" t="inlineStr">
        <is>
          <t>Graphcore</t>
        </is>
      </c>
      <c r="F149" s="8" t="inlineStr">
        <is>
          <t>Bristol, UK</t>
        </is>
      </c>
      <c r="G149" s="8" t="n"/>
      <c r="H149" s="14" t="n"/>
      <c r="I149" s="15">
        <f>IF($H149="","",$H149-TODAY())</f>
        <v/>
      </c>
      <c r="J149" s="16" t="inlineStr">
        <is>
          <t>Open posting</t>
        </is>
      </c>
      <c r="K149" s="8" t="n"/>
      <c r="L149" s="17" t="inlineStr">
        <is>
          <t>new</t>
        </is>
      </c>
      <c r="M149" s="18" t="inlineStr"/>
      <c r="N149" s="7" t="inlineStr">
        <is>
          <t>a68b78454d68a48656e862ca8560362a45946c01</t>
        </is>
      </c>
      <c r="O149" s="14" t="n">
        <v>46189</v>
      </c>
      <c r="P149" s="7" t="inlineStr">
        <is>
          <t>greenhouse:graphcore</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Unspecified</t>
        </is>
      </c>
      <c r="D150" s="8" t="inlineStr">
        <is>
          <t>Transactional Attorney</t>
        </is>
      </c>
      <c r="E150" s="7" t="inlineStr">
        <is>
          <t>Graphcore</t>
        </is>
      </c>
      <c r="F150" s="8" t="inlineStr">
        <is>
          <t>Austin, Texas, United States; US - Milpitas</t>
        </is>
      </c>
      <c r="G150" s="8" t="n"/>
      <c r="H150" s="14" t="n"/>
      <c r="I150" s="15">
        <f>IF($H150="","",$H150-TODAY())</f>
        <v/>
      </c>
      <c r="J150" s="16" t="inlineStr">
        <is>
          <t>Open posting</t>
        </is>
      </c>
      <c r="K150" s="8" t="n"/>
      <c r="L150" s="17" t="inlineStr">
        <is>
          <t>new</t>
        </is>
      </c>
      <c r="M150" s="18" t="inlineStr"/>
      <c r="N150" s="7" t="inlineStr">
        <is>
          <t>e0906d317e2540415f57123df59d266ec4cf522f</t>
        </is>
      </c>
      <c r="O150" s="14" t="n">
        <v>46189</v>
      </c>
      <c r="P150" s="7" t="inlineStr">
        <is>
          <t>greenhouse:graphcore</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Unspecified</t>
        </is>
      </c>
      <c r="D151" s="8" t="inlineStr">
        <is>
          <t>Validation and Debug Engineer - Power Electronics</t>
        </is>
      </c>
      <c r="E151" s="7" t="inlineStr">
        <is>
          <t>Graphcore</t>
        </is>
      </c>
      <c r="F151" s="8" t="inlineStr">
        <is>
          <t>Bristol, UK</t>
        </is>
      </c>
      <c r="G151" s="8" t="n"/>
      <c r="H151" s="14" t="n"/>
      <c r="I151" s="15">
        <f>IF($H151="","",$H151-TODAY())</f>
        <v/>
      </c>
      <c r="J151" s="16" t="inlineStr">
        <is>
          <t>Open posting</t>
        </is>
      </c>
      <c r="K151" s="8" t="n"/>
      <c r="L151" s="17" t="inlineStr">
        <is>
          <t>new</t>
        </is>
      </c>
      <c r="M151" s="18" t="inlineStr"/>
      <c r="N151" s="7" t="inlineStr">
        <is>
          <t>1e3f584217e7a9020a038f96b11545feb4298cca</t>
        </is>
      </c>
      <c r="O151" s="14" t="n">
        <v>46189</v>
      </c>
      <c r="P151" s="7" t="inlineStr">
        <is>
          <t>greenhouse:graphcore</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Senior/Lead</t>
        </is>
      </c>
      <c r="D152" s="8" t="inlineStr">
        <is>
          <t>3D Physical Design Engineer</t>
        </is>
      </c>
      <c r="E152" s="7" t="inlineStr">
        <is>
          <t>Cerebras</t>
        </is>
      </c>
      <c r="F152" s="8" t="inlineStr">
        <is>
          <t>Sunnyvale, CA</t>
        </is>
      </c>
      <c r="G152" s="8" t="n"/>
      <c r="H152" s="14" t="n"/>
      <c r="I152" s="15">
        <f>IF($H152="","",$H152-TODAY())</f>
        <v/>
      </c>
      <c r="J152" s="16" t="inlineStr">
        <is>
          <t>Open posting</t>
        </is>
      </c>
      <c r="K152" s="8" t="n"/>
      <c r="L152" s="17" t="inlineStr">
        <is>
          <t>new</t>
        </is>
      </c>
      <c r="M152" s="18" t="inlineStr"/>
      <c r="N152" s="7" t="inlineStr">
        <is>
          <t>aafef24ea2adb93a8e692a3a0be69628c92ec044</t>
        </is>
      </c>
      <c r="O152" s="14" t="n">
        <v>46177</v>
      </c>
      <c r="P152" s="7" t="inlineStr">
        <is>
          <t>greenhouse:cerebrassystems</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Unspecified</t>
        </is>
      </c>
      <c r="D153" s="8" t="inlineStr">
        <is>
          <t>Advanced Technology: AI/ML Research Scientist</t>
        </is>
      </c>
      <c r="E153" s="7" t="inlineStr">
        <is>
          <t>Cerebras</t>
        </is>
      </c>
      <c r="F153" s="8" t="inlineStr">
        <is>
          <t>Sunnyvale, CA; Toronto, Ontario, Canada; Vancouver, British Columbia, Canada</t>
        </is>
      </c>
      <c r="G153" s="8" t="n"/>
      <c r="H153" s="14" t="n"/>
      <c r="I153" s="15">
        <f>IF($H153="","",$H153-TODAY())</f>
        <v/>
      </c>
      <c r="J153" s="16" t="inlineStr">
        <is>
          <t>Open posting</t>
        </is>
      </c>
      <c r="K153" s="8" t="n"/>
      <c r="L153" s="17" t="inlineStr">
        <is>
          <t>new</t>
        </is>
      </c>
      <c r="M153" s="18" t="inlineStr"/>
      <c r="N153" s="7" t="inlineStr">
        <is>
          <t>2513f6ddd33f079da9840a8c9253428f25ab112f</t>
        </is>
      </c>
      <c r="O153" s="14" t="n">
        <v>46175</v>
      </c>
      <c r="P153" s="7" t="inlineStr">
        <is>
          <t>greenhouse:cerebrassystems</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Unspecified</t>
        </is>
      </c>
      <c r="D154" s="8" t="inlineStr">
        <is>
          <t>Advanced Technology: Compiler Engineer</t>
        </is>
      </c>
      <c r="E154" s="7" t="inlineStr">
        <is>
          <t>Cerebras</t>
        </is>
      </c>
      <c r="F154" s="8" t="inlineStr">
        <is>
          <t>Sunnyvale, CA; Vancouver, British Columbia, Canada</t>
        </is>
      </c>
      <c r="G154" s="8" t="n"/>
      <c r="H154" s="14" t="n"/>
      <c r="I154" s="15">
        <f>IF($H154="","",$H154-TODAY())</f>
        <v/>
      </c>
      <c r="J154" s="16" t="inlineStr">
        <is>
          <t>Open posting</t>
        </is>
      </c>
      <c r="K154" s="8" t="n"/>
      <c r="L154" s="17" t="inlineStr">
        <is>
          <t>new</t>
        </is>
      </c>
      <c r="M154" s="18" t="inlineStr"/>
      <c r="N154" s="7" t="inlineStr">
        <is>
          <t>92056fe3d982f42c7dc6a7bfcea40988d03236d0</t>
        </is>
      </c>
      <c r="O154" s="14" t="n">
        <v>46175</v>
      </c>
      <c r="P154" s="7" t="inlineStr">
        <is>
          <t>greenhouse:cerebrassystems</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Unspecified</t>
        </is>
      </c>
      <c r="D155" s="8" t="inlineStr">
        <is>
          <t>Advanced Technology: R&amp;D Engineer - AI/ML, HPC</t>
        </is>
      </c>
      <c r="E155" s="7" t="inlineStr">
        <is>
          <t>Cerebras</t>
        </is>
      </c>
      <c r="F155" s="8" t="inlineStr">
        <is>
          <t>Sunnyvale, CA; Toronto, Ontario, Canada; Vancouver, British Columbia, Canada</t>
        </is>
      </c>
      <c r="G155" s="8" t="n"/>
      <c r="H155" s="14" t="n"/>
      <c r="I155" s="15">
        <f>IF($H155="","",$H155-TODAY())</f>
        <v/>
      </c>
      <c r="J155" s="16" t="inlineStr">
        <is>
          <t>Open posting</t>
        </is>
      </c>
      <c r="K155" s="8" t="n"/>
      <c r="L155" s="17" t="inlineStr">
        <is>
          <t>new</t>
        </is>
      </c>
      <c r="M155" s="18" t="inlineStr"/>
      <c r="N155" s="7" t="inlineStr">
        <is>
          <t>566c78df349b23d6129d1e717889f32539094fbf</t>
        </is>
      </c>
      <c r="O155" s="14" t="n">
        <v>46175</v>
      </c>
      <c r="P155" s="7" t="inlineStr">
        <is>
          <t>greenhouse:cerebrassystems</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Unspecified</t>
        </is>
      </c>
      <c r="D156" s="8" t="inlineStr">
        <is>
          <t>AI Engineer, Model Quality and Performance</t>
        </is>
      </c>
      <c r="E156" s="7" t="inlineStr">
        <is>
          <t>Cerebras</t>
        </is>
      </c>
      <c r="F156" s="8" t="inlineStr">
        <is>
          <t>Sunnyvale, CA</t>
        </is>
      </c>
      <c r="G156" s="8" t="n"/>
      <c r="H156" s="14" t="n"/>
      <c r="I156" s="15">
        <f>IF($H156="","",$H156-TODAY())</f>
        <v/>
      </c>
      <c r="J156" s="16" t="inlineStr">
        <is>
          <t>Open posting</t>
        </is>
      </c>
      <c r="K156" s="8" t="n"/>
      <c r="L156" s="17" t="inlineStr">
        <is>
          <t>new</t>
        </is>
      </c>
      <c r="M156" s="18" t="inlineStr"/>
      <c r="N156" s="7" t="inlineStr">
        <is>
          <t>6b6198b0c68ce297e3748ff699c77e44b2bca98d</t>
        </is>
      </c>
      <c r="O156" s="14" t="n">
        <v>46175</v>
      </c>
      <c r="P156" s="7" t="inlineStr">
        <is>
          <t>greenhouse:cerebrassystems</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Graduate/Entry</t>
        </is>
      </c>
      <c r="D157" s="8" t="inlineStr">
        <is>
          <t>AI Infrastructure Operations Engineer</t>
        </is>
      </c>
      <c r="E157" s="7" t="inlineStr">
        <is>
          <t>Cerebras</t>
        </is>
      </c>
      <c r="F157" s="8" t="inlineStr">
        <is>
          <t>Sunnyvale CA or Toronto Canada</t>
        </is>
      </c>
      <c r="G157" s="8" t="n"/>
      <c r="H157" s="14" t="n"/>
      <c r="I157" s="15">
        <f>IF($H157="","",$H157-TODAY())</f>
        <v/>
      </c>
      <c r="J157" s="16" t="inlineStr">
        <is>
          <t>Open posting</t>
        </is>
      </c>
      <c r="K157" s="8" t="n"/>
      <c r="L157" s="17" t="inlineStr">
        <is>
          <t>new</t>
        </is>
      </c>
      <c r="M157" s="18" t="inlineStr"/>
      <c r="N157" s="7" t="inlineStr">
        <is>
          <t>169c0d01600ab4e60a0e6443aeef3eb80472299a</t>
        </is>
      </c>
      <c r="O157" s="14" t="n">
        <v>46175</v>
      </c>
      <c r="P157" s="7" t="inlineStr">
        <is>
          <t>greenhouse:cerebrassystems</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Mid-level</t>
        </is>
      </c>
      <c r="D158" s="8" t="inlineStr">
        <is>
          <t>AI Infrastructure Operations Engineer</t>
        </is>
      </c>
      <c r="E158" s="7" t="inlineStr">
        <is>
          <t>Cerebras</t>
        </is>
      </c>
      <c r="F158" s="8" t="inlineStr">
        <is>
          <t>Sunnyvale CA or Toronto Canada</t>
        </is>
      </c>
      <c r="G158" s="8" t="n"/>
      <c r="H158" s="14" t="n"/>
      <c r="I158" s="15">
        <f>IF($H158="","",$H158-TODAY())</f>
        <v/>
      </c>
      <c r="J158" s="16" t="inlineStr">
        <is>
          <t>Open posting</t>
        </is>
      </c>
      <c r="K158" s="8" t="n"/>
      <c r="L158" s="17" t="inlineStr">
        <is>
          <t>new</t>
        </is>
      </c>
      <c r="M158" s="18" t="inlineStr"/>
      <c r="N158" s="7" t="inlineStr">
        <is>
          <t>3eb05d6aeb2360bc9ffbe8a7229c6c23d51af4c7</t>
        </is>
      </c>
      <c r="O158" s="14" t="n">
        <v>46175</v>
      </c>
      <c r="P158" s="7" t="inlineStr">
        <is>
          <t>greenhouse:cerebrassystems</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Manager/Owner</t>
        </is>
      </c>
      <c r="D159" s="8" t="inlineStr">
        <is>
          <t>AI Models, Product Manager</t>
        </is>
      </c>
      <c r="E159" s="7" t="inlineStr">
        <is>
          <t>Cerebras</t>
        </is>
      </c>
      <c r="F159" s="8" t="inlineStr">
        <is>
          <t>Sunnyvale, CA</t>
        </is>
      </c>
      <c r="G159" s="8" t="n"/>
      <c r="H159" s="14" t="n"/>
      <c r="I159" s="15">
        <f>IF($H159="","",$H159-TODAY())</f>
        <v/>
      </c>
      <c r="J159" s="16" t="inlineStr">
        <is>
          <t>Open posting</t>
        </is>
      </c>
      <c r="K159" s="8" t="n"/>
      <c r="L159" s="17" t="inlineStr">
        <is>
          <t>new</t>
        </is>
      </c>
      <c r="M159" s="18" t="inlineStr"/>
      <c r="N159" s="7" t="inlineStr">
        <is>
          <t>172131368364f6b1532f2460784d5b1721c97ef6</t>
        </is>
      </c>
      <c r="O159" s="14" t="n">
        <v>46175</v>
      </c>
      <c r="P159" s="7" t="inlineStr">
        <is>
          <t>greenhouse:cerebrassystems</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Senior/Lead</t>
        </is>
      </c>
      <c r="D160" s="8" t="inlineStr">
        <is>
          <t>AI Silicon Physical Design Engineer</t>
        </is>
      </c>
      <c r="E160" s="7" t="inlineStr">
        <is>
          <t>Cerebras</t>
        </is>
      </c>
      <c r="F160" s="8" t="inlineStr">
        <is>
          <t>Remote, California, United States; Sunnyvale, CA</t>
        </is>
      </c>
      <c r="G160" s="8" t="n"/>
      <c r="H160" s="14" t="n"/>
      <c r="I160" s="15">
        <f>IF($H160="","",$H160-TODAY())</f>
        <v/>
      </c>
      <c r="J160" s="16" t="inlineStr">
        <is>
          <t>Open posting</t>
        </is>
      </c>
      <c r="K160" s="8" t="n"/>
      <c r="L160" s="17" t="inlineStr">
        <is>
          <t>new</t>
        </is>
      </c>
      <c r="M160" s="18" t="inlineStr"/>
      <c r="N160" s="7" t="inlineStr">
        <is>
          <t>754797d85c9798b138daebdcca1bae1b3a4458b8</t>
        </is>
      </c>
      <c r="O160" s="14" t="n">
        <v>46175</v>
      </c>
      <c r="P160" s="7" t="inlineStr">
        <is>
          <t>greenhouse:cerebrassystems</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Mid-level</t>
        </is>
      </c>
      <c r="D161" s="8" t="inlineStr">
        <is>
          <t>Applied AI/ML Scientist</t>
        </is>
      </c>
      <c r="E161" s="7" t="inlineStr">
        <is>
          <t>Cerebras</t>
        </is>
      </c>
      <c r="F161" s="8" t="inlineStr">
        <is>
          <t>UAE</t>
        </is>
      </c>
      <c r="G161" s="8" t="n"/>
      <c r="H161" s="14" t="n"/>
      <c r="I161" s="15">
        <f>IF($H161="","",$H161-TODAY())</f>
        <v/>
      </c>
      <c r="J161" s="16" t="inlineStr">
        <is>
          <t>Open posting</t>
        </is>
      </c>
      <c r="K161" s="8" t="n"/>
      <c r="L161" s="17" t="inlineStr">
        <is>
          <t>new</t>
        </is>
      </c>
      <c r="M161" s="18" t="inlineStr"/>
      <c r="N161" s="7" t="inlineStr">
        <is>
          <t>d01000377c0b78b55de77e4c011dc9a691f9e07c</t>
        </is>
      </c>
      <c r="O161" s="14" t="n">
        <v>46175</v>
      </c>
      <c r="P161" s="7" t="inlineStr">
        <is>
          <t>greenhouse:cerebrassystems</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Senior/Lead</t>
        </is>
      </c>
      <c r="D162" s="8" t="inlineStr">
        <is>
          <t>Applied Machine Learning Research Scientist</t>
        </is>
      </c>
      <c r="E162" s="7" t="inlineStr">
        <is>
          <t>Cerebras</t>
        </is>
      </c>
      <c r="F162" s="8" t="inlineStr">
        <is>
          <t>Sunnyvale CA or Toronto Canada</t>
        </is>
      </c>
      <c r="G162" s="8" t="n"/>
      <c r="H162" s="14" t="n"/>
      <c r="I162" s="15">
        <f>IF($H162="","",$H162-TODAY())</f>
        <v/>
      </c>
      <c r="J162" s="16" t="inlineStr">
        <is>
          <t>Open posting</t>
        </is>
      </c>
      <c r="K162" s="8" t="n"/>
      <c r="L162" s="17" t="inlineStr">
        <is>
          <t>new</t>
        </is>
      </c>
      <c r="M162" s="18" t="inlineStr"/>
      <c r="N162" s="7" t="inlineStr">
        <is>
          <t>28488c7361b4b93c06983af31718d74be7f7a968</t>
        </is>
      </c>
      <c r="O162" s="14" t="n">
        <v>46183</v>
      </c>
      <c r="P162" s="7" t="inlineStr">
        <is>
          <t>greenhouse:cerebrassystems</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Senior/Lead</t>
        </is>
      </c>
      <c r="D163" s="8" t="inlineStr">
        <is>
          <t>ASIC Architect</t>
        </is>
      </c>
      <c r="E163" s="7" t="inlineStr">
        <is>
          <t>Cerebras</t>
        </is>
      </c>
      <c r="F163" s="8" t="inlineStr">
        <is>
          <t>Sunnyvale, CA</t>
        </is>
      </c>
      <c r="G163" s="8" t="n"/>
      <c r="H163" s="14" t="n"/>
      <c r="I163" s="15">
        <f>IF($H163="","",$H163-TODAY())</f>
        <v/>
      </c>
      <c r="J163" s="16" t="inlineStr">
        <is>
          <t>Open posting</t>
        </is>
      </c>
      <c r="K163" s="8" t="n"/>
      <c r="L163" s="17" t="inlineStr">
        <is>
          <t>new</t>
        </is>
      </c>
      <c r="M163" s="18" t="inlineStr"/>
      <c r="N163" s="7" t="inlineStr">
        <is>
          <t>cdbea61d5bebcafa99b40a9e6031d9fa788b8ad8</t>
        </is>
      </c>
      <c r="O163" s="14" t="n">
        <v>46177</v>
      </c>
      <c r="P163" s="7" t="inlineStr">
        <is>
          <t>greenhouse:cerebrassystems</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Senior/Lead</t>
        </is>
      </c>
      <c r="D164" s="8" t="inlineStr">
        <is>
          <t>Billings and Collections Specialist</t>
        </is>
      </c>
      <c r="E164" s="7" t="inlineStr">
        <is>
          <t>Cerebras</t>
        </is>
      </c>
      <c r="F164" s="8" t="inlineStr">
        <is>
          <t>Sunnyvale, CA</t>
        </is>
      </c>
      <c r="G164" s="8" t="n"/>
      <c r="H164" s="14" t="n"/>
      <c r="I164" s="15">
        <f>IF($H164="","",$H164-TODAY())</f>
        <v/>
      </c>
      <c r="J164" s="16" t="inlineStr">
        <is>
          <t>Open posting</t>
        </is>
      </c>
      <c r="K164" s="8" t="n"/>
      <c r="L164" s="17" t="inlineStr">
        <is>
          <t>new</t>
        </is>
      </c>
      <c r="M164" s="18" t="inlineStr"/>
      <c r="N164" s="7" t="inlineStr">
        <is>
          <t>35073ade8219f58b02677a54282184ae1728e04f</t>
        </is>
      </c>
      <c r="O164" s="14" t="n">
        <v>46175</v>
      </c>
      <c r="P164" s="7" t="inlineStr">
        <is>
          <t>greenhouse:cerebrassystems</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Unspecified</t>
        </is>
      </c>
      <c r="D165" s="8" t="inlineStr">
        <is>
          <t>CoDesign &amp; NextGen - New College Grad</t>
        </is>
      </c>
      <c r="E165" s="7" t="inlineStr">
        <is>
          <t>Cerebras</t>
        </is>
      </c>
      <c r="F165" s="8" t="inlineStr">
        <is>
          <t>Sunnyvale, CA</t>
        </is>
      </c>
      <c r="G165" s="8" t="n"/>
      <c r="H165" s="14" t="n"/>
      <c r="I165" s="15">
        <f>IF($H165="","",$H165-TODAY())</f>
        <v/>
      </c>
      <c r="J165" s="16" t="inlineStr">
        <is>
          <t>Open posting</t>
        </is>
      </c>
      <c r="K165" s="8" t="n"/>
      <c r="L165" s="17" t="inlineStr">
        <is>
          <t>new</t>
        </is>
      </c>
      <c r="M165" s="18" t="inlineStr"/>
      <c r="N165" s="7" t="inlineStr">
        <is>
          <t>1a64e33afc24d26c8827503953cdc517201314d3</t>
        </is>
      </c>
      <c r="O165" s="14" t="n">
        <v>46175</v>
      </c>
      <c r="P165" s="7" t="inlineStr">
        <is>
          <t>greenhouse:cerebrassystems</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Unspecified</t>
        </is>
      </c>
      <c r="D166" s="8" t="inlineStr">
        <is>
          <t>Compute Server Platform Architect</t>
        </is>
      </c>
      <c r="E166" s="7" t="inlineStr">
        <is>
          <t>Cerebras</t>
        </is>
      </c>
      <c r="F166" s="8" t="inlineStr">
        <is>
          <t>Sunnyvale CA or Toronto Canada</t>
        </is>
      </c>
      <c r="G166" s="8" t="n"/>
      <c r="H166" s="14" t="n"/>
      <c r="I166" s="15">
        <f>IF($H166="","",$H166-TODAY())</f>
        <v/>
      </c>
      <c r="J166" s="16" t="inlineStr">
        <is>
          <t>Open posting</t>
        </is>
      </c>
      <c r="K166" s="8" t="n"/>
      <c r="L166" s="17" t="inlineStr">
        <is>
          <t>new</t>
        </is>
      </c>
      <c r="M166" s="18" t="inlineStr"/>
      <c r="N166" s="7" t="inlineStr">
        <is>
          <t>fd30f72b9fb38d1dc2b680451b93d568e96e1724</t>
        </is>
      </c>
      <c r="O166" s="14" t="n">
        <v>46175</v>
      </c>
      <c r="P166" s="7" t="inlineStr">
        <is>
          <t>greenhouse:cerebrassystems</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Unspecified</t>
        </is>
      </c>
      <c r="D167" s="8" t="inlineStr">
        <is>
          <t>Design Verification Engineer</t>
        </is>
      </c>
      <c r="E167" s="7" t="inlineStr">
        <is>
          <t>Cerebras</t>
        </is>
      </c>
      <c r="F167" s="8" t="inlineStr">
        <is>
          <t>Sunnyvale, CA</t>
        </is>
      </c>
      <c r="G167" s="8" t="n"/>
      <c r="H167" s="14" t="n"/>
      <c r="I167" s="15">
        <f>IF($H167="","",$H167-TODAY())</f>
        <v/>
      </c>
      <c r="J167" s="16" t="inlineStr">
        <is>
          <t>Open posting</t>
        </is>
      </c>
      <c r="K167" s="8" t="n"/>
      <c r="L167" s="17" t="inlineStr">
        <is>
          <t>new</t>
        </is>
      </c>
      <c r="M167" s="18" t="inlineStr"/>
      <c r="N167" s="7" t="inlineStr">
        <is>
          <t>d8f06c350c11cfe632090e6293108bd30cfcde4a</t>
        </is>
      </c>
      <c r="O167" s="14" t="n">
        <v>46175</v>
      </c>
      <c r="P167" s="7" t="inlineStr">
        <is>
          <t>greenhouse:cerebrassystems</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Mid-level</t>
        </is>
      </c>
      <c r="D168" s="8" t="inlineStr">
        <is>
          <t>Design Verification Engineer</t>
        </is>
      </c>
      <c r="E168" s="7" t="inlineStr">
        <is>
          <t>Cerebras</t>
        </is>
      </c>
      <c r="F168" s="8" t="inlineStr">
        <is>
          <t>Sunnyvale, CA</t>
        </is>
      </c>
      <c r="G168" s="8" t="n"/>
      <c r="H168" s="14" t="n"/>
      <c r="I168" s="15">
        <f>IF($H168="","",$H168-TODAY())</f>
        <v/>
      </c>
      <c r="J168" s="16" t="inlineStr">
        <is>
          <t>Open posting</t>
        </is>
      </c>
      <c r="K168" s="8" t="n"/>
      <c r="L168" s="17" t="inlineStr">
        <is>
          <t>new</t>
        </is>
      </c>
      <c r="M168" s="18" t="inlineStr"/>
      <c r="N168" s="7" t="inlineStr">
        <is>
          <t>12d6f2b0cbe428faf3da5fdafc61c3c582c0cd30</t>
        </is>
      </c>
      <c r="O168" s="14" t="n">
        <v>46177</v>
      </c>
      <c r="P168" s="7" t="inlineStr">
        <is>
          <t>greenhouse:cerebrassystems</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Mid-level</t>
        </is>
      </c>
      <c r="D169" s="8" t="inlineStr">
        <is>
          <t>Design Verification Engineer</t>
        </is>
      </c>
      <c r="E169" s="7" t="inlineStr">
        <is>
          <t>Cerebras</t>
        </is>
      </c>
      <c r="F169" s="8" t="inlineStr">
        <is>
          <t>Bengaluru, Karnataka, India</t>
        </is>
      </c>
      <c r="G169" s="8" t="n"/>
      <c r="H169" s="14" t="n"/>
      <c r="I169" s="15">
        <f>IF($H169="","",$H169-TODAY())</f>
        <v/>
      </c>
      <c r="J169" s="16" t="inlineStr">
        <is>
          <t>Open posting</t>
        </is>
      </c>
      <c r="K169" s="8" t="n"/>
      <c r="L169" s="17" t="inlineStr">
        <is>
          <t>new</t>
        </is>
      </c>
      <c r="M169" s="18" t="inlineStr"/>
      <c r="N169" s="7" t="inlineStr">
        <is>
          <t>e679e92d01e85b7c2f2f06d78e034a869f6d23eb</t>
        </is>
      </c>
      <c r="O169" s="14" t="n">
        <v>46181</v>
      </c>
      <c r="P169" s="7" t="inlineStr">
        <is>
          <t>greenhouse:cerebrassystems</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Unspecified</t>
        </is>
      </c>
      <c r="D170" s="8" t="inlineStr">
        <is>
          <t>Distributed Software Engineer</t>
        </is>
      </c>
      <c r="E170" s="7" t="inlineStr">
        <is>
          <t>Cerebras</t>
        </is>
      </c>
      <c r="F170" s="8" t="inlineStr">
        <is>
          <t>Bengaluru, Karnataka, India; Sunnyvale CA or Toronto Canada</t>
        </is>
      </c>
      <c r="G170" s="8" t="n"/>
      <c r="H170" s="14" t="n"/>
      <c r="I170" s="15">
        <f>IF($H170="","",$H170-TODAY())</f>
        <v/>
      </c>
      <c r="J170" s="16" t="inlineStr">
        <is>
          <t>Open posting</t>
        </is>
      </c>
      <c r="K170" s="8" t="n"/>
      <c r="L170" s="17" t="inlineStr">
        <is>
          <t>new</t>
        </is>
      </c>
      <c r="M170" s="18" t="inlineStr"/>
      <c r="N170" s="7" t="inlineStr">
        <is>
          <t>b02b08e221f3b2888d7a09ed4f8703cda059f906</t>
        </is>
      </c>
      <c r="O170" s="14" t="n">
        <v>46175</v>
      </c>
      <c r="P170" s="7" t="inlineStr">
        <is>
          <t>greenhouse:cerebrassystems</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Senior/Lead</t>
        </is>
      </c>
      <c r="D171" s="8" t="inlineStr">
        <is>
          <t>Electrical Engineer</t>
        </is>
      </c>
      <c r="E171" s="7" t="inlineStr">
        <is>
          <t>Cerebras</t>
        </is>
      </c>
      <c r="F171" s="8" t="inlineStr">
        <is>
          <t>Sunnyvale, CA</t>
        </is>
      </c>
      <c r="G171" s="8" t="n"/>
      <c r="H171" s="14" t="n"/>
      <c r="I171" s="15">
        <f>IF($H171="","",$H171-TODAY())</f>
        <v/>
      </c>
      <c r="J171" s="16" t="inlineStr">
        <is>
          <t>Open posting</t>
        </is>
      </c>
      <c r="K171" s="8" t="n"/>
      <c r="L171" s="17" t="inlineStr">
        <is>
          <t>new</t>
        </is>
      </c>
      <c r="M171" s="18" t="inlineStr"/>
      <c r="N171" s="7" t="inlineStr">
        <is>
          <t>d8befb89f4087fab36e700aa52638f833c997dba</t>
        </is>
      </c>
      <c r="O171" s="14" t="n">
        <v>46175</v>
      </c>
      <c r="P171" s="7" t="inlineStr">
        <is>
          <t>greenhouse:cerebrassystems</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Manager/Owner</t>
        </is>
      </c>
      <c r="D172" s="8" t="inlineStr">
        <is>
          <t>Engineering Manager, Inference ML Runtime</t>
        </is>
      </c>
      <c r="E172" s="7" t="inlineStr">
        <is>
          <t>Cerebras</t>
        </is>
      </c>
      <c r="F172" s="8" t="inlineStr">
        <is>
          <t>Sunnyvale CA or Toronto Canada</t>
        </is>
      </c>
      <c r="G172" s="8" t="n"/>
      <c r="H172" s="14" t="n"/>
      <c r="I172" s="15">
        <f>IF($H172="","",$H172-TODAY())</f>
        <v/>
      </c>
      <c r="J172" s="16" t="inlineStr">
        <is>
          <t>Open posting</t>
        </is>
      </c>
      <c r="K172" s="8" t="n"/>
      <c r="L172" s="17" t="inlineStr">
        <is>
          <t>new</t>
        </is>
      </c>
      <c r="M172" s="18" t="inlineStr"/>
      <c r="N172" s="7" t="inlineStr">
        <is>
          <t>5b779e17faefa089bd36c73510c78867d838edcd</t>
        </is>
      </c>
      <c r="O172" s="14" t="n">
        <v>46175</v>
      </c>
      <c r="P172" s="7" t="inlineStr">
        <is>
          <t>greenhouse:cerebrassystems</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Manager/Owner</t>
        </is>
      </c>
      <c r="D173" s="8" t="inlineStr">
        <is>
          <t>Engineering Manager, Kernel Reliability</t>
        </is>
      </c>
      <c r="E173" s="7" t="inlineStr">
        <is>
          <t>Cerebras</t>
        </is>
      </c>
      <c r="F173" s="8" t="inlineStr">
        <is>
          <t>Sunnyvale CA or Toronto Canada</t>
        </is>
      </c>
      <c r="G173" s="8" t="n"/>
      <c r="H173" s="14" t="n"/>
      <c r="I173" s="15">
        <f>IF($H173="","",$H173-TODAY())</f>
        <v/>
      </c>
      <c r="J173" s="16" t="inlineStr">
        <is>
          <t>Open posting</t>
        </is>
      </c>
      <c r="K173" s="8" t="n"/>
      <c r="L173" s="17" t="inlineStr">
        <is>
          <t>new</t>
        </is>
      </c>
      <c r="M173" s="18" t="inlineStr"/>
      <c r="N173" s="7" t="inlineStr">
        <is>
          <t>12098002fe6ac6415b55a7d2717d9515ab84b7d9</t>
        </is>
      </c>
      <c r="O173" s="14" t="n">
        <v>46175</v>
      </c>
      <c r="P173" s="7" t="inlineStr">
        <is>
          <t>greenhouse:cerebrassystems</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Unspecified</t>
        </is>
      </c>
      <c r="D174" s="8" t="inlineStr">
        <is>
          <t>Full Stack Engineer – Manufacturing Test</t>
        </is>
      </c>
      <c r="E174" s="7" t="inlineStr">
        <is>
          <t>Cerebras</t>
        </is>
      </c>
      <c r="F174" s="8" t="inlineStr">
        <is>
          <t>Sunnyvale, CA</t>
        </is>
      </c>
      <c r="G174" s="8" t="n"/>
      <c r="H174" s="14" t="n"/>
      <c r="I174" s="15">
        <f>IF($H174="","",$H174-TODAY())</f>
        <v/>
      </c>
      <c r="J174" s="16" t="inlineStr">
        <is>
          <t>Open posting</t>
        </is>
      </c>
      <c r="K174" s="8" t="n"/>
      <c r="L174" s="17" t="inlineStr">
        <is>
          <t>new</t>
        </is>
      </c>
      <c r="M174" s="18" t="inlineStr"/>
      <c r="N174" s="7" t="inlineStr">
        <is>
          <t>3c56b747e34d83cd37f1bc5d71090e44ba0c1eca</t>
        </is>
      </c>
      <c r="O174" s="14" t="n">
        <v>46175</v>
      </c>
      <c r="P174" s="7" t="inlineStr">
        <is>
          <t>greenhouse:cerebrassystems</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Mid-level</t>
        </is>
      </c>
      <c r="D175" s="8" t="inlineStr">
        <is>
          <t>Full Stack LLM Engineer</t>
        </is>
      </c>
      <c r="E175" s="7" t="inlineStr">
        <is>
          <t>Cerebras</t>
        </is>
      </c>
      <c r="F175" s="8" t="inlineStr">
        <is>
          <t>Toronto, Ontario, Canada</t>
        </is>
      </c>
      <c r="G175" s="8" t="n"/>
      <c r="H175" s="14" t="n"/>
      <c r="I175" s="15">
        <f>IF($H175="","",$H175-TODAY())</f>
        <v/>
      </c>
      <c r="J175" s="16" t="inlineStr">
        <is>
          <t>Open posting</t>
        </is>
      </c>
      <c r="K175" s="8" t="n"/>
      <c r="L175" s="17" t="inlineStr">
        <is>
          <t>new</t>
        </is>
      </c>
      <c r="M175" s="18" t="inlineStr"/>
      <c r="N175" s="7" t="inlineStr">
        <is>
          <t>e69a35ac6b39a85941c7e66aa93ed4c813fb89f1</t>
        </is>
      </c>
      <c r="O175" s="14" t="n">
        <v>46175</v>
      </c>
      <c r="P175" s="7" t="inlineStr">
        <is>
          <t>greenhouse:cerebrassystems</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Manager/Owner</t>
        </is>
      </c>
      <c r="D176" s="8" t="inlineStr">
        <is>
          <t>Infrastructure Hardware Technical Program Manager (Server and Network Systems)</t>
        </is>
      </c>
      <c r="E176" s="7" t="inlineStr">
        <is>
          <t>Cerebras</t>
        </is>
      </c>
      <c r="F176" s="8" t="inlineStr">
        <is>
          <t>Sunnyvale CA or Toronto Canada</t>
        </is>
      </c>
      <c r="G176" s="8" t="n"/>
      <c r="H176" s="14" t="n"/>
      <c r="I176" s="15">
        <f>IF($H176="","",$H176-TODAY())</f>
        <v/>
      </c>
      <c r="J176" s="16" t="inlineStr">
        <is>
          <t>Open posting</t>
        </is>
      </c>
      <c r="K176" s="8" t="n"/>
      <c r="L176" s="17" t="inlineStr">
        <is>
          <t>new</t>
        </is>
      </c>
      <c r="M176" s="18" t="inlineStr"/>
      <c r="N176" s="7" t="inlineStr">
        <is>
          <t>61c5a56356cd552e98fc56a9efccefd6cb458dd6</t>
        </is>
      </c>
      <c r="O176" s="14" t="n">
        <v>46175</v>
      </c>
      <c r="P176" s="7" t="inlineStr">
        <is>
          <t>greenhouse:cerebrassystems</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Unspecified</t>
        </is>
      </c>
      <c r="D177" s="8" t="inlineStr">
        <is>
          <t>Kernel Engineer</t>
        </is>
      </c>
      <c r="E177" s="7" t="inlineStr">
        <is>
          <t>Cerebras</t>
        </is>
      </c>
      <c r="F177" s="8" t="inlineStr">
        <is>
          <t>Bengaluru, Karnataka, India</t>
        </is>
      </c>
      <c r="G177" s="8" t="n"/>
      <c r="H177" s="14" t="n"/>
      <c r="I177" s="15">
        <f>IF($H177="","",$H177-TODAY())</f>
        <v/>
      </c>
      <c r="J177" s="16" t="inlineStr">
        <is>
          <t>Open posting</t>
        </is>
      </c>
      <c r="K177" s="8" t="n"/>
      <c r="L177" s="17" t="inlineStr">
        <is>
          <t>new</t>
        </is>
      </c>
      <c r="M177" s="18" t="inlineStr"/>
      <c r="N177" s="7" t="inlineStr">
        <is>
          <t>b78aad2bf0cdef55945f6ee55ca0f5fbcbc7f59f</t>
        </is>
      </c>
      <c r="O177" s="14" t="n">
        <v>46175</v>
      </c>
      <c r="P177" s="7" t="inlineStr">
        <is>
          <t>greenhouse:cerebrassystems</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Unspecified</t>
        </is>
      </c>
      <c r="D178" s="8" t="inlineStr">
        <is>
          <t>Kernel Engineer</t>
        </is>
      </c>
      <c r="E178" s="7" t="inlineStr">
        <is>
          <t>Cerebras</t>
        </is>
      </c>
      <c r="F178" s="8" t="inlineStr">
        <is>
          <t>Sunnyvale CA or Toronto Canada</t>
        </is>
      </c>
      <c r="G178" s="8" t="n"/>
      <c r="H178" s="14" t="n"/>
      <c r="I178" s="15">
        <f>IF($H178="","",$H178-TODAY())</f>
        <v/>
      </c>
      <c r="J178" s="16" t="inlineStr">
        <is>
          <t>Open posting</t>
        </is>
      </c>
      <c r="K178" s="8" t="n"/>
      <c r="L178" s="17" t="inlineStr">
        <is>
          <t>new</t>
        </is>
      </c>
      <c r="M178" s="18" t="inlineStr"/>
      <c r="N178" s="7" t="inlineStr">
        <is>
          <t>25960ef0ab2314a4d38da5f027c164c924d042a7</t>
        </is>
      </c>
      <c r="O178" s="14" t="n">
        <v>46175</v>
      </c>
      <c r="P178" s="7" t="inlineStr">
        <is>
          <t>greenhouse:cerebrassystems</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Mid-level</t>
        </is>
      </c>
      <c r="D179" s="8" t="inlineStr">
        <is>
          <t>LLM Inference Performance &amp; Evals Engineer</t>
        </is>
      </c>
      <c r="E179" s="7" t="inlineStr">
        <is>
          <t>Cerebras</t>
        </is>
      </c>
      <c r="F179" s="8" t="inlineStr">
        <is>
          <t>Toronto, Ontario, Canada</t>
        </is>
      </c>
      <c r="G179" s="8" t="n"/>
      <c r="H179" s="14" t="n"/>
      <c r="I179" s="15">
        <f>IF($H179="","",$H179-TODAY())</f>
        <v/>
      </c>
      <c r="J179" s="16" t="inlineStr">
        <is>
          <t>Open posting</t>
        </is>
      </c>
      <c r="K179" s="8" t="n"/>
      <c r="L179" s="17" t="inlineStr">
        <is>
          <t>new</t>
        </is>
      </c>
      <c r="M179" s="18" t="inlineStr"/>
      <c r="N179" s="7" t="inlineStr">
        <is>
          <t>6410ef380a58b626a57d7d6f4f6debb8f454bc62</t>
        </is>
      </c>
      <c r="O179" s="14" t="n">
        <v>46175</v>
      </c>
      <c r="P179" s="7" t="inlineStr">
        <is>
          <t>greenhouse:cerebrassystems</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Manager/Owner</t>
        </is>
      </c>
      <c r="D180" s="8" t="inlineStr">
        <is>
          <t>Manager, Business Operations</t>
        </is>
      </c>
      <c r="E180" s="7" t="inlineStr">
        <is>
          <t>Cerebras</t>
        </is>
      </c>
      <c r="F180" s="8" t="inlineStr">
        <is>
          <t>Sunnyvale, CA</t>
        </is>
      </c>
      <c r="G180" s="8" t="n"/>
      <c r="H180" s="14" t="n"/>
      <c r="I180" s="15">
        <f>IF($H180="","",$H180-TODAY())</f>
        <v/>
      </c>
      <c r="J180" s="16" t="inlineStr">
        <is>
          <t>Open posting</t>
        </is>
      </c>
      <c r="K180" s="8" t="n"/>
      <c r="L180" s="17" t="inlineStr">
        <is>
          <t>new</t>
        </is>
      </c>
      <c r="M180" s="18" t="inlineStr"/>
      <c r="N180" s="7" t="inlineStr">
        <is>
          <t>87be3b7c65d1da80731ee8ca44495f45d897806b</t>
        </is>
      </c>
      <c r="O180" s="14" t="n">
        <v>46175</v>
      </c>
      <c r="P180" s="7" t="inlineStr">
        <is>
          <t>greenhouse:cerebrassystems</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Manager/Owner</t>
        </is>
      </c>
      <c r="D181" s="8" t="inlineStr">
        <is>
          <t>Manager - Data Center Asset tracking and Accounting</t>
        </is>
      </c>
      <c r="E181" s="7" t="inlineStr">
        <is>
          <t>Cerebras</t>
        </is>
      </c>
      <c r="F181" s="8" t="inlineStr">
        <is>
          <t>Sunnyvale, CA</t>
        </is>
      </c>
      <c r="G181" s="8" t="n"/>
      <c r="H181" s="14" t="n"/>
      <c r="I181" s="15">
        <f>IF($H181="","",$H181-TODAY())</f>
        <v/>
      </c>
      <c r="J181" s="16" t="inlineStr">
        <is>
          <t>Open posting</t>
        </is>
      </c>
      <c r="K181" s="8" t="n"/>
      <c r="L181" s="17" t="inlineStr">
        <is>
          <t>new</t>
        </is>
      </c>
      <c r="M181" s="18" t="inlineStr"/>
      <c r="N181" s="7" t="inlineStr">
        <is>
          <t>15cf04bbb8c484d937d545ae0c3c97ef411fba2d</t>
        </is>
      </c>
      <c r="O181" s="14" t="n">
        <v>46175</v>
      </c>
      <c r="P181" s="7" t="inlineStr">
        <is>
          <t>greenhouse:cerebrassystems</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Unspecified</t>
        </is>
      </c>
      <c r="D182" s="8" t="inlineStr">
        <is>
          <t>Manufacturing Bring-up Engineer L2</t>
        </is>
      </c>
      <c r="E182" s="7" t="inlineStr">
        <is>
          <t>Cerebras</t>
        </is>
      </c>
      <c r="F182" s="8" t="inlineStr">
        <is>
          <t>Bengaluru, Karnataka, India; Sunnyvale, CA; Toronto, Ontario, Canada</t>
        </is>
      </c>
      <c r="G182" s="8" t="n"/>
      <c r="H182" s="14" t="n"/>
      <c r="I182" s="15">
        <f>IF($H182="","",$H182-TODAY())</f>
        <v/>
      </c>
      <c r="J182" s="16" t="inlineStr">
        <is>
          <t>Open posting</t>
        </is>
      </c>
      <c r="K182" s="8" t="n"/>
      <c r="L182" s="17" t="inlineStr">
        <is>
          <t>new</t>
        </is>
      </c>
      <c r="M182" s="18" t="inlineStr"/>
      <c r="N182" s="7" t="inlineStr">
        <is>
          <t>4358952f82dc4998d62442b7498fbd2292e8b262</t>
        </is>
      </c>
      <c r="O182" s="14" t="n">
        <v>46175</v>
      </c>
      <c r="P182" s="7" t="inlineStr">
        <is>
          <t>greenhouse:cerebrassystems</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5</v>
      </c>
      <c r="C183" s="12" t="inlineStr">
        <is>
          <t>Unspecified</t>
        </is>
      </c>
      <c r="D183" s="8" t="inlineStr">
        <is>
          <t>Manufacturing Bring-up Engineer L2</t>
        </is>
      </c>
      <c r="E183" s="7" t="inlineStr">
        <is>
          <t>Cerebras</t>
        </is>
      </c>
      <c r="F183" s="8" t="inlineStr">
        <is>
          <t>Bengaluru, Karnataka, India; Sunnyvale, CA; Toronto, Ontario, Canada</t>
        </is>
      </c>
      <c r="G183" s="8" t="n"/>
      <c r="H183" s="14" t="n"/>
      <c r="I183" s="15">
        <f>IF($H183="","",$H183-TODAY())</f>
        <v/>
      </c>
      <c r="J183" s="16" t="inlineStr">
        <is>
          <t>Open posting</t>
        </is>
      </c>
      <c r="K183" s="8" t="n"/>
      <c r="L183" s="17" t="inlineStr">
        <is>
          <t>new</t>
        </is>
      </c>
      <c r="M183" s="18" t="inlineStr"/>
      <c r="N183" s="7" t="inlineStr">
        <is>
          <t>912b421305596f375920a537594a0f34ffaa6d2a</t>
        </is>
      </c>
      <c r="O183" s="14" t="n">
        <v>46175</v>
      </c>
      <c r="P183" s="7" t="inlineStr">
        <is>
          <t>greenhouse:cerebrassystems</t>
        </is>
      </c>
      <c r="Q183" s="8" t="inlineStr"/>
      <c r="R183" s="8" t="n"/>
      <c r="S183" s="19" t="n"/>
      <c r="T183" s="19" t="n"/>
      <c r="U183" s="14" t="n">
        <v>46189</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5</v>
      </c>
      <c r="C184" s="12" t="inlineStr">
        <is>
          <t>Mid-level</t>
        </is>
      </c>
      <c r="D184" s="8" t="inlineStr">
        <is>
          <t>Manufacturing Linux Network Engineer</t>
        </is>
      </c>
      <c r="E184" s="7" t="inlineStr">
        <is>
          <t>Cerebras</t>
        </is>
      </c>
      <c r="F184" s="8" t="inlineStr">
        <is>
          <t>Sunnyvale, CA</t>
        </is>
      </c>
      <c r="G184" s="8" t="n"/>
      <c r="H184" s="14" t="n"/>
      <c r="I184" s="15">
        <f>IF($H184="","",$H184-TODAY())</f>
        <v/>
      </c>
      <c r="J184" s="16" t="inlineStr">
        <is>
          <t>Open posting</t>
        </is>
      </c>
      <c r="K184" s="8" t="n"/>
      <c r="L184" s="17" t="inlineStr">
        <is>
          <t>new</t>
        </is>
      </c>
      <c r="M184" s="18" t="inlineStr"/>
      <c r="N184" s="7" t="inlineStr">
        <is>
          <t>b02d8d72b1e67ded4d04f522fa8e28dbf1ecebce</t>
        </is>
      </c>
      <c r="O184" s="14" t="n">
        <v>46175</v>
      </c>
      <c r="P184" s="7" t="inlineStr">
        <is>
          <t>greenhouse:cerebrassystems</t>
        </is>
      </c>
      <c r="Q184" s="8" t="inlineStr"/>
      <c r="R184" s="8" t="n"/>
      <c r="S184" s="19" t="n"/>
      <c r="T184" s="19" t="n"/>
      <c r="U184" s="14" t="n">
        <v>46189</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5</v>
      </c>
      <c r="C185" s="12" t="inlineStr">
        <is>
          <t>Mid-level</t>
        </is>
      </c>
      <c r="D185" s="8" t="inlineStr">
        <is>
          <t>Manufacturing Test Development Engineer</t>
        </is>
      </c>
      <c r="E185" s="7" t="inlineStr">
        <is>
          <t>Cerebras</t>
        </is>
      </c>
      <c r="F185" s="8" t="inlineStr">
        <is>
          <t>Sunnyvale, CA</t>
        </is>
      </c>
      <c r="G185" s="8" t="n"/>
      <c r="H185" s="14" t="n"/>
      <c r="I185" s="15">
        <f>IF($H185="","",$H185-TODAY())</f>
        <v/>
      </c>
      <c r="J185" s="16" t="inlineStr">
        <is>
          <t>Open posting</t>
        </is>
      </c>
      <c r="K185" s="8" t="n"/>
      <c r="L185" s="17" t="inlineStr">
        <is>
          <t>new</t>
        </is>
      </c>
      <c r="M185" s="18" t="inlineStr"/>
      <c r="N185" s="7" t="inlineStr">
        <is>
          <t>3dad019a8ba7410d634466e96ed2a57cde6e260b</t>
        </is>
      </c>
      <c r="O185" s="14" t="n">
        <v>46175</v>
      </c>
      <c r="P185" s="7" t="inlineStr">
        <is>
          <t>greenhouse:cerebrassystems</t>
        </is>
      </c>
      <c r="Q185" s="8" t="inlineStr"/>
      <c r="R185" s="8" t="n"/>
      <c r="S185" s="19" t="n"/>
      <c r="T185" s="19" t="n"/>
      <c r="U185" s="14" t="n">
        <v>46189</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5</v>
      </c>
      <c r="C186" s="12" t="inlineStr">
        <is>
          <t>Senior/Lead</t>
        </is>
      </c>
      <c r="D186" s="8" t="inlineStr">
        <is>
          <t>Mechanical Engineer</t>
        </is>
      </c>
      <c r="E186" s="7" t="inlineStr">
        <is>
          <t>Cerebras</t>
        </is>
      </c>
      <c r="F186" s="8" t="inlineStr">
        <is>
          <t>Sunnyvale, CA</t>
        </is>
      </c>
      <c r="G186" s="8" t="n"/>
      <c r="H186" s="14" t="n"/>
      <c r="I186" s="15">
        <f>IF($H186="","",$H186-TODAY())</f>
        <v/>
      </c>
      <c r="J186" s="16" t="inlineStr">
        <is>
          <t>Open posting</t>
        </is>
      </c>
      <c r="K186" s="8" t="n"/>
      <c r="L186" s="17" t="inlineStr">
        <is>
          <t>new</t>
        </is>
      </c>
      <c r="M186" s="18" t="inlineStr"/>
      <c r="N186" s="7" t="inlineStr">
        <is>
          <t>04961764ea6842b5e4f2ba43a0e4806a95dc9ebb</t>
        </is>
      </c>
      <c r="O186" s="14" t="n">
        <v>46175</v>
      </c>
      <c r="P186" s="7" t="inlineStr">
        <is>
          <t>greenhouse:cerebrassystems</t>
        </is>
      </c>
      <c r="Q186" s="8" t="inlineStr"/>
      <c r="R186" s="8" t="n"/>
      <c r="S186" s="19" t="n"/>
      <c r="T186" s="19" t="n"/>
      <c r="U186" s="14" t="n">
        <v>46189</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5</v>
      </c>
      <c r="C187" s="12" t="inlineStr">
        <is>
          <t>Unspecified</t>
        </is>
      </c>
      <c r="D187" s="8" t="inlineStr">
        <is>
          <t>ML Performance Benchmarking Engineer</t>
        </is>
      </c>
      <c r="E187" s="7" t="inlineStr">
        <is>
          <t>Cerebras</t>
        </is>
      </c>
      <c r="F187" s="8" t="inlineStr">
        <is>
          <t>Toronto, Ontario, Canada</t>
        </is>
      </c>
      <c r="G187" s="8" t="n"/>
      <c r="H187" s="14" t="n"/>
      <c r="I187" s="15">
        <f>IF($H187="","",$H187-TODAY())</f>
        <v/>
      </c>
      <c r="J187" s="16" t="inlineStr">
        <is>
          <t>Open posting</t>
        </is>
      </c>
      <c r="K187" s="8" t="n"/>
      <c r="L187" s="17" t="inlineStr">
        <is>
          <t>new</t>
        </is>
      </c>
      <c r="M187" s="18" t="inlineStr"/>
      <c r="N187" s="7" t="inlineStr">
        <is>
          <t>dd1db823fd40a67c5a2fb18802fe51b13f664d07</t>
        </is>
      </c>
      <c r="O187" s="14" t="n">
        <v>46175</v>
      </c>
      <c r="P187" s="7" t="inlineStr">
        <is>
          <t>greenhouse:cerebrassystems</t>
        </is>
      </c>
      <c r="Q187" s="8" t="inlineStr"/>
      <c r="R187" s="8" t="n"/>
      <c r="S187" s="19" t="n"/>
      <c r="T187" s="19" t="n"/>
      <c r="U187" s="14" t="n">
        <v>46189</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5</v>
      </c>
      <c r="C188" s="12" t="inlineStr">
        <is>
          <t>Unspecified</t>
        </is>
      </c>
      <c r="D188" s="8" t="inlineStr">
        <is>
          <t>ML Research Engineer (Inference)</t>
        </is>
      </c>
      <c r="E188" s="7" t="inlineStr">
        <is>
          <t>Cerebras</t>
        </is>
      </c>
      <c r="F188" s="8" t="inlineStr">
        <is>
          <t>Bengaluru, Karnataka, India</t>
        </is>
      </c>
      <c r="G188" s="8" t="n"/>
      <c r="H188" s="14" t="n"/>
      <c r="I188" s="15">
        <f>IF($H188="","",$H188-TODAY())</f>
        <v/>
      </c>
      <c r="J188" s="16" t="inlineStr">
        <is>
          <t>Open posting</t>
        </is>
      </c>
      <c r="K188" s="8" t="n"/>
      <c r="L188" s="17" t="inlineStr">
        <is>
          <t>new</t>
        </is>
      </c>
      <c r="M188" s="18" t="inlineStr"/>
      <c r="N188" s="7" t="inlineStr">
        <is>
          <t>fcee2ca85736d6a8d91dfdb8065a19d9d80d34e3</t>
        </is>
      </c>
      <c r="O188" s="14" t="n">
        <v>46175</v>
      </c>
      <c r="P188" s="7" t="inlineStr">
        <is>
          <t>greenhouse:cerebrassystems</t>
        </is>
      </c>
      <c r="Q188" s="8" t="inlineStr"/>
      <c r="R188" s="8" t="n"/>
      <c r="S188" s="19" t="n"/>
      <c r="T188" s="19" t="n"/>
      <c r="U188" s="14" t="n">
        <v>46189</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5</v>
      </c>
      <c r="C189" s="12" t="inlineStr">
        <is>
          <t>Senior/Lead</t>
        </is>
      </c>
      <c r="D189" s="8" t="inlineStr">
        <is>
          <t>ML Software Tool Development Engineer</t>
        </is>
      </c>
      <c r="E189" s="7" t="inlineStr">
        <is>
          <t>Cerebras</t>
        </is>
      </c>
      <c r="F189" s="8" t="inlineStr">
        <is>
          <t>Sunnyvale CA or Toronto Canada</t>
        </is>
      </c>
      <c r="G189" s="8" t="n"/>
      <c r="H189" s="14" t="n"/>
      <c r="I189" s="15">
        <f>IF($H189="","",$H189-TODAY())</f>
        <v/>
      </c>
      <c r="J189" s="16" t="inlineStr">
        <is>
          <t>Open posting</t>
        </is>
      </c>
      <c r="K189" s="8" t="n"/>
      <c r="L189" s="17" t="inlineStr">
        <is>
          <t>new</t>
        </is>
      </c>
      <c r="M189" s="18" t="inlineStr"/>
      <c r="N189" s="7" t="inlineStr">
        <is>
          <t>237c8360a6b8b86cfdcf9297ff5c448d9ee9a12a</t>
        </is>
      </c>
      <c r="O189" s="14" t="n">
        <v>46175</v>
      </c>
      <c r="P189" s="7" t="inlineStr">
        <is>
          <t>greenhouse:cerebrassystems</t>
        </is>
      </c>
      <c r="Q189" s="8" t="inlineStr"/>
      <c r="R189" s="8" t="n"/>
      <c r="S189" s="19" t="n"/>
      <c r="T189" s="19" t="n"/>
      <c r="U189" s="14" t="n">
        <v>46189</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5</v>
      </c>
      <c r="C190" s="12" t="inlineStr">
        <is>
          <t>Mid-level</t>
        </is>
      </c>
      <c r="D190" s="8" t="inlineStr">
        <is>
          <t>ML Systems Performance Engineer</t>
        </is>
      </c>
      <c r="E190" s="7" t="inlineStr">
        <is>
          <t>Cerebras</t>
        </is>
      </c>
      <c r="F190" s="8" t="inlineStr">
        <is>
          <t>Bengaluru, Karnataka, India</t>
        </is>
      </c>
      <c r="G190" s="8" t="n"/>
      <c r="H190" s="14" t="n"/>
      <c r="I190" s="15">
        <f>IF($H190="","",$H190-TODAY())</f>
        <v/>
      </c>
      <c r="J190" s="16" t="inlineStr">
        <is>
          <t>Open posting</t>
        </is>
      </c>
      <c r="K190" s="8" t="n"/>
      <c r="L190" s="17" t="inlineStr">
        <is>
          <t>new</t>
        </is>
      </c>
      <c r="M190" s="18" t="inlineStr"/>
      <c r="N190" s="7" t="inlineStr">
        <is>
          <t>a176532d9d7ee903f963861b2efd7700c48a8a5f</t>
        </is>
      </c>
      <c r="O190" s="14" t="n">
        <v>46189</v>
      </c>
      <c r="P190" s="7" t="inlineStr">
        <is>
          <t>greenhouse:cerebrassystems</t>
        </is>
      </c>
      <c r="Q190" s="8" t="inlineStr"/>
      <c r="R190" s="8" t="n"/>
      <c r="S190" s="19" t="n"/>
      <c r="T190" s="19" t="n"/>
      <c r="U190" s="14" t="n">
        <v>46189</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5</v>
      </c>
      <c r="C191" s="12" t="inlineStr">
        <is>
          <t>Mid-level</t>
        </is>
      </c>
      <c r="D191" s="8" t="inlineStr">
        <is>
          <t>ML Systems Performance Engineer</t>
        </is>
      </c>
      <c r="E191" s="7" t="inlineStr">
        <is>
          <t>Cerebras</t>
        </is>
      </c>
      <c r="F191" s="8" t="inlineStr">
        <is>
          <t>Sunnyvale CA or Toronto Canada</t>
        </is>
      </c>
      <c r="G191" s="8" t="n"/>
      <c r="H191" s="14" t="n"/>
      <c r="I191" s="15">
        <f>IF($H191="","",$H191-TODAY())</f>
        <v/>
      </c>
      <c r="J191" s="16" t="inlineStr">
        <is>
          <t>Open posting</t>
        </is>
      </c>
      <c r="K191" s="8" t="n"/>
      <c r="L191" s="17" t="inlineStr">
        <is>
          <t>new</t>
        </is>
      </c>
      <c r="M191" s="18" t="inlineStr"/>
      <c r="N191" s="7" t="inlineStr">
        <is>
          <t>50e6c6740aa41a6ece0946923d77ccd6805c6342</t>
        </is>
      </c>
      <c r="O191" s="14" t="n">
        <v>46175</v>
      </c>
      <c r="P191" s="7" t="inlineStr">
        <is>
          <t>greenhouse:cerebrassystems</t>
        </is>
      </c>
      <c r="Q191" s="8" t="inlineStr"/>
      <c r="R191" s="8" t="n"/>
      <c r="S191" s="19" t="n"/>
      <c r="T191" s="19" t="n"/>
      <c r="U191" s="14" t="n">
        <v>46189</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5</v>
      </c>
      <c r="C192" s="12" t="inlineStr">
        <is>
          <t>Senior/Lead</t>
        </is>
      </c>
      <c r="D192" s="8" t="inlineStr">
        <is>
          <t>Network Architect</t>
        </is>
      </c>
      <c r="E192" s="7" t="inlineStr">
        <is>
          <t>Cerebras</t>
        </is>
      </c>
      <c r="F192" s="8" t="inlineStr">
        <is>
          <t>Sunnyvale, CA</t>
        </is>
      </c>
      <c r="G192" s="8" t="n"/>
      <c r="H192" s="14" t="n"/>
      <c r="I192" s="15">
        <f>IF($H192="","",$H192-TODAY())</f>
        <v/>
      </c>
      <c r="J192" s="16" t="inlineStr">
        <is>
          <t>Open posting</t>
        </is>
      </c>
      <c r="K192" s="8" t="n"/>
      <c r="L192" s="17" t="inlineStr">
        <is>
          <t>new</t>
        </is>
      </c>
      <c r="M192" s="18" t="inlineStr"/>
      <c r="N192" s="7" t="inlineStr">
        <is>
          <t>d52f00525fdd1d50889a6570f44e00299e3b4d39</t>
        </is>
      </c>
      <c r="O192" s="14" t="n">
        <v>46175</v>
      </c>
      <c r="P192" s="7" t="inlineStr">
        <is>
          <t>greenhouse:cerebrassystems</t>
        </is>
      </c>
      <c r="Q192" s="8" t="inlineStr"/>
      <c r="R192" s="8" t="n"/>
      <c r="S192" s="19" t="n"/>
      <c r="T192" s="19" t="n"/>
      <c r="U192" s="14" t="n">
        <v>46189</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5</v>
      </c>
      <c r="C193" s="12" t="inlineStr">
        <is>
          <t>Senior/Lead</t>
        </is>
      </c>
      <c r="D193" s="8" t="inlineStr">
        <is>
          <t>Network Engineer</t>
        </is>
      </c>
      <c r="E193" s="7" t="inlineStr">
        <is>
          <t>Cerebras</t>
        </is>
      </c>
      <c r="F193" s="8" t="inlineStr">
        <is>
          <t>Sunnyvale, CA; Toronto, Ontario, Canada</t>
        </is>
      </c>
      <c r="G193" s="8" t="n"/>
      <c r="H193" s="14" t="n"/>
      <c r="I193" s="15">
        <f>IF($H193="","",$H193-TODAY())</f>
        <v/>
      </c>
      <c r="J193" s="16" t="inlineStr">
        <is>
          <t>Open posting</t>
        </is>
      </c>
      <c r="K193" s="8" t="n"/>
      <c r="L193" s="17" t="inlineStr">
        <is>
          <t>new</t>
        </is>
      </c>
      <c r="M193" s="18" t="inlineStr"/>
      <c r="N193" s="7" t="inlineStr">
        <is>
          <t>845ee90be66bd3eab775f3bc269e06c5b8d866f3</t>
        </is>
      </c>
      <c r="O193" s="14" t="n">
        <v>46185</v>
      </c>
      <c r="P193" s="7" t="inlineStr">
        <is>
          <t>greenhouse:cerebrassystems</t>
        </is>
      </c>
      <c r="Q193" s="8" t="inlineStr"/>
      <c r="R193" s="8" t="n"/>
      <c r="S193" s="19" t="n"/>
      <c r="T193" s="19" t="n"/>
      <c r="U193" s="14" t="n">
        <v>46189</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5</v>
      </c>
      <c r="C194" s="12" t="inlineStr">
        <is>
          <t>Mid-level</t>
        </is>
      </c>
      <c r="D194" s="8" t="inlineStr">
        <is>
          <t>Performance Engineer</t>
        </is>
      </c>
      <c r="E194" s="7" t="inlineStr">
        <is>
          <t>Cerebras</t>
        </is>
      </c>
      <c r="F194" s="8" t="inlineStr">
        <is>
          <t>Toronto, Ontario, Canada</t>
        </is>
      </c>
      <c r="G194" s="8" t="n"/>
      <c r="H194" s="14" t="n"/>
      <c r="I194" s="15">
        <f>IF($H194="","",$H194-TODAY())</f>
        <v/>
      </c>
      <c r="J194" s="16" t="inlineStr">
        <is>
          <t>Open posting</t>
        </is>
      </c>
      <c r="K194" s="8" t="n"/>
      <c r="L194" s="17" t="inlineStr">
        <is>
          <t>new</t>
        </is>
      </c>
      <c r="M194" s="18" t="inlineStr"/>
      <c r="N194" s="7" t="inlineStr">
        <is>
          <t>86c8778089b92fe747f7bd290f0d3a85bc99a48e</t>
        </is>
      </c>
      <c r="O194" s="14" t="n">
        <v>46175</v>
      </c>
      <c r="P194" s="7" t="inlineStr">
        <is>
          <t>greenhouse:cerebrassystems</t>
        </is>
      </c>
      <c r="Q194" s="8" t="inlineStr"/>
      <c r="R194" s="8" t="n"/>
      <c r="S194" s="19" t="n"/>
      <c r="T194" s="19" t="n"/>
      <c r="U194" s="14" t="n">
        <v>46189</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5</v>
      </c>
      <c r="C195" s="12" t="inlineStr">
        <is>
          <t>Mid-level</t>
        </is>
      </c>
      <c r="D195" s="8" t="inlineStr">
        <is>
          <t>Performance &amp; Reliability Engineer</t>
        </is>
      </c>
      <c r="E195" s="7" t="inlineStr">
        <is>
          <t>Cerebras</t>
        </is>
      </c>
      <c r="F195" s="8" t="inlineStr">
        <is>
          <t>Sunnyvale, CA; Toronto, Ontario, Canada</t>
        </is>
      </c>
      <c r="G195" s="8" t="n"/>
      <c r="H195" s="14" t="n"/>
      <c r="I195" s="15">
        <f>IF($H195="","",$H195-TODAY())</f>
        <v/>
      </c>
      <c r="J195" s="16" t="inlineStr">
        <is>
          <t>Open posting</t>
        </is>
      </c>
      <c r="K195" s="8" t="n"/>
      <c r="L195" s="17" t="inlineStr">
        <is>
          <t>new</t>
        </is>
      </c>
      <c r="M195" s="18" t="inlineStr"/>
      <c r="N195" s="7" t="inlineStr">
        <is>
          <t>ad68daa703e8830336dc0ef5f4c8d9373c54a5c2</t>
        </is>
      </c>
      <c r="O195" s="14" t="n">
        <v>46175</v>
      </c>
      <c r="P195" s="7" t="inlineStr">
        <is>
          <t>greenhouse:cerebrassystems</t>
        </is>
      </c>
      <c r="Q195" s="8" t="inlineStr"/>
      <c r="R195" s="8" t="n"/>
      <c r="S195" s="19" t="n"/>
      <c r="T195" s="19" t="n"/>
      <c r="U195" s="14" t="n">
        <v>46189</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5</v>
      </c>
      <c r="C196" s="12" t="inlineStr">
        <is>
          <t>Senior/Lead</t>
        </is>
      </c>
      <c r="D196" s="8" t="inlineStr">
        <is>
          <t>Physical Design Engineer</t>
        </is>
      </c>
      <c r="E196" s="7" t="inlineStr">
        <is>
          <t>Cerebras</t>
        </is>
      </c>
      <c r="F196" s="8" t="inlineStr">
        <is>
          <t>Bengaluru, Karnataka, India</t>
        </is>
      </c>
      <c r="G196" s="8" t="n"/>
      <c r="H196" s="14" t="n"/>
      <c r="I196" s="15">
        <f>IF($H196="","",$H196-TODAY())</f>
        <v/>
      </c>
      <c r="J196" s="16" t="inlineStr">
        <is>
          <t>Open posting</t>
        </is>
      </c>
      <c r="K196" s="8" t="n"/>
      <c r="L196" s="17" t="inlineStr">
        <is>
          <t>new</t>
        </is>
      </c>
      <c r="M196" s="18" t="inlineStr"/>
      <c r="N196" s="7" t="inlineStr">
        <is>
          <t>270f76558942120990e40e86eeab1d0f54a98710</t>
        </is>
      </c>
      <c r="O196" s="14" t="n">
        <v>46175</v>
      </c>
      <c r="P196" s="7" t="inlineStr">
        <is>
          <t>greenhouse:cerebrassystems</t>
        </is>
      </c>
      <c r="Q196" s="8" t="inlineStr"/>
      <c r="R196" s="8" t="n"/>
      <c r="S196" s="19" t="n"/>
      <c r="T196" s="19" t="n"/>
      <c r="U196" s="14" t="n">
        <v>46189</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5</v>
      </c>
      <c r="C197" s="12" t="inlineStr">
        <is>
          <t>Senior/Lead</t>
        </is>
      </c>
      <c r="D197" s="8" t="inlineStr">
        <is>
          <t>Physical Design Engineer</t>
        </is>
      </c>
      <c r="E197" s="7" t="inlineStr">
        <is>
          <t>Cerebras</t>
        </is>
      </c>
      <c r="F197" s="8" t="inlineStr">
        <is>
          <t>Sunnyvale, CA</t>
        </is>
      </c>
      <c r="G197" s="8" t="n"/>
      <c r="H197" s="14" t="n"/>
      <c r="I197" s="15">
        <f>IF($H197="","",$H197-TODAY())</f>
        <v/>
      </c>
      <c r="J197" s="16" t="inlineStr">
        <is>
          <t>Open posting</t>
        </is>
      </c>
      <c r="K197" s="8" t="n"/>
      <c r="L197" s="17" t="inlineStr">
        <is>
          <t>new</t>
        </is>
      </c>
      <c r="M197" s="18" t="inlineStr"/>
      <c r="N197" s="7" t="inlineStr">
        <is>
          <t>69593a1bf4ba84aa5504e400a1c5d578ff5f333a</t>
        </is>
      </c>
      <c r="O197" s="14" t="n">
        <v>46183</v>
      </c>
      <c r="P197" s="7" t="inlineStr">
        <is>
          <t>greenhouse:cerebrassystems</t>
        </is>
      </c>
      <c r="Q197" s="8" t="inlineStr"/>
      <c r="R197" s="8" t="n"/>
      <c r="S197" s="19" t="n"/>
      <c r="T197" s="19" t="n"/>
      <c r="U197" s="14" t="n">
        <v>46189</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5</v>
      </c>
      <c r="C198" s="12" t="inlineStr">
        <is>
          <t>Manager/Owner</t>
        </is>
      </c>
      <c r="D198" s="8" t="inlineStr">
        <is>
          <t>Product Manager, Strategic Verticals</t>
        </is>
      </c>
      <c r="E198" s="7" t="inlineStr">
        <is>
          <t>Cerebras</t>
        </is>
      </c>
      <c r="F198" s="8" t="inlineStr">
        <is>
          <t>San Francisco, California, United States</t>
        </is>
      </c>
      <c r="G198" s="8" t="n"/>
      <c r="H198" s="14" t="n"/>
      <c r="I198" s="15">
        <f>IF($H198="","",$H198-TODAY())</f>
        <v/>
      </c>
      <c r="J198" s="16" t="inlineStr">
        <is>
          <t>Open posting</t>
        </is>
      </c>
      <c r="K198" s="8" t="n"/>
      <c r="L198" s="17" t="inlineStr">
        <is>
          <t>new</t>
        </is>
      </c>
      <c r="M198" s="18" t="inlineStr"/>
      <c r="N198" s="7" t="inlineStr">
        <is>
          <t>9e673e6b764368600481e1451014a63ced248f2b</t>
        </is>
      </c>
      <c r="O198" s="14" t="n">
        <v>46183</v>
      </c>
      <c r="P198" s="7" t="inlineStr">
        <is>
          <t>greenhouse:cerebrassystems</t>
        </is>
      </c>
      <c r="Q198" s="8" t="inlineStr"/>
      <c r="R198" s="8" t="n"/>
      <c r="S198" s="19" t="n"/>
      <c r="T198" s="19" t="n"/>
      <c r="U198" s="14" t="n">
        <v>46189</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5</v>
      </c>
      <c r="C199" s="12" t="inlineStr">
        <is>
          <t>Unspecified</t>
        </is>
      </c>
      <c r="D199" s="8" t="inlineStr">
        <is>
          <t>Prognostics &amp; Health Monitoring Engineer</t>
        </is>
      </c>
      <c r="E199" s="7" t="inlineStr">
        <is>
          <t>Cerebras</t>
        </is>
      </c>
      <c r="F199" s="8" t="inlineStr">
        <is>
          <t>Sunnyvale, CA</t>
        </is>
      </c>
      <c r="G199" s="8" t="n"/>
      <c r="H199" s="14" t="n"/>
      <c r="I199" s="15">
        <f>IF($H199="","",$H199-TODAY())</f>
        <v/>
      </c>
      <c r="J199" s="16" t="inlineStr">
        <is>
          <t>Open posting</t>
        </is>
      </c>
      <c r="K199" s="8" t="n"/>
      <c r="L199" s="17" t="inlineStr">
        <is>
          <t>new</t>
        </is>
      </c>
      <c r="M199" s="18" t="inlineStr"/>
      <c r="N199" s="7" t="inlineStr">
        <is>
          <t>85510cdb65680c713b8022e4ecb4bb3276487a56</t>
        </is>
      </c>
      <c r="O199" s="14" t="n">
        <v>46178</v>
      </c>
      <c r="P199" s="7" t="inlineStr">
        <is>
          <t>greenhouse:cerebrassystems</t>
        </is>
      </c>
      <c r="Q199" s="8" t="inlineStr"/>
      <c r="R199" s="8" t="n"/>
      <c r="S199" s="19" t="n"/>
      <c r="T199" s="19" t="n"/>
      <c r="U199" s="14" t="n">
        <v>46189</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5</v>
      </c>
      <c r="C200" s="12" t="inlineStr">
        <is>
          <t>Unspecified</t>
        </is>
      </c>
      <c r="D200" s="8" t="inlineStr">
        <is>
          <t>Security &amp; IT General Opportunities</t>
        </is>
      </c>
      <c r="E200" s="7" t="inlineStr">
        <is>
          <t>Cerebras</t>
        </is>
      </c>
      <c r="F200" s="8" t="inlineStr">
        <is>
          <t>Sunnyvale CA or Toronto Canada</t>
        </is>
      </c>
      <c r="G200" s="8" t="n"/>
      <c r="H200" s="14" t="n"/>
      <c r="I200" s="15">
        <f>IF($H200="","",$H200-TODAY())</f>
        <v/>
      </c>
      <c r="J200" s="16" t="inlineStr">
        <is>
          <t>Open posting</t>
        </is>
      </c>
      <c r="K200" s="8" t="n"/>
      <c r="L200" s="17" t="inlineStr">
        <is>
          <t>new</t>
        </is>
      </c>
      <c r="M200" s="18" t="inlineStr"/>
      <c r="N200" s="7" t="inlineStr">
        <is>
          <t>d69769fae8fa9460c33b8a277b8acc5a9cf0243f</t>
        </is>
      </c>
      <c r="O200" s="14" t="n">
        <v>46175</v>
      </c>
      <c r="P200" s="7" t="inlineStr">
        <is>
          <t>greenhouse:cerebrassystems</t>
        </is>
      </c>
      <c r="Q200" s="8" t="inlineStr"/>
      <c r="R200" s="8" t="n"/>
      <c r="S200" s="19" t="n"/>
      <c r="T200" s="19" t="n"/>
      <c r="U200" s="14" t="n">
        <v>46189</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5</v>
      </c>
      <c r="C201" s="12" t="inlineStr">
        <is>
          <t>Mid-level</t>
        </is>
      </c>
      <c r="D201" s="8" t="inlineStr">
        <is>
          <t>Security SWE</t>
        </is>
      </c>
      <c r="E201" s="7" t="inlineStr">
        <is>
          <t>Cerebras</t>
        </is>
      </c>
      <c r="F201" s="8" t="inlineStr">
        <is>
          <t>Sunnyvale CA or Toronto Canada</t>
        </is>
      </c>
      <c r="G201" s="8" t="n"/>
      <c r="H201" s="14" t="n"/>
      <c r="I201" s="15">
        <f>IF($H201="","",$H201-TODAY())</f>
        <v/>
      </c>
      <c r="J201" s="16" t="inlineStr">
        <is>
          <t>Open posting</t>
        </is>
      </c>
      <c r="K201" s="8" t="n"/>
      <c r="L201" s="17" t="inlineStr">
        <is>
          <t>new</t>
        </is>
      </c>
      <c r="M201" s="18" t="inlineStr"/>
      <c r="N201" s="7" t="inlineStr">
        <is>
          <t>8d6176cebf2c076c13794d98ed331f802b769ec1</t>
        </is>
      </c>
      <c r="O201" s="14" t="n">
        <v>46175</v>
      </c>
      <c r="P201" s="7" t="inlineStr">
        <is>
          <t>greenhouse:cerebrassystems</t>
        </is>
      </c>
      <c r="Q201" s="8" t="inlineStr"/>
      <c r="R201" s="8" t="n"/>
      <c r="S201" s="19" t="n"/>
      <c r="T201" s="19" t="n"/>
      <c r="U201" s="14" t="n">
        <v>46189</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5</v>
      </c>
      <c r="C202" s="12" t="inlineStr">
        <is>
          <t>Senior/Lead</t>
        </is>
      </c>
      <c r="D202" s="8" t="inlineStr">
        <is>
          <t>Site Reliability Engineer - Ops &amp; Automation</t>
        </is>
      </c>
      <c r="E202" s="7" t="inlineStr">
        <is>
          <t>Cerebras</t>
        </is>
      </c>
      <c r="F202" s="8" t="inlineStr">
        <is>
          <t>Sunnyvale CA or Toronto Canada</t>
        </is>
      </c>
      <c r="G202" s="8" t="n"/>
      <c r="H202" s="14" t="n"/>
      <c r="I202" s="15">
        <f>IF($H202="","",$H202-TODAY())</f>
        <v/>
      </c>
      <c r="J202" s="16" t="inlineStr">
        <is>
          <t>Open posting</t>
        </is>
      </c>
      <c r="K202" s="8" t="n"/>
      <c r="L202" s="17" t="inlineStr">
        <is>
          <t>new</t>
        </is>
      </c>
      <c r="M202" s="18" t="inlineStr"/>
      <c r="N202" s="7" t="inlineStr">
        <is>
          <t>e8d902e02f7971259176b84de454dc48d5c246ee</t>
        </is>
      </c>
      <c r="O202" s="14" t="n">
        <v>46175</v>
      </c>
      <c r="P202" s="7" t="inlineStr">
        <is>
          <t>greenhouse:cerebrassystems</t>
        </is>
      </c>
      <c r="Q202" s="8" t="inlineStr"/>
      <c r="R202" s="8" t="n"/>
      <c r="S202" s="19" t="n"/>
      <c r="T202" s="19" t="n"/>
      <c r="U202" s="14" t="n">
        <v>46189</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5</v>
      </c>
      <c r="C203" s="12" t="inlineStr">
        <is>
          <t>Senior/Lead</t>
        </is>
      </c>
      <c r="D203" s="8" t="inlineStr">
        <is>
          <t>Software Architect – Manufacturing Test</t>
        </is>
      </c>
      <c r="E203" s="7" t="inlineStr">
        <is>
          <t>Cerebras</t>
        </is>
      </c>
      <c r="F203" s="8" t="inlineStr">
        <is>
          <t>Sunnyvale, CA</t>
        </is>
      </c>
      <c r="G203" s="8" t="n"/>
      <c r="H203" s="14" t="n"/>
      <c r="I203" s="15">
        <f>IF($H203="","",$H203-TODAY())</f>
        <v/>
      </c>
      <c r="J203" s="16" t="inlineStr">
        <is>
          <t>Open posting</t>
        </is>
      </c>
      <c r="K203" s="8" t="n"/>
      <c r="L203" s="17" t="inlineStr">
        <is>
          <t>new</t>
        </is>
      </c>
      <c r="M203" s="18" t="inlineStr"/>
      <c r="N203" s="7" t="inlineStr">
        <is>
          <t>aaba1b205ce442f3e0f2917233efc90f7c3c6622</t>
        </is>
      </c>
      <c r="O203" s="14" t="n">
        <v>46175</v>
      </c>
      <c r="P203" s="7" t="inlineStr">
        <is>
          <t>greenhouse:cerebrassystems</t>
        </is>
      </c>
      <c r="Q203" s="8" t="inlineStr"/>
      <c r="R203" s="8" t="n"/>
      <c r="S203" s="19" t="n"/>
      <c r="T203" s="19" t="n"/>
      <c r="U203" s="14" t="n">
        <v>46189</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5</v>
      </c>
      <c r="C204" s="12" t="inlineStr">
        <is>
          <t>Senior/Lead</t>
        </is>
      </c>
      <c r="D204" s="8" t="inlineStr">
        <is>
          <t>Software Development Engineer in Test (Cloud)</t>
        </is>
      </c>
      <c r="E204" s="7" t="inlineStr">
        <is>
          <t>Cerebras</t>
        </is>
      </c>
      <c r="F204" s="8" t="inlineStr">
        <is>
          <t>Bengaluru, Karnataka, India</t>
        </is>
      </c>
      <c r="G204" s="8" t="n"/>
      <c r="H204" s="14" t="n"/>
      <c r="I204" s="15">
        <f>IF($H204="","",$H204-TODAY())</f>
        <v/>
      </c>
      <c r="J204" s="16" t="inlineStr">
        <is>
          <t>Open posting</t>
        </is>
      </c>
      <c r="K204" s="8" t="n"/>
      <c r="L204" s="17" t="inlineStr">
        <is>
          <t>new</t>
        </is>
      </c>
      <c r="M204" s="18" t="inlineStr"/>
      <c r="N204" s="7" t="inlineStr">
        <is>
          <t>8fe06e60b31ec24841a0104476432eb0e5883192</t>
        </is>
      </c>
      <c r="O204" s="14" t="n">
        <v>46175</v>
      </c>
      <c r="P204" s="7" t="inlineStr">
        <is>
          <t>greenhouse:cerebrassystems</t>
        </is>
      </c>
      <c r="Q204" s="8" t="inlineStr"/>
      <c r="R204" s="8" t="n"/>
      <c r="S204" s="19" t="n"/>
      <c r="T204" s="19" t="n"/>
      <c r="U204" s="14" t="n">
        <v>46189</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5</v>
      </c>
      <c r="C205" s="12" t="inlineStr">
        <is>
          <t>Unspecified</t>
        </is>
      </c>
      <c r="D205" s="8" t="inlineStr">
        <is>
          <t>Software Engineer, Kernel Reliability</t>
        </is>
      </c>
      <c r="E205" s="7" t="inlineStr">
        <is>
          <t>Cerebras</t>
        </is>
      </c>
      <c r="F205" s="8" t="inlineStr">
        <is>
          <t>Sunnyvale CA or Toronto Canada</t>
        </is>
      </c>
      <c r="G205" s="8" t="n"/>
      <c r="H205" s="14" t="n"/>
      <c r="I205" s="15">
        <f>IF($H205="","",$H205-TODAY())</f>
        <v/>
      </c>
      <c r="J205" s="16" t="inlineStr">
        <is>
          <t>Open posting</t>
        </is>
      </c>
      <c r="K205" s="8" t="n"/>
      <c r="L205" s="17" t="inlineStr">
        <is>
          <t>new</t>
        </is>
      </c>
      <c r="M205" s="18" t="inlineStr"/>
      <c r="N205" s="7" t="inlineStr">
        <is>
          <t>75fe5067a78013a0b7925608fda67e8e48f49cbf</t>
        </is>
      </c>
      <c r="O205" s="14" t="n">
        <v>46175</v>
      </c>
      <c r="P205" s="7" t="inlineStr">
        <is>
          <t>greenhouse:cerebrassystems</t>
        </is>
      </c>
      <c r="Q205" s="8" t="inlineStr"/>
      <c r="R205" s="8" t="n"/>
      <c r="S205" s="19" t="n"/>
      <c r="T205" s="19" t="n"/>
      <c r="U205" s="14" t="n">
        <v>46189</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5</v>
      </c>
      <c r="C206" s="12" t="inlineStr">
        <is>
          <t>Manager/Owner</t>
        </is>
      </c>
      <c r="D206" s="8" t="inlineStr">
        <is>
          <t>Sourcing Manager – Critical Components</t>
        </is>
      </c>
      <c r="E206" s="7" t="inlineStr">
        <is>
          <t>Cerebras</t>
        </is>
      </c>
      <c r="F206" s="8" t="inlineStr">
        <is>
          <t>Sunnyvale, CA</t>
        </is>
      </c>
      <c r="G206" s="8" t="n"/>
      <c r="H206" s="14" t="n"/>
      <c r="I206" s="15">
        <f>IF($H206="","",$H206-TODAY())</f>
        <v/>
      </c>
      <c r="J206" s="16" t="inlineStr">
        <is>
          <t>Open posting</t>
        </is>
      </c>
      <c r="K206" s="8" t="n"/>
      <c r="L206" s="17" t="inlineStr">
        <is>
          <t>new</t>
        </is>
      </c>
      <c r="M206" s="18" t="inlineStr"/>
      <c r="N206" s="7" t="inlineStr">
        <is>
          <t>121bdc70c52a05628143f394fd7ec99fd5081b12</t>
        </is>
      </c>
      <c r="O206" s="14" t="n">
        <v>46175</v>
      </c>
      <c r="P206" s="7" t="inlineStr">
        <is>
          <t>greenhouse:cerebrassystems</t>
        </is>
      </c>
      <c r="Q206" s="8" t="inlineStr"/>
      <c r="R206" s="8" t="n"/>
      <c r="S206" s="19" t="n"/>
      <c r="T206" s="19" t="n"/>
      <c r="U206" s="14" t="n">
        <v>46189</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5</v>
      </c>
      <c r="C207" s="12" t="inlineStr">
        <is>
          <t>Unspecified</t>
        </is>
      </c>
      <c r="D207" s="8" t="inlineStr">
        <is>
          <t>System Software Engineer (Embedded)</t>
        </is>
      </c>
      <c r="E207" s="7" t="inlineStr">
        <is>
          <t>Cerebras</t>
        </is>
      </c>
      <c r="F207" s="8" t="inlineStr">
        <is>
          <t>Sunnyvale, CA</t>
        </is>
      </c>
      <c r="G207" s="8" t="n"/>
      <c r="H207" s="14" t="n"/>
      <c r="I207" s="15">
        <f>IF($H207="","",$H207-TODAY())</f>
        <v/>
      </c>
      <c r="J207" s="16" t="inlineStr">
        <is>
          <t>Open posting</t>
        </is>
      </c>
      <c r="K207" s="8" t="n"/>
      <c r="L207" s="17" t="inlineStr">
        <is>
          <t>new</t>
        </is>
      </c>
      <c r="M207" s="18" t="inlineStr"/>
      <c r="N207" s="7" t="inlineStr">
        <is>
          <t>9179740c30ca126b411a0b11f2217e21c11e4337</t>
        </is>
      </c>
      <c r="O207" s="14" t="n">
        <v>46175</v>
      </c>
      <c r="P207" s="7" t="inlineStr">
        <is>
          <t>greenhouse:cerebrassystems</t>
        </is>
      </c>
      <c r="Q207" s="8" t="inlineStr"/>
      <c r="R207" s="8" t="n"/>
      <c r="S207" s="19" t="n"/>
      <c r="T207" s="19" t="n"/>
      <c r="U207" s="14" t="n">
        <v>46189</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5</v>
      </c>
      <c r="C208" s="12" t="inlineStr">
        <is>
          <t>Senior/Lead</t>
        </is>
      </c>
      <c r="D208" s="8" t="inlineStr">
        <is>
          <t>Vice President, Creative &amp; Integrated Marketing</t>
        </is>
      </c>
      <c r="E208" s="7" t="inlineStr">
        <is>
          <t>Cerebras</t>
        </is>
      </c>
      <c r="F208" s="8" t="inlineStr">
        <is>
          <t>Sunnyvale, CA</t>
        </is>
      </c>
      <c r="G208" s="8" t="n"/>
      <c r="H208" s="14" t="n"/>
      <c r="I208" s="15">
        <f>IF($H208="","",$H208-TODAY())</f>
        <v/>
      </c>
      <c r="J208" s="16" t="inlineStr">
        <is>
          <t>Open posting</t>
        </is>
      </c>
      <c r="K208" s="8" t="n"/>
      <c r="L208" s="17" t="inlineStr">
        <is>
          <t>new</t>
        </is>
      </c>
      <c r="M208" s="18" t="inlineStr"/>
      <c r="N208" s="7" t="inlineStr">
        <is>
          <t>a615c2da3d0bd2f0b20d7a24bd608ed3e32f8e0d</t>
        </is>
      </c>
      <c r="O208" s="14" t="n">
        <v>46175</v>
      </c>
      <c r="P208" s="7" t="inlineStr">
        <is>
          <t>greenhouse:cerebrassystems</t>
        </is>
      </c>
      <c r="Q208" s="8" t="inlineStr"/>
      <c r="R208" s="8" t="n"/>
      <c r="S208" s="19" t="n"/>
      <c r="T208" s="19" t="n"/>
      <c r="U208" s="14" t="n">
        <v>46189</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5</v>
      </c>
      <c r="C209" s="12" t="inlineStr">
        <is>
          <t>Unspecified</t>
        </is>
      </c>
      <c r="D209" s="8" t="inlineStr">
        <is>
          <t>NoC Design Verification Engineer</t>
        </is>
      </c>
      <c r="E209" s="7" t="inlineStr">
        <is>
          <t>SiFive</t>
        </is>
      </c>
      <c r="F209" s="8" t="inlineStr">
        <is>
          <t>Ahmedabad, India</t>
        </is>
      </c>
      <c r="G209" s="8" t="n"/>
      <c r="H209" s="14" t="n"/>
      <c r="I209" s="15">
        <f>IF($H209="","",$H209-TODAY())</f>
        <v/>
      </c>
      <c r="J209" s="16" t="inlineStr">
        <is>
          <t>Open posting</t>
        </is>
      </c>
      <c r="K209" s="8" t="n"/>
      <c r="L209" s="17" t="inlineStr">
        <is>
          <t>new</t>
        </is>
      </c>
      <c r="M209" s="18" t="inlineStr"/>
      <c r="N209" s="7" t="inlineStr">
        <is>
          <t>87907efc409f14f911b2adf9c50e03e5726075ce</t>
        </is>
      </c>
      <c r="O209" s="14" t="n"/>
      <c r="P209" s="7" t="inlineStr">
        <is>
          <t>workday</t>
        </is>
      </c>
      <c r="Q209" s="8" t="inlineStr"/>
      <c r="R209" s="8" t="n"/>
      <c r="S209" s="19" t="n"/>
      <c r="T209" s="19" t="n"/>
      <c r="U209" s="14" t="n">
        <v>46189</v>
      </c>
      <c r="V209" s="7" t="n"/>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5</v>
      </c>
      <c r="C210" s="12" t="inlineStr">
        <is>
          <t>Manager/Owner</t>
        </is>
      </c>
      <c r="D210" s="8" t="inlineStr">
        <is>
          <t>Technical Functional Safety Program Manager</t>
        </is>
      </c>
      <c r="E210" s="7" t="inlineStr">
        <is>
          <t>SiFive</t>
        </is>
      </c>
      <c r="F210" s="8" t="inlineStr">
        <is>
          <t>3 Locations</t>
        </is>
      </c>
      <c r="G210" s="8" t="n"/>
      <c r="H210" s="14" t="n"/>
      <c r="I210" s="15">
        <f>IF($H210="","",$H210-TODAY())</f>
        <v/>
      </c>
      <c r="J210" s="16" t="inlineStr">
        <is>
          <t>Open posting</t>
        </is>
      </c>
      <c r="K210" s="8" t="n"/>
      <c r="L210" s="17" t="inlineStr">
        <is>
          <t>new</t>
        </is>
      </c>
      <c r="M210" s="18" t="inlineStr"/>
      <c r="N210" s="7" t="inlineStr">
        <is>
          <t>e3c1c8382133edf82cfa8ef341a928b40e55f149</t>
        </is>
      </c>
      <c r="O210" s="14" t="n"/>
      <c r="P210" s="7" t="inlineStr">
        <is>
          <t>workday</t>
        </is>
      </c>
      <c r="Q210" s="8" t="inlineStr"/>
      <c r="R210" s="8" t="n"/>
      <c r="S210" s="19" t="n"/>
      <c r="T210" s="19" t="n"/>
      <c r="U210" s="14" t="n">
        <v>46189</v>
      </c>
      <c r="V210" s="7" t="n"/>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5</v>
      </c>
      <c r="C211" s="12" t="inlineStr">
        <is>
          <t>Unspecified</t>
        </is>
      </c>
      <c r="D211" s="8" t="inlineStr">
        <is>
          <t>Sr. CPU DV Engineer</t>
        </is>
      </c>
      <c r="E211" s="7" t="inlineStr">
        <is>
          <t>SiFive</t>
        </is>
      </c>
      <c r="F211" s="8" t="inlineStr">
        <is>
          <t>Hyderabad, India</t>
        </is>
      </c>
      <c r="G211" s="8" t="n"/>
      <c r="H211" s="14" t="n"/>
      <c r="I211" s="15">
        <f>IF($H211="","",$H211-TODAY())</f>
        <v/>
      </c>
      <c r="J211" s="16" t="inlineStr">
        <is>
          <t>Open posting</t>
        </is>
      </c>
      <c r="K211" s="8" t="n"/>
      <c r="L211" s="17" t="inlineStr">
        <is>
          <t>new</t>
        </is>
      </c>
      <c r="M211" s="18" t="inlineStr"/>
      <c r="N211" s="7" t="inlineStr">
        <is>
          <t>039419eea0449aa76447183c0c21d70bb2a2b66f</t>
        </is>
      </c>
      <c r="O211" s="14" t="n"/>
      <c r="P211" s="7" t="inlineStr">
        <is>
          <t>workday</t>
        </is>
      </c>
      <c r="Q211" s="8" t="inlineStr"/>
      <c r="R211" s="8" t="n"/>
      <c r="S211" s="19" t="n"/>
      <c r="T211" s="19" t="n"/>
      <c r="U211" s="14" t="n">
        <v>46189</v>
      </c>
      <c r="V211" s="7" t="n"/>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5</v>
      </c>
      <c r="C212" s="12" t="inlineStr">
        <is>
          <t>Internship</t>
        </is>
      </c>
      <c r="D212" s="8" t="inlineStr">
        <is>
          <t>Intern - Design Verification Infrastructure Engineer - Platform</t>
        </is>
      </c>
      <c r="E212" s="7" t="inlineStr">
        <is>
          <t>SiFive</t>
        </is>
      </c>
      <c r="F212" s="8" t="inlineStr">
        <is>
          <t>4 Locations</t>
        </is>
      </c>
      <c r="G212" s="8" t="n"/>
      <c r="H212" s="14" t="n"/>
      <c r="I212" s="15">
        <f>IF($H212="","",$H212-TODAY())</f>
        <v/>
      </c>
      <c r="J212" s="16" t="inlineStr">
        <is>
          <t>Open posting</t>
        </is>
      </c>
      <c r="K212" s="8" t="n"/>
      <c r="L212" s="17" t="inlineStr">
        <is>
          <t>new</t>
        </is>
      </c>
      <c r="M212" s="18" t="inlineStr"/>
      <c r="N212" s="7" t="inlineStr">
        <is>
          <t>32aa78681f55ad034379f76991560cb0cb0f0835</t>
        </is>
      </c>
      <c r="O212" s="14" t="n"/>
      <c r="P212" s="7" t="inlineStr">
        <is>
          <t>workday</t>
        </is>
      </c>
      <c r="Q212" s="8" t="inlineStr"/>
      <c r="R212" s="8" t="n"/>
      <c r="S212" s="19" t="n"/>
      <c r="T212" s="19" t="n"/>
      <c r="U212" s="14" t="n">
        <v>46189</v>
      </c>
      <c r="V212" s="7" t="n"/>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5</v>
      </c>
      <c r="C213" s="12" t="inlineStr">
        <is>
          <t>Unspecified</t>
        </is>
      </c>
      <c r="D213" s="8" t="inlineStr">
        <is>
          <t>RTL Design Engineer</t>
        </is>
      </c>
      <c r="E213" s="7" t="inlineStr">
        <is>
          <t>SiFive</t>
        </is>
      </c>
      <c r="F213" s="8" t="inlineStr">
        <is>
          <t>Hsinchu, Taiwan</t>
        </is>
      </c>
      <c r="G213" s="8" t="n"/>
      <c r="H213" s="14" t="n"/>
      <c r="I213" s="15">
        <f>IF($H213="","",$H213-TODAY())</f>
        <v/>
      </c>
      <c r="J213" s="16" t="inlineStr">
        <is>
          <t>Open posting</t>
        </is>
      </c>
      <c r="K213" s="8" t="n"/>
      <c r="L213" s="17" t="inlineStr">
        <is>
          <t>new</t>
        </is>
      </c>
      <c r="M213" s="18" t="inlineStr"/>
      <c r="N213" s="7" t="inlineStr">
        <is>
          <t>52e062e12c438d4e9dbc9f593f659bb5776e4225</t>
        </is>
      </c>
      <c r="O213" s="14" t="n"/>
      <c r="P213" s="7" t="inlineStr">
        <is>
          <t>workday</t>
        </is>
      </c>
      <c r="Q213" s="8" t="inlineStr"/>
      <c r="R213" s="8" t="n"/>
      <c r="S213" s="19" t="n"/>
      <c r="T213" s="19" t="n"/>
      <c r="U213" s="14" t="n">
        <v>46189</v>
      </c>
      <c r="V213" s="7" t="n"/>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5</v>
      </c>
      <c r="C214" s="12" t="inlineStr">
        <is>
          <t>Unspecified</t>
        </is>
      </c>
      <c r="D214" s="8" t="inlineStr">
        <is>
          <t>Performance Model Engineer</t>
        </is>
      </c>
      <c r="E214" s="7" t="inlineStr">
        <is>
          <t>SiFive</t>
        </is>
      </c>
      <c r="F214" s="8" t="inlineStr">
        <is>
          <t>2 Locations</t>
        </is>
      </c>
      <c r="G214" s="8" t="n"/>
      <c r="H214" s="14" t="n"/>
      <c r="I214" s="15">
        <f>IF($H214="","",$H214-TODAY())</f>
        <v/>
      </c>
      <c r="J214" s="16" t="inlineStr">
        <is>
          <t>Open posting</t>
        </is>
      </c>
      <c r="K214" s="8" t="n"/>
      <c r="L214" s="17" t="inlineStr">
        <is>
          <t>new</t>
        </is>
      </c>
      <c r="M214" s="18" t="inlineStr"/>
      <c r="N214" s="7" t="inlineStr">
        <is>
          <t>f8f1eb6e4e6c03dd69bc97b94a56bb206ce7104e</t>
        </is>
      </c>
      <c r="O214" s="14" t="n"/>
      <c r="P214" s="7" t="inlineStr">
        <is>
          <t>workday</t>
        </is>
      </c>
      <c r="Q214" s="8" t="inlineStr"/>
      <c r="R214" s="8" t="n"/>
      <c r="S214" s="19" t="n"/>
      <c r="T214" s="19" t="n"/>
      <c r="U214" s="14" t="n">
        <v>46189</v>
      </c>
      <c r="V214" s="7" t="n"/>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5</v>
      </c>
      <c r="C215" s="12" t="inlineStr">
        <is>
          <t>Unspecified</t>
        </is>
      </c>
      <c r="D215" s="8" t="inlineStr">
        <is>
          <t>CPU Power-Management Design Engineer</t>
        </is>
      </c>
      <c r="E215" s="7" t="inlineStr">
        <is>
          <t>SiFive</t>
        </is>
      </c>
      <c r="F215" s="8" t="inlineStr">
        <is>
          <t>4 Locations</t>
        </is>
      </c>
      <c r="G215" s="8" t="n"/>
      <c r="H215" s="14" t="n"/>
      <c r="I215" s="15">
        <f>IF($H215="","",$H215-TODAY())</f>
        <v/>
      </c>
      <c r="J215" s="16" t="inlineStr">
        <is>
          <t>Open posting</t>
        </is>
      </c>
      <c r="K215" s="8" t="n"/>
      <c r="L215" s="17" t="inlineStr">
        <is>
          <t>new</t>
        </is>
      </c>
      <c r="M215" s="18" t="inlineStr"/>
      <c r="N215" s="7" t="inlineStr">
        <is>
          <t>01be0edfdf334b6e38606aa4845b8b6dd591d55c</t>
        </is>
      </c>
      <c r="O215" s="14" t="n"/>
      <c r="P215" s="7" t="inlineStr">
        <is>
          <t>workday</t>
        </is>
      </c>
      <c r="Q215" s="8" t="inlineStr"/>
      <c r="R215" s="8" t="n"/>
      <c r="S215" s="19" t="n"/>
      <c r="T215" s="19" t="n"/>
      <c r="U215" s="14" t="n">
        <v>46189</v>
      </c>
      <c r="V215" s="7" t="n"/>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5</v>
      </c>
      <c r="C216" s="12" t="inlineStr">
        <is>
          <t>Unspecified</t>
        </is>
      </c>
      <c r="D216" s="8" t="inlineStr">
        <is>
          <t>Core Performance Architect</t>
        </is>
      </c>
      <c r="E216" s="7" t="inlineStr">
        <is>
          <t>SiFive</t>
        </is>
      </c>
      <c r="F216" s="8" t="inlineStr">
        <is>
          <t>4 Locations</t>
        </is>
      </c>
      <c r="G216" s="8" t="n"/>
      <c r="H216" s="14" t="n"/>
      <c r="I216" s="15">
        <f>IF($H216="","",$H216-TODAY())</f>
        <v/>
      </c>
      <c r="J216" s="16" t="inlineStr">
        <is>
          <t>Open posting</t>
        </is>
      </c>
      <c r="K216" s="8" t="n"/>
      <c r="L216" s="17" t="inlineStr">
        <is>
          <t>new</t>
        </is>
      </c>
      <c r="M216" s="18" t="inlineStr"/>
      <c r="N216" s="7" t="inlineStr">
        <is>
          <t>523bd3138500b8f43f361bd0620a0c525b88bc6c</t>
        </is>
      </c>
      <c r="O216" s="14" t="n"/>
      <c r="P216" s="7" t="inlineStr">
        <is>
          <t>workday</t>
        </is>
      </c>
      <c r="Q216" s="8" t="inlineStr"/>
      <c r="R216" s="8" t="n"/>
      <c r="S216" s="19" t="n"/>
      <c r="T216" s="19" t="n"/>
      <c r="U216" s="14" t="n">
        <v>46189</v>
      </c>
      <c r="V216" s="7" t="n"/>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5</v>
      </c>
      <c r="C217" s="12" t="inlineStr">
        <is>
          <t>Unspecified</t>
        </is>
      </c>
      <c r="D217" s="8" t="inlineStr">
        <is>
          <t>Datacenter System Software Architect</t>
        </is>
      </c>
      <c r="E217" s="7" t="inlineStr">
        <is>
          <t>SiFive</t>
        </is>
      </c>
      <c r="F217" s="8" t="inlineStr">
        <is>
          <t>50 Locations</t>
        </is>
      </c>
      <c r="G217" s="8" t="n"/>
      <c r="H217" s="14" t="n"/>
      <c r="I217" s="15">
        <f>IF($H217="","",$H217-TODAY())</f>
        <v/>
      </c>
      <c r="J217" s="16" t="inlineStr">
        <is>
          <t>Open posting</t>
        </is>
      </c>
      <c r="K217" s="8" t="n"/>
      <c r="L217" s="17" t="inlineStr">
        <is>
          <t>new</t>
        </is>
      </c>
      <c r="M217" s="18" t="inlineStr"/>
      <c r="N217" s="7" t="inlineStr">
        <is>
          <t>211633c3fe42c8c6c787246777a276bf9a0077ed</t>
        </is>
      </c>
      <c r="O217" s="14" t="n"/>
      <c r="P217" s="7" t="inlineStr">
        <is>
          <t>workday</t>
        </is>
      </c>
      <c r="Q217" s="8" t="inlineStr"/>
      <c r="R217" s="8" t="n"/>
      <c r="S217" s="19" t="n"/>
      <c r="T217" s="19" t="n"/>
      <c r="U217" s="14" t="n">
        <v>46189</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5</v>
      </c>
      <c r="C218" s="12" t="inlineStr">
        <is>
          <t>Unspecified</t>
        </is>
      </c>
      <c r="D218" s="8" t="inlineStr">
        <is>
          <t>Debug/Trace/Profiling Design Engineer</t>
        </is>
      </c>
      <c r="E218" s="7" t="inlineStr">
        <is>
          <t>SiFive</t>
        </is>
      </c>
      <c r="F218" s="8" t="inlineStr">
        <is>
          <t>5 Locations</t>
        </is>
      </c>
      <c r="G218" s="8" t="n"/>
      <c r="H218" s="14" t="n"/>
      <c r="I218" s="15">
        <f>IF($H218="","",$H218-TODAY())</f>
        <v/>
      </c>
      <c r="J218" s="16" t="inlineStr">
        <is>
          <t>Open posting</t>
        </is>
      </c>
      <c r="K218" s="8" t="n"/>
      <c r="L218" s="17" t="inlineStr">
        <is>
          <t>new</t>
        </is>
      </c>
      <c r="M218" s="18" t="inlineStr"/>
      <c r="N218" s="7" t="inlineStr">
        <is>
          <t>6ebe910e040c841f2f84ef8250d0088acb2ffa5c</t>
        </is>
      </c>
      <c r="O218" s="14" t="n"/>
      <c r="P218" s="7" t="inlineStr">
        <is>
          <t>workday</t>
        </is>
      </c>
      <c r="Q218" s="8" t="inlineStr"/>
      <c r="R218" s="8" t="n"/>
      <c r="S218" s="19" t="n"/>
      <c r="T218" s="19" t="n"/>
      <c r="U218" s="14" t="n">
        <v>46189</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5</v>
      </c>
      <c r="C219" s="12" t="inlineStr">
        <is>
          <t>Unspecified</t>
        </is>
      </c>
      <c r="D219" s="8" t="inlineStr">
        <is>
          <t>Executive Business Partner / Executive Assistant to the CTO &amp; EVP Engineering</t>
        </is>
      </c>
      <c r="E219" s="7" t="inlineStr">
        <is>
          <t>SiFive</t>
        </is>
      </c>
      <c r="F219" s="8" t="inlineStr">
        <is>
          <t>Santa Clara, California, United States</t>
        </is>
      </c>
      <c r="G219" s="8" t="n"/>
      <c r="H219" s="14" t="n"/>
      <c r="I219" s="15">
        <f>IF($H219="","",$H219-TODAY())</f>
        <v/>
      </c>
      <c r="J219" s="16" t="inlineStr">
        <is>
          <t>Open posting</t>
        </is>
      </c>
      <c r="K219" s="8" t="n"/>
      <c r="L219" s="17" t="inlineStr">
        <is>
          <t>new</t>
        </is>
      </c>
      <c r="M219" s="18" t="inlineStr"/>
      <c r="N219" s="7" t="inlineStr">
        <is>
          <t>c06e39a9c0c2f1a1df1debf0f22630030caaf376</t>
        </is>
      </c>
      <c r="O219" s="14" t="n"/>
      <c r="P219" s="7" t="inlineStr">
        <is>
          <t>workday</t>
        </is>
      </c>
      <c r="Q219" s="8" t="inlineStr"/>
      <c r="R219" s="8" t="n"/>
      <c r="S219" s="19" t="n"/>
      <c r="T219" s="19" t="n"/>
      <c r="U219" s="14" t="n">
        <v>46189</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5</v>
      </c>
      <c r="C220" s="12" t="inlineStr">
        <is>
          <t>Unspecified</t>
        </is>
      </c>
      <c r="D220" s="8" t="inlineStr">
        <is>
          <t>Interconnect Design Engineer</t>
        </is>
      </c>
      <c r="E220" s="7" t="inlineStr">
        <is>
          <t>SiFive</t>
        </is>
      </c>
      <c r="F220" s="8" t="inlineStr">
        <is>
          <t>4 Locations</t>
        </is>
      </c>
      <c r="G220" s="8" t="n"/>
      <c r="H220" s="14" t="n"/>
      <c r="I220" s="15">
        <f>IF($H220="","",$H220-TODAY())</f>
        <v/>
      </c>
      <c r="J220" s="16" t="inlineStr">
        <is>
          <t>Open posting</t>
        </is>
      </c>
      <c r="K220" s="8" t="n"/>
      <c r="L220" s="17" t="inlineStr">
        <is>
          <t>new</t>
        </is>
      </c>
      <c r="M220" s="18" t="inlineStr"/>
      <c r="N220" s="7" t="inlineStr">
        <is>
          <t>51e66a8e7f5759091469198edf2dc34e8366ba1f</t>
        </is>
      </c>
      <c r="O220" s="14" t="n"/>
      <c r="P220" s="7" t="inlineStr">
        <is>
          <t>workday</t>
        </is>
      </c>
      <c r="Q220" s="8" t="inlineStr"/>
      <c r="R220" s="8" t="n"/>
      <c r="S220" s="19" t="n"/>
      <c r="T220" s="19" t="n"/>
      <c r="U220" s="14" t="n">
        <v>46189</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5</v>
      </c>
      <c r="C221" s="12" t="inlineStr">
        <is>
          <t>Unspecified</t>
        </is>
      </c>
      <c r="D221" s="8" t="inlineStr">
        <is>
          <t>Platform Technologies Language &amp; Frontend Design Engineer</t>
        </is>
      </c>
      <c r="E221" s="7" t="inlineStr">
        <is>
          <t>SiFive</t>
        </is>
      </c>
      <c r="F221" s="8" t="inlineStr">
        <is>
          <t>3 Locations</t>
        </is>
      </c>
      <c r="G221" s="8" t="n"/>
      <c r="H221" s="14" t="n"/>
      <c r="I221" s="15">
        <f>IF($H221="","",$H221-TODAY())</f>
        <v/>
      </c>
      <c r="J221" s="16" t="inlineStr">
        <is>
          <t>Open posting</t>
        </is>
      </c>
      <c r="K221" s="8" t="n"/>
      <c r="L221" s="17" t="inlineStr">
        <is>
          <t>new</t>
        </is>
      </c>
      <c r="M221" s="18" t="inlineStr"/>
      <c r="N221" s="7" t="inlineStr">
        <is>
          <t>d47505a1eb925ba945b5916ed63d04c81ade5fb5</t>
        </is>
      </c>
      <c r="O221" s="14" t="n"/>
      <c r="P221" s="7" t="inlineStr">
        <is>
          <t>workday</t>
        </is>
      </c>
      <c r="Q221" s="8" t="inlineStr"/>
      <c r="R221" s="8" t="n"/>
      <c r="S221" s="19" t="n"/>
      <c r="T221" s="19" t="n"/>
      <c r="U221" s="14" t="n">
        <v>46189</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5</v>
      </c>
      <c r="C222" s="12" t="inlineStr">
        <is>
          <t>Unspecified</t>
        </is>
      </c>
      <c r="D222" s="8" t="inlineStr">
        <is>
          <t>Supervisor</t>
        </is>
      </c>
      <c r="E222" s="7" t="inlineStr">
        <is>
          <t>Dyson</t>
        </is>
      </c>
      <c r="F222" s="8" t="inlineStr">
        <is>
          <t>Germany - Nordrhein-Westfalen Remote</t>
        </is>
      </c>
      <c r="G222" s="8" t="n"/>
      <c r="H222" s="14" t="n"/>
      <c r="I222" s="15">
        <f>IF($H222="","",$H222-TODAY())</f>
        <v/>
      </c>
      <c r="J222" s="16" t="inlineStr">
        <is>
          <t>Open posting</t>
        </is>
      </c>
      <c r="K222" s="8" t="n"/>
      <c r="L222" s="17" t="inlineStr">
        <is>
          <t>new</t>
        </is>
      </c>
      <c r="M222" s="18" t="inlineStr"/>
      <c r="N222" s="7" t="inlineStr">
        <is>
          <t>3974bbde04342bc0cf6a68491fec2f912089bd23</t>
        </is>
      </c>
      <c r="O222" s="14" t="n"/>
      <c r="P222" s="7" t="inlineStr">
        <is>
          <t>workday</t>
        </is>
      </c>
      <c r="Q222" s="8" t="inlineStr"/>
      <c r="R222" s="8" t="n"/>
      <c r="S222" s="19" t="n"/>
      <c r="T222" s="19" t="n"/>
      <c r="U222" s="14" t="n">
        <v>46189</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5</v>
      </c>
      <c r="C223" s="12" t="inlineStr">
        <is>
          <t>Unspecified</t>
        </is>
      </c>
      <c r="D223" s="8" t="inlineStr">
        <is>
          <t>Key Account Executive – John Lewis Partnership</t>
        </is>
      </c>
      <c r="E223" s="7" t="inlineStr">
        <is>
          <t>Dyson</t>
        </is>
      </c>
      <c r="F223" s="8" t="inlineStr">
        <is>
          <t>United Kingdom - London Oxford Street Office</t>
        </is>
      </c>
      <c r="G223" s="8" t="n"/>
      <c r="H223" s="14" t="n"/>
      <c r="I223" s="15">
        <f>IF($H223="","",$H223-TODAY())</f>
        <v/>
      </c>
      <c r="J223" s="16" t="inlineStr">
        <is>
          <t>Open posting</t>
        </is>
      </c>
      <c r="K223" s="8" t="n"/>
      <c r="L223" s="17" t="inlineStr">
        <is>
          <t>new</t>
        </is>
      </c>
      <c r="M223" s="18" t="inlineStr"/>
      <c r="N223" s="7" t="inlineStr">
        <is>
          <t>e146e5cdfe7294f431ee56b0374c51a382d4da3b</t>
        </is>
      </c>
      <c r="O223" s="14" t="n"/>
      <c r="P223" s="7" t="inlineStr">
        <is>
          <t>workday</t>
        </is>
      </c>
      <c r="Q223" s="8" t="inlineStr"/>
      <c r="R223" s="8" t="n"/>
      <c r="S223" s="19" t="n"/>
      <c r="T223" s="19" t="n"/>
      <c r="U223" s="14" t="n">
        <v>46189</v>
      </c>
      <c r="V223" s="7" t="n"/>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5</v>
      </c>
      <c r="C224" s="12" t="inlineStr">
        <is>
          <t>Unspecified</t>
        </is>
      </c>
      <c r="D224" s="8" t="inlineStr">
        <is>
          <t>Key Account Executive – Beauty</t>
        </is>
      </c>
      <c r="E224" s="7" t="inlineStr">
        <is>
          <t>Dyson</t>
        </is>
      </c>
      <c r="F224" s="8" t="inlineStr">
        <is>
          <t>United Kingdom - Malmesbury Office</t>
        </is>
      </c>
      <c r="G224" s="8" t="n"/>
      <c r="H224" s="14" t="n"/>
      <c r="I224" s="15">
        <f>IF($H224="","",$H224-TODAY())</f>
        <v/>
      </c>
      <c r="J224" s="16" t="inlineStr">
        <is>
          <t>Open posting</t>
        </is>
      </c>
      <c r="K224" s="8" t="n"/>
      <c r="L224" s="17" t="inlineStr">
        <is>
          <t>new</t>
        </is>
      </c>
      <c r="M224" s="18" t="inlineStr"/>
      <c r="N224" s="7" t="inlineStr">
        <is>
          <t>1bff1c17939273feb80689e826881ba3feb22f41</t>
        </is>
      </c>
      <c r="O224" s="14" t="n"/>
      <c r="P224" s="7" t="inlineStr">
        <is>
          <t>workday</t>
        </is>
      </c>
      <c r="Q224" s="8" t="inlineStr"/>
      <c r="R224" s="8" t="n"/>
      <c r="S224" s="19" t="n"/>
      <c r="T224" s="19" t="n"/>
      <c r="U224" s="14" t="n">
        <v>46189</v>
      </c>
      <c r="V224" s="7" t="n"/>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5</v>
      </c>
      <c r="C225" s="12" t="inlineStr">
        <is>
          <t>Manager/Owner</t>
        </is>
      </c>
      <c r="D225" s="8" t="inlineStr">
        <is>
          <t>Performance Media Manager</t>
        </is>
      </c>
      <c r="E225" s="7" t="inlineStr">
        <is>
          <t>Dyson</t>
        </is>
      </c>
      <c r="F225" s="8" t="inlineStr">
        <is>
          <t>Spain - Madrid Office</t>
        </is>
      </c>
      <c r="G225" s="8" t="n"/>
      <c r="H225" s="14" t="n"/>
      <c r="I225" s="15">
        <f>IF($H225="","",$H225-TODAY())</f>
        <v/>
      </c>
      <c r="J225" s="16" t="inlineStr">
        <is>
          <t>Open posting</t>
        </is>
      </c>
      <c r="K225" s="8" t="n"/>
      <c r="L225" s="17" t="inlineStr">
        <is>
          <t>new</t>
        </is>
      </c>
      <c r="M225" s="18" t="inlineStr"/>
      <c r="N225" s="7" t="inlineStr">
        <is>
          <t>db774248bc8871ae92097d6714e67db0ce352abd</t>
        </is>
      </c>
      <c r="O225" s="14" t="n"/>
      <c r="P225" s="7" t="inlineStr">
        <is>
          <t>workday</t>
        </is>
      </c>
      <c r="Q225" s="8" t="inlineStr"/>
      <c r="R225" s="8" t="n"/>
      <c r="S225" s="19" t="n"/>
      <c r="T225" s="19" t="n"/>
      <c r="U225" s="14" t="n">
        <v>46189</v>
      </c>
      <c r="V225" s="7" t="n"/>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5</v>
      </c>
      <c r="C226" s="12" t="inlineStr">
        <is>
          <t>Unspecified</t>
        </is>
      </c>
      <c r="D226" s="8" t="inlineStr">
        <is>
          <t>Payroll Specialist</t>
        </is>
      </c>
      <c r="E226" s="7" t="inlineStr">
        <is>
          <t>Dyson</t>
        </is>
      </c>
      <c r="F226" s="8" t="inlineStr">
        <is>
          <t>Poland - Krakow Office</t>
        </is>
      </c>
      <c r="G226" s="8" t="n"/>
      <c r="H226" s="14" t="n"/>
      <c r="I226" s="15">
        <f>IF($H226="","",$H226-TODAY())</f>
        <v/>
      </c>
      <c r="J226" s="16" t="inlineStr">
        <is>
          <t>Open posting</t>
        </is>
      </c>
      <c r="K226" s="8" t="n"/>
      <c r="L226" s="17" t="inlineStr">
        <is>
          <t>new</t>
        </is>
      </c>
      <c r="M226" s="18" t="inlineStr"/>
      <c r="N226" s="7" t="inlineStr">
        <is>
          <t>ca37b5519016040b222d04c428a316a8d32a47a7</t>
        </is>
      </c>
      <c r="O226" s="14" t="n"/>
      <c r="P226" s="7" t="inlineStr">
        <is>
          <t>workday</t>
        </is>
      </c>
      <c r="Q226" s="8" t="inlineStr"/>
      <c r="R226" s="8" t="n"/>
      <c r="S226" s="19" t="n"/>
      <c r="T226" s="19" t="n"/>
      <c r="U226" s="14" t="n">
        <v>46189</v>
      </c>
      <c r="V226" s="7" t="n"/>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5</v>
      </c>
      <c r="C227" s="12" t="inlineStr">
        <is>
          <t>Unspecified</t>
        </is>
      </c>
      <c r="D227" s="8" t="inlineStr">
        <is>
          <t>Friseur.in/Hair Stylist.in</t>
        </is>
      </c>
      <c r="E227" s="7" t="inlineStr">
        <is>
          <t>Dyson</t>
        </is>
      </c>
      <c r="F227" s="8" t="inlineStr">
        <is>
          <t>Germany - Bayern Remote</t>
        </is>
      </c>
      <c r="G227" s="8" t="n"/>
      <c r="H227" s="14" t="n"/>
      <c r="I227" s="15">
        <f>IF($H227="","",$H227-TODAY())</f>
        <v/>
      </c>
      <c r="J227" s="16" t="inlineStr">
        <is>
          <t>Open posting</t>
        </is>
      </c>
      <c r="K227" s="8" t="n"/>
      <c r="L227" s="17" t="inlineStr">
        <is>
          <t>new</t>
        </is>
      </c>
      <c r="M227" s="18" t="inlineStr"/>
      <c r="N227" s="7" t="inlineStr">
        <is>
          <t>0205f8a4602143043b72e52ef7c3c944c71db833</t>
        </is>
      </c>
      <c r="O227" s="14" t="n"/>
      <c r="P227" s="7" t="inlineStr">
        <is>
          <t>workday</t>
        </is>
      </c>
      <c r="Q227" s="8" t="inlineStr"/>
      <c r="R227" s="8" t="n"/>
      <c r="S227" s="19" t="n"/>
      <c r="T227" s="19" t="n"/>
      <c r="U227" s="14" t="n">
        <v>46189</v>
      </c>
      <c r="V227" s="7" t="n"/>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5</v>
      </c>
      <c r="C228" s="12" t="inlineStr">
        <is>
          <t>Manager/Owner</t>
        </is>
      </c>
      <c r="D228" s="8" t="inlineStr">
        <is>
          <t>Store Manager - Ankara Panora AVM</t>
        </is>
      </c>
      <c r="E228" s="7" t="inlineStr">
        <is>
          <t>Dyson</t>
        </is>
      </c>
      <c r="F228" s="8" t="inlineStr">
        <is>
          <t>Turkey - Ankara Panora Demo Zone</t>
        </is>
      </c>
      <c r="G228" s="8" t="n"/>
      <c r="H228" s="14" t="n"/>
      <c r="I228" s="15">
        <f>IF($H228="","",$H228-TODAY())</f>
        <v/>
      </c>
      <c r="J228" s="16" t="inlineStr">
        <is>
          <t>Open posting</t>
        </is>
      </c>
      <c r="K228" s="8" t="n"/>
      <c r="L228" s="17" t="inlineStr">
        <is>
          <t>new</t>
        </is>
      </c>
      <c r="M228" s="18" t="inlineStr"/>
      <c r="N228" s="7" t="inlineStr">
        <is>
          <t>c7ba09f8c7dd091d44770fed480f83890b0ef3e1</t>
        </is>
      </c>
      <c r="O228" s="14" t="n"/>
      <c r="P228" s="7" t="inlineStr">
        <is>
          <t>workday</t>
        </is>
      </c>
      <c r="Q228" s="8" t="inlineStr"/>
      <c r="R228" s="8" t="n"/>
      <c r="S228" s="19" t="n"/>
      <c r="T228" s="19" t="n"/>
      <c r="U228" s="14" t="n">
        <v>46189</v>
      </c>
      <c r="V228" s="7" t="n"/>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5</v>
      </c>
      <c r="C229" s="12" t="inlineStr">
        <is>
          <t>Junior</t>
        </is>
      </c>
      <c r="D229" s="8" t="inlineStr">
        <is>
          <t>Verkaufsberater.in/Sales Associate</t>
        </is>
      </c>
      <c r="E229" s="7" t="inlineStr">
        <is>
          <t>Dyson</t>
        </is>
      </c>
      <c r="F229" s="8" t="inlineStr">
        <is>
          <t>Germany - Baden-Württemberg Remote</t>
        </is>
      </c>
      <c r="G229" s="8" t="n"/>
      <c r="H229" s="14" t="n"/>
      <c r="I229" s="15">
        <f>IF($H229="","",$H229-TODAY())</f>
        <v/>
      </c>
      <c r="J229" s="16" t="inlineStr">
        <is>
          <t>Open posting</t>
        </is>
      </c>
      <c r="K229" s="8" t="n"/>
      <c r="L229" s="17" t="inlineStr">
        <is>
          <t>new</t>
        </is>
      </c>
      <c r="M229" s="18" t="inlineStr"/>
      <c r="N229" s="7" t="inlineStr">
        <is>
          <t>224a06a66d96e370b95db53f3b396f0ed6b95d7c</t>
        </is>
      </c>
      <c r="O229" s="14" t="n"/>
      <c r="P229" s="7" t="inlineStr">
        <is>
          <t>workday</t>
        </is>
      </c>
      <c r="Q229" s="8" t="inlineStr"/>
      <c r="R229" s="8" t="n"/>
      <c r="S229" s="19" t="n"/>
      <c r="T229" s="19" t="n"/>
      <c r="U229" s="14" t="n">
        <v>46189</v>
      </c>
      <c r="V229" s="7" t="n"/>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5</v>
      </c>
      <c r="C230" s="12" t="inlineStr">
        <is>
          <t>Junior</t>
        </is>
      </c>
      <c r="D230" s="8" t="inlineStr">
        <is>
          <t>Verkaufsberater.in/Sales Associate</t>
        </is>
      </c>
      <c r="E230" s="7" t="inlineStr">
        <is>
          <t>Dyson</t>
        </is>
      </c>
      <c r="F230" s="8" t="inlineStr">
        <is>
          <t>Germany - Nordrhein-Westfalen Remote</t>
        </is>
      </c>
      <c r="G230" s="8" t="n"/>
      <c r="H230" s="14" t="n"/>
      <c r="I230" s="15">
        <f>IF($H230="","",$H230-TODAY())</f>
        <v/>
      </c>
      <c r="J230" s="16" t="inlineStr">
        <is>
          <t>Open posting</t>
        </is>
      </c>
      <c r="K230" s="8" t="n"/>
      <c r="L230" s="17" t="inlineStr">
        <is>
          <t>new</t>
        </is>
      </c>
      <c r="M230" s="18" t="inlineStr"/>
      <c r="N230" s="7" t="inlineStr">
        <is>
          <t>43f49f38e15e463aaabd60b3a5a6142a96d237a4</t>
        </is>
      </c>
      <c r="O230" s="14" t="n"/>
      <c r="P230" s="7" t="inlineStr">
        <is>
          <t>workday</t>
        </is>
      </c>
      <c r="Q230" s="8" t="inlineStr"/>
      <c r="R230" s="8" t="n"/>
      <c r="S230" s="19" t="n"/>
      <c r="T230" s="19" t="n"/>
      <c r="U230" s="14" t="n">
        <v>46189</v>
      </c>
      <c r="V230" s="7" t="n"/>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5</v>
      </c>
      <c r="C231" s="12" t="inlineStr">
        <is>
          <t>Junior</t>
        </is>
      </c>
      <c r="D231" s="8" t="inlineStr">
        <is>
          <t>Verkaufsberater:in/Sales Associate</t>
        </is>
      </c>
      <c r="E231" s="7" t="inlineStr">
        <is>
          <t>Dyson</t>
        </is>
      </c>
      <c r="F231" s="8" t="inlineStr">
        <is>
          <t>Germany - Nordrhein-Westfalen Remote</t>
        </is>
      </c>
      <c r="G231" s="8" t="n"/>
      <c r="H231" s="14" t="n"/>
      <c r="I231" s="15">
        <f>IF($H231="","",$H231-TODAY())</f>
        <v/>
      </c>
      <c r="J231" s="16" t="inlineStr">
        <is>
          <t>Open posting</t>
        </is>
      </c>
      <c r="K231" s="8" t="n"/>
      <c r="L231" s="17" t="inlineStr">
        <is>
          <t>new</t>
        </is>
      </c>
      <c r="M231" s="18" t="inlineStr"/>
      <c r="N231" s="7" t="inlineStr">
        <is>
          <t>c89cd08b20072b8c07e650d37bdb30fa2d118d37</t>
        </is>
      </c>
      <c r="O231" s="14" t="n"/>
      <c r="P231" s="7" t="inlineStr">
        <is>
          <t>workday</t>
        </is>
      </c>
      <c r="Q231" s="8" t="inlineStr"/>
      <c r="R231" s="8" t="n"/>
      <c r="S231" s="19" t="n"/>
      <c r="T231" s="19" t="n"/>
      <c r="U231" s="14" t="n">
        <v>46189</v>
      </c>
      <c r="V231" s="7" t="n"/>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5</v>
      </c>
      <c r="C232" s="12" t="inlineStr">
        <is>
          <t>Manager/Owner</t>
        </is>
      </c>
      <c r="D232" s="8" t="inlineStr">
        <is>
          <t>Zonal Sales Manager</t>
        </is>
      </c>
      <c r="E232" s="7" t="inlineStr">
        <is>
          <t>Dyson</t>
        </is>
      </c>
      <c r="F232" s="8" t="inlineStr">
        <is>
          <t>India - Lucknow Sales Office</t>
        </is>
      </c>
      <c r="G232" s="8" t="n"/>
      <c r="H232" s="14" t="n"/>
      <c r="I232" s="15">
        <f>IF($H232="","",$H232-TODAY())</f>
        <v/>
      </c>
      <c r="J232" s="16" t="inlineStr">
        <is>
          <t>Open posting</t>
        </is>
      </c>
      <c r="K232" s="8" t="n"/>
      <c r="L232" s="17" t="inlineStr">
        <is>
          <t>new</t>
        </is>
      </c>
      <c r="M232" s="18" t="inlineStr"/>
      <c r="N232" s="7" t="inlineStr">
        <is>
          <t>6eeb0e9299d3706f37a6752eb5bea973df8236b7</t>
        </is>
      </c>
      <c r="O232" s="14" t="n"/>
      <c r="P232" s="7" t="inlineStr">
        <is>
          <t>workday</t>
        </is>
      </c>
      <c r="Q232" s="8" t="inlineStr"/>
      <c r="R232" s="8" t="n"/>
      <c r="S232" s="19" t="n"/>
      <c r="T232" s="19" t="n"/>
      <c r="U232" s="14" t="n">
        <v>46189</v>
      </c>
      <c r="V232" s="7" t="n"/>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5</v>
      </c>
      <c r="C233" s="12" t="inlineStr">
        <is>
          <t>Unspecified</t>
        </is>
      </c>
      <c r="D233" s="8" t="inlineStr">
        <is>
          <t>Demand Planner</t>
        </is>
      </c>
      <c r="E233" s="7" t="inlineStr">
        <is>
          <t>Dyson</t>
        </is>
      </c>
      <c r="F233" s="8" t="inlineStr">
        <is>
          <t>Singapore - Technology Centre</t>
        </is>
      </c>
      <c r="G233" s="8" t="n"/>
      <c r="H233" s="14" t="n"/>
      <c r="I233" s="15">
        <f>IF($H233="","",$H233-TODAY())</f>
        <v/>
      </c>
      <c r="J233" s="16" t="inlineStr">
        <is>
          <t>Open posting</t>
        </is>
      </c>
      <c r="K233" s="8" t="n"/>
      <c r="L233" s="17" t="inlineStr">
        <is>
          <t>new</t>
        </is>
      </c>
      <c r="M233" s="18" t="inlineStr"/>
      <c r="N233" s="7" t="inlineStr">
        <is>
          <t>47a9aee030988daf3fe46ef4a10b7d915d0cff08</t>
        </is>
      </c>
      <c r="O233" s="14" t="n"/>
      <c r="P233" s="7" t="inlineStr">
        <is>
          <t>workday</t>
        </is>
      </c>
      <c r="Q233" s="8" t="inlineStr"/>
      <c r="R233" s="8" t="n"/>
      <c r="S233" s="19" t="n"/>
      <c r="T233" s="19" t="n"/>
      <c r="U233" s="14" t="n">
        <v>46189</v>
      </c>
      <c r="V233" s="7" t="n"/>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5</v>
      </c>
      <c r="C234" s="12" t="inlineStr">
        <is>
          <t>Unspecified</t>
        </is>
      </c>
      <c r="D234" s="8" t="inlineStr">
        <is>
          <t>Sales Order Processing, Analyst / Specialist</t>
        </is>
      </c>
      <c r="E234" s="7" t="inlineStr">
        <is>
          <t>Dyson</t>
        </is>
      </c>
      <c r="F234" s="8" t="inlineStr">
        <is>
          <t>China - Dalian Office</t>
        </is>
      </c>
      <c r="G234" s="8" t="n"/>
      <c r="H234" s="14" t="n"/>
      <c r="I234" s="15">
        <f>IF($H234="","",$H234-TODAY())</f>
        <v/>
      </c>
      <c r="J234" s="16" t="inlineStr">
        <is>
          <t>Open posting</t>
        </is>
      </c>
      <c r="K234" s="8" t="n"/>
      <c r="L234" s="17" t="inlineStr">
        <is>
          <t>new</t>
        </is>
      </c>
      <c r="M234" s="18" t="inlineStr"/>
      <c r="N234" s="7" t="inlineStr">
        <is>
          <t>30f16ec3fc1261d911e1b5decf5e1c96fa7ae2c1</t>
        </is>
      </c>
      <c r="O234" s="14" t="n"/>
      <c r="P234" s="7" t="inlineStr">
        <is>
          <t>workday</t>
        </is>
      </c>
      <c r="Q234" s="8" t="inlineStr"/>
      <c r="R234" s="8" t="n"/>
      <c r="S234" s="19" t="n"/>
      <c r="T234" s="19" t="n"/>
      <c r="U234" s="14" t="n">
        <v>46189</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5</v>
      </c>
      <c r="C235" s="12" t="inlineStr">
        <is>
          <t>Unspecified</t>
        </is>
      </c>
      <c r="D235" s="8" t="inlineStr">
        <is>
          <t>Sales Order Processing Analyst</t>
        </is>
      </c>
      <c r="E235" s="7" t="inlineStr">
        <is>
          <t>Dyson</t>
        </is>
      </c>
      <c r="F235" s="8" t="inlineStr">
        <is>
          <t>China - Dalian Office</t>
        </is>
      </c>
      <c r="G235" s="8" t="n"/>
      <c r="H235" s="14" t="n"/>
      <c r="I235" s="15">
        <f>IF($H235="","",$H235-TODAY())</f>
        <v/>
      </c>
      <c r="J235" s="16" t="inlineStr">
        <is>
          <t>Open posting</t>
        </is>
      </c>
      <c r="K235" s="8" t="n"/>
      <c r="L235" s="17" t="inlineStr">
        <is>
          <t>new</t>
        </is>
      </c>
      <c r="M235" s="18" t="inlineStr"/>
      <c r="N235" s="7" t="inlineStr">
        <is>
          <t>043310318044c61660f9569087c4a753b00d7717</t>
        </is>
      </c>
      <c r="O235" s="14" t="n"/>
      <c r="P235" s="7" t="inlineStr">
        <is>
          <t>workday</t>
        </is>
      </c>
      <c r="Q235" s="8" t="inlineStr"/>
      <c r="R235" s="8" t="n"/>
      <c r="S235" s="19" t="n"/>
      <c r="T235" s="19" t="n"/>
      <c r="U235" s="14" t="n">
        <v>46189</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5</v>
      </c>
      <c r="C236" s="12" t="inlineStr">
        <is>
          <t>Manager/Owner</t>
        </is>
      </c>
      <c r="D236" s="8" t="inlineStr">
        <is>
          <t>Finance Manager – Cost of Acquisition</t>
        </is>
      </c>
      <c r="E236" s="7" t="inlineStr">
        <is>
          <t>Dyson</t>
        </is>
      </c>
      <c r="F236" s="8" t="inlineStr">
        <is>
          <t>Singapore - St James Power Station Headquarters</t>
        </is>
      </c>
      <c r="G236" s="8" t="n"/>
      <c r="H236" s="14" t="n"/>
      <c r="I236" s="15">
        <f>IF($H236="","",$H236-TODAY())</f>
        <v/>
      </c>
      <c r="J236" s="16" t="inlineStr">
        <is>
          <t>Open posting</t>
        </is>
      </c>
      <c r="K236" s="8" t="n"/>
      <c r="L236" s="17" t="inlineStr">
        <is>
          <t>new</t>
        </is>
      </c>
      <c r="M236" s="18" t="inlineStr"/>
      <c r="N236" s="7" t="inlineStr">
        <is>
          <t>a29abb220465bf88e8fea045d4e98a4e3a65f894</t>
        </is>
      </c>
      <c r="O236" s="14" t="n"/>
      <c r="P236" s="7" t="inlineStr">
        <is>
          <t>workday</t>
        </is>
      </c>
      <c r="Q236" s="8" t="inlineStr"/>
      <c r="R236" s="8" t="n"/>
      <c r="S236" s="19" t="n"/>
      <c r="T236" s="19" t="n"/>
      <c r="U236" s="14" t="n">
        <v>46189</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5</v>
      </c>
      <c r="C237" s="12" t="inlineStr">
        <is>
          <t>Junior</t>
        </is>
      </c>
      <c r="D237" s="8" t="inlineStr">
        <is>
          <t>Verkaufsberater.in/Sales Associate</t>
        </is>
      </c>
      <c r="E237" s="7" t="inlineStr">
        <is>
          <t>Dyson</t>
        </is>
      </c>
      <c r="F237" s="8" t="inlineStr">
        <is>
          <t>Germany - Rheinland-Pfalz Remote</t>
        </is>
      </c>
      <c r="G237" s="8" t="n"/>
      <c r="H237" s="14" t="n"/>
      <c r="I237" s="15">
        <f>IF($H237="","",$H237-TODAY())</f>
        <v/>
      </c>
      <c r="J237" s="16" t="inlineStr">
        <is>
          <t>Open posting</t>
        </is>
      </c>
      <c r="K237" s="8" t="n"/>
      <c r="L237" s="17" t="inlineStr">
        <is>
          <t>new</t>
        </is>
      </c>
      <c r="M237" s="18" t="inlineStr"/>
      <c r="N237" s="7" t="inlineStr">
        <is>
          <t>89c298d1875ab66b6224cf4011615f0940080623</t>
        </is>
      </c>
      <c r="O237" s="14" t="n"/>
      <c r="P237" s="7" t="inlineStr">
        <is>
          <t>workday</t>
        </is>
      </c>
      <c r="Q237" s="8" t="inlineStr"/>
      <c r="R237" s="8" t="n"/>
      <c r="S237" s="19" t="n"/>
      <c r="T237" s="19" t="n"/>
      <c r="U237" s="14" t="n">
        <v>46189</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5</v>
      </c>
      <c r="C238" s="12" t="inlineStr">
        <is>
          <t>Junior</t>
        </is>
      </c>
      <c r="D238" s="8" t="inlineStr">
        <is>
          <t>Verkaufsberater.in/Sales Associate</t>
        </is>
      </c>
      <c r="E238" s="7" t="inlineStr">
        <is>
          <t>Dyson</t>
        </is>
      </c>
      <c r="F238" s="8" t="inlineStr">
        <is>
          <t>Germany - Frankfurt MyZeil Demo Store</t>
        </is>
      </c>
      <c r="G238" s="8" t="n"/>
      <c r="H238" s="14" t="n"/>
      <c r="I238" s="15">
        <f>IF($H238="","",$H238-TODAY())</f>
        <v/>
      </c>
      <c r="J238" s="16" t="inlineStr">
        <is>
          <t>Open posting</t>
        </is>
      </c>
      <c r="K238" s="8" t="n"/>
      <c r="L238" s="17" t="inlineStr">
        <is>
          <t>new</t>
        </is>
      </c>
      <c r="M238" s="18" t="inlineStr"/>
      <c r="N238" s="7" t="inlineStr">
        <is>
          <t>be70a8942e85a48c764b7ff8021aff8944357bce</t>
        </is>
      </c>
      <c r="O238" s="14" t="n"/>
      <c r="P238" s="7" t="inlineStr">
        <is>
          <t>workday</t>
        </is>
      </c>
      <c r="Q238" s="8" t="inlineStr"/>
      <c r="R238" s="8" t="n"/>
      <c r="S238" s="19" t="n"/>
      <c r="T238" s="19" t="n"/>
      <c r="U238" s="14" t="n">
        <v>46189</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5</v>
      </c>
      <c r="C239" s="12" t="inlineStr">
        <is>
          <t>Manager/Owner</t>
        </is>
      </c>
      <c r="D239" s="8" t="inlineStr">
        <is>
          <t>Sales Planning Manager</t>
        </is>
      </c>
      <c r="E239" s="7" t="inlineStr">
        <is>
          <t>Dyson</t>
        </is>
      </c>
      <c r="F239" s="8" t="inlineStr">
        <is>
          <t>Turkey - Istanbul Office</t>
        </is>
      </c>
      <c r="G239" s="8" t="n"/>
      <c r="H239" s="14" t="n"/>
      <c r="I239" s="15">
        <f>IF($H239="","",$H239-TODAY())</f>
        <v/>
      </c>
      <c r="J239" s="16" t="inlineStr">
        <is>
          <t>Open posting</t>
        </is>
      </c>
      <c r="K239" s="8" t="n"/>
      <c r="L239" s="17" t="inlineStr">
        <is>
          <t>new</t>
        </is>
      </c>
      <c r="M239" s="18" t="inlineStr"/>
      <c r="N239" s="7" t="inlineStr">
        <is>
          <t>33d4fb1ee1ae5a2f8daa46d969914531b2594bbb</t>
        </is>
      </c>
      <c r="O239" s="14" t="n"/>
      <c r="P239" s="7" t="inlineStr">
        <is>
          <t>workday</t>
        </is>
      </c>
      <c r="Q239" s="8" t="inlineStr"/>
      <c r="R239" s="8" t="n"/>
      <c r="S239" s="19" t="n"/>
      <c r="T239" s="19" t="n"/>
      <c r="U239" s="14" t="n">
        <v>46189</v>
      </c>
      <c r="V239" s="7" t="n"/>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5</v>
      </c>
      <c r="C240" s="12" t="inlineStr">
        <is>
          <t>Unspecified</t>
        </is>
      </c>
      <c r="D240" s="8" t="inlineStr">
        <is>
          <t>Dyson Expert - Ankara Panora AVM (Part Time)</t>
        </is>
      </c>
      <c r="E240" s="7" t="inlineStr">
        <is>
          <t>Dyson</t>
        </is>
      </c>
      <c r="F240" s="8" t="inlineStr">
        <is>
          <t>Turkey - Ankara Panora Demo Zone</t>
        </is>
      </c>
      <c r="G240" s="8" t="n"/>
      <c r="H240" s="14" t="n"/>
      <c r="I240" s="15">
        <f>IF($H240="","",$H240-TODAY())</f>
        <v/>
      </c>
      <c r="J240" s="16" t="inlineStr">
        <is>
          <t>Open posting</t>
        </is>
      </c>
      <c r="K240" s="8" t="n"/>
      <c r="L240" s="17" t="inlineStr">
        <is>
          <t>new</t>
        </is>
      </c>
      <c r="M240" s="18" t="inlineStr"/>
      <c r="N240" s="7" t="inlineStr">
        <is>
          <t>f5b9be7512e3432f82157d55c7dc285de3522885</t>
        </is>
      </c>
      <c r="O240" s="14" t="n"/>
      <c r="P240" s="7" t="inlineStr">
        <is>
          <t>workday</t>
        </is>
      </c>
      <c r="Q240" s="8" t="inlineStr"/>
      <c r="R240" s="8" t="n"/>
      <c r="S240" s="19" t="n"/>
      <c r="T240" s="19" t="n"/>
      <c r="U240" s="14" t="n">
        <v>46189</v>
      </c>
      <c r="V240" s="7" t="n"/>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5</v>
      </c>
      <c r="C241" s="12" t="inlineStr">
        <is>
          <t>Manager/Owner</t>
        </is>
      </c>
      <c r="D241" s="8" t="inlineStr">
        <is>
          <t>Finance Manager (Retailer Accounts)</t>
        </is>
      </c>
      <c r="E241" s="7" t="inlineStr">
        <is>
          <t>Dyson</t>
        </is>
      </c>
      <c r="F241" s="8" t="inlineStr">
        <is>
          <t>Germany - Cologne Office</t>
        </is>
      </c>
      <c r="G241" s="8" t="n"/>
      <c r="H241" s="14" t="n"/>
      <c r="I241" s="15">
        <f>IF($H241="","",$H241-TODAY())</f>
        <v/>
      </c>
      <c r="J241" s="16" t="inlineStr">
        <is>
          <t>Open posting</t>
        </is>
      </c>
      <c r="K241" s="8" t="n"/>
      <c r="L241" s="17" t="inlineStr">
        <is>
          <t>new</t>
        </is>
      </c>
      <c r="M241" s="18" t="inlineStr"/>
      <c r="N241" s="7" t="inlineStr">
        <is>
          <t>724d8e79244373ced66a9bdeb713a6284873ec36</t>
        </is>
      </c>
      <c r="O241" s="14" t="n"/>
      <c r="P241" s="7" t="inlineStr">
        <is>
          <t>workday</t>
        </is>
      </c>
      <c r="Q241" s="8" t="inlineStr"/>
      <c r="R241" s="8" t="n"/>
      <c r="S241" s="19" t="n"/>
      <c r="T241" s="19" t="n"/>
      <c r="U241" s="14" t="n">
        <v>46189</v>
      </c>
      <c r="V241" s="7" t="n"/>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5</v>
      </c>
      <c r="C242" s="12" t="inlineStr">
        <is>
          <t>Junior</t>
        </is>
      </c>
      <c r="D242" s="8" t="inlineStr">
        <is>
          <t>Verkaufsberater.in/Sales Associate</t>
        </is>
      </c>
      <c r="E242" s="7" t="inlineStr">
        <is>
          <t>Dyson</t>
        </is>
      </c>
      <c r="F242" s="8" t="inlineStr">
        <is>
          <t>Germany - Niedersachsen Remote</t>
        </is>
      </c>
      <c r="G242" s="8" t="n"/>
      <c r="H242" s="14" t="n"/>
      <c r="I242" s="15">
        <f>IF($H242="","",$H242-TODAY())</f>
        <v/>
      </c>
      <c r="J242" s="16" t="inlineStr">
        <is>
          <t>Open posting</t>
        </is>
      </c>
      <c r="K242" s="8" t="n"/>
      <c r="L242" s="17" t="inlineStr">
        <is>
          <t>new</t>
        </is>
      </c>
      <c r="M242" s="18" t="inlineStr"/>
      <c r="N242" s="7" t="inlineStr">
        <is>
          <t>df6ac04eb1db12b70333c68cae5c8688e2e8f393</t>
        </is>
      </c>
      <c r="O242" s="14" t="n"/>
      <c r="P242" s="7" t="inlineStr">
        <is>
          <t>workday</t>
        </is>
      </c>
      <c r="Q242" s="8" t="inlineStr"/>
      <c r="R242" s="8" t="n"/>
      <c r="S242" s="19" t="n"/>
      <c r="T242" s="19" t="n"/>
      <c r="U242" s="14" t="n">
        <v>46189</v>
      </c>
      <c r="V242" s="7" t="n"/>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5</v>
      </c>
      <c r="C243" s="12" t="inlineStr">
        <is>
          <t>Graduate/Entry</t>
        </is>
      </c>
      <c r="D243" s="8" t="inlineStr">
        <is>
          <t>Graduate Electronics Hardware Engineer (Malaysia)</t>
        </is>
      </c>
      <c r="E243" s="7" t="inlineStr">
        <is>
          <t>Dyson</t>
        </is>
      </c>
      <c r="F243" s="8" t="inlineStr">
        <is>
          <t>Malaysia - Global Development Campus, Johor Bahru</t>
        </is>
      </c>
      <c r="G243" s="8" t="n"/>
      <c r="H243" s="14" t="n"/>
      <c r="I243" s="15">
        <f>IF($H243="","",$H243-TODAY())</f>
        <v/>
      </c>
      <c r="J243" s="16" t="inlineStr">
        <is>
          <t>Open posting</t>
        </is>
      </c>
      <c r="K243" s="8" t="n"/>
      <c r="L243" s="17" t="inlineStr">
        <is>
          <t>new</t>
        </is>
      </c>
      <c r="M243" s="18" t="inlineStr"/>
      <c r="N243" s="7" t="inlineStr">
        <is>
          <t>83cf76148ddd1865c11ec92e011eec355048e109</t>
        </is>
      </c>
      <c r="O243" s="14" t="n"/>
      <c r="P243" s="7" t="inlineStr">
        <is>
          <t>workday</t>
        </is>
      </c>
      <c r="Q243" s="8" t="inlineStr"/>
      <c r="R243" s="8" t="n"/>
      <c r="S243" s="19" t="n"/>
      <c r="T243" s="19" t="n"/>
      <c r="U243" s="14" t="n">
        <v>46189</v>
      </c>
      <c r="V243" s="7" t="n"/>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5</v>
      </c>
      <c r="C244" s="12" t="inlineStr">
        <is>
          <t>Graduate/Entry</t>
        </is>
      </c>
      <c r="D244" s="8" t="inlineStr">
        <is>
          <t>Global Supply Chain Graduate</t>
        </is>
      </c>
      <c r="E244" s="7" t="inlineStr">
        <is>
          <t>Dyson</t>
        </is>
      </c>
      <c r="F244" s="8" t="inlineStr">
        <is>
          <t>Singapore - Technology Centre</t>
        </is>
      </c>
      <c r="G244" s="8" t="n"/>
      <c r="H244" s="14" t="n"/>
      <c r="I244" s="15">
        <f>IF($H244="","",$H244-TODAY())</f>
        <v/>
      </c>
      <c r="J244" s="16" t="inlineStr">
        <is>
          <t>Open posting</t>
        </is>
      </c>
      <c r="K244" s="8" t="n"/>
      <c r="L244" s="17" t="inlineStr">
        <is>
          <t>new</t>
        </is>
      </c>
      <c r="M244" s="18" t="inlineStr"/>
      <c r="N244" s="7" t="inlineStr">
        <is>
          <t>289e4ea9251fcca9ce29aa4a3bfea6fb0a78326f</t>
        </is>
      </c>
      <c r="O244" s="14" t="n"/>
      <c r="P244" s="7" t="inlineStr">
        <is>
          <t>workday</t>
        </is>
      </c>
      <c r="Q244" s="8" t="inlineStr"/>
      <c r="R244" s="8" t="n"/>
      <c r="S244" s="19" t="n"/>
      <c r="T244" s="19" t="n"/>
      <c r="U244" s="14" t="n">
        <v>46189</v>
      </c>
      <c r="V244" s="7" t="n"/>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5</v>
      </c>
      <c r="C245" s="12" t="inlineStr">
        <is>
          <t>Graduate/Entry</t>
        </is>
      </c>
      <c r="D245" s="8" t="inlineStr">
        <is>
          <t>Graduate Packaging Engineer</t>
        </is>
      </c>
      <c r="E245" s="7" t="inlineStr">
        <is>
          <t>Dyson</t>
        </is>
      </c>
      <c r="F245" s="8" t="inlineStr">
        <is>
          <t>Malaysia - Global Development Campus, Johor Bahru</t>
        </is>
      </c>
      <c r="G245" s="8" t="n"/>
      <c r="H245" s="14" t="n"/>
      <c r="I245" s="15">
        <f>IF($H245="","",$H245-TODAY())</f>
        <v/>
      </c>
      <c r="J245" s="16" t="inlineStr">
        <is>
          <t>Open posting</t>
        </is>
      </c>
      <c r="K245" s="8" t="n"/>
      <c r="L245" s="17" t="inlineStr">
        <is>
          <t>new</t>
        </is>
      </c>
      <c r="M245" s="18" t="inlineStr"/>
      <c r="N245" s="7" t="inlineStr">
        <is>
          <t>c08376cd990660cefb9ea4758b31f92c17b40ba9</t>
        </is>
      </c>
      <c r="O245" s="14" t="n"/>
      <c r="P245" s="7" t="inlineStr">
        <is>
          <t>workday</t>
        </is>
      </c>
      <c r="Q245" s="8" t="inlineStr"/>
      <c r="R245" s="8" t="n"/>
      <c r="S245" s="19" t="n"/>
      <c r="T245" s="19" t="n"/>
      <c r="U245" s="14" t="n">
        <v>46189</v>
      </c>
      <c r="V245" s="7" t="n"/>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5</v>
      </c>
      <c r="C246" s="12" t="inlineStr">
        <is>
          <t>Graduate/Entry</t>
        </is>
      </c>
      <c r="D246" s="8" t="inlineStr">
        <is>
          <t>Graduate Electronics Engineer</t>
        </is>
      </c>
      <c r="E246" s="7" t="inlineStr">
        <is>
          <t>Dyson</t>
        </is>
      </c>
      <c r="F246" s="8" t="inlineStr">
        <is>
          <t>Malaysia - Global Development Campus, Johor Bahru</t>
        </is>
      </c>
      <c r="G246" s="8" t="n"/>
      <c r="H246" s="14" t="n"/>
      <c r="I246" s="15">
        <f>IF($H246="","",$H246-TODAY())</f>
        <v/>
      </c>
      <c r="J246" s="16" t="inlineStr">
        <is>
          <t>Open posting</t>
        </is>
      </c>
      <c r="K246" s="8" t="n"/>
      <c r="L246" s="17" t="inlineStr">
        <is>
          <t>new</t>
        </is>
      </c>
      <c r="M246" s="18" t="inlineStr"/>
      <c r="N246" s="7" t="inlineStr">
        <is>
          <t>ff2edf60aa933128a8e1fba3c51b1cea732d0173</t>
        </is>
      </c>
      <c r="O246" s="14" t="n"/>
      <c r="P246" s="7" t="inlineStr">
        <is>
          <t>workday</t>
        </is>
      </c>
      <c r="Q246" s="8" t="inlineStr"/>
      <c r="R246" s="8" t="n"/>
      <c r="S246" s="19" t="n"/>
      <c r="T246" s="19" t="n"/>
      <c r="U246" s="14" t="n">
        <v>46189</v>
      </c>
      <c r="V246" s="7" t="n"/>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5</v>
      </c>
      <c r="C247" s="12" t="inlineStr">
        <is>
          <t>Unspecified</t>
        </is>
      </c>
      <c r="D247" s="8" t="inlineStr">
        <is>
          <t>Design Engineer</t>
        </is>
      </c>
      <c r="E247" s="7" t="inlineStr">
        <is>
          <t>Dyson</t>
        </is>
      </c>
      <c r="F247" s="8" t="inlineStr">
        <is>
          <t>Singapore - Technology Centre</t>
        </is>
      </c>
      <c r="G247" s="8" t="n"/>
      <c r="H247" s="14" t="n"/>
      <c r="I247" s="15">
        <f>IF($H247="","",$H247-TODAY())</f>
        <v/>
      </c>
      <c r="J247" s="16" t="inlineStr">
        <is>
          <t>Open posting</t>
        </is>
      </c>
      <c r="K247" s="8" t="n"/>
      <c r="L247" s="17" t="inlineStr">
        <is>
          <t>new</t>
        </is>
      </c>
      <c r="M247" s="18" t="inlineStr"/>
      <c r="N247" s="7" t="inlineStr">
        <is>
          <t>1985b9f505a1d9f64ab1da8845e24c6de5d0c9e0</t>
        </is>
      </c>
      <c r="O247" s="14" t="n"/>
      <c r="P247" s="7" t="inlineStr">
        <is>
          <t>workday</t>
        </is>
      </c>
      <c r="Q247" s="8" t="inlineStr"/>
      <c r="R247" s="8" t="n"/>
      <c r="S247" s="19" t="n"/>
      <c r="T247" s="19" t="n"/>
      <c r="U247" s="14" t="n">
        <v>46189</v>
      </c>
      <c r="V247" s="7" t="n"/>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5</v>
      </c>
      <c r="C248" s="12" t="inlineStr">
        <is>
          <t>Graduate/Entry</t>
        </is>
      </c>
      <c r="D248" s="8" t="inlineStr">
        <is>
          <t>Graduate Design Engineer (Malaysia)</t>
        </is>
      </c>
      <c r="E248" s="7" t="inlineStr">
        <is>
          <t>Dyson</t>
        </is>
      </c>
      <c r="F248" s="8" t="inlineStr">
        <is>
          <t>Malaysia - Global Development Campus, Johor Bahru</t>
        </is>
      </c>
      <c r="G248" s="8" t="n"/>
      <c r="H248" s="14" t="n"/>
      <c r="I248" s="15">
        <f>IF($H248="","",$H248-TODAY())</f>
        <v/>
      </c>
      <c r="J248" s="16" t="inlineStr">
        <is>
          <t>Open posting</t>
        </is>
      </c>
      <c r="K248" s="8" t="n"/>
      <c r="L248" s="17" t="inlineStr">
        <is>
          <t>new</t>
        </is>
      </c>
      <c r="M248" s="18" t="inlineStr"/>
      <c r="N248" s="7" t="inlineStr">
        <is>
          <t>ccf22a7d9c4168cf2f2be08e49d679c25c4ac6da</t>
        </is>
      </c>
      <c r="O248" s="14" t="n"/>
      <c r="P248" s="7" t="inlineStr">
        <is>
          <t>workday</t>
        </is>
      </c>
      <c r="Q248" s="8" t="inlineStr"/>
      <c r="R248" s="8" t="n"/>
      <c r="S248" s="19" t="n"/>
      <c r="T248" s="19" t="n"/>
      <c r="U248" s="14" t="n">
        <v>46189</v>
      </c>
      <c r="V248" s="7" t="n"/>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5</v>
      </c>
      <c r="C249" s="12" t="inlineStr">
        <is>
          <t>Manager/Owner</t>
        </is>
      </c>
      <c r="D249" s="8" t="inlineStr">
        <is>
          <t>Associate Sales Manager</t>
        </is>
      </c>
      <c r="E249" s="7" t="inlineStr">
        <is>
          <t>Dyson</t>
        </is>
      </c>
      <c r="F249" s="8" t="inlineStr">
        <is>
          <t>Japan - Tokyo Office</t>
        </is>
      </c>
      <c r="G249" s="8" t="n"/>
      <c r="H249" s="14" t="n"/>
      <c r="I249" s="15">
        <f>IF($H249="","",$H249-TODAY())</f>
        <v/>
      </c>
      <c r="J249" s="16" t="inlineStr">
        <is>
          <t>Open posting</t>
        </is>
      </c>
      <c r="K249" s="8" t="n"/>
      <c r="L249" s="17" t="inlineStr">
        <is>
          <t>new</t>
        </is>
      </c>
      <c r="M249" s="18" t="inlineStr"/>
      <c r="N249" s="7" t="inlineStr">
        <is>
          <t>d14340d633c4f6dbca580f8782121bb4dfdf1f02</t>
        </is>
      </c>
      <c r="O249" s="14" t="n"/>
      <c r="P249" s="7" t="inlineStr">
        <is>
          <t>workday</t>
        </is>
      </c>
      <c r="Q249" s="8" t="inlineStr"/>
      <c r="R249" s="8" t="n"/>
      <c r="S249" s="19" t="n"/>
      <c r="T249" s="19" t="n"/>
      <c r="U249" s="14" t="n">
        <v>46189</v>
      </c>
      <c r="V249" s="7" t="n"/>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5</v>
      </c>
      <c r="C250" s="12" t="inlineStr">
        <is>
          <t>Manager/Owner</t>
        </is>
      </c>
      <c r="D250" s="8" t="inlineStr">
        <is>
          <t>Design Manager - Experience</t>
        </is>
      </c>
      <c r="E250" s="7" t="inlineStr">
        <is>
          <t>Dyson</t>
        </is>
      </c>
      <c r="F250" s="8" t="inlineStr">
        <is>
          <t>Singapore - St James Power Station Headquarters</t>
        </is>
      </c>
      <c r="G250" s="8" t="n"/>
      <c r="H250" s="14" t="n"/>
      <c r="I250" s="15">
        <f>IF($H250="","",$H250-TODAY())</f>
        <v/>
      </c>
      <c r="J250" s="16" t="inlineStr">
        <is>
          <t>Open posting</t>
        </is>
      </c>
      <c r="K250" s="8" t="n"/>
      <c r="L250" s="17" t="inlineStr">
        <is>
          <t>new</t>
        </is>
      </c>
      <c r="M250" s="18" t="inlineStr"/>
      <c r="N250" s="7" t="inlineStr">
        <is>
          <t>3ff2503536d29e35eed3a6d64672684ecdb4f9fd</t>
        </is>
      </c>
      <c r="O250" s="14" t="n"/>
      <c r="P250" s="7" t="inlineStr">
        <is>
          <t>workday</t>
        </is>
      </c>
      <c r="Q250" s="8" t="inlineStr"/>
      <c r="R250" s="8" t="n"/>
      <c r="S250" s="19" t="n"/>
      <c r="T250" s="19" t="n"/>
      <c r="U250" s="14" t="n">
        <v>46189</v>
      </c>
      <c r="V250" s="7" t="n"/>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4.9</v>
      </c>
      <c r="C251" s="12" t="inlineStr">
        <is>
          <t>Unspecified</t>
        </is>
      </c>
      <c r="D251" s="8" t="inlineStr">
        <is>
          <t>Full Stack Developer</t>
        </is>
      </c>
      <c r="E251" s="7" t="inlineStr">
        <is>
          <t>Trafalgar House Pensions Administration</t>
        </is>
      </c>
      <c r="F251" s="8" t="inlineStr">
        <is>
          <t>London, ENG, GB</t>
        </is>
      </c>
      <c r="G251" s="8" t="n"/>
      <c r="H251" s="14" t="n"/>
      <c r="I251" s="15">
        <f>IF($H251="","",$H251-TODAY())</f>
        <v/>
      </c>
      <c r="J251" s="16" t="inlineStr">
        <is>
          <t>Open posting</t>
        </is>
      </c>
      <c r="K251" s="8" t="n"/>
      <c r="L251" s="17" t="inlineStr">
        <is>
          <t>new</t>
        </is>
      </c>
      <c r="M251" s="18" t="inlineStr"/>
      <c r="N251" s="7" t="inlineStr">
        <is>
          <t>65de36eb6775a4c88f3323e9a5517409bb922142</t>
        </is>
      </c>
      <c r="O251" s="14" t="n">
        <v>46191</v>
      </c>
      <c r="P251" s="7" t="inlineStr">
        <is>
          <t>jobspy</t>
        </is>
      </c>
      <c r="Q251" s="8" t="inlineStr">
        <is>
          <t>python, sql, javascript, rest apis, git</t>
        </is>
      </c>
      <c r="R251" s="8" t="inlineStr">
        <is>
          <t>Full Stack Developer</t>
        </is>
      </c>
      <c r="S251" s="19" t="n"/>
      <c r="T251" s="19" t="n"/>
      <c r="U251" s="14" t="n">
        <v>46191</v>
      </c>
      <c r="V251" s="7" t="n"/>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4.69</v>
      </c>
      <c r="C252" s="12" t="inlineStr">
        <is>
          <t>Junior</t>
        </is>
      </c>
      <c r="D252" s="8" t="inlineStr">
        <is>
          <t>Junior Python Developer</t>
        </is>
      </c>
      <c r="E252" s="7" t="inlineStr">
        <is>
          <t>Information Tech Consultants</t>
        </is>
      </c>
      <c r="F252" s="8" t="inlineStr">
        <is>
          <t>London Area, United Kingdom</t>
        </is>
      </c>
      <c r="G252" s="8" t="n"/>
      <c r="H252" s="14" t="n"/>
      <c r="I252" s="15">
        <f>IF($H252="","",$H252-TODAY())</f>
        <v/>
      </c>
      <c r="J252" s="16" t="inlineStr">
        <is>
          <t>Open posting</t>
        </is>
      </c>
      <c r="K252" s="8" t="n"/>
      <c r="L252" s="17" t="inlineStr">
        <is>
          <t>new</t>
        </is>
      </c>
      <c r="M252" s="18" t="inlineStr"/>
      <c r="N252" s="7" t="inlineStr">
        <is>
          <t>96144f1e9a6fef78ee59a59cc15ae93d4e2de0f7</t>
        </is>
      </c>
      <c r="O252" s="14" t="n">
        <v>46177</v>
      </c>
      <c r="P252" s="7" t="inlineStr">
        <is>
          <t>jobspy</t>
        </is>
      </c>
      <c r="Q252" s="8" t="inlineStr">
        <is>
          <t>python, sql, git, software development</t>
        </is>
      </c>
      <c r="R252" s="8" t="inlineStr">
        <is>
          <t>Junior Python Developer</t>
        </is>
      </c>
      <c r="S252" s="19" t="n"/>
      <c r="T252" s="19" t="n"/>
      <c r="U252" s="14" t="n">
        <v>46191</v>
      </c>
      <c r="V252" s="7" t="n"/>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4.5</v>
      </c>
      <c r="C253" s="12" t="inlineStr">
        <is>
          <t>Mid-level</t>
        </is>
      </c>
      <c r="D253" s="8" t="inlineStr">
        <is>
          <t>Mid-Full-Stack Engineer - AI Agent Platform</t>
        </is>
      </c>
      <c r="E253" s="7" t="inlineStr">
        <is>
          <t>Ebury</t>
        </is>
      </c>
      <c r="F253" s="8" t="inlineStr">
        <is>
          <t>London, England, UK</t>
        </is>
      </c>
      <c r="G253" s="8" t="n"/>
      <c r="H253" s="14" t="n"/>
      <c r="I253" s="15">
        <f>IF($H253="","",$H253-TODAY())</f>
        <v/>
      </c>
      <c r="J253" s="16" t="inlineStr">
        <is>
          <t>Open posting</t>
        </is>
      </c>
      <c r="K253" s="8" t="inlineStr">
        <is>
          <t>Python and REST APIs match, but role needs 2-5 years professional experience and React/TypeScript commercial skills not evidenced.</t>
        </is>
      </c>
      <c r="L253" s="17" t="inlineStr">
        <is>
          <t>new</t>
        </is>
      </c>
      <c r="M253" s="18" t="inlineStr"/>
      <c r="N253" s="7" t="inlineStr">
        <is>
          <t>3dda895718638535c1f23090cfb3936a6fc7e0d6</t>
        </is>
      </c>
      <c r="O253" s="14" t="n"/>
      <c r="P253" s="7" t="inlineStr">
        <is>
          <t>jobspy</t>
        </is>
      </c>
      <c r="Q253" s="8" t="inlineStr">
        <is>
          <t>Python, REST APIs, Docker, Kubernetes, SQL</t>
        </is>
      </c>
      <c r="R253" s="8" t="inlineStr">
        <is>
          <t>Junior Python Developer backend SQL Docker</t>
        </is>
      </c>
      <c r="S253" s="19" t="n"/>
      <c r="T253" s="19" t="n"/>
      <c r="U253" s="14" t="n">
        <v>46197</v>
      </c>
      <c r="V253" s="7" t="inlineStr">
        <is>
          <t>v2-cv-accuracy-13b988b18da8ea7d</t>
        </is>
      </c>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4.5</v>
      </c>
      <c r="C254" s="12" t="inlineStr">
        <is>
          <t>Unspecified</t>
        </is>
      </c>
      <c r="D254" s="8" t="inlineStr">
        <is>
          <t>Fullstack Developer (Node.js/React)</t>
        </is>
      </c>
      <c r="E254" s="7" t="inlineStr">
        <is>
          <t>Jobgether</t>
        </is>
      </c>
      <c r="F254" s="8" t="inlineStr"/>
      <c r="G254" s="8" t="n"/>
      <c r="H254" s="14" t="n"/>
      <c r="I254" s="15">
        <f>IF($H254="","",$H254-TODAY())</f>
        <v/>
      </c>
      <c r="J254" s="16" t="inlineStr">
        <is>
          <t>Open posting</t>
        </is>
      </c>
      <c r="K254" s="8" t="inlineStr">
        <is>
          <t>Node.js and React are adjacent skills but role demands strong professional fullstack experience and MongoDB/Elasticsearch not in profile.</t>
        </is>
      </c>
      <c r="L254" s="17" t="inlineStr">
        <is>
          <t>new</t>
        </is>
      </c>
      <c r="M254" s="18" t="inlineStr"/>
      <c r="N254" s="7" t="inlineStr">
        <is>
          <t>e22ab9ea677e5862e99940933030afda0e2305f3</t>
        </is>
      </c>
      <c r="O254" s="14" t="n">
        <v>46195</v>
      </c>
      <c r="P254" s="7" t="inlineStr">
        <is>
          <t>jobspy</t>
        </is>
      </c>
      <c r="Q254" s="8" t="inlineStr">
        <is>
          <t>Node.js, React, JavaScript, API integration, Docker</t>
        </is>
      </c>
      <c r="R254" s="8" t="inlineStr">
        <is>
          <t>Junior Python Developer backend Docker Kubernetes</t>
        </is>
      </c>
      <c r="S254" s="19" t="n"/>
      <c r="T254" s="19" t="n"/>
      <c r="U254" s="14" t="n">
        <v>46196</v>
      </c>
      <c r="V254" s="7" t="inlineStr">
        <is>
          <t>v2-cv-accuracy-13b988b18da8ea7d</t>
        </is>
      </c>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4.5</v>
      </c>
      <c r="C255" s="12" t="inlineStr">
        <is>
          <t>Unspecified</t>
        </is>
      </c>
      <c r="D255" s="8" t="inlineStr">
        <is>
          <t>Full Stack Engineer</t>
        </is>
      </c>
      <c r="E255" s="7" t="inlineStr">
        <is>
          <t>Prolo</t>
        </is>
      </c>
      <c r="F255" s="8" t="inlineStr">
        <is>
          <t>London Area, United Kingdom</t>
        </is>
      </c>
      <c r="G255" s="8" t="n"/>
      <c r="H255" s="14" t="n"/>
      <c r="I255" s="15">
        <f>IF($H255="","",$H255-TODAY())</f>
        <v/>
      </c>
      <c r="J255" s="16" t="inlineStr">
        <is>
          <t>Open posting</t>
        </is>
      </c>
      <c r="K255" s="8" t="inlineStr">
        <is>
          <t>Python and Docker/Kubernetes match, but role requires 5+ years and graph DB/AWS serverless experience not evidenced in profile.</t>
        </is>
      </c>
      <c r="L255" s="17" t="inlineStr">
        <is>
          <t>new</t>
        </is>
      </c>
      <c r="M255" s="18" t="inlineStr"/>
      <c r="N255" s="7" t="inlineStr">
        <is>
          <t>c9461d44c4e2a65a9cc35ded5e6d0d6285fc9064</t>
        </is>
      </c>
      <c r="O255" s="14" t="n">
        <v>46189</v>
      </c>
      <c r="P255" s="7" t="inlineStr">
        <is>
          <t>jobspy</t>
        </is>
      </c>
      <c r="Q255" s="8" t="inlineStr">
        <is>
          <t>Python, Docker, Kubernetes, API integration, MySQL</t>
        </is>
      </c>
      <c r="R255" s="8" t="inlineStr">
        <is>
          <t>Junior Python Developer backend Docker Kubernetes</t>
        </is>
      </c>
      <c r="S255" s="19" t="n"/>
      <c r="T255" s="19" t="n"/>
      <c r="U255" s="14" t="n">
        <v>46196</v>
      </c>
      <c r="V255" s="7" t="inlineStr">
        <is>
          <t>v2-cv-accuracy-13b988b18da8ea7d</t>
        </is>
      </c>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4.5</v>
      </c>
      <c r="C256" s="12" t="inlineStr">
        <is>
          <t>Mid-level</t>
        </is>
      </c>
      <c r="D256" s="8" t="inlineStr">
        <is>
          <t>Data Engineer</t>
        </is>
      </c>
      <c r="E256" s="7" t="inlineStr">
        <is>
          <t>Brook Green Supply</t>
        </is>
      </c>
      <c r="F256" s="8" t="inlineStr">
        <is>
          <t>London Area, United Kingdom</t>
        </is>
      </c>
      <c r="G256" s="8" t="n"/>
      <c r="H256" s="14" t="n"/>
      <c r="I256" s="15">
        <f>IF($H256="","",$H256-TODAY())</f>
        <v/>
      </c>
      <c r="J256" s="16" t="inlineStr">
        <is>
          <t>Open posting</t>
        </is>
      </c>
      <c r="K256" s="8" t="inlineStr">
        <is>
          <t>Good Python/SQL/Docker/Kubernetes and Git overlap but role requires 2-5 years production data pipeline experience and Spark/Airflow not in profile.</t>
        </is>
      </c>
      <c r="L256" s="17" t="inlineStr">
        <is>
          <t>new</t>
        </is>
      </c>
      <c r="M256" s="18" t="inlineStr"/>
      <c r="N256" s="7" t="inlineStr">
        <is>
          <t>251da88314b0a28c7c1e9112ac7100094a2919e8</t>
        </is>
      </c>
      <c r="O256" s="14" t="n">
        <v>46163</v>
      </c>
      <c r="P256" s="7" t="inlineStr">
        <is>
          <t>jobspy</t>
        </is>
      </c>
      <c r="Q256" s="8" t="inlineStr">
        <is>
          <t>Python, SQL, Docker, Kubernetes, Git</t>
        </is>
      </c>
      <c r="R256" s="8" t="inlineStr">
        <is>
          <t>Junior Data Engineer SQL Python MySQL</t>
        </is>
      </c>
      <c r="S256" s="19" t="n"/>
      <c r="T256" s="19" t="n"/>
      <c r="U256" s="14" t="n">
        <v>46193</v>
      </c>
      <c r="V256" s="7" t="inlineStr">
        <is>
          <t>v2-cv-accuracy-13b988b18da8ea7d</t>
        </is>
      </c>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4.5</v>
      </c>
      <c r="C257" s="12" t="inlineStr">
        <is>
          <t>Junior</t>
        </is>
      </c>
      <c r="D257" s="8" t="inlineStr">
        <is>
          <t>Digital Design Engineer (AP)</t>
        </is>
      </c>
      <c r="E257" s="7" t="inlineStr">
        <is>
          <t>Cirrus Logic</t>
        </is>
      </c>
      <c r="F257" s="8" t="inlineStr">
        <is>
          <t>Edinburgh, SCT, GB</t>
        </is>
      </c>
      <c r="G257" s="8" t="n"/>
      <c r="H257" s="14" t="n"/>
      <c r="I257" s="15">
        <f>IF($H257="","",$H257-TODAY())</f>
        <v/>
      </c>
      <c r="J257" s="16" t="inlineStr">
        <is>
          <t>Open posting</t>
        </is>
      </c>
      <c r="K257" s="8" t="inlineStr">
        <is>
          <t>Requires extensive proven background in digital CMOS and RTL design beyond graduate level; Edinburgh location and seniority expectations are significant gaps.</t>
        </is>
      </c>
      <c r="L257" s="17" t="inlineStr">
        <is>
          <t>new</t>
        </is>
      </c>
      <c r="M257" s="18" t="inlineStr"/>
      <c r="N257" s="7" t="inlineStr">
        <is>
          <t>f1fa5b5f3af3b878e1207acb8c198229642c6029</t>
        </is>
      </c>
      <c r="O257" s="14" t="n">
        <v>46182</v>
      </c>
      <c r="P257" s="7" t="inlineStr">
        <is>
          <t>jobspy</t>
        </is>
      </c>
      <c r="Q257" s="8" t="inlineStr">
        <is>
          <t>Verilog, FPGA, digital design, DSP</t>
        </is>
      </c>
      <c r="R257" s="8" t="inlineStr">
        <is>
          <t>Digital Design Engineer FPGA Verilog</t>
        </is>
      </c>
      <c r="S257" s="19" t="n"/>
      <c r="T257" s="19" t="n"/>
      <c r="U257" s="14" t="n">
        <v>46193</v>
      </c>
      <c r="V257" s="7" t="inlineStr">
        <is>
          <t>v2-cv-accuracy-13b988b18da8ea7d</t>
        </is>
      </c>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4.5</v>
      </c>
      <c r="C258" s="12" t="inlineStr">
        <is>
          <t>Unspecified</t>
        </is>
      </c>
      <c r="D258" s="8" t="inlineStr">
        <is>
          <t>Platform Engineer</t>
        </is>
      </c>
      <c r="E258" s="7" t="inlineStr">
        <is>
          <t>CMG (Capital Markets Gateway)</t>
        </is>
      </c>
      <c r="F258" s="8" t="inlineStr">
        <is>
          <t>London, England, UK</t>
        </is>
      </c>
      <c r="G258" s="8" t="n"/>
      <c r="H258" s="14" t="n"/>
      <c r="I258" s="15">
        <f>IF($H258="","",$H258-TODAY())</f>
        <v/>
      </c>
      <c r="J258" s="16" t="inlineStr">
        <is>
          <t>Open posting</t>
        </is>
      </c>
      <c r="K258" s="8" t="inlineStr">
        <is>
          <t>Docker and Kubernetes match but role requires Terraform, Azure networking, and infrastructure ownership beyond candidate's current experience level.</t>
        </is>
      </c>
      <c r="L258" s="17" t="inlineStr">
        <is>
          <t>new</t>
        </is>
      </c>
      <c r="M258" s="18" t="inlineStr"/>
      <c r="N258" s="7" t="inlineStr">
        <is>
          <t>a024d50dd70b056ab6209e205029d02dd8965961</t>
        </is>
      </c>
      <c r="O258" s="14" t="n">
        <v>46185</v>
      </c>
      <c r="P258" s="7" t="inlineStr">
        <is>
          <t>jobspy</t>
        </is>
      </c>
      <c r="Q258" s="8" t="inlineStr">
        <is>
          <t>Docker, Kubernetes, Python, Linux</t>
        </is>
      </c>
      <c r="R258" s="8" t="inlineStr">
        <is>
          <t>Platform Engineer Docker Kubernetes Python</t>
        </is>
      </c>
      <c r="S258" s="19" t="n"/>
      <c r="T258" s="19" t="n"/>
      <c r="U258" s="14" t="n">
        <v>46193</v>
      </c>
      <c r="V258" s="7" t="inlineStr">
        <is>
          <t>v2-cv-accuracy-13b988b18da8ea7d</t>
        </is>
      </c>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4.5</v>
      </c>
      <c r="C259" s="12" t="inlineStr">
        <is>
          <t>Mid-level</t>
        </is>
      </c>
      <c r="D259" s="8" t="inlineStr">
        <is>
          <t>Embedded Engineer</t>
        </is>
      </c>
      <c r="E259" s="7" t="inlineStr">
        <is>
          <t>Premier Group</t>
        </is>
      </c>
      <c r="F259" s="8" t="inlineStr">
        <is>
          <t>London Area, United Kingdom</t>
        </is>
      </c>
      <c r="G259" s="8" t="n"/>
      <c r="H259" s="14" t="n"/>
      <c r="I259" s="15">
        <f>IF($H259="","",$H259-TODAY())</f>
        <v/>
      </c>
      <c r="J259" s="16" t="inlineStr">
        <is>
          <t>Open posting</t>
        </is>
      </c>
      <c r="K259" s="8" t="inlineStr">
        <is>
          <t>Role requires 2+ years commercial embedded C/C++ and precision motor control; candidate lacks commercial experience and motor control background; also West London on-site.</t>
        </is>
      </c>
      <c r="L259" s="17" t="inlineStr">
        <is>
          <t>new</t>
        </is>
      </c>
      <c r="M259" s="18" t="inlineStr"/>
      <c r="N259" s="7" t="inlineStr">
        <is>
          <t>e3e27c9feb276834dfd9f7221bab87528c76c5f1</t>
        </is>
      </c>
      <c r="O259" s="14" t="n">
        <v>46174</v>
      </c>
      <c r="P259" s="7" t="inlineStr">
        <is>
          <t>jobspy</t>
        </is>
      </c>
      <c r="Q259" s="8" t="inlineStr">
        <is>
          <t>STM32, Raspberry Pi, embedded systems, DSP, Linux</t>
        </is>
      </c>
      <c r="R259" s="8" t="inlineStr">
        <is>
          <t>Junior Embedded Software Engineer STM32</t>
        </is>
      </c>
      <c r="S259" s="19" t="n"/>
      <c r="T259" s="19" t="n"/>
      <c r="U259" s="14" t="n">
        <v>46192</v>
      </c>
      <c r="V259" s="7" t="inlineStr">
        <is>
          <t>v2-cv-accuracy-13b988b18da8ea7d</t>
        </is>
      </c>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4.5</v>
      </c>
      <c r="C260" s="12" t="inlineStr">
        <is>
          <t>Mid-level</t>
        </is>
      </c>
      <c r="D260" s="8" t="inlineStr">
        <is>
          <t>Full Stack Engineer</t>
        </is>
      </c>
      <c r="E260" s="7" t="inlineStr">
        <is>
          <t>Bondaval</t>
        </is>
      </c>
      <c r="F260" s="8" t="inlineStr">
        <is>
          <t>London, England, UK</t>
        </is>
      </c>
      <c r="G260" s="8" t="n"/>
      <c r="H260" s="14" t="n"/>
      <c r="I260" s="15">
        <f>IF($H260="","",$H260-TODAY())</f>
        <v/>
      </c>
      <c r="J260" s="16" t="inlineStr">
        <is>
          <t>Open posting</t>
        </is>
      </c>
      <c r="K260" s="8" t="inlineStr">
        <is>
          <t>Docker/Kubernetes and backend skills present, but primary stack is Go/Vue with no profile evidence; fintech focus and London location reduce fit.</t>
        </is>
      </c>
      <c r="L260" s="17" t="inlineStr">
        <is>
          <t>new</t>
        </is>
      </c>
      <c r="M260" s="18" t="inlineStr"/>
      <c r="N260" s="7" t="inlineStr">
        <is>
          <t>f1995af83138729984be603e7f5ef5f0577d6c7e</t>
        </is>
      </c>
      <c r="O260" s="14" t="n">
        <v>46184</v>
      </c>
      <c r="P260" s="7" t="inlineStr">
        <is>
          <t>jobspy</t>
        </is>
      </c>
      <c r="Q260" s="8" t="inlineStr">
        <is>
          <t>Docker, Kubernetes, Python, SQL, REST APIs</t>
        </is>
      </c>
      <c r="R260" s="8" t="inlineStr">
        <is>
          <t>Graduate Backend Developer Docker Kubernetes</t>
        </is>
      </c>
      <c r="S260" s="19" t="n"/>
      <c r="T260" s="19" t="n"/>
      <c r="U260" s="14" t="n">
        <v>46192</v>
      </c>
      <c r="V260" s="7" t="inlineStr">
        <is>
          <t>v2-cv-accuracy-13b988b18da8ea7d</t>
        </is>
      </c>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4.49</v>
      </c>
      <c r="C261" s="12" t="inlineStr">
        <is>
          <t>Graduate/Entry</t>
        </is>
      </c>
      <c r="D261" s="8" t="inlineStr">
        <is>
          <t>Junior / Graduate Developer — Bombe</t>
        </is>
      </c>
      <c r="E261" s="7" t="inlineStr">
        <is>
          <t>nan</t>
        </is>
      </c>
      <c r="F261" s="8" t="inlineStr">
        <is>
          <t>London, ENG, GB</t>
        </is>
      </c>
      <c r="G261" s="8" t="n"/>
      <c r="H261" s="14" t="n"/>
      <c r="I261" s="15">
        <f>IF($H261="","",$H261-TODAY())</f>
        <v/>
      </c>
      <c r="J261" s="16" t="inlineStr">
        <is>
          <t>Open posting</t>
        </is>
      </c>
      <c r="K261" s="8" t="n"/>
      <c r="L261" s="17" t="inlineStr">
        <is>
          <t>new</t>
        </is>
      </c>
      <c r="M261" s="18" t="inlineStr"/>
      <c r="N261" s="7" t="inlineStr">
        <is>
          <t>2b24c1fae22b59e0f0c7c0ed3bcc0a28391efa35</t>
        </is>
      </c>
      <c r="O261" s="14" t="n">
        <v>46189</v>
      </c>
      <c r="P261" s="7" t="inlineStr">
        <is>
          <t>jobspy</t>
        </is>
      </c>
      <c r="Q261" s="8" t="inlineStr">
        <is>
          <t>python, sql, javascript, git, web development</t>
        </is>
      </c>
      <c r="R261" s="8" t="inlineStr">
        <is>
          <t>Graduate Software Developer</t>
        </is>
      </c>
      <c r="S261" s="19" t="n"/>
      <c r="T261" s="19" t="n"/>
      <c r="U261" s="14" t="n">
        <v>46191</v>
      </c>
      <c r="V261" s="7" t="n"/>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4.49</v>
      </c>
      <c r="C262" s="12" t="inlineStr">
        <is>
          <t>Mid-level</t>
        </is>
      </c>
      <c r="D262" s="8" t="inlineStr">
        <is>
          <t>Back End Developer</t>
        </is>
      </c>
      <c r="E262" s="7" t="inlineStr">
        <is>
          <t>ZeroLight</t>
        </is>
      </c>
      <c r="F262" s="8" t="inlineStr">
        <is>
          <t>Newcastle Upon Tyne, England, UK</t>
        </is>
      </c>
      <c r="G262" s="8" t="n"/>
      <c r="H262" s="14" t="n"/>
      <c r="I262" s="15">
        <f>IF($H262="","",$H262-TODAY())</f>
        <v/>
      </c>
      <c r="J262" s="16" t="inlineStr">
        <is>
          <t>Open posting</t>
        </is>
      </c>
      <c r="K262" s="8" t="n"/>
      <c r="L262" s="17" t="inlineStr">
        <is>
          <t>new</t>
        </is>
      </c>
      <c r="M262" s="18" t="inlineStr"/>
      <c r="N262" s="7" t="inlineStr">
        <is>
          <t>7b168ec05abda21e01d4f48e71269f4acb1e7c97</t>
        </is>
      </c>
      <c r="O262" s="14" t="n">
        <v>46161</v>
      </c>
      <c r="P262" s="7" t="inlineStr">
        <is>
          <t>jobspy</t>
        </is>
      </c>
      <c r="Q262" s="8" t="inlineStr">
        <is>
          <t>python, sql, javascript, git, software development</t>
        </is>
      </c>
      <c r="R262" s="8" t="inlineStr">
        <is>
          <t>graduate Full Stack Developer</t>
        </is>
      </c>
      <c r="S262" s="19" t="n"/>
      <c r="T262" s="19" t="n"/>
      <c r="U262" s="14" t="n">
        <v>46191</v>
      </c>
      <c r="V262" s="7" t="n"/>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4.29</v>
      </c>
      <c r="C263" s="12" t="inlineStr">
        <is>
          <t>Junior</t>
        </is>
      </c>
      <c r="D263" s="8" t="inlineStr">
        <is>
          <t>Manchester - Junior Developer - Elevate Programme</t>
        </is>
      </c>
      <c r="E263" s="7" t="inlineStr">
        <is>
          <t>Vantage Point</t>
        </is>
      </c>
      <c r="F263" s="8" t="inlineStr">
        <is>
          <t>Manchester, ENG, GB</t>
        </is>
      </c>
      <c r="G263" s="8" t="n"/>
      <c r="H263" s="14" t="n"/>
      <c r="I263" s="15">
        <f>IF($H263="","",$H263-TODAY())</f>
        <v/>
      </c>
      <c r="J263" s="16" t="inlineStr">
        <is>
          <t>Open posting</t>
        </is>
      </c>
      <c r="K263" s="8" t="n"/>
      <c r="L263" s="17" t="inlineStr">
        <is>
          <t>new</t>
        </is>
      </c>
      <c r="M263" s="18" t="inlineStr"/>
      <c r="N263" s="7" t="inlineStr">
        <is>
          <t>fa2f888f2d04e8edf6734e6670e0c805454dbf48</t>
        </is>
      </c>
      <c r="O263" s="14" t="n">
        <v>46163</v>
      </c>
      <c r="P263" s="7" t="inlineStr">
        <is>
          <t>jobspy</t>
        </is>
      </c>
      <c r="Q263" s="8" t="inlineStr">
        <is>
          <t>python, sql, javascript, rest apis, git</t>
        </is>
      </c>
      <c r="R263" s="8" t="inlineStr">
        <is>
          <t>junior Graduate Software Developer</t>
        </is>
      </c>
      <c r="S263" s="19" t="n"/>
      <c r="T263" s="19" t="n"/>
      <c r="U263" s="14" t="n">
        <v>46191</v>
      </c>
      <c r="V263" s="7" t="n"/>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4.08</v>
      </c>
      <c r="C264" s="12" t="inlineStr">
        <is>
          <t>Senior/Lead</t>
        </is>
      </c>
      <c r="D264" s="8" t="inlineStr">
        <is>
          <t>Developer</t>
        </is>
      </c>
      <c r="E264" s="7" t="inlineStr">
        <is>
          <t>UK Home Office</t>
        </is>
      </c>
      <c r="F264" s="8" t="inlineStr">
        <is>
          <t>Croydon, England, UK</t>
        </is>
      </c>
      <c r="G264" s="8" t="n"/>
      <c r="H264" s="14" t="n"/>
      <c r="I264" s="15">
        <f>IF($H264="","",$H264-TODAY())</f>
        <v/>
      </c>
      <c r="J264" s="16" t="inlineStr">
        <is>
          <t>Open posting</t>
        </is>
      </c>
      <c r="K264" s="8" t="n"/>
      <c r="L264" s="17" t="inlineStr">
        <is>
          <t>new</t>
        </is>
      </c>
      <c r="M264" s="18" t="inlineStr"/>
      <c r="N264" s="7" t="inlineStr">
        <is>
          <t>2ff21cf1998bcf27e4659b12bd4c7fab78be4bab</t>
        </is>
      </c>
      <c r="O264" s="14" t="n">
        <v>46178</v>
      </c>
      <c r="P264" s="7" t="inlineStr">
        <is>
          <t>jobspy</t>
        </is>
      </c>
      <c r="Q264" s="8" t="inlineStr">
        <is>
          <t>python, javascript, git, software development</t>
        </is>
      </c>
      <c r="R264" s="8" t="inlineStr">
        <is>
          <t>Graduate Software Developer Sheffield</t>
        </is>
      </c>
      <c r="S264" s="19" t="n"/>
      <c r="T264" s="19" t="n"/>
      <c r="U264" s="14" t="n">
        <v>46191</v>
      </c>
      <c r="V264" s="7" t="n"/>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4.08</v>
      </c>
      <c r="C265" s="12" t="inlineStr">
        <is>
          <t>Senior/Lead</t>
        </is>
      </c>
      <c r="D265" s="8" t="inlineStr">
        <is>
          <t>Developer</t>
        </is>
      </c>
      <c r="E265" s="7" t="inlineStr">
        <is>
          <t>UK Home Office</t>
        </is>
      </c>
      <c r="F265" s="8" t="inlineStr">
        <is>
          <t>Sheffield, England, UK</t>
        </is>
      </c>
      <c r="G265" s="8" t="n"/>
      <c r="H265" s="14" t="n"/>
      <c r="I265" s="15">
        <f>IF($H265="","",$H265-TODAY())</f>
        <v/>
      </c>
      <c r="J265" s="16" t="inlineStr">
        <is>
          <t>Open posting</t>
        </is>
      </c>
      <c r="K265" s="8" t="n"/>
      <c r="L265" s="17" t="inlineStr">
        <is>
          <t>new</t>
        </is>
      </c>
      <c r="M265" s="18" t="inlineStr"/>
      <c r="N265" s="7" t="inlineStr">
        <is>
          <t>516310e89fe096bbf52a5b3d906e2dfff0995c4b</t>
        </is>
      </c>
      <c r="O265" s="14" t="n">
        <v>46178</v>
      </c>
      <c r="P265" s="7" t="inlineStr">
        <is>
          <t>jobspy</t>
        </is>
      </c>
      <c r="Q265" s="8" t="inlineStr">
        <is>
          <t>python, javascript, git, software development</t>
        </is>
      </c>
      <c r="R265" s="8" t="inlineStr">
        <is>
          <t>Graduate Software Developer Sheffield</t>
        </is>
      </c>
      <c r="S265" s="19" t="n"/>
      <c r="T265" s="19" t="n"/>
      <c r="U265" s="14" t="n">
        <v>46191</v>
      </c>
      <c r="V265" s="7" t="n"/>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4.08</v>
      </c>
      <c r="C266" s="12" t="inlineStr">
        <is>
          <t>Senior/Lead</t>
        </is>
      </c>
      <c r="D266" s="8" t="inlineStr">
        <is>
          <t>Developer</t>
        </is>
      </c>
      <c r="E266" s="7" t="inlineStr">
        <is>
          <t>UK Home Office</t>
        </is>
      </c>
      <c r="F266" s="8" t="inlineStr">
        <is>
          <t>Manchester Area, United Kingdom</t>
        </is>
      </c>
      <c r="G266" s="8" t="n"/>
      <c r="H266" s="14" t="n"/>
      <c r="I266" s="15">
        <f>IF($H266="","",$H266-TODAY())</f>
        <v/>
      </c>
      <c r="J266" s="16" t="inlineStr">
        <is>
          <t>Open posting</t>
        </is>
      </c>
      <c r="K266" s="8" t="n"/>
      <c r="L266" s="17" t="inlineStr">
        <is>
          <t>new</t>
        </is>
      </c>
      <c r="M266" s="18" t="inlineStr"/>
      <c r="N266" s="7" t="inlineStr">
        <is>
          <t>afd46e15dca90198995f9922cf36bb25760daa07</t>
        </is>
      </c>
      <c r="O266" s="14" t="n">
        <v>46178</v>
      </c>
      <c r="P266" s="7" t="inlineStr">
        <is>
          <t>jobspy</t>
        </is>
      </c>
      <c r="Q266" s="8" t="inlineStr">
        <is>
          <t>python, javascript, git, software development</t>
        </is>
      </c>
      <c r="R266" s="8" t="inlineStr">
        <is>
          <t>Graduate Software Developer Sheffield</t>
        </is>
      </c>
      <c r="S266" s="19" t="n"/>
      <c r="T266" s="19" t="n"/>
      <c r="U266" s="14" t="n">
        <v>46191</v>
      </c>
      <c r="V266" s="7" t="n"/>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4.08</v>
      </c>
      <c r="C267" s="12" t="inlineStr">
        <is>
          <t>Graduate/Entry</t>
        </is>
      </c>
      <c r="D267" s="8" t="inlineStr">
        <is>
          <t>Entry-Level Developer roles (Software, Web, AI, Data, IT, Product)</t>
        </is>
      </c>
      <c r="E267" s="7" t="inlineStr">
        <is>
          <t>Joinrs</t>
        </is>
      </c>
      <c r="F267" s="8" t="inlineStr"/>
      <c r="G267" s="8" t="n"/>
      <c r="H267" s="14" t="n"/>
      <c r="I267" s="15">
        <f>IF($H267="","",$H267-TODAY())</f>
        <v/>
      </c>
      <c r="J267" s="16" t="inlineStr">
        <is>
          <t>Open posting</t>
        </is>
      </c>
      <c r="K267" s="8" t="n"/>
      <c r="L267" s="17" t="inlineStr">
        <is>
          <t>new</t>
        </is>
      </c>
      <c r="M267" s="18" t="inlineStr"/>
      <c r="N267" s="7" t="inlineStr">
        <is>
          <t>bdbf0a61e6f2f75089136eb9c1c3c146c703c272</t>
        </is>
      </c>
      <c r="O267" s="14" t="n"/>
      <c r="P267" s="7" t="inlineStr">
        <is>
          <t>jobspy</t>
        </is>
      </c>
      <c r="Q267" s="8" t="inlineStr">
        <is>
          <t>python, javascript, git, web development, data analysis</t>
        </is>
      </c>
      <c r="R267" s="8" t="inlineStr">
        <is>
          <t>graduate Graduate Software Developer</t>
        </is>
      </c>
      <c r="S267" s="19" t="n"/>
      <c r="T267" s="19" t="n"/>
      <c r="U267" s="14" t="n">
        <v>46191</v>
      </c>
      <c r="V267" s="7" t="n"/>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4.08</v>
      </c>
      <c r="C268" s="12" t="inlineStr">
        <is>
          <t>Junior</t>
        </is>
      </c>
      <c r="D268" s="8" t="inlineStr">
        <is>
          <t>Junior Python Developer</t>
        </is>
      </c>
      <c r="E268" s="7" t="inlineStr">
        <is>
          <t>Information Tech Consultants</t>
        </is>
      </c>
      <c r="F268" s="8" t="inlineStr">
        <is>
          <t>Greater London, England, UK</t>
        </is>
      </c>
      <c r="G268" s="8" t="n"/>
      <c r="H268" s="14" t="n"/>
      <c r="I268" s="15">
        <f>IF($H268="","",$H268-TODAY())</f>
        <v/>
      </c>
      <c r="J268" s="16" t="inlineStr">
        <is>
          <t>Open posting</t>
        </is>
      </c>
      <c r="K268" s="8" t="n"/>
      <c r="L268" s="17" t="inlineStr">
        <is>
          <t>new</t>
        </is>
      </c>
      <c r="M268" s="18" t="inlineStr"/>
      <c r="N268" s="7" t="inlineStr">
        <is>
          <t>41ff8a808871cd91873904162b91fa12053a7ad1</t>
        </is>
      </c>
      <c r="O268" s="14" t="n"/>
      <c r="P268" s="7" t="inlineStr">
        <is>
          <t>jobspy</t>
        </is>
      </c>
      <c r="Q268" s="8" t="inlineStr">
        <is>
          <t>python, sql, rest apis, git, software development</t>
        </is>
      </c>
      <c r="R268" s="8" t="inlineStr">
        <is>
          <t>Junior Python Developer</t>
        </is>
      </c>
      <c r="S268" s="19" t="n"/>
      <c r="T268" s="19" t="n"/>
      <c r="U268" s="14" t="n">
        <v>46191</v>
      </c>
      <c r="V268" s="7" t="n"/>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4.08</v>
      </c>
      <c r="C269" s="12" t="inlineStr">
        <is>
          <t>Senior/Lead</t>
        </is>
      </c>
      <c r="D269" s="8" t="inlineStr">
        <is>
          <t>Full Stack Developer</t>
        </is>
      </c>
      <c r="E269" s="7" t="inlineStr">
        <is>
          <t>Version 1</t>
        </is>
      </c>
      <c r="F269" s="8" t="inlineStr">
        <is>
          <t>Newcastle Upon Tyne, England, UK</t>
        </is>
      </c>
      <c r="G269" s="8" t="n"/>
      <c r="H269" s="14" t="n"/>
      <c r="I269" s="15">
        <f>IF($H269="","",$H269-TODAY())</f>
        <v/>
      </c>
      <c r="J269" s="16" t="inlineStr">
        <is>
          <t>Open posting</t>
        </is>
      </c>
      <c r="K269" s="8" t="n"/>
      <c r="L269" s="17" t="inlineStr">
        <is>
          <t>new</t>
        </is>
      </c>
      <c r="M269" s="18" t="inlineStr"/>
      <c r="N269" s="7" t="inlineStr">
        <is>
          <t>d6a01d8c4d82022fbdb33982bfe876821b16a902</t>
        </is>
      </c>
      <c r="O269" s="14" t="n">
        <v>46190</v>
      </c>
      <c r="P269" s="7" t="inlineStr">
        <is>
          <t>jobspy</t>
        </is>
      </c>
      <c r="Q269" s="8" t="inlineStr">
        <is>
          <t>python, sql, rest apis, git</t>
        </is>
      </c>
      <c r="R269" s="8" t="inlineStr">
        <is>
          <t>Full Stack Developer Sheffield</t>
        </is>
      </c>
      <c r="S269" s="19" t="n"/>
      <c r="T269" s="19" t="n"/>
      <c r="U269" s="14" t="n">
        <v>46191</v>
      </c>
      <c r="V269" s="7" t="n"/>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4.08</v>
      </c>
      <c r="C270" s="12" t="inlineStr">
        <is>
          <t>Senior/Lead</t>
        </is>
      </c>
      <c r="D270" s="8" t="inlineStr">
        <is>
          <t>Full Stack Developer</t>
        </is>
      </c>
      <c r="E270" s="7" t="inlineStr">
        <is>
          <t>Version 1</t>
        </is>
      </c>
      <c r="F270" s="8" t="inlineStr">
        <is>
          <t>Manchester, England, UK</t>
        </is>
      </c>
      <c r="G270" s="8" t="n"/>
      <c r="H270" s="14" t="n"/>
      <c r="I270" s="15">
        <f>IF($H270="","",$H270-TODAY())</f>
        <v/>
      </c>
      <c r="J270" s="16" t="inlineStr">
        <is>
          <t>Open posting</t>
        </is>
      </c>
      <c r="K270" s="8" t="n"/>
      <c r="L270" s="17" t="inlineStr">
        <is>
          <t>new</t>
        </is>
      </c>
      <c r="M270" s="18" t="inlineStr"/>
      <c r="N270" s="7" t="inlineStr">
        <is>
          <t>fb015aac2a9eaa7fe333c9fe43c85eb6ee4e3d82</t>
        </is>
      </c>
      <c r="O270" s="14" t="n">
        <v>46188</v>
      </c>
      <c r="P270" s="7" t="inlineStr">
        <is>
          <t>jobspy</t>
        </is>
      </c>
      <c r="Q270" s="8" t="inlineStr">
        <is>
          <t>python, sql, rest apis, git</t>
        </is>
      </c>
      <c r="R270" s="8" t="inlineStr">
        <is>
          <t>Full Stack Developer Sheffield</t>
        </is>
      </c>
      <c r="S270" s="19" t="n"/>
      <c r="T270" s="19" t="n"/>
      <c r="U270" s="14" t="n">
        <v>46191</v>
      </c>
      <c r="V270" s="7" t="n"/>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4.08</v>
      </c>
      <c r="C271" s="12" t="inlineStr">
        <is>
          <t>Senior/Lead</t>
        </is>
      </c>
      <c r="D271" s="8" t="inlineStr">
        <is>
          <t>Software Engineer I - Trust Tech</t>
        </is>
      </c>
      <c r="E271" s="7" t="inlineStr">
        <is>
          <t>Trustpilot</t>
        </is>
      </c>
      <c r="F271" s="8" t="inlineStr">
        <is>
          <t>London, England, UK</t>
        </is>
      </c>
      <c r="G271" s="8" t="n"/>
      <c r="H271" s="14" t="n"/>
      <c r="I271" s="15">
        <f>IF($H271="","",$H271-TODAY())</f>
        <v/>
      </c>
      <c r="J271" s="16" t="inlineStr">
        <is>
          <t>Open posting</t>
        </is>
      </c>
      <c r="K271" s="8" t="n"/>
      <c r="L271" s="17" t="inlineStr">
        <is>
          <t>new</t>
        </is>
      </c>
      <c r="M271" s="18" t="inlineStr"/>
      <c r="N271" s="7" t="inlineStr">
        <is>
          <t>202942f308ae3970018b06eab317dbb311dce315</t>
        </is>
      </c>
      <c r="O271" s="14" t="n"/>
      <c r="P271" s="7" t="inlineStr">
        <is>
          <t>jobspy</t>
        </is>
      </c>
      <c r="Q271" s="8" t="inlineStr">
        <is>
          <t>sql, javascript, git, web development</t>
        </is>
      </c>
      <c r="R271" s="8" t="inlineStr">
        <is>
          <t>entry level Full Stack Developer</t>
        </is>
      </c>
      <c r="S271" s="19" t="n"/>
      <c r="T271" s="19" t="n"/>
      <c r="U271" s="14" t="n">
        <v>46191</v>
      </c>
      <c r="V271" s="7" t="n"/>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4.08</v>
      </c>
      <c r="C272" s="12" t="inlineStr">
        <is>
          <t>Senior/Lead</t>
        </is>
      </c>
      <c r="D272" s="8" t="inlineStr">
        <is>
          <t>Full Stack Developer</t>
        </is>
      </c>
      <c r="E272" s="7" t="inlineStr">
        <is>
          <t>Version 1</t>
        </is>
      </c>
      <c r="F272" s="8" t="inlineStr">
        <is>
          <t>Edinburgh, Scotland, UK</t>
        </is>
      </c>
      <c r="G272" s="8" t="n"/>
      <c r="H272" s="14" t="n"/>
      <c r="I272" s="15">
        <f>IF($H272="","",$H272-TODAY())</f>
        <v/>
      </c>
      <c r="J272" s="16" t="inlineStr">
        <is>
          <t>Open posting</t>
        </is>
      </c>
      <c r="K272" s="8" t="n"/>
      <c r="L272" s="17" t="inlineStr">
        <is>
          <t>new</t>
        </is>
      </c>
      <c r="M272" s="18" t="inlineStr"/>
      <c r="N272" s="7" t="inlineStr">
        <is>
          <t>51efc08491389f32686b86d9573a44ac17ef2696</t>
        </is>
      </c>
      <c r="O272" s="14" t="n">
        <v>46189</v>
      </c>
      <c r="P272" s="7" t="inlineStr">
        <is>
          <t>jobspy</t>
        </is>
      </c>
      <c r="Q272" s="8" t="inlineStr">
        <is>
          <t>python, sql, rest apis, git</t>
        </is>
      </c>
      <c r="R272" s="8" t="inlineStr">
        <is>
          <t>Full Stack Developer</t>
        </is>
      </c>
      <c r="S272" s="19" t="n"/>
      <c r="T272" s="19" t="n"/>
      <c r="U272" s="14" t="n">
        <v>46191</v>
      </c>
      <c r="V272" s="7" t="n"/>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4</v>
      </c>
      <c r="C273" s="12" t="inlineStr">
        <is>
          <t>Unspecified</t>
        </is>
      </c>
      <c r="D273" s="8" t="inlineStr">
        <is>
          <t>Full Stack Developer</t>
        </is>
      </c>
      <c r="E273" s="7" t="inlineStr">
        <is>
          <t>Carrot Recruitment</t>
        </is>
      </c>
      <c r="F273" s="8" t="inlineStr"/>
      <c r="G273" s="8" t="n"/>
      <c r="H273" s="14" t="n"/>
      <c r="I273" s="15">
        <f>IF($H273="","",$H273-TODAY())</f>
        <v/>
      </c>
      <c r="J273" s="16" t="inlineStr">
        <is>
          <t>Open posting</t>
        </is>
      </c>
      <c r="K273" s="8" t="inlineStr">
        <is>
          <t>Some backend/API/Docker overlap but role demands strong React/Next.js and senior full-stack depth beyond candidate's profile.</t>
        </is>
      </c>
      <c r="L273" s="17" t="inlineStr">
        <is>
          <t>new</t>
        </is>
      </c>
      <c r="M273" s="18" t="inlineStr"/>
      <c r="N273" s="7" t="inlineStr">
        <is>
          <t>39f8c05d3cce16851083328c19b1436bdb4861ad</t>
        </is>
      </c>
      <c r="O273" s="14" t="n"/>
      <c r="P273" s="7" t="inlineStr">
        <is>
          <t>jobspy</t>
        </is>
      </c>
      <c r="Q273" s="8" t="inlineStr">
        <is>
          <t>Python, SQL, Docker, Kubernetes, REST APIs</t>
        </is>
      </c>
      <c r="R273" s="8" t="inlineStr">
        <is>
          <t>Junior Python Developer backend SQL Docker</t>
        </is>
      </c>
      <c r="S273" s="19" t="n"/>
      <c r="T273" s="19" t="n"/>
      <c r="U273" s="14" t="n">
        <v>46196</v>
      </c>
      <c r="V273" s="7" t="inlineStr">
        <is>
          <t>v2-cv-accuracy-13b988b18da8ea7d</t>
        </is>
      </c>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4</v>
      </c>
      <c r="C274" s="12" t="inlineStr">
        <is>
          <t>Mid-level</t>
        </is>
      </c>
      <c r="D274" s="8" t="inlineStr">
        <is>
          <t>Data Engineer</t>
        </is>
      </c>
      <c r="E274" s="7" t="inlineStr">
        <is>
          <t>Abound</t>
        </is>
      </c>
      <c r="F274" s="8" t="inlineStr">
        <is>
          <t>London, England, UK</t>
        </is>
      </c>
      <c r="G274" s="8" t="n"/>
      <c r="H274" s="14" t="n"/>
      <c r="I274" s="15">
        <f>IF($H274="","",$H274-TODAY())</f>
        <v/>
      </c>
      <c r="J274" s="16" t="inlineStr">
        <is>
          <t>Open posting</t>
        </is>
      </c>
      <c r="K274" s="8" t="inlineStr">
        <is>
          <t>Data engineering role with Python/SQL/Docker overlap but requires strong AWS production experience and SOLID principles not evidenced in profile.</t>
        </is>
      </c>
      <c r="L274" s="17" t="inlineStr">
        <is>
          <t>new</t>
        </is>
      </c>
      <c r="M274" s="18" t="inlineStr"/>
      <c r="N274" s="7" t="inlineStr">
        <is>
          <t>1d808710ca877423c14c0a101b04e61fa658e309</t>
        </is>
      </c>
      <c r="O274" s="14" t="n">
        <v>46179</v>
      </c>
      <c r="P274" s="7" t="inlineStr">
        <is>
          <t>jobspy</t>
        </is>
      </c>
      <c r="Q274" s="8" t="inlineStr">
        <is>
          <t>Python, SQL, MySQL, Docker, Kubernetes</t>
        </is>
      </c>
      <c r="R274" s="8" t="inlineStr">
        <is>
          <t>Junior Data Engineer SQL Python MySQL</t>
        </is>
      </c>
      <c r="S274" s="19" t="n"/>
      <c r="T274" s="19" t="n"/>
      <c r="U274" s="14" t="n">
        <v>46193</v>
      </c>
      <c r="V274" s="7" t="inlineStr">
        <is>
          <t>v2-cv-accuracy-13b988b18da8ea7d</t>
        </is>
      </c>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4</v>
      </c>
      <c r="C275" s="12" t="inlineStr">
        <is>
          <t>Senior/Lead</t>
        </is>
      </c>
      <c r="D275" s="8" t="inlineStr">
        <is>
          <t>GPU Validation and Emulation Engineer - Qualcomm - Cambridge, UK</t>
        </is>
      </c>
      <c r="E275" s="7" t="inlineStr">
        <is>
          <t>Qualcomm</t>
        </is>
      </c>
      <c r="F275" s="8" t="inlineStr">
        <is>
          <t>Cambridge, England, UK</t>
        </is>
      </c>
      <c r="G275" s="8" t="n"/>
      <c r="H275" s="14" t="n"/>
      <c r="I275" s="15">
        <f>IF($H275="","",$H275-TODAY())</f>
        <v/>
      </c>
      <c r="J275" s="16" t="inlineStr">
        <is>
          <t>Open posting</t>
        </is>
      </c>
      <c r="K275" s="8" t="inlineStr">
        <is>
          <t>Minimum 4+ years ASIC/FPGA experience required; candidate has FPGA dissertation experience but lacks the professional years and UVM/SystemVerilog depth.</t>
        </is>
      </c>
      <c r="L275" s="17" t="inlineStr">
        <is>
          <t>new</t>
        </is>
      </c>
      <c r="M275" s="18" t="inlineStr"/>
      <c r="N275" s="7" t="inlineStr">
        <is>
          <t>b3f479fbab946c7431b9d4f86c3fec9dbf3f2dbd</t>
        </is>
      </c>
      <c r="O275" s="14" t="n"/>
      <c r="P275" s="7" t="inlineStr">
        <is>
          <t>jobspy</t>
        </is>
      </c>
      <c r="Q275" s="8" t="inlineStr">
        <is>
          <t>FPGA, Verilog, digital design, Python</t>
        </is>
      </c>
      <c r="R275" s="8" t="inlineStr">
        <is>
          <t>Hardware Engineer graduate FPGA digital design</t>
        </is>
      </c>
      <c r="S275" s="19" t="n"/>
      <c r="T275" s="19" t="n"/>
      <c r="U275" s="14" t="n">
        <v>46193</v>
      </c>
      <c r="V275" s="7" t="inlineStr">
        <is>
          <t>v2-cv-accuracy-13b988b18da8ea7d</t>
        </is>
      </c>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4</v>
      </c>
      <c r="C276" s="12" t="inlineStr">
        <is>
          <t>Junior</t>
        </is>
      </c>
      <c r="D276" s="8" t="inlineStr">
        <is>
          <t>Full Stack Developer</t>
        </is>
      </c>
      <c r="E276" s="7" t="inlineStr">
        <is>
          <t>Cactus Search</t>
        </is>
      </c>
      <c r="F276" s="8" t="inlineStr">
        <is>
          <t>Manchester, England, UK</t>
        </is>
      </c>
      <c r="G276" s="8" t="n"/>
      <c r="H276" s="14" t="n"/>
      <c r="I276" s="15">
        <f>IF($H276="","",$H276-TODAY())</f>
        <v/>
      </c>
      <c r="J276" s="16" t="inlineStr">
        <is>
          <t>Open posting</t>
        </is>
      </c>
      <c r="K276" s="8" t="inlineStr">
        <is>
          <t>Requires 3+ years and Twilio API expertise absent from profile; Manchester office 4 days is outside remote preference.</t>
        </is>
      </c>
      <c r="L276" s="17" t="inlineStr">
        <is>
          <t>new</t>
        </is>
      </c>
      <c r="M276" s="18" t="inlineStr"/>
      <c r="N276" s="7" t="inlineStr">
        <is>
          <t>aa745f4e5d62b73d3358bdd261d5b7d75df4c10a</t>
        </is>
      </c>
      <c r="O276" s="14" t="n">
        <v>46177</v>
      </c>
      <c r="P276" s="7" t="inlineStr">
        <is>
          <t>jobspy</t>
        </is>
      </c>
      <c r="Q276" s="8" t="inlineStr">
        <is>
          <t>JavaScript, Node.js, React, REST APIs, AWS</t>
        </is>
      </c>
      <c r="R276" s="8" t="inlineStr">
        <is>
          <t>Full Stack Developer</t>
        </is>
      </c>
      <c r="S276" s="19" t="n"/>
      <c r="T276" s="19" t="n"/>
      <c r="U276" s="14" t="n">
        <v>46192</v>
      </c>
      <c r="V276" s="7" t="inlineStr">
        <is>
          <t>v2-cv-accuracy-13b988b18da8ea7d</t>
        </is>
      </c>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4</v>
      </c>
      <c r="C277" s="12" t="inlineStr">
        <is>
          <t>Junior</t>
        </is>
      </c>
      <c r="D277" s="8" t="inlineStr">
        <is>
          <t>DevOps Engineer</t>
        </is>
      </c>
      <c r="E277" s="7" t="inlineStr">
        <is>
          <t>Information Tech Consultants</t>
        </is>
      </c>
      <c r="F277" s="8" t="inlineStr">
        <is>
          <t>England, United Kingdom</t>
        </is>
      </c>
      <c r="G277" s="8" t="n"/>
      <c r="H277" s="14" t="n"/>
      <c r="I277" s="15">
        <f>IF($H277="","",$H277-TODAY())</f>
        <v/>
      </c>
      <c r="J277" s="16" t="inlineStr">
        <is>
          <t>Open posting</t>
        </is>
      </c>
      <c r="K277" s="8" t="inlineStr">
        <is>
          <t>Some skill overlap (Python, Docker, Kubernetes, Git) but London onsite-only and no AWS hands-on evidence in profile are meaningful gaps.</t>
        </is>
      </c>
      <c r="L277" s="17" t="inlineStr">
        <is>
          <t>new</t>
        </is>
      </c>
      <c r="M277" s="18" t="inlineStr"/>
      <c r="N277" s="7" t="inlineStr">
        <is>
          <t>806780f46a303bdf3ce2fe3ea37ec63f8fe85d04</t>
        </is>
      </c>
      <c r="O277" s="14" t="n">
        <v>46185</v>
      </c>
      <c r="P277" s="7" t="inlineStr">
        <is>
          <t>jobspy</t>
        </is>
      </c>
      <c r="Q277" s="8" t="inlineStr">
        <is>
          <t>Python, Docker, Kubernetes, Git, MySQL</t>
        </is>
      </c>
      <c r="R277" s="8" t="inlineStr">
        <is>
          <t>Graduate DevOps Engineer Docker Kubernetes Python</t>
        </is>
      </c>
      <c r="S277" s="19" t="n"/>
      <c r="T277" s="19" t="n"/>
      <c r="U277" s="14" t="n">
        <v>46192</v>
      </c>
      <c r="V277" s="7" t="inlineStr">
        <is>
          <t>v2-cv-accuracy-13b988b18da8ea7d</t>
        </is>
      </c>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3.88</v>
      </c>
      <c r="C278" s="12" t="inlineStr">
        <is>
          <t>Unspecified</t>
        </is>
      </c>
      <c r="D278" s="8" t="inlineStr">
        <is>
          <t>Overseas Contractor</t>
        </is>
      </c>
      <c r="E278" s="7" t="inlineStr">
        <is>
          <t>LTM</t>
        </is>
      </c>
      <c r="F278" s="8" t="inlineStr">
        <is>
          <t>Sheffield, England, UK</t>
        </is>
      </c>
      <c r="G278" s="8" t="n"/>
      <c r="H278" s="14" t="n"/>
      <c r="I278" s="15">
        <f>IF($H278="","",$H278-TODAY())</f>
        <v/>
      </c>
      <c r="J278" s="16" t="inlineStr">
        <is>
          <t>Open posting</t>
        </is>
      </c>
      <c r="K278" s="8" t="n"/>
      <c r="L278" s="17" t="inlineStr">
        <is>
          <t>new</t>
        </is>
      </c>
      <c r="M278" s="18" t="inlineStr"/>
      <c r="N278" s="7" t="inlineStr">
        <is>
          <t>51a08f2ab8bb561bbec573d5bb8c67784c9690e6</t>
        </is>
      </c>
      <c r="O278" s="14" t="n">
        <v>46178</v>
      </c>
      <c r="P278" s="7" t="inlineStr">
        <is>
          <t>jobspy</t>
        </is>
      </c>
      <c r="Q278" s="8" t="inlineStr">
        <is>
          <t>python, sql, git, software development</t>
        </is>
      </c>
      <c r="R278" s="8" t="inlineStr">
        <is>
          <t>Graduate Software Developer Sheffield</t>
        </is>
      </c>
      <c r="S278" s="19" t="n"/>
      <c r="T278" s="19" t="n"/>
      <c r="U278" s="14" t="n">
        <v>46191</v>
      </c>
      <c r="V278" s="7" t="n"/>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3.88</v>
      </c>
      <c r="C279" s="12" t="inlineStr">
        <is>
          <t>Unspecified</t>
        </is>
      </c>
      <c r="D279" s="8" t="inlineStr">
        <is>
          <t>Mid Backend Engineer</t>
        </is>
      </c>
      <c r="E279" s="7" t="inlineStr">
        <is>
          <t>Bumper</t>
        </is>
      </c>
      <c r="F279" s="8" t="inlineStr"/>
      <c r="G279" s="8" t="n"/>
      <c r="H279" s="14" t="n"/>
      <c r="I279" s="15">
        <f>IF($H279="","",$H279-TODAY())</f>
        <v/>
      </c>
      <c r="J279" s="16" t="inlineStr">
        <is>
          <t>Open posting</t>
        </is>
      </c>
      <c r="K279" s="8" t="n"/>
      <c r="L279" s="17" t="inlineStr">
        <is>
          <t>new</t>
        </is>
      </c>
      <c r="M279" s="18" t="inlineStr"/>
      <c r="N279" s="7" t="inlineStr">
        <is>
          <t>8e65899ad0b33f162c36c7bbd37b410d36bc1983</t>
        </is>
      </c>
      <c r="O279" s="14" t="n">
        <v>46189</v>
      </c>
      <c r="P279" s="7" t="inlineStr">
        <is>
          <t>jobspy</t>
        </is>
      </c>
      <c r="Q279" s="8" t="inlineStr">
        <is>
          <t>python, sql, rest apis, git, data analysis</t>
        </is>
      </c>
      <c r="R279" s="8" t="inlineStr">
        <is>
          <t>Junior Python Developer Sheffield</t>
        </is>
      </c>
      <c r="S279" s="19" t="n"/>
      <c r="T279" s="19" t="n"/>
      <c r="U279" s="14" t="n">
        <v>46191</v>
      </c>
      <c r="V279" s="7" t="n"/>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3.88</v>
      </c>
      <c r="C280" s="12" t="inlineStr">
        <is>
          <t>Unspecified</t>
        </is>
      </c>
      <c r="D280" s="8" t="inlineStr">
        <is>
          <t>Full Stack Application Developer - Investment Technology (Hedge Fund)</t>
        </is>
      </c>
      <c r="E280" s="7" t="inlineStr">
        <is>
          <t>NDA</t>
        </is>
      </c>
      <c r="F280" s="8" t="inlineStr">
        <is>
          <t>London Area, United Kingdom</t>
        </is>
      </c>
      <c r="G280" s="8" t="n"/>
      <c r="H280" s="14" t="n"/>
      <c r="I280" s="15">
        <f>IF($H280="","",$H280-TODAY())</f>
        <v/>
      </c>
      <c r="J280" s="16" t="inlineStr">
        <is>
          <t>Open posting</t>
        </is>
      </c>
      <c r="K280" s="8" t="n"/>
      <c r="L280" s="17" t="inlineStr">
        <is>
          <t>new</t>
        </is>
      </c>
      <c r="M280" s="18" t="inlineStr"/>
      <c r="N280" s="7" t="inlineStr">
        <is>
          <t>7a5d95a4e70d775bb23429ede2b62cca23970a54</t>
        </is>
      </c>
      <c r="O280" s="14" t="n">
        <v>46176</v>
      </c>
      <c r="P280" s="7" t="inlineStr">
        <is>
          <t>jobspy</t>
        </is>
      </c>
      <c r="Q280" s="8" t="inlineStr">
        <is>
          <t>python, sql, javascript, rest apis, software development</t>
        </is>
      </c>
      <c r="R280" s="8" t="inlineStr">
        <is>
          <t>graduate Full Stack Developer</t>
        </is>
      </c>
      <c r="S280" s="19" t="n"/>
      <c r="T280" s="19" t="n"/>
      <c r="U280" s="14" t="n">
        <v>46191</v>
      </c>
      <c r="V280" s="7" t="n"/>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3.88</v>
      </c>
      <c r="C281" s="12" t="inlineStr">
        <is>
          <t>Senior/Lead</t>
        </is>
      </c>
      <c r="D281" s="8" t="inlineStr">
        <is>
          <t>Python Fullstack Developer</t>
        </is>
      </c>
      <c r="E281" s="7" t="inlineStr">
        <is>
          <t>Mphasis</t>
        </is>
      </c>
      <c r="F281" s="8" t="inlineStr">
        <is>
          <t>London Area, United Kingdom</t>
        </is>
      </c>
      <c r="G281" s="8" t="n"/>
      <c r="H281" s="14" t="n"/>
      <c r="I281" s="15">
        <f>IF($H281="","",$H281-TODAY())</f>
        <v/>
      </c>
      <c r="J281" s="16" t="inlineStr">
        <is>
          <t>Open posting</t>
        </is>
      </c>
      <c r="K281" s="8" t="n"/>
      <c r="L281" s="17" t="inlineStr">
        <is>
          <t>new</t>
        </is>
      </c>
      <c r="M281" s="18" t="inlineStr"/>
      <c r="N281" s="7" t="inlineStr">
        <is>
          <t>721975b96e628f2512647f3bfb2821b307f10a46</t>
        </is>
      </c>
      <c r="O281" s="14" t="n">
        <v>46175</v>
      </c>
      <c r="P281" s="7" t="inlineStr">
        <is>
          <t>jobspy</t>
        </is>
      </c>
      <c r="Q281" s="8" t="inlineStr">
        <is>
          <t>python, sql, software development</t>
        </is>
      </c>
      <c r="R281" s="8" t="inlineStr">
        <is>
          <t>junior/graduate Junior Python Developer</t>
        </is>
      </c>
      <c r="S281" s="19" t="n"/>
      <c r="T281" s="19" t="n"/>
      <c r="U281" s="14" t="n">
        <v>46191</v>
      </c>
      <c r="V281" s="7" t="n"/>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3.88</v>
      </c>
      <c r="C282" s="12" t="inlineStr">
        <is>
          <t>Mid-level</t>
        </is>
      </c>
      <c r="D282" s="8" t="inlineStr">
        <is>
          <t>Full Stack Developer</t>
        </is>
      </c>
      <c r="E282" s="7" t="inlineStr">
        <is>
          <t>Scrumconnect Consulting</t>
        </is>
      </c>
      <c r="F282" s="8" t="inlineStr">
        <is>
          <t>Newcastle Upon Tyne, England, UK</t>
        </is>
      </c>
      <c r="G282" s="8" t="n"/>
      <c r="H282" s="14" t="n"/>
      <c r="I282" s="15">
        <f>IF($H282="","",$H282-TODAY())</f>
        <v/>
      </c>
      <c r="J282" s="16" t="inlineStr">
        <is>
          <t>Open posting</t>
        </is>
      </c>
      <c r="K282" s="8" t="n"/>
      <c r="L282" s="17" t="inlineStr">
        <is>
          <t>new</t>
        </is>
      </c>
      <c r="M282" s="18" t="inlineStr"/>
      <c r="N282" s="7" t="inlineStr">
        <is>
          <t>e4aeb6049f8287e7b38414c8ea296703415080df</t>
        </is>
      </c>
      <c r="O282" s="14" t="n">
        <v>46169</v>
      </c>
      <c r="P282" s="7" t="inlineStr">
        <is>
          <t>jobspy</t>
        </is>
      </c>
      <c r="Q282" s="8" t="inlineStr">
        <is>
          <t>javascript, rest apis, git</t>
        </is>
      </c>
      <c r="R282" s="8" t="inlineStr">
        <is>
          <t>Full Stack Developer</t>
        </is>
      </c>
      <c r="S282" s="19" t="n"/>
      <c r="T282" s="19" t="n"/>
      <c r="U282" s="14" t="n">
        <v>46191</v>
      </c>
      <c r="V282" s="7" t="n"/>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3.8</v>
      </c>
      <c r="C283" s="12" t="inlineStr">
        <is>
          <t>Junior</t>
        </is>
      </c>
      <c r="D283" s="8" t="inlineStr">
        <is>
          <t>Full Stack Developer (Java)</t>
        </is>
      </c>
      <c r="E283" s="7" t="inlineStr">
        <is>
          <t>IBM</t>
        </is>
      </c>
      <c r="F283" s="8" t="inlineStr">
        <is>
          <t>Leicester, England, UK</t>
        </is>
      </c>
      <c r="G283" s="8" t="n"/>
      <c r="H283" s="14" t="n"/>
      <c r="I283" s="15">
        <f>IF($H283="","",$H283-TODAY())</f>
        <v/>
      </c>
      <c r="J283" s="16" t="inlineStr">
        <is>
          <t>Open posting</t>
        </is>
      </c>
      <c r="K283" s="8" t="inlineStr">
        <is>
          <t>Python, Docker, Kubernetes, and SQL match but role centres on Java/Spring Boot full-stack cloud dev with no hardware overlap and unclear seniority.</t>
        </is>
      </c>
      <c r="L283" s="17" t="inlineStr">
        <is>
          <t>new</t>
        </is>
      </c>
      <c r="M283" s="18" t="inlineStr"/>
      <c r="N283" s="7" t="inlineStr">
        <is>
          <t>bb41e65ef895e5120100fb5366b0f054e7a8db19</t>
        </is>
      </c>
      <c r="O283" s="14" t="n">
        <v>46190</v>
      </c>
      <c r="P283" s="7" t="inlineStr">
        <is>
          <t>jobspy</t>
        </is>
      </c>
      <c r="Q283" s="8" t="inlineStr">
        <is>
          <t>Python, Docker, Kubernetes, SQL</t>
        </is>
      </c>
      <c r="R283" s="8" t="inlineStr">
        <is>
          <t>Junior Python Developer backend Docker Kubernetes</t>
        </is>
      </c>
      <c r="S283" s="19" t="n"/>
      <c r="T283" s="19" t="n"/>
      <c r="U283" s="14" t="n">
        <v>46197</v>
      </c>
      <c r="V283" s="7" t="inlineStr">
        <is>
          <t>v2-cv-accuracy-13b988b18da8ea7d</t>
        </is>
      </c>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3.8</v>
      </c>
      <c r="C284" s="12" t="inlineStr">
        <is>
          <t>Junior</t>
        </is>
      </c>
      <c r="D284" s="8" t="inlineStr">
        <is>
          <t>Full Stack Developer (Java)</t>
        </is>
      </c>
      <c r="E284" s="7" t="inlineStr">
        <is>
          <t>IBM</t>
        </is>
      </c>
      <c r="F284" s="8" t="inlineStr">
        <is>
          <t>London, England, UK</t>
        </is>
      </c>
      <c r="G284" s="8" t="n"/>
      <c r="H284" s="14" t="n"/>
      <c r="I284" s="15">
        <f>IF($H284="","",$H284-TODAY())</f>
        <v/>
      </c>
      <c r="J284" s="16" t="inlineStr">
        <is>
          <t>Open posting</t>
        </is>
      </c>
      <c r="K284" s="8" t="inlineStr">
        <is>
          <t>Same as above duplicate listing; Java/Spring Boot and cloud-native full-stack focus are outside core profile despite some adjacent skill overlap.</t>
        </is>
      </c>
      <c r="L284" s="17" t="inlineStr">
        <is>
          <t>new</t>
        </is>
      </c>
      <c r="M284" s="18" t="inlineStr"/>
      <c r="N284" s="7" t="inlineStr">
        <is>
          <t>044c3e46669e1665b39f3dc2f15f193b0089142d</t>
        </is>
      </c>
      <c r="O284" s="14" t="n">
        <v>46190</v>
      </c>
      <c r="P284" s="7" t="inlineStr">
        <is>
          <t>jobspy</t>
        </is>
      </c>
      <c r="Q284" s="8" t="inlineStr">
        <is>
          <t>Python, Docker, Kubernetes, SQL</t>
        </is>
      </c>
      <c r="R284" s="8" t="inlineStr">
        <is>
          <t>Junior Python Developer backend Docker Kubernetes</t>
        </is>
      </c>
      <c r="S284" s="19" t="n"/>
      <c r="T284" s="19" t="n"/>
      <c r="U284" s="14" t="n">
        <v>46197</v>
      </c>
      <c r="V284" s="7" t="inlineStr">
        <is>
          <t>v2-cv-accuracy-13b988b18da8ea7d</t>
        </is>
      </c>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3.67</v>
      </c>
      <c r="C285" s="12" t="inlineStr">
        <is>
          <t>Unspecified</t>
        </is>
      </c>
      <c r="D285" s="8" t="inlineStr">
        <is>
          <t>Python Developer</t>
        </is>
      </c>
      <c r="E285" s="7" t="inlineStr">
        <is>
          <t>EDF Trading</t>
        </is>
      </c>
      <c r="F285" s="8" t="inlineStr">
        <is>
          <t>London Area, United Kingdom</t>
        </is>
      </c>
      <c r="G285" s="8" t="n"/>
      <c r="H285" s="14" t="n"/>
      <c r="I285" s="15">
        <f>IF($H285="","",$H285-TODAY())</f>
        <v/>
      </c>
      <c r="J285" s="16" t="inlineStr">
        <is>
          <t>Open posting</t>
        </is>
      </c>
      <c r="K285" s="8" t="n"/>
      <c r="L285" s="17" t="inlineStr">
        <is>
          <t>new</t>
        </is>
      </c>
      <c r="M285" s="18" t="inlineStr"/>
      <c r="N285" s="7" t="inlineStr">
        <is>
          <t>ea9b22b896311af6fd2bca2f6014193237a8f29b</t>
        </is>
      </c>
      <c r="O285" s="14" t="n">
        <v>46178</v>
      </c>
      <c r="P285" s="7" t="inlineStr">
        <is>
          <t>jobspy</t>
        </is>
      </c>
      <c r="Q285" s="8" t="inlineStr">
        <is>
          <t>python, sql, git, software development</t>
        </is>
      </c>
      <c r="R285" s="8" t="inlineStr">
        <is>
          <t>Junior Python Developer</t>
        </is>
      </c>
      <c r="S285" s="19" t="n"/>
      <c r="T285" s="19" t="n"/>
      <c r="U285" s="14" t="n">
        <v>46191</v>
      </c>
      <c r="V285" s="7" t="n"/>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3.67</v>
      </c>
      <c r="C286" s="12" t="inlineStr">
        <is>
          <t>Senior/Lead</t>
        </is>
      </c>
      <c r="D286" s="8" t="inlineStr">
        <is>
          <t>Java Full Stack Developer | Microservices. Kafka | London</t>
        </is>
      </c>
      <c r="E286" s="7" t="inlineStr">
        <is>
          <t>Infosys</t>
        </is>
      </c>
      <c r="F286" s="8" t="inlineStr">
        <is>
          <t>London, ENG, GB</t>
        </is>
      </c>
      <c r="G286" s="8" t="n"/>
      <c r="H286" s="14" t="n"/>
      <c r="I286" s="15">
        <f>IF($H286="","",$H286-TODAY())</f>
        <v/>
      </c>
      <c r="J286" s="16" t="inlineStr">
        <is>
          <t>Open posting</t>
        </is>
      </c>
      <c r="K286" s="8" t="n"/>
      <c r="L286" s="17" t="inlineStr">
        <is>
          <t>new</t>
        </is>
      </c>
      <c r="M286" s="18" t="inlineStr"/>
      <c r="N286" s="7" t="inlineStr">
        <is>
          <t>89879c88889861cce8dfa596319fff9167495443</t>
        </is>
      </c>
      <c r="O286" s="14" t="n">
        <v>46190</v>
      </c>
      <c r="P286" s="7" t="inlineStr">
        <is>
          <t>jobspy</t>
        </is>
      </c>
      <c r="Q286" s="8" t="inlineStr">
        <is>
          <t>sql, javascript, git</t>
        </is>
      </c>
      <c r="R286" s="8" t="inlineStr">
        <is>
          <t>Full Stack Developer</t>
        </is>
      </c>
      <c r="S286" s="19" t="n"/>
      <c r="T286" s="19" t="n"/>
      <c r="U286" s="14" t="n">
        <v>46191</v>
      </c>
      <c r="V286" s="7" t="n"/>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3.67</v>
      </c>
      <c r="C287" s="12" t="inlineStr">
        <is>
          <t>Mid-level</t>
        </is>
      </c>
      <c r="D287" s="8" t="inlineStr">
        <is>
          <t>Software Engineer, Full Stack - UK</t>
        </is>
      </c>
      <c r="E287" s="7" t="inlineStr">
        <is>
          <t>Ema</t>
        </is>
      </c>
      <c r="F287" s="8" t="inlineStr">
        <is>
          <t>London, ENG, GB</t>
        </is>
      </c>
      <c r="G287" s="8" t="n"/>
      <c r="H287" s="14" t="n"/>
      <c r="I287" s="15">
        <f>IF($H287="","",$H287-TODAY())</f>
        <v/>
      </c>
      <c r="J287" s="16" t="inlineStr">
        <is>
          <t>Open posting</t>
        </is>
      </c>
      <c r="K287" s="8" t="n"/>
      <c r="L287" s="17" t="inlineStr">
        <is>
          <t>new</t>
        </is>
      </c>
      <c r="M287" s="18" t="inlineStr"/>
      <c r="N287" s="7" t="inlineStr">
        <is>
          <t>0d7f6e428bdf4ca99933d3b86a8bd449d2da90d7</t>
        </is>
      </c>
      <c r="O287" s="14" t="n">
        <v>46184</v>
      </c>
      <c r="P287" s="7" t="inlineStr">
        <is>
          <t>jobspy</t>
        </is>
      </c>
      <c r="Q287" s="8" t="inlineStr">
        <is>
          <t>python, sql, javascript, software development</t>
        </is>
      </c>
      <c r="R287" s="8" t="inlineStr">
        <is>
          <t>graduate Full Stack Developer</t>
        </is>
      </c>
      <c r="S287" s="19" t="n"/>
      <c r="T287" s="19" t="n"/>
      <c r="U287" s="14" t="n">
        <v>46191</v>
      </c>
      <c r="V287" s="7" t="n"/>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3.67</v>
      </c>
      <c r="C288" s="12" t="inlineStr">
        <is>
          <t>Mid-level</t>
        </is>
      </c>
      <c r="D288" s="8" t="inlineStr">
        <is>
          <t>Python Backend Developer</t>
        </is>
      </c>
      <c r="E288" s="7" t="inlineStr">
        <is>
          <t>Mustard Systems Ltd.</t>
        </is>
      </c>
      <c r="F288" s="8" t="inlineStr">
        <is>
          <t>London, England, UK</t>
        </is>
      </c>
      <c r="G288" s="8" t="n"/>
      <c r="H288" s="14" t="n"/>
      <c r="I288" s="15">
        <f>IF($H288="","",$H288-TODAY())</f>
        <v/>
      </c>
      <c r="J288" s="16" t="inlineStr">
        <is>
          <t>Open posting</t>
        </is>
      </c>
      <c r="K288" s="8" t="n"/>
      <c r="L288" s="17" t="inlineStr">
        <is>
          <t>new</t>
        </is>
      </c>
      <c r="M288" s="18" t="inlineStr"/>
      <c r="N288" s="7" t="inlineStr">
        <is>
          <t>5dbba97948ef1a053a4ea3593e80a1f89c677d3c</t>
        </is>
      </c>
      <c r="O288" s="14" t="n">
        <v>46181</v>
      </c>
      <c r="P288" s="7" t="inlineStr">
        <is>
          <t>jobspy</t>
        </is>
      </c>
      <c r="Q288" s="8" t="inlineStr">
        <is>
          <t>python, sql, javascript, software development</t>
        </is>
      </c>
      <c r="R288" s="8" t="inlineStr">
        <is>
          <t>junior/graduate Junior Python Developer</t>
        </is>
      </c>
      <c r="S288" s="19" t="n"/>
      <c r="T288" s="19" t="n"/>
      <c r="U288" s="14" t="n">
        <v>46191</v>
      </c>
      <c r="V288" s="7" t="n"/>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3.67</v>
      </c>
      <c r="C289" s="12" t="inlineStr">
        <is>
          <t>Mid-level</t>
        </is>
      </c>
      <c r="D289" s="8" t="inlineStr">
        <is>
          <t>Python Developer – UK Remote Contract – Outside IR35</t>
        </is>
      </c>
      <c r="E289" s="7" t="inlineStr">
        <is>
          <t>Infused Solutions</t>
        </is>
      </c>
      <c r="F289" s="8" t="inlineStr">
        <is>
          <t>England, United Kingdom</t>
        </is>
      </c>
      <c r="G289" s="8" t="n"/>
      <c r="H289" s="14" t="n"/>
      <c r="I289" s="15">
        <f>IF($H289="","",$H289-TODAY())</f>
        <v/>
      </c>
      <c r="J289" s="16" t="inlineStr">
        <is>
          <t>Open posting</t>
        </is>
      </c>
      <c r="K289" s="8" t="n"/>
      <c r="L289" s="17" t="inlineStr">
        <is>
          <t>new</t>
        </is>
      </c>
      <c r="M289" s="18" t="inlineStr"/>
      <c r="N289" s="7" t="inlineStr">
        <is>
          <t>20335c635619221414b95473f5cc2833c341d649</t>
        </is>
      </c>
      <c r="O289" s="14" t="n">
        <v>46175</v>
      </c>
      <c r="P289" s="7" t="inlineStr">
        <is>
          <t>jobspy</t>
        </is>
      </c>
      <c r="Q289" s="8" t="inlineStr">
        <is>
          <t>python, sql, git</t>
        </is>
      </c>
      <c r="R289" s="8" t="inlineStr">
        <is>
          <t>Junior Python Developer remote</t>
        </is>
      </c>
      <c r="S289" s="19" t="n"/>
      <c r="T289" s="19" t="n"/>
      <c r="U289" s="14" t="n">
        <v>46191</v>
      </c>
      <c r="V289" s="7" t="n"/>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3.67</v>
      </c>
      <c r="C290" s="12" t="inlineStr">
        <is>
          <t>Mid-level</t>
        </is>
      </c>
      <c r="D290" s="8" t="inlineStr">
        <is>
          <t>Full Stack Engineer</t>
        </is>
      </c>
      <c r="E290" s="7" t="inlineStr">
        <is>
          <t>Finimize</t>
        </is>
      </c>
      <c r="F290" s="8" t="inlineStr">
        <is>
          <t>Greater London, England, UK</t>
        </is>
      </c>
      <c r="G290" s="8" t="n"/>
      <c r="H290" s="14" t="n"/>
      <c r="I290" s="15">
        <f>IF($H290="","",$H290-TODAY())</f>
        <v/>
      </c>
      <c r="J290" s="16" t="inlineStr">
        <is>
          <t>Open posting</t>
        </is>
      </c>
      <c r="K290" s="8" t="n"/>
      <c r="L290" s="17" t="inlineStr">
        <is>
          <t>new</t>
        </is>
      </c>
      <c r="M290" s="18" t="inlineStr"/>
      <c r="N290" s="7" t="inlineStr">
        <is>
          <t>7c951088e44882fdef7717c8775152d270e0e0b4</t>
        </is>
      </c>
      <c r="O290" s="14" t="n">
        <v>46182</v>
      </c>
      <c r="P290" s="7" t="inlineStr">
        <is>
          <t>jobspy</t>
        </is>
      </c>
      <c r="Q290" s="8" t="inlineStr">
        <is>
          <t>python, sql, javascript, git</t>
        </is>
      </c>
      <c r="R290" s="8" t="inlineStr">
        <is>
          <t>graduate Full Stack Developer</t>
        </is>
      </c>
      <c r="S290" s="19" t="n"/>
      <c r="T290" s="19" t="n"/>
      <c r="U290" s="14" t="n">
        <v>46191</v>
      </c>
      <c r="V290" s="7" t="n"/>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3.67</v>
      </c>
      <c r="C291" s="12" t="inlineStr">
        <is>
          <t>Mid-level</t>
        </is>
      </c>
      <c r="D291" s="8" t="inlineStr">
        <is>
          <t>Python Developer – UK Remote Contract – Outside IR35</t>
        </is>
      </c>
      <c r="E291" s="7" t="inlineStr">
        <is>
          <t>Infused Solutions</t>
        </is>
      </c>
      <c r="F291" s="8" t="inlineStr">
        <is>
          <t>England, United Kingdom</t>
        </is>
      </c>
      <c r="G291" s="8" t="n"/>
      <c r="H291" s="14" t="n"/>
      <c r="I291" s="15">
        <f>IF($H291="","",$H291-TODAY())</f>
        <v/>
      </c>
      <c r="J291" s="16" t="inlineStr">
        <is>
          <t>Open posting</t>
        </is>
      </c>
      <c r="K291" s="8" t="n"/>
      <c r="L291" s="17" t="inlineStr">
        <is>
          <t>new</t>
        </is>
      </c>
      <c r="M291" s="18" t="inlineStr"/>
      <c r="N291" s="7" t="inlineStr">
        <is>
          <t>9cfcdb3e57673273f33070447ea2f2e6d54c52ea</t>
        </is>
      </c>
      <c r="O291" s="14" t="n">
        <v>46185</v>
      </c>
      <c r="P291" s="7" t="inlineStr">
        <is>
          <t>jobspy</t>
        </is>
      </c>
      <c r="Q291" s="8" t="inlineStr">
        <is>
          <t>python, sql, git</t>
        </is>
      </c>
      <c r="R291" s="8" t="inlineStr">
        <is>
          <t>junior/graduate Junior Python Developer</t>
        </is>
      </c>
      <c r="S291" s="19" t="n"/>
      <c r="T291" s="19" t="n"/>
      <c r="U291" s="14" t="n">
        <v>46191</v>
      </c>
      <c r="V291" s="7" t="n"/>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3.67</v>
      </c>
      <c r="C292" s="12" t="inlineStr">
        <is>
          <t>Unspecified</t>
        </is>
      </c>
      <c r="D292" s="8" t="inlineStr">
        <is>
          <t>Full Stack Engineer</t>
        </is>
      </c>
      <c r="E292" s="7" t="inlineStr">
        <is>
          <t>Flutter UK &amp; Ireland</t>
        </is>
      </c>
      <c r="F292" s="8" t="inlineStr">
        <is>
          <t>West Yorkshire, England, UK</t>
        </is>
      </c>
      <c r="G292" s="8" t="n"/>
      <c r="H292" s="14" t="n"/>
      <c r="I292" s="15">
        <f>IF($H292="","",$H292-TODAY())</f>
        <v/>
      </c>
      <c r="J292" s="16" t="inlineStr">
        <is>
          <t>Open posting</t>
        </is>
      </c>
      <c r="K292" s="8" t="n"/>
      <c r="L292" s="17" t="inlineStr">
        <is>
          <t>new</t>
        </is>
      </c>
      <c r="M292" s="18" t="inlineStr"/>
      <c r="N292" s="7" t="inlineStr">
        <is>
          <t>b321c5e7217f43ec7fafc19cb899b08627116822</t>
        </is>
      </c>
      <c r="O292" s="14" t="n">
        <v>46163</v>
      </c>
      <c r="P292" s="7" t="inlineStr">
        <is>
          <t>jobspy</t>
        </is>
      </c>
      <c r="Q292" s="8" t="inlineStr">
        <is>
          <t>python, sql, rest apis, git</t>
        </is>
      </c>
      <c r="R292" s="8" t="inlineStr">
        <is>
          <t>Full Stack Developer Sheffield</t>
        </is>
      </c>
      <c r="S292" s="19" t="n"/>
      <c r="T292" s="19" t="n"/>
      <c r="U292" s="14" t="n">
        <v>46191</v>
      </c>
      <c r="V292" s="7" t="n"/>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3.67</v>
      </c>
      <c r="C293" s="12" t="inlineStr">
        <is>
          <t>Unspecified</t>
        </is>
      </c>
      <c r="D293" s="8" t="inlineStr">
        <is>
          <t>Software Engineer</t>
        </is>
      </c>
      <c r="E293" s="7" t="inlineStr">
        <is>
          <t>ivee</t>
        </is>
      </c>
      <c r="F293" s="8" t="inlineStr">
        <is>
          <t>London Area, United Kingdom</t>
        </is>
      </c>
      <c r="G293" s="8" t="n"/>
      <c r="H293" s="14" t="n"/>
      <c r="I293" s="15">
        <f>IF($H293="","",$H293-TODAY())</f>
        <v/>
      </c>
      <c r="J293" s="16" t="inlineStr">
        <is>
          <t>Open posting</t>
        </is>
      </c>
      <c r="K293" s="8" t="n"/>
      <c r="L293" s="17" t="inlineStr">
        <is>
          <t>new</t>
        </is>
      </c>
      <c r="M293" s="18" t="inlineStr"/>
      <c r="N293" s="7" t="inlineStr">
        <is>
          <t>85081d430627d3d547f7e374348e88ef5f3264be</t>
        </is>
      </c>
      <c r="O293" s="14" t="n">
        <v>46189</v>
      </c>
      <c r="P293" s="7" t="inlineStr">
        <is>
          <t>jobspy</t>
        </is>
      </c>
      <c r="Q293" s="8" t="inlineStr">
        <is>
          <t>python, javascript, rest apis, git, software development</t>
        </is>
      </c>
      <c r="R293" s="8" t="inlineStr">
        <is>
          <t>junior Full Stack Developer</t>
        </is>
      </c>
      <c r="S293" s="19" t="n"/>
      <c r="T293" s="19" t="n"/>
      <c r="U293" s="14" t="n">
        <v>46191</v>
      </c>
      <c r="V293" s="7" t="n"/>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3.5</v>
      </c>
      <c r="C294" s="12" t="inlineStr">
        <is>
          <t>Mid-level</t>
        </is>
      </c>
      <c r="D294" s="8" t="inlineStr">
        <is>
          <t>Mid Level Full Stack Engineer</t>
        </is>
      </c>
      <c r="E294" s="7" t="inlineStr">
        <is>
          <t>Emma - we are hiring!</t>
        </is>
      </c>
      <c r="F294" s="8" t="inlineStr">
        <is>
          <t>Islington, England, UK</t>
        </is>
      </c>
      <c r="G294" s="8" t="n"/>
      <c r="H294" s="14" t="n"/>
      <c r="I294" s="15">
        <f>IF($H294="","",$H294-TODAY())</f>
        <v/>
      </c>
      <c r="J294" s="16" t="inlineStr">
        <is>
          <t>Open posting</t>
        </is>
      </c>
      <c r="K294" s="8" t="inlineStr">
        <is>
          <t>Full-stack fintech role requiring TypeScript/React Native; candidate has adjacent JS skills but role is non-hybrid London-only with no hardware relevance.</t>
        </is>
      </c>
      <c r="L294" s="17" t="inlineStr">
        <is>
          <t>new</t>
        </is>
      </c>
      <c r="M294" s="18" t="inlineStr"/>
      <c r="N294" s="7" t="inlineStr">
        <is>
          <t>882f29ea95b5831ee24d2c09ff76a21dd93fdc9b</t>
        </is>
      </c>
      <c r="O294" s="14" t="n">
        <v>46192</v>
      </c>
      <c r="P294" s="7" t="inlineStr">
        <is>
          <t>jobspy</t>
        </is>
      </c>
      <c r="Q294" s="8" t="inlineStr">
        <is>
          <t>MySQL, Docker, Kubernetes, JavaScript</t>
        </is>
      </c>
      <c r="R294" s="8" t="inlineStr">
        <is>
          <t>Junior Python Developer backend Docker Kubernetes</t>
        </is>
      </c>
      <c r="S294" s="19" t="n"/>
      <c r="T294" s="19" t="n"/>
      <c r="U294" s="14" t="n">
        <v>46197</v>
      </c>
      <c r="V294" s="7" t="inlineStr">
        <is>
          <t>v2-cv-accuracy-13b988b18da8ea7d</t>
        </is>
      </c>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3.5</v>
      </c>
      <c r="C295" s="12" t="inlineStr">
        <is>
          <t>Mid-level</t>
        </is>
      </c>
      <c r="D295" s="8" t="inlineStr">
        <is>
          <t>Java Full Stack Developer</t>
        </is>
      </c>
      <c r="E295" s="7" t="inlineStr">
        <is>
          <t>Cognizant</t>
        </is>
      </c>
      <c r="F295" s="8" t="inlineStr">
        <is>
          <t>Burgess Hill, England, UK</t>
        </is>
      </c>
      <c r="G295" s="8" t="n"/>
      <c r="H295" s="14" t="n"/>
      <c r="I295" s="15">
        <f>IF($H295="","",$H295-TODAY())</f>
        <v/>
      </c>
      <c r="J295" s="16" t="inlineStr">
        <is>
          <t>Open posting</t>
        </is>
      </c>
      <c r="K295" s="8" t="inlineStr">
        <is>
          <t>Candidate has Docker, Kubernetes, Git, SQL, React adjacently but lacks Java, Spring Boot, Kafka, and AWS; role targets experienced developers.</t>
        </is>
      </c>
      <c r="L295" s="17" t="inlineStr">
        <is>
          <t>new</t>
        </is>
      </c>
      <c r="M295" s="18" t="inlineStr"/>
      <c r="N295" s="7" t="inlineStr">
        <is>
          <t>86a7afbbcd539aab9693f660f8d2ace472ca167a</t>
        </is>
      </c>
      <c r="O295" s="14" t="n">
        <v>46188</v>
      </c>
      <c r="P295" s="7" t="inlineStr">
        <is>
          <t>jobspy</t>
        </is>
      </c>
      <c r="Q295" s="8" t="inlineStr">
        <is>
          <t>Docker, Kubernetes, SQL, React, Git</t>
        </is>
      </c>
      <c r="R295" s="8" t="inlineStr">
        <is>
          <t>Junior Python Developer backend SQL Docker</t>
        </is>
      </c>
      <c r="S295" s="19" t="n"/>
      <c r="T295" s="19" t="n"/>
      <c r="U295" s="14" t="n">
        <v>46197</v>
      </c>
      <c r="V295" s="7" t="inlineStr">
        <is>
          <t>v2-cv-accuracy-13b988b18da8ea7d</t>
        </is>
      </c>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3.5</v>
      </c>
      <c r="C296" s="12" t="inlineStr">
        <is>
          <t>Senior/Lead</t>
        </is>
      </c>
      <c r="D296" s="8" t="inlineStr">
        <is>
          <t>Platform / Site Reliability Engineer (UK)</t>
        </is>
      </c>
      <c r="E296" s="7" t="inlineStr">
        <is>
          <t>TWG AI</t>
        </is>
      </c>
      <c r="F296" s="8" t="inlineStr">
        <is>
          <t>London, England, UK</t>
        </is>
      </c>
      <c r="G296" s="8" t="n"/>
      <c r="H296" s="14" t="n"/>
      <c r="I296" s="15">
        <f>IF($H296="","",$H296-TODAY())</f>
        <v/>
      </c>
      <c r="J296" s="16" t="inlineStr">
        <is>
          <t>Open posting</t>
        </is>
      </c>
      <c r="K296" s="8" t="inlineStr">
        <is>
          <t>Requires 3-6 years SRE/DevOps experience above candidate's level; Docker and Kubernetes partially match but observability and cloud platform depth are gaps.</t>
        </is>
      </c>
      <c r="L296" s="17" t="inlineStr">
        <is>
          <t>new</t>
        </is>
      </c>
      <c r="M296" s="18" t="inlineStr"/>
      <c r="N296" s="7" t="inlineStr">
        <is>
          <t>14b3b9c53c1a3c7706fb6bf7f7923e5eaad4cda7</t>
        </is>
      </c>
      <c r="O296" s="14" t="n">
        <v>46184</v>
      </c>
      <c r="P296" s="7" t="inlineStr">
        <is>
          <t>jobspy</t>
        </is>
      </c>
      <c r="Q296" s="8" t="inlineStr">
        <is>
          <t>Docker, Kubernetes, Python</t>
        </is>
      </c>
      <c r="R296" s="8" t="inlineStr">
        <is>
          <t>Graduate Platform Engineer Docker Kubernetes Python</t>
        </is>
      </c>
      <c r="S296" s="19" t="n"/>
      <c r="T296" s="19" t="n"/>
      <c r="U296" s="14" t="n">
        <v>46195</v>
      </c>
      <c r="V296" s="7" t="inlineStr">
        <is>
          <t>v2-cv-accuracy-13b988b18da8ea7d</t>
        </is>
      </c>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3.5</v>
      </c>
      <c r="C297" s="12" t="inlineStr">
        <is>
          <t>Mid-level</t>
        </is>
      </c>
      <c r="D297" s="8" t="inlineStr">
        <is>
          <t>Freelance Full-Stack Web App Developer</t>
        </is>
      </c>
      <c r="E297" s="7" t="inlineStr">
        <is>
          <t>Mindrift</t>
        </is>
      </c>
      <c r="F297" s="8" t="inlineStr"/>
      <c r="G297" s="8" t="n"/>
      <c r="H297" s="14" t="n"/>
      <c r="I297" s="15">
        <f>IF($H297="","",$H297-TODAY())</f>
        <v/>
      </c>
      <c r="J297" s="16" t="inlineStr">
        <is>
          <t>Open posting</t>
        </is>
      </c>
      <c r="K297" s="8" t="inlineStr">
        <is>
          <t>Requires 3+ years full-stack experience; candidate has adjacent React/Node/SQL skills but no demonstrated full-stack shipping depth.</t>
        </is>
      </c>
      <c r="L297" s="17" t="inlineStr">
        <is>
          <t>new</t>
        </is>
      </c>
      <c r="M297" s="18" t="inlineStr"/>
      <c r="N297" s="7" t="inlineStr">
        <is>
          <t>eb7198d23d275e7e49d87ff4a46d1df1dc8faf24</t>
        </is>
      </c>
      <c r="O297" s="14" t="n">
        <v>46193</v>
      </c>
      <c r="P297" s="7" t="inlineStr">
        <is>
          <t>jobspy</t>
        </is>
      </c>
      <c r="Q297" s="8" t="inlineStr">
        <is>
          <t>Python, SQL, React, JavaScript, API integration</t>
        </is>
      </c>
      <c r="R297" s="8" t="inlineStr">
        <is>
          <t>Junior Full Stack Developer JavaScript Python remote</t>
        </is>
      </c>
      <c r="S297" s="19" t="n"/>
      <c r="T297" s="19" t="n"/>
      <c r="U297" s="14" t="n">
        <v>46195</v>
      </c>
      <c r="V297" s="7" t="inlineStr">
        <is>
          <t>v2-cv-accuracy-13b988b18da8ea7d</t>
        </is>
      </c>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3.5</v>
      </c>
      <c r="C298" s="12" t="inlineStr">
        <is>
          <t>Mid-level</t>
        </is>
      </c>
      <c r="D298" s="8" t="inlineStr">
        <is>
          <t>Freelance Full-Stack Web App Developer</t>
        </is>
      </c>
      <c r="E298" s="7" t="inlineStr">
        <is>
          <t>hackajob</t>
        </is>
      </c>
      <c r="F298" s="8" t="inlineStr"/>
      <c r="G298" s="8" t="n"/>
      <c r="H298" s="14" t="n"/>
      <c r="I298" s="15">
        <f>IF($H298="","",$H298-TODAY())</f>
        <v/>
      </c>
      <c r="J298" s="16" t="inlineStr">
        <is>
          <t>Open posting</t>
        </is>
      </c>
      <c r="K298" s="8" t="inlineStr">
        <is>
          <t>Same Mindrift role as job 3; requires 3+ years full-stack experience not evidenced; adjacent skills partially match but core gap remains.</t>
        </is>
      </c>
      <c r="L298" s="17" t="inlineStr">
        <is>
          <t>new</t>
        </is>
      </c>
      <c r="M298" s="18" t="inlineStr"/>
      <c r="N298" s="7" t="inlineStr">
        <is>
          <t>81fafd82e0514a6bb17801fd97936b6aa81412c6</t>
        </is>
      </c>
      <c r="O298" s="14" t="n"/>
      <c r="P298" s="7" t="inlineStr">
        <is>
          <t>jobspy</t>
        </is>
      </c>
      <c r="Q298" s="8" t="inlineStr">
        <is>
          <t>Python, SQL, React, JavaScript, API integration</t>
        </is>
      </c>
      <c r="R298" s="8" t="inlineStr">
        <is>
          <t>Junior Full Stack Developer JavaScript Python remote</t>
        </is>
      </c>
      <c r="S298" s="19" t="n"/>
      <c r="T298" s="19" t="n"/>
      <c r="U298" s="14" t="n">
        <v>46195</v>
      </c>
      <c r="V298" s="7" t="inlineStr">
        <is>
          <t>v2-cv-accuracy-13b988b18da8ea7d</t>
        </is>
      </c>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3.5</v>
      </c>
      <c r="C299" s="12" t="inlineStr">
        <is>
          <t>Unspecified</t>
        </is>
      </c>
      <c r="D299" s="8" t="inlineStr">
        <is>
          <t>Software Engineer (Python and Java)</t>
        </is>
      </c>
      <c r="E299" s="7" t="inlineStr">
        <is>
          <t>Leidos</t>
        </is>
      </c>
      <c r="F299" s="8" t="inlineStr">
        <is>
          <t>Farnborough, England, UK</t>
        </is>
      </c>
      <c r="G299" s="8" t="n"/>
      <c r="H299" s="14" t="n"/>
      <c r="I299" s="15">
        <f>IF($H299="","",$H299-TODAY())</f>
        <v/>
      </c>
      <c r="J299" s="16" t="inlineStr">
        <is>
          <t>Open posting</t>
        </is>
      </c>
      <c r="K299" s="8" t="inlineStr">
        <is>
          <t>Python matches but role requires SC clearance, Java proficiency, and defence seniority well above graduate level.</t>
        </is>
      </c>
      <c r="L299" s="17" t="inlineStr">
        <is>
          <t>new</t>
        </is>
      </c>
      <c r="M299" s="18" t="inlineStr"/>
      <c r="N299" s="7" t="inlineStr">
        <is>
          <t>3489c6e8e8a04b4d5cdc8c525daa4b4cf0bc99d6</t>
        </is>
      </c>
      <c r="O299" s="14" t="n">
        <v>46177</v>
      </c>
      <c r="P299" s="7" t="inlineStr">
        <is>
          <t>jobspy</t>
        </is>
      </c>
      <c r="Q299" s="8" t="inlineStr">
        <is>
          <t>Python, Kubernetes, CI/CD</t>
        </is>
      </c>
      <c r="R299" s="8" t="inlineStr">
        <is>
          <t>Graduate Software Engineer Python Docker</t>
        </is>
      </c>
      <c r="S299" s="19" t="n"/>
      <c r="T299" s="19" t="n"/>
      <c r="U299" s="14" t="n">
        <v>46193</v>
      </c>
      <c r="V299" s="7" t="inlineStr">
        <is>
          <t>v2-cv-accuracy-13b988b18da8ea7d</t>
        </is>
      </c>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3.5</v>
      </c>
      <c r="C300" s="12" t="inlineStr">
        <is>
          <t>Mid-level</t>
        </is>
      </c>
      <c r="D300" s="8" t="inlineStr">
        <is>
          <t>Cryptography Engineer</t>
        </is>
      </c>
      <c r="E300" s="7" t="inlineStr">
        <is>
          <t>X4 Technology</t>
        </is>
      </c>
      <c r="F300" s="8" t="inlineStr"/>
      <c r="G300" s="8" t="n"/>
      <c r="H300" s="14" t="n"/>
      <c r="I300" s="15">
        <f>IF($H300="","",$H300-TODAY())</f>
        <v/>
      </c>
      <c r="J300" s="16" t="inlineStr">
        <is>
          <t>Open posting</t>
        </is>
      </c>
      <c r="K300" s="8" t="inlineStr">
        <is>
          <t>Requires 5+ years and deep cryptographic ASIC expertise far above profile level; Verilog and FPGA match but seniority is a hard blocker.</t>
        </is>
      </c>
      <c r="L300" s="17" t="inlineStr">
        <is>
          <t>new</t>
        </is>
      </c>
      <c r="M300" s="18" t="inlineStr"/>
      <c r="N300" s="7" t="inlineStr">
        <is>
          <t>78d796b7aee17e048345ac90cfa842d5b6f6ca77</t>
        </is>
      </c>
      <c r="O300" s="14" t="n">
        <v>46184</v>
      </c>
      <c r="P300" s="7" t="inlineStr">
        <is>
          <t>jobspy</t>
        </is>
      </c>
      <c r="Q300" s="8" t="inlineStr">
        <is>
          <t>Verilog, FPGA, digital design</t>
        </is>
      </c>
      <c r="R300" s="8" t="inlineStr">
        <is>
          <t>Digital Design Engineer FPGA Verilog</t>
        </is>
      </c>
      <c r="S300" s="19" t="n"/>
      <c r="T300" s="19" t="n"/>
      <c r="U300" s="14" t="n">
        <v>46193</v>
      </c>
      <c r="V300" s="7" t="inlineStr">
        <is>
          <t>v2-cv-accuracy-13b988b18da8ea7d</t>
        </is>
      </c>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3.5</v>
      </c>
      <c r="C301" s="12" t="inlineStr">
        <is>
          <t>Senior/Lead</t>
        </is>
      </c>
      <c r="D301" s="8" t="inlineStr">
        <is>
          <t>Data Engineer</t>
        </is>
      </c>
      <c r="E301" s="7" t="inlineStr">
        <is>
          <t>Obsidian Security</t>
        </is>
      </c>
      <c r="F301" s="8" t="inlineStr">
        <is>
          <t>Manchester, ENG, GB</t>
        </is>
      </c>
      <c r="G301" s="8" t="n"/>
      <c r="H301" s="14" t="n"/>
      <c r="I301" s="15">
        <f>IF($H301="","",$H301-TODAY())</f>
        <v/>
      </c>
      <c r="J301" s="16" t="inlineStr">
        <is>
          <t>Open posting</t>
        </is>
      </c>
      <c r="K301" s="8" t="inlineStr">
        <is>
          <t>Requires 3-6 years production data engineering experience; candidate has 2 years internship-level experience and lacks Go, LLM pipelines, and orchestration tools.</t>
        </is>
      </c>
      <c r="L301" s="17" t="inlineStr">
        <is>
          <t>new</t>
        </is>
      </c>
      <c r="M301" s="18" t="inlineStr"/>
      <c r="N301" s="7" t="inlineStr">
        <is>
          <t>17e82d8a0a66760ded01623e579e5895e05f0fdf</t>
        </is>
      </c>
      <c r="O301" s="14" t="n">
        <v>46191</v>
      </c>
      <c r="P301" s="7" t="inlineStr">
        <is>
          <t>jobspy</t>
        </is>
      </c>
      <c r="Q301" s="8" t="inlineStr">
        <is>
          <t>SQL, Python, API integration, backend development</t>
        </is>
      </c>
      <c r="R301" s="8" t="inlineStr">
        <is>
          <t>Platform Engineer Docker Kubernetes Python</t>
        </is>
      </c>
      <c r="S301" s="19" t="n"/>
      <c r="T301" s="19" t="n"/>
      <c r="U301" s="14" t="n">
        <v>46193</v>
      </c>
      <c r="V301" s="7" t="inlineStr">
        <is>
          <t>v2-cv-accuracy-13b988b18da8ea7d</t>
        </is>
      </c>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3.5</v>
      </c>
      <c r="C302" s="12" t="inlineStr">
        <is>
          <t>Junior</t>
        </is>
      </c>
      <c r="D302" s="8" t="inlineStr">
        <is>
          <t>Digital Design Verification Engineer</t>
        </is>
      </c>
      <c r="E302" s="7" t="inlineStr">
        <is>
          <t>OLIX</t>
        </is>
      </c>
      <c r="F302" s="8" t="inlineStr">
        <is>
          <t>Bristol, ENG, GB</t>
        </is>
      </c>
      <c r="G302" s="8" t="n"/>
      <c r="H302" s="14" t="n"/>
      <c r="I302" s="15">
        <f>IF($H302="","",$H302-TODAY())</f>
        <v/>
      </c>
      <c r="J302" s="16" t="inlineStr">
        <is>
          <t>Open posting</t>
        </is>
      </c>
      <c r="K302" s="8" t="inlineStr">
        <is>
          <t>Role is Senior/Staff level with UVM/SystemVerilog ownership requirements well above graduate experience; title_excludes 'senior' and 'staff' triggered.</t>
        </is>
      </c>
      <c r="L302" s="17" t="inlineStr">
        <is>
          <t>new</t>
        </is>
      </c>
      <c r="M302" s="18" t="inlineStr"/>
      <c r="N302" s="7" t="inlineStr">
        <is>
          <t>cc3fd507a7e87b273f63f61b005cdc8fca7aba20</t>
        </is>
      </c>
      <c r="O302" s="14" t="n">
        <v>46181</v>
      </c>
      <c r="P302" s="7" t="inlineStr">
        <is>
          <t>jobspy</t>
        </is>
      </c>
      <c r="Q302" s="8" t="inlineStr">
        <is>
          <t>FPGA, Verilog, digital design, Python</t>
        </is>
      </c>
      <c r="R302" s="8" t="inlineStr">
        <is>
          <t>Signal Processing Engineer DSP FPGA</t>
        </is>
      </c>
      <c r="S302" s="19" t="n"/>
      <c r="T302" s="19" t="n"/>
      <c r="U302" s="14" t="n">
        <v>46193</v>
      </c>
      <c r="V302" s="7" t="inlineStr">
        <is>
          <t>v2-cv-accuracy-13b988b18da8ea7d</t>
        </is>
      </c>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3.5</v>
      </c>
      <c r="C303" s="12" t="inlineStr">
        <is>
          <t>Mid-level</t>
        </is>
      </c>
      <c r="D303" s="8" t="inlineStr">
        <is>
          <t>Coding &amp; Computing Tutor – SEND Experience Welcome</t>
        </is>
      </c>
      <c r="E303" s="7" t="inlineStr">
        <is>
          <t>Tutor Doctor</t>
        </is>
      </c>
      <c r="F303" s="8" t="inlineStr">
        <is>
          <t>Atherton, ENG, GB</t>
        </is>
      </c>
      <c r="G303" s="8" t="n"/>
      <c r="H303" s="14" t="n"/>
      <c r="I303" s="15">
        <f>IF($H303="","",$H303-TODAY())</f>
        <v/>
      </c>
      <c r="J303" s="16" t="inlineStr">
        <is>
          <t>Open posting</t>
        </is>
      </c>
      <c r="K303" s="8" t="inlineStr">
        <is>
          <t>Coding skills match but role is in-person tutoring near Bolton, outside Sheffield radius, and not a software development role.</t>
        </is>
      </c>
      <c r="L303" s="17" t="inlineStr">
        <is>
          <t>new</t>
        </is>
      </c>
      <c r="M303" s="18" t="inlineStr"/>
      <c r="N303" s="7" t="inlineStr">
        <is>
          <t>454106c1352719f82d9ff8c6d50e414824bd8165</t>
        </is>
      </c>
      <c r="O303" s="14" t="n">
        <v>46192</v>
      </c>
      <c r="P303" s="7" t="inlineStr">
        <is>
          <t>jobspy</t>
        </is>
      </c>
      <c r="Q303" s="8" t="inlineStr">
        <is>
          <t>Python, JavaScript, software development</t>
        </is>
      </c>
      <c r="R303" s="8" t="inlineStr">
        <is>
          <t>Graduate Software Developer</t>
        </is>
      </c>
      <c r="S303" s="19" t="n"/>
      <c r="T303" s="19" t="n"/>
      <c r="U303" s="14" t="n">
        <v>46192</v>
      </c>
      <c r="V303" s="7" t="inlineStr">
        <is>
          <t>v2-cv-accuracy-13b988b18da8ea7d</t>
        </is>
      </c>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3.5</v>
      </c>
      <c r="C304" s="12" t="inlineStr">
        <is>
          <t>Unspecified</t>
        </is>
      </c>
      <c r="D304" s="8" t="inlineStr">
        <is>
          <t>DevOps Engineer</t>
        </is>
      </c>
      <c r="E304" s="7" t="inlineStr">
        <is>
          <t>MPS Limited</t>
        </is>
      </c>
      <c r="F304" s="8" t="inlineStr">
        <is>
          <t>London, ENG, GB</t>
        </is>
      </c>
      <c r="G304" s="8" t="n"/>
      <c r="H304" s="14" t="n"/>
      <c r="I304" s="15">
        <f>IF($H304="","",$H304-TODAY())</f>
        <v/>
      </c>
      <c r="J304" s="16" t="inlineStr">
        <is>
          <t>Open posting</t>
        </is>
      </c>
      <c r="K304" s="8" t="inlineStr">
        <is>
          <t>Requires 5+ years Linux/DevOps and Puppet/Terraform expertise; well above candidate experience level despite some adjacent skills.</t>
        </is>
      </c>
      <c r="L304" s="17" t="inlineStr">
        <is>
          <t>new</t>
        </is>
      </c>
      <c r="M304" s="18" t="inlineStr"/>
      <c r="N304" s="7" t="inlineStr">
        <is>
          <t>588fa4f60f4ff11ec6c7a8cca56c93e00dc3d646</t>
        </is>
      </c>
      <c r="O304" s="14" t="n">
        <v>46191</v>
      </c>
      <c r="P304" s="7" t="inlineStr">
        <is>
          <t>jobspy</t>
        </is>
      </c>
      <c r="Q304" s="8" t="inlineStr">
        <is>
          <t>Python, Linux, Terraform, AWS</t>
        </is>
      </c>
      <c r="R304" s="8" t="inlineStr">
        <is>
          <t>Full Stack Developer</t>
        </is>
      </c>
      <c r="S304" s="19" t="n"/>
      <c r="T304" s="19" t="n"/>
      <c r="U304" s="14" t="n">
        <v>46192</v>
      </c>
      <c r="V304" s="7" t="inlineStr">
        <is>
          <t>v2-cv-accuracy-13b988b18da8ea7d</t>
        </is>
      </c>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3.5</v>
      </c>
      <c r="C305" s="12" t="inlineStr">
        <is>
          <t>Mid-level</t>
        </is>
      </c>
      <c r="D305" s="8" t="inlineStr">
        <is>
          <t>Embedded Systems Engineer</t>
        </is>
      </c>
      <c r="E305" s="7" t="inlineStr">
        <is>
          <t>VRS UK</t>
        </is>
      </c>
      <c r="F305" s="8" t="inlineStr">
        <is>
          <t>Sheffield, England, UK</t>
        </is>
      </c>
      <c r="G305" s="8" t="n"/>
      <c r="H305" s="14" t="n"/>
      <c r="I305" s="15">
        <f>IF($H305="","",$H305-TODAY())</f>
        <v/>
      </c>
      <c r="J305" s="16" t="inlineStr">
        <is>
          <t>Open posting</t>
        </is>
      </c>
      <c r="K305" s="8" t="inlineStr">
        <is>
          <t>Requires 5+ years experience; candidate has ~2 years, making this a significant seniority mismatch despite STM32 and embedded skills.</t>
        </is>
      </c>
      <c r="L305" s="17" t="inlineStr">
        <is>
          <t>new</t>
        </is>
      </c>
      <c r="M305" s="18" t="inlineStr"/>
      <c r="N305" s="7" t="inlineStr">
        <is>
          <t>d1e48339464eb5289c0719e16fd4c3d967f05a5c</t>
        </is>
      </c>
      <c r="O305" s="14" t="n">
        <v>46164</v>
      </c>
      <c r="P305" s="7" t="inlineStr">
        <is>
          <t>jobspy</t>
        </is>
      </c>
      <c r="Q305" s="8" t="inlineStr">
        <is>
          <t>STM32, embedded systems, C, FPGA</t>
        </is>
      </c>
      <c r="R305" s="8" t="inlineStr">
        <is>
          <t>Junior Embedded Software Engineer STM32 C</t>
        </is>
      </c>
      <c r="S305" s="19" t="n"/>
      <c r="T305" s="19" t="n"/>
      <c r="U305" s="14" t="n">
        <v>46192</v>
      </c>
      <c r="V305" s="7" t="inlineStr">
        <is>
          <t>v2-cv-accuracy-13b988b18da8ea7d</t>
        </is>
      </c>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3.5</v>
      </c>
      <c r="C306" s="12" t="inlineStr">
        <is>
          <t>Junior</t>
        </is>
      </c>
      <c r="D306" s="8" t="inlineStr">
        <is>
          <t>Software Engineer</t>
        </is>
      </c>
      <c r="E306" s="7" t="inlineStr">
        <is>
          <t>hackajob</t>
        </is>
      </c>
      <c r="F306" s="8" t="inlineStr">
        <is>
          <t>London, England, UK</t>
        </is>
      </c>
      <c r="G306" s="8" t="n"/>
      <c r="H306" s="14" t="n"/>
      <c r="I306" s="15">
        <f>IF($H306="","",$H306-TODAY())</f>
        <v/>
      </c>
      <c r="J306" s="16" t="inlineStr">
        <is>
          <t>Open posting</t>
        </is>
      </c>
      <c r="K306" s="8" t="inlineStr">
        <is>
          <t>SC/DV clearance required is a description_excludes hit; Python/Docker/Kubernetes match but clearance is a hard blocker.</t>
        </is>
      </c>
      <c r="L306" s="17" t="inlineStr">
        <is>
          <t>new</t>
        </is>
      </c>
      <c r="M306" s="18" t="inlineStr"/>
      <c r="N306" s="7" t="inlineStr">
        <is>
          <t>97352fdbb61ff0fc744c4be124a0c98c4885100f</t>
        </is>
      </c>
      <c r="O306" s="14" t="n">
        <v>46185</v>
      </c>
      <c r="P306" s="7" t="inlineStr">
        <is>
          <t>jobspy</t>
        </is>
      </c>
      <c r="Q306" s="8" t="inlineStr">
        <is>
          <t>Python, Docker, Kubernetes</t>
        </is>
      </c>
      <c r="R306" s="8" t="inlineStr">
        <is>
          <t>Junior Python Developer Docker Kubernetes Sheffield</t>
        </is>
      </c>
      <c r="S306" s="19" t="n"/>
      <c r="T306" s="19" t="n"/>
      <c r="U306" s="14" t="n">
        <v>46192</v>
      </c>
      <c r="V306" s="7" t="inlineStr">
        <is>
          <t>v2-cv-accuracy-13b988b18da8ea7d</t>
        </is>
      </c>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3.5</v>
      </c>
      <c r="C307" s="12" t="inlineStr">
        <is>
          <t>Junior</t>
        </is>
      </c>
      <c r="D307" s="8" t="inlineStr">
        <is>
          <t>Software Engineer</t>
        </is>
      </c>
      <c r="E307" s="7" t="inlineStr">
        <is>
          <t>hackajob</t>
        </is>
      </c>
      <c r="F307" s="8" t="inlineStr">
        <is>
          <t>Cheltenham, England, UK</t>
        </is>
      </c>
      <c r="G307" s="8" t="n"/>
      <c r="H307" s="14" t="n"/>
      <c r="I307" s="15">
        <f>IF($H307="","",$H307-TODAY())</f>
        <v/>
      </c>
      <c r="J307" s="16" t="inlineStr">
        <is>
          <t>Open posting</t>
        </is>
      </c>
      <c r="K307" s="8" t="inlineStr">
        <is>
          <t>Duplicate listing; same SC/DV clearance hard blocker applies despite Python/Docker/Kubernetes skill match.</t>
        </is>
      </c>
      <c r="L307" s="17" t="inlineStr">
        <is>
          <t>new</t>
        </is>
      </c>
      <c r="M307" s="18" t="inlineStr"/>
      <c r="N307" s="7" t="inlineStr">
        <is>
          <t>802ea297850e38f52fbb885bf50902bc80083eac</t>
        </is>
      </c>
      <c r="O307" s="14" t="n">
        <v>46185</v>
      </c>
      <c r="P307" s="7" t="inlineStr">
        <is>
          <t>jobspy</t>
        </is>
      </c>
      <c r="Q307" s="8" t="inlineStr">
        <is>
          <t>Python, Docker, Kubernetes</t>
        </is>
      </c>
      <c r="R307" s="8" t="inlineStr">
        <is>
          <t>Junior Python Developer Docker Kubernetes Sheffield</t>
        </is>
      </c>
      <c r="S307" s="19" t="n"/>
      <c r="T307" s="19" t="n"/>
      <c r="U307" s="14" t="n">
        <v>46192</v>
      </c>
      <c r="V307" s="7" t="inlineStr">
        <is>
          <t>v2-cv-accuracy-13b988b18da8ea7d</t>
        </is>
      </c>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3.5</v>
      </c>
      <c r="C308" s="12" t="inlineStr">
        <is>
          <t>Mid-level</t>
        </is>
      </c>
      <c r="D308" s="8" t="inlineStr">
        <is>
          <t>Embedded Software Engineer</t>
        </is>
      </c>
      <c r="E308" s="7" t="inlineStr">
        <is>
          <t>Archangel Lightworks</t>
        </is>
      </c>
      <c r="F308" s="8" t="inlineStr">
        <is>
          <t>Oxford, England, UK</t>
        </is>
      </c>
      <c r="G308" s="8" t="n"/>
      <c r="H308" s="14" t="n"/>
      <c r="I308" s="15">
        <f>IF($H308="","",$H308-TODAY())</f>
        <v/>
      </c>
      <c r="J308" s="16" t="inlineStr">
        <is>
          <t>Open posting</t>
        </is>
      </c>
      <c r="K308" s="8" t="inlineStr">
        <is>
          <t>Requires 4+ years commercial experience post-graduation, directly exceeding profile's 2-year cap; RTOS and hardware protocols are also gaps.</t>
        </is>
      </c>
      <c r="L308" s="17" t="inlineStr">
        <is>
          <t>new</t>
        </is>
      </c>
      <c r="M308" s="18" t="inlineStr"/>
      <c r="N308" s="7" t="inlineStr">
        <is>
          <t>5b6411a6908685dbcf8a68129f3ed1b87c8c808b</t>
        </is>
      </c>
      <c r="O308" s="14" t="n">
        <v>46176</v>
      </c>
      <c r="P308" s="7" t="inlineStr">
        <is>
          <t>jobspy</t>
        </is>
      </c>
      <c r="Q308" s="8" t="inlineStr">
        <is>
          <t>FPGA, Verilog, Vivado, Python, Git</t>
        </is>
      </c>
      <c r="R308" s="8" t="inlineStr">
        <is>
          <t>Embedded Software Engineer C Python graduate</t>
        </is>
      </c>
      <c r="S308" s="19" t="n"/>
      <c r="T308" s="19" t="n"/>
      <c r="U308" s="14" t="n">
        <v>46192</v>
      </c>
      <c r="V308" s="7" t="inlineStr">
        <is>
          <t>v2-cv-accuracy-13b988b18da8ea7d</t>
        </is>
      </c>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3.47</v>
      </c>
      <c r="C309" s="12" t="inlineStr">
        <is>
          <t>Mid-level</t>
        </is>
      </c>
      <c r="D309" s="8" t="inlineStr">
        <is>
          <t>Python Developer</t>
        </is>
      </c>
      <c r="E309" s="7" t="inlineStr">
        <is>
          <t>MEL Systems and Services Ltd.</t>
        </is>
      </c>
      <c r="F309" s="8" t="inlineStr">
        <is>
          <t>Chennai, Tamil Nadu, India</t>
        </is>
      </c>
      <c r="G309" s="8" t="n"/>
      <c r="H309" s="14" t="n"/>
      <c r="I309" s="15">
        <f>IF($H309="","",$H309-TODAY())</f>
        <v/>
      </c>
      <c r="J309" s="16" t="inlineStr">
        <is>
          <t>Open posting</t>
        </is>
      </c>
      <c r="K309" s="8" t="n"/>
      <c r="L309" s="17" t="inlineStr">
        <is>
          <t>new</t>
        </is>
      </c>
      <c r="M309" s="18" t="inlineStr"/>
      <c r="N309" s="7" t="inlineStr">
        <is>
          <t>5f279f47ba6da66e408b833aed2679ebf8e4b5c9</t>
        </is>
      </c>
      <c r="O309" s="14" t="n">
        <v>46167</v>
      </c>
      <c r="P309" s="7" t="inlineStr">
        <is>
          <t>jobspy</t>
        </is>
      </c>
      <c r="Q309" s="8" t="inlineStr">
        <is>
          <t>python, sql, javascript, rest apis, git</t>
        </is>
      </c>
      <c r="R309" s="8" t="inlineStr">
        <is>
          <t>graduate Junior Python Developer</t>
        </is>
      </c>
      <c r="S309" s="19" t="n"/>
      <c r="T309" s="19" t="n"/>
      <c r="U309" s="14" t="n">
        <v>46191</v>
      </c>
      <c r="V309" s="7" t="n"/>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3.47</v>
      </c>
      <c r="C310" s="12" t="inlineStr">
        <is>
          <t>Unspecified</t>
        </is>
      </c>
      <c r="D310" s="8" t="inlineStr">
        <is>
          <t>Python Software Developer - Labman.One</t>
        </is>
      </c>
      <c r="E310" s="7" t="inlineStr">
        <is>
          <t>Labman</t>
        </is>
      </c>
      <c r="F310" s="8" t="inlineStr">
        <is>
          <t>Stokesley, England, UK</t>
        </is>
      </c>
      <c r="G310" s="8" t="n"/>
      <c r="H310" s="14" t="n"/>
      <c r="I310" s="15">
        <f>IF($H310="","",$H310-TODAY())</f>
        <v/>
      </c>
      <c r="J310" s="16" t="inlineStr">
        <is>
          <t>Open posting</t>
        </is>
      </c>
      <c r="K310" s="8" t="n"/>
      <c r="L310" s="17" t="inlineStr">
        <is>
          <t>new</t>
        </is>
      </c>
      <c r="M310" s="18" t="inlineStr"/>
      <c r="N310" s="7" t="inlineStr">
        <is>
          <t>e1240c31485b7e82c006c258be94b631c6a6b1a8</t>
        </is>
      </c>
      <c r="O310" s="14" t="n">
        <v>46169</v>
      </c>
      <c r="P310" s="7" t="inlineStr">
        <is>
          <t>jobspy</t>
        </is>
      </c>
      <c r="Q310" s="8" t="inlineStr">
        <is>
          <t>python, sql, rest apis, git</t>
        </is>
      </c>
      <c r="R310" s="8" t="inlineStr">
        <is>
          <t>Junior Python Developer remote</t>
        </is>
      </c>
      <c r="S310" s="19" t="n"/>
      <c r="T310" s="19" t="n"/>
      <c r="U310" s="14" t="n">
        <v>46191</v>
      </c>
      <c r="V310" s="7" t="n"/>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3.47</v>
      </c>
      <c r="C311" s="12" t="inlineStr">
        <is>
          <t>Unspecified</t>
        </is>
      </c>
      <c r="D311" s="8" t="inlineStr">
        <is>
          <t>Software Engineer</t>
        </is>
      </c>
      <c r="E311" s="7" t="inlineStr">
        <is>
          <t>Naimuri</t>
        </is>
      </c>
      <c r="F311" s="8" t="inlineStr">
        <is>
          <t>Manchester, England, UK</t>
        </is>
      </c>
      <c r="G311" s="8" t="n"/>
      <c r="H311" s="14" t="n"/>
      <c r="I311" s="15">
        <f>IF($H311="","",$H311-TODAY())</f>
        <v/>
      </c>
      <c r="J311" s="16" t="inlineStr">
        <is>
          <t>Open posting</t>
        </is>
      </c>
      <c r="K311" s="8" t="n"/>
      <c r="L311" s="17" t="inlineStr">
        <is>
          <t>new</t>
        </is>
      </c>
      <c r="M311" s="18" t="inlineStr"/>
      <c r="N311" s="7" t="inlineStr">
        <is>
          <t>96d526e0e12563696a35505372cdebcc62c4e236</t>
        </is>
      </c>
      <c r="O311" s="14" t="n">
        <v>46175</v>
      </c>
      <c r="P311" s="7" t="inlineStr">
        <is>
          <t>jobspy</t>
        </is>
      </c>
      <c r="Q311" s="8" t="inlineStr">
        <is>
          <t>javascript, git, software development</t>
        </is>
      </c>
      <c r="R311" s="8" t="inlineStr">
        <is>
          <t>graduate Full Stack Developer</t>
        </is>
      </c>
      <c r="S311" s="19" t="n"/>
      <c r="T311" s="19" t="n"/>
      <c r="U311" s="14" t="n">
        <v>46191</v>
      </c>
      <c r="V311" s="7" t="n"/>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3.47</v>
      </c>
      <c r="C312" s="12" t="inlineStr">
        <is>
          <t>Junior</t>
        </is>
      </c>
      <c r="D312" s="8" t="inlineStr">
        <is>
          <t>Python Developer</t>
        </is>
      </c>
      <c r="E312" s="7" t="inlineStr">
        <is>
          <t>Noir</t>
        </is>
      </c>
      <c r="F312" s="8" t="inlineStr">
        <is>
          <t>Newcastle Upon Tyne, England, UK</t>
        </is>
      </c>
      <c r="G312" s="8" t="n"/>
      <c r="H312" s="14" t="n"/>
      <c r="I312" s="15">
        <f>IF($H312="","",$H312-TODAY())</f>
        <v/>
      </c>
      <c r="J312" s="16" t="inlineStr">
        <is>
          <t>Open posting</t>
        </is>
      </c>
      <c r="K312" s="8" t="n"/>
      <c r="L312" s="17" t="inlineStr">
        <is>
          <t>new</t>
        </is>
      </c>
      <c r="M312" s="18" t="inlineStr"/>
      <c r="N312" s="7" t="inlineStr">
        <is>
          <t>ed980cd2ab26daf7af3f0f56fb19c5040a6ddd3e</t>
        </is>
      </c>
      <c r="O312" s="14" t="n">
        <v>46185</v>
      </c>
      <c r="P312" s="7" t="inlineStr">
        <is>
          <t>jobspy</t>
        </is>
      </c>
      <c r="Q312" s="8" t="inlineStr">
        <is>
          <t>python, sql, javascript, git</t>
        </is>
      </c>
      <c r="R312" s="8" t="inlineStr">
        <is>
          <t>graduate Full Stack Developer</t>
        </is>
      </c>
      <c r="S312" s="19" t="n"/>
      <c r="T312" s="19" t="n"/>
      <c r="U312" s="14" t="n">
        <v>46191</v>
      </c>
      <c r="V312" s="7" t="n"/>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3.47</v>
      </c>
      <c r="C313" s="12" t="inlineStr">
        <is>
          <t>Senior/Lead</t>
        </is>
      </c>
      <c r="D313" s="8" t="inlineStr">
        <is>
          <t>Software Engineer (Next.js + Playwright)</t>
        </is>
      </c>
      <c r="E313" s="7" t="inlineStr">
        <is>
          <t>GP Automate</t>
        </is>
      </c>
      <c r="F313" s="8" t="inlineStr">
        <is>
          <t>London, England, UK</t>
        </is>
      </c>
      <c r="G313" s="8" t="n"/>
      <c r="H313" s="14" t="n"/>
      <c r="I313" s="15">
        <f>IF($H313="","",$H313-TODAY())</f>
        <v/>
      </c>
      <c r="J313" s="16" t="inlineStr">
        <is>
          <t>Open posting</t>
        </is>
      </c>
      <c r="K313" s="8" t="n"/>
      <c r="L313" s="17" t="inlineStr">
        <is>
          <t>new</t>
        </is>
      </c>
      <c r="M313" s="18" t="inlineStr"/>
      <c r="N313" s="7" t="inlineStr">
        <is>
          <t>952cda89a3cd8f6a093296433da61bc5036412f9</t>
        </is>
      </c>
      <c r="O313" s="14" t="n">
        <v>46177</v>
      </c>
      <c r="P313" s="7" t="inlineStr">
        <is>
          <t>jobspy</t>
        </is>
      </c>
      <c r="Q313" s="8" t="inlineStr">
        <is>
          <t>sql, rest apis, git, software development</t>
        </is>
      </c>
      <c r="R313" s="8" t="inlineStr">
        <is>
          <t>Graduate Software Developer remote</t>
        </is>
      </c>
      <c r="S313" s="19" t="n"/>
      <c r="T313" s="19" t="n"/>
      <c r="U313" s="14" t="n">
        <v>46191</v>
      </c>
      <c r="V313" s="7" t="n"/>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3.47</v>
      </c>
      <c r="C314" s="12" t="inlineStr">
        <is>
          <t>Junior</t>
        </is>
      </c>
      <c r="D314" s="8" t="inlineStr">
        <is>
          <t>Junior Software Engineer</t>
        </is>
      </c>
      <c r="E314" s="7" t="inlineStr">
        <is>
          <t>Stealth iT Consulting</t>
        </is>
      </c>
      <c r="F314" s="8" t="inlineStr"/>
      <c r="G314" s="8" t="n"/>
      <c r="H314" s="14" t="n"/>
      <c r="I314" s="15">
        <f>IF($H314="","",$H314-TODAY())</f>
        <v/>
      </c>
      <c r="J314" s="16" t="inlineStr">
        <is>
          <t>Open posting</t>
        </is>
      </c>
      <c r="K314" s="8" t="n"/>
      <c r="L314" s="17" t="inlineStr">
        <is>
          <t>new</t>
        </is>
      </c>
      <c r="M314" s="18" t="inlineStr"/>
      <c r="N314" s="7" t="inlineStr">
        <is>
          <t>f4363045bdd5a72fc0ae0fbca476c3988ae36d54</t>
        </is>
      </c>
      <c r="O314" s="14" t="n">
        <v>46182</v>
      </c>
      <c r="P314" s="7" t="inlineStr">
        <is>
          <t>jobspy</t>
        </is>
      </c>
      <c r="Q314" s="8" t="inlineStr">
        <is>
          <t>sql, javascript, git, software development</t>
        </is>
      </c>
      <c r="R314" s="8" t="inlineStr">
        <is>
          <t>junior/graduate Full Stack Developer</t>
        </is>
      </c>
      <c r="S314" s="19" t="n"/>
      <c r="T314" s="19" t="n"/>
      <c r="U314" s="14" t="n">
        <v>46191</v>
      </c>
      <c r="V314" s="7" t="n"/>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3.27</v>
      </c>
      <c r="C315" s="12" t="inlineStr">
        <is>
          <t>Graduate/Entry</t>
        </is>
      </c>
      <c r="D315" s="8" t="inlineStr">
        <is>
          <t>Junior/Graduate Software Engineer</t>
        </is>
      </c>
      <c r="E315" s="7" t="inlineStr">
        <is>
          <t>NCR Atleos</t>
        </is>
      </c>
      <c r="F315" s="8" t="inlineStr">
        <is>
          <t>Dundee, SCT, GB</t>
        </is>
      </c>
      <c r="G315" s="8" t="n"/>
      <c r="H315" s="14" t="n"/>
      <c r="I315" s="15">
        <f>IF($H315="","",$H315-TODAY())</f>
        <v/>
      </c>
      <c r="J315" s="16" t="inlineStr">
        <is>
          <t>Open posting</t>
        </is>
      </c>
      <c r="K315" s="8" t="n"/>
      <c r="L315" s="17" t="inlineStr">
        <is>
          <t>new</t>
        </is>
      </c>
      <c r="M315" s="18" t="inlineStr"/>
      <c r="N315" s="7" t="inlineStr">
        <is>
          <t>823a0a6e0c819484bd9fed53ed8ece17366a995d</t>
        </is>
      </c>
      <c r="O315" s="14" t="n">
        <v>46190</v>
      </c>
      <c r="P315" s="7" t="inlineStr">
        <is>
          <t>jobspy</t>
        </is>
      </c>
      <c r="Q315" s="8" t="inlineStr">
        <is>
          <t>python, sql, git, software development</t>
        </is>
      </c>
      <c r="R315" s="8" t="inlineStr">
        <is>
          <t>Graduate Software Developer</t>
        </is>
      </c>
      <c r="S315" s="19" t="n"/>
      <c r="T315" s="19" t="n"/>
      <c r="U315" s="14" t="n">
        <v>46191</v>
      </c>
      <c r="V315" s="7" t="n"/>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3.27</v>
      </c>
      <c r="C316" s="12" t="inlineStr">
        <is>
          <t>Junior</t>
        </is>
      </c>
      <c r="D316" s="8" t="inlineStr">
        <is>
          <t>Junior Developer</t>
        </is>
      </c>
      <c r="E316" s="7" t="inlineStr">
        <is>
          <t>NCS Ltd</t>
        </is>
      </c>
      <c r="F316" s="8" t="inlineStr">
        <is>
          <t>Woking, ENG, GB</t>
        </is>
      </c>
      <c r="G316" s="8" t="n"/>
      <c r="H316" s="14" t="n"/>
      <c r="I316" s="15">
        <f>IF($H316="","",$H316-TODAY())</f>
        <v/>
      </c>
      <c r="J316" s="16" t="inlineStr">
        <is>
          <t>Open posting</t>
        </is>
      </c>
      <c r="K316" s="8" t="n"/>
      <c r="L316" s="17" t="inlineStr">
        <is>
          <t>new</t>
        </is>
      </c>
      <c r="M316" s="18" t="inlineStr"/>
      <c r="N316" s="7" t="inlineStr">
        <is>
          <t>513d03f6eeff96a197bc8d1b2ec6b00491ac2a85</t>
        </is>
      </c>
      <c r="O316" s="14" t="n">
        <v>46182</v>
      </c>
      <c r="P316" s="7" t="inlineStr">
        <is>
          <t>jobspy</t>
        </is>
      </c>
      <c r="Q316" s="8" t="inlineStr">
        <is>
          <t>python, sql, javascript, git, software development</t>
        </is>
      </c>
      <c r="R316" s="8" t="inlineStr">
        <is>
          <t>junior Graduate Software Developer</t>
        </is>
      </c>
      <c r="S316" s="19" t="n"/>
      <c r="T316" s="19" t="n"/>
      <c r="U316" s="14" t="n">
        <v>46191</v>
      </c>
      <c r="V316" s="7" t="n"/>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3.27</v>
      </c>
      <c r="C317" s="12" t="inlineStr">
        <is>
          <t>Unspecified</t>
        </is>
      </c>
      <c r="D317" s="8" t="inlineStr">
        <is>
          <t>Software Development Engineer</t>
        </is>
      </c>
      <c r="E317" s="7" t="inlineStr">
        <is>
          <t>Bupa UK</t>
        </is>
      </c>
      <c r="F317" s="8" t="inlineStr">
        <is>
          <t>Bristol, England, UK</t>
        </is>
      </c>
      <c r="G317" s="8" t="n"/>
      <c r="H317" s="14" t="n"/>
      <c r="I317" s="15">
        <f>IF($H317="","",$H317-TODAY())</f>
        <v/>
      </c>
      <c r="J317" s="16" t="inlineStr">
        <is>
          <t>Open posting</t>
        </is>
      </c>
      <c r="K317" s="8" t="n"/>
      <c r="L317" s="17" t="inlineStr">
        <is>
          <t>new</t>
        </is>
      </c>
      <c r="M317" s="18" t="inlineStr"/>
      <c r="N317" s="7" t="inlineStr">
        <is>
          <t>0879976fd2223da1cc3213221effa7ec9ae52e1d</t>
        </is>
      </c>
      <c r="O317" s="14" t="n">
        <v>46178</v>
      </c>
      <c r="P317" s="7" t="inlineStr">
        <is>
          <t>jobspy</t>
        </is>
      </c>
      <c r="Q317" s="8" t="inlineStr">
        <is>
          <t>sql, javascript, git, software development</t>
        </is>
      </c>
      <c r="R317" s="8" t="inlineStr">
        <is>
          <t>entry level Graduate Software Developer</t>
        </is>
      </c>
      <c r="S317" s="19" t="n"/>
      <c r="T317" s="19" t="n"/>
      <c r="U317" s="14" t="n">
        <v>46191</v>
      </c>
      <c r="V317" s="7" t="n"/>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3.27</v>
      </c>
      <c r="C318" s="12" t="inlineStr">
        <is>
          <t>Junior</t>
        </is>
      </c>
      <c r="D318" s="8" t="inlineStr">
        <is>
          <t>Junior Software Engineer</t>
        </is>
      </c>
      <c r="E318" s="7" t="inlineStr">
        <is>
          <t>AEJ Consulting Ltd</t>
        </is>
      </c>
      <c r="F318" s="8" t="inlineStr">
        <is>
          <t>London Area, United Kingdom</t>
        </is>
      </c>
      <c r="G318" s="8" t="n"/>
      <c r="H318" s="14" t="n"/>
      <c r="I318" s="15">
        <f>IF($H318="","",$H318-TODAY())</f>
        <v/>
      </c>
      <c r="J318" s="16" t="inlineStr">
        <is>
          <t>Open posting</t>
        </is>
      </c>
      <c r="K318" s="8" t="n"/>
      <c r="L318" s="17" t="inlineStr">
        <is>
          <t>new</t>
        </is>
      </c>
      <c r="M318" s="18" t="inlineStr"/>
      <c r="N318" s="7" t="inlineStr">
        <is>
          <t>6cb179283beb6e3dea6cfc439fa76f6804548049</t>
        </is>
      </c>
      <c r="O318" s="14" t="n"/>
      <c r="P318" s="7" t="inlineStr">
        <is>
          <t>jobspy</t>
        </is>
      </c>
      <c r="Q318" s="8" t="inlineStr">
        <is>
          <t>python, sql, git</t>
        </is>
      </c>
      <c r="R318" s="8" t="inlineStr">
        <is>
          <t>junior/graduate Graduate Software Developer</t>
        </is>
      </c>
      <c r="S318" s="19" t="n"/>
      <c r="T318" s="19" t="n"/>
      <c r="U318" s="14" t="n">
        <v>46191</v>
      </c>
      <c r="V318" s="7" t="n"/>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3.27</v>
      </c>
      <c r="C319" s="12" t="inlineStr">
        <is>
          <t>Mid-level</t>
        </is>
      </c>
      <c r="D319" s="8" t="inlineStr">
        <is>
          <t>Back-End Engineer - Team Agents</t>
        </is>
      </c>
      <c r="E319" s="7" t="inlineStr">
        <is>
          <t>Taktile</t>
        </is>
      </c>
      <c r="F319" s="8" t="inlineStr">
        <is>
          <t>London, England, UK</t>
        </is>
      </c>
      <c r="G319" s="8" t="n"/>
      <c r="H319" s="14" t="n"/>
      <c r="I319" s="15">
        <f>IF($H319="","",$H319-TODAY())</f>
        <v/>
      </c>
      <c r="J319" s="16" t="inlineStr">
        <is>
          <t>Open posting</t>
        </is>
      </c>
      <c r="K319" s="8" t="n"/>
      <c r="L319" s="17" t="inlineStr">
        <is>
          <t>new</t>
        </is>
      </c>
      <c r="M319" s="18" t="inlineStr"/>
      <c r="N319" s="7" t="inlineStr">
        <is>
          <t>23870fe9c08691d3a55bc6715e91aafa68c99ebc</t>
        </is>
      </c>
      <c r="O319" s="14" t="n">
        <v>46162</v>
      </c>
      <c r="P319" s="7" t="inlineStr">
        <is>
          <t>jobspy</t>
        </is>
      </c>
      <c r="Q319" s="8" t="inlineStr">
        <is>
          <t>python, sql, git</t>
        </is>
      </c>
      <c r="R319" s="8" t="inlineStr">
        <is>
          <t>entry level Junior Python Developer</t>
        </is>
      </c>
      <c r="S319" s="19" t="n"/>
      <c r="T319" s="19" t="n"/>
      <c r="U319" s="14" t="n">
        <v>46191</v>
      </c>
      <c r="V319" s="7" t="n"/>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3.27</v>
      </c>
      <c r="C320" s="12" t="inlineStr">
        <is>
          <t>Senior/Lead</t>
        </is>
      </c>
      <c r="D320" s="8" t="inlineStr">
        <is>
          <t>Full Stack Developer (Angular, Node.js, Express, PHP/CakePHP)</t>
        </is>
      </c>
      <c r="E320" s="7" t="inlineStr">
        <is>
          <t>Atos</t>
        </is>
      </c>
      <c r="F320" s="8" t="inlineStr">
        <is>
          <t>Balham, ENG, GB</t>
        </is>
      </c>
      <c r="G320" s="8" t="n"/>
      <c r="H320" s="14" t="n"/>
      <c r="I320" s="15">
        <f>IF($H320="","",$H320-TODAY())</f>
        <v/>
      </c>
      <c r="J320" s="16" t="inlineStr">
        <is>
          <t>Open posting</t>
        </is>
      </c>
      <c r="K320" s="8" t="n"/>
      <c r="L320" s="17" t="inlineStr">
        <is>
          <t>new</t>
        </is>
      </c>
      <c r="M320" s="18" t="inlineStr"/>
      <c r="N320" s="7" t="inlineStr">
        <is>
          <t>3a79e3b39f1d12d4ffc0c81eb746ebe069f91cfc</t>
        </is>
      </c>
      <c r="O320" s="14" t="n">
        <v>46189</v>
      </c>
      <c r="P320" s="7" t="inlineStr">
        <is>
          <t>jobspy</t>
        </is>
      </c>
      <c r="Q320" s="8" t="inlineStr">
        <is>
          <t>python, sql, rest apis, git</t>
        </is>
      </c>
      <c r="R320" s="8" t="inlineStr">
        <is>
          <t>Full Stack Developer</t>
        </is>
      </c>
      <c r="S320" s="19" t="n"/>
      <c r="T320" s="19" t="n"/>
      <c r="U320" s="14" t="n">
        <v>46191</v>
      </c>
      <c r="V320" s="7" t="n"/>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3.27</v>
      </c>
      <c r="C321" s="12" t="inlineStr">
        <is>
          <t>Unspecified</t>
        </is>
      </c>
      <c r="D321" s="8" t="inlineStr">
        <is>
          <t>Python Engineer (Data)</t>
        </is>
      </c>
      <c r="E321" s="7" t="inlineStr">
        <is>
          <t>BCIS</t>
        </is>
      </c>
      <c r="F321" s="8" t="inlineStr">
        <is>
          <t>Coventry, England, UK</t>
        </is>
      </c>
      <c r="G321" s="8" t="n"/>
      <c r="H321" s="14" t="n"/>
      <c r="I321" s="15">
        <f>IF($H321="","",$H321-TODAY())</f>
        <v/>
      </c>
      <c r="J321" s="16" t="inlineStr">
        <is>
          <t>Open posting</t>
        </is>
      </c>
      <c r="K321" s="8" t="n"/>
      <c r="L321" s="17" t="inlineStr">
        <is>
          <t>new</t>
        </is>
      </c>
      <c r="M321" s="18" t="inlineStr"/>
      <c r="N321" s="7" t="inlineStr">
        <is>
          <t>ac6cc6b3d72d20aa1930f73e02a04a87f552fe55</t>
        </is>
      </c>
      <c r="O321" s="14" t="n">
        <v>46171</v>
      </c>
      <c r="P321" s="7" t="inlineStr">
        <is>
          <t>jobspy</t>
        </is>
      </c>
      <c r="Q321" s="8" t="inlineStr">
        <is>
          <t>python, sql, git</t>
        </is>
      </c>
      <c r="R321" s="8" t="inlineStr">
        <is>
          <t>graduate Junior Python Developer</t>
        </is>
      </c>
      <c r="S321" s="19" t="n"/>
      <c r="T321" s="19" t="n"/>
      <c r="U321" s="14" t="n">
        <v>46191</v>
      </c>
      <c r="V321" s="7" t="n"/>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3.27</v>
      </c>
      <c r="C322" s="12" t="inlineStr">
        <is>
          <t>Graduate/Entry</t>
        </is>
      </c>
      <c r="D322" s="8" t="inlineStr">
        <is>
          <t>Junior/Graduate Software Engineer</t>
        </is>
      </c>
      <c r="E322" s="7" t="inlineStr">
        <is>
          <t>NCR Atleos</t>
        </is>
      </c>
      <c r="F322" s="8" t="inlineStr">
        <is>
          <t>Dundee, Scotland, UK</t>
        </is>
      </c>
      <c r="G322" s="8" t="n"/>
      <c r="H322" s="14" t="n"/>
      <c r="I322" s="15">
        <f>IF($H322="","",$H322-TODAY())</f>
        <v/>
      </c>
      <c r="J322" s="16" t="inlineStr">
        <is>
          <t>Open posting</t>
        </is>
      </c>
      <c r="K322" s="8" t="n"/>
      <c r="L322" s="17" t="inlineStr">
        <is>
          <t>new</t>
        </is>
      </c>
      <c r="M322" s="18" t="inlineStr"/>
      <c r="N322" s="7" t="inlineStr">
        <is>
          <t>1fb64e0181c5a1f80eb2b7addf97c16ba34a1538</t>
        </is>
      </c>
      <c r="O322" s="14" t="n"/>
      <c r="P322" s="7" t="inlineStr">
        <is>
          <t>jobspy</t>
        </is>
      </c>
      <c r="Q322" s="8" t="inlineStr">
        <is>
          <t>python, sql, git, software development</t>
        </is>
      </c>
      <c r="R322" s="8" t="inlineStr">
        <is>
          <t>graduate Junior Python Developer</t>
        </is>
      </c>
      <c r="S322" s="19" t="n"/>
      <c r="T322" s="19" t="n"/>
      <c r="U322" s="14" t="n">
        <v>46191</v>
      </c>
      <c r="V322" s="7" t="n"/>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3.27</v>
      </c>
      <c r="C323" s="12" t="inlineStr">
        <is>
          <t>Unspecified</t>
        </is>
      </c>
      <c r="D323" s="8" t="inlineStr">
        <is>
          <t>Automation &amp; Software Developer</t>
        </is>
      </c>
      <c r="E323" s="7" t="inlineStr">
        <is>
          <t>BatchdUK</t>
        </is>
      </c>
      <c r="F323" s="8" t="inlineStr">
        <is>
          <t>Leeds, England, UK</t>
        </is>
      </c>
      <c r="G323" s="8" t="n"/>
      <c r="H323" s="14" t="n"/>
      <c r="I323" s="15">
        <f>IF($H323="","",$H323-TODAY())</f>
        <v/>
      </c>
      <c r="J323" s="16" t="inlineStr">
        <is>
          <t>Open posting</t>
        </is>
      </c>
      <c r="K323" s="8" t="n"/>
      <c r="L323" s="17" t="inlineStr">
        <is>
          <t>new</t>
        </is>
      </c>
      <c r="M323" s="18" t="inlineStr"/>
      <c r="N323" s="7" t="inlineStr">
        <is>
          <t>874515010d879432e44a883c25b27e6d7ced014a</t>
        </is>
      </c>
      <c r="O323" s="14" t="n">
        <v>46189</v>
      </c>
      <c r="P323" s="7" t="inlineStr">
        <is>
          <t>jobspy</t>
        </is>
      </c>
      <c r="Q323" s="8" t="inlineStr">
        <is>
          <t>python, sql, javascript, git, software development</t>
        </is>
      </c>
      <c r="R323" s="8" t="inlineStr">
        <is>
          <t>Graduate Software Developer Sheffield</t>
        </is>
      </c>
      <c r="S323" s="19" t="n"/>
      <c r="T323" s="19" t="n"/>
      <c r="U323" s="14" t="n">
        <v>46191</v>
      </c>
      <c r="V323" s="7" t="n"/>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3.27</v>
      </c>
      <c r="C324" s="12" t="inlineStr">
        <is>
          <t>Junior</t>
        </is>
      </c>
      <c r="D324" s="8" t="inlineStr">
        <is>
          <t>Junior Software Engineer</t>
        </is>
      </c>
      <c r="E324" s="7" t="inlineStr">
        <is>
          <t>VERDANT VENTURE MANAGEMENT LIMITED</t>
        </is>
      </c>
      <c r="F324" s="8" t="inlineStr">
        <is>
          <t>Wooler, ENG, GB</t>
        </is>
      </c>
      <c r="G324" s="8" t="n"/>
      <c r="H324" s="14" t="n"/>
      <c r="I324" s="15">
        <f>IF($H324="","",$H324-TODAY())</f>
        <v/>
      </c>
      <c r="J324" s="16" t="inlineStr">
        <is>
          <t>Open posting</t>
        </is>
      </c>
      <c r="K324" s="8" t="n"/>
      <c r="L324" s="17" t="inlineStr">
        <is>
          <t>new</t>
        </is>
      </c>
      <c r="M324" s="18" t="inlineStr"/>
      <c r="N324" s="7" t="inlineStr">
        <is>
          <t>d4586649ec26da567d0f7f7e5e7bbd0ec8df9521</t>
        </is>
      </c>
      <c r="O324" s="14" t="n">
        <v>46191</v>
      </c>
      <c r="P324" s="7" t="inlineStr">
        <is>
          <t>jobspy</t>
        </is>
      </c>
      <c r="Q324" s="8" t="inlineStr">
        <is>
          <t>python, javascript, git, software development, web development</t>
        </is>
      </c>
      <c r="R324" s="8" t="inlineStr">
        <is>
          <t>Junior Python Developer</t>
        </is>
      </c>
      <c r="S324" s="19" t="n"/>
      <c r="T324" s="19" t="n"/>
      <c r="U324" s="14" t="n">
        <v>46191</v>
      </c>
      <c r="V324" s="7" t="n"/>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3.27</v>
      </c>
      <c r="C325" s="12" t="inlineStr">
        <is>
          <t>Unspecified</t>
        </is>
      </c>
      <c r="D325" s="8" t="inlineStr">
        <is>
          <t>Python Developer</t>
        </is>
      </c>
      <c r="E325" s="7" t="inlineStr">
        <is>
          <t>Smartedge Solutions</t>
        </is>
      </c>
      <c r="F325" s="8" t="inlineStr">
        <is>
          <t>England, United Kingdom</t>
        </is>
      </c>
      <c r="G325" s="8" t="n"/>
      <c r="H325" s="14" t="n"/>
      <c r="I325" s="15">
        <f>IF($H325="","",$H325-TODAY())</f>
        <v/>
      </c>
      <c r="J325" s="16" t="inlineStr">
        <is>
          <t>Open posting</t>
        </is>
      </c>
      <c r="K325" s="8" t="n"/>
      <c r="L325" s="17" t="inlineStr">
        <is>
          <t>new</t>
        </is>
      </c>
      <c r="M325" s="18" t="inlineStr"/>
      <c r="N325" s="7" t="inlineStr">
        <is>
          <t>15b92ad73a3f2e402df74bbcb6051c6a03aabc7d</t>
        </is>
      </c>
      <c r="O325" s="14" t="n"/>
      <c r="P325" s="7" t="inlineStr">
        <is>
          <t>jobspy</t>
        </is>
      </c>
      <c r="Q325" s="8" t="inlineStr">
        <is>
          <t>python, sql, software development</t>
        </is>
      </c>
      <c r="R325" s="8" t="inlineStr">
        <is>
          <t>Junior Python Developer Sheffield</t>
        </is>
      </c>
      <c r="S325" s="19" t="n"/>
      <c r="T325" s="19" t="n"/>
      <c r="U325" s="14" t="n">
        <v>46191</v>
      </c>
      <c r="V325" s="7" t="n"/>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3.27</v>
      </c>
      <c r="C326" s="12" t="inlineStr">
        <is>
          <t>Senior/Lead</t>
        </is>
      </c>
      <c r="D326" s="8" t="inlineStr">
        <is>
          <t>Python Quantitative Developer - Systematic Hedge Fund</t>
        </is>
      </c>
      <c r="E326" s="7" t="inlineStr">
        <is>
          <t>Winston Fox</t>
        </is>
      </c>
      <c r="F326" s="8" t="inlineStr">
        <is>
          <t>London Area, United Kingdom</t>
        </is>
      </c>
      <c r="G326" s="8" t="n"/>
      <c r="H326" s="14" t="n"/>
      <c r="I326" s="15">
        <f>IF($H326="","",$H326-TODAY())</f>
        <v/>
      </c>
      <c r="J326" s="16" t="inlineStr">
        <is>
          <t>Open posting</t>
        </is>
      </c>
      <c r="K326" s="8" t="n"/>
      <c r="L326" s="17" t="inlineStr">
        <is>
          <t>new</t>
        </is>
      </c>
      <c r="M326" s="18" t="inlineStr"/>
      <c r="N326" s="7" t="inlineStr">
        <is>
          <t>4bf252940aa9328b846fed88a3584a8a9448b29e</t>
        </is>
      </c>
      <c r="O326" s="14" t="n">
        <v>46185</v>
      </c>
      <c r="P326" s="7" t="inlineStr">
        <is>
          <t>jobspy</t>
        </is>
      </c>
      <c r="Q326" s="8" t="inlineStr">
        <is>
          <t>python, sql, git, software development</t>
        </is>
      </c>
      <c r="R326" s="8" t="inlineStr">
        <is>
          <t>junior/graduate Junior Python Developer</t>
        </is>
      </c>
      <c r="S326" s="19" t="n"/>
      <c r="T326" s="19" t="n"/>
      <c r="U326" s="14" t="n">
        <v>46191</v>
      </c>
      <c r="V326" s="7" t="n"/>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3.27</v>
      </c>
      <c r="C327" s="12" t="inlineStr">
        <is>
          <t>Unspecified</t>
        </is>
      </c>
      <c r="D327" s="8" t="inlineStr">
        <is>
          <t>Software Developer, Risk and Regulatory</t>
        </is>
      </c>
      <c r="E327" s="7" t="inlineStr">
        <is>
          <t>bet365</t>
        </is>
      </c>
      <c r="F327" s="8" t="inlineStr">
        <is>
          <t>Manchester, England, UK</t>
        </is>
      </c>
      <c r="G327" s="8" t="n"/>
      <c r="H327" s="14" t="n"/>
      <c r="I327" s="15">
        <f>IF($H327="","",$H327-TODAY())</f>
        <v/>
      </c>
      <c r="J327" s="16" t="inlineStr">
        <is>
          <t>Open posting</t>
        </is>
      </c>
      <c r="K327" s="8" t="n"/>
      <c r="L327" s="17" t="inlineStr">
        <is>
          <t>new</t>
        </is>
      </c>
      <c r="M327" s="18" t="inlineStr"/>
      <c r="N327" s="7" t="inlineStr">
        <is>
          <t>f2005dc7fda9d892b8cdf310777ff4dda4b49840</t>
        </is>
      </c>
      <c r="O327" s="14" t="n">
        <v>46190</v>
      </c>
      <c r="P327" s="7" t="inlineStr">
        <is>
          <t>jobspy</t>
        </is>
      </c>
      <c r="Q327" s="8" t="inlineStr">
        <is>
          <t>sql, javascript, software development, web development</t>
        </is>
      </c>
      <c r="R327" s="8" t="inlineStr">
        <is>
          <t>Full Stack Developer Sheffield</t>
        </is>
      </c>
      <c r="S327" s="19" t="n"/>
      <c r="T327" s="19" t="n"/>
      <c r="U327" s="14" t="n">
        <v>46191</v>
      </c>
      <c r="V327" s="7" t="n"/>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3.27</v>
      </c>
      <c r="C328" s="12" t="inlineStr">
        <is>
          <t>Unspecified</t>
        </is>
      </c>
      <c r="D328" s="8" t="inlineStr">
        <is>
          <t>Software Developer, Risk and Regulatory</t>
        </is>
      </c>
      <c r="E328" s="7" t="inlineStr">
        <is>
          <t>bet365</t>
        </is>
      </c>
      <c r="F328" s="8" t="inlineStr">
        <is>
          <t>Stoke-On-Trent, England, UK</t>
        </is>
      </c>
      <c r="G328" s="8" t="n"/>
      <c r="H328" s="14" t="n"/>
      <c r="I328" s="15">
        <f>IF($H328="","",$H328-TODAY())</f>
        <v/>
      </c>
      <c r="J328" s="16" t="inlineStr">
        <is>
          <t>Open posting</t>
        </is>
      </c>
      <c r="K328" s="8" t="n"/>
      <c r="L328" s="17" t="inlineStr">
        <is>
          <t>new</t>
        </is>
      </c>
      <c r="M328" s="18" t="inlineStr"/>
      <c r="N328" s="7" t="inlineStr">
        <is>
          <t>b4147af698c41e11334da2503422569ab03eb232</t>
        </is>
      </c>
      <c r="O328" s="14" t="n">
        <v>46190</v>
      </c>
      <c r="P328" s="7" t="inlineStr">
        <is>
          <t>jobspy</t>
        </is>
      </c>
      <c r="Q328" s="8" t="inlineStr">
        <is>
          <t>sql, javascript, software development, web development</t>
        </is>
      </c>
      <c r="R328" s="8" t="inlineStr">
        <is>
          <t>graduate Full Stack Developer</t>
        </is>
      </c>
      <c r="S328" s="19" t="n"/>
      <c r="T328" s="19" t="n"/>
      <c r="U328" s="14" t="n">
        <v>46191</v>
      </c>
      <c r="V328" s="7" t="n"/>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3.27</v>
      </c>
      <c r="C329" s="12" t="inlineStr">
        <is>
          <t>Mid-level</t>
        </is>
      </c>
      <c r="D329" s="8" t="inlineStr">
        <is>
          <t>Full Stack Engineer</t>
        </is>
      </c>
      <c r="E329" s="7" t="inlineStr">
        <is>
          <t>FDJ UNITED</t>
        </is>
      </c>
      <c r="F329" s="8" t="inlineStr">
        <is>
          <t>London Area, United Kingdom</t>
        </is>
      </c>
      <c r="G329" s="8" t="n"/>
      <c r="H329" s="14" t="n"/>
      <c r="I329" s="15">
        <f>IF($H329="","",$H329-TODAY())</f>
        <v/>
      </c>
      <c r="J329" s="16" t="inlineStr">
        <is>
          <t>Open posting</t>
        </is>
      </c>
      <c r="K329" s="8" t="n"/>
      <c r="L329" s="17" t="inlineStr">
        <is>
          <t>new</t>
        </is>
      </c>
      <c r="M329" s="18" t="inlineStr"/>
      <c r="N329" s="7" t="inlineStr">
        <is>
          <t>a97fd90dccb060967ca7ec7df1451ec0b3fe8bd4</t>
        </is>
      </c>
      <c r="O329" s="14" t="n">
        <v>46168</v>
      </c>
      <c r="P329" s="7" t="inlineStr">
        <is>
          <t>jobspy</t>
        </is>
      </c>
      <c r="Q329" s="8" t="inlineStr">
        <is>
          <t>javascript, rest apis, git</t>
        </is>
      </c>
      <c r="R329" s="8" t="inlineStr">
        <is>
          <t>entry level Full Stack Developer</t>
        </is>
      </c>
      <c r="S329" s="19" t="n"/>
      <c r="T329" s="19" t="n"/>
      <c r="U329" s="14" t="n">
        <v>46191</v>
      </c>
      <c r="V329" s="7" t="n"/>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3.27</v>
      </c>
      <c r="C330" s="12" t="inlineStr">
        <is>
          <t>Mid-level</t>
        </is>
      </c>
      <c r="D330" s="8" t="inlineStr">
        <is>
          <t>Software Engineer</t>
        </is>
      </c>
      <c r="E330" s="7" t="inlineStr">
        <is>
          <t>CDP</t>
        </is>
      </c>
      <c r="F330" s="8" t="inlineStr">
        <is>
          <t>London Area, United Kingdom</t>
        </is>
      </c>
      <c r="G330" s="8" t="n"/>
      <c r="H330" s="14" t="n"/>
      <c r="I330" s="15">
        <f>IF($H330="","",$H330-TODAY())</f>
        <v/>
      </c>
      <c r="J330" s="16" t="inlineStr">
        <is>
          <t>Open posting</t>
        </is>
      </c>
      <c r="K330" s="8" t="n"/>
      <c r="L330" s="17" t="inlineStr">
        <is>
          <t>new</t>
        </is>
      </c>
      <c r="M330" s="18" t="inlineStr"/>
      <c r="N330" s="7" t="inlineStr">
        <is>
          <t>e5caf648c7d1937d5d37cc3351e1c3bda69d32a2</t>
        </is>
      </c>
      <c r="O330" s="14" t="n">
        <v>46163</v>
      </c>
      <c r="P330" s="7" t="inlineStr">
        <is>
          <t>jobspy</t>
        </is>
      </c>
      <c r="Q330" s="8" t="inlineStr">
        <is>
          <t>python, javascript, git, web development</t>
        </is>
      </c>
      <c r="R330" s="8" t="inlineStr">
        <is>
          <t>entry level Full Stack Developer</t>
        </is>
      </c>
      <c r="S330" s="19" t="n"/>
      <c r="T330" s="19" t="n"/>
      <c r="U330" s="14" t="n">
        <v>46191</v>
      </c>
      <c r="V330" s="7" t="n"/>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3.2</v>
      </c>
      <c r="C331" s="12" t="inlineStr">
        <is>
          <t>Unspecified</t>
        </is>
      </c>
      <c r="D331" s="8" t="inlineStr">
        <is>
          <t>Software Engineer – Java, .NET &amp; Cloud Backend Systems</t>
        </is>
      </c>
      <c r="E331" s="7" t="inlineStr">
        <is>
          <t>SoTalent</t>
        </is>
      </c>
      <c r="F331" s="8" t="inlineStr">
        <is>
          <t>London Area, United Kingdom</t>
        </is>
      </c>
      <c r="G331" s="8" t="n"/>
      <c r="H331" s="14" t="n"/>
      <c r="I331" s="15">
        <f>IF($H331="","",$H331-TODAY())</f>
        <v/>
      </c>
      <c r="J331" s="16" t="inlineStr">
        <is>
          <t>Open posting</t>
        </is>
      </c>
      <c r="K331" s="8" t="inlineStr">
        <is>
          <t>Role requires strong Java/.NET/Spring/Kafka experience not present in profile; Docker and Kubernetes partially match but Java is a hard requirement gap.</t>
        </is>
      </c>
      <c r="L331" s="17" t="inlineStr">
        <is>
          <t>new</t>
        </is>
      </c>
      <c r="M331" s="18" t="inlineStr"/>
      <c r="N331" s="7" t="inlineStr">
        <is>
          <t>5c841ac62dd6408f9873b5b7747f4eb248d4c783</t>
        </is>
      </c>
      <c r="O331" s="14" t="n">
        <v>46195</v>
      </c>
      <c r="P331" s="7" t="inlineStr">
        <is>
          <t>jobspy</t>
        </is>
      </c>
      <c r="Q331" s="8" t="inlineStr">
        <is>
          <t>Docker, Kubernetes, SQL, REST APIs, CI/CD</t>
        </is>
      </c>
      <c r="R331" s="8" t="inlineStr">
        <is>
          <t>Junior Python Developer backend SQL Docker</t>
        </is>
      </c>
      <c r="S331" s="19" t="n"/>
      <c r="T331" s="19" t="n"/>
      <c r="U331" s="14" t="n">
        <v>46196</v>
      </c>
      <c r="V331" s="7" t="inlineStr">
        <is>
          <t>v2-cv-accuracy-13b988b18da8ea7d</t>
        </is>
      </c>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3.2</v>
      </c>
      <c r="C332" s="12" t="inlineStr">
        <is>
          <t>Unspecified</t>
        </is>
      </c>
      <c r="D332" s="8" t="inlineStr">
        <is>
          <t>Backend Developer | Remote</t>
        </is>
      </c>
      <c r="E332" s="7" t="inlineStr">
        <is>
          <t>Crossing Hurdles</t>
        </is>
      </c>
      <c r="F332" s="8" t="inlineStr"/>
      <c r="G332" s="8" t="n"/>
      <c r="H332" s="14" t="n"/>
      <c r="I332" s="15">
        <f>IF($H332="","",$H332-TODAY())</f>
        <v/>
      </c>
      <c r="J332" s="16" t="inlineStr">
        <is>
          <t>Open posting</t>
        </is>
      </c>
      <c r="K332" s="8" t="inlineStr">
        <is>
          <t>Java is a hard requirement not present in profile; USD compensation and contract nature also misalign with candidate's graduate profile.</t>
        </is>
      </c>
      <c r="L332" s="17" t="inlineStr">
        <is>
          <t>new</t>
        </is>
      </c>
      <c r="M332" s="18" t="inlineStr"/>
      <c r="N332" s="7" t="inlineStr">
        <is>
          <t>01fbebe3526f7edbc638807547113ec63069342e</t>
        </is>
      </c>
      <c r="O332" s="14" t="n">
        <v>46178</v>
      </c>
      <c r="P332" s="7" t="inlineStr">
        <is>
          <t>jobspy</t>
        </is>
      </c>
      <c r="Q332" s="8" t="inlineStr">
        <is>
          <t>Python, SQL, JavaScript, Git, API integration</t>
        </is>
      </c>
      <c r="R332" s="8" t="inlineStr">
        <is>
          <t>Junior Full Stack Developer JavaScript Python remote</t>
        </is>
      </c>
      <c r="S332" s="19" t="n"/>
      <c r="T332" s="19" t="n"/>
      <c r="U332" s="14" t="n">
        <v>46195</v>
      </c>
      <c r="V332" s="7" t="inlineStr">
        <is>
          <t>v2-cv-accuracy-13b988b18da8ea7d</t>
        </is>
      </c>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3.06</v>
      </c>
      <c r="C333" s="12" t="inlineStr">
        <is>
          <t>Unspecified</t>
        </is>
      </c>
      <c r="D333" s="8" t="inlineStr">
        <is>
          <t>Software Development Engineer II</t>
        </is>
      </c>
      <c r="E333" s="7" t="inlineStr">
        <is>
          <t>GoCardless</t>
        </is>
      </c>
      <c r="F333" s="8" t="inlineStr">
        <is>
          <t>London, UK</t>
        </is>
      </c>
      <c r="G333" s="8" t="n"/>
      <c r="H333" s="14" t="n"/>
      <c r="I333" s="15">
        <f>IF($H333="","",$H333-TODAY())</f>
        <v/>
      </c>
      <c r="J333" s="16" t="inlineStr">
        <is>
          <t>Open posting</t>
        </is>
      </c>
      <c r="K333" s="8" t="n"/>
      <c r="L333" s="17" t="inlineStr">
        <is>
          <t>new</t>
        </is>
      </c>
      <c r="M333" s="18" t="inlineStr"/>
      <c r="N333" s="7" t="inlineStr">
        <is>
          <t>dd95caacd1d806379d217f8328c63cc42b1dc9f3</t>
        </is>
      </c>
      <c r="O333" s="14" t="n">
        <v>46182</v>
      </c>
      <c r="P333" s="7" t="inlineStr">
        <is>
          <t>greenhouse:gocardless</t>
        </is>
      </c>
      <c r="Q333" s="8" t="inlineStr">
        <is>
          <t>python, javascript, git, software development</t>
        </is>
      </c>
      <c r="R333" s="8" t="n"/>
      <c r="S333" s="19" t="n"/>
      <c r="T333" s="19" t="n"/>
      <c r="U333" s="14" t="n">
        <v>46191</v>
      </c>
      <c r="V333" s="7" t="n"/>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3.06</v>
      </c>
      <c r="C334" s="12" t="inlineStr">
        <is>
          <t>Senior/Lead</t>
        </is>
      </c>
      <c r="D334" s="8" t="inlineStr">
        <is>
          <t>Software Engineer - (Full-stack Javascript)</t>
        </is>
      </c>
      <c r="E334" s="7" t="inlineStr">
        <is>
          <t>Perlego</t>
        </is>
      </c>
      <c r="F334" s="8" t="inlineStr">
        <is>
          <t>London, England, UK</t>
        </is>
      </c>
      <c r="G334" s="8" t="n"/>
      <c r="H334" s="14" t="n"/>
      <c r="I334" s="15">
        <f>IF($H334="","",$H334-TODAY())</f>
        <v/>
      </c>
      <c r="J334" s="16" t="inlineStr">
        <is>
          <t>Open posting</t>
        </is>
      </c>
      <c r="K334" s="8" t="n"/>
      <c r="L334" s="17" t="inlineStr">
        <is>
          <t>new</t>
        </is>
      </c>
      <c r="M334" s="18" t="inlineStr"/>
      <c r="N334" s="7" t="inlineStr">
        <is>
          <t>6a0cfe9884df8d4476d2bc23230b661d8d7214b8</t>
        </is>
      </c>
      <c r="O334" s="14" t="n">
        <v>46164</v>
      </c>
      <c r="P334" s="7" t="inlineStr">
        <is>
          <t>jobspy</t>
        </is>
      </c>
      <c r="Q334" s="8" t="inlineStr">
        <is>
          <t>sql, javascript, git</t>
        </is>
      </c>
      <c r="R334" s="8" t="inlineStr">
        <is>
          <t>junior Graduate Software Developer</t>
        </is>
      </c>
      <c r="S334" s="19" t="n"/>
      <c r="T334" s="19" t="n"/>
      <c r="U334" s="14" t="n">
        <v>46191</v>
      </c>
      <c r="V334" s="7" t="n"/>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3.06</v>
      </c>
      <c r="C335" s="12" t="inlineStr">
        <is>
          <t>Junior</t>
        </is>
      </c>
      <c r="D335" s="8" t="inlineStr">
        <is>
          <t>Junior Backend Engineer - UK</t>
        </is>
      </c>
      <c r="E335" s="7" t="inlineStr">
        <is>
          <t>Bumper</t>
        </is>
      </c>
      <c r="F335" s="8" t="inlineStr"/>
      <c r="G335" s="8" t="n"/>
      <c r="H335" s="14" t="n"/>
      <c r="I335" s="15">
        <f>IF($H335="","",$H335-TODAY())</f>
        <v/>
      </c>
      <c r="J335" s="16" t="inlineStr">
        <is>
          <t>Open posting</t>
        </is>
      </c>
      <c r="K335" s="8" t="n"/>
      <c r="L335" s="17" t="inlineStr">
        <is>
          <t>new</t>
        </is>
      </c>
      <c r="M335" s="18" t="inlineStr"/>
      <c r="N335" s="7" t="inlineStr">
        <is>
          <t>2d4ec8aa487d598027e1cdef31a6505da67fbe24</t>
        </is>
      </c>
      <c r="O335" s="14" t="n">
        <v>46182</v>
      </c>
      <c r="P335" s="7" t="inlineStr">
        <is>
          <t>jobspy</t>
        </is>
      </c>
      <c r="Q335" s="8" t="inlineStr">
        <is>
          <t>python, sql, rest apis, git</t>
        </is>
      </c>
      <c r="R335" s="8" t="inlineStr">
        <is>
          <t>Junior Python Developer Sheffield</t>
        </is>
      </c>
      <c r="S335" s="19" t="n"/>
      <c r="T335" s="19" t="n"/>
      <c r="U335" s="14" t="n">
        <v>46191</v>
      </c>
      <c r="V335" s="7" t="n"/>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3.06</v>
      </c>
      <c r="C336" s="12" t="inlineStr">
        <is>
          <t>Mid-level</t>
        </is>
      </c>
      <c r="D336" s="8" t="inlineStr">
        <is>
          <t>Developer (React, Node.js)</t>
        </is>
      </c>
      <c r="E336" s="7" t="inlineStr">
        <is>
          <t>Sage</t>
        </is>
      </c>
      <c r="F336" s="8" t="inlineStr">
        <is>
          <t>Newcastle Upon Tyne, England, UK</t>
        </is>
      </c>
      <c r="G336" s="8" t="n"/>
      <c r="H336" s="14" t="n"/>
      <c r="I336" s="15">
        <f>IF($H336="","",$H336-TODAY())</f>
        <v/>
      </c>
      <c r="J336" s="16" t="inlineStr">
        <is>
          <t>Open posting</t>
        </is>
      </c>
      <c r="K336" s="8" t="n"/>
      <c r="L336" s="17" t="inlineStr">
        <is>
          <t>new</t>
        </is>
      </c>
      <c r="M336" s="18" t="inlineStr"/>
      <c r="N336" s="7" t="inlineStr">
        <is>
          <t>82906425217b17801ba6b3989b786d58ecff147b</t>
        </is>
      </c>
      <c r="O336" s="14" t="n"/>
      <c r="P336" s="7" t="inlineStr">
        <is>
          <t>jobspy</t>
        </is>
      </c>
      <c r="Q336" s="8" t="inlineStr">
        <is>
          <t>sql, git, software development</t>
        </is>
      </c>
      <c r="R336" s="8" t="inlineStr">
        <is>
          <t>graduate Full Stack Developer</t>
        </is>
      </c>
      <c r="S336" s="19" t="n"/>
      <c r="T336" s="19" t="n"/>
      <c r="U336" s="14" t="n">
        <v>46191</v>
      </c>
      <c r="V336" s="7" t="n"/>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3.06</v>
      </c>
      <c r="C337" s="12" t="inlineStr">
        <is>
          <t>Senior/Lead</t>
        </is>
      </c>
      <c r="D337" s="8" t="inlineStr">
        <is>
          <t>Software Engineer (Full Stack)</t>
        </is>
      </c>
      <c r="E337" s="7" t="inlineStr">
        <is>
          <t>Urban Jungle Insurance</t>
        </is>
      </c>
      <c r="F337" s="8" t="inlineStr">
        <is>
          <t>London Area, United Kingdom</t>
        </is>
      </c>
      <c r="G337" s="8" t="n"/>
      <c r="H337" s="14" t="n"/>
      <c r="I337" s="15">
        <f>IF($H337="","",$H337-TODAY())</f>
        <v/>
      </c>
      <c r="J337" s="16" t="inlineStr">
        <is>
          <t>Open posting</t>
        </is>
      </c>
      <c r="K337" s="8" t="n"/>
      <c r="L337" s="17" t="inlineStr">
        <is>
          <t>new</t>
        </is>
      </c>
      <c r="M337" s="18" t="inlineStr"/>
      <c r="N337" s="7" t="inlineStr">
        <is>
          <t>98cc91a902d7dafbe3d4c56481ccc95d7863fbde</t>
        </is>
      </c>
      <c r="O337" s="14" t="n">
        <v>46169</v>
      </c>
      <c r="P337" s="7" t="inlineStr">
        <is>
          <t>jobspy</t>
        </is>
      </c>
      <c r="Q337" s="8" t="inlineStr">
        <is>
          <t>python, sql, javascript</t>
        </is>
      </c>
      <c r="R337" s="8" t="inlineStr">
        <is>
          <t>junior/graduate Full Stack Developer</t>
        </is>
      </c>
      <c r="S337" s="19" t="n"/>
      <c r="T337" s="19" t="n"/>
      <c r="U337" s="14" t="n">
        <v>46191</v>
      </c>
      <c r="V337" s="7" t="n"/>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3.06</v>
      </c>
      <c r="C338" s="12" t="inlineStr">
        <is>
          <t>Unspecified</t>
        </is>
      </c>
      <c r="D338" s="8" t="inlineStr">
        <is>
          <t>Java UI Developer</t>
        </is>
      </c>
      <c r="E338" s="7" t="inlineStr">
        <is>
          <t>FalconSmartIT</t>
        </is>
      </c>
      <c r="F338" s="8" t="inlineStr">
        <is>
          <t>London, ENG, GB</t>
        </is>
      </c>
      <c r="G338" s="8" t="n"/>
      <c r="H338" s="14" t="n"/>
      <c r="I338" s="15">
        <f>IF($H338="","",$H338-TODAY())</f>
        <v/>
      </c>
      <c r="J338" s="16" t="inlineStr">
        <is>
          <t>Open posting</t>
        </is>
      </c>
      <c r="K338" s="8" t="n"/>
      <c r="L338" s="17" t="inlineStr">
        <is>
          <t>new</t>
        </is>
      </c>
      <c r="M338" s="18" t="inlineStr"/>
      <c r="N338" s="7" t="inlineStr">
        <is>
          <t>3d108f94b0bdef7c30808cc677c68ac55d13e171</t>
        </is>
      </c>
      <c r="O338" s="14" t="n">
        <v>46191</v>
      </c>
      <c r="P338" s="7" t="inlineStr">
        <is>
          <t>jobspy</t>
        </is>
      </c>
      <c r="Q338" s="8" t="inlineStr">
        <is>
          <t>javascript, rest apis, git</t>
        </is>
      </c>
      <c r="R338" s="8" t="inlineStr">
        <is>
          <t>Full Stack Developer</t>
        </is>
      </c>
      <c r="S338" s="19" t="n"/>
      <c r="T338" s="19" t="n"/>
      <c r="U338" s="14" t="n">
        <v>46191</v>
      </c>
      <c r="V338" s="7" t="n"/>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3.06</v>
      </c>
      <c r="C339" s="12" t="inlineStr">
        <is>
          <t>Senior/Lead</t>
        </is>
      </c>
      <c r="D339" s="8" t="inlineStr">
        <is>
          <t>Web Application Developer</t>
        </is>
      </c>
      <c r="E339" s="7" t="inlineStr">
        <is>
          <t>idash Software</t>
        </is>
      </c>
      <c r="F339" s="8" t="inlineStr">
        <is>
          <t>St Neots, England, UK</t>
        </is>
      </c>
      <c r="G339" s="8" t="n"/>
      <c r="H339" s="14" t="n">
        <v>46203</v>
      </c>
      <c r="I339" s="15">
        <f>IF($H339="","",$H339-TODAY())</f>
        <v/>
      </c>
      <c r="J339" s="16" t="inlineStr">
        <is>
          <t>Open posting</t>
        </is>
      </c>
      <c r="K339" s="8" t="n"/>
      <c r="L339" s="17" t="inlineStr">
        <is>
          <t>new</t>
        </is>
      </c>
      <c r="M339" s="18" t="inlineStr"/>
      <c r="N339" s="7" t="inlineStr">
        <is>
          <t>fd09d53809d8976bb50e55abd61ae38e75f75bcd</t>
        </is>
      </c>
      <c r="O339" s="14" t="n">
        <v>46174</v>
      </c>
      <c r="P339" s="7" t="inlineStr">
        <is>
          <t>jobspy</t>
        </is>
      </c>
      <c r="Q339" s="8" t="inlineStr">
        <is>
          <t>sql, javascript, git, software development, web development</t>
        </is>
      </c>
      <c r="R339" s="8" t="inlineStr">
        <is>
          <t>graduate Full Stack Developer</t>
        </is>
      </c>
      <c r="S339" s="19" t="n"/>
      <c r="T339" s="19" t="n"/>
      <c r="U339" s="14" t="n">
        <v>46191</v>
      </c>
      <c r="V339" s="7" t="n"/>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3.06</v>
      </c>
      <c r="C340" s="12" t="inlineStr">
        <is>
          <t>Unspecified</t>
        </is>
      </c>
      <c r="D340" s="8" t="inlineStr">
        <is>
          <t>Full-stack Engineer</t>
        </is>
      </c>
      <c r="E340" s="7" t="inlineStr">
        <is>
          <t>Renesas Electronics</t>
        </is>
      </c>
      <c r="F340" s="8" t="inlineStr">
        <is>
          <t>Cambridge, England, UK</t>
        </is>
      </c>
      <c r="G340" s="8" t="n"/>
      <c r="H340" s="14" t="n"/>
      <c r="I340" s="15">
        <f>IF($H340="","",$H340-TODAY())</f>
        <v/>
      </c>
      <c r="J340" s="16" t="inlineStr">
        <is>
          <t>Open posting</t>
        </is>
      </c>
      <c r="K340" s="8" t="n"/>
      <c r="L340" s="17" t="inlineStr">
        <is>
          <t>new</t>
        </is>
      </c>
      <c r="M340" s="18" t="inlineStr"/>
      <c r="N340" s="7" t="inlineStr">
        <is>
          <t>e5501079069275811970d9fe19cbce831e613f91</t>
        </is>
      </c>
      <c r="O340" s="14" t="n"/>
      <c r="P340" s="7" t="inlineStr">
        <is>
          <t>jobspy</t>
        </is>
      </c>
      <c r="Q340" s="8" t="inlineStr">
        <is>
          <t>python, sql, git</t>
        </is>
      </c>
      <c r="R340" s="8" t="inlineStr">
        <is>
          <t>Full Stack Developer</t>
        </is>
      </c>
      <c r="S340" s="19" t="n"/>
      <c r="T340" s="19" t="n"/>
      <c r="U340" s="14" t="n">
        <v>46191</v>
      </c>
      <c r="V340" s="7" t="n"/>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3</v>
      </c>
      <c r="C341" s="12" t="inlineStr">
        <is>
          <t>Unspecified</t>
        </is>
      </c>
      <c r="D341" s="8" t="inlineStr">
        <is>
          <t>Mixed Signal Modelling and Verification Engineer (#GNEG4)</t>
        </is>
      </c>
      <c r="E341" s="7" t="inlineStr">
        <is>
          <t>Cirrus Logic</t>
        </is>
      </c>
      <c r="F341" s="8" t="inlineStr">
        <is>
          <t>Edinburgh, Scotland, UK</t>
        </is>
      </c>
      <c r="G341" s="8" t="n"/>
      <c r="H341" s="14" t="n"/>
      <c r="I341" s="15">
        <f>IF($H341="","",$H341-TODAY())</f>
        <v/>
      </c>
      <c r="J341" s="16" t="inlineStr">
        <is>
          <t>Open posting</t>
        </is>
      </c>
      <c r="K341" s="8" t="inlineStr">
        <is>
          <t>MEng degree matches, but proven mixed-signal IC verification track record, UVM, Verilog AMS, and Spectre tools are not evidenced in the profile.</t>
        </is>
      </c>
      <c r="L341" s="17" t="inlineStr">
        <is>
          <t>new</t>
        </is>
      </c>
      <c r="M341" s="18" t="inlineStr"/>
      <c r="N341" s="7" t="inlineStr">
        <is>
          <t>be67829718f91d0a8e452fed2c44d7d810545ac0</t>
        </is>
      </c>
      <c r="O341" s="14" t="n">
        <v>46186</v>
      </c>
      <c r="P341" s="7" t="inlineStr">
        <is>
          <t>jobspy</t>
        </is>
      </c>
      <c r="Q341" s="8" t="inlineStr">
        <is>
          <t>Verilog, Python, digital design</t>
        </is>
      </c>
      <c r="R341" s="8" t="inlineStr">
        <is>
          <t>Graduate Verification Engineer digital design Verilog</t>
        </is>
      </c>
      <c r="S341" s="19" t="n"/>
      <c r="T341" s="19" t="n"/>
      <c r="U341" s="14" t="n">
        <v>46198</v>
      </c>
      <c r="V341" s="7" t="inlineStr">
        <is>
          <t>v2-cv-accuracy-13b988b18da8ea7d</t>
        </is>
      </c>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3</v>
      </c>
      <c r="C342" s="12" t="inlineStr">
        <is>
          <t>Mid-level</t>
        </is>
      </c>
      <c r="D342" s="8" t="inlineStr">
        <is>
          <t>Full Stack Engineer</t>
        </is>
      </c>
      <c r="E342" s="7" t="inlineStr">
        <is>
          <t>Intellect Group</t>
        </is>
      </c>
      <c r="F342" s="8" t="inlineStr">
        <is>
          <t>London Area, United Kingdom</t>
        </is>
      </c>
      <c r="G342" s="8" t="n"/>
      <c r="H342" s="14" t="n"/>
      <c r="I342" s="15">
        <f>IF($H342="","",$H342-TODAY())</f>
        <v/>
      </c>
      <c r="J342" s="16" t="inlineStr">
        <is>
          <t>Open posting</t>
        </is>
      </c>
      <c r="K342" s="8" t="inlineStr">
        <is>
          <t>TypeScript/Node.js backend FinTech role lacks evidence in profile; Node.js is adjacent but no commercial TypeScript or FinTech experience evidenced.</t>
        </is>
      </c>
      <c r="L342" s="17" t="inlineStr">
        <is>
          <t>new</t>
        </is>
      </c>
      <c r="M342" s="18" t="inlineStr"/>
      <c r="N342" s="7" t="inlineStr">
        <is>
          <t>c49017e7db850f5b7a8ac46169afca2e48dabdd1</t>
        </is>
      </c>
      <c r="O342" s="14" t="n">
        <v>46182</v>
      </c>
      <c r="P342" s="7" t="inlineStr">
        <is>
          <t>jobspy</t>
        </is>
      </c>
      <c r="Q342" s="8" t="inlineStr">
        <is>
          <t>REST APIs, SQL, Git, CI/CD, Node.js</t>
        </is>
      </c>
      <c r="R342" s="8" t="inlineStr">
        <is>
          <t>Junior Python Developer backend SQL Docker</t>
        </is>
      </c>
      <c r="S342" s="19" t="n"/>
      <c r="T342" s="19" t="n"/>
      <c r="U342" s="14" t="n">
        <v>46196</v>
      </c>
      <c r="V342" s="7" t="inlineStr">
        <is>
          <t>v2-cv-accuracy-13b988b18da8ea7d</t>
        </is>
      </c>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3</v>
      </c>
      <c r="C343" s="12" t="inlineStr">
        <is>
          <t>Unspecified</t>
        </is>
      </c>
      <c r="D343" s="8" t="inlineStr">
        <is>
          <t>DevOps engineer</t>
        </is>
      </c>
      <c r="E343" s="7" t="inlineStr">
        <is>
          <t>Edhouse s.r.o.</t>
        </is>
      </c>
      <c r="F343" s="8" t="inlineStr">
        <is>
          <t>Nebo, Wales, UK</t>
        </is>
      </c>
      <c r="G343" s="8" t="n"/>
      <c r="H343" s="14" t="n"/>
      <c r="I343" s="15">
        <f>IF($H343="","",$H343-TODAY())</f>
        <v/>
      </c>
      <c r="J343" s="16" t="inlineStr">
        <is>
          <t>Open posting</t>
        </is>
      </c>
      <c r="K343" s="8" t="inlineStr">
        <is>
          <t>Role is in Czech Republic/Slovak language context, location far outside search radius, and requires Windows admin experience not evidenced in profile.</t>
        </is>
      </c>
      <c r="L343" s="17" t="inlineStr">
        <is>
          <t>new</t>
        </is>
      </c>
      <c r="M343" s="18" t="inlineStr"/>
      <c r="N343" s="7" t="inlineStr">
        <is>
          <t>2f2d08704cbdf75a6f5448a65796fc0db4d642f4</t>
        </is>
      </c>
      <c r="O343" s="14" t="n">
        <v>46167</v>
      </c>
      <c r="P343" s="7" t="inlineStr">
        <is>
          <t>jobspy</t>
        </is>
      </c>
      <c r="Q343" s="8" t="inlineStr">
        <is>
          <t>Python, Git, Docker, Kubernetes</t>
        </is>
      </c>
      <c r="R343" s="8" t="inlineStr">
        <is>
          <t>Graduate DevOps Engineer Docker Kubernetes Git</t>
        </is>
      </c>
      <c r="S343" s="19" t="n"/>
      <c r="T343" s="19" t="n"/>
      <c r="U343" s="14" t="n">
        <v>46192</v>
      </c>
      <c r="V343" s="7" t="inlineStr">
        <is>
          <t>v2-cv-accuracy-13b988b18da8ea7d</t>
        </is>
      </c>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2.86</v>
      </c>
      <c r="C344" s="12" t="inlineStr">
        <is>
          <t>Unspecified</t>
        </is>
      </c>
      <c r="D344" s="8" t="inlineStr">
        <is>
          <t>Site Reliability Engineer</t>
        </is>
      </c>
      <c r="E344" s="7" t="inlineStr">
        <is>
          <t>GoCardless</t>
        </is>
      </c>
      <c r="F344" s="8" t="inlineStr">
        <is>
          <t>London, UK</t>
        </is>
      </c>
      <c r="G344" s="8" t="n"/>
      <c r="H344" s="14" t="n"/>
      <c r="I344" s="15">
        <f>IF($H344="","",$H344-TODAY())</f>
        <v/>
      </c>
      <c r="J344" s="16" t="inlineStr">
        <is>
          <t>Open posting</t>
        </is>
      </c>
      <c r="K344" s="8" t="n"/>
      <c r="L344" s="17" t="inlineStr">
        <is>
          <t>new</t>
        </is>
      </c>
      <c r="M344" s="18" t="inlineStr"/>
      <c r="N344" s="7" t="inlineStr">
        <is>
          <t>49a2a0300fd14e9911eff5cad6fc94bc2eed750d</t>
        </is>
      </c>
      <c r="O344" s="14" t="n">
        <v>46190</v>
      </c>
      <c r="P344" s="7" t="inlineStr">
        <is>
          <t>greenhouse:gocardless</t>
        </is>
      </c>
      <c r="Q344" s="8" t="inlineStr">
        <is>
          <t>python, git, software development</t>
        </is>
      </c>
      <c r="R344" s="8" t="n"/>
      <c r="S344" s="19" t="n"/>
      <c r="T344" s="19" t="n"/>
      <c r="U344" s="14" t="n">
        <v>46191</v>
      </c>
      <c r="V344" s="7" t="n"/>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2.86</v>
      </c>
      <c r="C345" s="12" t="inlineStr">
        <is>
          <t>Unspecified</t>
        </is>
      </c>
      <c r="D345" s="8" t="inlineStr">
        <is>
          <t>Site Reliability Engineer</t>
        </is>
      </c>
      <c r="E345" s="7" t="inlineStr">
        <is>
          <t>GoCardless</t>
        </is>
      </c>
      <c r="F345" s="8" t="inlineStr">
        <is>
          <t>Lisbon, Portugal</t>
        </is>
      </c>
      <c r="G345" s="8" t="n"/>
      <c r="H345" s="14" t="n"/>
      <c r="I345" s="15">
        <f>IF($H345="","",$H345-TODAY())</f>
        <v/>
      </c>
      <c r="J345" s="16" t="inlineStr">
        <is>
          <t>Open posting</t>
        </is>
      </c>
      <c r="K345" s="8" t="n"/>
      <c r="L345" s="17" t="inlineStr">
        <is>
          <t>new</t>
        </is>
      </c>
      <c r="M345" s="18" t="inlineStr"/>
      <c r="N345" s="7" t="inlineStr">
        <is>
          <t>9c6065e388da9967c9ef98db16ffecaab8b4fa92</t>
        </is>
      </c>
      <c r="O345" s="14" t="n">
        <v>46176</v>
      </c>
      <c r="P345" s="7" t="inlineStr">
        <is>
          <t>greenhouse:gocardless</t>
        </is>
      </c>
      <c r="Q345" s="8" t="inlineStr">
        <is>
          <t>python, git, software development</t>
        </is>
      </c>
      <c r="R345" s="8" t="n"/>
      <c r="S345" s="19" t="n"/>
      <c r="T345" s="19" t="n"/>
      <c r="U345" s="14" t="n">
        <v>46191</v>
      </c>
      <c r="V345" s="7" t="n"/>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2.86</v>
      </c>
      <c r="C346" s="12" t="inlineStr">
        <is>
          <t>Graduate/Entry</t>
        </is>
      </c>
      <c r="D346" s="8" t="inlineStr">
        <is>
          <t>Software Developer (Entry Level)</t>
        </is>
      </c>
      <c r="E346" s="7" t="inlineStr">
        <is>
          <t>Konrad</t>
        </is>
      </c>
      <c r="F346" s="8" t="inlineStr">
        <is>
          <t>London, England, UK</t>
        </is>
      </c>
      <c r="G346" s="8" t="n"/>
      <c r="H346" s="14" t="n"/>
      <c r="I346" s="15">
        <f>IF($H346="","",$H346-TODAY())</f>
        <v/>
      </c>
      <c r="J346" s="16" t="inlineStr">
        <is>
          <t>Open posting</t>
        </is>
      </c>
      <c r="K346" s="8" t="n"/>
      <c r="L346" s="17" t="inlineStr">
        <is>
          <t>new</t>
        </is>
      </c>
      <c r="M346" s="18" t="inlineStr"/>
      <c r="N346" s="7" t="inlineStr">
        <is>
          <t>bd521aeee2af3157143edbe76b2dd5090c43e318</t>
        </is>
      </c>
      <c r="O346" s="14" t="n">
        <v>46189</v>
      </c>
      <c r="P346" s="7" t="inlineStr">
        <is>
          <t>jobspy</t>
        </is>
      </c>
      <c r="Q346" s="8" t="inlineStr">
        <is>
          <t>python, javascript, git, software development</t>
        </is>
      </c>
      <c r="R346" s="8" t="inlineStr">
        <is>
          <t>Graduate Software Developer</t>
        </is>
      </c>
      <c r="S346" s="19" t="n"/>
      <c r="T346" s="19" t="n"/>
      <c r="U346" s="14" t="n">
        <v>46191</v>
      </c>
      <c r="V346" s="7" t="n"/>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2.86</v>
      </c>
      <c r="C347" s="12" t="inlineStr">
        <is>
          <t>Graduate/Entry</t>
        </is>
      </c>
      <c r="D347" s="8" t="inlineStr">
        <is>
          <t>Graduate Software Developer</t>
        </is>
      </c>
      <c r="E347" s="7" t="inlineStr">
        <is>
          <t>Netcompany</t>
        </is>
      </c>
      <c r="F347" s="8" t="inlineStr">
        <is>
          <t>Leeds, England, UK</t>
        </is>
      </c>
      <c r="G347" s="8" t="n"/>
      <c r="H347" s="14" t="n"/>
      <c r="I347" s="15">
        <f>IF($H347="","",$H347-TODAY())</f>
        <v/>
      </c>
      <c r="J347" s="16" t="inlineStr">
        <is>
          <t>Open posting</t>
        </is>
      </c>
      <c r="K347" s="8" t="n"/>
      <c r="L347" s="17" t="inlineStr">
        <is>
          <t>new</t>
        </is>
      </c>
      <c r="M347" s="18" t="inlineStr"/>
      <c r="N347" s="7" t="inlineStr">
        <is>
          <t>aefffe0cfae93a0aa2df64ed85859dd17f65c600</t>
        </is>
      </c>
      <c r="O347" s="14" t="n">
        <v>46186</v>
      </c>
      <c r="P347" s="7" t="inlineStr">
        <is>
          <t>jobspy</t>
        </is>
      </c>
      <c r="Q347" s="8" t="inlineStr">
        <is>
          <t>python, sql, javascript, git</t>
        </is>
      </c>
      <c r="R347" s="8" t="inlineStr">
        <is>
          <t>Graduate Software Developer</t>
        </is>
      </c>
      <c r="S347" s="19" t="n"/>
      <c r="T347" s="19" t="n"/>
      <c r="U347" s="14" t="n">
        <v>46191</v>
      </c>
      <c r="V347" s="7" t="n"/>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2.86</v>
      </c>
      <c r="C348" s="12" t="inlineStr">
        <is>
          <t>Graduate/Entry</t>
        </is>
      </c>
      <c r="D348" s="8" t="inlineStr">
        <is>
          <t>Graduate Software Developer</t>
        </is>
      </c>
      <c r="E348" s="7" t="inlineStr">
        <is>
          <t>Reply</t>
        </is>
      </c>
      <c r="F348" s="8" t="inlineStr">
        <is>
          <t>London Area, United Kingdom</t>
        </is>
      </c>
      <c r="G348" s="8" t="n"/>
      <c r="H348" s="14" t="n"/>
      <c r="I348" s="15">
        <f>IF($H348="","",$H348-TODAY())</f>
        <v/>
      </c>
      <c r="J348" s="16" t="inlineStr">
        <is>
          <t>Open posting</t>
        </is>
      </c>
      <c r="K348" s="8" t="n"/>
      <c r="L348" s="17" t="inlineStr">
        <is>
          <t>new</t>
        </is>
      </c>
      <c r="M348" s="18" t="inlineStr"/>
      <c r="N348" s="7" t="inlineStr">
        <is>
          <t>0d66bb2d5b8352bf48269b6e924ef6626acd5ae6</t>
        </is>
      </c>
      <c r="O348" s="14" t="n">
        <v>46171</v>
      </c>
      <c r="P348" s="7" t="inlineStr">
        <is>
          <t>jobspy</t>
        </is>
      </c>
      <c r="Q348" s="8" t="inlineStr">
        <is>
          <t>javascript, git, software development, web development</t>
        </is>
      </c>
      <c r="R348" s="8" t="inlineStr">
        <is>
          <t>Graduate Software Developer</t>
        </is>
      </c>
      <c r="S348" s="19" t="n"/>
      <c r="T348" s="19" t="n"/>
      <c r="U348" s="14" t="n">
        <v>46191</v>
      </c>
      <c r="V348" s="7" t="n"/>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2.86</v>
      </c>
      <c r="C349" s="12" t="inlineStr">
        <is>
          <t>Graduate/Entry</t>
        </is>
      </c>
      <c r="D349" s="8" t="inlineStr">
        <is>
          <t>Graduate Software Developer</t>
        </is>
      </c>
      <c r="E349" s="7" t="inlineStr">
        <is>
          <t>Reply</t>
        </is>
      </c>
      <c r="F349" s="8" t="inlineStr">
        <is>
          <t>Manchester Area, United Kingdom</t>
        </is>
      </c>
      <c r="G349" s="8" t="n"/>
      <c r="H349" s="14" t="n"/>
      <c r="I349" s="15">
        <f>IF($H349="","",$H349-TODAY())</f>
        <v/>
      </c>
      <c r="J349" s="16" t="inlineStr">
        <is>
          <t>Open posting</t>
        </is>
      </c>
      <c r="K349" s="8" t="n"/>
      <c r="L349" s="17" t="inlineStr">
        <is>
          <t>new</t>
        </is>
      </c>
      <c r="M349" s="18" t="inlineStr"/>
      <c r="N349" s="7" t="inlineStr">
        <is>
          <t>61c1733eb93b7cdaea97ad7d6b92ad30febce347</t>
        </is>
      </c>
      <c r="O349" s="14" t="n">
        <v>46162</v>
      </c>
      <c r="P349" s="7" t="inlineStr">
        <is>
          <t>jobspy</t>
        </is>
      </c>
      <c r="Q349" s="8" t="inlineStr">
        <is>
          <t>python, sql, javascript, git</t>
        </is>
      </c>
      <c r="R349" s="8" t="inlineStr">
        <is>
          <t>Graduate Software Developer</t>
        </is>
      </c>
      <c r="S349" s="19" t="n"/>
      <c r="T349" s="19" t="n"/>
      <c r="U349" s="14" t="n">
        <v>46191</v>
      </c>
      <c r="V349" s="7" t="n"/>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2.86</v>
      </c>
      <c r="C350" s="12" t="inlineStr">
        <is>
          <t>Junior</t>
        </is>
      </c>
      <c r="D350" s="8" t="inlineStr">
        <is>
          <t>Software Engineer / Software Developer</t>
        </is>
      </c>
      <c r="E350" s="7" t="inlineStr">
        <is>
          <t>hackajob</t>
        </is>
      </c>
      <c r="F350" s="8" t="inlineStr">
        <is>
          <t>Sheffield, England, UK</t>
        </is>
      </c>
      <c r="G350" s="8" t="n"/>
      <c r="H350" s="14" t="n"/>
      <c r="I350" s="15">
        <f>IF($H350="","",$H350-TODAY())</f>
        <v/>
      </c>
      <c r="J350" s="16" t="inlineStr">
        <is>
          <t>Open posting</t>
        </is>
      </c>
      <c r="K350" s="8" t="n"/>
      <c r="L350" s="17" t="inlineStr">
        <is>
          <t>new</t>
        </is>
      </c>
      <c r="M350" s="18" t="inlineStr"/>
      <c r="N350" s="7" t="inlineStr">
        <is>
          <t>95fa0fa56d9a887829e5656e572807adffb5fabf</t>
        </is>
      </c>
      <c r="O350" s="14" t="n">
        <v>46175</v>
      </c>
      <c r="P350" s="7" t="inlineStr">
        <is>
          <t>jobspy</t>
        </is>
      </c>
      <c r="Q350" s="8" t="inlineStr">
        <is>
          <t>sql, javascript, rest apis</t>
        </is>
      </c>
      <c r="R350" s="8" t="inlineStr">
        <is>
          <t>Graduate Software Developer Sheffield</t>
        </is>
      </c>
      <c r="S350" s="19" t="n"/>
      <c r="T350" s="19" t="n"/>
      <c r="U350" s="14" t="n">
        <v>46191</v>
      </c>
      <c r="V350" s="7" t="n"/>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2.86</v>
      </c>
      <c r="C351" s="12" t="inlineStr">
        <is>
          <t>Graduate/Entry</t>
        </is>
      </c>
      <c r="D351" s="8" t="inlineStr">
        <is>
          <t>Graduate Full Stack Software Engineer</t>
        </is>
      </c>
      <c r="E351" s="7" t="inlineStr">
        <is>
          <t>Lovey</t>
        </is>
      </c>
      <c r="F351" s="8" t="inlineStr">
        <is>
          <t>Birmingham, England, UK</t>
        </is>
      </c>
      <c r="G351" s="8" t="n"/>
      <c r="H351" s="14" t="n"/>
      <c r="I351" s="15">
        <f>IF($H351="","",$H351-TODAY())</f>
        <v/>
      </c>
      <c r="J351" s="16" t="inlineStr">
        <is>
          <t>Open posting</t>
        </is>
      </c>
      <c r="K351" s="8" t="n"/>
      <c r="L351" s="17" t="inlineStr">
        <is>
          <t>new</t>
        </is>
      </c>
      <c r="M351" s="18" t="inlineStr"/>
      <c r="N351" s="7" t="inlineStr">
        <is>
          <t>1b8cbefb6e7e7ad08460810d58c1c38bdbaf8b01</t>
        </is>
      </c>
      <c r="O351" s="14" t="n"/>
      <c r="P351" s="7" t="inlineStr">
        <is>
          <t>jobspy</t>
        </is>
      </c>
      <c r="Q351" s="8" t="inlineStr">
        <is>
          <t>python, sql, rest apis</t>
        </is>
      </c>
      <c r="R351" s="8" t="inlineStr">
        <is>
          <t>junior Graduate Software Developer</t>
        </is>
      </c>
      <c r="S351" s="19" t="n"/>
      <c r="T351" s="19" t="n"/>
      <c r="U351" s="14" t="n">
        <v>46191</v>
      </c>
      <c r="V351" s="7" t="n"/>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2.86</v>
      </c>
      <c r="C352" s="12" t="inlineStr">
        <is>
          <t>Mid-level</t>
        </is>
      </c>
      <c r="D352" s="8" t="inlineStr">
        <is>
          <t>Software Engineer</t>
        </is>
      </c>
      <c r="E352" s="7" t="inlineStr">
        <is>
          <t>Experis UK</t>
        </is>
      </c>
      <c r="F352" s="8" t="inlineStr">
        <is>
          <t>Newcastle Upon Tyne, England, UK</t>
        </is>
      </c>
      <c r="G352" s="8" t="n"/>
      <c r="H352" s="14" t="n"/>
      <c r="I352" s="15">
        <f>IF($H352="","",$H352-TODAY())</f>
        <v/>
      </c>
      <c r="J352" s="16" t="inlineStr">
        <is>
          <t>Open posting</t>
        </is>
      </c>
      <c r="K352" s="8" t="n"/>
      <c r="L352" s="17" t="inlineStr">
        <is>
          <t>new</t>
        </is>
      </c>
      <c r="M352" s="18" t="inlineStr"/>
      <c r="N352" s="7" t="inlineStr">
        <is>
          <t>7d51b36170f68724e6a699895ae97d514e3eece1</t>
        </is>
      </c>
      <c r="O352" s="14" t="n">
        <v>46189</v>
      </c>
      <c r="P352" s="7" t="inlineStr">
        <is>
          <t>jobspy</t>
        </is>
      </c>
      <c r="Q352" s="8" t="inlineStr">
        <is>
          <t>python, sql, software development</t>
        </is>
      </c>
      <c r="R352" s="8" t="inlineStr">
        <is>
          <t>Junior Python Developer</t>
        </is>
      </c>
      <c r="S352" s="19" t="n"/>
      <c r="T352" s="19" t="n"/>
      <c r="U352" s="14" t="n">
        <v>46191</v>
      </c>
      <c r="V352" s="7" t="n"/>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2.86</v>
      </c>
      <c r="C353" s="12" t="inlineStr">
        <is>
          <t>Unspecified</t>
        </is>
      </c>
      <c r="D353" s="8" t="inlineStr">
        <is>
          <t>Frontend Software Engineer</t>
        </is>
      </c>
      <c r="E353" s="7" t="inlineStr">
        <is>
          <t>Twilio</t>
        </is>
      </c>
      <c r="F353" s="8" t="inlineStr"/>
      <c r="G353" s="8" t="n"/>
      <c r="H353" s="14" t="n"/>
      <c r="I353" s="15">
        <f>IF($H353="","",$H353-TODAY())</f>
        <v/>
      </c>
      <c r="J353" s="16" t="inlineStr">
        <is>
          <t>Open posting</t>
        </is>
      </c>
      <c r="K353" s="8" t="n"/>
      <c r="L353" s="17" t="inlineStr">
        <is>
          <t>new</t>
        </is>
      </c>
      <c r="M353" s="18" t="inlineStr"/>
      <c r="N353" s="7" t="inlineStr">
        <is>
          <t>c3d53db17e1d1513239293c33ad62460be70e186</t>
        </is>
      </c>
      <c r="O353" s="14" t="n">
        <v>46189</v>
      </c>
      <c r="P353" s="7" t="inlineStr">
        <is>
          <t>jobspy</t>
        </is>
      </c>
      <c r="Q353" s="8" t="inlineStr">
        <is>
          <t>javascript, rest apis, git</t>
        </is>
      </c>
      <c r="R353" s="8" t="inlineStr">
        <is>
          <t>Full Stack Developer</t>
        </is>
      </c>
      <c r="S353" s="19" t="n"/>
      <c r="T353" s="19" t="n"/>
      <c r="U353" s="14" t="n">
        <v>46191</v>
      </c>
      <c r="V353" s="7" t="n"/>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2.86</v>
      </c>
      <c r="C354" s="12" t="inlineStr">
        <is>
          <t>Unspecified</t>
        </is>
      </c>
      <c r="D354" s="8" t="inlineStr">
        <is>
          <t>Python Developer</t>
        </is>
      </c>
      <c r="E354" s="7" t="inlineStr">
        <is>
          <t>Digital Gurus</t>
        </is>
      </c>
      <c r="F354" s="8" t="inlineStr">
        <is>
          <t>Gloucestershire, England, UK</t>
        </is>
      </c>
      <c r="G354" s="8" t="n"/>
      <c r="H354" s="14" t="n"/>
      <c r="I354" s="15">
        <f>IF($H354="","",$H354-TODAY())</f>
        <v/>
      </c>
      <c r="J354" s="16" t="inlineStr">
        <is>
          <t>Open posting</t>
        </is>
      </c>
      <c r="K354" s="8" t="n"/>
      <c r="L354" s="17" t="inlineStr">
        <is>
          <t>new</t>
        </is>
      </c>
      <c r="M354" s="18" t="inlineStr"/>
      <c r="N354" s="7" t="inlineStr">
        <is>
          <t>f62374135231b88a87412ca8630b304da16a903d</t>
        </is>
      </c>
      <c r="O354" s="14" t="n">
        <v>46170</v>
      </c>
      <c r="P354" s="7" t="inlineStr">
        <is>
          <t>jobspy</t>
        </is>
      </c>
      <c r="Q354" s="8" t="inlineStr">
        <is>
          <t>python, javascript, rest apis</t>
        </is>
      </c>
      <c r="R354" s="8" t="inlineStr">
        <is>
          <t>Junior Python Developer</t>
        </is>
      </c>
      <c r="S354" s="19" t="n"/>
      <c r="T354" s="19" t="n"/>
      <c r="U354" s="14" t="n">
        <v>46191</v>
      </c>
      <c r="V354" s="7" t="n"/>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2.86</v>
      </c>
      <c r="C355" s="12" t="inlineStr">
        <is>
          <t>Mid-level</t>
        </is>
      </c>
      <c r="D355" s="8" t="inlineStr">
        <is>
          <t>GenAI Python Developer</t>
        </is>
      </c>
      <c r="E355" s="7" t="inlineStr">
        <is>
          <t>EMBS Technology</t>
        </is>
      </c>
      <c r="F355" s="8" t="inlineStr">
        <is>
          <t>London Area, United Kingdom</t>
        </is>
      </c>
      <c r="G355" s="8" t="n"/>
      <c r="H355" s="14" t="n"/>
      <c r="I355" s="15">
        <f>IF($H355="","",$H355-TODAY())</f>
        <v/>
      </c>
      <c r="J355" s="16" t="inlineStr">
        <is>
          <t>Open posting</t>
        </is>
      </c>
      <c r="K355" s="8" t="n"/>
      <c r="L355" s="17" t="inlineStr">
        <is>
          <t>new</t>
        </is>
      </c>
      <c r="M355" s="18" t="inlineStr"/>
      <c r="N355" s="7" t="inlineStr">
        <is>
          <t>81be837eaf2fae61e33fe6cf53c248408a1d546f</t>
        </is>
      </c>
      <c r="O355" s="14" t="n">
        <v>46176</v>
      </c>
      <c r="P355" s="7" t="inlineStr">
        <is>
          <t>jobspy</t>
        </is>
      </c>
      <c r="Q355" s="8" t="inlineStr">
        <is>
          <t>python, sql, git</t>
        </is>
      </c>
      <c r="R355" s="8" t="inlineStr">
        <is>
          <t>junior/graduate Junior Python Developer</t>
        </is>
      </c>
      <c r="S355" s="19" t="n"/>
      <c r="T355" s="19" t="n"/>
      <c r="U355" s="14" t="n">
        <v>46191</v>
      </c>
      <c r="V355" s="7" t="n"/>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2.86</v>
      </c>
      <c r="C356" s="12" t="inlineStr">
        <is>
          <t>Graduate/Entry</t>
        </is>
      </c>
      <c r="D356" s="8" t="inlineStr">
        <is>
          <t>Python Developer</t>
        </is>
      </c>
      <c r="E356" s="7" t="inlineStr">
        <is>
          <t>Emonics LLC</t>
        </is>
      </c>
      <c r="F356" s="8" t="inlineStr">
        <is>
          <t>Seattle, WA</t>
        </is>
      </c>
      <c r="G356" s="8" t="n"/>
      <c r="H356" s="14" t="n"/>
      <c r="I356" s="15">
        <f>IF($H356="","",$H356-TODAY())</f>
        <v/>
      </c>
      <c r="J356" s="16" t="inlineStr">
        <is>
          <t>Open posting</t>
        </is>
      </c>
      <c r="K356" s="8" t="n"/>
      <c r="L356" s="17" t="inlineStr">
        <is>
          <t>new</t>
        </is>
      </c>
      <c r="M356" s="18" t="inlineStr"/>
      <c r="N356" s="7" t="inlineStr">
        <is>
          <t>768dd31ef26e667c22f5e6f102f66ca1309f3b04</t>
        </is>
      </c>
      <c r="O356" s="14" t="n"/>
      <c r="P356" s="7" t="inlineStr">
        <is>
          <t>jobspy</t>
        </is>
      </c>
      <c r="Q356" s="8" t="inlineStr">
        <is>
          <t>python, sql, rest apis, git</t>
        </is>
      </c>
      <c r="R356" s="8" t="inlineStr">
        <is>
          <t>junior/graduate Junior Python Developer</t>
        </is>
      </c>
      <c r="S356" s="19" t="n"/>
      <c r="T356" s="19" t="n"/>
      <c r="U356" s="14" t="n">
        <v>46191</v>
      </c>
      <c r="V356" s="7" t="n"/>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2.86</v>
      </c>
      <c r="C357" s="12" t="inlineStr">
        <is>
          <t>Mid-level</t>
        </is>
      </c>
      <c r="D357" s="8" t="inlineStr">
        <is>
          <t>Software Engineer</t>
        </is>
      </c>
      <c r="E357" s="7" t="inlineStr">
        <is>
          <t>Accelero</t>
        </is>
      </c>
      <c r="F357" s="8" t="inlineStr">
        <is>
          <t>Northamptonshire, England, UK</t>
        </is>
      </c>
      <c r="G357" s="8" t="n"/>
      <c r="H357" s="14" t="n"/>
      <c r="I357" s="15">
        <f>IF($H357="","",$H357-TODAY())</f>
        <v/>
      </c>
      <c r="J357" s="16" t="inlineStr">
        <is>
          <t>Open posting</t>
        </is>
      </c>
      <c r="K357" s="8" t="n"/>
      <c r="L357" s="17" t="inlineStr">
        <is>
          <t>new</t>
        </is>
      </c>
      <c r="M357" s="18" t="inlineStr"/>
      <c r="N357" s="7" t="inlineStr">
        <is>
          <t>552e9bb7221d6604aca75fc32f587bcf2a6bff35</t>
        </is>
      </c>
      <c r="O357" s="14" t="n">
        <v>46189</v>
      </c>
      <c r="P357" s="7" t="inlineStr">
        <is>
          <t>jobspy</t>
        </is>
      </c>
      <c r="Q357" s="8" t="inlineStr">
        <is>
          <t>sql, git, software development</t>
        </is>
      </c>
      <c r="R357" s="8" t="inlineStr">
        <is>
          <t>graduate Full Stack Developer</t>
        </is>
      </c>
      <c r="S357" s="19" t="n"/>
      <c r="T357" s="19" t="n"/>
      <c r="U357" s="14" t="n">
        <v>46191</v>
      </c>
      <c r="V357" s="7" t="n"/>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2.8</v>
      </c>
      <c r="C358" s="12" t="inlineStr">
        <is>
          <t>Unspecified</t>
        </is>
      </c>
      <c r="D358" s="8" t="inlineStr">
        <is>
          <t>Full Stack Engineer</t>
        </is>
      </c>
      <c r="E358" s="7" t="inlineStr">
        <is>
          <t>Persistent Systems</t>
        </is>
      </c>
      <c r="F358" s="8" t="inlineStr">
        <is>
          <t>Glasgow, Scotland, UK</t>
        </is>
      </c>
      <c r="G358" s="8" t="n"/>
      <c r="H358" s="14" t="n"/>
      <c r="I358" s="15">
        <f>IF($H358="","",$H358-TODAY())</f>
        <v/>
      </c>
      <c r="J358" s="16" t="inlineStr">
        <is>
          <t>Open posting</t>
        </is>
      </c>
      <c r="K358" s="8" t="inlineStr">
        <is>
          <t>Mandatory Java, Snowflake, MongoDB, Kafka skills absent from profile; Python and Docker partially match but core stack is misaligned.</t>
        </is>
      </c>
      <c r="L358" s="17" t="inlineStr">
        <is>
          <t>new</t>
        </is>
      </c>
      <c r="M358" s="18" t="inlineStr"/>
      <c r="N358" s="7" t="inlineStr">
        <is>
          <t>fcef61abd8052bf6091f0a3ed1c5994a3a702a84</t>
        </is>
      </c>
      <c r="O358" s="14" t="n">
        <v>46189</v>
      </c>
      <c r="P358" s="7" t="inlineStr">
        <is>
          <t>jobspy</t>
        </is>
      </c>
      <c r="Q358" s="8" t="inlineStr">
        <is>
          <t>Python, MySQL, Docker, Kubernetes, REST APIs</t>
        </is>
      </c>
      <c r="R358" s="8" t="inlineStr">
        <is>
          <t>Junior Python Developer backend SQL Docker</t>
        </is>
      </c>
      <c r="S358" s="19" t="n"/>
      <c r="T358" s="19" t="n"/>
      <c r="U358" s="14" t="n">
        <v>46196</v>
      </c>
      <c r="V358" s="7" t="inlineStr">
        <is>
          <t>v2-cv-accuracy-13b988b18da8ea7d</t>
        </is>
      </c>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2.65</v>
      </c>
      <c r="C359" s="12" t="inlineStr">
        <is>
          <t>Junior</t>
        </is>
      </c>
      <c r="D359" s="8" t="inlineStr">
        <is>
          <t>Junior Software Developer</t>
        </is>
      </c>
      <c r="E359" s="7" t="inlineStr">
        <is>
          <t>Skuuudle</t>
        </is>
      </c>
      <c r="F359" s="8" t="inlineStr">
        <is>
          <t>Manchester, ENG, GB</t>
        </is>
      </c>
      <c r="G359" s="8" t="n"/>
      <c r="H359" s="14" t="n"/>
      <c r="I359" s="15">
        <f>IF($H359="","",$H359-TODAY())</f>
        <v/>
      </c>
      <c r="J359" s="16" t="inlineStr">
        <is>
          <t>Open posting</t>
        </is>
      </c>
      <c r="K359" s="8" t="n"/>
      <c r="L359" s="17" t="inlineStr">
        <is>
          <t>new</t>
        </is>
      </c>
      <c r="M359" s="18" t="inlineStr"/>
      <c r="N359" s="7" t="inlineStr">
        <is>
          <t>f4244fa27ee19f0762c1de984578b9ce8eddfb88</t>
        </is>
      </c>
      <c r="O359" s="14" t="n">
        <v>46188</v>
      </c>
      <c r="P359" s="7" t="inlineStr">
        <is>
          <t>jobspy</t>
        </is>
      </c>
      <c r="Q359" s="8" t="inlineStr">
        <is>
          <t>python, sql, git, software development</t>
        </is>
      </c>
      <c r="R359" s="8" t="inlineStr">
        <is>
          <t>Graduate Software Developer</t>
        </is>
      </c>
      <c r="S359" s="19" t="n"/>
      <c r="T359" s="19" t="n"/>
      <c r="U359" s="14" t="n">
        <v>46191</v>
      </c>
      <c r="V359" s="7" t="n"/>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2.65</v>
      </c>
      <c r="C360" s="12" t="inlineStr">
        <is>
          <t>Junior</t>
        </is>
      </c>
      <c r="D360" s="8" t="inlineStr">
        <is>
          <t>Junior Developer</t>
        </is>
      </c>
      <c r="E360" s="7" t="inlineStr">
        <is>
          <t>ASENDIA UK LIMITED</t>
        </is>
      </c>
      <c r="F360" s="8" t="inlineStr">
        <is>
          <t>Hounslow, England, UK</t>
        </is>
      </c>
      <c r="G360" s="8" t="n"/>
      <c r="H360" s="14" t="n"/>
      <c r="I360" s="15">
        <f>IF($H360="","",$H360-TODAY())</f>
        <v/>
      </c>
      <c r="J360" s="16" t="inlineStr">
        <is>
          <t>Open posting</t>
        </is>
      </c>
      <c r="K360" s="8" t="n"/>
      <c r="L360" s="17" t="inlineStr">
        <is>
          <t>new</t>
        </is>
      </c>
      <c r="M360" s="18" t="inlineStr"/>
      <c r="N360" s="7" t="inlineStr">
        <is>
          <t>903b24102a5b8dfb9f2d9e585b474080161984d9</t>
        </is>
      </c>
      <c r="O360" s="14" t="n">
        <v>46169</v>
      </c>
      <c r="P360" s="7" t="inlineStr">
        <is>
          <t>jobspy</t>
        </is>
      </c>
      <c r="Q360" s="8" t="inlineStr">
        <is>
          <t>sql, javascript, git, software development</t>
        </is>
      </c>
      <c r="R360" s="8" t="inlineStr">
        <is>
          <t>junior/graduate Graduate Software Developer</t>
        </is>
      </c>
      <c r="S360" s="19" t="n"/>
      <c r="T360" s="19" t="n"/>
      <c r="U360" s="14" t="n">
        <v>46191</v>
      </c>
      <c r="V360" s="7" t="n"/>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2.65</v>
      </c>
      <c r="C361" s="12" t="inlineStr">
        <is>
          <t>Mid-level</t>
        </is>
      </c>
      <c r="D361" s="8" t="inlineStr">
        <is>
          <t>Software Developer</t>
        </is>
      </c>
      <c r="E361" s="7" t="inlineStr">
        <is>
          <t>MedChemica Ltd</t>
        </is>
      </c>
      <c r="F361" s="8" t="inlineStr">
        <is>
          <t>Macclesfield, ENG, GB</t>
        </is>
      </c>
      <c r="G361" s="8" t="n"/>
      <c r="H361" s="14" t="n"/>
      <c r="I361" s="15">
        <f>IF($H361="","",$H361-TODAY())</f>
        <v/>
      </c>
      <c r="J361" s="16" t="inlineStr">
        <is>
          <t>Open posting</t>
        </is>
      </c>
      <c r="K361" s="8" t="n"/>
      <c r="L361" s="17" t="inlineStr">
        <is>
          <t>new</t>
        </is>
      </c>
      <c r="M361" s="18" t="inlineStr"/>
      <c r="N361" s="7" t="inlineStr">
        <is>
          <t>94c1f7020f99d629dc51ebc88d5048c8be41425b</t>
        </is>
      </c>
      <c r="O361" s="14" t="n">
        <v>46184</v>
      </c>
      <c r="P361" s="7" t="inlineStr">
        <is>
          <t>jobspy</t>
        </is>
      </c>
      <c r="Q361" s="8" t="inlineStr">
        <is>
          <t>python, sql, git, software development</t>
        </is>
      </c>
      <c r="R361" s="8" t="inlineStr">
        <is>
          <t>Graduate Software Developer remote</t>
        </is>
      </c>
      <c r="S361" s="19" t="n"/>
      <c r="T361" s="19" t="n"/>
      <c r="U361" s="14" t="n">
        <v>46191</v>
      </c>
      <c r="V361" s="7" t="n"/>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2.65</v>
      </c>
      <c r="C362" s="12" t="inlineStr">
        <is>
          <t>Junior</t>
        </is>
      </c>
      <c r="D362" s="8" t="inlineStr">
        <is>
          <t>Software Engineer</t>
        </is>
      </c>
      <c r="E362" s="7" t="inlineStr">
        <is>
          <t>Verso Recruitment Group</t>
        </is>
      </c>
      <c r="F362" s="8" t="inlineStr">
        <is>
          <t>Weymouth, England, UK</t>
        </is>
      </c>
      <c r="G362" s="8" t="n"/>
      <c r="H362" s="14" t="n"/>
      <c r="I362" s="15">
        <f>IF($H362="","",$H362-TODAY())</f>
        <v/>
      </c>
      <c r="J362" s="16" t="inlineStr">
        <is>
          <t>Open posting</t>
        </is>
      </c>
      <c r="K362" s="8" t="n"/>
      <c r="L362" s="17" t="inlineStr">
        <is>
          <t>new</t>
        </is>
      </c>
      <c r="M362" s="18" t="inlineStr"/>
      <c r="N362" s="7" t="inlineStr">
        <is>
          <t>24f0381e88f0a1e6d6da1e198002b32c470e043b</t>
        </is>
      </c>
      <c r="O362" s="14" t="n">
        <v>46177</v>
      </c>
      <c r="P362" s="7" t="inlineStr">
        <is>
          <t>jobspy</t>
        </is>
      </c>
      <c r="Q362" s="8" t="inlineStr">
        <is>
          <t>python, sql, git, software development</t>
        </is>
      </c>
      <c r="R362" s="8" t="inlineStr">
        <is>
          <t>Junior Python Developer</t>
        </is>
      </c>
      <c r="S362" s="19" t="n"/>
      <c r="T362" s="19" t="n"/>
      <c r="U362" s="14" t="n">
        <v>46191</v>
      </c>
      <c r="V362" s="7" t="n"/>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2.65</v>
      </c>
      <c r="C363" s="12" t="inlineStr">
        <is>
          <t>Senior/Lead</t>
        </is>
      </c>
      <c r="D363" s="8" t="inlineStr">
        <is>
          <t>Full Stack Engineer</t>
        </is>
      </c>
      <c r="E363" s="7" t="inlineStr">
        <is>
          <t>CRU</t>
        </is>
      </c>
      <c r="F363" s="8" t="inlineStr">
        <is>
          <t>Sheffield, England, UK</t>
        </is>
      </c>
      <c r="G363" s="8" t="n"/>
      <c r="H363" s="14" t="n"/>
      <c r="I363" s="15">
        <f>IF($H363="","",$H363-TODAY())</f>
        <v/>
      </c>
      <c r="J363" s="16" t="inlineStr">
        <is>
          <t>Open posting</t>
        </is>
      </c>
      <c r="K363" s="8" t="n"/>
      <c r="L363" s="17" t="inlineStr">
        <is>
          <t>new</t>
        </is>
      </c>
      <c r="M363" s="18" t="inlineStr"/>
      <c r="N363" s="7" t="inlineStr">
        <is>
          <t>2f1f33d2b7f811bd4cce2b9e694bc09bfa3eb29b</t>
        </is>
      </c>
      <c r="O363" s="14" t="n"/>
      <c r="P363" s="7" t="inlineStr">
        <is>
          <t>jobspy</t>
        </is>
      </c>
      <c r="Q363" s="8" t="inlineStr">
        <is>
          <t>javascript, git, software development</t>
        </is>
      </c>
      <c r="R363" s="8" t="inlineStr">
        <is>
          <t>Junior Python Developer Sheffield</t>
        </is>
      </c>
      <c r="S363" s="19" t="n"/>
      <c r="T363" s="19" t="n"/>
      <c r="U363" s="14" t="n">
        <v>46191</v>
      </c>
      <c r="V363" s="7" t="n"/>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2.65</v>
      </c>
      <c r="C364" s="12" t="inlineStr">
        <is>
          <t>Unspecified</t>
        </is>
      </c>
      <c r="D364" s="8" t="inlineStr">
        <is>
          <t>Python Software Engineer</t>
        </is>
      </c>
      <c r="E364" s="7" t="inlineStr">
        <is>
          <t>GoFibre</t>
        </is>
      </c>
      <c r="F364" s="8" t="inlineStr">
        <is>
          <t>Edinburgh, Scotland, UK</t>
        </is>
      </c>
      <c r="G364" s="8" t="n"/>
      <c r="H364" s="14" t="n"/>
      <c r="I364" s="15">
        <f>IF($H364="","",$H364-TODAY())</f>
        <v/>
      </c>
      <c r="J364" s="16" t="inlineStr">
        <is>
          <t>Open posting</t>
        </is>
      </c>
      <c r="K364" s="8" t="n"/>
      <c r="L364" s="17" t="inlineStr">
        <is>
          <t>new</t>
        </is>
      </c>
      <c r="M364" s="18" t="inlineStr"/>
      <c r="N364" s="7" t="inlineStr">
        <is>
          <t>f67c76b24f4ecae440dcec33c10b9588fb2f8609</t>
        </is>
      </c>
      <c r="O364" s="14" t="n">
        <v>46178</v>
      </c>
      <c r="P364" s="7" t="inlineStr">
        <is>
          <t>jobspy</t>
        </is>
      </c>
      <c r="Q364" s="8" t="inlineStr">
        <is>
          <t>python, sql, git</t>
        </is>
      </c>
      <c r="R364" s="8" t="inlineStr">
        <is>
          <t>graduate Junior Python Developer</t>
        </is>
      </c>
      <c r="S364" s="19" t="n"/>
      <c r="T364" s="19" t="n"/>
      <c r="U364" s="14" t="n">
        <v>46191</v>
      </c>
      <c r="V364" s="7" t="n"/>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2.65</v>
      </c>
      <c r="C365" s="12" t="inlineStr">
        <is>
          <t>Unspecified</t>
        </is>
      </c>
      <c r="D365" s="8" t="inlineStr">
        <is>
          <t>Software Engineer</t>
        </is>
      </c>
      <c r="E365" s="7" t="inlineStr">
        <is>
          <t>WRK digital</t>
        </is>
      </c>
      <c r="F365" s="8" t="inlineStr">
        <is>
          <t>Leeds, England, UK</t>
        </is>
      </c>
      <c r="G365" s="8" t="n"/>
      <c r="H365" s="14" t="n"/>
      <c r="I365" s="15">
        <f>IF($H365="","",$H365-TODAY())</f>
        <v/>
      </c>
      <c r="J365" s="16" t="inlineStr">
        <is>
          <t>Open posting</t>
        </is>
      </c>
      <c r="K365" s="8" t="n"/>
      <c r="L365" s="17" t="inlineStr">
        <is>
          <t>new</t>
        </is>
      </c>
      <c r="M365" s="18" t="inlineStr"/>
      <c r="N365" s="7" t="inlineStr">
        <is>
          <t>42354da0cada5d7d6e532532a1e7334f45393238</t>
        </is>
      </c>
      <c r="O365" s="14" t="n">
        <v>46170</v>
      </c>
      <c r="P365" s="7" t="inlineStr">
        <is>
          <t>jobspy</t>
        </is>
      </c>
      <c r="Q365" s="8" t="inlineStr">
        <is>
          <t>sql, javascript, git</t>
        </is>
      </c>
      <c r="R365" s="8" t="inlineStr">
        <is>
          <t>Full Stack Developer Sheffield</t>
        </is>
      </c>
      <c r="S365" s="19" t="n"/>
      <c r="T365" s="19" t="n"/>
      <c r="U365" s="14" t="n">
        <v>46191</v>
      </c>
      <c r="V365" s="7" t="n"/>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2.65</v>
      </c>
      <c r="C366" s="12" t="inlineStr">
        <is>
          <t>Graduate/Entry</t>
        </is>
      </c>
      <c r="D366" s="8" t="inlineStr">
        <is>
          <t>Graduate/Junior Software Engineer (Must have a CS Degree from a top Uni)</t>
        </is>
      </c>
      <c r="E366" s="7" t="inlineStr">
        <is>
          <t>Oliver Bernard</t>
        </is>
      </c>
      <c r="F366" s="8" t="inlineStr">
        <is>
          <t>London Area, United Kingdom</t>
        </is>
      </c>
      <c r="G366" s="8" t="n"/>
      <c r="H366" s="14" t="n"/>
      <c r="I366" s="15">
        <f>IF($H366="","",$H366-TODAY())</f>
        <v/>
      </c>
      <c r="J366" s="16" t="inlineStr">
        <is>
          <t>Open posting</t>
        </is>
      </c>
      <c r="K366" s="8" t="n"/>
      <c r="L366" s="17" t="inlineStr">
        <is>
          <t>new</t>
        </is>
      </c>
      <c r="M366" s="18" t="inlineStr"/>
      <c r="N366" s="7" t="inlineStr">
        <is>
          <t>d977f3a8825c5a9a04859581d1904618077b8c13</t>
        </is>
      </c>
      <c r="O366" s="14" t="n">
        <v>46176</v>
      </c>
      <c r="P366" s="7" t="inlineStr">
        <is>
          <t>jobspy</t>
        </is>
      </c>
      <c r="Q366" s="8" t="inlineStr">
        <is>
          <t>python, sql, software development</t>
        </is>
      </c>
      <c r="R366" s="8" t="inlineStr">
        <is>
          <t>junior/graduate Full Stack Developer</t>
        </is>
      </c>
      <c r="S366" s="19" t="n"/>
      <c r="T366" s="19" t="n"/>
      <c r="U366" s="14" t="n">
        <v>46191</v>
      </c>
      <c r="V366" s="7" t="n"/>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2.65</v>
      </c>
      <c r="C367" s="12" t="inlineStr">
        <is>
          <t>Junior</t>
        </is>
      </c>
      <c r="D367" s="8" t="inlineStr">
        <is>
          <t>Junior Developer</t>
        </is>
      </c>
      <c r="E367" s="7" t="inlineStr">
        <is>
          <t>iO Associates</t>
        </is>
      </c>
      <c r="F367" s="8" t="inlineStr">
        <is>
          <t>England, United Kingdom</t>
        </is>
      </c>
      <c r="G367" s="8" t="n"/>
      <c r="H367" s="14" t="n"/>
      <c r="I367" s="15">
        <f>IF($H367="","",$H367-TODAY())</f>
        <v/>
      </c>
      <c r="J367" s="16" t="inlineStr">
        <is>
          <t>Open posting</t>
        </is>
      </c>
      <c r="K367" s="8" t="n"/>
      <c r="L367" s="17" t="inlineStr">
        <is>
          <t>new</t>
        </is>
      </c>
      <c r="M367" s="18" t="inlineStr"/>
      <c r="N367" s="7" t="inlineStr">
        <is>
          <t>d115f5274c288a439e34aee8d19ab0bcb4090408</t>
        </is>
      </c>
      <c r="O367" s="14" t="n"/>
      <c r="P367" s="7" t="inlineStr">
        <is>
          <t>jobspy</t>
        </is>
      </c>
      <c r="Q367" s="8" t="inlineStr">
        <is>
          <t>javascript, git, software development</t>
        </is>
      </c>
      <c r="R367" s="8" t="inlineStr">
        <is>
          <t>junior/graduate Full Stack Developer</t>
        </is>
      </c>
      <c r="S367" s="19" t="n"/>
      <c r="T367" s="19" t="n"/>
      <c r="U367" s="14" t="n">
        <v>46191</v>
      </c>
      <c r="V367" s="7" t="n"/>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2.65</v>
      </c>
      <c r="C368" s="12" t="inlineStr">
        <is>
          <t>Junior</t>
        </is>
      </c>
      <c r="D368" s="8" t="inlineStr">
        <is>
          <t>Junior Software Developer</t>
        </is>
      </c>
      <c r="E368" s="7" t="inlineStr">
        <is>
          <t>Skuuudle | Better Pricing Intelligence</t>
        </is>
      </c>
      <c r="F368" s="8" t="inlineStr">
        <is>
          <t>England, United Kingdom</t>
        </is>
      </c>
      <c r="G368" s="8" t="n"/>
      <c r="H368" s="14" t="n"/>
      <c r="I368" s="15">
        <f>IF($H368="","",$H368-TODAY())</f>
        <v/>
      </c>
      <c r="J368" s="16" t="inlineStr">
        <is>
          <t>Open posting</t>
        </is>
      </c>
      <c r="K368" s="8" t="n"/>
      <c r="L368" s="17" t="inlineStr">
        <is>
          <t>new</t>
        </is>
      </c>
      <c r="M368" s="18" t="inlineStr"/>
      <c r="N368" s="7" t="inlineStr">
        <is>
          <t>1861c71e1e7cc81d36b04ffca03ae1f26e6b3744</t>
        </is>
      </c>
      <c r="O368" s="14" t="n">
        <v>46188</v>
      </c>
      <c r="P368" s="7" t="inlineStr">
        <is>
          <t>jobspy</t>
        </is>
      </c>
      <c r="Q368" s="8" t="inlineStr">
        <is>
          <t>python, sql, git, software development</t>
        </is>
      </c>
      <c r="R368" s="8" t="inlineStr">
        <is>
          <t>Graduate Software Developer remote</t>
        </is>
      </c>
      <c r="S368" s="19" t="n"/>
      <c r="T368" s="19" t="n"/>
      <c r="U368" s="14" t="n">
        <v>46191</v>
      </c>
      <c r="V368" s="7" t="n"/>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2.65</v>
      </c>
      <c r="C369" s="12" t="inlineStr">
        <is>
          <t>Junior</t>
        </is>
      </c>
      <c r="D369" s="8" t="inlineStr">
        <is>
          <t>Web Developer (Python)</t>
        </is>
      </c>
      <c r="E369" s="7" t="inlineStr">
        <is>
          <t>Signify Technology</t>
        </is>
      </c>
      <c r="F369" s="8" t="inlineStr">
        <is>
          <t>London, England, UK</t>
        </is>
      </c>
      <c r="G369" s="8" t="n"/>
      <c r="H369" s="14" t="n"/>
      <c r="I369" s="15">
        <f>IF($H369="","",$H369-TODAY())</f>
        <v/>
      </c>
      <c r="J369" s="16" t="inlineStr">
        <is>
          <t>Open posting</t>
        </is>
      </c>
      <c r="K369" s="8" t="n"/>
      <c r="L369" s="17" t="inlineStr">
        <is>
          <t>new</t>
        </is>
      </c>
      <c r="M369" s="18" t="inlineStr"/>
      <c r="N369" s="7" t="inlineStr">
        <is>
          <t>eff0c763d716a28db9d5d1085445e63baa30439a</t>
        </is>
      </c>
      <c r="O369" s="14" t="n">
        <v>46184</v>
      </c>
      <c r="P369" s="7" t="inlineStr">
        <is>
          <t>jobspy</t>
        </is>
      </c>
      <c r="Q369" s="8" t="inlineStr">
        <is>
          <t>python, sql, javascript</t>
        </is>
      </c>
      <c r="R369" s="8" t="inlineStr">
        <is>
          <t>junior/graduate Junior Python Developer</t>
        </is>
      </c>
      <c r="S369" s="19" t="n"/>
      <c r="T369" s="19" t="n"/>
      <c r="U369" s="14" t="n">
        <v>46191</v>
      </c>
      <c r="V369" s="7" t="n"/>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2.65</v>
      </c>
      <c r="C370" s="12" t="inlineStr">
        <is>
          <t>Junior</t>
        </is>
      </c>
      <c r="D370" s="8" t="inlineStr">
        <is>
          <t>Web Developer (Python)</t>
        </is>
      </c>
      <c r="E370" s="7" t="inlineStr">
        <is>
          <t>Signify Technology</t>
        </is>
      </c>
      <c r="F370" s="8" t="inlineStr">
        <is>
          <t>London Area, United Kingdom</t>
        </is>
      </c>
      <c r="G370" s="8" t="n"/>
      <c r="H370" s="14" t="n"/>
      <c r="I370" s="15">
        <f>IF($H370="","",$H370-TODAY())</f>
        <v/>
      </c>
      <c r="J370" s="16" t="inlineStr">
        <is>
          <t>Open posting</t>
        </is>
      </c>
      <c r="K370" s="8" t="n"/>
      <c r="L370" s="17" t="inlineStr">
        <is>
          <t>new</t>
        </is>
      </c>
      <c r="M370" s="18" t="inlineStr"/>
      <c r="N370" s="7" t="inlineStr">
        <is>
          <t>e1e8ef831d354fa1dc671c112ba6133c0e730bb4</t>
        </is>
      </c>
      <c r="O370" s="14" t="n">
        <v>46182</v>
      </c>
      <c r="P370" s="7" t="inlineStr">
        <is>
          <t>jobspy</t>
        </is>
      </c>
      <c r="Q370" s="8" t="inlineStr">
        <is>
          <t>python, sql, javascript</t>
        </is>
      </c>
      <c r="R370" s="8" t="inlineStr">
        <is>
          <t>junior/graduate Junior Python Developer</t>
        </is>
      </c>
      <c r="S370" s="19" t="n"/>
      <c r="T370" s="19" t="n"/>
      <c r="U370" s="14" t="n">
        <v>46191</v>
      </c>
      <c r="V370" s="7" t="n"/>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2.65</v>
      </c>
      <c r="C371" s="12" t="inlineStr">
        <is>
          <t>Mid-level</t>
        </is>
      </c>
      <c r="D371" s="8" t="inlineStr">
        <is>
          <t>Software Developer</t>
        </is>
      </c>
      <c r="E371" s="7" t="inlineStr">
        <is>
          <t>Haystack</t>
        </is>
      </c>
      <c r="F371" s="8" t="inlineStr">
        <is>
          <t>Belfast, Northern Ireland, UK</t>
        </is>
      </c>
      <c r="G371" s="8" t="n"/>
      <c r="H371" s="14" t="n"/>
      <c r="I371" s="15">
        <f>IF($H371="","",$H371-TODAY())</f>
        <v/>
      </c>
      <c r="J371" s="16" t="inlineStr">
        <is>
          <t>Open posting</t>
        </is>
      </c>
      <c r="K371" s="8" t="n"/>
      <c r="L371" s="17" t="inlineStr">
        <is>
          <t>new</t>
        </is>
      </c>
      <c r="M371" s="18" t="inlineStr"/>
      <c r="N371" s="7" t="inlineStr">
        <is>
          <t>1181dcb3f3e2beb1ba80d5c2cf3b9128e253788e</t>
        </is>
      </c>
      <c r="O371" s="14" t="n"/>
      <c r="P371" s="7" t="inlineStr">
        <is>
          <t>jobspy</t>
        </is>
      </c>
      <c r="Q371" s="8" t="inlineStr">
        <is>
          <t>sql, javascript, git</t>
        </is>
      </c>
      <c r="R371" s="8" t="inlineStr">
        <is>
          <t>Full Stack Developer</t>
        </is>
      </c>
      <c r="S371" s="19" t="n"/>
      <c r="T371" s="19" t="n"/>
      <c r="U371" s="14" t="n">
        <v>46191</v>
      </c>
      <c r="V371" s="7" t="n"/>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2.65</v>
      </c>
      <c r="C372" s="12" t="inlineStr">
        <is>
          <t>Senior/Lead</t>
        </is>
      </c>
      <c r="D372" s="8" t="inlineStr">
        <is>
          <t>Full Stack Engineer</t>
        </is>
      </c>
      <c r="E372" s="7" t="inlineStr">
        <is>
          <t>Solvex Solutions</t>
        </is>
      </c>
      <c r="F372" s="8" t="inlineStr">
        <is>
          <t>Manchester Area, United Kingdom</t>
        </is>
      </c>
      <c r="G372" s="8" t="n"/>
      <c r="H372" s="14" t="n"/>
      <c r="I372" s="15">
        <f>IF($H372="","",$H372-TODAY())</f>
        <v/>
      </c>
      <c r="J372" s="16" t="inlineStr">
        <is>
          <t>Open posting</t>
        </is>
      </c>
      <c r="K372" s="8" t="n"/>
      <c r="L372" s="17" t="inlineStr">
        <is>
          <t>new</t>
        </is>
      </c>
      <c r="M372" s="18" t="inlineStr"/>
      <c r="N372" s="7" t="inlineStr">
        <is>
          <t>00576668f8ce610ca6a5072ee3a850ffd93ece3d</t>
        </is>
      </c>
      <c r="O372" s="14" t="n">
        <v>46184</v>
      </c>
      <c r="P372" s="7" t="inlineStr">
        <is>
          <t>jobspy</t>
        </is>
      </c>
      <c r="Q372" s="8" t="inlineStr">
        <is>
          <t>python, git</t>
        </is>
      </c>
      <c r="R372" s="8" t="inlineStr">
        <is>
          <t>Full Stack Developer Sheffield</t>
        </is>
      </c>
      <c r="S372" s="19" t="n"/>
      <c r="T372" s="19" t="n"/>
      <c r="U372" s="14" t="n">
        <v>46191</v>
      </c>
      <c r="V372" s="7" t="n"/>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2.65</v>
      </c>
      <c r="C373" s="12" t="inlineStr">
        <is>
          <t>Junior</t>
        </is>
      </c>
      <c r="D373" s="8" t="inlineStr">
        <is>
          <t>Front-End Developer</t>
        </is>
      </c>
      <c r="E373" s="7" t="inlineStr">
        <is>
          <t>Erin Associates Ltd</t>
        </is>
      </c>
      <c r="F373" s="8" t="inlineStr">
        <is>
          <t>Blackburn, England, UK</t>
        </is>
      </c>
      <c r="G373" s="8" t="n"/>
      <c r="H373" s="14" t="n"/>
      <c r="I373" s="15">
        <f>IF($H373="","",$H373-TODAY())</f>
        <v/>
      </c>
      <c r="J373" s="16" t="inlineStr">
        <is>
          <t>Open posting</t>
        </is>
      </c>
      <c r="K373" s="8" t="n"/>
      <c r="L373" s="17" t="inlineStr">
        <is>
          <t>new</t>
        </is>
      </c>
      <c r="M373" s="18" t="inlineStr"/>
      <c r="N373" s="7" t="inlineStr">
        <is>
          <t>5cbdfde14a7e81ce929220d162eb7cefe893daee</t>
        </is>
      </c>
      <c r="O373" s="14" t="n">
        <v>46170</v>
      </c>
      <c r="P373" s="7" t="inlineStr">
        <is>
          <t>jobspy</t>
        </is>
      </c>
      <c r="Q373" s="8" t="inlineStr">
        <is>
          <t>javascript, git, web development</t>
        </is>
      </c>
      <c r="R373" s="8" t="inlineStr">
        <is>
          <t>junior Full Stack Developer</t>
        </is>
      </c>
      <c r="S373" s="19" t="n"/>
      <c r="T373" s="19" t="n"/>
      <c r="U373" s="14" t="n">
        <v>46191</v>
      </c>
      <c r="V373" s="7" t="n"/>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2.65</v>
      </c>
      <c r="C374" s="12" t="inlineStr">
        <is>
          <t>Unspecified</t>
        </is>
      </c>
      <c r="D374" s="8" t="inlineStr">
        <is>
          <t>Software Developer, Backend</t>
        </is>
      </c>
      <c r="E374" s="7" t="inlineStr">
        <is>
          <t>bet365</t>
        </is>
      </c>
      <c r="F374" s="8" t="inlineStr">
        <is>
          <t>Stoke-On-Trent, England, UK</t>
        </is>
      </c>
      <c r="G374" s="8" t="n"/>
      <c r="H374" s="14" t="n"/>
      <c r="I374" s="15">
        <f>IF($H374="","",$H374-TODAY())</f>
        <v/>
      </c>
      <c r="J374" s="16" t="inlineStr">
        <is>
          <t>Open posting</t>
        </is>
      </c>
      <c r="K374" s="8" t="n"/>
      <c r="L374" s="17" t="inlineStr">
        <is>
          <t>new</t>
        </is>
      </c>
      <c r="M374" s="18" t="inlineStr"/>
      <c r="N374" s="7" t="inlineStr">
        <is>
          <t>b25f85b3cf834cf03b41e1455eaa946f43023da7</t>
        </is>
      </c>
      <c r="O374" s="14" t="n">
        <v>46182</v>
      </c>
      <c r="P374" s="7" t="inlineStr">
        <is>
          <t>jobspy</t>
        </is>
      </c>
      <c r="Q374" s="8" t="inlineStr">
        <is>
          <t>sql, javascript, software development</t>
        </is>
      </c>
      <c r="R374" s="8" t="inlineStr">
        <is>
          <t>graduate Graduate Software Developer</t>
        </is>
      </c>
      <c r="S374" s="19" t="n"/>
      <c r="T374" s="19" t="n"/>
      <c r="U374" s="14" t="n">
        <v>46191</v>
      </c>
      <c r="V374" s="7" t="n"/>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2.5</v>
      </c>
      <c r="C375" s="12" t="inlineStr">
        <is>
          <t>Mid-level</t>
        </is>
      </c>
      <c r="D375" s="8" t="inlineStr">
        <is>
          <t>Mixed Signal Verification Engineer</t>
        </is>
      </c>
      <c r="E375" s="7" t="inlineStr">
        <is>
          <t>Analog Devices</t>
        </is>
      </c>
      <c r="F375" s="8" t="inlineStr">
        <is>
          <t>Edinburgh, Scotland, UK</t>
        </is>
      </c>
      <c r="G375" s="8" t="n"/>
      <c r="H375" s="14" t="n"/>
      <c r="I375" s="15">
        <f>IF($H375="","",$H375-TODAY())</f>
        <v/>
      </c>
      <c r="J375" s="16" t="inlineStr">
        <is>
          <t>Open posting</t>
        </is>
      </c>
      <c r="K375" s="8" t="inlineStr">
        <is>
          <t>Principal-level UVM mixed-signal verification role requiring expert analogue IC experience far beyond the candidate's profile; title implies senior seniority.</t>
        </is>
      </c>
      <c r="L375" s="17" t="inlineStr">
        <is>
          <t>new</t>
        </is>
      </c>
      <c r="M375" s="18" t="inlineStr"/>
      <c r="N375" s="7" t="inlineStr">
        <is>
          <t>239e284f5d7e6f23561164f9cc8d05b10a0ee319</t>
        </is>
      </c>
      <c r="O375" s="14" t="n">
        <v>46191</v>
      </c>
      <c r="P375" s="7" t="inlineStr">
        <is>
          <t>jobspy</t>
        </is>
      </c>
      <c r="Q375" s="8" t="inlineStr">
        <is>
          <t>Verilog</t>
        </is>
      </c>
      <c r="R375" s="8" t="inlineStr">
        <is>
          <t>Graduate Verification Engineer digital design Verilog</t>
        </is>
      </c>
      <c r="S375" s="19" t="n"/>
      <c r="T375" s="19" t="n"/>
      <c r="U375" s="14" t="n">
        <v>46198</v>
      </c>
      <c r="V375" s="7" t="inlineStr">
        <is>
          <t>v2-cv-accuracy-13b988b18da8ea7d</t>
        </is>
      </c>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2.5</v>
      </c>
      <c r="C376" s="12" t="inlineStr">
        <is>
          <t>Mid-level</t>
        </is>
      </c>
      <c r="D376" s="8" t="inlineStr">
        <is>
          <t>Backend Developer</t>
        </is>
      </c>
      <c r="E376" s="7" t="inlineStr">
        <is>
          <t>Scrumconnect Consulting</t>
        </is>
      </c>
      <c r="F376" s="8" t="inlineStr">
        <is>
          <t>London, England, UK</t>
        </is>
      </c>
      <c r="G376" s="8" t="n"/>
      <c r="H376" s="14" t="n"/>
      <c r="I376" s="15">
        <f>IF($H376="","",$H376-TODAY())</f>
        <v/>
      </c>
      <c r="J376" s="16" t="inlineStr">
        <is>
          <t>Open posting</t>
        </is>
      </c>
      <c r="K376" s="8" t="inlineStr">
        <is>
          <t>Requires 5+ years Java/Spring Boot expertise; candidate has no Java experience and is a junior graduate.</t>
        </is>
      </c>
      <c r="L376" s="17" t="inlineStr">
        <is>
          <t>new</t>
        </is>
      </c>
      <c r="M376" s="18" t="inlineStr"/>
      <c r="N376" s="7" t="inlineStr">
        <is>
          <t>d8d8af23ada89da36b430d585b5e642ab61e4aa2</t>
        </is>
      </c>
      <c r="O376" s="14" t="n">
        <v>46197</v>
      </c>
      <c r="P376" s="7" t="inlineStr">
        <is>
          <t>jobspy</t>
        </is>
      </c>
      <c r="Q376" s="8" t="inlineStr">
        <is>
          <t>Docker, Kubernetes, MySQL, Git</t>
        </is>
      </c>
      <c r="R376" s="8" t="inlineStr">
        <is>
          <t>Junior Python Developer backend Docker Kubernetes</t>
        </is>
      </c>
      <c r="S376" s="19" t="n"/>
      <c r="T376" s="19" t="n"/>
      <c r="U376" s="14" t="n">
        <v>46198</v>
      </c>
      <c r="V376" s="7" t="inlineStr">
        <is>
          <t>v2-cv-accuracy-13b988b18da8ea7d</t>
        </is>
      </c>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2.5</v>
      </c>
      <c r="C377" s="12" t="inlineStr">
        <is>
          <t>Unspecified</t>
        </is>
      </c>
      <c r="D377" s="8" t="inlineStr">
        <is>
          <t>Radio Frequency Engineer</t>
        </is>
      </c>
      <c r="E377" s="7" t="inlineStr">
        <is>
          <t>Oriole</t>
        </is>
      </c>
      <c r="F377" s="8" t="inlineStr">
        <is>
          <t>Paignton, England, UK</t>
        </is>
      </c>
      <c r="G377" s="8" t="n"/>
      <c r="H377" s="14" t="n"/>
      <c r="I377" s="15">
        <f>IF($H377="","",$H377-TODAY())</f>
        <v/>
      </c>
      <c r="J377" s="16" t="inlineStr">
        <is>
          <t>Open posting</t>
        </is>
      </c>
      <c r="K377" s="8" t="inlineStr">
        <is>
          <t>Requires a PhD and deep RF/microwave expertise (HFSS, VNA, GHz-level design) not present in the candidate's profile.</t>
        </is>
      </c>
      <c r="L377" s="17" t="inlineStr">
        <is>
          <t>new</t>
        </is>
      </c>
      <c r="M377" s="18" t="inlineStr"/>
      <c r="N377" s="7" t="inlineStr">
        <is>
          <t>41865dae4c9191c1d6a80c2b4e866d2da7c0f2d1</t>
        </is>
      </c>
      <c r="O377" s="14" t="n">
        <v>46181</v>
      </c>
      <c r="P377" s="7" t="inlineStr">
        <is>
          <t>jobspy</t>
        </is>
      </c>
      <c r="Q377" s="8" t="inlineStr">
        <is>
          <t>Python, signal processing</t>
        </is>
      </c>
      <c r="R377" s="8" t="inlineStr">
        <is>
          <t>PhD Studentship IoT wireless communications</t>
        </is>
      </c>
      <c r="S377" s="19" t="n"/>
      <c r="T377" s="19" t="n"/>
      <c r="U377" s="14" t="n">
        <v>46196</v>
      </c>
      <c r="V377" s="7" t="inlineStr">
        <is>
          <t>v2-cv-accuracy-13b988b18da8ea7d</t>
        </is>
      </c>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2.5</v>
      </c>
      <c r="C378" s="12" t="inlineStr">
        <is>
          <t>Unspecified</t>
        </is>
      </c>
      <c r="D378" s="8" t="inlineStr">
        <is>
          <t>Azure Software Engineer (AI)</t>
        </is>
      </c>
      <c r="E378" s="7" t="inlineStr">
        <is>
          <t>Synergize Consulting</t>
        </is>
      </c>
      <c r="F378" s="8" t="inlineStr"/>
      <c r="G378" s="8" t="n"/>
      <c r="H378" s="14" t="n"/>
      <c r="I378" s="15">
        <f>IF($H378="","",$H378-TODAY())</f>
        <v/>
      </c>
      <c r="J378" s="16" t="inlineStr">
        <is>
          <t>Open posting</t>
        </is>
      </c>
      <c r="K378" s="8" t="inlineStr">
        <is>
          <t>Azure AI/MLOps focus is largely absent from profile; role requires deep Azure platform expertise not evidenced in CV.</t>
        </is>
      </c>
      <c r="L378" s="17" t="inlineStr">
        <is>
          <t>new</t>
        </is>
      </c>
      <c r="M378" s="18" t="inlineStr"/>
      <c r="N378" s="7" t="inlineStr">
        <is>
          <t>ddb43a531db672c6127da77f5347b8c83c45f62a</t>
        </is>
      </c>
      <c r="O378" s="14" t="n">
        <v>46183</v>
      </c>
      <c r="P378" s="7" t="inlineStr">
        <is>
          <t>jobspy</t>
        </is>
      </c>
      <c r="Q378" s="8" t="inlineStr">
        <is>
          <t>Python, API integration</t>
        </is>
      </c>
      <c r="R378" s="8" t="inlineStr">
        <is>
          <t>Platform Engineer graduate Python Docker remote</t>
        </is>
      </c>
      <c r="S378" s="19" t="n"/>
      <c r="T378" s="19" t="n"/>
      <c r="U378" s="14" t="n">
        <v>46195</v>
      </c>
      <c r="V378" s="7" t="inlineStr">
        <is>
          <t>v2-cv-accuracy-13b988b18da8ea7d</t>
        </is>
      </c>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2.5</v>
      </c>
      <c r="C379" s="12" t="inlineStr">
        <is>
          <t>Junior</t>
        </is>
      </c>
      <c r="D379" s="8" t="inlineStr">
        <is>
          <t>Python Software Engineer</t>
        </is>
      </c>
      <c r="E379" s="7" t="inlineStr">
        <is>
          <t>Roc Search</t>
        </is>
      </c>
      <c r="F379" s="8" t="inlineStr">
        <is>
          <t>London Area, United Kingdom</t>
        </is>
      </c>
      <c r="G379" s="8" t="n"/>
      <c r="H379" s="14" t="n"/>
      <c r="I379" s="15">
        <f>IF($H379="","",$H379-TODAY())</f>
        <v/>
      </c>
      <c r="J379" s="16" t="inlineStr">
        <is>
          <t>Open posting</t>
        </is>
      </c>
      <c r="K379" s="8" t="inlineStr">
        <is>
          <t>Requires 4+ years experience explicitly, well above profile's 2 years; salary and seniority both misaligned.</t>
        </is>
      </c>
      <c r="L379" s="17" t="inlineStr">
        <is>
          <t>new</t>
        </is>
      </c>
      <c r="M379" s="18" t="inlineStr"/>
      <c r="N379" s="7" t="inlineStr">
        <is>
          <t>0a1518176a275c9f4f1d59919cdba1f9056a12b8</t>
        </is>
      </c>
      <c r="O379" s="14" t="n">
        <v>46175</v>
      </c>
      <c r="P379" s="7" t="inlineStr">
        <is>
          <t>jobspy</t>
        </is>
      </c>
      <c r="Q379" s="8" t="inlineStr">
        <is>
          <t>Python, Docker, SQL, Git</t>
        </is>
      </c>
      <c r="R379" s="8" t="inlineStr">
        <is>
          <t>Junior Python Developer backend SQL</t>
        </is>
      </c>
      <c r="S379" s="19" t="n"/>
      <c r="T379" s="19" t="n"/>
      <c r="U379" s="14" t="n">
        <v>46195</v>
      </c>
      <c r="V379" s="7" t="inlineStr">
        <is>
          <t>v2-cv-accuracy-13b988b18da8ea7d</t>
        </is>
      </c>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2.5</v>
      </c>
      <c r="C380" s="12" t="inlineStr">
        <is>
          <t>Mid-level</t>
        </is>
      </c>
      <c r="D380" s="8" t="inlineStr">
        <is>
          <t>Data &amp; ML Platform Engineer</t>
        </is>
      </c>
      <c r="E380" s="7" t="inlineStr">
        <is>
          <t>Revoco</t>
        </is>
      </c>
      <c r="F380" s="8" t="inlineStr">
        <is>
          <t>Greater Bristol Area, United Kingdom</t>
        </is>
      </c>
      <c r="G380" s="8" t="n"/>
      <c r="H380" s="14" t="n"/>
      <c r="I380" s="15">
        <f>IF($H380="","",$H380-TODAY())</f>
        <v/>
      </c>
      <c r="J380" s="16" t="inlineStr">
        <is>
          <t>Open posting</t>
        </is>
      </c>
      <c r="K380" s="8" t="inlineStr">
        <is>
          <t>SC clearance required and 3+ years experience needed; salary far above level but seniority and clearance exclude this role.</t>
        </is>
      </c>
      <c r="L380" s="17" t="inlineStr">
        <is>
          <t>new</t>
        </is>
      </c>
      <c r="M380" s="18" t="inlineStr"/>
      <c r="N380" s="7" t="inlineStr">
        <is>
          <t>7b346e473782a6e779e707174bbff6735af8650a</t>
        </is>
      </c>
      <c r="O380" s="14" t="n">
        <v>46188</v>
      </c>
      <c r="P380" s="7" t="inlineStr">
        <is>
          <t>jobspy</t>
        </is>
      </c>
      <c r="Q380" s="8" t="inlineStr">
        <is>
          <t>Python, SQL, Docker, Kubernetes, MySQL</t>
        </is>
      </c>
      <c r="R380" s="8" t="inlineStr">
        <is>
          <t>Junior Data Engineer SQL Python MySQL</t>
        </is>
      </c>
      <c r="S380" s="19" t="n"/>
      <c r="T380" s="19" t="n"/>
      <c r="U380" s="14" t="n">
        <v>46193</v>
      </c>
      <c r="V380" s="7" t="inlineStr">
        <is>
          <t>v2-cv-accuracy-13b988b18da8ea7d</t>
        </is>
      </c>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2.5</v>
      </c>
      <c r="C381" s="12" t="inlineStr">
        <is>
          <t>Senior/Lead</t>
        </is>
      </c>
      <c r="D381" s="8" t="inlineStr">
        <is>
          <t>Data &amp; ML Platform Engineer</t>
        </is>
      </c>
      <c r="E381" s="7" t="inlineStr">
        <is>
          <t>Mobizy</t>
        </is>
      </c>
      <c r="F381" s="8" t="inlineStr">
        <is>
          <t>Bristol, England, UK</t>
        </is>
      </c>
      <c r="G381" s="8" t="n"/>
      <c r="H381" s="14" t="n"/>
      <c r="I381" s="15">
        <f>IF($H381="","",$H381-TODAY())</f>
        <v/>
      </c>
      <c r="J381" s="16" t="inlineStr">
        <is>
          <t>Open posting</t>
        </is>
      </c>
      <c r="K381" s="8" t="inlineStr">
        <is>
          <t>Senior platform/MLOps role requiring deep production experience; candidate's skills partially match but seniority and experience level misalign.</t>
        </is>
      </c>
      <c r="L381" s="17" t="inlineStr">
        <is>
          <t>new</t>
        </is>
      </c>
      <c r="M381" s="18" t="inlineStr"/>
      <c r="N381" s="7" t="inlineStr">
        <is>
          <t>1c93264ce86f13b77c785ac06edcdc448ad33cc5</t>
        </is>
      </c>
      <c r="O381" s="14" t="n">
        <v>46186</v>
      </c>
      <c r="P381" s="7" t="inlineStr">
        <is>
          <t>jobspy</t>
        </is>
      </c>
      <c r="Q381" s="8" t="inlineStr">
        <is>
          <t>Python, SQL, Docker, API integration</t>
        </is>
      </c>
      <c r="R381" s="8" t="inlineStr">
        <is>
          <t>Junior Data Engineer SQL Python MySQL</t>
        </is>
      </c>
      <c r="S381" s="19" t="n"/>
      <c r="T381" s="19" t="n"/>
      <c r="U381" s="14" t="n">
        <v>46193</v>
      </c>
      <c r="V381" s="7" t="inlineStr">
        <is>
          <t>v2-cv-accuracy-13b988b18da8ea7d</t>
        </is>
      </c>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2.5</v>
      </c>
      <c r="C382" s="12" t="inlineStr">
        <is>
          <t>Junior</t>
        </is>
      </c>
      <c r="D382" s="8" t="inlineStr">
        <is>
          <t>Cloud Engineering Consultant (Azure)</t>
        </is>
      </c>
      <c r="E382" s="7" t="inlineStr">
        <is>
          <t>Colibri Digital</t>
        </is>
      </c>
      <c r="F382" s="8" t="inlineStr">
        <is>
          <t>London, ENG, GB</t>
        </is>
      </c>
      <c r="G382" s="8" t="n"/>
      <c r="H382" s="14" t="n"/>
      <c r="I382" s="15">
        <f>IF($H382="","",$H382-TODAY())</f>
        <v/>
      </c>
      <c r="J382" s="16" t="inlineStr">
        <is>
          <t>Open posting</t>
        </is>
      </c>
      <c r="K382" s="8" t="inlineStr">
        <is>
          <t>Role requires proven commercial Azure/Terraform cloud consulting experience well beyond the profile's adjacent Docker/Kubernetes skills; seniority mismatch.</t>
        </is>
      </c>
      <c r="L382" s="17" t="inlineStr">
        <is>
          <t>new</t>
        </is>
      </c>
      <c r="M382" s="18" t="inlineStr"/>
      <c r="N382" s="7" t="inlineStr">
        <is>
          <t>900503c43d03c3c9dfb20bb03043e6b515785fd3</t>
        </is>
      </c>
      <c r="O382" s="14" t="n">
        <v>46192</v>
      </c>
      <c r="P382" s="7" t="inlineStr">
        <is>
          <t>jobspy</t>
        </is>
      </c>
      <c r="Q382" s="8" t="inlineStr">
        <is>
          <t>Docker, Kubernetes, CI/CD</t>
        </is>
      </c>
      <c r="R382" s="8" t="inlineStr">
        <is>
          <t>Junior Data Engineer Python SQL pipeline</t>
        </is>
      </c>
      <c r="S382" s="19" t="n"/>
      <c r="T382" s="19" t="n"/>
      <c r="U382" s="14" t="n">
        <v>46193</v>
      </c>
      <c r="V382" s="7" t="inlineStr">
        <is>
          <t>v2-cv-accuracy-13b988b18da8ea7d</t>
        </is>
      </c>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2.5</v>
      </c>
      <c r="C383" s="12" t="inlineStr">
        <is>
          <t>Unspecified</t>
        </is>
      </c>
      <c r="D383" s="8" t="inlineStr">
        <is>
          <t>DevOps Engineer</t>
        </is>
      </c>
      <c r="E383" s="7" t="inlineStr">
        <is>
          <t>Experis UK</t>
        </is>
      </c>
      <c r="F383" s="8" t="inlineStr">
        <is>
          <t>Newcastle Upon Tyne, England, UK</t>
        </is>
      </c>
      <c r="G383" s="8" t="n"/>
      <c r="H383" s="14" t="n"/>
      <c r="I383" s="15">
        <f>IF($H383="","",$H383-TODAY())</f>
        <v/>
      </c>
      <c r="J383" s="16" t="inlineStr">
        <is>
          <t>Open posting</t>
        </is>
      </c>
      <c r="K383" s="8" t="inlineStr">
        <is>
          <t>SC clearance required is a hard exclusion; role also demands cloud platform and CI/CD pipeline experience not evidenced in profile.</t>
        </is>
      </c>
      <c r="L383" s="17" t="inlineStr">
        <is>
          <t>new</t>
        </is>
      </c>
      <c r="M383" s="18" t="inlineStr"/>
      <c r="N383" s="7" t="inlineStr">
        <is>
          <t>ad0973822755f6ecd56ec87ace594a028671330d</t>
        </is>
      </c>
      <c r="O383" s="14" t="n">
        <v>46189</v>
      </c>
      <c r="P383" s="7" t="inlineStr">
        <is>
          <t>jobspy</t>
        </is>
      </c>
      <c r="Q383" s="8" t="inlineStr">
        <is>
          <t>Docker, Kubernetes, Python, SQL</t>
        </is>
      </c>
      <c r="R383" s="8" t="inlineStr">
        <is>
          <t>Graduate DevOps Engineer Python CI/CD Sheffield</t>
        </is>
      </c>
      <c r="S383" s="19" t="n"/>
      <c r="T383" s="19" t="n"/>
      <c r="U383" s="14" t="n">
        <v>46193</v>
      </c>
      <c r="V383" s="7" t="inlineStr">
        <is>
          <t>v2-cv-accuracy-13b988b18da8ea7d</t>
        </is>
      </c>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2.5</v>
      </c>
      <c r="C384" s="12" t="inlineStr">
        <is>
          <t>Junior</t>
        </is>
      </c>
      <c r="D384" s="8" t="inlineStr">
        <is>
          <t>Python Developer</t>
        </is>
      </c>
      <c r="E384" s="7" t="inlineStr">
        <is>
          <t>Radley James</t>
        </is>
      </c>
      <c r="F384" s="8" t="inlineStr">
        <is>
          <t>London Area, United Kingdom</t>
        </is>
      </c>
      <c r="G384" s="8" t="n"/>
      <c r="H384" s="14" t="n"/>
      <c r="I384" s="15">
        <f>IF($H384="","",$H384-TODAY())</f>
        <v/>
      </c>
      <c r="J384" s="16" t="inlineStr">
        <is>
          <t>Open posting</t>
        </is>
      </c>
      <c r="K384" s="8" t="inlineStr">
        <is>
          <t>Requires 5+ years senior Python experience in trading; candidate has 2 years and no finance/trading background.</t>
        </is>
      </c>
      <c r="L384" s="17" t="inlineStr">
        <is>
          <t>new</t>
        </is>
      </c>
      <c r="M384" s="18" t="inlineStr"/>
      <c r="N384" s="7" t="inlineStr">
        <is>
          <t>48b547f13d74577f16fcafbc6b377bf8f92e7cfa</t>
        </is>
      </c>
      <c r="O384" s="14" t="n">
        <v>46188</v>
      </c>
      <c r="P384" s="7" t="inlineStr">
        <is>
          <t>jobspy</t>
        </is>
      </c>
      <c r="Q384" s="8" t="inlineStr">
        <is>
          <t>Python, SQL, Docker, Kubernetes, API integration</t>
        </is>
      </c>
      <c r="R384" s="8" t="inlineStr">
        <is>
          <t>Junior Python Developer SQL Docker</t>
        </is>
      </c>
      <c r="S384" s="19" t="n"/>
      <c r="T384" s="19" t="n"/>
      <c r="U384" s="14" t="n">
        <v>46193</v>
      </c>
      <c r="V384" s="7" t="inlineStr">
        <is>
          <t>v2-cv-accuracy-13b988b18da8ea7d</t>
        </is>
      </c>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2.5</v>
      </c>
      <c r="C385" s="12" t="inlineStr">
        <is>
          <t>Senior/Lead</t>
        </is>
      </c>
      <c r="D385" s="8" t="inlineStr">
        <is>
          <t>Software Engineer</t>
        </is>
      </c>
      <c r="E385" s="7" t="inlineStr">
        <is>
          <t>Smarkets</t>
        </is>
      </c>
      <c r="F385" s="8" t="inlineStr">
        <is>
          <t>London Area, United Kingdom</t>
        </is>
      </c>
      <c r="G385" s="8" t="n"/>
      <c r="H385" s="14" t="n"/>
      <c r="I385" s="15">
        <f>IF($H385="","",$H385-TODAY())</f>
        <v/>
      </c>
      <c r="J385" s="16" t="inlineStr">
        <is>
          <t>Open posting</t>
        </is>
      </c>
      <c r="K385" s="8" t="inlineStr">
        <is>
          <t>Requires 4+ years experience and Rust expertise, both firmly above candidate's profile; Python matches but seniority mismatch is disqualifying.</t>
        </is>
      </c>
      <c r="L385" s="17" t="inlineStr">
        <is>
          <t>new</t>
        </is>
      </c>
      <c r="M385" s="18" t="inlineStr"/>
      <c r="N385" s="7" t="inlineStr">
        <is>
          <t>c2a30a5a6e236c3e49eb013a444a8eec458be030</t>
        </is>
      </c>
      <c r="O385" s="14" t="n">
        <v>46191</v>
      </c>
      <c r="P385" s="7" t="inlineStr">
        <is>
          <t>jobspy</t>
        </is>
      </c>
      <c r="Q385" s="8" t="inlineStr">
        <is>
          <t>Python, Kubernetes</t>
        </is>
      </c>
      <c r="R385" s="8" t="inlineStr">
        <is>
          <t>Graduate Backend Developer Docker Kubernetes</t>
        </is>
      </c>
      <c r="S385" s="19" t="n"/>
      <c r="T385" s="19" t="n"/>
      <c r="U385" s="14" t="n">
        <v>46192</v>
      </c>
      <c r="V385" s="7" t="inlineStr">
        <is>
          <t>v2-cv-accuracy-13b988b18da8ea7d</t>
        </is>
      </c>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2.45</v>
      </c>
      <c r="C386" s="12" t="inlineStr">
        <is>
          <t>Mid-level</t>
        </is>
      </c>
      <c r="D386" s="8" t="inlineStr">
        <is>
          <t>Full Stack Developer</t>
        </is>
      </c>
      <c r="E386" s="7" t="inlineStr">
        <is>
          <t>Typeform</t>
        </is>
      </c>
      <c r="F386" s="8" t="inlineStr">
        <is>
          <t>Germany (Remote) ; Ireland (Remote); Netherlands (Remote) ; Portugal (Remote) ; Spain (Remote) ; United Kingdom (Remote)</t>
        </is>
      </c>
      <c r="G386" s="8" t="n"/>
      <c r="H386" s="14" t="n"/>
      <c r="I386" s="15">
        <f>IF($H386="","",$H386-TODAY())</f>
        <v/>
      </c>
      <c r="J386" s="16" t="inlineStr">
        <is>
          <t>Open posting</t>
        </is>
      </c>
      <c r="K386" s="8" t="n"/>
      <c r="L386" s="17" t="inlineStr">
        <is>
          <t>new</t>
        </is>
      </c>
      <c r="M386" s="18" t="inlineStr"/>
      <c r="N386" s="7" t="inlineStr">
        <is>
          <t>cd5ed66128f3b9b916493b27ee6ff7b1e8b5a256</t>
        </is>
      </c>
      <c r="O386" s="14" t="n">
        <v>46161</v>
      </c>
      <c r="P386" s="7" t="inlineStr">
        <is>
          <t>greenhouse:typeform</t>
        </is>
      </c>
      <c r="Q386" s="8" t="inlineStr">
        <is>
          <t>javascript, git</t>
        </is>
      </c>
      <c r="R386" s="8" t="n"/>
      <c r="S386" s="19" t="n"/>
      <c r="T386" s="19" t="n"/>
      <c r="U386" s="14" t="n">
        <v>46191</v>
      </c>
      <c r="V386" s="7" t="n"/>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2.45</v>
      </c>
      <c r="C387" s="12" t="inlineStr">
        <is>
          <t>Graduate/Entry</t>
        </is>
      </c>
      <c r="D387" s="8" t="inlineStr">
        <is>
          <t>Graduate Software Engineer</t>
        </is>
      </c>
      <c r="E387" s="7" t="inlineStr">
        <is>
          <t>Autodesk</t>
        </is>
      </c>
      <c r="F387" s="8" t="inlineStr">
        <is>
          <t>Birmingham, England, UK</t>
        </is>
      </c>
      <c r="G387" s="8" t="n"/>
      <c r="H387" s="14" t="n"/>
      <c r="I387" s="15">
        <f>IF($H387="","",$H387-TODAY())</f>
        <v/>
      </c>
      <c r="J387" s="16" t="inlineStr">
        <is>
          <t>Open posting</t>
        </is>
      </c>
      <c r="K387" s="8" t="n"/>
      <c r="L387" s="17" t="inlineStr">
        <is>
          <t>new</t>
        </is>
      </c>
      <c r="M387" s="18" t="inlineStr"/>
      <c r="N387" s="7" t="inlineStr">
        <is>
          <t>7d37d309e9a5b4d772b0b43e97e7949fb6b93ec8</t>
        </is>
      </c>
      <c r="O387" s="14" t="n">
        <v>46177</v>
      </c>
      <c r="P387" s="7" t="inlineStr">
        <is>
          <t>jobspy</t>
        </is>
      </c>
      <c r="Q387" s="8" t="inlineStr">
        <is>
          <t>python, git, software development</t>
        </is>
      </c>
      <c r="R387" s="8" t="inlineStr">
        <is>
          <t>Graduate Software Developer</t>
        </is>
      </c>
      <c r="S387" s="19" t="n"/>
      <c r="T387" s="19" t="n"/>
      <c r="U387" s="14" t="n">
        <v>46191</v>
      </c>
      <c r="V387" s="7" t="n"/>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2.45</v>
      </c>
      <c r="C388" s="12" t="inlineStr">
        <is>
          <t>Graduate/Entry</t>
        </is>
      </c>
      <c r="D388" s="8" t="inlineStr">
        <is>
          <t>Graduate Software Engineer</t>
        </is>
      </c>
      <c r="E388" s="7" t="inlineStr">
        <is>
          <t>Autodesk</t>
        </is>
      </c>
      <c r="F388" s="8" t="inlineStr">
        <is>
          <t>Birmingham, ENG, GB</t>
        </is>
      </c>
      <c r="G388" s="8" t="n"/>
      <c r="H388" s="14" t="n"/>
      <c r="I388" s="15">
        <f>IF($H388="","",$H388-TODAY())</f>
        <v/>
      </c>
      <c r="J388" s="16" t="inlineStr">
        <is>
          <t>Open posting</t>
        </is>
      </c>
      <c r="K388" s="8" t="n"/>
      <c r="L388" s="17" t="inlineStr">
        <is>
          <t>new</t>
        </is>
      </c>
      <c r="M388" s="18" t="inlineStr"/>
      <c r="N388" s="7" t="inlineStr">
        <is>
          <t>7be90ec30010b6f7e0e60fa2f207af9e28062e5b</t>
        </is>
      </c>
      <c r="O388" s="14" t="n">
        <v>46177</v>
      </c>
      <c r="P388" s="7" t="inlineStr">
        <is>
          <t>jobspy</t>
        </is>
      </c>
      <c r="Q388" s="8" t="inlineStr">
        <is>
          <t>python, git, software development</t>
        </is>
      </c>
      <c r="R388" s="8" t="inlineStr">
        <is>
          <t>Graduate Software Developer remote</t>
        </is>
      </c>
      <c r="S388" s="19" t="n"/>
      <c r="T388" s="19" t="n"/>
      <c r="U388" s="14" t="n">
        <v>46191</v>
      </c>
      <c r="V388" s="7" t="n"/>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2.45</v>
      </c>
      <c r="C389" s="12" t="inlineStr">
        <is>
          <t>Senior/Lead</t>
        </is>
      </c>
      <c r="D389" s="8" t="inlineStr">
        <is>
          <t>Python Software Developer - Algos</t>
        </is>
      </c>
      <c r="E389" s="7" t="inlineStr">
        <is>
          <t>Playtech</t>
        </is>
      </c>
      <c r="F389" s="8" t="inlineStr">
        <is>
          <t>London, England, UK</t>
        </is>
      </c>
      <c r="G389" s="8" t="n"/>
      <c r="H389" s="14" t="n"/>
      <c r="I389" s="15">
        <f>IF($H389="","",$H389-TODAY())</f>
        <v/>
      </c>
      <c r="J389" s="16" t="inlineStr">
        <is>
          <t>Open posting</t>
        </is>
      </c>
      <c r="K389" s="8" t="n"/>
      <c r="L389" s="17" t="inlineStr">
        <is>
          <t>new</t>
        </is>
      </c>
      <c r="M389" s="18" t="inlineStr"/>
      <c r="N389" s="7" t="inlineStr">
        <is>
          <t>b86e96d738552fa05edf87bfd62ee0c82f5a4fdf</t>
        </is>
      </c>
      <c r="O389" s="14" t="n">
        <v>46175</v>
      </c>
      <c r="P389" s="7" t="inlineStr">
        <is>
          <t>jobspy</t>
        </is>
      </c>
      <c r="Q389" s="8" t="inlineStr">
        <is>
          <t>python, git</t>
        </is>
      </c>
      <c r="R389" s="8" t="inlineStr">
        <is>
          <t>Junior Python Developer</t>
        </is>
      </c>
      <c r="S389" s="19" t="n"/>
      <c r="T389" s="19" t="n"/>
      <c r="U389" s="14" t="n">
        <v>46191</v>
      </c>
      <c r="V389" s="7" t="n"/>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2.45</v>
      </c>
      <c r="C390" s="12" t="inlineStr">
        <is>
          <t>Unspecified</t>
        </is>
      </c>
      <c r="D390" s="8" t="inlineStr">
        <is>
          <t>Python Developer</t>
        </is>
      </c>
      <c r="E390" s="7" t="inlineStr">
        <is>
          <t>Acceler8 Talent</t>
        </is>
      </c>
      <c r="F390" s="8" t="inlineStr"/>
      <c r="G390" s="8" t="n"/>
      <c r="H390" s="14" t="n"/>
      <c r="I390" s="15">
        <f>IF($H390="","",$H390-TODAY())</f>
        <v/>
      </c>
      <c r="J390" s="16" t="inlineStr">
        <is>
          <t>Open posting</t>
        </is>
      </c>
      <c r="K390" s="8" t="n"/>
      <c r="L390" s="17" t="inlineStr">
        <is>
          <t>new</t>
        </is>
      </c>
      <c r="M390" s="18" t="inlineStr"/>
      <c r="N390" s="7" t="inlineStr">
        <is>
          <t>76dadc939b7a5ec153d5e042e4a8edbc6eefcec7</t>
        </is>
      </c>
      <c r="O390" s="14" t="n">
        <v>46189</v>
      </c>
      <c r="P390" s="7" t="inlineStr">
        <is>
          <t>jobspy</t>
        </is>
      </c>
      <c r="Q390" s="8" t="inlineStr">
        <is>
          <t>python, sql</t>
        </is>
      </c>
      <c r="R390" s="8" t="inlineStr">
        <is>
          <t>Junior Python Developer remote</t>
        </is>
      </c>
      <c r="S390" s="19" t="n"/>
      <c r="T390" s="19" t="n"/>
      <c r="U390" s="14" t="n">
        <v>46191</v>
      </c>
      <c r="V390" s="7" t="n"/>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2.45</v>
      </c>
      <c r="C391" s="12" t="inlineStr">
        <is>
          <t>Unspecified</t>
        </is>
      </c>
      <c r="D391" s="8" t="inlineStr">
        <is>
          <t>Python Developer</t>
        </is>
      </c>
      <c r="E391" s="7" t="inlineStr">
        <is>
          <t>Arcus Search</t>
        </is>
      </c>
      <c r="F391" s="8" t="inlineStr"/>
      <c r="G391" s="8" t="n"/>
      <c r="H391" s="14" t="n"/>
      <c r="I391" s="15">
        <f>IF($H391="","",$H391-TODAY())</f>
        <v/>
      </c>
      <c r="J391" s="16" t="inlineStr">
        <is>
          <t>Open posting</t>
        </is>
      </c>
      <c r="K391" s="8" t="n"/>
      <c r="L391" s="17" t="inlineStr">
        <is>
          <t>new</t>
        </is>
      </c>
      <c r="M391" s="18" t="inlineStr"/>
      <c r="N391" s="7" t="inlineStr">
        <is>
          <t>3892fab6299c189504665abaec9439b0e7491020</t>
        </is>
      </c>
      <c r="O391" s="14" t="n">
        <v>46174</v>
      </c>
      <c r="P391" s="7" t="inlineStr">
        <is>
          <t>jobspy</t>
        </is>
      </c>
      <c r="Q391" s="8" t="inlineStr">
        <is>
          <t>python, software development</t>
        </is>
      </c>
      <c r="R391" s="8" t="inlineStr">
        <is>
          <t>Junior Python Developer remote</t>
        </is>
      </c>
      <c r="S391" s="19" t="n"/>
      <c r="T391" s="19" t="n"/>
      <c r="U391" s="14" t="n">
        <v>46191</v>
      </c>
      <c r="V391" s="7" t="n"/>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2.45</v>
      </c>
      <c r="C392" s="12" t="inlineStr">
        <is>
          <t>Mid-level</t>
        </is>
      </c>
      <c r="D392" s="8" t="inlineStr">
        <is>
          <t>Full Stack PHP Developer – Mid-level</t>
        </is>
      </c>
      <c r="E392" s="7" t="inlineStr">
        <is>
          <t>LexisNexis Risk Solutions</t>
        </is>
      </c>
      <c r="F392" s="8" t="inlineStr">
        <is>
          <t>Cardiff, WLS, GB</t>
        </is>
      </c>
      <c r="G392" s="8" t="n"/>
      <c r="H392" s="14" t="n"/>
      <c r="I392" s="15">
        <f>IF($H392="","",$H392-TODAY())</f>
        <v/>
      </c>
      <c r="J392" s="16" t="inlineStr">
        <is>
          <t>Open posting</t>
        </is>
      </c>
      <c r="K392" s="8" t="n"/>
      <c r="L392" s="17" t="inlineStr">
        <is>
          <t>new</t>
        </is>
      </c>
      <c r="M392" s="18" t="inlineStr"/>
      <c r="N392" s="7" t="inlineStr">
        <is>
          <t>7f84977e8cfe61540348116b6f0369307038515a</t>
        </is>
      </c>
      <c r="O392" s="14" t="n">
        <v>46189</v>
      </c>
      <c r="P392" s="7" t="inlineStr">
        <is>
          <t>jobspy</t>
        </is>
      </c>
      <c r="Q392" s="8" t="inlineStr">
        <is>
          <t>python, git, software development</t>
        </is>
      </c>
      <c r="R392" s="8" t="inlineStr">
        <is>
          <t>Full Stack Developer</t>
        </is>
      </c>
      <c r="S392" s="19" t="n"/>
      <c r="T392" s="19" t="n"/>
      <c r="U392" s="14" t="n">
        <v>46191</v>
      </c>
      <c r="V392" s="7" t="n"/>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2.45</v>
      </c>
      <c r="C393" s="12" t="inlineStr">
        <is>
          <t>Mid-level</t>
        </is>
      </c>
      <c r="D393" s="8" t="inlineStr">
        <is>
          <t>Full Stack PHP Developer – Mid-level</t>
        </is>
      </c>
      <c r="E393" s="7" t="inlineStr">
        <is>
          <t>RELX Group</t>
        </is>
      </c>
      <c r="F393" s="8" t="inlineStr">
        <is>
          <t>Cardiff, WLS, GB</t>
        </is>
      </c>
      <c r="G393" s="8" t="n"/>
      <c r="H393" s="14" t="n"/>
      <c r="I393" s="15">
        <f>IF($H393="","",$H393-TODAY())</f>
        <v/>
      </c>
      <c r="J393" s="16" t="inlineStr">
        <is>
          <t>Open posting</t>
        </is>
      </c>
      <c r="K393" s="8" t="n"/>
      <c r="L393" s="17" t="inlineStr">
        <is>
          <t>new</t>
        </is>
      </c>
      <c r="M393" s="18" t="inlineStr"/>
      <c r="N393" s="7" t="inlineStr">
        <is>
          <t>bf0bb079184c4736efe6f0ad1740c2d8bf3921a4</t>
        </is>
      </c>
      <c r="O393" s="14" t="n">
        <v>46189</v>
      </c>
      <c r="P393" s="7" t="inlineStr">
        <is>
          <t>jobspy</t>
        </is>
      </c>
      <c r="Q393" s="8" t="inlineStr">
        <is>
          <t>python, git, software development</t>
        </is>
      </c>
      <c r="R393" s="8" t="inlineStr">
        <is>
          <t>Full Stack Developer</t>
        </is>
      </c>
      <c r="S393" s="19" t="n"/>
      <c r="T393" s="19" t="n"/>
      <c r="U393" s="14" t="n">
        <v>46191</v>
      </c>
      <c r="V393" s="7" t="n"/>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2.45</v>
      </c>
      <c r="C394" s="12" t="inlineStr">
        <is>
          <t>Mid-level</t>
        </is>
      </c>
      <c r="D394" s="8" t="inlineStr">
        <is>
          <t>Frontend Vue.js Developer (Data &amp; Dashboards)</t>
        </is>
      </c>
      <c r="E394" s="7" t="inlineStr">
        <is>
          <t>Urban Environments Ltd</t>
        </is>
      </c>
      <c r="F394" s="8" t="inlineStr">
        <is>
          <t>Brighton, ENG, GB</t>
        </is>
      </c>
      <c r="G394" s="8" t="n"/>
      <c r="H394" s="14" t="n"/>
      <c r="I394" s="15">
        <f>IF($H394="","",$H394-TODAY())</f>
        <v/>
      </c>
      <c r="J394" s="16" t="inlineStr">
        <is>
          <t>Open posting</t>
        </is>
      </c>
      <c r="K394" s="8" t="n"/>
      <c r="L394" s="17" t="inlineStr">
        <is>
          <t>new</t>
        </is>
      </c>
      <c r="M394" s="18" t="inlineStr"/>
      <c r="N394" s="7" t="inlineStr">
        <is>
          <t>105b40021437fe00fae0a18bfef472ed3b454b5c</t>
        </is>
      </c>
      <c r="O394" s="14" t="n">
        <v>46189</v>
      </c>
      <c r="P394" s="7" t="inlineStr">
        <is>
          <t>jobspy</t>
        </is>
      </c>
      <c r="Q394" s="8" t="inlineStr">
        <is>
          <t>javascript, rest apis, git</t>
        </is>
      </c>
      <c r="R394" s="8" t="inlineStr">
        <is>
          <t>Full Stack Developer</t>
        </is>
      </c>
      <c r="S394" s="19" t="n"/>
      <c r="T394" s="19" t="n"/>
      <c r="U394" s="14" t="n">
        <v>46191</v>
      </c>
      <c r="V394" s="7" t="n"/>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2.45</v>
      </c>
      <c r="C395" s="12" t="inlineStr">
        <is>
          <t>Senior/Lead</t>
        </is>
      </c>
      <c r="D395" s="8" t="inlineStr">
        <is>
          <t>Web Developer / Frontend Engineer</t>
        </is>
      </c>
      <c r="E395" s="7" t="inlineStr">
        <is>
          <t>hackajob</t>
        </is>
      </c>
      <c r="F395" s="8" t="inlineStr">
        <is>
          <t>London, England, UK</t>
        </is>
      </c>
      <c r="G395" s="8" t="n"/>
      <c r="H395" s="14" t="n"/>
      <c r="I395" s="15">
        <f>IF($H395="","",$H395-TODAY())</f>
        <v/>
      </c>
      <c r="J395" s="16" t="inlineStr">
        <is>
          <t>Open posting</t>
        </is>
      </c>
      <c r="K395" s="8" t="n"/>
      <c r="L395" s="17" t="inlineStr">
        <is>
          <t>new</t>
        </is>
      </c>
      <c r="M395" s="18" t="inlineStr"/>
      <c r="N395" s="7" t="inlineStr">
        <is>
          <t>c0d26f989ca9a21e150fd9c12f4bf71bbbda9bc6</t>
        </is>
      </c>
      <c r="O395" s="14" t="n">
        <v>46182</v>
      </c>
      <c r="P395" s="7" t="inlineStr">
        <is>
          <t>jobspy</t>
        </is>
      </c>
      <c r="Q395" s="8" t="inlineStr">
        <is>
          <t>javascript, git</t>
        </is>
      </c>
      <c r="R395" s="8" t="inlineStr">
        <is>
          <t>Full Stack Developer</t>
        </is>
      </c>
      <c r="S395" s="19" t="n"/>
      <c r="T395" s="19" t="n"/>
      <c r="U395" s="14" t="n">
        <v>46191</v>
      </c>
      <c r="V395" s="7" t="n"/>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2.45</v>
      </c>
      <c r="C396" s="12" t="inlineStr">
        <is>
          <t>Senior/Lead</t>
        </is>
      </c>
      <c r="D396" s="8" t="inlineStr">
        <is>
          <t>Javascript Developer</t>
        </is>
      </c>
      <c r="E396" s="7" t="inlineStr">
        <is>
          <t>Immersum</t>
        </is>
      </c>
      <c r="F396" s="8" t="inlineStr">
        <is>
          <t>London Area, United Kingdom</t>
        </is>
      </c>
      <c r="G396" s="8" t="n"/>
      <c r="H396" s="14" t="n"/>
      <c r="I396" s="15">
        <f>IF($H396="","",$H396-TODAY())</f>
        <v/>
      </c>
      <c r="J396" s="16" t="inlineStr">
        <is>
          <t>Open posting</t>
        </is>
      </c>
      <c r="K396" s="8" t="n"/>
      <c r="L396" s="17" t="inlineStr">
        <is>
          <t>new</t>
        </is>
      </c>
      <c r="M396" s="18" t="inlineStr"/>
      <c r="N396" s="7" t="inlineStr">
        <is>
          <t>355503f594ec22e397495e2ba56ce997f07e4989</t>
        </is>
      </c>
      <c r="O396" s="14" t="n">
        <v>46164</v>
      </c>
      <c r="P396" s="7" t="inlineStr">
        <is>
          <t>jobspy</t>
        </is>
      </c>
      <c r="Q396" s="8" t="inlineStr">
        <is>
          <t>sql, javascript, git</t>
        </is>
      </c>
      <c r="R396" s="8" t="inlineStr">
        <is>
          <t>junior Full Stack Developer</t>
        </is>
      </c>
      <c r="S396" s="19" t="n"/>
      <c r="T396" s="19" t="n"/>
      <c r="U396" s="14" t="n">
        <v>46191</v>
      </c>
      <c r="V396" s="7" t="n"/>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2.45</v>
      </c>
      <c r="C397" s="12" t="inlineStr">
        <is>
          <t>Unspecified</t>
        </is>
      </c>
      <c r="D397" s="8" t="inlineStr">
        <is>
          <t>Python开发</t>
        </is>
      </c>
      <c r="E397" s="7" t="inlineStr">
        <is>
          <t>南京临度医疗科技有限公司</t>
        </is>
      </c>
      <c r="F397" s="8" t="inlineStr">
        <is>
          <t>Nanjing, Jiangsu, China</t>
        </is>
      </c>
      <c r="G397" s="8" t="n"/>
      <c r="H397" s="14" t="n"/>
      <c r="I397" s="15">
        <f>IF($H397="","",$H397-TODAY())</f>
        <v/>
      </c>
      <c r="J397" s="16" t="inlineStr">
        <is>
          <t>Open posting</t>
        </is>
      </c>
      <c r="K397" s="8" t="n"/>
      <c r="L397" s="17" t="inlineStr">
        <is>
          <t>new</t>
        </is>
      </c>
      <c r="M397" s="18" t="inlineStr"/>
      <c r="N397" s="7" t="inlineStr">
        <is>
          <t>6c4ae9ff856a3395214e40f55fb97953600710dc</t>
        </is>
      </c>
      <c r="O397" s="14" t="n">
        <v>46171</v>
      </c>
      <c r="P397" s="7" t="inlineStr">
        <is>
          <t>jobspy</t>
        </is>
      </c>
      <c r="Q397" s="8" t="inlineStr">
        <is>
          <t>python, sql</t>
        </is>
      </c>
      <c r="R397" s="8" t="inlineStr">
        <is>
          <t>junior/graduate Junior Python Developer</t>
        </is>
      </c>
      <c r="S397" s="19" t="n"/>
      <c r="T397" s="19" t="n"/>
      <c r="U397" s="14" t="n">
        <v>46191</v>
      </c>
      <c r="V397" s="7" t="n"/>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2.45</v>
      </c>
      <c r="C398" s="12" t="inlineStr">
        <is>
          <t>Junior</t>
        </is>
      </c>
      <c r="D398" s="8" t="inlineStr">
        <is>
          <t>Full Stack Developer (PHP, Javascript &amp; AWS)</t>
        </is>
      </c>
      <c r="E398" s="7" t="inlineStr">
        <is>
          <t>Verion</t>
        </is>
      </c>
      <c r="F398" s="8" t="inlineStr">
        <is>
          <t>Mansfield, ENG, GB</t>
        </is>
      </c>
      <c r="G398" s="8" t="n"/>
      <c r="H398" s="14" t="n"/>
      <c r="I398" s="15">
        <f>IF($H398="","",$H398-TODAY())</f>
        <v/>
      </c>
      <c r="J398" s="16" t="inlineStr">
        <is>
          <t>Open posting</t>
        </is>
      </c>
      <c r="K398" s="8" t="n"/>
      <c r="L398" s="17" t="inlineStr">
        <is>
          <t>new</t>
        </is>
      </c>
      <c r="M398" s="18" t="inlineStr"/>
      <c r="N398" s="7" t="inlineStr">
        <is>
          <t>802b499404312f3d2aad9b6e8511db163438054b</t>
        </is>
      </c>
      <c r="O398" s="14" t="n">
        <v>46191</v>
      </c>
      <c r="P398" s="7" t="inlineStr">
        <is>
          <t>jobspy</t>
        </is>
      </c>
      <c r="Q398" s="8" t="inlineStr">
        <is>
          <t>javascript, git, software development</t>
        </is>
      </c>
      <c r="R398" s="8" t="inlineStr">
        <is>
          <t>Full Stack Developer</t>
        </is>
      </c>
      <c r="S398" s="19" t="n"/>
      <c r="T398" s="19" t="n"/>
      <c r="U398" s="14" t="n">
        <v>46191</v>
      </c>
      <c r="V398" s="7" t="n"/>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2.45</v>
      </c>
      <c r="C399" s="12" t="inlineStr">
        <is>
          <t>Junior</t>
        </is>
      </c>
      <c r="D399" s="8" t="inlineStr">
        <is>
          <t>Full Stack Engineer</t>
        </is>
      </c>
      <c r="E399" s="7" t="inlineStr">
        <is>
          <t>NearTech Search</t>
        </is>
      </c>
      <c r="F399" s="8" t="inlineStr">
        <is>
          <t>London Area, United Kingdom</t>
        </is>
      </c>
      <c r="G399" s="8" t="n"/>
      <c r="H399" s="14" t="n"/>
      <c r="I399" s="15">
        <f>IF($H399="","",$H399-TODAY())</f>
        <v/>
      </c>
      <c r="J399" s="16" t="inlineStr">
        <is>
          <t>Open posting</t>
        </is>
      </c>
      <c r="K399" s="8" t="n"/>
      <c r="L399" s="17" t="inlineStr">
        <is>
          <t>new</t>
        </is>
      </c>
      <c r="M399" s="18" t="inlineStr"/>
      <c r="N399" s="7" t="inlineStr">
        <is>
          <t>101381dfeefcb1b3cf465d591d3c4c4b758d47d3</t>
        </is>
      </c>
      <c r="O399" s="14" t="n">
        <v>46189</v>
      </c>
      <c r="P399" s="7" t="inlineStr">
        <is>
          <t>jobspy</t>
        </is>
      </c>
      <c r="Q399" s="8" t="inlineStr">
        <is>
          <t>sql, rest apis</t>
        </is>
      </c>
      <c r="R399" s="8" t="inlineStr">
        <is>
          <t>junior Full Stack Developer</t>
        </is>
      </c>
      <c r="S399" s="19" t="n"/>
      <c r="T399" s="19" t="n"/>
      <c r="U399" s="14" t="n">
        <v>46191</v>
      </c>
      <c r="V399" s="7" t="n"/>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2.45</v>
      </c>
      <c r="C400" s="12" t="inlineStr">
        <is>
          <t>Mid-level</t>
        </is>
      </c>
      <c r="D400" s="8" t="inlineStr">
        <is>
          <t>Full Stack Java Developer (Fixed-Term Contract)</t>
        </is>
      </c>
      <c r="E400" s="7" t="inlineStr">
        <is>
          <t>Broadridge</t>
        </is>
      </c>
      <c r="F400" s="8" t="inlineStr">
        <is>
          <t>London, ENG, GB</t>
        </is>
      </c>
      <c r="G400" s="8" t="n"/>
      <c r="H400" s="14" t="n"/>
      <c r="I400" s="15">
        <f>IF($H400="","",$H400-TODAY())</f>
        <v/>
      </c>
      <c r="J400" s="16" t="inlineStr">
        <is>
          <t>Open posting</t>
        </is>
      </c>
      <c r="K400" s="8" t="n"/>
      <c r="L400" s="17" t="inlineStr">
        <is>
          <t>new</t>
        </is>
      </c>
      <c r="M400" s="18" t="inlineStr"/>
      <c r="N400" s="7" t="inlineStr">
        <is>
          <t>dfecc19fc3ab1b51cd055c783bd4abc7d0d18932</t>
        </is>
      </c>
      <c r="O400" s="14" t="n">
        <v>46191</v>
      </c>
      <c r="P400" s="7" t="inlineStr">
        <is>
          <t>jobspy</t>
        </is>
      </c>
      <c r="Q400" s="8" t="inlineStr">
        <is>
          <t>sql, git, software development</t>
        </is>
      </c>
      <c r="R400" s="8" t="inlineStr">
        <is>
          <t>Full Stack Developer</t>
        </is>
      </c>
      <c r="S400" s="19" t="n"/>
      <c r="T400" s="19" t="n"/>
      <c r="U400" s="14" t="n">
        <v>46191</v>
      </c>
      <c r="V400" s="7" t="n"/>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2.24</v>
      </c>
      <c r="C401" s="12" t="inlineStr">
        <is>
          <t>Junior</t>
        </is>
      </c>
      <c r="D401" s="8" t="inlineStr">
        <is>
          <t>Junior Software Engineer</t>
        </is>
      </c>
      <c r="E401" s="7" t="inlineStr">
        <is>
          <t>Nixor</t>
        </is>
      </c>
      <c r="F401" s="8" t="inlineStr">
        <is>
          <t>Manchester Area, United Kingdom</t>
        </is>
      </c>
      <c r="G401" s="8" t="n"/>
      <c r="H401" s="14" t="n"/>
      <c r="I401" s="15">
        <f>IF($H401="","",$H401-TODAY())</f>
        <v/>
      </c>
      <c r="J401" s="16" t="inlineStr">
        <is>
          <t>Open posting</t>
        </is>
      </c>
      <c r="K401" s="8" t="n"/>
      <c r="L401" s="17" t="inlineStr">
        <is>
          <t>new</t>
        </is>
      </c>
      <c r="M401" s="18" t="inlineStr"/>
      <c r="N401" s="7" t="inlineStr">
        <is>
          <t>c31bd69c76493608502e8c5fcbc03c936f9f7939</t>
        </is>
      </c>
      <c r="O401" s="14" t="n">
        <v>46188</v>
      </c>
      <c r="P401" s="7" t="inlineStr">
        <is>
          <t>jobspy</t>
        </is>
      </c>
      <c r="Q401" s="8" t="inlineStr">
        <is>
          <t>sql, javascript</t>
        </is>
      </c>
      <c r="R401" s="8" t="inlineStr">
        <is>
          <t>junior Graduate Software Developer</t>
        </is>
      </c>
      <c r="S401" s="19" t="n"/>
      <c r="T401" s="19" t="n"/>
      <c r="U401" s="14" t="n">
        <v>46191</v>
      </c>
      <c r="V401" s="7" t="n"/>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2.24</v>
      </c>
      <c r="C402" s="12" t="inlineStr">
        <is>
          <t>Junior</t>
        </is>
      </c>
      <c r="D402" s="8" t="inlineStr">
        <is>
          <t>Junior Software Engineer</t>
        </is>
      </c>
      <c r="E402" s="7" t="inlineStr">
        <is>
          <t>Opus 2</t>
        </is>
      </c>
      <c r="F402" s="8" t="inlineStr">
        <is>
          <t>Edinburgh, Scotland, UK</t>
        </is>
      </c>
      <c r="G402" s="8" t="n"/>
      <c r="H402" s="14" t="n"/>
      <c r="I402" s="15">
        <f>IF($H402="","",$H402-TODAY())</f>
        <v/>
      </c>
      <c r="J402" s="16" t="inlineStr">
        <is>
          <t>Open posting</t>
        </is>
      </c>
      <c r="K402" s="8" t="n"/>
      <c r="L402" s="17" t="inlineStr">
        <is>
          <t>new</t>
        </is>
      </c>
      <c r="M402" s="18" t="inlineStr"/>
      <c r="N402" s="7" t="inlineStr">
        <is>
          <t>b14026dc8d09804d9f2a8cbcdb870d75497b24c4</t>
        </is>
      </c>
      <c r="O402" s="14" t="n">
        <v>46178</v>
      </c>
      <c r="P402" s="7" t="inlineStr">
        <is>
          <t>jobspy</t>
        </is>
      </c>
      <c r="Q402" s="8" t="inlineStr">
        <is>
          <t>python, git</t>
        </is>
      </c>
      <c r="R402" s="8" t="inlineStr">
        <is>
          <t>junior Graduate Software Developer</t>
        </is>
      </c>
      <c r="S402" s="19" t="n"/>
      <c r="T402" s="19" t="n"/>
      <c r="U402" s="14" t="n">
        <v>46191</v>
      </c>
      <c r="V402" s="7" t="n"/>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2.24</v>
      </c>
      <c r="C403" s="12" t="inlineStr">
        <is>
          <t>Graduate/Entry</t>
        </is>
      </c>
      <c r="D403" s="8" t="inlineStr">
        <is>
          <t>Graduate/ Junior Developer</t>
        </is>
      </c>
      <c r="E403" s="7" t="inlineStr">
        <is>
          <t>Heywood</t>
        </is>
      </c>
      <c r="F403" s="8" t="inlineStr">
        <is>
          <t>Altrincham, England, UK</t>
        </is>
      </c>
      <c r="G403" s="8" t="n"/>
      <c r="H403" s="14" t="n"/>
      <c r="I403" s="15">
        <f>IF($H403="","",$H403-TODAY())</f>
        <v/>
      </c>
      <c r="J403" s="16" t="inlineStr">
        <is>
          <t>Open posting</t>
        </is>
      </c>
      <c r="K403" s="8" t="n"/>
      <c r="L403" s="17" t="inlineStr">
        <is>
          <t>new</t>
        </is>
      </c>
      <c r="M403" s="18" t="inlineStr"/>
      <c r="N403" s="7" t="inlineStr">
        <is>
          <t>334eba1d8a04b8defbf0720b8fb93ee4f88c7ae2</t>
        </is>
      </c>
      <c r="O403" s="14" t="n">
        <v>46164</v>
      </c>
      <c r="P403" s="7" t="inlineStr">
        <is>
          <t>jobspy</t>
        </is>
      </c>
      <c r="Q403" s="8" t="inlineStr">
        <is>
          <t>git, software development</t>
        </is>
      </c>
      <c r="R403" s="8" t="inlineStr">
        <is>
          <t>junior Graduate Software Developer</t>
        </is>
      </c>
      <c r="S403" s="19" t="n"/>
      <c r="T403" s="19" t="n"/>
      <c r="U403" s="14" t="n">
        <v>46191</v>
      </c>
      <c r="V403" s="7" t="n"/>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2.24</v>
      </c>
      <c r="C404" s="12" t="inlineStr">
        <is>
          <t>Junior</t>
        </is>
      </c>
      <c r="D404" s="8" t="inlineStr">
        <is>
          <t>Software Engineer – Gloucester – National Security West</t>
        </is>
      </c>
      <c r="E404" s="7" t="inlineStr">
        <is>
          <t>BAE Systems</t>
        </is>
      </c>
      <c r="F404" s="8" t="inlineStr">
        <is>
          <t>Gloucester, ENG, GB</t>
        </is>
      </c>
      <c r="G404" s="8" t="n"/>
      <c r="H404" s="14" t="n"/>
      <c r="I404" s="15">
        <f>IF($H404="","",$H404-TODAY())</f>
        <v/>
      </c>
      <c r="J404" s="16" t="inlineStr">
        <is>
          <t>Open posting</t>
        </is>
      </c>
      <c r="K404" s="8" t="n"/>
      <c r="L404" s="17" t="inlineStr">
        <is>
          <t>new</t>
        </is>
      </c>
      <c r="M404" s="18" t="inlineStr"/>
      <c r="N404" s="7" t="inlineStr">
        <is>
          <t>bf02458ad91e7a692c9596f25d31fde86fa07e13</t>
        </is>
      </c>
      <c r="O404" s="14" t="n">
        <v>46182</v>
      </c>
      <c r="P404" s="7" t="inlineStr">
        <is>
          <t>jobspy</t>
        </is>
      </c>
      <c r="Q404" s="8" t="inlineStr">
        <is>
          <t>python, git</t>
        </is>
      </c>
      <c r="R404" s="8" t="inlineStr">
        <is>
          <t>Junior Python Developer</t>
        </is>
      </c>
      <c r="S404" s="19" t="n"/>
      <c r="T404" s="19" t="n"/>
      <c r="U404" s="14" t="n">
        <v>46191</v>
      </c>
      <c r="V404" s="7" t="n"/>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2.24</v>
      </c>
      <c r="C405" s="12" t="inlineStr">
        <is>
          <t>Unspecified</t>
        </is>
      </c>
      <c r="D405" s="8" t="inlineStr">
        <is>
          <t>Python Developer</t>
        </is>
      </c>
      <c r="E405" s="7" t="inlineStr">
        <is>
          <t>Global</t>
        </is>
      </c>
      <c r="F405" s="8" t="inlineStr">
        <is>
          <t>London, England, UK</t>
        </is>
      </c>
      <c r="G405" s="8" t="n"/>
      <c r="H405" s="14" t="n"/>
      <c r="I405" s="15">
        <f>IF($H405="","",$H405-TODAY())</f>
        <v/>
      </c>
      <c r="J405" s="16" t="inlineStr">
        <is>
          <t>Open posting</t>
        </is>
      </c>
      <c r="K405" s="8" t="n"/>
      <c r="L405" s="17" t="inlineStr">
        <is>
          <t>new</t>
        </is>
      </c>
      <c r="M405" s="18" t="inlineStr"/>
      <c r="N405" s="7" t="inlineStr">
        <is>
          <t>7be0c4cff00a4bdca35cd3b1ac2bc1e4696495c3</t>
        </is>
      </c>
      <c r="O405" s="14" t="n"/>
      <c r="P405" s="7" t="inlineStr">
        <is>
          <t>jobspy</t>
        </is>
      </c>
      <c r="Q405" s="8" t="inlineStr">
        <is>
          <t>python, git</t>
        </is>
      </c>
      <c r="R405" s="8" t="inlineStr">
        <is>
          <t>Junior Python Developer</t>
        </is>
      </c>
      <c r="S405" s="19" t="n"/>
      <c r="T405" s="19" t="n"/>
      <c r="U405" s="14" t="n">
        <v>46191</v>
      </c>
      <c r="V405" s="7" t="n"/>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2.24</v>
      </c>
      <c r="C406" s="12" t="inlineStr">
        <is>
          <t>Mid-level</t>
        </is>
      </c>
      <c r="D406" s="8" t="inlineStr">
        <is>
          <t>Software Engineer (Python/Data)</t>
        </is>
      </c>
      <c r="E406" s="7" t="inlineStr">
        <is>
          <t>YLD</t>
        </is>
      </c>
      <c r="F406" s="8" t="inlineStr"/>
      <c r="G406" s="8" t="n"/>
      <c r="H406" s="14" t="n"/>
      <c r="I406" s="15">
        <f>IF($H406="","",$H406-TODAY())</f>
        <v/>
      </c>
      <c r="J406" s="16" t="inlineStr">
        <is>
          <t>Open posting</t>
        </is>
      </c>
      <c r="K406" s="8" t="n"/>
      <c r="L406" s="17" t="inlineStr">
        <is>
          <t>new</t>
        </is>
      </c>
      <c r="M406" s="18" t="inlineStr"/>
      <c r="N406" s="7" t="inlineStr">
        <is>
          <t>0ee614ea0d5220f6f4a15033c2028f25411baeb5</t>
        </is>
      </c>
      <c r="O406" s="14" t="n">
        <v>46168</v>
      </c>
      <c r="P406" s="7" t="inlineStr">
        <is>
          <t>jobspy</t>
        </is>
      </c>
      <c r="Q406" s="8" t="inlineStr">
        <is>
          <t>python, git</t>
        </is>
      </c>
      <c r="R406" s="8" t="inlineStr">
        <is>
          <t>Junior Python Developer remote</t>
        </is>
      </c>
      <c r="S406" s="19" t="n"/>
      <c r="T406" s="19" t="n"/>
      <c r="U406" s="14" t="n">
        <v>46191</v>
      </c>
      <c r="V406" s="7" t="n"/>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2.24</v>
      </c>
      <c r="C407" s="12" t="inlineStr">
        <is>
          <t>Junior</t>
        </is>
      </c>
      <c r="D407" s="8" t="inlineStr">
        <is>
          <t>Full Stack Developer</t>
        </is>
      </c>
      <c r="E407" s="7" t="inlineStr">
        <is>
          <t>Whitestores LTD</t>
        </is>
      </c>
      <c r="F407" s="8" t="inlineStr">
        <is>
          <t>Wickford North, ENG, GB</t>
        </is>
      </c>
      <c r="G407" s="8" t="n"/>
      <c r="H407" s="14" t="n"/>
      <c r="I407" s="15">
        <f>IF($H407="","",$H407-TODAY())</f>
        <v/>
      </c>
      <c r="J407" s="16" t="inlineStr">
        <is>
          <t>Open posting</t>
        </is>
      </c>
      <c r="K407" s="8" t="n"/>
      <c r="L407" s="17" t="inlineStr">
        <is>
          <t>new</t>
        </is>
      </c>
      <c r="M407" s="18" t="inlineStr"/>
      <c r="N407" s="7" t="inlineStr">
        <is>
          <t>e25b24143af0443c95a7c11735f6e326861b2907</t>
        </is>
      </c>
      <c r="O407" s="14" t="n">
        <v>46190</v>
      </c>
      <c r="P407" s="7" t="inlineStr">
        <is>
          <t>jobspy</t>
        </is>
      </c>
      <c r="Q407" s="8" t="inlineStr">
        <is>
          <t>javascript, git</t>
        </is>
      </c>
      <c r="R407" s="8" t="inlineStr">
        <is>
          <t>Full Stack Developer</t>
        </is>
      </c>
      <c r="S407" s="19" t="n"/>
      <c r="T407" s="19" t="n"/>
      <c r="U407" s="14" t="n">
        <v>46191</v>
      </c>
      <c r="V407" s="7" t="n"/>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2.24</v>
      </c>
      <c r="C408" s="12" t="inlineStr">
        <is>
          <t>Unspecified</t>
        </is>
      </c>
      <c r="D408" s="8" t="inlineStr">
        <is>
          <t>DevOps Engineer</t>
        </is>
      </c>
      <c r="E408" s="7" t="inlineStr">
        <is>
          <t>iSAM Securities</t>
        </is>
      </c>
      <c r="F408" s="8" t="inlineStr">
        <is>
          <t>London, ENG, GB</t>
        </is>
      </c>
      <c r="G408" s="8" t="n"/>
      <c r="H408" s="14" t="n"/>
      <c r="I408" s="15">
        <f>IF($H408="","",$H408-TODAY())</f>
        <v/>
      </c>
      <c r="J408" s="16" t="inlineStr">
        <is>
          <t>Open posting</t>
        </is>
      </c>
      <c r="K408" s="8" t="n"/>
      <c r="L408" s="17" t="inlineStr">
        <is>
          <t>new</t>
        </is>
      </c>
      <c r="M408" s="18" t="inlineStr"/>
      <c r="N408" s="7" t="inlineStr">
        <is>
          <t>f75ffd104cf7806f6f2d14af57ab9c74e7edb2f7</t>
        </is>
      </c>
      <c r="O408" s="14" t="n">
        <v>46190</v>
      </c>
      <c r="P408" s="7" t="inlineStr">
        <is>
          <t>jobspy</t>
        </is>
      </c>
      <c r="Q408" s="8" t="inlineStr">
        <is>
          <t>python, git</t>
        </is>
      </c>
      <c r="R408" s="8" t="inlineStr">
        <is>
          <t>Full Stack Developer</t>
        </is>
      </c>
      <c r="S408" s="19" t="n"/>
      <c r="T408" s="19" t="n"/>
      <c r="U408" s="14" t="n">
        <v>46191</v>
      </c>
      <c r="V408" s="7" t="n"/>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2.24</v>
      </c>
      <c r="C409" s="12" t="inlineStr">
        <is>
          <t>Mid-level</t>
        </is>
      </c>
      <c r="D409" s="8" t="inlineStr">
        <is>
          <t>.NET Developer</t>
        </is>
      </c>
      <c r="E409" s="7" t="inlineStr">
        <is>
          <t>Noir</t>
        </is>
      </c>
      <c r="F409" s="8" t="inlineStr">
        <is>
          <t>Sheffield, England, UK</t>
        </is>
      </c>
      <c r="G409" s="8" t="n"/>
      <c r="H409" s="14" t="n"/>
      <c r="I409" s="15">
        <f>IF($H409="","",$H409-TODAY())</f>
        <v/>
      </c>
      <c r="J409" s="16" t="inlineStr">
        <is>
          <t>Open posting</t>
        </is>
      </c>
      <c r="K409" s="8" t="n"/>
      <c r="L409" s="17" t="inlineStr">
        <is>
          <t>new</t>
        </is>
      </c>
      <c r="M409" s="18" t="inlineStr"/>
      <c r="N409" s="7" t="inlineStr">
        <is>
          <t>6855720c0f016adf86e8ab330aacfe12f9e226d3</t>
        </is>
      </c>
      <c r="O409" s="14" t="n">
        <v>46184</v>
      </c>
      <c r="P409" s="7" t="inlineStr">
        <is>
          <t>jobspy</t>
        </is>
      </c>
      <c r="Q409" s="8" t="inlineStr">
        <is>
          <t>sql, javascript, git</t>
        </is>
      </c>
      <c r="R409" s="8" t="inlineStr">
        <is>
          <t>Full Stack Developer Sheffield</t>
        </is>
      </c>
      <c r="S409" s="19" t="n"/>
      <c r="T409" s="19" t="n"/>
      <c r="U409" s="14" t="n">
        <v>46191</v>
      </c>
      <c r="V409" s="7" t="n"/>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2.24</v>
      </c>
      <c r="C410" s="12" t="inlineStr">
        <is>
          <t>Mid-level</t>
        </is>
      </c>
      <c r="D410" s="8" t="inlineStr">
        <is>
          <t>Full Stack Developer</t>
        </is>
      </c>
      <c r="E410" s="7" t="inlineStr">
        <is>
          <t>Computappoint</t>
        </is>
      </c>
      <c r="F410" s="8" t="inlineStr">
        <is>
          <t>London Area, United Kingdom</t>
        </is>
      </c>
      <c r="G410" s="8" t="n"/>
      <c r="H410" s="14" t="n"/>
      <c r="I410" s="15">
        <f>IF($H410="","",$H410-TODAY())</f>
        <v/>
      </c>
      <c r="J410" s="16" t="inlineStr">
        <is>
          <t>Open posting</t>
        </is>
      </c>
      <c r="K410" s="8" t="n"/>
      <c r="L410" s="17" t="inlineStr">
        <is>
          <t>new</t>
        </is>
      </c>
      <c r="M410" s="18" t="inlineStr"/>
      <c r="N410" s="7" t="inlineStr">
        <is>
          <t>6d5067a711b55eceecc0e2956b6e1cf05bba4f45</t>
        </is>
      </c>
      <c r="O410" s="14" t="n">
        <v>46170</v>
      </c>
      <c r="P410" s="7" t="inlineStr">
        <is>
          <t>jobspy</t>
        </is>
      </c>
      <c r="Q410" s="8" t="inlineStr">
        <is>
          <t>javascript, git</t>
        </is>
      </c>
      <c r="R410" s="8" t="inlineStr">
        <is>
          <t>Full Stack Developer</t>
        </is>
      </c>
      <c r="S410" s="19" t="n"/>
      <c r="T410" s="19" t="n"/>
      <c r="U410" s="14" t="n">
        <v>46191</v>
      </c>
      <c r="V410" s="7" t="n"/>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2.24</v>
      </c>
      <c r="C411" s="12" t="inlineStr">
        <is>
          <t>Graduate/Entry</t>
        </is>
      </c>
      <c r="D411" s="8" t="inlineStr">
        <is>
          <t>Graduate Software Engineer</t>
        </is>
      </c>
      <c r="E411" s="7" t="inlineStr">
        <is>
          <t>Ebury</t>
        </is>
      </c>
      <c r="F411" s="8" t="inlineStr">
        <is>
          <t>London, England, UK</t>
        </is>
      </c>
      <c r="G411" s="8" t="n"/>
      <c r="H411" s="14" t="n"/>
      <c r="I411" s="15">
        <f>IF($H411="","",$H411-TODAY())</f>
        <v/>
      </c>
      <c r="J411" s="16" t="inlineStr">
        <is>
          <t>Open posting</t>
        </is>
      </c>
      <c r="K411" s="8" t="n"/>
      <c r="L411" s="17" t="inlineStr">
        <is>
          <t>new</t>
        </is>
      </c>
      <c r="M411" s="18" t="inlineStr"/>
      <c r="N411" s="7" t="inlineStr">
        <is>
          <t>19ce14cbc4be2b6ec8109e01e83585d167713f98</t>
        </is>
      </c>
      <c r="O411" s="14" t="n">
        <v>46177</v>
      </c>
      <c r="P411" s="7" t="inlineStr">
        <is>
          <t>jobspy</t>
        </is>
      </c>
      <c r="Q411" s="8" t="inlineStr">
        <is>
          <t>python, software development</t>
        </is>
      </c>
      <c r="R411" s="8" t="inlineStr">
        <is>
          <t>Graduate Software Developer</t>
        </is>
      </c>
      <c r="S411" s="19" t="n"/>
      <c r="T411" s="19" t="n"/>
      <c r="U411" s="14" t="n">
        <v>46191</v>
      </c>
      <c r="V411" s="7" t="n"/>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2.24</v>
      </c>
      <c r="C412" s="12" t="inlineStr">
        <is>
          <t>Graduate/Entry</t>
        </is>
      </c>
      <c r="D412" s="8" t="inlineStr">
        <is>
          <t>Graduate Software Engineer</t>
        </is>
      </c>
      <c r="E412" s="7" t="inlineStr">
        <is>
          <t>Neat</t>
        </is>
      </c>
      <c r="F412" s="8" t="inlineStr">
        <is>
          <t>Cambridge, England, UK</t>
        </is>
      </c>
      <c r="G412" s="8" t="n"/>
      <c r="H412" s="14" t="n"/>
      <c r="I412" s="15">
        <f>IF($H412="","",$H412-TODAY())</f>
        <v/>
      </c>
      <c r="J412" s="16" t="inlineStr">
        <is>
          <t>Open posting</t>
        </is>
      </c>
      <c r="K412" s="8" t="n"/>
      <c r="L412" s="17" t="inlineStr">
        <is>
          <t>new</t>
        </is>
      </c>
      <c r="M412" s="18" t="inlineStr"/>
      <c r="N412" s="7" t="inlineStr">
        <is>
          <t>eebad66239455e12ae3af1c86229cb9df378c1a9</t>
        </is>
      </c>
      <c r="O412" s="14" t="n">
        <v>46173</v>
      </c>
      <c r="P412" s="7" t="inlineStr">
        <is>
          <t>jobspy</t>
        </is>
      </c>
      <c r="Q412" s="8" t="inlineStr">
        <is>
          <t>python, web development</t>
        </is>
      </c>
      <c r="R412" s="8" t="inlineStr">
        <is>
          <t>graduate Graduate Software Developer</t>
        </is>
      </c>
      <c r="S412" s="19" t="n"/>
      <c r="T412" s="19" t="n"/>
      <c r="U412" s="14" t="n">
        <v>46191</v>
      </c>
      <c r="V412" s="7" t="n"/>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2.24</v>
      </c>
      <c r="C413" s="12" t="inlineStr">
        <is>
          <t>Unspecified</t>
        </is>
      </c>
      <c r="D413" s="8" t="inlineStr">
        <is>
          <t>Fullstack Developer</t>
        </is>
      </c>
      <c r="E413" s="7" t="inlineStr">
        <is>
          <t>iO Associates</t>
        </is>
      </c>
      <c r="F413" s="8" t="inlineStr">
        <is>
          <t>Bristol, England, UK</t>
        </is>
      </c>
      <c r="G413" s="8" t="n"/>
      <c r="H413" s="14" t="n"/>
      <c r="I413" s="15">
        <f>IF($H413="","",$H413-TODAY())</f>
        <v/>
      </c>
      <c r="J413" s="16" t="inlineStr">
        <is>
          <t>Open posting</t>
        </is>
      </c>
      <c r="K413" s="8" t="n"/>
      <c r="L413" s="17" t="inlineStr">
        <is>
          <t>new</t>
        </is>
      </c>
      <c r="M413" s="18" t="inlineStr"/>
      <c r="N413" s="7" t="inlineStr">
        <is>
          <t>6e5bfe545f09c1a7ce91d6d2fae3474768788658</t>
        </is>
      </c>
      <c r="O413" s="14" t="n">
        <v>46190</v>
      </c>
      <c r="P413" s="7" t="inlineStr">
        <is>
          <t>jobspy</t>
        </is>
      </c>
      <c r="Q413" s="8" t="inlineStr">
        <is>
          <t>python, software development</t>
        </is>
      </c>
      <c r="R413" s="8" t="inlineStr">
        <is>
          <t>Full Stack Developer</t>
        </is>
      </c>
      <c r="S413" s="19" t="n"/>
      <c r="T413" s="19" t="n"/>
      <c r="U413" s="14" t="n">
        <v>46191</v>
      </c>
      <c r="V413" s="7" t="n"/>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2.24</v>
      </c>
      <c r="C414" s="12" t="inlineStr">
        <is>
          <t>Junior</t>
        </is>
      </c>
      <c r="D414" s="8" t="inlineStr">
        <is>
          <t>Full Stack Developer</t>
        </is>
      </c>
      <c r="E414" s="7" t="inlineStr">
        <is>
          <t>Global 4</t>
        </is>
      </c>
      <c r="F414" s="8" t="inlineStr">
        <is>
          <t>Fareham, England, UK</t>
        </is>
      </c>
      <c r="G414" s="8" t="n"/>
      <c r="H414" s="14" t="n"/>
      <c r="I414" s="15">
        <f>IF($H414="","",$H414-TODAY())</f>
        <v/>
      </c>
      <c r="J414" s="16" t="inlineStr">
        <is>
          <t>Open posting</t>
        </is>
      </c>
      <c r="K414" s="8" t="n"/>
      <c r="L414" s="17" t="inlineStr">
        <is>
          <t>new</t>
        </is>
      </c>
      <c r="M414" s="18" t="inlineStr"/>
      <c r="N414" s="7" t="inlineStr">
        <is>
          <t>3319b16fba7d4ac4c723ec3a8d03d0c79d5070fa</t>
        </is>
      </c>
      <c r="O414" s="14" t="n">
        <v>46181</v>
      </c>
      <c r="P414" s="7" t="inlineStr">
        <is>
          <t>jobspy</t>
        </is>
      </c>
      <c r="Q414" s="8" t="inlineStr">
        <is>
          <t>git</t>
        </is>
      </c>
      <c r="R414" s="8" t="inlineStr">
        <is>
          <t>Full Stack Developer</t>
        </is>
      </c>
      <c r="S414" s="19" t="n"/>
      <c r="T414" s="19" t="n"/>
      <c r="U414" s="14" t="n">
        <v>46191</v>
      </c>
      <c r="V414" s="7" t="n"/>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2.24</v>
      </c>
      <c r="C415" s="12" t="inlineStr">
        <is>
          <t>Senior/Lead</t>
        </is>
      </c>
      <c r="D415" s="8" t="inlineStr">
        <is>
          <t>Full-Stack Web Developer (Website Development)</t>
        </is>
      </c>
      <c r="E415" s="7" t="inlineStr">
        <is>
          <t>Moneycorp</t>
        </is>
      </c>
      <c r="F415" s="8" t="inlineStr">
        <is>
          <t>London Area, United Kingdom</t>
        </is>
      </c>
      <c r="G415" s="8" t="n"/>
      <c r="H415" s="14" t="n"/>
      <c r="I415" s="15">
        <f>IF($H415="","",$H415-TODAY())</f>
        <v/>
      </c>
      <c r="J415" s="16" t="inlineStr">
        <is>
          <t>Open posting</t>
        </is>
      </c>
      <c r="K415" s="8" t="n"/>
      <c r="L415" s="17" t="inlineStr">
        <is>
          <t>new</t>
        </is>
      </c>
      <c r="M415" s="18" t="inlineStr"/>
      <c r="N415" s="7" t="inlineStr">
        <is>
          <t>e194a30cd32efcfdda218513b8238ce523ef0e47</t>
        </is>
      </c>
      <c r="O415" s="14" t="n">
        <v>46189</v>
      </c>
      <c r="P415" s="7" t="inlineStr">
        <is>
          <t>jobspy</t>
        </is>
      </c>
      <c r="Q415" s="8" t="inlineStr">
        <is>
          <t>javascript, git, web development</t>
        </is>
      </c>
      <c r="R415" s="8" t="inlineStr">
        <is>
          <t>junior Full Stack Developer</t>
        </is>
      </c>
      <c r="S415" s="19" t="n"/>
      <c r="T415" s="19" t="n"/>
      <c r="U415" s="14" t="n">
        <v>46191</v>
      </c>
      <c r="V415" s="7" t="n"/>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2.24</v>
      </c>
      <c r="C416" s="12" t="inlineStr">
        <is>
          <t>Mid-level</t>
        </is>
      </c>
      <c r="D416" s="8" t="inlineStr">
        <is>
          <t>.NET Developer</t>
        </is>
      </c>
      <c r="E416" s="7" t="inlineStr">
        <is>
          <t>Noir</t>
        </is>
      </c>
      <c r="F416" s="8" t="inlineStr">
        <is>
          <t>Sheffield, England, UK</t>
        </is>
      </c>
      <c r="G416" s="8" t="n"/>
      <c r="H416" s="14" t="n"/>
      <c r="I416" s="15">
        <f>IF($H416="","",$H416-TODAY())</f>
        <v/>
      </c>
      <c r="J416" s="16" t="inlineStr">
        <is>
          <t>Open posting</t>
        </is>
      </c>
      <c r="K416" s="8" t="n"/>
      <c r="L416" s="17" t="inlineStr">
        <is>
          <t>new</t>
        </is>
      </c>
      <c r="M416" s="18" t="inlineStr"/>
      <c r="N416" s="7" t="inlineStr">
        <is>
          <t>1d8ac05cf1241c6fb7076c770eefeab81571689a</t>
        </is>
      </c>
      <c r="O416" s="14" t="n"/>
      <c r="P416" s="7" t="inlineStr">
        <is>
          <t>jobspy</t>
        </is>
      </c>
      <c r="Q416" s="8" t="inlineStr">
        <is>
          <t>sql, javascript, git</t>
        </is>
      </c>
      <c r="R416" s="8" t="inlineStr">
        <is>
          <t>Full Stack Developer Sheffield</t>
        </is>
      </c>
      <c r="S416" s="19" t="n"/>
      <c r="T416" s="19" t="n"/>
      <c r="U416" s="14" t="n">
        <v>46191</v>
      </c>
      <c r="V416" s="7" t="n"/>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2.24</v>
      </c>
      <c r="C417" s="12" t="inlineStr">
        <is>
          <t>Graduate/Entry</t>
        </is>
      </c>
      <c r="D417" s="8" t="inlineStr">
        <is>
          <t>Graduate Software Engineer</t>
        </is>
      </c>
      <c r="E417" s="7" t="inlineStr">
        <is>
          <t>LexisNexis Risk Solutions</t>
        </is>
      </c>
      <c r="F417" s="8" t="inlineStr">
        <is>
          <t>Cardiff, Wales, UK</t>
        </is>
      </c>
      <c r="G417" s="8" t="n"/>
      <c r="H417" s="14" t="n"/>
      <c r="I417" s="15">
        <f>IF($H417="","",$H417-TODAY())</f>
        <v/>
      </c>
      <c r="J417" s="16" t="inlineStr">
        <is>
          <t>Open posting</t>
        </is>
      </c>
      <c r="K417" s="8" t="n"/>
      <c r="L417" s="17" t="inlineStr">
        <is>
          <t>new</t>
        </is>
      </c>
      <c r="M417" s="18" t="inlineStr"/>
      <c r="N417" s="7" t="inlineStr">
        <is>
          <t>673b8aeafc79ef20981cf516fc75bf9ef2c92c25</t>
        </is>
      </c>
      <c r="O417" s="14" t="n">
        <v>46184</v>
      </c>
      <c r="P417" s="7" t="inlineStr">
        <is>
          <t>jobspy</t>
        </is>
      </c>
      <c r="Q417" s="8" t="inlineStr">
        <is>
          <t>python, git, software development</t>
        </is>
      </c>
      <c r="R417" s="8" t="inlineStr">
        <is>
          <t>entry level Full Stack Developer</t>
        </is>
      </c>
      <c r="S417" s="19" t="n"/>
      <c r="T417" s="19" t="n"/>
      <c r="U417" s="14" t="n">
        <v>46191</v>
      </c>
      <c r="V417" s="7" t="n"/>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2.24</v>
      </c>
      <c r="C418" s="12" t="inlineStr">
        <is>
          <t>Graduate/Entry</t>
        </is>
      </c>
      <c r="D418" s="8" t="inlineStr">
        <is>
          <t>Graduate Software Engineer (+ Equity) at Letty</t>
        </is>
      </c>
      <c r="E418" s="7" t="inlineStr">
        <is>
          <t>Jack &amp; Jill</t>
        </is>
      </c>
      <c r="F418" s="8" t="inlineStr">
        <is>
          <t>London, England, UK</t>
        </is>
      </c>
      <c r="G418" s="8" t="n"/>
      <c r="H418" s="14" t="n"/>
      <c r="I418" s="15">
        <f>IF($H418="","",$H418-TODAY())</f>
        <v/>
      </c>
      <c r="J418" s="16" t="inlineStr">
        <is>
          <t>Open posting</t>
        </is>
      </c>
      <c r="K418" s="8" t="n"/>
      <c r="L418" s="17" t="inlineStr">
        <is>
          <t>new</t>
        </is>
      </c>
      <c r="M418" s="18" t="inlineStr"/>
      <c r="N418" s="7" t="inlineStr">
        <is>
          <t>fc3a7a802600eb483af01d5efb413827276f5d3e</t>
        </is>
      </c>
      <c r="O418" s="14" t="n"/>
      <c r="P418" s="7" t="inlineStr">
        <is>
          <t>jobspy</t>
        </is>
      </c>
      <c r="Q418" s="8" t="inlineStr">
        <is>
          <t>python, git</t>
        </is>
      </c>
      <c r="R418" s="8" t="inlineStr">
        <is>
          <t>entry level Full Stack Developer</t>
        </is>
      </c>
      <c r="S418" s="19" t="n"/>
      <c r="T418" s="19" t="n"/>
      <c r="U418" s="14" t="n">
        <v>46191</v>
      </c>
      <c r="V418" s="7" t="n"/>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2.04</v>
      </c>
      <c r="C419" s="12" t="inlineStr">
        <is>
          <t>Senior/Lead</t>
        </is>
      </c>
      <c r="D419" s="8" t="inlineStr">
        <is>
          <t>Software Engineer, Network Performance &amp; Reliability</t>
        </is>
      </c>
      <c r="E419" s="7" t="inlineStr">
        <is>
          <t>Cloudflare</t>
        </is>
      </c>
      <c r="F419" s="8" t="inlineStr">
        <is>
          <t>Hybrid</t>
        </is>
      </c>
      <c r="G419" s="8" t="n"/>
      <c r="H419" s="14" t="n"/>
      <c r="I419" s="15">
        <f>IF($H419="","",$H419-TODAY())</f>
        <v/>
      </c>
      <c r="J419" s="16" t="inlineStr">
        <is>
          <t>Open posting</t>
        </is>
      </c>
      <c r="K419" s="8" t="n"/>
      <c r="L419" s="17" t="inlineStr">
        <is>
          <t>new</t>
        </is>
      </c>
      <c r="M419" s="18" t="inlineStr"/>
      <c r="N419" s="7" t="inlineStr">
        <is>
          <t>4e3a5c7d0f0202ba693ed4e084a2cea266a4bb16</t>
        </is>
      </c>
      <c r="O419" s="14" t="n">
        <v>46190</v>
      </c>
      <c r="P419" s="7" t="inlineStr">
        <is>
          <t>greenhouse:cloudflare</t>
        </is>
      </c>
      <c r="Q419" s="8" t="inlineStr">
        <is>
          <t>sql, software development</t>
        </is>
      </c>
      <c r="R419" s="8" t="n"/>
      <c r="S419" s="19" t="n"/>
      <c r="T419" s="19" t="n"/>
      <c r="U419" s="14" t="n">
        <v>46191</v>
      </c>
      <c r="V419" s="7" t="n"/>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2.04</v>
      </c>
      <c r="C420" s="12" t="inlineStr">
        <is>
          <t>Senior/Lead</t>
        </is>
      </c>
      <c r="D420" s="8" t="inlineStr">
        <is>
          <t>Software Developer D365 (up to £55,806)</t>
        </is>
      </c>
      <c r="E420" s="7" t="inlineStr">
        <is>
          <t>Department for Education</t>
        </is>
      </c>
      <c r="F420" s="8" t="inlineStr">
        <is>
          <t>Sheffield, England, UK</t>
        </is>
      </c>
      <c r="G420" s="8" t="n"/>
      <c r="H420" s="14" t="n"/>
      <c r="I420" s="15">
        <f>IF($H420="","",$H420-TODAY())</f>
        <v/>
      </c>
      <c r="J420" s="16" t="inlineStr">
        <is>
          <t>Open posting</t>
        </is>
      </c>
      <c r="K420" s="8" t="n"/>
      <c r="L420" s="17" t="inlineStr">
        <is>
          <t>new</t>
        </is>
      </c>
      <c r="M420" s="18" t="inlineStr"/>
      <c r="N420" s="7" t="inlineStr">
        <is>
          <t>8336fcec289a4d810b53a8baf64d345bd879f45c</t>
        </is>
      </c>
      <c r="O420" s="14" t="n">
        <v>46181</v>
      </c>
      <c r="P420" s="7" t="inlineStr">
        <is>
          <t>jobspy</t>
        </is>
      </c>
      <c r="Q420" s="8" t="inlineStr">
        <is>
          <t>javascript, git, software development</t>
        </is>
      </c>
      <c r="R420" s="8" t="inlineStr">
        <is>
          <t>Graduate Software Developer Sheffield</t>
        </is>
      </c>
      <c r="S420" s="19" t="n"/>
      <c r="T420" s="19" t="n"/>
      <c r="U420" s="14" t="n">
        <v>46191</v>
      </c>
      <c r="V420" s="7" t="n"/>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2.04</v>
      </c>
      <c r="C421" s="12" t="inlineStr">
        <is>
          <t>Graduate/Entry</t>
        </is>
      </c>
      <c r="D421" s="8" t="inlineStr">
        <is>
          <t>Graduate / Junior Java Developer</t>
        </is>
      </c>
      <c r="E421" s="7" t="inlineStr">
        <is>
          <t>Radius</t>
        </is>
      </c>
      <c r="F421" s="8" t="inlineStr">
        <is>
          <t>Crewe, ENG, GB</t>
        </is>
      </c>
      <c r="G421" s="8" t="n"/>
      <c r="H421" s="14" t="n"/>
      <c r="I421" s="15">
        <f>IF($H421="","",$H421-TODAY())</f>
        <v/>
      </c>
      <c r="J421" s="16" t="inlineStr">
        <is>
          <t>Open posting</t>
        </is>
      </c>
      <c r="K421" s="8" t="n"/>
      <c r="L421" s="17" t="inlineStr">
        <is>
          <t>new</t>
        </is>
      </c>
      <c r="M421" s="18" t="inlineStr"/>
      <c r="N421" s="7" t="inlineStr">
        <is>
          <t>0dc2d8fe003a165db5e021bd3871e8536fd81a67</t>
        </is>
      </c>
      <c r="O421" s="14" t="n">
        <v>46182</v>
      </c>
      <c r="P421" s="7" t="inlineStr">
        <is>
          <t>jobspy</t>
        </is>
      </c>
      <c r="Q421" s="8" t="inlineStr">
        <is>
          <t>sql, software development</t>
        </is>
      </c>
      <c r="R421" s="8" t="inlineStr">
        <is>
          <t>junior Graduate Software Developer</t>
        </is>
      </c>
      <c r="S421" s="19" t="n"/>
      <c r="T421" s="19" t="n"/>
      <c r="U421" s="14" t="n">
        <v>46191</v>
      </c>
      <c r="V421" s="7" t="n"/>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2.04</v>
      </c>
      <c r="C422" s="12" t="inlineStr">
        <is>
          <t>Junior</t>
        </is>
      </c>
      <c r="D422" s="8" t="inlineStr">
        <is>
          <t>Junior Python Developer</t>
        </is>
      </c>
      <c r="E422" s="7" t="inlineStr">
        <is>
          <t>Information Tech Consultants</t>
        </is>
      </c>
      <c r="F422" s="8" t="inlineStr">
        <is>
          <t>London Area, United Kingdom</t>
        </is>
      </c>
      <c r="G422" s="8" t="n"/>
      <c r="H422" s="14" t="n"/>
      <c r="I422" s="15">
        <f>IF($H422="","",$H422-TODAY())</f>
        <v/>
      </c>
      <c r="J422" s="16" t="inlineStr">
        <is>
          <t>Open posting</t>
        </is>
      </c>
      <c r="K422" s="8" t="n"/>
      <c r="L422" s="17" t="inlineStr">
        <is>
          <t>new</t>
        </is>
      </c>
      <c r="M422" s="18" t="inlineStr"/>
      <c r="N422" s="7" t="inlineStr">
        <is>
          <t>4996eb8491fa65fb5120dcd4935e2e27b87b2455</t>
        </is>
      </c>
      <c r="O422" s="14" t="n">
        <v>46190</v>
      </c>
      <c r="P422" s="7" t="inlineStr">
        <is>
          <t>jobspy</t>
        </is>
      </c>
      <c r="Q422" s="8" t="inlineStr">
        <is>
          <t>python, sql</t>
        </is>
      </c>
      <c r="R422" s="8" t="inlineStr">
        <is>
          <t>Junior Python Developer</t>
        </is>
      </c>
      <c r="S422" s="19" t="n"/>
      <c r="T422" s="19" t="n"/>
      <c r="U422" s="14" t="n">
        <v>46191</v>
      </c>
      <c r="V422" s="7" t="n"/>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2.04</v>
      </c>
      <c r="C423" s="12" t="inlineStr">
        <is>
          <t>Unspecified</t>
        </is>
      </c>
      <c r="D423" s="8" t="inlineStr">
        <is>
          <t>Back End Software Developer</t>
        </is>
      </c>
      <c r="E423" s="7" t="inlineStr">
        <is>
          <t>Selby Jennings</t>
        </is>
      </c>
      <c r="F423" s="8" t="inlineStr">
        <is>
          <t>Newcastle Upon Tyne, England, UK</t>
        </is>
      </c>
      <c r="G423" s="8" t="n"/>
      <c r="H423" s="14" t="n"/>
      <c r="I423" s="15">
        <f>IF($H423="","",$H423-TODAY())</f>
        <v/>
      </c>
      <c r="J423" s="16" t="inlineStr">
        <is>
          <t>Open posting</t>
        </is>
      </c>
      <c r="K423" s="8" t="n"/>
      <c r="L423" s="17" t="inlineStr">
        <is>
          <t>new</t>
        </is>
      </c>
      <c r="M423" s="18" t="inlineStr"/>
      <c r="N423" s="7" t="inlineStr">
        <is>
          <t>fcc3ad27fa4cb24e0d51bfa832fc28e7995fbf65</t>
        </is>
      </c>
      <c r="O423" s="14" t="n">
        <v>46185</v>
      </c>
      <c r="P423" s="7" t="inlineStr">
        <is>
          <t>jobspy</t>
        </is>
      </c>
      <c r="Q423" s="8" t="inlineStr">
        <is>
          <t>python, sql</t>
        </is>
      </c>
      <c r="R423" s="8" t="inlineStr">
        <is>
          <t>Junior Python Developer</t>
        </is>
      </c>
      <c r="S423" s="19" t="n"/>
      <c r="T423" s="19" t="n"/>
      <c r="U423" s="14" t="n">
        <v>46191</v>
      </c>
      <c r="V423" s="7" t="n"/>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2.04</v>
      </c>
      <c r="C424" s="12" t="inlineStr">
        <is>
          <t>Senior/Lead</t>
        </is>
      </c>
      <c r="D424" s="8" t="inlineStr">
        <is>
          <t>Software Engineer</t>
        </is>
      </c>
      <c r="E424" s="7" t="inlineStr">
        <is>
          <t>Abound</t>
        </is>
      </c>
      <c r="F424" s="8" t="inlineStr">
        <is>
          <t>London, England, UK</t>
        </is>
      </c>
      <c r="G424" s="8" t="n"/>
      <c r="H424" s="14" t="n"/>
      <c r="I424" s="15">
        <f>IF($H424="","",$H424-TODAY())</f>
        <v/>
      </c>
      <c r="J424" s="16" t="inlineStr">
        <is>
          <t>Open posting</t>
        </is>
      </c>
      <c r="K424" s="8" t="n"/>
      <c r="L424" s="17" t="inlineStr">
        <is>
          <t>new</t>
        </is>
      </c>
      <c r="M424" s="18" t="inlineStr"/>
      <c r="N424" s="7" t="inlineStr">
        <is>
          <t>57e9b005253440115f291f1d4fe752efeca6299b</t>
        </is>
      </c>
      <c r="O424" s="14" t="n">
        <v>46182</v>
      </c>
      <c r="P424" s="7" t="inlineStr">
        <is>
          <t>jobspy</t>
        </is>
      </c>
      <c r="Q424" s="8" t="inlineStr">
        <is>
          <t>python, sql</t>
        </is>
      </c>
      <c r="R424" s="8" t="inlineStr">
        <is>
          <t>Junior Python Developer</t>
        </is>
      </c>
      <c r="S424" s="19" t="n"/>
      <c r="T424" s="19" t="n"/>
      <c r="U424" s="14" t="n">
        <v>46191</v>
      </c>
      <c r="V424" s="7" t="n"/>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2.04</v>
      </c>
      <c r="C425" s="12" t="inlineStr">
        <is>
          <t>Unspecified</t>
        </is>
      </c>
      <c r="D425" s="8" t="inlineStr">
        <is>
          <t>Python Developer</t>
        </is>
      </c>
      <c r="E425" s="7" t="inlineStr">
        <is>
          <t>Tata Consultancy Services</t>
        </is>
      </c>
      <c r="F425" s="8" t="inlineStr">
        <is>
          <t>England, United Kingdom</t>
        </is>
      </c>
      <c r="G425" s="8" t="n"/>
      <c r="H425" s="14" t="n"/>
      <c r="I425" s="15">
        <f>IF($H425="","",$H425-TODAY())</f>
        <v/>
      </c>
      <c r="J425" s="16" t="inlineStr">
        <is>
          <t>Open posting</t>
        </is>
      </c>
      <c r="K425" s="8" t="n"/>
      <c r="L425" s="17" t="inlineStr">
        <is>
          <t>new</t>
        </is>
      </c>
      <c r="M425" s="18" t="inlineStr"/>
      <c r="N425" s="7" t="inlineStr">
        <is>
          <t>b2e6771ab38aed8161a3dc27708814cd0362db29</t>
        </is>
      </c>
      <c r="O425" s="14" t="n">
        <v>46169</v>
      </c>
      <c r="P425" s="7" t="inlineStr">
        <is>
          <t>jobspy</t>
        </is>
      </c>
      <c r="Q425" s="8" t="inlineStr">
        <is>
          <t>python, git, software development</t>
        </is>
      </c>
      <c r="R425" s="8" t="inlineStr">
        <is>
          <t>Junior Python Developer</t>
        </is>
      </c>
      <c r="S425" s="19" t="n"/>
      <c r="T425" s="19" t="n"/>
      <c r="U425" s="14" t="n">
        <v>46191</v>
      </c>
      <c r="V425" s="7" t="n"/>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2.04</v>
      </c>
      <c r="C426" s="12" t="inlineStr">
        <is>
          <t>Mid-level</t>
        </is>
      </c>
      <c r="D426" s="8" t="inlineStr">
        <is>
          <t>Backend Engineer (Python)</t>
        </is>
      </c>
      <c r="E426" s="7" t="inlineStr">
        <is>
          <t>Skin + Me</t>
        </is>
      </c>
      <c r="F426" s="8" t="inlineStr">
        <is>
          <t>London, England, UK</t>
        </is>
      </c>
      <c r="G426" s="8" t="n"/>
      <c r="H426" s="14" t="n"/>
      <c r="I426" s="15">
        <f>IF($H426="","",$H426-TODAY())</f>
        <v/>
      </c>
      <c r="J426" s="16" t="inlineStr">
        <is>
          <t>Open posting</t>
        </is>
      </c>
      <c r="K426" s="8" t="n"/>
      <c r="L426" s="17" t="inlineStr">
        <is>
          <t>new</t>
        </is>
      </c>
      <c r="M426" s="18" t="inlineStr"/>
      <c r="N426" s="7" t="inlineStr">
        <is>
          <t>03a86d52cbe1bb0119111ba268a5b90609a5ddd8</t>
        </is>
      </c>
      <c r="O426" s="14" t="n">
        <v>46178</v>
      </c>
      <c r="P426" s="7" t="inlineStr">
        <is>
          <t>jobspy</t>
        </is>
      </c>
      <c r="Q426" s="8" t="inlineStr">
        <is>
          <t>python, sql</t>
        </is>
      </c>
      <c r="R426" s="8" t="inlineStr">
        <is>
          <t>Junior Python Developer remote</t>
        </is>
      </c>
      <c r="S426" s="19" t="n"/>
      <c r="T426" s="19" t="n"/>
      <c r="U426" s="14" t="n">
        <v>46191</v>
      </c>
      <c r="V426" s="7" t="n"/>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2.04</v>
      </c>
      <c r="C427" s="12" t="inlineStr">
        <is>
          <t>Junior</t>
        </is>
      </c>
      <c r="D427" s="8" t="inlineStr">
        <is>
          <t>Junior Engineer - UK Only (Brighton) - Studio Based</t>
        </is>
      </c>
      <c r="E427" s="7" t="inlineStr">
        <is>
          <t>FuturLab Ltd</t>
        </is>
      </c>
      <c r="F427" s="8" t="inlineStr">
        <is>
          <t>Brighton, ENG, GB</t>
        </is>
      </c>
      <c r="G427" s="8" t="n"/>
      <c r="H427" s="14" t="n"/>
      <c r="I427" s="15">
        <f>IF($H427="","",$H427-TODAY())</f>
        <v/>
      </c>
      <c r="J427" s="16" t="inlineStr">
        <is>
          <t>Open posting</t>
        </is>
      </c>
      <c r="K427" s="8" t="n"/>
      <c r="L427" s="17" t="inlineStr">
        <is>
          <t>new</t>
        </is>
      </c>
      <c r="M427" s="18" t="inlineStr"/>
      <c r="N427" s="7" t="inlineStr">
        <is>
          <t>d437c4fca51098c9a40d6ec379de21254116d19c</t>
        </is>
      </c>
      <c r="O427" s="14" t="n">
        <v>46190</v>
      </c>
      <c r="P427" s="7" t="inlineStr">
        <is>
          <t>jobspy</t>
        </is>
      </c>
      <c r="Q427" s="8" t="inlineStr">
        <is>
          <t>sql, web development</t>
        </is>
      </c>
      <c r="R427" s="8" t="inlineStr">
        <is>
          <t>Full Stack Developer</t>
        </is>
      </c>
      <c r="S427" s="19" t="n"/>
      <c r="T427" s="19" t="n"/>
      <c r="U427" s="14" t="n">
        <v>46191</v>
      </c>
      <c r="V427" s="7" t="n"/>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2.04</v>
      </c>
      <c r="C428" s="12" t="inlineStr">
        <is>
          <t>Graduate/Entry</t>
        </is>
      </c>
      <c r="D428" s="8" t="inlineStr">
        <is>
          <t>Graduate Software Developer - Summer 2026 Start</t>
        </is>
      </c>
      <c r="E428" s="7" t="inlineStr">
        <is>
          <t>Oliver Bernard</t>
        </is>
      </c>
      <c r="F428" s="8" t="inlineStr">
        <is>
          <t>Newcastle Upon Tyne, England, UK</t>
        </is>
      </c>
      <c r="G428" s="8" t="n"/>
      <c r="H428" s="14" t="n"/>
      <c r="I428" s="15">
        <f>IF($H428="","",$H428-TODAY())</f>
        <v/>
      </c>
      <c r="J428" s="16" t="inlineStr">
        <is>
          <t>Open posting</t>
        </is>
      </c>
      <c r="K428" s="8" t="n"/>
      <c r="L428" s="17" t="inlineStr">
        <is>
          <t>new</t>
        </is>
      </c>
      <c r="M428" s="18" t="inlineStr"/>
      <c r="N428" s="7" t="inlineStr">
        <is>
          <t>b4fa86d4d864b2af8922fb2637061971cae88de5</t>
        </is>
      </c>
      <c r="O428" s="14" t="n">
        <v>46190</v>
      </c>
      <c r="P428" s="7" t="inlineStr">
        <is>
          <t>jobspy</t>
        </is>
      </c>
      <c r="Q428" s="8" t="inlineStr">
        <is>
          <t>python, sql, software development</t>
        </is>
      </c>
      <c r="R428" s="8" t="inlineStr">
        <is>
          <t>entry level Graduate Software Developer</t>
        </is>
      </c>
      <c r="S428" s="19" t="n"/>
      <c r="T428" s="19" t="n"/>
      <c r="U428" s="14" t="n">
        <v>46191</v>
      </c>
      <c r="V428" s="7" t="n"/>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2.04</v>
      </c>
      <c r="C429" s="12" t="inlineStr">
        <is>
          <t>Mid-level</t>
        </is>
      </c>
      <c r="D429" s="8" t="inlineStr">
        <is>
          <t>Full Stack Engineer (Python / React)</t>
        </is>
      </c>
      <c r="E429" s="7" t="inlineStr">
        <is>
          <t>Skin + Me</t>
        </is>
      </c>
      <c r="F429" s="8" t="inlineStr">
        <is>
          <t>London, England, UK</t>
        </is>
      </c>
      <c r="G429" s="8" t="n"/>
      <c r="H429" s="14" t="n"/>
      <c r="I429" s="15">
        <f>IF($H429="","",$H429-TODAY())</f>
        <v/>
      </c>
      <c r="J429" s="16" t="inlineStr">
        <is>
          <t>Open posting</t>
        </is>
      </c>
      <c r="K429" s="8" t="n"/>
      <c r="L429" s="17" t="inlineStr">
        <is>
          <t>new</t>
        </is>
      </c>
      <c r="M429" s="18" t="inlineStr"/>
      <c r="N429" s="7" t="inlineStr">
        <is>
          <t>ce2d98a7fe1aebc888ba6ace34e13824514105d3</t>
        </is>
      </c>
      <c r="O429" s="14" t="n">
        <v>46178</v>
      </c>
      <c r="P429" s="7" t="inlineStr">
        <is>
          <t>jobspy</t>
        </is>
      </c>
      <c r="Q429" s="8" t="inlineStr">
        <is>
          <t>python, sql</t>
        </is>
      </c>
      <c r="R429" s="8" t="inlineStr">
        <is>
          <t>Junior Python Developer remote</t>
        </is>
      </c>
      <c r="S429" s="19" t="n"/>
      <c r="T429" s="19" t="n"/>
      <c r="U429" s="14" t="n">
        <v>46191</v>
      </c>
      <c r="V429" s="7" t="n"/>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2.04</v>
      </c>
      <c r="C430" s="12" t="inlineStr">
        <is>
          <t>Junior</t>
        </is>
      </c>
      <c r="D430" s="8" t="inlineStr">
        <is>
          <t>Full Stack Developer</t>
        </is>
      </c>
      <c r="E430" s="7" t="inlineStr">
        <is>
          <t>ICS-digital</t>
        </is>
      </c>
      <c r="F430" s="8" t="inlineStr">
        <is>
          <t>Leeds, England, UK</t>
        </is>
      </c>
      <c r="G430" s="8" t="n"/>
      <c r="H430" s="14" t="n"/>
      <c r="I430" s="15">
        <f>IF($H430="","",$H430-TODAY())</f>
        <v/>
      </c>
      <c r="J430" s="16" t="inlineStr">
        <is>
          <t>Open posting</t>
        </is>
      </c>
      <c r="K430" s="8" t="n"/>
      <c r="L430" s="17" t="inlineStr">
        <is>
          <t>new</t>
        </is>
      </c>
      <c r="M430" s="18" t="inlineStr"/>
      <c r="N430" s="7" t="inlineStr">
        <is>
          <t>553d9f06f952cc83d7783a8869b5d4871333599a</t>
        </is>
      </c>
      <c r="O430" s="14" t="n">
        <v>46175</v>
      </c>
      <c r="P430" s="7" t="inlineStr">
        <is>
          <t>jobspy</t>
        </is>
      </c>
      <c r="Q430" s="8" t="inlineStr">
        <is>
          <t>javascript, git, software development</t>
        </is>
      </c>
      <c r="R430" s="8" t="inlineStr">
        <is>
          <t>graduate Full Stack Developer</t>
        </is>
      </c>
      <c r="S430" s="19" t="n"/>
      <c r="T430" s="19" t="n"/>
      <c r="U430" s="14" t="n">
        <v>46191</v>
      </c>
      <c r="V430" s="7" t="n"/>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2.04</v>
      </c>
      <c r="C431" s="12" t="inlineStr">
        <is>
          <t>Junior</t>
        </is>
      </c>
      <c r="D431" s="8" t="inlineStr">
        <is>
          <t>Junior Data Engineer</t>
        </is>
      </c>
      <c r="E431" s="7" t="inlineStr">
        <is>
          <t>RealityMine</t>
        </is>
      </c>
      <c r="F431" s="8" t="inlineStr">
        <is>
          <t>Trafford Park, England, UK</t>
        </is>
      </c>
      <c r="G431" s="8" t="n"/>
      <c r="H431" s="14" t="n"/>
      <c r="I431" s="15">
        <f>IF($H431="","",$H431-TODAY())</f>
        <v/>
      </c>
      <c r="J431" s="16" t="inlineStr">
        <is>
          <t>Open posting</t>
        </is>
      </c>
      <c r="K431" s="8" t="n"/>
      <c r="L431" s="17" t="inlineStr">
        <is>
          <t>new</t>
        </is>
      </c>
      <c r="M431" s="18" t="inlineStr"/>
      <c r="N431" s="7" t="inlineStr">
        <is>
          <t>a2674697b86bd3dcb8dcb5a7b65201cf8d4b61e5</t>
        </is>
      </c>
      <c r="O431" s="14" t="n">
        <v>46162</v>
      </c>
      <c r="P431" s="7" t="inlineStr">
        <is>
          <t>jobspy</t>
        </is>
      </c>
      <c r="Q431" s="8" t="inlineStr">
        <is>
          <t>python, sql</t>
        </is>
      </c>
      <c r="R431" s="8" t="inlineStr">
        <is>
          <t>graduate Junior Python Developer</t>
        </is>
      </c>
      <c r="S431" s="19" t="n"/>
      <c r="T431" s="19" t="n"/>
      <c r="U431" s="14" t="n">
        <v>46191</v>
      </c>
      <c r="V431" s="7" t="n"/>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2.04</v>
      </c>
      <c r="C432" s="12" t="inlineStr">
        <is>
          <t>Junior</t>
        </is>
      </c>
      <c r="D432" s="8" t="inlineStr">
        <is>
          <t>Full Stack Developer</t>
        </is>
      </c>
      <c r="E432" s="7" t="inlineStr">
        <is>
          <t>UK IT Networks Limited</t>
        </is>
      </c>
      <c r="F432" s="8" t="inlineStr">
        <is>
          <t>Westcliff-on-Sea, ENG, GB</t>
        </is>
      </c>
      <c r="G432" s="8" t="n"/>
      <c r="H432" s="14" t="n"/>
      <c r="I432" s="15">
        <f>IF($H432="","",$H432-TODAY())</f>
        <v/>
      </c>
      <c r="J432" s="16" t="inlineStr">
        <is>
          <t>Open posting</t>
        </is>
      </c>
      <c r="K432" s="8" t="n"/>
      <c r="L432" s="17" t="inlineStr">
        <is>
          <t>new</t>
        </is>
      </c>
      <c r="M432" s="18" t="inlineStr"/>
      <c r="N432" s="7" t="inlineStr">
        <is>
          <t>cc3a7012e22c1f5b41aae66eae88c5a68b3f3f3d</t>
        </is>
      </c>
      <c r="O432" s="14" t="n">
        <v>46191</v>
      </c>
      <c r="P432" s="7" t="inlineStr">
        <is>
          <t>jobspy</t>
        </is>
      </c>
      <c r="Q432" s="8" t="inlineStr">
        <is>
          <t>sql, javascript</t>
        </is>
      </c>
      <c r="R432" s="8" t="inlineStr">
        <is>
          <t>Full Stack Developer</t>
        </is>
      </c>
      <c r="S432" s="19" t="n"/>
      <c r="T432" s="19" t="n"/>
      <c r="U432" s="14" t="n">
        <v>46191</v>
      </c>
      <c r="V432" s="7" t="n"/>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2.04</v>
      </c>
      <c r="C433" s="12" t="inlineStr">
        <is>
          <t>Junior</t>
        </is>
      </c>
      <c r="D433" s="8" t="inlineStr">
        <is>
          <t>Software Engineer</t>
        </is>
      </c>
      <c r="E433" s="7" t="inlineStr">
        <is>
          <t>Freedman International</t>
        </is>
      </c>
      <c r="F433" s="8" t="inlineStr">
        <is>
          <t>London Area, United Kingdom</t>
        </is>
      </c>
      <c r="G433" s="8" t="n"/>
      <c r="H433" s="14" t="n"/>
      <c r="I433" s="15">
        <f>IF($H433="","",$H433-TODAY())</f>
        <v/>
      </c>
      <c r="J433" s="16" t="inlineStr">
        <is>
          <t>Open posting</t>
        </is>
      </c>
      <c r="K433" s="8" t="n"/>
      <c r="L433" s="17" t="inlineStr">
        <is>
          <t>new</t>
        </is>
      </c>
      <c r="M433" s="18" t="inlineStr"/>
      <c r="N433" s="7" t="inlineStr">
        <is>
          <t>16043f5714ee51380f5a36f58a3fa724a505bd6b</t>
        </is>
      </c>
      <c r="O433" s="14" t="n">
        <v>46177</v>
      </c>
      <c r="P433" s="7" t="inlineStr">
        <is>
          <t>jobspy</t>
        </is>
      </c>
      <c r="Q433" s="8" t="inlineStr">
        <is>
          <t>python, javascript, git</t>
        </is>
      </c>
      <c r="R433" s="8" t="inlineStr">
        <is>
          <t>Junior Python Developer</t>
        </is>
      </c>
      <c r="S433" s="19" t="n"/>
      <c r="T433" s="19" t="n"/>
      <c r="U433" s="14" t="n">
        <v>46191</v>
      </c>
      <c r="V433" s="7" t="n"/>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2.04</v>
      </c>
      <c r="C434" s="12" t="inlineStr">
        <is>
          <t>Internship</t>
        </is>
      </c>
      <c r="D434" s="8" t="inlineStr">
        <is>
          <t>Internship Programme 2027: Software Engineer (Python)</t>
        </is>
      </c>
      <c r="E434" s="7" t="inlineStr">
        <is>
          <t>hackajob</t>
        </is>
      </c>
      <c r="F434" s="8" t="inlineStr"/>
      <c r="G434" s="8" t="n"/>
      <c r="H434" s="14" t="n"/>
      <c r="I434" s="15">
        <f>IF($H434="","",$H434-TODAY())</f>
        <v/>
      </c>
      <c r="J434" s="16" t="inlineStr">
        <is>
          <t>Open posting</t>
        </is>
      </c>
      <c r="K434" s="8" t="n"/>
      <c r="L434" s="17" t="inlineStr">
        <is>
          <t>new</t>
        </is>
      </c>
      <c r="M434" s="18" t="inlineStr"/>
      <c r="N434" s="7" t="inlineStr">
        <is>
          <t>c16970522e239f4b98bea7c5c89934a640f4d119</t>
        </is>
      </c>
      <c r="O434" s="14" t="n">
        <v>46186</v>
      </c>
      <c r="P434" s="7" t="inlineStr">
        <is>
          <t>jobspy</t>
        </is>
      </c>
      <c r="Q434" s="8" t="inlineStr">
        <is>
          <t>python, sql</t>
        </is>
      </c>
      <c r="R434" s="8" t="inlineStr">
        <is>
          <t>graduate Junior Python Developer</t>
        </is>
      </c>
      <c r="S434" s="19" t="n"/>
      <c r="T434" s="19" t="n"/>
      <c r="U434" s="14" t="n">
        <v>46191</v>
      </c>
      <c r="V434" s="7" t="n"/>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2.04</v>
      </c>
      <c r="C435" s="12" t="inlineStr">
        <is>
          <t>Internship</t>
        </is>
      </c>
      <c r="D435" s="8" t="inlineStr">
        <is>
          <t>Internship Programme 2027: Software Engineer (Python)</t>
        </is>
      </c>
      <c r="E435" s="7" t="inlineStr">
        <is>
          <t>Revolut</t>
        </is>
      </c>
      <c r="F435" s="8" t="inlineStr"/>
      <c r="G435" s="8" t="n"/>
      <c r="H435" s="14" t="n"/>
      <c r="I435" s="15">
        <f>IF($H435="","",$H435-TODAY())</f>
        <v/>
      </c>
      <c r="J435" s="16" t="inlineStr">
        <is>
          <t>Open posting</t>
        </is>
      </c>
      <c r="K435" s="8" t="n"/>
      <c r="L435" s="17" t="inlineStr">
        <is>
          <t>new</t>
        </is>
      </c>
      <c r="M435" s="18" t="inlineStr"/>
      <c r="N435" s="7" t="inlineStr">
        <is>
          <t>4dd340a8c3fd2c078aa00742992f9b925a7a3d33</t>
        </is>
      </c>
      <c r="O435" s="14" t="n">
        <v>46170</v>
      </c>
      <c r="P435" s="7" t="inlineStr">
        <is>
          <t>jobspy</t>
        </is>
      </c>
      <c r="Q435" s="8" t="inlineStr">
        <is>
          <t>python, sql</t>
        </is>
      </c>
      <c r="R435" s="8" t="inlineStr">
        <is>
          <t>graduate Junior Python Developer</t>
        </is>
      </c>
      <c r="S435" s="19" t="n"/>
      <c r="T435" s="19" t="n"/>
      <c r="U435" s="14" t="n">
        <v>46191</v>
      </c>
      <c r="V435" s="7" t="n"/>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2.04</v>
      </c>
      <c r="C436" s="12" t="inlineStr">
        <is>
          <t>Junior</t>
        </is>
      </c>
      <c r="D436" s="8" t="inlineStr">
        <is>
          <t>Front-End Developer</t>
        </is>
      </c>
      <c r="E436" s="7" t="inlineStr">
        <is>
          <t>Morgan Hunt</t>
        </is>
      </c>
      <c r="F436" s="8" t="inlineStr">
        <is>
          <t>City Of London, England, UK</t>
        </is>
      </c>
      <c r="G436" s="8" t="n"/>
      <c r="H436" s="14" t="n"/>
      <c r="I436" s="15">
        <f>IF($H436="","",$H436-TODAY())</f>
        <v/>
      </c>
      <c r="J436" s="16" t="inlineStr">
        <is>
          <t>Open posting</t>
        </is>
      </c>
      <c r="K436" s="8" t="n"/>
      <c r="L436" s="17" t="inlineStr">
        <is>
          <t>new</t>
        </is>
      </c>
      <c r="M436" s="18" t="inlineStr"/>
      <c r="N436" s="7" t="inlineStr">
        <is>
          <t>59f3a82bc8f1881fb5c38061d7d49f36596f35c2</t>
        </is>
      </c>
      <c r="O436" s="14" t="n"/>
      <c r="P436" s="7" t="inlineStr">
        <is>
          <t>jobspy</t>
        </is>
      </c>
      <c r="Q436" s="8" t="inlineStr">
        <is>
          <t>git, software development</t>
        </is>
      </c>
      <c r="R436" s="8" t="inlineStr">
        <is>
          <t>junior Full Stack Developer</t>
        </is>
      </c>
      <c r="S436" s="19" t="n"/>
      <c r="T436" s="19" t="n"/>
      <c r="U436" s="14" t="n">
        <v>46191</v>
      </c>
      <c r="V436" s="7" t="n"/>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2.04</v>
      </c>
      <c r="C437" s="12" t="inlineStr">
        <is>
          <t>Unspecified</t>
        </is>
      </c>
      <c r="D437" s="8" t="inlineStr">
        <is>
          <t>Full Stack Engineer</t>
        </is>
      </c>
      <c r="E437" s="7" t="inlineStr">
        <is>
          <t>develop</t>
        </is>
      </c>
      <c r="F437" s="8" t="inlineStr">
        <is>
          <t>Southampton, England, UK</t>
        </is>
      </c>
      <c r="G437" s="8" t="n"/>
      <c r="H437" s="14" t="n"/>
      <c r="I437" s="15">
        <f>IF($H437="","",$H437-TODAY())</f>
        <v/>
      </c>
      <c r="J437" s="16" t="inlineStr">
        <is>
          <t>Open posting</t>
        </is>
      </c>
      <c r="K437" s="8" t="n"/>
      <c r="L437" s="17" t="inlineStr">
        <is>
          <t>new</t>
        </is>
      </c>
      <c r="M437" s="18" t="inlineStr"/>
      <c r="N437" s="7" t="inlineStr">
        <is>
          <t>03b63adf538809bae96a962bdf0b5b1aa1c98bdc</t>
        </is>
      </c>
      <c r="O437" s="14" t="n">
        <v>46174</v>
      </c>
      <c r="P437" s="7" t="inlineStr">
        <is>
          <t>jobspy</t>
        </is>
      </c>
      <c r="Q437" s="8" t="inlineStr">
        <is>
          <t>sql</t>
        </is>
      </c>
      <c r="R437" s="8" t="inlineStr">
        <is>
          <t>Full Stack Developer</t>
        </is>
      </c>
      <c r="S437" s="19" t="n"/>
      <c r="T437" s="19" t="n"/>
      <c r="U437" s="14" t="n">
        <v>46191</v>
      </c>
      <c r="V437" s="7" t="n"/>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2</v>
      </c>
      <c r="C438" s="12" t="inlineStr">
        <is>
          <t>Mid-level</t>
        </is>
      </c>
      <c r="D438" s="8" t="inlineStr">
        <is>
          <t>Python Developer - Quant Infrastructure Engineer</t>
        </is>
      </c>
      <c r="E438" s="7" t="inlineStr">
        <is>
          <t>Quanteam UK</t>
        </is>
      </c>
      <c r="F438" s="8" t="inlineStr">
        <is>
          <t>London Area, United Kingdom</t>
        </is>
      </c>
      <c r="G438" s="8" t="n"/>
      <c r="H438" s="14" t="n"/>
      <c r="I438" s="15">
        <f>IF($H438="","",$H438-TODAY())</f>
        <v/>
      </c>
      <c r="J438" s="16" t="inlineStr">
        <is>
          <t>Open posting</t>
        </is>
      </c>
      <c r="K438" s="8" t="inlineStr">
        <is>
          <t>Requires 7+ years in quant/banking infrastructure; far above candidate's experience level despite Docker/Kubernetes overlap.</t>
        </is>
      </c>
      <c r="L438" s="17" t="inlineStr">
        <is>
          <t>new</t>
        </is>
      </c>
      <c r="M438" s="18" t="inlineStr"/>
      <c r="N438" s="7" t="inlineStr">
        <is>
          <t>6a679f715dbf08a9ea373421d0e82101872fd943</t>
        </is>
      </c>
      <c r="O438" s="14" t="n">
        <v>46181</v>
      </c>
      <c r="P438" s="7" t="inlineStr">
        <is>
          <t>jobspy</t>
        </is>
      </c>
      <c r="Q438" s="8" t="inlineStr">
        <is>
          <t>Docker, Kubernetes, Python, SQL, CI/CD</t>
        </is>
      </c>
      <c r="R438" s="8" t="inlineStr">
        <is>
          <t>Junior Python Developer backend Docker Kubernetes</t>
        </is>
      </c>
      <c r="S438" s="19" t="n"/>
      <c r="T438" s="19" t="n"/>
      <c r="U438" s="14" t="n">
        <v>46196</v>
      </c>
      <c r="V438" s="7" t="inlineStr">
        <is>
          <t>v2-cv-accuracy-13b988b18da8ea7d</t>
        </is>
      </c>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2</v>
      </c>
      <c r="C439" s="12" t="inlineStr">
        <is>
          <t>Unspecified</t>
        </is>
      </c>
      <c r="D439" s="8" t="inlineStr">
        <is>
          <t>DevOps Engineer</t>
        </is>
      </c>
      <c r="E439" s="7" t="inlineStr">
        <is>
          <t>MPS - Motion Picture Solutions</t>
        </is>
      </c>
      <c r="F439" s="8" t="inlineStr">
        <is>
          <t>London, England, UK</t>
        </is>
      </c>
      <c r="G439" s="8" t="n"/>
      <c r="H439" s="14" t="n"/>
      <c r="I439" s="15">
        <f>IF($H439="","",$H439-TODAY())</f>
        <v/>
      </c>
      <c r="J439" s="16" t="inlineStr">
        <is>
          <t>Open posting</t>
        </is>
      </c>
      <c r="K439" s="8" t="inlineStr">
        <is>
          <t>Requires 5+ years Linux/DevOps experience and IaC tools not in profile; well above candidate's experience level.</t>
        </is>
      </c>
      <c r="L439" s="17" t="inlineStr">
        <is>
          <t>new</t>
        </is>
      </c>
      <c r="M439" s="18" t="inlineStr"/>
      <c r="N439" s="7" t="inlineStr">
        <is>
          <t>96b19292919e9cf86aef2289b22068f48ca6ab41</t>
        </is>
      </c>
      <c r="O439" s="14" t="n">
        <v>46191</v>
      </c>
      <c r="P439" s="7" t="inlineStr">
        <is>
          <t>jobspy</t>
        </is>
      </c>
      <c r="Q439" s="8" t="inlineStr">
        <is>
          <t>Docker, Kubernetes, Linux</t>
        </is>
      </c>
      <c r="R439" s="8" t="inlineStr">
        <is>
          <t>Platform Engineer graduate Python Docker remote</t>
        </is>
      </c>
      <c r="S439" s="19" t="n"/>
      <c r="T439" s="19" t="n"/>
      <c r="U439" s="14" t="n">
        <v>46195</v>
      </c>
      <c r="V439" s="7" t="inlineStr">
        <is>
          <t>v2-cv-accuracy-13b988b18da8ea7d</t>
        </is>
      </c>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2</v>
      </c>
      <c r="C440" s="12" t="inlineStr">
        <is>
          <t>Unspecified</t>
        </is>
      </c>
      <c r="D440" s="8" t="inlineStr">
        <is>
          <t>Site Reliability Engineer</t>
        </is>
      </c>
      <c r="E440" s="7" t="inlineStr">
        <is>
          <t>MPS - Motion Picture Solutions</t>
        </is>
      </c>
      <c r="F440" s="8" t="inlineStr">
        <is>
          <t>London, England, UK</t>
        </is>
      </c>
      <c r="G440" s="8" t="n"/>
      <c r="H440" s="14" t="n"/>
      <c r="I440" s="15">
        <f>IF($H440="","",$H440-TODAY())</f>
        <v/>
      </c>
      <c r="J440" s="16" t="inlineStr">
        <is>
          <t>Open posting</t>
        </is>
      </c>
      <c r="K440" s="8" t="inlineStr">
        <is>
          <t>Requires 5+ years Linux/SRE experience, Puppet/Terraform/IaC, well above candidate's level despite some Docker/Kubernetes overlap.</t>
        </is>
      </c>
      <c r="L440" s="17" t="inlineStr">
        <is>
          <t>new</t>
        </is>
      </c>
      <c r="M440" s="18" t="inlineStr"/>
      <c r="N440" s="7" t="inlineStr">
        <is>
          <t>fc37f825f769cfdcdca2c7ae7058990f429856dd</t>
        </is>
      </c>
      <c r="O440" s="14" t="n">
        <v>46182</v>
      </c>
      <c r="P440" s="7" t="inlineStr">
        <is>
          <t>jobspy</t>
        </is>
      </c>
      <c r="Q440" s="8" t="inlineStr">
        <is>
          <t>Docker, Kubernetes, MySQL, Linux</t>
        </is>
      </c>
      <c r="R440" s="8" t="inlineStr">
        <is>
          <t>Platform Engineer graduate Python Docker remote</t>
        </is>
      </c>
      <c r="S440" s="19" t="n"/>
      <c r="T440" s="19" t="n"/>
      <c r="U440" s="14" t="n">
        <v>46195</v>
      </c>
      <c r="V440" s="7" t="inlineStr">
        <is>
          <t>v2-cv-accuracy-13b988b18da8ea7d</t>
        </is>
      </c>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2</v>
      </c>
      <c r="C441" s="12" t="inlineStr">
        <is>
          <t>Mid-level</t>
        </is>
      </c>
      <c r="D441" s="8" t="inlineStr">
        <is>
          <t>Python Engineer (Hybrid in London)</t>
        </is>
      </c>
      <c r="E441" s="7" t="inlineStr">
        <is>
          <t>Signify Technology</t>
        </is>
      </c>
      <c r="F441" s="8" t="inlineStr">
        <is>
          <t>London, England, UK</t>
        </is>
      </c>
      <c r="G441" s="8" t="n"/>
      <c r="H441" s="14" t="n"/>
      <c r="I441" s="15">
        <f>IF($H441="","",$H441-TODAY())</f>
        <v/>
      </c>
      <c r="J441" s="16" t="inlineStr">
        <is>
          <t>Open posting</t>
        </is>
      </c>
      <c r="K441" s="8" t="inlineStr">
        <is>
          <t>Requires 4+ years and FinTech industry experience; candidate lacks both seniority and domain background.</t>
        </is>
      </c>
      <c r="L441" s="17" t="inlineStr">
        <is>
          <t>new</t>
        </is>
      </c>
      <c r="M441" s="18" t="inlineStr"/>
      <c r="N441" s="7" t="inlineStr">
        <is>
          <t>0e040c8b99f12c3def6f70a2fec8ff72e23d5411</t>
        </is>
      </c>
      <c r="O441" s="14" t="n">
        <v>46187</v>
      </c>
      <c r="P441" s="7" t="inlineStr">
        <is>
          <t>jobspy</t>
        </is>
      </c>
      <c r="Q441" s="8" t="inlineStr">
        <is>
          <t>Python, SQL, Git, Docker, Kubernetes</t>
        </is>
      </c>
      <c r="R441" s="8" t="inlineStr">
        <is>
          <t>Junior Python Developer SQL Docker</t>
        </is>
      </c>
      <c r="S441" s="19" t="n"/>
      <c r="T441" s="19" t="n"/>
      <c r="U441" s="14" t="n">
        <v>46193</v>
      </c>
      <c r="V441" s="7" t="inlineStr">
        <is>
          <t>v2-cv-accuracy-13b988b18da8ea7d</t>
        </is>
      </c>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2</v>
      </c>
      <c r="C442" s="12" t="inlineStr">
        <is>
          <t>Mid-level</t>
        </is>
      </c>
      <c r="D442" s="8" t="inlineStr">
        <is>
          <t>Data Engineer</t>
        </is>
      </c>
      <c r="E442" s="7" t="inlineStr">
        <is>
          <t>Computappoint</t>
        </is>
      </c>
      <c r="F442" s="8" t="inlineStr">
        <is>
          <t>City Of London, England, UK</t>
        </is>
      </c>
      <c r="G442" s="8" t="n"/>
      <c r="H442" s="14" t="n"/>
      <c r="I442" s="15">
        <f>IF($H442="","",$H442-TODAY())</f>
        <v/>
      </c>
      <c r="J442" s="16" t="inlineStr">
        <is>
          <t>Open posting</t>
        </is>
      </c>
      <c r="K442" s="8" t="inlineStr">
        <is>
          <t>Title includes 'Senior', requires 5+ years, City of London contract; major seniority, experience, and location mismatches.</t>
        </is>
      </c>
      <c r="L442" s="17" t="inlineStr">
        <is>
          <t>new</t>
        </is>
      </c>
      <c r="M442" s="18" t="inlineStr"/>
      <c r="N442" s="7" t="inlineStr">
        <is>
          <t>b4686209d693171bac20badfd158ed8754322e6b</t>
        </is>
      </c>
      <c r="O442" s="14" t="n">
        <v>46185</v>
      </c>
      <c r="P442" s="7" t="inlineStr">
        <is>
          <t>jobspy</t>
        </is>
      </c>
      <c r="Q442" s="8" t="inlineStr">
        <is>
          <t>Python, SQL, Docker, Kubernetes</t>
        </is>
      </c>
      <c r="R442" s="8" t="inlineStr">
        <is>
          <t>Graduate Data Engineer SQL Python pipeline</t>
        </is>
      </c>
      <c r="S442" s="19" t="n"/>
      <c r="T442" s="19" t="n"/>
      <c r="U442" s="14" t="n">
        <v>46192</v>
      </c>
      <c r="V442" s="7" t="inlineStr">
        <is>
          <t>v2-cv-accuracy-13b988b18da8ea7d</t>
        </is>
      </c>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1.94</v>
      </c>
      <c r="C443" s="12" t="inlineStr">
        <is>
          <t>Mid-level</t>
        </is>
      </c>
      <c r="D443" s="8" t="inlineStr">
        <is>
          <t>Software Engineer (Python/Data)</t>
        </is>
      </c>
      <c r="E443" s="7" t="inlineStr">
        <is>
          <t>YLD</t>
        </is>
      </c>
      <c r="F443" s="8" t="inlineStr"/>
      <c r="G443" s="8" t="n"/>
      <c r="H443" s="14" t="n"/>
      <c r="I443" s="15">
        <f>IF($H443="","",$H443-TODAY())</f>
        <v/>
      </c>
      <c r="J443" s="16" t="inlineStr">
        <is>
          <t>Open posting</t>
        </is>
      </c>
      <c r="K443" s="8" t="inlineStr">
        <is>
          <t>filtered by keyword pre-scan</t>
        </is>
      </c>
      <c r="L443" s="17" t="inlineStr">
        <is>
          <t>new</t>
        </is>
      </c>
      <c r="M443" s="18" t="inlineStr"/>
      <c r="N443" s="7" t="inlineStr">
        <is>
          <t>20e928d61099ff33acc64e91cdfe1fbe1a353f2f</t>
        </is>
      </c>
      <c r="O443" s="14" t="n"/>
      <c r="P443" s="7" t="inlineStr">
        <is>
          <t>jobspy</t>
        </is>
      </c>
      <c r="Q443" s="8" t="inlineStr">
        <is>
          <t>python, docker, kubernetes, git, c</t>
        </is>
      </c>
      <c r="R443" s="8" t="inlineStr">
        <is>
          <t>Graduate Software Engineer Python Docker Kubernetes</t>
        </is>
      </c>
      <c r="S443" s="19" t="n"/>
      <c r="T443" s="19" t="n"/>
      <c r="U443" s="14" t="n">
        <v>46198</v>
      </c>
      <c r="V443" s="7" t="inlineStr">
        <is>
          <t>v2-cv-accuracy-13b988b18da8ea7d</t>
        </is>
      </c>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1.94</v>
      </c>
      <c r="C444" s="12" t="inlineStr">
        <is>
          <t>Mid-level</t>
        </is>
      </c>
      <c r="D444" s="8" t="inlineStr">
        <is>
          <t>Backend Engineer</t>
        </is>
      </c>
      <c r="E444" s="7" t="inlineStr">
        <is>
          <t>Zuma Labs</t>
        </is>
      </c>
      <c r="F444" s="8" t="inlineStr">
        <is>
          <t>London Area, United Kingdom</t>
        </is>
      </c>
      <c r="G444" s="8" t="n"/>
      <c r="H444" s="14" t="n"/>
      <c r="I444" s="15">
        <f>IF($H444="","",$H444-TODAY())</f>
        <v/>
      </c>
      <c r="J444" s="16" t="inlineStr">
        <is>
          <t>Open posting</t>
        </is>
      </c>
      <c r="K444" s="8" t="inlineStr">
        <is>
          <t>filtered by keyword pre-scan</t>
        </is>
      </c>
      <c r="L444" s="17" t="inlineStr">
        <is>
          <t>new</t>
        </is>
      </c>
      <c r="M444" s="18" t="inlineStr"/>
      <c r="N444" s="7" t="inlineStr">
        <is>
          <t>ae556e07cdee86998982d56c7ff967a631ec57cd</t>
        </is>
      </c>
      <c r="O444" s="14" t="n">
        <v>46196</v>
      </c>
      <c r="P444" s="7" t="inlineStr">
        <is>
          <t>jobspy</t>
        </is>
      </c>
      <c r="Q444" s="8" t="inlineStr">
        <is>
          <t>python, docker, kubernetes, git, c</t>
        </is>
      </c>
      <c r="R444" s="8" t="inlineStr">
        <is>
          <t>Junior Python Developer backend Docker Kubernetes</t>
        </is>
      </c>
      <c r="S444" s="19" t="n"/>
      <c r="T444" s="19" t="n"/>
      <c r="U444" s="14" t="n">
        <v>46198</v>
      </c>
      <c r="V444" s="7" t="inlineStr">
        <is>
          <t>v2-cv-accuracy-13b988b18da8ea7d</t>
        </is>
      </c>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1.94</v>
      </c>
      <c r="C445" s="12" t="inlineStr">
        <is>
          <t>Unspecified</t>
        </is>
      </c>
      <c r="D445" s="8" t="inlineStr">
        <is>
          <t>Embedded Software Engineer</t>
        </is>
      </c>
      <c r="E445" s="7" t="inlineStr">
        <is>
          <t>Matchtech</t>
        </is>
      </c>
      <c r="F445" s="8" t="inlineStr">
        <is>
          <t>Essex, England, UK</t>
        </is>
      </c>
      <c r="G445" s="8" t="n"/>
      <c r="H445" s="14" t="n"/>
      <c r="I445" s="15">
        <f>IF($H445="","",$H445-TODAY())</f>
        <v/>
      </c>
      <c r="J445" s="16" t="inlineStr">
        <is>
          <t>Open posting</t>
        </is>
      </c>
      <c r="K445" s="8" t="inlineStr">
        <is>
          <t>filtered by keyword pre-scan</t>
        </is>
      </c>
      <c r="L445" s="17" t="inlineStr">
        <is>
          <t>new</t>
        </is>
      </c>
      <c r="M445" s="18" t="inlineStr"/>
      <c r="N445" s="7" t="inlineStr">
        <is>
          <t>d812c1b07bcf6738819fc634a863749d5fde8be6</t>
        </is>
      </c>
      <c r="O445" s="14" t="n"/>
      <c r="P445" s="7" t="inlineStr">
        <is>
          <t>jobspy</t>
        </is>
      </c>
      <c r="Q445" s="8" t="inlineStr">
        <is>
          <t>python, fpga, c, embedded systems, dsp</t>
        </is>
      </c>
      <c r="R445" s="8" t="inlineStr">
        <is>
          <t>Junior Embedded Software Engineer C Python</t>
        </is>
      </c>
      <c r="S445" s="19" t="n"/>
      <c r="T445" s="19" t="n"/>
      <c r="U445" s="14" t="n">
        <v>46197</v>
      </c>
      <c r="V445" s="7" t="inlineStr">
        <is>
          <t>v2-cv-accuracy-13b988b18da8ea7d</t>
        </is>
      </c>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1.94</v>
      </c>
      <c r="C446" s="12" t="inlineStr">
        <is>
          <t>Junior</t>
        </is>
      </c>
      <c r="D446" s="8" t="inlineStr">
        <is>
          <t>Full Stack Developer (Java / Python / Go)</t>
        </is>
      </c>
      <c r="E446" s="7" t="inlineStr">
        <is>
          <t>Deloitte</t>
        </is>
      </c>
      <c r="F446" s="8" t="inlineStr">
        <is>
          <t>Belfast, Northern Ireland, UK</t>
        </is>
      </c>
      <c r="G446" s="8" t="n"/>
      <c r="H446" s="14" t="n"/>
      <c r="I446" s="15">
        <f>IF($H446="","",$H446-TODAY())</f>
        <v/>
      </c>
      <c r="J446" s="16" t="inlineStr">
        <is>
          <t>Open posting</t>
        </is>
      </c>
      <c r="K446" s="8" t="inlineStr">
        <is>
          <t>filtered by keyword pre-scan</t>
        </is>
      </c>
      <c r="L446" s="17" t="inlineStr">
        <is>
          <t>new</t>
        </is>
      </c>
      <c r="M446" s="18" t="inlineStr"/>
      <c r="N446" s="7" t="inlineStr">
        <is>
          <t>9ddcc02c41b2db7772be934e39a24f1fa8b7b9e8</t>
        </is>
      </c>
      <c r="O446" s="14" t="n"/>
      <c r="P446" s="7" t="inlineStr">
        <is>
          <t>jobspy</t>
        </is>
      </c>
      <c r="Q446" s="8" t="inlineStr">
        <is>
          <t>python, docker, kubernetes, c, backend development</t>
        </is>
      </c>
      <c r="R446" s="8" t="inlineStr">
        <is>
          <t>Junior Python Developer backend Docker Kubernetes</t>
        </is>
      </c>
      <c r="S446" s="19" t="n"/>
      <c r="T446" s="19" t="n"/>
      <c r="U446" s="14" t="n">
        <v>46196</v>
      </c>
      <c r="V446" s="7" t="inlineStr">
        <is>
          <t>v2-cv-accuracy-13b988b18da8ea7d</t>
        </is>
      </c>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1.94</v>
      </c>
      <c r="C447" s="12" t="inlineStr">
        <is>
          <t>Internship</t>
        </is>
      </c>
      <c r="D447" s="8" t="inlineStr">
        <is>
          <t>AI Engineer Intern - AI/ML/GenAI Design &amp; Development</t>
        </is>
      </c>
      <c r="E447" s="7" t="inlineStr">
        <is>
          <t>Product Manager Accelerator</t>
        </is>
      </c>
      <c r="F447" s="8" t="inlineStr"/>
      <c r="G447" s="8" t="n"/>
      <c r="H447" s="14" t="n"/>
      <c r="I447" s="15">
        <f>IF($H447="","",$H447-TODAY())</f>
        <v/>
      </c>
      <c r="J447" s="16" t="inlineStr">
        <is>
          <t>Open posting</t>
        </is>
      </c>
      <c r="K447" s="8" t="inlineStr">
        <is>
          <t>filtered by keyword pre-scan</t>
        </is>
      </c>
      <c r="L447" s="17" t="inlineStr">
        <is>
          <t>new</t>
        </is>
      </c>
      <c r="M447" s="18" t="inlineStr"/>
      <c r="N447" s="7" t="inlineStr">
        <is>
          <t>7a645d1d33c1f71dd151aef9e978c94bb06d8d3b</t>
        </is>
      </c>
      <c r="O447" s="14" t="n">
        <v>46183</v>
      </c>
      <c r="P447" s="7" t="inlineStr">
        <is>
          <t>jobspy</t>
        </is>
      </c>
      <c r="Q447" s="8" t="inlineStr">
        <is>
          <t>python, api integration, git, c, javascript</t>
        </is>
      </c>
      <c r="R447" s="8" t="inlineStr">
        <is>
          <t>Graduate Software Engineer Python JavaScript remote</t>
        </is>
      </c>
      <c r="S447" s="19" t="n"/>
      <c r="T447" s="19" t="n"/>
      <c r="U447" s="14" t="n">
        <v>46196</v>
      </c>
      <c r="V447" s="7" t="inlineStr">
        <is>
          <t>v2-cv-accuracy-13b988b18da8ea7d</t>
        </is>
      </c>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1.94</v>
      </c>
      <c r="C448" s="12" t="inlineStr">
        <is>
          <t>Unspecified</t>
        </is>
      </c>
      <c r="D448" s="8" t="inlineStr">
        <is>
          <t>Software Engineer</t>
        </is>
      </c>
      <c r="E448" s="7" t="inlineStr">
        <is>
          <t>microTECH Global LTD</t>
        </is>
      </c>
      <c r="F448" s="8" t="inlineStr">
        <is>
          <t>Cambridge, England, UK</t>
        </is>
      </c>
      <c r="G448" s="8" t="n"/>
      <c r="H448" s="14" t="n"/>
      <c r="I448" s="15">
        <f>IF($H448="","",$H448-TODAY())</f>
        <v/>
      </c>
      <c r="J448" s="16" t="inlineStr">
        <is>
          <t>Open posting</t>
        </is>
      </c>
      <c r="K448" s="8" t="inlineStr">
        <is>
          <t>filtered by keyword pre-scan</t>
        </is>
      </c>
      <c r="L448" s="17" t="inlineStr">
        <is>
          <t>new</t>
        </is>
      </c>
      <c r="M448" s="18" t="inlineStr"/>
      <c r="N448" s="7" t="inlineStr">
        <is>
          <t>c2ca1c762f4a137ff997b7e48468936f27eceeea</t>
        </is>
      </c>
      <c r="O448" s="14" t="n">
        <v>46176</v>
      </c>
      <c r="P448" s="7" t="inlineStr">
        <is>
          <t>jobspy</t>
        </is>
      </c>
      <c r="Q448" s="8" t="inlineStr">
        <is>
          <t>python, vivado, docker, git, c</t>
        </is>
      </c>
      <c r="R448" s="8" t="inlineStr">
        <is>
          <t>Graduate Software Engineer Python embedded</t>
        </is>
      </c>
      <c r="S448" s="19" t="n"/>
      <c r="T448" s="19" t="n"/>
      <c r="U448" s="14" t="n">
        <v>46195</v>
      </c>
      <c r="V448" s="7" t="inlineStr">
        <is>
          <t>v2-cv-accuracy-13b988b18da8ea7d</t>
        </is>
      </c>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1.94</v>
      </c>
      <c r="C449" s="12" t="inlineStr">
        <is>
          <t>Graduate/Entry</t>
        </is>
      </c>
      <c r="D449" s="8" t="inlineStr">
        <is>
          <t>Entry Level - Site Reliability Engineer - (Remote - United Kingdom)</t>
        </is>
      </c>
      <c r="E449" s="7" t="inlineStr">
        <is>
          <t>Yelp</t>
        </is>
      </c>
      <c r="F449" s="8" t="inlineStr">
        <is>
          <t>Glasgow, Scotland, UK</t>
        </is>
      </c>
      <c r="G449" s="8" t="n"/>
      <c r="H449" s="14" t="n"/>
      <c r="I449" s="15">
        <f>IF($H449="","",$H449-TODAY())</f>
        <v/>
      </c>
      <c r="J449" s="16" t="inlineStr">
        <is>
          <t>Open posting</t>
        </is>
      </c>
      <c r="K449" s="8" t="inlineStr">
        <is>
          <t>filtered by keyword pre-scan</t>
        </is>
      </c>
      <c r="L449" s="17" t="inlineStr">
        <is>
          <t>new</t>
        </is>
      </c>
      <c r="M449" s="18" t="inlineStr"/>
      <c r="N449" s="7" t="inlineStr">
        <is>
          <t>7d615f3ea0eba09d01e297d53d64ffb5d4383b75</t>
        </is>
      </c>
      <c r="O449" s="14" t="n">
        <v>46179</v>
      </c>
      <c r="P449" s="7" t="inlineStr">
        <is>
          <t>jobspy</t>
        </is>
      </c>
      <c r="Q449" s="8" t="inlineStr">
        <is>
          <t>python, docker, kubernetes, git, c</t>
        </is>
      </c>
      <c r="R449" s="8" t="inlineStr">
        <is>
          <t>Graduate DevOps Engineer Docker Kubernetes Git</t>
        </is>
      </c>
      <c r="S449" s="19" t="n"/>
      <c r="T449" s="19" t="n"/>
      <c r="U449" s="14" t="n">
        <v>46195</v>
      </c>
      <c r="V449" s="7" t="inlineStr">
        <is>
          <t>v2-cv-accuracy-13b988b18da8ea7d</t>
        </is>
      </c>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1.94</v>
      </c>
      <c r="C450" s="12" t="inlineStr">
        <is>
          <t>Junior</t>
        </is>
      </c>
      <c r="D450" s="8" t="inlineStr">
        <is>
          <t>AWS DevOps Engineer - eSC or eDV Cleared</t>
        </is>
      </c>
      <c r="E450" s="7" t="inlineStr">
        <is>
          <t>IBM</t>
        </is>
      </c>
      <c r="F450" s="8" t="inlineStr">
        <is>
          <t>Hursley, England, UK</t>
        </is>
      </c>
      <c r="G450" s="8" t="n"/>
      <c r="H450" s="14" t="n"/>
      <c r="I450" s="15">
        <f>IF($H450="","",$H450-TODAY())</f>
        <v/>
      </c>
      <c r="J450" s="16" t="inlineStr">
        <is>
          <t>Open posting</t>
        </is>
      </c>
      <c r="K450" s="8" t="inlineStr">
        <is>
          <t>filtered by keyword pre-scan</t>
        </is>
      </c>
      <c r="L450" s="17" t="inlineStr">
        <is>
          <t>new</t>
        </is>
      </c>
      <c r="M450" s="18" t="inlineStr"/>
      <c r="N450" s="7" t="inlineStr">
        <is>
          <t>86fe232d1671f573d599bfe21f5b1a7e82cb67f3</t>
        </is>
      </c>
      <c r="O450" s="14" t="n">
        <v>46177</v>
      </c>
      <c r="P450" s="7" t="inlineStr">
        <is>
          <t>jobspy</t>
        </is>
      </c>
      <c r="Q450" s="8" t="inlineStr">
        <is>
          <t>python, docker, kubernetes, git, c</t>
        </is>
      </c>
      <c r="R450" s="8" t="inlineStr">
        <is>
          <t>Graduate DevOps Engineer Docker Kubernetes Git</t>
        </is>
      </c>
      <c r="S450" s="19" t="n"/>
      <c r="T450" s="19" t="n"/>
      <c r="U450" s="14" t="n">
        <v>46195</v>
      </c>
      <c r="V450" s="7" t="inlineStr">
        <is>
          <t>v2-cv-accuracy-13b988b18da8ea7d</t>
        </is>
      </c>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1.94</v>
      </c>
      <c r="C451" s="12" t="inlineStr">
        <is>
          <t>Mid-level</t>
        </is>
      </c>
      <c r="D451" s="8" t="inlineStr">
        <is>
          <t>Data Engineer</t>
        </is>
      </c>
      <c r="E451" s="7" t="inlineStr">
        <is>
          <t>Glocomms</t>
        </is>
      </c>
      <c r="F451" s="8" t="inlineStr">
        <is>
          <t>City Of London, England, UK</t>
        </is>
      </c>
      <c r="G451" s="8" t="n"/>
      <c r="H451" s="14" t="n"/>
      <c r="I451" s="15">
        <f>IF($H451="","",$H451-TODAY())</f>
        <v/>
      </c>
      <c r="J451" s="16" t="inlineStr">
        <is>
          <t>Open posting</t>
        </is>
      </c>
      <c r="K451" s="8" t="inlineStr">
        <is>
          <t>filtered by keyword pre-scan</t>
        </is>
      </c>
      <c r="L451" s="17" t="inlineStr">
        <is>
          <t>new</t>
        </is>
      </c>
      <c r="M451" s="18" t="inlineStr"/>
      <c r="N451" s="7" t="inlineStr">
        <is>
          <t>ece0e6836b5551b9e73f2f162abf45f7bfd8a5fb</t>
        </is>
      </c>
      <c r="O451" s="14" t="n"/>
      <c r="P451" s="7" t="inlineStr">
        <is>
          <t>jobspy</t>
        </is>
      </c>
      <c r="Q451" s="8" t="inlineStr">
        <is>
          <t>python, sql, api integration, git, c</t>
        </is>
      </c>
      <c r="R451" s="8" t="inlineStr">
        <is>
          <t>Junior Data Engineer Python SQL MySQL remote</t>
        </is>
      </c>
      <c r="S451" s="19" t="n"/>
      <c r="T451" s="19" t="n"/>
      <c r="U451" s="14" t="n">
        <v>46195</v>
      </c>
      <c r="V451" s="7" t="inlineStr">
        <is>
          <t>v2-cv-accuracy-13b988b18da8ea7d</t>
        </is>
      </c>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1.94</v>
      </c>
      <c r="C452" s="12" t="inlineStr">
        <is>
          <t>Mid-level</t>
        </is>
      </c>
      <c r="D452" s="8" t="inlineStr">
        <is>
          <t>Platform Engineer</t>
        </is>
      </c>
      <c r="E452" s="7" t="inlineStr">
        <is>
          <t>Harvey Nash</t>
        </is>
      </c>
      <c r="F452" s="8" t="inlineStr">
        <is>
          <t>London Area, United Kingdom</t>
        </is>
      </c>
      <c r="G452" s="8" t="n"/>
      <c r="H452" s="14" t="n"/>
      <c r="I452" s="15">
        <f>IF($H452="","",$H452-TODAY())</f>
        <v/>
      </c>
      <c r="J452" s="16" t="inlineStr">
        <is>
          <t>Open posting</t>
        </is>
      </c>
      <c r="K452" s="8" t="inlineStr">
        <is>
          <t>filtered by keyword pre-scan</t>
        </is>
      </c>
      <c r="L452" s="17" t="inlineStr">
        <is>
          <t>new</t>
        </is>
      </c>
      <c r="M452" s="18" t="inlineStr"/>
      <c r="N452" s="7" t="inlineStr">
        <is>
          <t>b92b1b58b8b5e7202da328d6decef4b292f5af1d</t>
        </is>
      </c>
      <c r="O452" s="14" t="n">
        <v>46192</v>
      </c>
      <c r="P452" s="7" t="inlineStr">
        <is>
          <t>jobspy</t>
        </is>
      </c>
      <c r="Q452" s="8" t="inlineStr">
        <is>
          <t>python, docker, kubernetes, git, c</t>
        </is>
      </c>
      <c r="R452" s="8" t="inlineStr">
        <is>
          <t>Graduate Platform Engineer Docker Kubernetes Python</t>
        </is>
      </c>
      <c r="S452" s="19" t="n"/>
      <c r="T452" s="19" t="n"/>
      <c r="U452" s="14" t="n">
        <v>46195</v>
      </c>
      <c r="V452" s="7" t="inlineStr">
        <is>
          <t>v2-cv-accuracy-13b988b18da8ea7d</t>
        </is>
      </c>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1.94</v>
      </c>
      <c r="C453" s="12" t="inlineStr">
        <is>
          <t>Senior/Lead</t>
        </is>
      </c>
      <c r="D453" s="8" t="inlineStr">
        <is>
          <t>Platform Engineer</t>
        </is>
      </c>
      <c r="E453" s="7" t="inlineStr">
        <is>
          <t>Qualient Technology Solutions UK Limited</t>
        </is>
      </c>
      <c r="F453" s="8" t="inlineStr">
        <is>
          <t>London Area, United Kingdom</t>
        </is>
      </c>
      <c r="G453" s="8" t="n"/>
      <c r="H453" s="14" t="n"/>
      <c r="I453" s="15">
        <f>IF($H453="","",$H453-TODAY())</f>
        <v/>
      </c>
      <c r="J453" s="16" t="inlineStr">
        <is>
          <t>Open posting</t>
        </is>
      </c>
      <c r="K453" s="8" t="inlineStr">
        <is>
          <t>filtered by keyword pre-scan</t>
        </is>
      </c>
      <c r="L453" s="17" t="inlineStr">
        <is>
          <t>new</t>
        </is>
      </c>
      <c r="M453" s="18" t="inlineStr"/>
      <c r="N453" s="7" t="inlineStr">
        <is>
          <t>ced50556576e43389a0a065f54bb023cbffbd633</t>
        </is>
      </c>
      <c r="O453" s="14" t="n">
        <v>46175</v>
      </c>
      <c r="P453" s="7" t="inlineStr">
        <is>
          <t>jobspy</t>
        </is>
      </c>
      <c r="Q453" s="8" t="inlineStr">
        <is>
          <t>python, docker, kubernetes, git, c</t>
        </is>
      </c>
      <c r="R453" s="8" t="inlineStr">
        <is>
          <t>Graduate Platform Engineer Docker Kubernetes Python</t>
        </is>
      </c>
      <c r="S453" s="19" t="n"/>
      <c r="T453" s="19" t="n"/>
      <c r="U453" s="14" t="n">
        <v>46195</v>
      </c>
      <c r="V453" s="7" t="inlineStr">
        <is>
          <t>v2-cv-accuracy-13b988b18da8ea7d</t>
        </is>
      </c>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1.94</v>
      </c>
      <c r="C454" s="12" t="inlineStr">
        <is>
          <t>Graduate/Entry</t>
        </is>
      </c>
      <c r="D454" s="8" t="inlineStr">
        <is>
          <t>Graduate Software Engineer</t>
        </is>
      </c>
      <c r="E454" s="7" t="inlineStr">
        <is>
          <t>targetjobs UK</t>
        </is>
      </c>
      <c r="F454" s="8" t="inlineStr">
        <is>
          <t>Maidenhead, England, UK</t>
        </is>
      </c>
      <c r="G454" s="8" t="n"/>
      <c r="H454" s="14" t="n"/>
      <c r="I454" s="15">
        <f>IF($H454="","",$H454-TODAY())</f>
        <v/>
      </c>
      <c r="J454" s="16" t="inlineStr">
        <is>
          <t>Open posting</t>
        </is>
      </c>
      <c r="K454" s="8" t="inlineStr">
        <is>
          <t>filtered by keyword pre-scan</t>
        </is>
      </c>
      <c r="L454" s="17" t="inlineStr">
        <is>
          <t>new</t>
        </is>
      </c>
      <c r="M454" s="18" t="inlineStr"/>
      <c r="N454" s="7" t="inlineStr">
        <is>
          <t>2f2faa09459fc3fa15164763f43bff2064a1c11c</t>
        </is>
      </c>
      <c r="O454" s="14" t="n"/>
      <c r="P454" s="7" t="inlineStr">
        <is>
          <t>jobspy</t>
        </is>
      </c>
      <c r="Q454" s="8" t="inlineStr">
        <is>
          <t>python, git, c, javascript</t>
        </is>
      </c>
      <c r="R454" s="8" t="inlineStr">
        <is>
          <t>Graduate Software Engineer Python embedded systems</t>
        </is>
      </c>
      <c r="S454" s="19" t="n"/>
      <c r="T454" s="19" t="n"/>
      <c r="U454" s="14" t="n">
        <v>46195</v>
      </c>
      <c r="V454" s="7" t="inlineStr">
        <is>
          <t>v2-cv-accuracy-13b988b18da8ea7d</t>
        </is>
      </c>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1.94</v>
      </c>
      <c r="C455" s="12" t="inlineStr">
        <is>
          <t>Graduate/Entry</t>
        </is>
      </c>
      <c r="D455" s="8" t="inlineStr">
        <is>
          <t>Graduate Software Engineer</t>
        </is>
      </c>
      <c r="E455" s="7" t="inlineStr">
        <is>
          <t>targetjobs UK</t>
        </is>
      </c>
      <c r="F455" s="8" t="inlineStr">
        <is>
          <t>Maidenhead, England, UK</t>
        </is>
      </c>
      <c r="G455" s="8" t="n"/>
      <c r="H455" s="14" t="n"/>
      <c r="I455" s="15">
        <f>IF($H455="","",$H455-TODAY())</f>
        <v/>
      </c>
      <c r="J455" s="16" t="inlineStr">
        <is>
          <t>Open posting</t>
        </is>
      </c>
      <c r="K455" s="8" t="inlineStr">
        <is>
          <t>filtered by keyword pre-scan</t>
        </is>
      </c>
      <c r="L455" s="17" t="inlineStr">
        <is>
          <t>new</t>
        </is>
      </c>
      <c r="M455" s="18" t="inlineStr"/>
      <c r="N455" s="7" t="inlineStr">
        <is>
          <t>66764b77319cefb49fdb83fe9267a50b9ebff834</t>
        </is>
      </c>
      <c r="O455" s="14" t="n">
        <v>46188</v>
      </c>
      <c r="P455" s="7" t="inlineStr">
        <is>
          <t>jobspy</t>
        </is>
      </c>
      <c r="Q455" s="8" t="inlineStr">
        <is>
          <t>python, git, c, javascript</t>
        </is>
      </c>
      <c r="R455" s="8" t="inlineStr">
        <is>
          <t>Graduate Software Engineer embedded systems</t>
        </is>
      </c>
      <c r="S455" s="19" t="n"/>
      <c r="T455" s="19" t="n"/>
      <c r="U455" s="14" t="n">
        <v>46194</v>
      </c>
      <c r="V455" s="7" t="inlineStr">
        <is>
          <t>v2-cv-accuracy-13b988b18da8ea7d</t>
        </is>
      </c>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1.94</v>
      </c>
      <c r="C456" s="12" t="inlineStr">
        <is>
          <t>Senior/Lead</t>
        </is>
      </c>
      <c r="D456" s="8" t="inlineStr">
        <is>
          <t>Cybersecurity Engineer, Enterprise Services</t>
        </is>
      </c>
      <c r="E456" s="7" t="inlineStr">
        <is>
          <t>Thales</t>
        </is>
      </c>
      <c r="F456" s="8" t="inlineStr">
        <is>
          <t>Belfast, NIR, GB</t>
        </is>
      </c>
      <c r="G456" s="8" t="n"/>
      <c r="H456" s="14" t="n"/>
      <c r="I456" s="15">
        <f>IF($H456="","",$H456-TODAY())</f>
        <v/>
      </c>
      <c r="J456" s="16" t="inlineStr">
        <is>
          <t>Open posting</t>
        </is>
      </c>
      <c r="K456" s="8" t="inlineStr">
        <is>
          <t>filtered by keyword pre-scan</t>
        </is>
      </c>
      <c r="L456" s="17" t="inlineStr">
        <is>
          <t>new</t>
        </is>
      </c>
      <c r="M456" s="18" t="inlineStr"/>
      <c r="N456" s="7" t="inlineStr">
        <is>
          <t>a57414dea34fc391157a8e2c1ef774f64b3e5d8e</t>
        </is>
      </c>
      <c r="O456" s="14" t="n">
        <v>46191</v>
      </c>
      <c r="P456" s="7" t="inlineStr">
        <is>
          <t>jobspy</t>
        </is>
      </c>
      <c r="Q456" s="8" t="inlineStr">
        <is>
          <t>python, sql, mysql, git, c</t>
        </is>
      </c>
      <c r="R456" s="8" t="inlineStr">
        <is>
          <t>Junior Data Engineer SQL Python MySQL</t>
        </is>
      </c>
      <c r="S456" s="19" t="n"/>
      <c r="T456" s="19" t="n"/>
      <c r="U456" s="14" t="n">
        <v>46193</v>
      </c>
      <c r="V456" s="7" t="inlineStr">
        <is>
          <t>v2-cv-accuracy-13b988b18da8ea7d</t>
        </is>
      </c>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1.94</v>
      </c>
      <c r="C457" s="12" t="inlineStr">
        <is>
          <t>Unspecified</t>
        </is>
      </c>
      <c r="D457" s="8" t="inlineStr">
        <is>
          <t>Data Engineer</t>
        </is>
      </c>
      <c r="E457" s="7" t="inlineStr">
        <is>
          <t>Akkodis</t>
        </is>
      </c>
      <c r="F457" s="8" t="inlineStr">
        <is>
          <t>Stevenage, England, UK</t>
        </is>
      </c>
      <c r="G457" s="8" t="n"/>
      <c r="H457" s="14" t="n"/>
      <c r="I457" s="15">
        <f>IF($H457="","",$H457-TODAY())</f>
        <v/>
      </c>
      <c r="J457" s="16" t="inlineStr">
        <is>
          <t>Open posting</t>
        </is>
      </c>
      <c r="K457" s="8" t="inlineStr">
        <is>
          <t>filtered by keyword pre-scan</t>
        </is>
      </c>
      <c r="L457" s="17" t="inlineStr">
        <is>
          <t>new</t>
        </is>
      </c>
      <c r="M457" s="18" t="inlineStr"/>
      <c r="N457" s="7" t="inlineStr">
        <is>
          <t>0bddbb7a67930fafb4ac6b9935869e34709509ed</t>
        </is>
      </c>
      <c r="O457" s="14" t="n">
        <v>46181</v>
      </c>
      <c r="P457" s="7" t="inlineStr">
        <is>
          <t>jobspy</t>
        </is>
      </c>
      <c r="Q457" s="8" t="inlineStr">
        <is>
          <t>python, sql, mysql, git, c</t>
        </is>
      </c>
      <c r="R457" s="8" t="inlineStr">
        <is>
          <t>Junior Data Engineer SQL Python MySQL</t>
        </is>
      </c>
      <c r="S457" s="19" t="n"/>
      <c r="T457" s="19" t="n"/>
      <c r="U457" s="14" t="n">
        <v>46193</v>
      </c>
      <c r="V457" s="7" t="inlineStr">
        <is>
          <t>v2-cv-accuracy-13b988b18da8ea7d</t>
        </is>
      </c>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1.94</v>
      </c>
      <c r="C458" s="12" t="inlineStr">
        <is>
          <t>Junior</t>
        </is>
      </c>
      <c r="D458" s="8" t="inlineStr">
        <is>
          <t>AWS DevOps Engineer - eSC or eDV Cleared</t>
        </is>
      </c>
      <c r="E458" s="7" t="inlineStr">
        <is>
          <t>IBM</t>
        </is>
      </c>
      <c r="F458" s="8" t="inlineStr">
        <is>
          <t>London, England, UK</t>
        </is>
      </c>
      <c r="G458" s="8" t="n"/>
      <c r="H458" s="14" t="n"/>
      <c r="I458" s="15">
        <f>IF($H458="","",$H458-TODAY())</f>
        <v/>
      </c>
      <c r="J458" s="16" t="inlineStr">
        <is>
          <t>Open posting</t>
        </is>
      </c>
      <c r="K458" s="8" t="inlineStr">
        <is>
          <t>filtered by keyword pre-scan</t>
        </is>
      </c>
      <c r="L458" s="17" t="inlineStr">
        <is>
          <t>new</t>
        </is>
      </c>
      <c r="M458" s="18" t="inlineStr"/>
      <c r="N458" s="7" t="inlineStr">
        <is>
          <t>b397089faf20a4ff2de9f6f968455e64faad0869</t>
        </is>
      </c>
      <c r="O458" s="14" t="n">
        <v>46176</v>
      </c>
      <c r="P458" s="7" t="inlineStr">
        <is>
          <t>jobspy</t>
        </is>
      </c>
      <c r="Q458" s="8" t="inlineStr">
        <is>
          <t>python, docker, kubernetes, git, c</t>
        </is>
      </c>
      <c r="R458" s="8" t="inlineStr">
        <is>
          <t>Graduate DevOps Engineer Docker Kubernetes Git</t>
        </is>
      </c>
      <c r="S458" s="19" t="n"/>
      <c r="T458" s="19" t="n"/>
      <c r="U458" s="14" t="n">
        <v>46193</v>
      </c>
      <c r="V458" s="7" t="inlineStr">
        <is>
          <t>v2-cv-accuracy-13b988b18da8ea7d</t>
        </is>
      </c>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1.94</v>
      </c>
      <c r="C459" s="12" t="inlineStr">
        <is>
          <t>Unspecified</t>
        </is>
      </c>
      <c r="D459" s="8" t="inlineStr">
        <is>
          <t>Audio R&amp;D Engineer</t>
        </is>
      </c>
      <c r="E459" s="7" t="inlineStr">
        <is>
          <t>elasticStage</t>
        </is>
      </c>
      <c r="F459" s="8" t="inlineStr">
        <is>
          <t>Elstree, England, UK</t>
        </is>
      </c>
      <c r="G459" s="8" t="n"/>
      <c r="H459" s="14" t="n"/>
      <c r="I459" s="15">
        <f>IF($H459="","",$H459-TODAY())</f>
        <v/>
      </c>
      <c r="J459" s="16" t="inlineStr">
        <is>
          <t>Open posting</t>
        </is>
      </c>
      <c r="K459" s="8" t="inlineStr">
        <is>
          <t>filtered by keyword pre-scan</t>
        </is>
      </c>
      <c r="L459" s="17" t="inlineStr">
        <is>
          <t>new</t>
        </is>
      </c>
      <c r="M459" s="18" t="inlineStr"/>
      <c r="N459" s="7" t="inlineStr">
        <is>
          <t>ef59a82afa30da438eb63ad2ebfdc3fbf55583ca</t>
        </is>
      </c>
      <c r="O459" s="14" t="n">
        <v>46183</v>
      </c>
      <c r="P459" s="7" t="inlineStr">
        <is>
          <t>jobspy</t>
        </is>
      </c>
      <c r="Q459" s="8" t="inlineStr">
        <is>
          <t>python, git, c, embedded systems, dsp</t>
        </is>
      </c>
      <c r="R459" s="8" t="inlineStr">
        <is>
          <t>Graduate Signal Processing Engineer DSP</t>
        </is>
      </c>
      <c r="S459" s="19" t="n"/>
      <c r="T459" s="19" t="n"/>
      <c r="U459" s="14" t="n">
        <v>46193</v>
      </c>
      <c r="V459" s="7" t="inlineStr">
        <is>
          <t>v2-cv-accuracy-13b988b18da8ea7d</t>
        </is>
      </c>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1.94</v>
      </c>
      <c r="C460" s="12" t="inlineStr">
        <is>
          <t>Unspecified</t>
        </is>
      </c>
      <c r="D460" s="8" t="inlineStr">
        <is>
          <t>Embedded Software Engineer</t>
        </is>
      </c>
      <c r="E460" s="7" t="inlineStr">
        <is>
          <t>IC Resources</t>
        </is>
      </c>
      <c r="F460" s="8" t="inlineStr">
        <is>
          <t>Oxfordshire, England, UK</t>
        </is>
      </c>
      <c r="G460" s="8" t="n"/>
      <c r="H460" s="14" t="n"/>
      <c r="I460" s="15">
        <f>IF($H460="","",$H460-TODAY())</f>
        <v/>
      </c>
      <c r="J460" s="16" t="inlineStr">
        <is>
          <t>Open posting</t>
        </is>
      </c>
      <c r="K460" s="8" t="inlineStr">
        <is>
          <t>filtered by keyword pre-scan</t>
        </is>
      </c>
      <c r="L460" s="17" t="inlineStr">
        <is>
          <t>new</t>
        </is>
      </c>
      <c r="M460" s="18" t="inlineStr"/>
      <c r="N460" s="7" t="inlineStr">
        <is>
          <t>81c44cacaccea52cca5867dbdd460b6410b98f93</t>
        </is>
      </c>
      <c r="O460" s="14" t="n"/>
      <c r="P460" s="7" t="inlineStr">
        <is>
          <t>jobspy</t>
        </is>
      </c>
      <c r="Q460" s="8" t="inlineStr">
        <is>
          <t>python, fpga, git, c, embedded systems</t>
        </is>
      </c>
      <c r="R460" s="8" t="inlineStr">
        <is>
          <t>Graduate Embedded Engineer Python FPGA</t>
        </is>
      </c>
      <c r="S460" s="19" t="n"/>
      <c r="T460" s="19" t="n"/>
      <c r="U460" s="14" t="n">
        <v>46193</v>
      </c>
      <c r="V460" s="7" t="inlineStr">
        <is>
          <t>v2-cv-accuracy-13b988b18da8ea7d</t>
        </is>
      </c>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1.94</v>
      </c>
      <c r="C461" s="12" t="inlineStr">
        <is>
          <t>Unspecified</t>
        </is>
      </c>
      <c r="D461" s="8" t="inlineStr">
        <is>
          <t>Platform Engineer</t>
        </is>
      </c>
      <c r="E461" s="7" t="inlineStr">
        <is>
          <t>SubSea Craft</t>
        </is>
      </c>
      <c r="F461" s="8" t="inlineStr">
        <is>
          <t>Portsmouth, ENG, GB</t>
        </is>
      </c>
      <c r="G461" s="8" t="n"/>
      <c r="H461" s="14" t="n"/>
      <c r="I461" s="15">
        <f>IF($H461="","",$H461-TODAY())</f>
        <v/>
      </c>
      <c r="J461" s="16" t="inlineStr">
        <is>
          <t>Open posting</t>
        </is>
      </c>
      <c r="K461" s="8" t="inlineStr">
        <is>
          <t>filtered by keyword pre-scan</t>
        </is>
      </c>
      <c r="L461" s="17" t="inlineStr">
        <is>
          <t>new</t>
        </is>
      </c>
      <c r="M461" s="18" t="inlineStr"/>
      <c r="N461" s="7" t="inlineStr">
        <is>
          <t>36ba565939ee284db0439b635898c28d26173aa3</t>
        </is>
      </c>
      <c r="O461" s="14" t="n">
        <v>46193</v>
      </c>
      <c r="P461" s="7" t="inlineStr">
        <is>
          <t>jobspy</t>
        </is>
      </c>
      <c r="Q461" s="8" t="inlineStr">
        <is>
          <t>python, docker, kubernetes, git, c</t>
        </is>
      </c>
      <c r="R461" s="8" t="inlineStr">
        <is>
          <t>Platform Engineer Docker Kubernetes Python</t>
        </is>
      </c>
      <c r="S461" s="19" t="n"/>
      <c r="T461" s="19" t="n"/>
      <c r="U461" s="14" t="n">
        <v>46193</v>
      </c>
      <c r="V461" s="7" t="inlineStr">
        <is>
          <t>v2-cv-accuracy-13b988b18da8ea7d</t>
        </is>
      </c>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1.94</v>
      </c>
      <c r="C462" s="12" t="inlineStr">
        <is>
          <t>Senior/Lead</t>
        </is>
      </c>
      <c r="D462" s="8" t="inlineStr">
        <is>
          <t>DevOps Engineer</t>
        </is>
      </c>
      <c r="E462" s="7" t="inlineStr">
        <is>
          <t>Trafalgar House Pensions Administration</t>
        </is>
      </c>
      <c r="F462" s="8" t="inlineStr">
        <is>
          <t>London, ENG, GB</t>
        </is>
      </c>
      <c r="G462" s="8" t="n"/>
      <c r="H462" s="14" t="n"/>
      <c r="I462" s="15">
        <f>IF($H462="","",$H462-TODAY())</f>
        <v/>
      </c>
      <c r="J462" s="16" t="inlineStr">
        <is>
          <t>Open posting</t>
        </is>
      </c>
      <c r="K462" s="8" t="inlineStr">
        <is>
          <t>filtered by keyword pre-scan</t>
        </is>
      </c>
      <c r="L462" s="17" t="inlineStr">
        <is>
          <t>new</t>
        </is>
      </c>
      <c r="M462" s="18" t="inlineStr"/>
      <c r="N462" s="7" t="inlineStr">
        <is>
          <t>d7b84d670e643f6115eafbf32b05412b7acd65a5</t>
        </is>
      </c>
      <c r="O462" s="14" t="n">
        <v>46191</v>
      </c>
      <c r="P462" s="7" t="inlineStr">
        <is>
          <t>jobspy</t>
        </is>
      </c>
      <c r="Q462" s="8" t="inlineStr">
        <is>
          <t>python, docker, kubernetes, git, c</t>
        </is>
      </c>
      <c r="R462" s="8" t="inlineStr">
        <is>
          <t>Platform Engineer Docker Kubernetes Python</t>
        </is>
      </c>
      <c r="S462" s="19" t="n"/>
      <c r="T462" s="19" t="n"/>
      <c r="U462" s="14" t="n">
        <v>46193</v>
      </c>
      <c r="V462" s="7" t="inlineStr">
        <is>
          <t>v2-cv-accuracy-13b988b18da8ea7d</t>
        </is>
      </c>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1.94</v>
      </c>
      <c r="C463" s="12" t="inlineStr">
        <is>
          <t>Senior/Lead</t>
        </is>
      </c>
      <c r="D463" s="8" t="inlineStr">
        <is>
          <t>Platform Engineer</t>
        </is>
      </c>
      <c r="E463" s="7" t="inlineStr">
        <is>
          <t>Cogna</t>
        </is>
      </c>
      <c r="F463" s="8" t="inlineStr">
        <is>
          <t>London, England, UK</t>
        </is>
      </c>
      <c r="G463" s="8" t="n"/>
      <c r="H463" s="14" t="n"/>
      <c r="I463" s="15">
        <f>IF($H463="","",$H463-TODAY())</f>
        <v/>
      </c>
      <c r="J463" s="16" t="inlineStr">
        <is>
          <t>Open posting</t>
        </is>
      </c>
      <c r="K463" s="8" t="inlineStr">
        <is>
          <t>filtered by keyword pre-scan</t>
        </is>
      </c>
      <c r="L463" s="17" t="inlineStr">
        <is>
          <t>new</t>
        </is>
      </c>
      <c r="M463" s="18" t="inlineStr"/>
      <c r="N463" s="7" t="inlineStr">
        <is>
          <t>2a41e9105ff6daace4b731130e620f855f00f605</t>
        </is>
      </c>
      <c r="O463" s="14" t="n">
        <v>46191</v>
      </c>
      <c r="P463" s="7" t="inlineStr">
        <is>
          <t>jobspy</t>
        </is>
      </c>
      <c r="Q463" s="8" t="inlineStr">
        <is>
          <t>python, sql, kubernetes, git, c</t>
        </is>
      </c>
      <c r="R463" s="8" t="inlineStr">
        <is>
          <t>Platform Engineer Docker Kubernetes Python</t>
        </is>
      </c>
      <c r="S463" s="19" t="n"/>
      <c r="T463" s="19" t="n"/>
      <c r="U463" s="14" t="n">
        <v>46193</v>
      </c>
      <c r="V463" s="7" t="inlineStr">
        <is>
          <t>v2-cv-accuracy-13b988b18da8ea7d</t>
        </is>
      </c>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1.94</v>
      </c>
      <c r="C464" s="12" t="inlineStr">
        <is>
          <t>Unspecified</t>
        </is>
      </c>
      <c r="D464" s="8" t="inlineStr">
        <is>
          <t>Software Infrastructure Engineer</t>
        </is>
      </c>
      <c r="E464" s="7" t="inlineStr">
        <is>
          <t>Graphcore</t>
        </is>
      </c>
      <c r="F464" s="8" t="inlineStr">
        <is>
          <t>Bristol, England, UK</t>
        </is>
      </c>
      <c r="G464" s="8" t="n"/>
      <c r="H464" s="14" t="n"/>
      <c r="I464" s="15">
        <f>IF($H464="","",$H464-TODAY())</f>
        <v/>
      </c>
      <c r="J464" s="16" t="inlineStr">
        <is>
          <t>Open posting</t>
        </is>
      </c>
      <c r="K464" s="8" t="inlineStr">
        <is>
          <t>filtered by keyword pre-scan</t>
        </is>
      </c>
      <c r="L464" s="17" t="inlineStr">
        <is>
          <t>new</t>
        </is>
      </c>
      <c r="M464" s="18" t="inlineStr"/>
      <c r="N464" s="7" t="inlineStr">
        <is>
          <t>22d029072de689383fda427d60ab7b49744e5b34</t>
        </is>
      </c>
      <c r="O464" s="14" t="n">
        <v>46182</v>
      </c>
      <c r="P464" s="7" t="inlineStr">
        <is>
          <t>jobspy</t>
        </is>
      </c>
      <c r="Q464" s="8" t="inlineStr">
        <is>
          <t>python, docker, kubernetes, git, c</t>
        </is>
      </c>
      <c r="R464" s="8" t="inlineStr">
        <is>
          <t>Platform Engineer Docker Kubernetes Python</t>
        </is>
      </c>
      <c r="S464" s="19" t="n"/>
      <c r="T464" s="19" t="n"/>
      <c r="U464" s="14" t="n">
        <v>46193</v>
      </c>
      <c r="V464" s="7" t="inlineStr">
        <is>
          <t>v2-cv-accuracy-13b988b18da8ea7d</t>
        </is>
      </c>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1.94</v>
      </c>
      <c r="C465" s="12" t="inlineStr">
        <is>
          <t>Mid-level</t>
        </is>
      </c>
      <c r="D465" s="8" t="inlineStr">
        <is>
          <t>Platform Engineer</t>
        </is>
      </c>
      <c r="E465" s="7" t="inlineStr">
        <is>
          <t>CAIS</t>
        </is>
      </c>
      <c r="F465" s="8" t="inlineStr">
        <is>
          <t>London, England, UK</t>
        </is>
      </c>
      <c r="G465" s="8" t="n"/>
      <c r="H465" s="14" t="n"/>
      <c r="I465" s="15">
        <f>IF($H465="","",$H465-TODAY())</f>
        <v/>
      </c>
      <c r="J465" s="16" t="inlineStr">
        <is>
          <t>Open posting</t>
        </is>
      </c>
      <c r="K465" s="8" t="inlineStr">
        <is>
          <t>filtered by keyword pre-scan</t>
        </is>
      </c>
      <c r="L465" s="17" t="inlineStr">
        <is>
          <t>new</t>
        </is>
      </c>
      <c r="M465" s="18" t="inlineStr"/>
      <c r="N465" s="7" t="inlineStr">
        <is>
          <t>1e847faf6bad7b6417ef317666058b6005a64632</t>
        </is>
      </c>
      <c r="O465" s="14" t="n">
        <v>46177</v>
      </c>
      <c r="P465" s="7" t="inlineStr">
        <is>
          <t>jobspy</t>
        </is>
      </c>
      <c r="Q465" s="8" t="inlineStr">
        <is>
          <t>python, kubernetes, git, c, javascript</t>
        </is>
      </c>
      <c r="R465" s="8" t="inlineStr">
        <is>
          <t>Platform Engineer Docker Kubernetes Python</t>
        </is>
      </c>
      <c r="S465" s="19" t="n"/>
      <c r="T465" s="19" t="n"/>
      <c r="U465" s="14" t="n">
        <v>46193</v>
      </c>
      <c r="V465" s="7" t="inlineStr">
        <is>
          <t>v2-cv-accuracy-13b988b18da8ea7d</t>
        </is>
      </c>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1.94</v>
      </c>
      <c r="C466" s="12" t="inlineStr">
        <is>
          <t>Mid-level</t>
        </is>
      </c>
      <c r="D466" s="8" t="inlineStr">
        <is>
          <t>Platform Engineer</t>
        </is>
      </c>
      <c r="E466" s="7" t="inlineStr">
        <is>
          <t>Immersum</t>
        </is>
      </c>
      <c r="F466" s="8" t="inlineStr">
        <is>
          <t>London Area, United Kingdom</t>
        </is>
      </c>
      <c r="G466" s="8" t="n"/>
      <c r="H466" s="14" t="n"/>
      <c r="I466" s="15">
        <f>IF($H466="","",$H466-TODAY())</f>
        <v/>
      </c>
      <c r="J466" s="16" t="inlineStr">
        <is>
          <t>Open posting</t>
        </is>
      </c>
      <c r="K466" s="8" t="inlineStr">
        <is>
          <t>filtered by keyword pre-scan</t>
        </is>
      </c>
      <c r="L466" s="17" t="inlineStr">
        <is>
          <t>new</t>
        </is>
      </c>
      <c r="M466" s="18" t="inlineStr"/>
      <c r="N466" s="7" t="inlineStr">
        <is>
          <t>beccf6866ff06bd1bbdd38b3aa94c44046f50227</t>
        </is>
      </c>
      <c r="O466" s="14" t="n">
        <v>46177</v>
      </c>
      <c r="P466" s="7" t="inlineStr">
        <is>
          <t>jobspy</t>
        </is>
      </c>
      <c r="Q466" s="8" t="inlineStr">
        <is>
          <t>python, docker, kubernetes, git, c</t>
        </is>
      </c>
      <c r="R466" s="8" t="inlineStr">
        <is>
          <t>Platform Engineer Docker Kubernetes Python</t>
        </is>
      </c>
      <c r="S466" s="19" t="n"/>
      <c r="T466" s="19" t="n"/>
      <c r="U466" s="14" t="n">
        <v>46193</v>
      </c>
      <c r="V466" s="7" t="inlineStr">
        <is>
          <t>v2-cv-accuracy-13b988b18da8ea7d</t>
        </is>
      </c>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1.94</v>
      </c>
      <c r="C467" s="12" t="inlineStr">
        <is>
          <t>Unspecified</t>
        </is>
      </c>
      <c r="D467" s="8" t="inlineStr">
        <is>
          <t>Platform Engineer</t>
        </is>
      </c>
      <c r="E467" s="7" t="inlineStr">
        <is>
          <t>SubSea Craft Limited</t>
        </is>
      </c>
      <c r="F467" s="8" t="inlineStr">
        <is>
          <t>Portsmouth, England, UK</t>
        </is>
      </c>
      <c r="G467" s="8" t="n"/>
      <c r="H467" s="14" t="n"/>
      <c r="I467" s="15">
        <f>IF($H467="","",$H467-TODAY())</f>
        <v/>
      </c>
      <c r="J467" s="16" t="inlineStr">
        <is>
          <t>Open posting</t>
        </is>
      </c>
      <c r="K467" s="8" t="inlineStr">
        <is>
          <t>filtered by keyword pre-scan</t>
        </is>
      </c>
      <c r="L467" s="17" t="inlineStr">
        <is>
          <t>new</t>
        </is>
      </c>
      <c r="M467" s="18" t="inlineStr"/>
      <c r="N467" s="7" t="inlineStr">
        <is>
          <t>248dbd2f312617f040b541898b2f815e291f7317</t>
        </is>
      </c>
      <c r="O467" s="14" t="n"/>
      <c r="P467" s="7" t="inlineStr">
        <is>
          <t>jobspy</t>
        </is>
      </c>
      <c r="Q467" s="8" t="inlineStr">
        <is>
          <t>python, docker, kubernetes, git, c</t>
        </is>
      </c>
      <c r="R467" s="8" t="inlineStr">
        <is>
          <t>Platform Engineer Docker Kubernetes Python</t>
        </is>
      </c>
      <c r="S467" s="19" t="n"/>
      <c r="T467" s="19" t="n"/>
      <c r="U467" s="14" t="n">
        <v>46193</v>
      </c>
      <c r="V467" s="7" t="inlineStr">
        <is>
          <t>v2-cv-accuracy-13b988b18da8ea7d</t>
        </is>
      </c>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1.94</v>
      </c>
      <c r="C468" s="12" t="inlineStr">
        <is>
          <t>Unspecified</t>
        </is>
      </c>
      <c r="D468" s="8" t="inlineStr">
        <is>
          <t>Embedded Software Engineer</t>
        </is>
      </c>
      <c r="E468" s="7" t="inlineStr">
        <is>
          <t>IC Resources</t>
        </is>
      </c>
      <c r="F468" s="8" t="inlineStr">
        <is>
          <t>Oxfordshire, England, UK</t>
        </is>
      </c>
      <c r="G468" s="8" t="n"/>
      <c r="H468" s="14" t="n"/>
      <c r="I468" s="15">
        <f>IF($H468="","",$H468-TODAY())</f>
        <v/>
      </c>
      <c r="J468" s="16" t="inlineStr">
        <is>
          <t>Open posting</t>
        </is>
      </c>
      <c r="K468" s="8" t="inlineStr">
        <is>
          <t>filtered by keyword pre-scan</t>
        </is>
      </c>
      <c r="L468" s="17" t="inlineStr">
        <is>
          <t>new</t>
        </is>
      </c>
      <c r="M468" s="18" t="inlineStr"/>
      <c r="N468" s="7" t="inlineStr">
        <is>
          <t>cf4c64fb2a3c2d269b60eb1d596ae99f114c0ed8</t>
        </is>
      </c>
      <c r="O468" s="14" t="n">
        <v>46187</v>
      </c>
      <c r="P468" s="7" t="inlineStr">
        <is>
          <t>jobspy</t>
        </is>
      </c>
      <c r="Q468" s="8" t="inlineStr">
        <is>
          <t>python, fpga, git, c, embedded systems</t>
        </is>
      </c>
      <c r="R468" s="8" t="inlineStr">
        <is>
          <t>Graduate Embedded Engineer Python FPGA</t>
        </is>
      </c>
      <c r="S468" s="19" t="n"/>
      <c r="T468" s="19" t="n"/>
      <c r="U468" s="14" t="n">
        <v>46192</v>
      </c>
      <c r="V468" s="7" t="inlineStr">
        <is>
          <t>v2-cv-accuracy-13b988b18da8ea7d</t>
        </is>
      </c>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1.94</v>
      </c>
      <c r="C469" s="12" t="inlineStr">
        <is>
          <t>Unspecified</t>
        </is>
      </c>
      <c r="D469" s="8" t="inlineStr">
        <is>
          <t>Data Engineer, Fraud</t>
        </is>
      </c>
      <c r="E469" s="7" t="inlineStr">
        <is>
          <t>Xcelirate</t>
        </is>
      </c>
      <c r="F469" s="8" t="inlineStr">
        <is>
          <t>London, England, UK</t>
        </is>
      </c>
      <c r="G469" s="8" t="n"/>
      <c r="H469" s="14" t="n"/>
      <c r="I469" s="15">
        <f>IF($H469="","",$H469-TODAY())</f>
        <v/>
      </c>
      <c r="J469" s="16" t="inlineStr">
        <is>
          <t>Open posting</t>
        </is>
      </c>
      <c r="K469" s="8" t="inlineStr">
        <is>
          <t>filtered by keyword pre-scan</t>
        </is>
      </c>
      <c r="L469" s="17" t="inlineStr">
        <is>
          <t>new</t>
        </is>
      </c>
      <c r="M469" s="18" t="inlineStr"/>
      <c r="N469" s="7" t="inlineStr">
        <is>
          <t>fe668304433cf0d8ea0f678eeccb41fa833de9f5</t>
        </is>
      </c>
      <c r="O469" s="14" t="n">
        <v>46181</v>
      </c>
      <c r="P469" s="7" t="inlineStr">
        <is>
          <t>jobspy</t>
        </is>
      </c>
      <c r="Q469" s="8" t="inlineStr">
        <is>
          <t>python, sql, mysql, git, c</t>
        </is>
      </c>
      <c r="R469" s="8" t="inlineStr">
        <is>
          <t>Graduate Data Engineer SQL Python pipeline</t>
        </is>
      </c>
      <c r="S469" s="19" t="n"/>
      <c r="T469" s="19" t="n"/>
      <c r="U469" s="14" t="n">
        <v>46192</v>
      </c>
      <c r="V469" s="7" t="inlineStr">
        <is>
          <t>v2-cv-accuracy-13b988b18da8ea7d</t>
        </is>
      </c>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1.94</v>
      </c>
      <c r="C470" s="12" t="inlineStr">
        <is>
          <t>Unspecified</t>
        </is>
      </c>
      <c r="D470" s="8" t="inlineStr">
        <is>
          <t>Full Stack Engineer</t>
        </is>
      </c>
      <c r="E470" s="7" t="inlineStr">
        <is>
          <t>Mark43</t>
        </is>
      </c>
      <c r="F470" s="8" t="inlineStr">
        <is>
          <t>Manchester, ENG, GB</t>
        </is>
      </c>
      <c r="G470" s="8" t="n"/>
      <c r="H470" s="14" t="n"/>
      <c r="I470" s="15">
        <f>IF($H470="","",$H470-TODAY())</f>
        <v/>
      </c>
      <c r="J470" s="16" t="inlineStr">
        <is>
          <t>Open posting</t>
        </is>
      </c>
      <c r="K470" s="8" t="inlineStr">
        <is>
          <t>filtered by keyword pre-scan</t>
        </is>
      </c>
      <c r="L470" s="17" t="inlineStr">
        <is>
          <t>new</t>
        </is>
      </c>
      <c r="M470" s="18" t="inlineStr"/>
      <c r="N470" s="7" t="inlineStr">
        <is>
          <t>21f17577a2420e2bf2a5b29a11d2be6b08a7065c</t>
        </is>
      </c>
      <c r="O470" s="14" t="n">
        <v>46170</v>
      </c>
      <c r="P470" s="7" t="inlineStr">
        <is>
          <t>jobspy</t>
        </is>
      </c>
      <c r="Q470" s="8" t="inlineStr">
        <is>
          <t>sql, mysql, kubernetes, c, javascript</t>
        </is>
      </c>
      <c r="R470" s="8" t="inlineStr">
        <is>
          <t>Graduate Electronics Engineer remote UK</t>
        </is>
      </c>
      <c r="S470" s="19" t="n"/>
      <c r="T470" s="19" t="n"/>
      <c r="U470" s="14" t="n">
        <v>46192</v>
      </c>
      <c r="V470" s="7" t="inlineStr">
        <is>
          <t>v2-cv-accuracy-13b988b18da8ea7d</t>
        </is>
      </c>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1.94</v>
      </c>
      <c r="C471" s="12" t="inlineStr">
        <is>
          <t>Mid-level</t>
        </is>
      </c>
      <c r="D471" s="8" t="inlineStr">
        <is>
          <t>Backend Software Engineer (Python)</t>
        </is>
      </c>
      <c r="E471" s="7" t="inlineStr">
        <is>
          <t>Signal</t>
        </is>
      </c>
      <c r="F471" s="8" t="inlineStr">
        <is>
          <t>London Area, United Kingdom</t>
        </is>
      </c>
      <c r="G471" s="8" t="n"/>
      <c r="H471" s="14" t="n"/>
      <c r="I471" s="15">
        <f>IF($H471="","",$H471-TODAY())</f>
        <v/>
      </c>
      <c r="J471" s="16" t="inlineStr">
        <is>
          <t>Open posting</t>
        </is>
      </c>
      <c r="K471" s="8" t="inlineStr">
        <is>
          <t>filtered by keyword pre-scan</t>
        </is>
      </c>
      <c r="L471" s="17" t="inlineStr">
        <is>
          <t>new</t>
        </is>
      </c>
      <c r="M471" s="18" t="inlineStr"/>
      <c r="N471" s="7" t="inlineStr">
        <is>
          <t>04e74edb06d5762f9b7b2d017884ed9a4122fc3c</t>
        </is>
      </c>
      <c r="O471" s="14" t="n">
        <v>46185</v>
      </c>
      <c r="P471" s="7" t="inlineStr">
        <is>
          <t>jobspy</t>
        </is>
      </c>
      <c r="Q471" s="8" t="inlineStr">
        <is>
          <t>python, sql, docker, kubernetes, c</t>
        </is>
      </c>
      <c r="R471" s="8" t="inlineStr">
        <is>
          <t>Junior Python Developer Docker Kubernetes Sheffield</t>
        </is>
      </c>
      <c r="S471" s="19" t="n"/>
      <c r="T471" s="19" t="n"/>
      <c r="U471" s="14" t="n">
        <v>46192</v>
      </c>
      <c r="V471" s="7" t="inlineStr">
        <is>
          <t>v2-cv-accuracy-13b988b18da8ea7d</t>
        </is>
      </c>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1.94</v>
      </c>
      <c r="C472" s="12" t="inlineStr">
        <is>
          <t>Graduate/Entry</t>
        </is>
      </c>
      <c r="D472" s="8" t="inlineStr">
        <is>
          <t>Entry Level - Site Reliability Engineer - (Remote - United Kingdom)</t>
        </is>
      </c>
      <c r="E472" s="7" t="inlineStr">
        <is>
          <t>Yelp</t>
        </is>
      </c>
      <c r="F472" s="8" t="inlineStr">
        <is>
          <t>Leeds, England, UK</t>
        </is>
      </c>
      <c r="G472" s="8" t="n"/>
      <c r="H472" s="14" t="n"/>
      <c r="I472" s="15">
        <f>IF($H472="","",$H472-TODAY())</f>
        <v/>
      </c>
      <c r="J472" s="16" t="inlineStr">
        <is>
          <t>Open posting</t>
        </is>
      </c>
      <c r="K472" s="8" t="inlineStr">
        <is>
          <t>filtered by keyword pre-scan</t>
        </is>
      </c>
      <c r="L472" s="17" t="inlineStr">
        <is>
          <t>new</t>
        </is>
      </c>
      <c r="M472" s="18" t="inlineStr"/>
      <c r="N472" s="7" t="inlineStr">
        <is>
          <t>55da3ff7a99e56249c8915863523f059b3826032</t>
        </is>
      </c>
      <c r="O472" s="14" t="n">
        <v>46179</v>
      </c>
      <c r="P472" s="7" t="inlineStr">
        <is>
          <t>jobspy</t>
        </is>
      </c>
      <c r="Q472" s="8" t="inlineStr">
        <is>
          <t>python, docker, kubernetes, git, c</t>
        </is>
      </c>
      <c r="R472" s="8" t="inlineStr">
        <is>
          <t>Graduate Computer Engineer Sheffield remote</t>
        </is>
      </c>
      <c r="S472" s="19" t="n"/>
      <c r="T472" s="19" t="n"/>
      <c r="U472" s="14" t="n">
        <v>46192</v>
      </c>
      <c r="V472" s="7" t="inlineStr">
        <is>
          <t>v2-cv-accuracy-13b988b18da8ea7d</t>
        </is>
      </c>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1.94</v>
      </c>
      <c r="C473" s="12" t="inlineStr">
        <is>
          <t>Graduate/Entry</t>
        </is>
      </c>
      <c r="D473" s="8" t="inlineStr">
        <is>
          <t>Entry Level - Site Reliability Engineer - (Remote - United Kingdom)</t>
        </is>
      </c>
      <c r="E473" s="7" t="inlineStr">
        <is>
          <t>Yelp</t>
        </is>
      </c>
      <c r="F473" s="8" t="inlineStr">
        <is>
          <t>Manchester, England, UK</t>
        </is>
      </c>
      <c r="G473" s="8" t="n"/>
      <c r="H473" s="14" t="n"/>
      <c r="I473" s="15">
        <f>IF($H473="","",$H473-TODAY())</f>
        <v/>
      </c>
      <c r="J473" s="16" t="inlineStr">
        <is>
          <t>Open posting</t>
        </is>
      </c>
      <c r="K473" s="8" t="inlineStr">
        <is>
          <t>filtered by keyword pre-scan</t>
        </is>
      </c>
      <c r="L473" s="17" t="inlineStr">
        <is>
          <t>new</t>
        </is>
      </c>
      <c r="M473" s="18" t="inlineStr"/>
      <c r="N473" s="7" t="inlineStr">
        <is>
          <t>e233e989f531895f7b5ba4b67e4bf4dc499a702a</t>
        </is>
      </c>
      <c r="O473" s="14" t="n">
        <v>46178</v>
      </c>
      <c r="P473" s="7" t="inlineStr">
        <is>
          <t>jobspy</t>
        </is>
      </c>
      <c r="Q473" s="8" t="inlineStr">
        <is>
          <t>python, docker, kubernetes, git, c</t>
        </is>
      </c>
      <c r="R473" s="8" t="inlineStr">
        <is>
          <t>Graduate Computer Engineer Sheffield remote</t>
        </is>
      </c>
      <c r="S473" s="19" t="n"/>
      <c r="T473" s="19" t="n"/>
      <c r="U473" s="14" t="n">
        <v>46192</v>
      </c>
      <c r="V473" s="7" t="inlineStr">
        <is>
          <t>v2-cv-accuracy-13b988b18da8ea7d</t>
        </is>
      </c>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1.94</v>
      </c>
      <c r="C474" s="12" t="inlineStr">
        <is>
          <t>Mid-level</t>
        </is>
      </c>
      <c r="D474" s="8" t="inlineStr">
        <is>
          <t>Cloud DevOps Engineer (AWS)</t>
        </is>
      </c>
      <c r="E474" s="7" t="inlineStr">
        <is>
          <t>Broadridge</t>
        </is>
      </c>
      <c r="F474" s="8" t="inlineStr">
        <is>
          <t>London, England, UK</t>
        </is>
      </c>
      <c r="G474" s="8" t="n"/>
      <c r="H474" s="14" t="n"/>
      <c r="I474" s="15">
        <f>IF($H474="","",$H474-TODAY())</f>
        <v/>
      </c>
      <c r="J474" s="16" t="inlineStr">
        <is>
          <t>Open posting</t>
        </is>
      </c>
      <c r="K474" s="8" t="inlineStr">
        <is>
          <t>filtered by keyword pre-scan</t>
        </is>
      </c>
      <c r="L474" s="17" t="inlineStr">
        <is>
          <t>new</t>
        </is>
      </c>
      <c r="M474" s="18" t="inlineStr"/>
      <c r="N474" s="7" t="inlineStr">
        <is>
          <t>ccc804420a9e031e660d4d4ffd26b4351fd6d624</t>
        </is>
      </c>
      <c r="O474" s="14" t="n">
        <v>46181</v>
      </c>
      <c r="P474" s="7" t="inlineStr">
        <is>
          <t>jobspy</t>
        </is>
      </c>
      <c r="Q474" s="8" t="inlineStr">
        <is>
          <t>python, docker, kubernetes, git, c</t>
        </is>
      </c>
      <c r="R474" s="8" t="inlineStr">
        <is>
          <t>Graduate DevOps Engineer Docker Kubernetes Python</t>
        </is>
      </c>
      <c r="S474" s="19" t="n"/>
      <c r="T474" s="19" t="n"/>
      <c r="U474" s="14" t="n">
        <v>46192</v>
      </c>
      <c r="V474" s="7" t="inlineStr">
        <is>
          <t>v2-cv-accuracy-13b988b18da8ea7d</t>
        </is>
      </c>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1.94</v>
      </c>
      <c r="C475" s="12" t="inlineStr">
        <is>
          <t>Graduate/Entry</t>
        </is>
      </c>
      <c r="D475" s="8" t="inlineStr">
        <is>
          <t>Entry Level - Site Reliability Engineer - (Remote - United Kingdom)</t>
        </is>
      </c>
      <c r="E475" s="7" t="inlineStr">
        <is>
          <t>Yelp</t>
        </is>
      </c>
      <c r="F475" s="8" t="inlineStr">
        <is>
          <t>Birmingham, England, UK</t>
        </is>
      </c>
      <c r="G475" s="8" t="n"/>
      <c r="H475" s="14" t="n"/>
      <c r="I475" s="15">
        <f>IF($H475="","",$H475-TODAY())</f>
        <v/>
      </c>
      <c r="J475" s="16" t="inlineStr">
        <is>
          <t>Open posting</t>
        </is>
      </c>
      <c r="K475" s="8" t="inlineStr">
        <is>
          <t>filtered by keyword pre-scan</t>
        </is>
      </c>
      <c r="L475" s="17" t="inlineStr">
        <is>
          <t>new</t>
        </is>
      </c>
      <c r="M475" s="18" t="inlineStr"/>
      <c r="N475" s="7" t="inlineStr">
        <is>
          <t>5ecc9d734577c4ffab7f6fdc96135ba1d59b4efa</t>
        </is>
      </c>
      <c r="O475" s="14" t="n">
        <v>46179</v>
      </c>
      <c r="P475" s="7" t="inlineStr">
        <is>
          <t>jobspy</t>
        </is>
      </c>
      <c r="Q475" s="8" t="inlineStr">
        <is>
          <t>python, docker, kubernetes, git, c</t>
        </is>
      </c>
      <c r="R475" s="8" t="inlineStr">
        <is>
          <t>Graduate DevOps Engineer Docker Kubernetes Python</t>
        </is>
      </c>
      <c r="S475" s="19" t="n"/>
      <c r="T475" s="19" t="n"/>
      <c r="U475" s="14" t="n">
        <v>46192</v>
      </c>
      <c r="V475" s="7" t="inlineStr">
        <is>
          <t>v2-cv-accuracy-13b988b18da8ea7d</t>
        </is>
      </c>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1.94</v>
      </c>
      <c r="C476" s="12" t="inlineStr">
        <is>
          <t>Graduate/Entry</t>
        </is>
      </c>
      <c r="D476" s="8" t="inlineStr">
        <is>
          <t>Entry Level - Site Reliability Engineer - (Remote - United Kingdom)</t>
        </is>
      </c>
      <c r="E476" s="7" t="inlineStr">
        <is>
          <t>Yelp</t>
        </is>
      </c>
      <c r="F476" s="8" t="inlineStr">
        <is>
          <t>London, England, UK</t>
        </is>
      </c>
      <c r="G476" s="8" t="n"/>
      <c r="H476" s="14" t="n"/>
      <c r="I476" s="15">
        <f>IF($H476="","",$H476-TODAY())</f>
        <v/>
      </c>
      <c r="J476" s="16" t="inlineStr">
        <is>
          <t>Open posting</t>
        </is>
      </c>
      <c r="K476" s="8" t="inlineStr">
        <is>
          <t>filtered by keyword pre-scan</t>
        </is>
      </c>
      <c r="L476" s="17" t="inlineStr">
        <is>
          <t>new</t>
        </is>
      </c>
      <c r="M476" s="18" t="inlineStr"/>
      <c r="N476" s="7" t="inlineStr">
        <is>
          <t>4b0467b23e386e7e0efa5e5a1fa07e0102a1eb10</t>
        </is>
      </c>
      <c r="O476" s="14" t="n">
        <v>46178</v>
      </c>
      <c r="P476" s="7" t="inlineStr">
        <is>
          <t>jobspy</t>
        </is>
      </c>
      <c r="Q476" s="8" t="inlineStr">
        <is>
          <t>python, docker, kubernetes, git, c</t>
        </is>
      </c>
      <c r="R476" s="8" t="inlineStr">
        <is>
          <t>Graduate DevOps Engineer Docker Kubernetes Python</t>
        </is>
      </c>
      <c r="S476" s="19" t="n"/>
      <c r="T476" s="19" t="n"/>
      <c r="U476" s="14" t="n">
        <v>46192</v>
      </c>
      <c r="V476" s="7" t="inlineStr">
        <is>
          <t>v2-cv-accuracy-13b988b18da8ea7d</t>
        </is>
      </c>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1.94</v>
      </c>
      <c r="C477" s="12" t="inlineStr">
        <is>
          <t>Unspecified</t>
        </is>
      </c>
      <c r="D477" s="8" t="inlineStr">
        <is>
          <t>Cloud DevOps Engineer</t>
        </is>
      </c>
      <c r="E477" s="7" t="inlineStr">
        <is>
          <t>Halliburton</t>
        </is>
      </c>
      <c r="F477" s="8" t="inlineStr">
        <is>
          <t>Abingdon-On-Thames, England, UK</t>
        </is>
      </c>
      <c r="G477" s="8" t="n"/>
      <c r="H477" s="14" t="n"/>
      <c r="I477" s="15">
        <f>IF($H477="","",$H477-TODAY())</f>
        <v/>
      </c>
      <c r="J477" s="16" t="inlineStr">
        <is>
          <t>Open posting</t>
        </is>
      </c>
      <c r="K477" s="8" t="inlineStr">
        <is>
          <t>filtered by keyword pre-scan</t>
        </is>
      </c>
      <c r="L477" s="17" t="inlineStr">
        <is>
          <t>new</t>
        </is>
      </c>
      <c r="M477" s="18" t="inlineStr"/>
      <c r="N477" s="7" t="inlineStr">
        <is>
          <t>41e387251b99ae73f99424657e92cc03fb6093e2</t>
        </is>
      </c>
      <c r="O477" s="14" t="n">
        <v>46177</v>
      </c>
      <c r="P477" s="7" t="inlineStr">
        <is>
          <t>jobspy</t>
        </is>
      </c>
      <c r="Q477" s="8" t="inlineStr">
        <is>
          <t>python, docker, kubernetes, git, c</t>
        </is>
      </c>
      <c r="R477" s="8" t="inlineStr">
        <is>
          <t>Graduate DevOps Engineer Docker Kubernetes Python</t>
        </is>
      </c>
      <c r="S477" s="19" t="n"/>
      <c r="T477" s="19" t="n"/>
      <c r="U477" s="14" t="n">
        <v>46192</v>
      </c>
      <c r="V477" s="7" t="inlineStr">
        <is>
          <t>v2-cv-accuracy-13b988b18da8ea7d</t>
        </is>
      </c>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1.94</v>
      </c>
      <c r="C478" s="12" t="inlineStr">
        <is>
          <t>Unspecified</t>
        </is>
      </c>
      <c r="D478" s="8" t="inlineStr">
        <is>
          <t>Site Reliability Engineer</t>
        </is>
      </c>
      <c r="E478" s="7" t="inlineStr">
        <is>
          <t>TESTQ Technologies</t>
        </is>
      </c>
      <c r="F478" s="8" t="inlineStr">
        <is>
          <t>Sheffield, England, UK</t>
        </is>
      </c>
      <c r="G478" s="8" t="n"/>
      <c r="H478" s="14" t="n"/>
      <c r="I478" s="15">
        <f>IF($H478="","",$H478-TODAY())</f>
        <v/>
      </c>
      <c r="J478" s="16" t="inlineStr">
        <is>
          <t>Open posting</t>
        </is>
      </c>
      <c r="K478" s="8" t="inlineStr">
        <is>
          <t>filtered by keyword pre-scan</t>
        </is>
      </c>
      <c r="L478" s="17" t="inlineStr">
        <is>
          <t>new</t>
        </is>
      </c>
      <c r="M478" s="18" t="inlineStr"/>
      <c r="N478" s="7" t="inlineStr">
        <is>
          <t>c868cdfcb54a78d15ea88c57e4e4da8192d9fc52</t>
        </is>
      </c>
      <c r="O478" s="14" t="n"/>
      <c r="P478" s="7" t="inlineStr">
        <is>
          <t>jobspy</t>
        </is>
      </c>
      <c r="Q478" s="8" t="inlineStr">
        <is>
          <t>python, sql, kubernetes, git, c</t>
        </is>
      </c>
      <c r="R478" s="8" t="inlineStr">
        <is>
          <t>Graduate DevOps Engineer Docker Kubernetes Python</t>
        </is>
      </c>
      <c r="S478" s="19" t="n"/>
      <c r="T478" s="19" t="n"/>
      <c r="U478" s="14" t="n">
        <v>46192</v>
      </c>
      <c r="V478" s="7" t="inlineStr">
        <is>
          <t>v2-cv-accuracy-13b988b18da8ea7d</t>
        </is>
      </c>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1.94</v>
      </c>
      <c r="C479" s="12" t="inlineStr">
        <is>
          <t>Senior/Lead</t>
        </is>
      </c>
      <c r="D479" s="8" t="inlineStr">
        <is>
          <t>Software Engineer II- Global Banking Platform</t>
        </is>
      </c>
      <c r="E479" s="7" t="inlineStr">
        <is>
          <t>JPMorganChase</t>
        </is>
      </c>
      <c r="F479" s="8" t="inlineStr">
        <is>
          <t>Greater London, England, UK</t>
        </is>
      </c>
      <c r="G479" s="8" t="n"/>
      <c r="H479" s="14" t="n"/>
      <c r="I479" s="15">
        <f>IF($H479="","",$H479-TODAY())</f>
        <v/>
      </c>
      <c r="J479" s="16" t="inlineStr">
        <is>
          <t>Open posting</t>
        </is>
      </c>
      <c r="K479" s="8" t="inlineStr">
        <is>
          <t>filtered by keyword pre-scan</t>
        </is>
      </c>
      <c r="L479" s="17" t="inlineStr">
        <is>
          <t>new</t>
        </is>
      </c>
      <c r="M479" s="18" t="inlineStr"/>
      <c r="N479" s="7" t="inlineStr">
        <is>
          <t>fbade8b05b048d5834694fab288cf49b85fb1b94</t>
        </is>
      </c>
      <c r="O479" s="14" t="n">
        <v>46180</v>
      </c>
      <c r="P479" s="7" t="inlineStr">
        <is>
          <t>jobspy</t>
        </is>
      </c>
      <c r="Q479" s="8" t="inlineStr">
        <is>
          <t>python, sql, kubernetes, git, c</t>
        </is>
      </c>
      <c r="R479" s="8" t="inlineStr">
        <is>
          <t>Graduate Backend Developer Docker Kubernetes</t>
        </is>
      </c>
      <c r="S479" s="19" t="n"/>
      <c r="T479" s="19" t="n"/>
      <c r="U479" s="14" t="n">
        <v>46192</v>
      </c>
      <c r="V479" s="7" t="inlineStr">
        <is>
          <t>v2-cv-accuracy-13b988b18da8ea7d</t>
        </is>
      </c>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1.94</v>
      </c>
      <c r="C480" s="12" t="inlineStr">
        <is>
          <t>Unspecified</t>
        </is>
      </c>
      <c r="D480" s="8" t="inlineStr">
        <is>
          <t>Full Stack Engineer</t>
        </is>
      </c>
      <c r="E480" s="7" t="inlineStr">
        <is>
          <t>Humanoid</t>
        </is>
      </c>
      <c r="F480" s="8" t="inlineStr">
        <is>
          <t>London, England, UK</t>
        </is>
      </c>
      <c r="G480" s="8" t="n"/>
      <c r="H480" s="14" t="n"/>
      <c r="I480" s="15">
        <f>IF($H480="","",$H480-TODAY())</f>
        <v/>
      </c>
      <c r="J480" s="16" t="inlineStr">
        <is>
          <t>Open posting</t>
        </is>
      </c>
      <c r="K480" s="8" t="inlineStr">
        <is>
          <t>filtered by keyword pre-scan</t>
        </is>
      </c>
      <c r="L480" s="17" t="inlineStr">
        <is>
          <t>new</t>
        </is>
      </c>
      <c r="M480" s="18" t="inlineStr"/>
      <c r="N480" s="7" t="inlineStr">
        <is>
          <t>5b4fed6c1881cb430abd00252a72838d23b99416</t>
        </is>
      </c>
      <c r="O480" s="14" t="n">
        <v>46173</v>
      </c>
      <c r="P480" s="7" t="inlineStr">
        <is>
          <t>jobspy</t>
        </is>
      </c>
      <c r="Q480" s="8" t="inlineStr">
        <is>
          <t>python, docker, kubernetes, c, javascript</t>
        </is>
      </c>
      <c r="R480" s="8" t="inlineStr">
        <is>
          <t>Graduate Backend Developer Docker Kubernetes</t>
        </is>
      </c>
      <c r="S480" s="19" t="n"/>
      <c r="T480" s="19" t="n"/>
      <c r="U480" s="14" t="n">
        <v>46192</v>
      </c>
      <c r="V480" s="7" t="inlineStr">
        <is>
          <t>v2-cv-accuracy-13b988b18da8ea7d</t>
        </is>
      </c>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1.94</v>
      </c>
      <c r="C481" s="12" t="inlineStr">
        <is>
          <t>Graduate/Entry</t>
        </is>
      </c>
      <c r="D481" s="8" t="inlineStr">
        <is>
          <t>Entry Level - Site Reliability Engineer - (Remote - United Kingdom)</t>
        </is>
      </c>
      <c r="E481" s="7" t="inlineStr">
        <is>
          <t>Yelp</t>
        </is>
      </c>
      <c r="F481" s="8" t="inlineStr">
        <is>
          <t>Edinburgh, Scotland, UK</t>
        </is>
      </c>
      <c r="G481" s="8" t="n"/>
      <c r="H481" s="14" t="n"/>
      <c r="I481" s="15">
        <f>IF($H481="","",$H481-TODAY())</f>
        <v/>
      </c>
      <c r="J481" s="16" t="inlineStr">
        <is>
          <t>Open posting</t>
        </is>
      </c>
      <c r="K481" s="8" t="inlineStr">
        <is>
          <t>filtered by keyword pre-scan</t>
        </is>
      </c>
      <c r="L481" s="17" t="inlineStr">
        <is>
          <t>new</t>
        </is>
      </c>
      <c r="M481" s="18" t="inlineStr"/>
      <c r="N481" s="7" t="inlineStr">
        <is>
          <t>34e57f0f3c3eb5804103a804a199bec3b9e6de3f</t>
        </is>
      </c>
      <c r="O481" s="14" t="n">
        <v>46178</v>
      </c>
      <c r="P481" s="7" t="inlineStr">
        <is>
          <t>jobspy</t>
        </is>
      </c>
      <c r="Q481" s="8" t="inlineStr">
        <is>
          <t>python, docker, kubernetes, git, c</t>
        </is>
      </c>
      <c r="R481" s="8" t="inlineStr">
        <is>
          <t>Graduate DevOps Engineer Docker Kubernetes Git</t>
        </is>
      </c>
      <c r="S481" s="19" t="n"/>
      <c r="T481" s="19" t="n"/>
      <c r="U481" s="14" t="n">
        <v>46192</v>
      </c>
      <c r="V481" s="7" t="inlineStr">
        <is>
          <t>v2-cv-accuracy-13b988b18da8ea7d</t>
        </is>
      </c>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1.94</v>
      </c>
      <c r="C482" s="12" t="inlineStr">
        <is>
          <t>Senior/Lead</t>
        </is>
      </c>
      <c r="D482" s="8" t="inlineStr">
        <is>
          <t>Cloud SRE &amp; DevOps Engineer</t>
        </is>
      </c>
      <c r="E482" s="7" t="inlineStr">
        <is>
          <t>Soros Fund Management</t>
        </is>
      </c>
      <c r="F482" s="8" t="inlineStr">
        <is>
          <t>London Area, United Kingdom</t>
        </is>
      </c>
      <c r="G482" s="8" t="n"/>
      <c r="H482" s="14" t="n"/>
      <c r="I482" s="15">
        <f>IF($H482="","",$H482-TODAY())</f>
        <v/>
      </c>
      <c r="J482" s="16" t="inlineStr">
        <is>
          <t>Open posting</t>
        </is>
      </c>
      <c r="K482" s="8" t="inlineStr">
        <is>
          <t>filtered by keyword pre-scan</t>
        </is>
      </c>
      <c r="L482" s="17" t="inlineStr">
        <is>
          <t>new</t>
        </is>
      </c>
      <c r="M482" s="18" t="inlineStr"/>
      <c r="N482" s="7" t="inlineStr">
        <is>
          <t>e611a59a7a4255054d0ae8cbcf2c1093b034fdfc</t>
        </is>
      </c>
      <c r="O482" s="14" t="n">
        <v>46175</v>
      </c>
      <c r="P482" s="7" t="inlineStr">
        <is>
          <t>jobspy</t>
        </is>
      </c>
      <c r="Q482" s="8" t="inlineStr">
        <is>
          <t>python, docker, kubernetes, git, c</t>
        </is>
      </c>
      <c r="R482" s="8" t="inlineStr">
        <is>
          <t>Graduate DevOps Engineer Docker Kubernetes Git</t>
        </is>
      </c>
      <c r="S482" s="19" t="n"/>
      <c r="T482" s="19" t="n"/>
      <c r="U482" s="14" t="n">
        <v>46192</v>
      </c>
      <c r="V482" s="7" t="inlineStr">
        <is>
          <t>v2-cv-accuracy-13b988b18da8ea7d</t>
        </is>
      </c>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1.9</v>
      </c>
      <c r="C483" s="12" t="inlineStr">
        <is>
          <t>Senior/Lead</t>
        </is>
      </c>
      <c r="D483" s="8" t="inlineStr">
        <is>
          <t>Full Stack Developer</t>
        </is>
      </c>
      <c r="E483" s="7" t="inlineStr">
        <is>
          <t>Mastek</t>
        </is>
      </c>
      <c r="F483" s="8" t="inlineStr">
        <is>
          <t>Reading, England, UK</t>
        </is>
      </c>
      <c r="G483" s="8" t="n"/>
      <c r="H483" s="14" t="n"/>
      <c r="I483" s="15">
        <f>IF($H483="","",$H483-TODAY())</f>
        <v/>
      </c>
      <c r="J483" s="16" t="inlineStr">
        <is>
          <t>Open posting</t>
        </is>
      </c>
      <c r="K483" s="8" t="inlineStr">
        <is>
          <t>filtered by keyword pre-scan</t>
        </is>
      </c>
      <c r="L483" s="17" t="inlineStr">
        <is>
          <t>new</t>
        </is>
      </c>
      <c r="M483" s="18" t="inlineStr"/>
      <c r="N483" s="7" t="inlineStr">
        <is>
          <t>5ecfae744cd4638ca951ddd250b83198d8358e4d</t>
        </is>
      </c>
      <c r="O483" s="14" t="n">
        <v>46168</v>
      </c>
      <c r="P483" s="7" t="inlineStr">
        <is>
          <t>jobspy</t>
        </is>
      </c>
      <c r="Q483" s="8" t="inlineStr">
        <is>
          <t>python, sql, javascript, git, web development</t>
        </is>
      </c>
      <c r="R483" s="8" t="inlineStr">
        <is>
          <t>Full Stack Developer</t>
        </is>
      </c>
      <c r="S483" s="19" t="n"/>
      <c r="T483" s="19" t="n"/>
      <c r="U483" s="14" t="n">
        <v>46191</v>
      </c>
      <c r="V483" s="7" t="inlineStr">
        <is>
          <t>v2-cv-accuracy-13b988b18da8ea7d</t>
        </is>
      </c>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1.84</v>
      </c>
      <c r="C484" s="12" t="inlineStr">
        <is>
          <t>Graduate/Entry</t>
        </is>
      </c>
      <c r="D484" s="8" t="inlineStr">
        <is>
          <t>Graduate software engineer</t>
        </is>
      </c>
      <c r="E484" s="7" t="inlineStr">
        <is>
          <t>Evernote</t>
        </is>
      </c>
      <c r="F484" s="8" t="inlineStr"/>
      <c r="G484" s="8" t="n"/>
      <c r="H484" s="14" t="n"/>
      <c r="I484" s="15">
        <f>IF($H484="","",$H484-TODAY())</f>
        <v/>
      </c>
      <c r="J484" s="16" t="inlineStr">
        <is>
          <t>Open posting</t>
        </is>
      </c>
      <c r="K484" s="8" t="inlineStr">
        <is>
          <t>filtered by keyword pre-scan</t>
        </is>
      </c>
      <c r="L484" s="17" t="inlineStr">
        <is>
          <t>new</t>
        </is>
      </c>
      <c r="M484" s="18" t="inlineStr"/>
      <c r="N484" s="7" t="inlineStr">
        <is>
          <t>ac2729e65e15bf55ebec84cad01150e35c90d21c</t>
        </is>
      </c>
      <c r="O484" s="14" t="n">
        <v>46186</v>
      </c>
      <c r="P484" s="7" t="inlineStr">
        <is>
          <t>jobspy</t>
        </is>
      </c>
      <c r="Q484" s="8" t="inlineStr">
        <is>
          <t>python, git</t>
        </is>
      </c>
      <c r="R484" s="8" t="inlineStr">
        <is>
          <t>Graduate Software Developer</t>
        </is>
      </c>
      <c r="S484" s="19" t="n"/>
      <c r="T484" s="19" t="n"/>
      <c r="U484" s="14" t="n">
        <v>46191</v>
      </c>
      <c r="V484" s="7" t="inlineStr">
        <is>
          <t>v2-cv-accuracy-13b988b18da8ea7d</t>
        </is>
      </c>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1.84</v>
      </c>
      <c r="C485" s="12" t="inlineStr">
        <is>
          <t>Graduate/Entry</t>
        </is>
      </c>
      <c r="D485" s="8" t="inlineStr">
        <is>
          <t>Graduate software engineer</t>
        </is>
      </c>
      <c r="E485" s="7" t="inlineStr">
        <is>
          <t>Evernote</t>
        </is>
      </c>
      <c r="F485" s="8" t="inlineStr">
        <is>
          <t>London, England, UK</t>
        </is>
      </c>
      <c r="G485" s="8" t="n"/>
      <c r="H485" s="14" t="n"/>
      <c r="I485" s="15">
        <f>IF($H485="","",$H485-TODAY())</f>
        <v/>
      </c>
      <c r="J485" s="16" t="inlineStr">
        <is>
          <t>Open posting</t>
        </is>
      </c>
      <c r="K485" s="8" t="inlineStr">
        <is>
          <t>filtered by keyword pre-scan</t>
        </is>
      </c>
      <c r="L485" s="17" t="inlineStr">
        <is>
          <t>new</t>
        </is>
      </c>
      <c r="M485" s="18" t="inlineStr"/>
      <c r="N485" s="7" t="inlineStr">
        <is>
          <t>b3c5bba8f84f948ccf69ad6092665ffc942b8eaf</t>
        </is>
      </c>
      <c r="O485" s="14" t="n">
        <v>46186</v>
      </c>
      <c r="P485" s="7" t="inlineStr">
        <is>
          <t>jobspy</t>
        </is>
      </c>
      <c r="Q485" s="8" t="inlineStr">
        <is>
          <t>python, git</t>
        </is>
      </c>
      <c r="R485" s="8" t="inlineStr">
        <is>
          <t>Graduate Software Developer</t>
        </is>
      </c>
      <c r="S485" s="19" t="n"/>
      <c r="T485" s="19" t="n"/>
      <c r="U485" s="14" t="n">
        <v>46191</v>
      </c>
      <c r="V485" s="7" t="inlineStr">
        <is>
          <t>v2-cv-accuracy-13b988b18da8ea7d</t>
        </is>
      </c>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1.84</v>
      </c>
      <c r="C486" s="12" t="inlineStr">
        <is>
          <t>Graduate/Entry</t>
        </is>
      </c>
      <c r="D486" s="8" t="inlineStr">
        <is>
          <t>Graduate software engineer</t>
        </is>
      </c>
      <c r="E486" s="7" t="inlineStr">
        <is>
          <t>Meetup</t>
        </is>
      </c>
      <c r="F486" s="8" t="inlineStr">
        <is>
          <t>London, England, UK</t>
        </is>
      </c>
      <c r="G486" s="8" t="n"/>
      <c r="H486" s="14" t="n"/>
      <c r="I486" s="15">
        <f>IF($H486="","",$H486-TODAY())</f>
        <v/>
      </c>
      <c r="J486" s="16" t="inlineStr">
        <is>
          <t>Open posting</t>
        </is>
      </c>
      <c r="K486" s="8" t="inlineStr">
        <is>
          <t>filtered by keyword pre-scan</t>
        </is>
      </c>
      <c r="L486" s="17" t="inlineStr">
        <is>
          <t>new</t>
        </is>
      </c>
      <c r="M486" s="18" t="inlineStr"/>
      <c r="N486" s="7" t="inlineStr">
        <is>
          <t>05ac79639a2d9e9135a14223a0f41c0536612e81</t>
        </is>
      </c>
      <c r="O486" s="14" t="n">
        <v>46186</v>
      </c>
      <c r="P486" s="7" t="inlineStr">
        <is>
          <t>jobspy</t>
        </is>
      </c>
      <c r="Q486" s="8" t="inlineStr">
        <is>
          <t>python, git</t>
        </is>
      </c>
      <c r="R486" s="8" t="inlineStr">
        <is>
          <t>Graduate Software Developer</t>
        </is>
      </c>
      <c r="S486" s="19" t="n"/>
      <c r="T486" s="19" t="n"/>
      <c r="U486" s="14" t="n">
        <v>46191</v>
      </c>
      <c r="V486" s="7" t="inlineStr">
        <is>
          <t>v2-cv-accuracy-13b988b18da8ea7d</t>
        </is>
      </c>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1.84</v>
      </c>
      <c r="C487" s="12" t="inlineStr">
        <is>
          <t>Graduate/Entry</t>
        </is>
      </c>
      <c r="D487" s="8" t="inlineStr">
        <is>
          <t>Graduate software engineer</t>
        </is>
      </c>
      <c r="E487" s="7" t="inlineStr">
        <is>
          <t>Meetup</t>
        </is>
      </c>
      <c r="F487" s="8" t="inlineStr"/>
      <c r="G487" s="8" t="n"/>
      <c r="H487" s="14" t="n"/>
      <c r="I487" s="15">
        <f>IF($H487="","",$H487-TODAY())</f>
        <v/>
      </c>
      <c r="J487" s="16" t="inlineStr">
        <is>
          <t>Open posting</t>
        </is>
      </c>
      <c r="K487" s="8" t="inlineStr">
        <is>
          <t>filtered by keyword pre-scan</t>
        </is>
      </c>
      <c r="L487" s="17" t="inlineStr">
        <is>
          <t>new</t>
        </is>
      </c>
      <c r="M487" s="18" t="inlineStr"/>
      <c r="N487" s="7" t="inlineStr">
        <is>
          <t>9b9568812d0c51dd7e371c638fa9aaebf98e8fec</t>
        </is>
      </c>
      <c r="O487" s="14" t="n">
        <v>46186</v>
      </c>
      <c r="P487" s="7" t="inlineStr">
        <is>
          <t>jobspy</t>
        </is>
      </c>
      <c r="Q487" s="8" t="inlineStr">
        <is>
          <t>python, git</t>
        </is>
      </c>
      <c r="R487" s="8" t="inlineStr">
        <is>
          <t>Graduate Software Developer</t>
        </is>
      </c>
      <c r="S487" s="19" t="n"/>
      <c r="T487" s="19" t="n"/>
      <c r="U487" s="14" t="n">
        <v>46191</v>
      </c>
      <c r="V487" s="7" t="inlineStr">
        <is>
          <t>v2-cv-accuracy-13b988b18da8ea7d</t>
        </is>
      </c>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1.84</v>
      </c>
      <c r="C488" s="12" t="inlineStr">
        <is>
          <t>Graduate/Entry</t>
        </is>
      </c>
      <c r="D488" s="8" t="inlineStr">
        <is>
          <t>Graduate software engineer</t>
        </is>
      </c>
      <c r="E488" s="7" t="inlineStr">
        <is>
          <t>Evernote</t>
        </is>
      </c>
      <c r="F488" s="8" t="inlineStr">
        <is>
          <t>Oxford, England, UK</t>
        </is>
      </c>
      <c r="G488" s="8" t="n"/>
      <c r="H488" s="14" t="n"/>
      <c r="I488" s="15">
        <f>IF($H488="","",$H488-TODAY())</f>
        <v/>
      </c>
      <c r="J488" s="16" t="inlineStr">
        <is>
          <t>Open posting</t>
        </is>
      </c>
      <c r="K488" s="8" t="inlineStr">
        <is>
          <t>filtered by keyword pre-scan</t>
        </is>
      </c>
      <c r="L488" s="17" t="inlineStr">
        <is>
          <t>new</t>
        </is>
      </c>
      <c r="M488" s="18" t="inlineStr"/>
      <c r="N488" s="7" t="inlineStr">
        <is>
          <t>c698b0d71303b7fcaf33f182e7113f9132a12c4d</t>
        </is>
      </c>
      <c r="O488" s="14" t="n">
        <v>46186</v>
      </c>
      <c r="P488" s="7" t="inlineStr">
        <is>
          <t>jobspy</t>
        </is>
      </c>
      <c r="Q488" s="8" t="inlineStr">
        <is>
          <t>python, git</t>
        </is>
      </c>
      <c r="R488" s="8" t="inlineStr">
        <is>
          <t>Graduate Software Developer</t>
        </is>
      </c>
      <c r="S488" s="19" t="n"/>
      <c r="T488" s="19" t="n"/>
      <c r="U488" s="14" t="n">
        <v>46191</v>
      </c>
      <c r="V488" s="7" t="inlineStr">
        <is>
          <t>v2-cv-accuracy-13b988b18da8ea7d</t>
        </is>
      </c>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1.84</v>
      </c>
      <c r="C489" s="12" t="inlineStr">
        <is>
          <t>Graduate/Entry</t>
        </is>
      </c>
      <c r="D489" s="8" t="inlineStr">
        <is>
          <t>Graduate software engineer</t>
        </is>
      </c>
      <c r="E489" s="7" t="inlineStr">
        <is>
          <t>Meetup</t>
        </is>
      </c>
      <c r="F489" s="8" t="inlineStr">
        <is>
          <t>Oxford, England, UK</t>
        </is>
      </c>
      <c r="G489" s="8" t="n"/>
      <c r="H489" s="14" t="n"/>
      <c r="I489" s="15">
        <f>IF($H489="","",$H489-TODAY())</f>
        <v/>
      </c>
      <c r="J489" s="16" t="inlineStr">
        <is>
          <t>Open posting</t>
        </is>
      </c>
      <c r="K489" s="8" t="inlineStr">
        <is>
          <t>filtered by keyword pre-scan</t>
        </is>
      </c>
      <c r="L489" s="17" t="inlineStr">
        <is>
          <t>new</t>
        </is>
      </c>
      <c r="M489" s="18" t="inlineStr"/>
      <c r="N489" s="7" t="inlineStr">
        <is>
          <t>a4146daee3a0b712206f49dbaac4feebb7d838c0</t>
        </is>
      </c>
      <c r="O489" s="14" t="n">
        <v>46186</v>
      </c>
      <c r="P489" s="7" t="inlineStr">
        <is>
          <t>jobspy</t>
        </is>
      </c>
      <c r="Q489" s="8" t="inlineStr">
        <is>
          <t>python, git</t>
        </is>
      </c>
      <c r="R489" s="8" t="inlineStr">
        <is>
          <t>Graduate Software Developer</t>
        </is>
      </c>
      <c r="S489" s="19" t="n"/>
      <c r="T489" s="19" t="n"/>
      <c r="U489" s="14" t="n">
        <v>46191</v>
      </c>
      <c r="V489" s="7" t="inlineStr">
        <is>
          <t>v2-cv-accuracy-13b988b18da8ea7d</t>
        </is>
      </c>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1.84</v>
      </c>
      <c r="C490" s="12" t="inlineStr">
        <is>
          <t>Graduate/Entry</t>
        </is>
      </c>
      <c r="D490" s="8" t="inlineStr">
        <is>
          <t>Graduate software engineer</t>
        </is>
      </c>
      <c r="E490" s="7" t="inlineStr">
        <is>
          <t>Meetup</t>
        </is>
      </c>
      <c r="F490" s="8" t="inlineStr">
        <is>
          <t>Cambridge, England, UK</t>
        </is>
      </c>
      <c r="G490" s="8" t="n"/>
      <c r="H490" s="14" t="n"/>
      <c r="I490" s="15">
        <f>IF($H490="","",$H490-TODAY())</f>
        <v/>
      </c>
      <c r="J490" s="16" t="inlineStr">
        <is>
          <t>Open posting</t>
        </is>
      </c>
      <c r="K490" s="8" t="inlineStr">
        <is>
          <t>filtered by keyword pre-scan</t>
        </is>
      </c>
      <c r="L490" s="17" t="inlineStr">
        <is>
          <t>new</t>
        </is>
      </c>
      <c r="M490" s="18" t="inlineStr"/>
      <c r="N490" s="7" t="inlineStr">
        <is>
          <t>ab8eb5665d45bff29c3f1de1a46b1c1007be1cb7</t>
        </is>
      </c>
      <c r="O490" s="14" t="n">
        <v>46186</v>
      </c>
      <c r="P490" s="7" t="inlineStr">
        <is>
          <t>jobspy</t>
        </is>
      </c>
      <c r="Q490" s="8" t="inlineStr">
        <is>
          <t>python, git</t>
        </is>
      </c>
      <c r="R490" s="8" t="inlineStr">
        <is>
          <t>graduate Graduate Software Developer</t>
        </is>
      </c>
      <c r="S490" s="19" t="n"/>
      <c r="T490" s="19" t="n"/>
      <c r="U490" s="14" t="n">
        <v>46191</v>
      </c>
      <c r="V490" s="7" t="inlineStr">
        <is>
          <t>v2-cv-accuracy-13b988b18da8ea7d</t>
        </is>
      </c>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1.84</v>
      </c>
      <c r="C491" s="12" t="inlineStr">
        <is>
          <t>Graduate/Entry</t>
        </is>
      </c>
      <c r="D491" s="8" t="inlineStr">
        <is>
          <t>Graduate software engineer</t>
        </is>
      </c>
      <c r="E491" s="7" t="inlineStr">
        <is>
          <t>WeTransfer</t>
        </is>
      </c>
      <c r="F491" s="8" t="inlineStr">
        <is>
          <t>London, England, UK</t>
        </is>
      </c>
      <c r="G491" s="8" t="n"/>
      <c r="H491" s="14" t="n"/>
      <c r="I491" s="15">
        <f>IF($H491="","",$H491-TODAY())</f>
        <v/>
      </c>
      <c r="J491" s="16" t="inlineStr">
        <is>
          <t>Open posting</t>
        </is>
      </c>
      <c r="K491" s="8" t="inlineStr">
        <is>
          <t>filtered by keyword pre-scan</t>
        </is>
      </c>
      <c r="L491" s="17" t="inlineStr">
        <is>
          <t>new</t>
        </is>
      </c>
      <c r="M491" s="18" t="inlineStr"/>
      <c r="N491" s="7" t="inlineStr">
        <is>
          <t>91d74dad5086d57893cfbbca86a54679ea54b514</t>
        </is>
      </c>
      <c r="O491" s="14" t="n">
        <v>46186</v>
      </c>
      <c r="P491" s="7" t="inlineStr">
        <is>
          <t>jobspy</t>
        </is>
      </c>
      <c r="Q491" s="8" t="inlineStr">
        <is>
          <t>python, git</t>
        </is>
      </c>
      <c r="R491" s="8" t="inlineStr">
        <is>
          <t>graduate Graduate Software Developer</t>
        </is>
      </c>
      <c r="S491" s="19" t="n"/>
      <c r="T491" s="19" t="n"/>
      <c r="U491" s="14" t="n">
        <v>46191</v>
      </c>
      <c r="V491" s="7" t="inlineStr">
        <is>
          <t>v2-cv-accuracy-13b988b18da8ea7d</t>
        </is>
      </c>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1.84</v>
      </c>
      <c r="C492" s="12" t="inlineStr">
        <is>
          <t>Graduate/Entry</t>
        </is>
      </c>
      <c r="D492" s="8" t="inlineStr">
        <is>
          <t>Graduate software engineer</t>
        </is>
      </c>
      <c r="E492" s="7" t="inlineStr">
        <is>
          <t>Evernote</t>
        </is>
      </c>
      <c r="F492" s="8" t="inlineStr">
        <is>
          <t>Cambridge, England, UK</t>
        </is>
      </c>
      <c r="G492" s="8" t="n"/>
      <c r="H492" s="14" t="n"/>
      <c r="I492" s="15">
        <f>IF($H492="","",$H492-TODAY())</f>
        <v/>
      </c>
      <c r="J492" s="16" t="inlineStr">
        <is>
          <t>Open posting</t>
        </is>
      </c>
      <c r="K492" s="8" t="inlineStr">
        <is>
          <t>filtered by keyword pre-scan</t>
        </is>
      </c>
      <c r="L492" s="17" t="inlineStr">
        <is>
          <t>new</t>
        </is>
      </c>
      <c r="M492" s="18" t="inlineStr"/>
      <c r="N492" s="7" t="inlineStr">
        <is>
          <t>2d0194d33873ca9bc12574df2760f1d3689a7516</t>
        </is>
      </c>
      <c r="O492" s="14" t="n">
        <v>46186</v>
      </c>
      <c r="P492" s="7" t="inlineStr">
        <is>
          <t>jobspy</t>
        </is>
      </c>
      <c r="Q492" s="8" t="inlineStr">
        <is>
          <t>python, git</t>
        </is>
      </c>
      <c r="R492" s="8" t="inlineStr">
        <is>
          <t>graduate Graduate Software Developer</t>
        </is>
      </c>
      <c r="S492" s="19" t="n"/>
      <c r="T492" s="19" t="n"/>
      <c r="U492" s="14" t="n">
        <v>46191</v>
      </c>
      <c r="V492" s="7" t="inlineStr">
        <is>
          <t>v2-cv-accuracy-13b988b18da8ea7d</t>
        </is>
      </c>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1.84</v>
      </c>
      <c r="C493" s="12" t="inlineStr">
        <is>
          <t>Graduate/Entry</t>
        </is>
      </c>
      <c r="D493" s="8" t="inlineStr">
        <is>
          <t>.Net Developer Graduate</t>
        </is>
      </c>
      <c r="E493" s="7" t="inlineStr">
        <is>
          <t>Graham + Sibbald</t>
        </is>
      </c>
      <c r="F493" s="8" t="inlineStr">
        <is>
          <t>Remote, GB</t>
        </is>
      </c>
      <c r="G493" s="8" t="n"/>
      <c r="H493" s="14" t="n"/>
      <c r="I493" s="15">
        <f>IF($H493="","",$H493-TODAY())</f>
        <v/>
      </c>
      <c r="J493" s="16" t="inlineStr">
        <is>
          <t>Open posting</t>
        </is>
      </c>
      <c r="K493" s="8" t="inlineStr">
        <is>
          <t>filtered by keyword pre-scan</t>
        </is>
      </c>
      <c r="L493" s="17" t="inlineStr">
        <is>
          <t>new</t>
        </is>
      </c>
      <c r="M493" s="18" t="inlineStr"/>
      <c r="N493" s="7" t="inlineStr">
        <is>
          <t>7ef8a00336b709fc7e42ff6365677f291b70865f</t>
        </is>
      </c>
      <c r="O493" s="14" t="n">
        <v>46183</v>
      </c>
      <c r="P493" s="7" t="inlineStr">
        <is>
          <t>jobspy</t>
        </is>
      </c>
      <c r="Q493" s="8" t="inlineStr">
        <is>
          <t>sql, software development</t>
        </is>
      </c>
      <c r="R493" s="8" t="inlineStr">
        <is>
          <t>entry level Graduate Software Developer</t>
        </is>
      </c>
      <c r="S493" s="19" t="n"/>
      <c r="T493" s="19" t="n"/>
      <c r="U493" s="14" t="n">
        <v>46191</v>
      </c>
      <c r="V493" s="7" t="inlineStr">
        <is>
          <t>v2-cv-accuracy-13b988b18da8ea7d</t>
        </is>
      </c>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1.84</v>
      </c>
      <c r="C494" s="12" t="inlineStr">
        <is>
          <t>Junior</t>
        </is>
      </c>
      <c r="D494" s="8" t="inlineStr">
        <is>
          <t>Junior Software Engineer</t>
        </is>
      </c>
      <c r="E494" s="7" t="inlineStr">
        <is>
          <t>hackajob</t>
        </is>
      </c>
      <c r="F494" s="8" t="inlineStr">
        <is>
          <t>Newbury, England, UK</t>
        </is>
      </c>
      <c r="G494" s="8" t="n"/>
      <c r="H494" s="14" t="n"/>
      <c r="I494" s="15">
        <f>IF($H494="","",$H494-TODAY())</f>
        <v/>
      </c>
      <c r="J494" s="16" t="inlineStr">
        <is>
          <t>Open posting</t>
        </is>
      </c>
      <c r="K494" s="8" t="inlineStr">
        <is>
          <t>filtered by keyword pre-scan</t>
        </is>
      </c>
      <c r="L494" s="17" t="inlineStr">
        <is>
          <t>new</t>
        </is>
      </c>
      <c r="M494" s="18" t="inlineStr"/>
      <c r="N494" s="7" t="inlineStr">
        <is>
          <t>ec10e8d8e3f8bf4f9b1e3d02b433201d065b1214</t>
        </is>
      </c>
      <c r="O494" s="14" t="n">
        <v>46189</v>
      </c>
      <c r="P494" s="7" t="inlineStr">
        <is>
          <t>jobspy</t>
        </is>
      </c>
      <c r="Q494" s="8" t="inlineStr">
        <is>
          <t>sql</t>
        </is>
      </c>
      <c r="R494" s="8" t="inlineStr">
        <is>
          <t>junior/graduate Graduate Software Developer</t>
        </is>
      </c>
      <c r="S494" s="19" t="n"/>
      <c r="T494" s="19" t="n"/>
      <c r="U494" s="14" t="n">
        <v>46191</v>
      </c>
      <c r="V494" s="7" t="inlineStr">
        <is>
          <t>v2-cv-accuracy-13b988b18da8ea7d</t>
        </is>
      </c>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1.84</v>
      </c>
      <c r="C495" s="12" t="inlineStr">
        <is>
          <t>Mid-level</t>
        </is>
      </c>
      <c r="D495" s="8" t="inlineStr">
        <is>
          <t>Trading Analyst</t>
        </is>
      </c>
      <c r="E495" s="7" t="inlineStr">
        <is>
          <t>Wintermute Trading</t>
        </is>
      </c>
      <c r="F495" s="8" t="inlineStr">
        <is>
          <t>London, ENG, GB</t>
        </is>
      </c>
      <c r="G495" s="8" t="n"/>
      <c r="H495" s="14" t="n"/>
      <c r="I495" s="15">
        <f>IF($H495="","",$H495-TODAY())</f>
        <v/>
      </c>
      <c r="J495" s="16" t="inlineStr">
        <is>
          <t>Open posting</t>
        </is>
      </c>
      <c r="K495" s="8" t="inlineStr">
        <is>
          <t>filtered by keyword pre-scan</t>
        </is>
      </c>
      <c r="L495" s="17" t="inlineStr">
        <is>
          <t>new</t>
        </is>
      </c>
      <c r="M495" s="18" t="inlineStr"/>
      <c r="N495" s="7" t="inlineStr">
        <is>
          <t>d7e9b5e0fb8c2270440abe7971d78a66d699c98d</t>
        </is>
      </c>
      <c r="O495" s="14" t="n">
        <v>46176</v>
      </c>
      <c r="P495" s="7" t="inlineStr">
        <is>
          <t>jobspy</t>
        </is>
      </c>
      <c r="Q495" s="8" t="inlineStr">
        <is>
          <t>python, git, software development</t>
        </is>
      </c>
      <c r="R495" s="8" t="inlineStr">
        <is>
          <t>Graduate Software Developer remote</t>
        </is>
      </c>
      <c r="S495" s="19" t="n"/>
      <c r="T495" s="19" t="n"/>
      <c r="U495" s="14" t="n">
        <v>46191</v>
      </c>
      <c r="V495" s="7" t="inlineStr">
        <is>
          <t>v2-cv-accuracy-13b988b18da8ea7d</t>
        </is>
      </c>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1.84</v>
      </c>
      <c r="C496" s="12" t="inlineStr">
        <is>
          <t>Graduate/Entry</t>
        </is>
      </c>
      <c r="D496" s="8" t="inlineStr">
        <is>
          <t>Graduate software engineer</t>
        </is>
      </c>
      <c r="E496" s="7" t="inlineStr">
        <is>
          <t>Bending Spoons</t>
        </is>
      </c>
      <c r="F496" s="8" t="inlineStr">
        <is>
          <t>London, England, UK</t>
        </is>
      </c>
      <c r="G496" s="8" t="n"/>
      <c r="H496" s="14" t="n"/>
      <c r="I496" s="15">
        <f>IF($H496="","",$H496-TODAY())</f>
        <v/>
      </c>
      <c r="J496" s="16" t="inlineStr">
        <is>
          <t>Open posting</t>
        </is>
      </c>
      <c r="K496" s="8" t="inlineStr">
        <is>
          <t>filtered by keyword pre-scan</t>
        </is>
      </c>
      <c r="L496" s="17" t="inlineStr">
        <is>
          <t>new</t>
        </is>
      </c>
      <c r="M496" s="18" t="inlineStr"/>
      <c r="N496" s="7" t="inlineStr">
        <is>
          <t>f97dad693d1d0b019c6c4670904919b31ece4675</t>
        </is>
      </c>
      <c r="O496" s="14" t="n">
        <v>46187</v>
      </c>
      <c r="P496" s="7" t="inlineStr">
        <is>
          <t>jobspy</t>
        </is>
      </c>
      <c r="Q496" s="8" t="inlineStr">
        <is>
          <t>python, git</t>
        </is>
      </c>
      <c r="R496" s="8" t="inlineStr">
        <is>
          <t>Graduate Software Developer remote</t>
        </is>
      </c>
      <c r="S496" s="19" t="n"/>
      <c r="T496" s="19" t="n"/>
      <c r="U496" s="14" t="n">
        <v>46191</v>
      </c>
      <c r="V496" s="7" t="inlineStr">
        <is>
          <t>v2-cv-accuracy-13b988b18da8ea7d</t>
        </is>
      </c>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1.84</v>
      </c>
      <c r="C497" s="12" t="inlineStr">
        <is>
          <t>Graduate/Entry</t>
        </is>
      </c>
      <c r="D497" s="8" t="inlineStr">
        <is>
          <t>Graduate software engineer</t>
        </is>
      </c>
      <c r="E497" s="7" t="inlineStr">
        <is>
          <t>Bending Spoons</t>
        </is>
      </c>
      <c r="F497" s="8" t="inlineStr"/>
      <c r="G497" s="8" t="n"/>
      <c r="H497" s="14" t="n"/>
      <c r="I497" s="15">
        <f>IF($H497="","",$H497-TODAY())</f>
        <v/>
      </c>
      <c r="J497" s="16" t="inlineStr">
        <is>
          <t>Open posting</t>
        </is>
      </c>
      <c r="K497" s="8" t="inlineStr">
        <is>
          <t>filtered by keyword pre-scan</t>
        </is>
      </c>
      <c r="L497" s="17" t="inlineStr">
        <is>
          <t>new</t>
        </is>
      </c>
      <c r="M497" s="18" t="inlineStr"/>
      <c r="N497" s="7" t="inlineStr">
        <is>
          <t>f23ac7829fbfd3bb4f9b5a18489c508b713d77f9</t>
        </is>
      </c>
      <c r="O497" s="14" t="n">
        <v>46187</v>
      </c>
      <c r="P497" s="7" t="inlineStr">
        <is>
          <t>jobspy</t>
        </is>
      </c>
      <c r="Q497" s="8" t="inlineStr">
        <is>
          <t>python, git</t>
        </is>
      </c>
      <c r="R497" s="8" t="inlineStr">
        <is>
          <t>Graduate Software Developer remote</t>
        </is>
      </c>
      <c r="S497" s="19" t="n"/>
      <c r="T497" s="19" t="n"/>
      <c r="U497" s="14" t="n">
        <v>46191</v>
      </c>
      <c r="V497" s="7" t="inlineStr">
        <is>
          <t>v2-cv-accuracy-13b988b18da8ea7d</t>
        </is>
      </c>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1.84</v>
      </c>
      <c r="C498" s="12" t="inlineStr">
        <is>
          <t>Graduate/Entry</t>
        </is>
      </c>
      <c r="D498" s="8" t="inlineStr">
        <is>
          <t>Graduate software engineer</t>
        </is>
      </c>
      <c r="E498" s="7" t="inlineStr">
        <is>
          <t>WeTransfer</t>
        </is>
      </c>
      <c r="F498" s="8" t="inlineStr"/>
      <c r="G498" s="8" t="n"/>
      <c r="H498" s="14" t="n"/>
      <c r="I498" s="15">
        <f>IF($H498="","",$H498-TODAY())</f>
        <v/>
      </c>
      <c r="J498" s="16" t="inlineStr">
        <is>
          <t>Open posting</t>
        </is>
      </c>
      <c r="K498" s="8" t="inlineStr">
        <is>
          <t>filtered by keyword pre-scan</t>
        </is>
      </c>
      <c r="L498" s="17" t="inlineStr">
        <is>
          <t>new</t>
        </is>
      </c>
      <c r="M498" s="18" t="inlineStr"/>
      <c r="N498" s="7" t="inlineStr">
        <is>
          <t>ff0e14a1736706fb18b3d265241c69b4cf3297a1</t>
        </is>
      </c>
      <c r="O498" s="14" t="n">
        <v>46186</v>
      </c>
      <c r="P498" s="7" t="inlineStr">
        <is>
          <t>jobspy</t>
        </is>
      </c>
      <c r="Q498" s="8" t="inlineStr">
        <is>
          <t>python, git</t>
        </is>
      </c>
      <c r="R498" s="8" t="inlineStr">
        <is>
          <t>Graduate Software Developer remote</t>
        </is>
      </c>
      <c r="S498" s="19" t="n"/>
      <c r="T498" s="19" t="n"/>
      <c r="U498" s="14" t="n">
        <v>46191</v>
      </c>
      <c r="V498" s="7" t="inlineStr">
        <is>
          <t>v2-cv-accuracy-13b988b18da8ea7d</t>
        </is>
      </c>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1.84</v>
      </c>
      <c r="C499" s="12" t="inlineStr">
        <is>
          <t>Graduate/Entry</t>
        </is>
      </c>
      <c r="D499" s="8" t="inlineStr">
        <is>
          <t>Graduate Software Developer</t>
        </is>
      </c>
      <c r="E499" s="7" t="inlineStr">
        <is>
          <t>IBM</t>
        </is>
      </c>
      <c r="F499" s="8" t="inlineStr">
        <is>
          <t>Hursley, England, UK</t>
        </is>
      </c>
      <c r="G499" s="8" t="n"/>
      <c r="H499" s="14" t="n"/>
      <c r="I499" s="15">
        <f>IF($H499="","",$H499-TODAY())</f>
        <v/>
      </c>
      <c r="J499" s="16" t="inlineStr">
        <is>
          <t>Open posting</t>
        </is>
      </c>
      <c r="K499" s="8" t="inlineStr">
        <is>
          <t>filtered by keyword pre-scan</t>
        </is>
      </c>
      <c r="L499" s="17" t="inlineStr">
        <is>
          <t>new</t>
        </is>
      </c>
      <c r="M499" s="18" t="inlineStr"/>
      <c r="N499" s="7" t="inlineStr">
        <is>
          <t>57fb240e3167860aeef749cc0b15de496d7d28d4</t>
        </is>
      </c>
      <c r="O499" s="14" t="n">
        <v>46174</v>
      </c>
      <c r="P499" s="7" t="inlineStr">
        <is>
          <t>jobspy</t>
        </is>
      </c>
      <c r="Q499" s="8" t="inlineStr">
        <is>
          <t>python, git</t>
        </is>
      </c>
      <c r="R499" s="8" t="inlineStr">
        <is>
          <t>junior/graduate Junior Python Developer</t>
        </is>
      </c>
      <c r="S499" s="19" t="n"/>
      <c r="T499" s="19" t="n"/>
      <c r="U499" s="14" t="n">
        <v>46191</v>
      </c>
      <c r="V499" s="7" t="inlineStr">
        <is>
          <t>v2-cv-accuracy-13b988b18da8ea7d</t>
        </is>
      </c>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1.84</v>
      </c>
      <c r="C500" s="12" t="inlineStr">
        <is>
          <t>Unspecified</t>
        </is>
      </c>
      <c r="D500" s="8" t="inlineStr">
        <is>
          <t>Dev Ops Engineer</t>
        </is>
      </c>
      <c r="E500" s="7" t="inlineStr">
        <is>
          <t>EvaluAgent</t>
        </is>
      </c>
      <c r="F500" s="8" t="inlineStr">
        <is>
          <t>Remote, GB</t>
        </is>
      </c>
      <c r="G500" s="8" t="n"/>
      <c r="H500" s="14" t="n"/>
      <c r="I500" s="15">
        <f>IF($H500="","",$H500-TODAY())</f>
        <v/>
      </c>
      <c r="J500" s="16" t="inlineStr">
        <is>
          <t>Open posting</t>
        </is>
      </c>
      <c r="K500" s="8" t="inlineStr">
        <is>
          <t>filtered by keyword pre-scan</t>
        </is>
      </c>
      <c r="L500" s="17" t="inlineStr">
        <is>
          <t>new</t>
        </is>
      </c>
      <c r="M500" s="18" t="inlineStr"/>
      <c r="N500" s="7" t="inlineStr">
        <is>
          <t>616a5b99848fd92923e60c4488138098cfe8e227</t>
        </is>
      </c>
      <c r="O500" s="14" t="n">
        <v>46188</v>
      </c>
      <c r="P500" s="7" t="inlineStr">
        <is>
          <t>jobspy</t>
        </is>
      </c>
      <c r="Q500" s="8" t="inlineStr">
        <is>
          <t>git</t>
        </is>
      </c>
      <c r="R500" s="8" t="inlineStr">
        <is>
          <t>Full Stack Developer</t>
        </is>
      </c>
      <c r="S500" s="19" t="n"/>
      <c r="T500" s="19" t="n"/>
      <c r="U500" s="14" t="n">
        <v>46191</v>
      </c>
      <c r="V500" s="7" t="inlineStr">
        <is>
          <t>v2-cv-accuracy-13b988b18da8ea7d</t>
        </is>
      </c>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1.84</v>
      </c>
      <c r="C501" s="12" t="inlineStr">
        <is>
          <t>Mid-level</t>
        </is>
      </c>
      <c r="D501" s="8" t="inlineStr">
        <is>
          <t>Software Developer - Prime Services</t>
        </is>
      </c>
      <c r="E501" s="7" t="inlineStr">
        <is>
          <t>MAREX</t>
        </is>
      </c>
      <c r="F501" s="8" t="inlineStr">
        <is>
          <t>Belfast, NIR, GB</t>
        </is>
      </c>
      <c r="G501" s="8" t="n"/>
      <c r="H501" s="14" t="n"/>
      <c r="I501" s="15">
        <f>IF($H501="","",$H501-TODAY())</f>
        <v/>
      </c>
      <c r="J501" s="16" t="inlineStr">
        <is>
          <t>Open posting</t>
        </is>
      </c>
      <c r="K501" s="8" t="inlineStr">
        <is>
          <t>filtered by keyword pre-scan</t>
        </is>
      </c>
      <c r="L501" s="17" t="inlineStr">
        <is>
          <t>new</t>
        </is>
      </c>
      <c r="M501" s="18" t="inlineStr"/>
      <c r="N501" s="7" t="inlineStr">
        <is>
          <t>9b7a0085dc91beebc00ad74489757b4e28318222</t>
        </is>
      </c>
      <c r="O501" s="14" t="n">
        <v>46174</v>
      </c>
      <c r="P501" s="7" t="inlineStr">
        <is>
          <t>jobspy</t>
        </is>
      </c>
      <c r="Q501" s="8" t="inlineStr">
        <is>
          <t>git, software development</t>
        </is>
      </c>
      <c r="R501" s="8" t="inlineStr">
        <is>
          <t>Full Stack Developer</t>
        </is>
      </c>
      <c r="S501" s="19" t="n"/>
      <c r="T501" s="19" t="n"/>
      <c r="U501" s="14" t="n">
        <v>46191</v>
      </c>
      <c r="V501" s="7" t="inlineStr">
        <is>
          <t>v2-cv-accuracy-13b988b18da8ea7d</t>
        </is>
      </c>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1.84</v>
      </c>
      <c r="C502" s="12" t="inlineStr">
        <is>
          <t>Junior</t>
        </is>
      </c>
      <c r="D502" s="8" t="inlineStr">
        <is>
          <t>Front end developer</t>
        </is>
      </c>
      <c r="E502" s="7" t="inlineStr">
        <is>
          <t>hackajob</t>
        </is>
      </c>
      <c r="F502" s="8" t="inlineStr"/>
      <c r="G502" s="8" t="n"/>
      <c r="H502" s="14" t="n"/>
      <c r="I502" s="15">
        <f>IF($H502="","",$H502-TODAY())</f>
        <v/>
      </c>
      <c r="J502" s="16" t="inlineStr">
        <is>
          <t>Open posting</t>
        </is>
      </c>
      <c r="K502" s="8" t="inlineStr">
        <is>
          <t>filtered by keyword pre-scan</t>
        </is>
      </c>
      <c r="L502" s="17" t="inlineStr">
        <is>
          <t>new</t>
        </is>
      </c>
      <c r="M502" s="18" t="inlineStr"/>
      <c r="N502" s="7" t="inlineStr">
        <is>
          <t>6cec3eef8645f904d7885f39d3abc83fe141d06c</t>
        </is>
      </c>
      <c r="O502" s="14" t="n">
        <v>46181</v>
      </c>
      <c r="P502" s="7" t="inlineStr">
        <is>
          <t>jobspy</t>
        </is>
      </c>
      <c r="Q502" s="8" t="inlineStr">
        <is>
          <t>javascript, git</t>
        </is>
      </c>
      <c r="R502" s="8" t="inlineStr">
        <is>
          <t>Full Stack Developer</t>
        </is>
      </c>
      <c r="S502" s="19" t="n"/>
      <c r="T502" s="19" t="n"/>
      <c r="U502" s="14" t="n">
        <v>46191</v>
      </c>
      <c r="V502" s="7" t="inlineStr">
        <is>
          <t>v2-cv-accuracy-13b988b18da8ea7d</t>
        </is>
      </c>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1.84</v>
      </c>
      <c r="C503" s="12" t="inlineStr">
        <is>
          <t>Unspecified</t>
        </is>
      </c>
      <c r="D503" s="8" t="inlineStr">
        <is>
          <t>Founding Frontend Engineer</t>
        </is>
      </c>
      <c r="E503" s="7" t="inlineStr">
        <is>
          <t>Innerworks</t>
        </is>
      </c>
      <c r="F503" s="8" t="inlineStr">
        <is>
          <t>London, England, UK</t>
        </is>
      </c>
      <c r="G503" s="8" t="n"/>
      <c r="H503" s="14" t="n"/>
      <c r="I503" s="15">
        <f>IF($H503="","",$H503-TODAY())</f>
        <v/>
      </c>
      <c r="J503" s="16" t="inlineStr">
        <is>
          <t>Open posting</t>
        </is>
      </c>
      <c r="K503" s="8" t="inlineStr">
        <is>
          <t>filtered by keyword pre-scan</t>
        </is>
      </c>
      <c r="L503" s="17" t="inlineStr">
        <is>
          <t>new</t>
        </is>
      </c>
      <c r="M503" s="18" t="inlineStr"/>
      <c r="N503" s="7" t="inlineStr">
        <is>
          <t>9eba7c5b107a3a95b234b814d368cec57d9e1d2a</t>
        </is>
      </c>
      <c r="O503" s="14" t="n">
        <v>46177</v>
      </c>
      <c r="P503" s="7" t="inlineStr">
        <is>
          <t>jobspy</t>
        </is>
      </c>
      <c r="Q503" s="8" t="inlineStr">
        <is>
          <t>javascript, git</t>
        </is>
      </c>
      <c r="R503" s="8" t="inlineStr">
        <is>
          <t>Full Stack Developer</t>
        </is>
      </c>
      <c r="S503" s="19" t="n"/>
      <c r="T503" s="19" t="n"/>
      <c r="U503" s="14" t="n">
        <v>46191</v>
      </c>
      <c r="V503" s="7" t="inlineStr">
        <is>
          <t>v2-cv-accuracy-13b988b18da8ea7d</t>
        </is>
      </c>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1.84</v>
      </c>
      <c r="C504" s="12" t="inlineStr">
        <is>
          <t>Senior/Lead</t>
        </is>
      </c>
      <c r="D504" s="8" t="inlineStr">
        <is>
          <t>.NET Web Developer</t>
        </is>
      </c>
      <c r="E504" s="7" t="inlineStr">
        <is>
          <t>Fisher Educational Ltd</t>
        </is>
      </c>
      <c r="F504" s="8" t="inlineStr">
        <is>
          <t>Bolton, ENG, GB</t>
        </is>
      </c>
      <c r="G504" s="8" t="n"/>
      <c r="H504" s="14" t="n"/>
      <c r="I504" s="15">
        <f>IF($H504="","",$H504-TODAY())</f>
        <v/>
      </c>
      <c r="J504" s="16" t="inlineStr">
        <is>
          <t>Open posting</t>
        </is>
      </c>
      <c r="K504" s="8" t="inlineStr">
        <is>
          <t>filtered by keyword pre-scan</t>
        </is>
      </c>
      <c r="L504" s="17" t="inlineStr">
        <is>
          <t>new</t>
        </is>
      </c>
      <c r="M504" s="18" t="inlineStr"/>
      <c r="N504" s="7" t="inlineStr">
        <is>
          <t>b18cdb89ff960da1481e752eba1f1ffd13ac66a3</t>
        </is>
      </c>
      <c r="O504" s="14" t="n">
        <v>46178</v>
      </c>
      <c r="P504" s="7" t="inlineStr">
        <is>
          <t>jobspy</t>
        </is>
      </c>
      <c r="Q504" s="8" t="inlineStr">
        <is>
          <t>sql, javascript, git</t>
        </is>
      </c>
      <c r="R504" s="8" t="inlineStr">
        <is>
          <t>graduate Full Stack Developer</t>
        </is>
      </c>
      <c r="S504" s="19" t="n"/>
      <c r="T504" s="19" t="n"/>
      <c r="U504" s="14" t="n">
        <v>46191</v>
      </c>
      <c r="V504" s="7" t="inlineStr">
        <is>
          <t>v2-cv-accuracy-13b988b18da8ea7d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1.84</v>
      </c>
      <c r="C505" s="12" t="inlineStr">
        <is>
          <t>Junior</t>
        </is>
      </c>
      <c r="D505" s="8" t="inlineStr">
        <is>
          <t>Junior Software Engineer</t>
        </is>
      </c>
      <c r="E505" s="7" t="inlineStr">
        <is>
          <t>Gamma</t>
        </is>
      </c>
      <c r="F505" s="8" t="inlineStr">
        <is>
          <t>Newbury, England, UK</t>
        </is>
      </c>
      <c r="G505" s="8" t="n"/>
      <c r="H505" s="14" t="n"/>
      <c r="I505" s="15">
        <f>IF($H505="","",$H505-TODAY())</f>
        <v/>
      </c>
      <c r="J505" s="16" t="inlineStr">
        <is>
          <t>Open posting</t>
        </is>
      </c>
      <c r="K505" s="8" t="inlineStr">
        <is>
          <t>filtered by keyword pre-scan</t>
        </is>
      </c>
      <c r="L505" s="17" t="inlineStr">
        <is>
          <t>new</t>
        </is>
      </c>
      <c r="M505" s="18" t="inlineStr"/>
      <c r="N505" s="7" t="inlineStr">
        <is>
          <t>cc0dc2b46f770d780744ce221e49987773dac093</t>
        </is>
      </c>
      <c r="O505" s="14" t="n">
        <v>46179</v>
      </c>
      <c r="P505" s="7" t="inlineStr">
        <is>
          <t>jobspy</t>
        </is>
      </c>
      <c r="Q505" s="8" t="inlineStr">
        <is>
          <t>sql</t>
        </is>
      </c>
      <c r="R505" s="8" t="inlineStr">
        <is>
          <t>junior/graduate Graduate Software Developer</t>
        </is>
      </c>
      <c r="S505" s="19" t="n"/>
      <c r="T505" s="19" t="n"/>
      <c r="U505" s="14" t="n">
        <v>46191</v>
      </c>
      <c r="V505" s="7" t="inlineStr">
        <is>
          <t>v2-cv-accuracy-13b988b18da8ea7d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1.84</v>
      </c>
      <c r="C506" s="12" t="inlineStr">
        <is>
          <t>Graduate/Entry</t>
        </is>
      </c>
      <c r="D506" s="8" t="inlineStr">
        <is>
          <t>Graduate software engineer</t>
        </is>
      </c>
      <c r="E506" s="7" t="inlineStr">
        <is>
          <t>Bending Spoons</t>
        </is>
      </c>
      <c r="F506" s="8" t="inlineStr"/>
      <c r="G506" s="8" t="n"/>
      <c r="H506" s="14" t="n"/>
      <c r="I506" s="15">
        <f>IF($H506="","",$H506-TODAY())</f>
        <v/>
      </c>
      <c r="J506" s="16" t="inlineStr">
        <is>
          <t>Open posting</t>
        </is>
      </c>
      <c r="K506" s="8" t="inlineStr">
        <is>
          <t>filtered by keyword pre-scan</t>
        </is>
      </c>
      <c r="L506" s="17" t="inlineStr">
        <is>
          <t>new</t>
        </is>
      </c>
      <c r="M506" s="18" t="inlineStr"/>
      <c r="N506" s="7" t="inlineStr">
        <is>
          <t>9afc59608fde9e14b753427d0a906441520c14fc</t>
        </is>
      </c>
      <c r="O506" s="14" t="n">
        <v>46190</v>
      </c>
      <c r="P506" s="7" t="inlineStr">
        <is>
          <t>jobspy</t>
        </is>
      </c>
      <c r="Q506" s="8" t="inlineStr">
        <is>
          <t>python, git</t>
        </is>
      </c>
      <c r="R506" s="8" t="inlineStr">
        <is>
          <t>Graduate Software Developer remote</t>
        </is>
      </c>
      <c r="S506" s="19" t="n"/>
      <c r="T506" s="19" t="n"/>
      <c r="U506" s="14" t="n">
        <v>46191</v>
      </c>
      <c r="V506" s="7" t="inlineStr">
        <is>
          <t>v2-cv-accuracy-13b988b18da8ea7d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1.84</v>
      </c>
      <c r="C507" s="12" t="inlineStr">
        <is>
          <t>Graduate/Entry</t>
        </is>
      </c>
      <c r="D507" s="8" t="inlineStr">
        <is>
          <t>Graduate software engineer</t>
        </is>
      </c>
      <c r="E507" s="7" t="inlineStr">
        <is>
          <t>Bending Spoons</t>
        </is>
      </c>
      <c r="F507" s="8" t="inlineStr">
        <is>
          <t>Cambridge, England, UK</t>
        </is>
      </c>
      <c r="G507" s="8" t="n"/>
      <c r="H507" s="14" t="n"/>
      <c r="I507" s="15">
        <f>IF($H507="","",$H507-TODAY())</f>
        <v/>
      </c>
      <c r="J507" s="16" t="inlineStr">
        <is>
          <t>Open posting</t>
        </is>
      </c>
      <c r="K507" s="8" t="inlineStr">
        <is>
          <t>filtered by keyword pre-scan</t>
        </is>
      </c>
      <c r="L507" s="17" t="inlineStr">
        <is>
          <t>new</t>
        </is>
      </c>
      <c r="M507" s="18" t="inlineStr"/>
      <c r="N507" s="7" t="inlineStr">
        <is>
          <t>304442235df1d1b673777118f11efffb7faee5bc</t>
        </is>
      </c>
      <c r="O507" s="14" t="n">
        <v>46187</v>
      </c>
      <c r="P507" s="7" t="inlineStr">
        <is>
          <t>jobspy</t>
        </is>
      </c>
      <c r="Q507" s="8" t="inlineStr">
        <is>
          <t>python, git</t>
        </is>
      </c>
      <c r="R507" s="8" t="inlineStr">
        <is>
          <t>Graduate Software Developer remote</t>
        </is>
      </c>
      <c r="S507" s="19" t="n"/>
      <c r="T507" s="19" t="n"/>
      <c r="U507" s="14" t="n">
        <v>46191</v>
      </c>
      <c r="V507" s="7" t="inlineStr">
        <is>
          <t>v2-cv-accuracy-13b988b18da8ea7d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1.84</v>
      </c>
      <c r="C508" s="12" t="inlineStr">
        <is>
          <t>Graduate/Entry</t>
        </is>
      </c>
      <c r="D508" s="8" t="inlineStr">
        <is>
          <t>Graduate software engineer</t>
        </is>
      </c>
      <c r="E508" s="7" t="inlineStr">
        <is>
          <t>WeTransfer</t>
        </is>
      </c>
      <c r="F508" s="8" t="inlineStr">
        <is>
          <t>Cambridge, England, UK</t>
        </is>
      </c>
      <c r="G508" s="8" t="n"/>
      <c r="H508" s="14" t="n"/>
      <c r="I508" s="15">
        <f>IF($H508="","",$H508-TODAY())</f>
        <v/>
      </c>
      <c r="J508" s="16" t="inlineStr">
        <is>
          <t>Open posting</t>
        </is>
      </c>
      <c r="K508" s="8" t="inlineStr">
        <is>
          <t>filtered by keyword pre-scan</t>
        </is>
      </c>
      <c r="L508" s="17" t="inlineStr">
        <is>
          <t>new</t>
        </is>
      </c>
      <c r="M508" s="18" t="inlineStr"/>
      <c r="N508" s="7" t="inlineStr">
        <is>
          <t>75402c163a507743cbba5d76cf75cdf28b531b02</t>
        </is>
      </c>
      <c r="O508" s="14" t="n">
        <v>46186</v>
      </c>
      <c r="P508" s="7" t="inlineStr">
        <is>
          <t>jobspy</t>
        </is>
      </c>
      <c r="Q508" s="8" t="inlineStr">
        <is>
          <t>python, git</t>
        </is>
      </c>
      <c r="R508" s="8" t="inlineStr">
        <is>
          <t>Graduate Software Developer remote</t>
        </is>
      </c>
      <c r="S508" s="19" t="n"/>
      <c r="T508" s="19" t="n"/>
      <c r="U508" s="14" t="n">
        <v>46191</v>
      </c>
      <c r="V508" s="7" t="inlineStr">
        <is>
          <t>v2-cv-accuracy-13b988b18da8ea7d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1.84</v>
      </c>
      <c r="C509" s="12" t="inlineStr">
        <is>
          <t>Graduate/Entry</t>
        </is>
      </c>
      <c r="D509" s="8" t="inlineStr">
        <is>
          <t>Graduate software engineer</t>
        </is>
      </c>
      <c r="E509" s="7" t="inlineStr">
        <is>
          <t>WeTransfer</t>
        </is>
      </c>
      <c r="F509" s="8" t="inlineStr">
        <is>
          <t>Oxford, England, UK</t>
        </is>
      </c>
      <c r="G509" s="8" t="n"/>
      <c r="H509" s="14" t="n"/>
      <c r="I509" s="15">
        <f>IF($H509="","",$H509-TODAY())</f>
        <v/>
      </c>
      <c r="J509" s="16" t="inlineStr">
        <is>
          <t>Open posting</t>
        </is>
      </c>
      <c r="K509" s="8" t="inlineStr">
        <is>
          <t>filtered by keyword pre-scan</t>
        </is>
      </c>
      <c r="L509" s="17" t="inlineStr">
        <is>
          <t>new</t>
        </is>
      </c>
      <c r="M509" s="18" t="inlineStr"/>
      <c r="N509" s="7" t="inlineStr">
        <is>
          <t>b3049a707886a559d1223c5d0e5585974d4d9a26</t>
        </is>
      </c>
      <c r="O509" s="14" t="n">
        <v>46186</v>
      </c>
      <c r="P509" s="7" t="inlineStr">
        <is>
          <t>jobspy</t>
        </is>
      </c>
      <c r="Q509" s="8" t="inlineStr">
        <is>
          <t>python, git</t>
        </is>
      </c>
      <c r="R509" s="8" t="inlineStr">
        <is>
          <t>Graduate Software Developer remote</t>
        </is>
      </c>
      <c r="S509" s="19" t="n"/>
      <c r="T509" s="19" t="n"/>
      <c r="U509" s="14" t="n">
        <v>46191</v>
      </c>
      <c r="V509" s="7" t="inlineStr">
        <is>
          <t>v2-cv-accuracy-13b988b18da8ea7d</t>
        </is>
      </c>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1.84</v>
      </c>
      <c r="C510" s="12" t="inlineStr">
        <is>
          <t>Unspecified</t>
        </is>
      </c>
      <c r="D510" s="8" t="inlineStr">
        <is>
          <t>MERN Stack Developer</t>
        </is>
      </c>
      <c r="E510" s="7" t="inlineStr">
        <is>
          <t>Spait Infotech</t>
        </is>
      </c>
      <c r="F510" s="8" t="inlineStr">
        <is>
          <t>London Area, United Kingdom</t>
        </is>
      </c>
      <c r="G510" s="8" t="n"/>
      <c r="H510" s="14" t="n"/>
      <c r="I510" s="15">
        <f>IF($H510="","",$H510-TODAY())</f>
        <v/>
      </c>
      <c r="J510" s="16" t="inlineStr">
        <is>
          <t>Open posting</t>
        </is>
      </c>
      <c r="K510" s="8" t="inlineStr">
        <is>
          <t>filtered by keyword pre-scan</t>
        </is>
      </c>
      <c r="L510" s="17" t="inlineStr">
        <is>
          <t>new</t>
        </is>
      </c>
      <c r="M510" s="18" t="inlineStr"/>
      <c r="N510" s="7" t="inlineStr">
        <is>
          <t>9d7240ace4ee0b38c4e9730e5c3d45ece7a5cd26</t>
        </is>
      </c>
      <c r="O510" s="14" t="n">
        <v>46184</v>
      </c>
      <c r="P510" s="7" t="inlineStr">
        <is>
          <t>jobspy</t>
        </is>
      </c>
      <c r="Q510" s="8" t="inlineStr">
        <is>
          <t>javascript, git</t>
        </is>
      </c>
      <c r="R510" s="8" t="inlineStr">
        <is>
          <t>graduate Full Stack Developer</t>
        </is>
      </c>
      <c r="S510" s="19" t="n"/>
      <c r="T510" s="19" t="n"/>
      <c r="U510" s="14" t="n">
        <v>46191</v>
      </c>
      <c r="V510" s="7" t="inlineStr">
        <is>
          <t>v2-cv-accuracy-13b988b18da8ea7d</t>
        </is>
      </c>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1.84</v>
      </c>
      <c r="C511" s="12" t="inlineStr">
        <is>
          <t>Graduate/Entry</t>
        </is>
      </c>
      <c r="D511" s="8" t="inlineStr">
        <is>
          <t>Graduate software engineer</t>
        </is>
      </c>
      <c r="E511" s="7" t="inlineStr">
        <is>
          <t>Meetup</t>
        </is>
      </c>
      <c r="F511" s="8" t="inlineStr">
        <is>
          <t>London, England, UK</t>
        </is>
      </c>
      <c r="G511" s="8" t="n"/>
      <c r="H511" s="14" t="n"/>
      <c r="I511" s="15">
        <f>IF($H511="","",$H511-TODAY())</f>
        <v/>
      </c>
      <c r="J511" s="16" t="inlineStr">
        <is>
          <t>Open posting</t>
        </is>
      </c>
      <c r="K511" s="8" t="inlineStr">
        <is>
          <t>filtered by keyword pre-scan</t>
        </is>
      </c>
      <c r="L511" s="17" t="inlineStr">
        <is>
          <t>new</t>
        </is>
      </c>
      <c r="M511" s="18" t="inlineStr"/>
      <c r="N511" s="7" t="inlineStr">
        <is>
          <t>227cf39b91e83e69b9e1194624e9d5b7c10aafbb</t>
        </is>
      </c>
      <c r="O511" s="14" t="n"/>
      <c r="P511" s="7" t="inlineStr">
        <is>
          <t>jobspy</t>
        </is>
      </c>
      <c r="Q511" s="8" t="inlineStr">
        <is>
          <t>python, git</t>
        </is>
      </c>
      <c r="R511" s="8" t="inlineStr">
        <is>
          <t>Graduate Software Developer</t>
        </is>
      </c>
      <c r="S511" s="19" t="n"/>
      <c r="T511" s="19" t="n"/>
      <c r="U511" s="14" t="n">
        <v>46191</v>
      </c>
      <c r="V511" s="7" t="inlineStr">
        <is>
          <t>v2-cv-accuracy-13b988b18da8ea7d</t>
        </is>
      </c>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1.84</v>
      </c>
      <c r="C512" s="12" t="inlineStr">
        <is>
          <t>Graduate/Entry</t>
        </is>
      </c>
      <c r="D512" s="8" t="inlineStr">
        <is>
          <t>Graduate software engineer</t>
        </is>
      </c>
      <c r="E512" s="7" t="inlineStr">
        <is>
          <t>Evernote</t>
        </is>
      </c>
      <c r="F512" s="8" t="inlineStr">
        <is>
          <t>London, England, UK</t>
        </is>
      </c>
      <c r="G512" s="8" t="n"/>
      <c r="H512" s="14" t="n"/>
      <c r="I512" s="15">
        <f>IF($H512="","",$H512-TODAY())</f>
        <v/>
      </c>
      <c r="J512" s="16" t="inlineStr">
        <is>
          <t>Open posting</t>
        </is>
      </c>
      <c r="K512" s="8" t="inlineStr">
        <is>
          <t>filtered by keyword pre-scan</t>
        </is>
      </c>
      <c r="L512" s="17" t="inlineStr">
        <is>
          <t>new</t>
        </is>
      </c>
      <c r="M512" s="18" t="inlineStr"/>
      <c r="N512" s="7" t="inlineStr">
        <is>
          <t>67cd49d9cb10f0762d99c766d000e3a1ace27e62</t>
        </is>
      </c>
      <c r="O512" s="14" t="n"/>
      <c r="P512" s="7" t="inlineStr">
        <is>
          <t>jobspy</t>
        </is>
      </c>
      <c r="Q512" s="8" t="inlineStr">
        <is>
          <t>python, git</t>
        </is>
      </c>
      <c r="R512" s="8" t="inlineStr">
        <is>
          <t>Graduate Software Developer</t>
        </is>
      </c>
      <c r="S512" s="19" t="n"/>
      <c r="T512" s="19" t="n"/>
      <c r="U512" s="14" t="n">
        <v>46191</v>
      </c>
      <c r="V512" s="7" t="inlineStr">
        <is>
          <t>v2-cv-accuracy-13b988b18da8ea7d</t>
        </is>
      </c>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1.84</v>
      </c>
      <c r="C513" s="12" t="inlineStr">
        <is>
          <t>Graduate/Entry</t>
        </is>
      </c>
      <c r="D513" s="8" t="inlineStr">
        <is>
          <t>Graduate software engineer</t>
        </is>
      </c>
      <c r="E513" s="7" t="inlineStr">
        <is>
          <t>Meetup</t>
        </is>
      </c>
      <c r="F513" s="8" t="inlineStr"/>
      <c r="G513" s="8" t="n"/>
      <c r="H513" s="14" t="n"/>
      <c r="I513" s="15">
        <f>IF($H513="","",$H513-TODAY())</f>
        <v/>
      </c>
      <c r="J513" s="16" t="inlineStr">
        <is>
          <t>Open posting</t>
        </is>
      </c>
      <c r="K513" s="8" t="inlineStr">
        <is>
          <t>filtered by keyword pre-scan</t>
        </is>
      </c>
      <c r="L513" s="17" t="inlineStr">
        <is>
          <t>new</t>
        </is>
      </c>
      <c r="M513" s="18" t="inlineStr"/>
      <c r="N513" s="7" t="inlineStr">
        <is>
          <t>28564f70f9ef413182bab2ab8061eeaa6c949f38</t>
        </is>
      </c>
      <c r="O513" s="14" t="n"/>
      <c r="P513" s="7" t="inlineStr">
        <is>
          <t>jobspy</t>
        </is>
      </c>
      <c r="Q513" s="8" t="inlineStr">
        <is>
          <t>python, git</t>
        </is>
      </c>
      <c r="R513" s="8" t="inlineStr">
        <is>
          <t>Graduate Software Developer</t>
        </is>
      </c>
      <c r="S513" s="19" t="n"/>
      <c r="T513" s="19" t="n"/>
      <c r="U513" s="14" t="n">
        <v>46191</v>
      </c>
      <c r="V513" s="7" t="inlineStr">
        <is>
          <t>v2-cv-accuracy-13b988b18da8ea7d</t>
        </is>
      </c>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1.84</v>
      </c>
      <c r="C514" s="12" t="inlineStr">
        <is>
          <t>Graduate/Entry</t>
        </is>
      </c>
      <c r="D514" s="8" t="inlineStr">
        <is>
          <t>Graduate software engineer</t>
        </is>
      </c>
      <c r="E514" s="7" t="inlineStr">
        <is>
          <t>Bending Spoons</t>
        </is>
      </c>
      <c r="F514" s="8" t="inlineStr">
        <is>
          <t>Warwick, England, UK</t>
        </is>
      </c>
      <c r="G514" s="8" t="n"/>
      <c r="H514" s="14" t="n"/>
      <c r="I514" s="15">
        <f>IF($H514="","",$H514-TODAY())</f>
        <v/>
      </c>
      <c r="J514" s="16" t="inlineStr">
        <is>
          <t>Open posting</t>
        </is>
      </c>
      <c r="K514" s="8" t="inlineStr">
        <is>
          <t>filtered by keyword pre-scan</t>
        </is>
      </c>
      <c r="L514" s="17" t="inlineStr">
        <is>
          <t>new</t>
        </is>
      </c>
      <c r="M514" s="18" t="inlineStr"/>
      <c r="N514" s="7" t="inlineStr">
        <is>
          <t>1694d495a8814318827eb0a9794eb4fd0e653824</t>
        </is>
      </c>
      <c r="O514" s="14" t="n">
        <v>46190</v>
      </c>
      <c r="P514" s="7" t="inlineStr">
        <is>
          <t>jobspy</t>
        </is>
      </c>
      <c r="Q514" s="8" t="inlineStr">
        <is>
          <t>python, git</t>
        </is>
      </c>
      <c r="R514" s="8" t="inlineStr">
        <is>
          <t>junior Graduate Software Developer</t>
        </is>
      </c>
      <c r="S514" s="19" t="n"/>
      <c r="T514" s="19" t="n"/>
      <c r="U514" s="14" t="n">
        <v>46191</v>
      </c>
      <c r="V514" s="7" t="inlineStr">
        <is>
          <t>v2-cv-accuracy-13b988b18da8ea7d</t>
        </is>
      </c>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1.84</v>
      </c>
      <c r="C515" s="12" t="inlineStr">
        <is>
          <t>Senior/Lead</t>
        </is>
      </c>
      <c r="D515" s="8" t="inlineStr">
        <is>
          <t>Software Engineer</t>
        </is>
      </c>
      <c r="E515" s="7" t="inlineStr">
        <is>
          <t>The Open University</t>
        </is>
      </c>
      <c r="F515" s="8" t="inlineStr">
        <is>
          <t>Milton Keynes, England, UK</t>
        </is>
      </c>
      <c r="G515" s="8" t="n"/>
      <c r="H515" s="14" t="n"/>
      <c r="I515" s="15">
        <f>IF($H515="","",$H515-TODAY())</f>
        <v/>
      </c>
      <c r="J515" s="16" t="inlineStr">
        <is>
          <t>Open posting</t>
        </is>
      </c>
      <c r="K515" s="8" t="inlineStr">
        <is>
          <t>filtered by keyword pre-scan</t>
        </is>
      </c>
      <c r="L515" s="17" t="inlineStr">
        <is>
          <t>new</t>
        </is>
      </c>
      <c r="M515" s="18" t="inlineStr"/>
      <c r="N515" s="7" t="inlineStr">
        <is>
          <t>b46a5d321ed99e963f54d89ff1dc2b1c5fc7813e</t>
        </is>
      </c>
      <c r="O515" s="14" t="n">
        <v>46185</v>
      </c>
      <c r="P515" s="7" t="inlineStr">
        <is>
          <t>jobspy</t>
        </is>
      </c>
      <c r="Q515" s="8" t="inlineStr">
        <is>
          <t>git, software development</t>
        </is>
      </c>
      <c r="R515" s="8" t="inlineStr">
        <is>
          <t>junior Graduate Software Developer</t>
        </is>
      </c>
      <c r="S515" s="19" t="n"/>
      <c r="T515" s="19" t="n"/>
      <c r="U515" s="14" t="n">
        <v>46191</v>
      </c>
      <c r="V515" s="7" t="inlineStr">
        <is>
          <t>v2-cv-accuracy-13b988b18da8ea7d</t>
        </is>
      </c>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1.84</v>
      </c>
      <c r="C516" s="12" t="inlineStr">
        <is>
          <t>Senior/Lead</t>
        </is>
      </c>
      <c r="D516" s="8" t="inlineStr">
        <is>
          <t>Software Engineer (Backend, Python)</t>
        </is>
      </c>
      <c r="E516" s="7" t="inlineStr">
        <is>
          <t>Octopus Energy</t>
        </is>
      </c>
      <c r="F516" s="8" t="inlineStr">
        <is>
          <t>London, England, UK</t>
        </is>
      </c>
      <c r="G516" s="8" t="n"/>
      <c r="H516" s="14" t="n"/>
      <c r="I516" s="15">
        <f>IF($H516="","",$H516-TODAY())</f>
        <v/>
      </c>
      <c r="J516" s="16" t="inlineStr">
        <is>
          <t>Open posting</t>
        </is>
      </c>
      <c r="K516" s="8" t="inlineStr">
        <is>
          <t>filtered by keyword pre-scan</t>
        </is>
      </c>
      <c r="L516" s="17" t="inlineStr">
        <is>
          <t>new</t>
        </is>
      </c>
      <c r="M516" s="18" t="inlineStr"/>
      <c r="N516" s="7" t="inlineStr">
        <is>
          <t>b4d9baf7979f41f70e391388b52be3297e1705a8</t>
        </is>
      </c>
      <c r="O516" s="14" t="n">
        <v>46184</v>
      </c>
      <c r="P516" s="7" t="inlineStr">
        <is>
          <t>jobspy</t>
        </is>
      </c>
      <c r="Q516" s="8" t="inlineStr">
        <is>
          <t>python, rest apis, git</t>
        </is>
      </c>
      <c r="R516" s="8" t="inlineStr">
        <is>
          <t>junior Graduate Software Developer</t>
        </is>
      </c>
      <c r="S516" s="19" t="n"/>
      <c r="T516" s="19" t="n"/>
      <c r="U516" s="14" t="n">
        <v>46191</v>
      </c>
      <c r="V516" s="7" t="inlineStr">
        <is>
          <t>v2-cv-accuracy-13b988b18da8ea7d</t>
        </is>
      </c>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1.84</v>
      </c>
      <c r="C517" s="12" t="inlineStr">
        <is>
          <t>Graduate/Entry</t>
        </is>
      </c>
      <c r="D517" s="8" t="inlineStr">
        <is>
          <t>Graduate software engineer</t>
        </is>
      </c>
      <c r="E517" s="7" t="inlineStr">
        <is>
          <t>Meetup</t>
        </is>
      </c>
      <c r="F517" s="8" t="inlineStr">
        <is>
          <t>Cambridge, England, UK</t>
        </is>
      </c>
      <c r="G517" s="8" t="n"/>
      <c r="H517" s="14" t="n"/>
      <c r="I517" s="15">
        <f>IF($H517="","",$H517-TODAY())</f>
        <v/>
      </c>
      <c r="J517" s="16" t="inlineStr">
        <is>
          <t>Open posting</t>
        </is>
      </c>
      <c r="K517" s="8" t="inlineStr">
        <is>
          <t>filtered by keyword pre-scan</t>
        </is>
      </c>
      <c r="L517" s="17" t="inlineStr">
        <is>
          <t>new</t>
        </is>
      </c>
      <c r="M517" s="18" t="inlineStr"/>
      <c r="N517" s="7" t="inlineStr">
        <is>
          <t>a061273dd6df5501d115c770ad3e15c85929e176</t>
        </is>
      </c>
      <c r="O517" s="14" t="n"/>
      <c r="P517" s="7" t="inlineStr">
        <is>
          <t>jobspy</t>
        </is>
      </c>
      <c r="Q517" s="8" t="inlineStr">
        <is>
          <t>python, git</t>
        </is>
      </c>
      <c r="R517" s="8" t="inlineStr">
        <is>
          <t>graduate Graduate Software Developer</t>
        </is>
      </c>
      <c r="S517" s="19" t="n"/>
      <c r="T517" s="19" t="n"/>
      <c r="U517" s="14" t="n">
        <v>46191</v>
      </c>
      <c r="V517" s="7" t="inlineStr">
        <is>
          <t>v2-cv-accuracy-13b988b18da8ea7d</t>
        </is>
      </c>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1.84</v>
      </c>
      <c r="C518" s="12" t="inlineStr">
        <is>
          <t>Graduate/Entry</t>
        </is>
      </c>
      <c r="D518" s="8" t="inlineStr">
        <is>
          <t>Graduate software engineer</t>
        </is>
      </c>
      <c r="E518" s="7" t="inlineStr">
        <is>
          <t>WeTransfer</t>
        </is>
      </c>
      <c r="F518" s="8" t="inlineStr">
        <is>
          <t>London, England, UK</t>
        </is>
      </c>
      <c r="G518" s="8" t="n"/>
      <c r="H518" s="14" t="n"/>
      <c r="I518" s="15">
        <f>IF($H518="","",$H518-TODAY())</f>
        <v/>
      </c>
      <c r="J518" s="16" t="inlineStr">
        <is>
          <t>Open posting</t>
        </is>
      </c>
      <c r="K518" s="8" t="inlineStr">
        <is>
          <t>filtered by keyword pre-scan</t>
        </is>
      </c>
      <c r="L518" s="17" t="inlineStr">
        <is>
          <t>new</t>
        </is>
      </c>
      <c r="M518" s="18" t="inlineStr"/>
      <c r="N518" s="7" t="inlineStr">
        <is>
          <t>3188123e7ac4fa53e11a209b515763b507ed5376</t>
        </is>
      </c>
      <c r="O518" s="14" t="n"/>
      <c r="P518" s="7" t="inlineStr">
        <is>
          <t>jobspy</t>
        </is>
      </c>
      <c r="Q518" s="8" t="inlineStr">
        <is>
          <t>python, git</t>
        </is>
      </c>
      <c r="R518" s="8" t="inlineStr">
        <is>
          <t>graduate Graduate Software Developer</t>
        </is>
      </c>
      <c r="S518" s="19" t="n"/>
      <c r="T518" s="19" t="n"/>
      <c r="U518" s="14" t="n">
        <v>46191</v>
      </c>
      <c r="V518" s="7" t="inlineStr">
        <is>
          <t>v2-cv-accuracy-13b988b18da8ea7d</t>
        </is>
      </c>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1.84</v>
      </c>
      <c r="C519" s="12" t="inlineStr">
        <is>
          <t>Graduate/Entry</t>
        </is>
      </c>
      <c r="D519" s="8" t="inlineStr">
        <is>
          <t>Graduate software engineer</t>
        </is>
      </c>
      <c r="E519" s="7" t="inlineStr">
        <is>
          <t>Evernote</t>
        </is>
      </c>
      <c r="F519" s="8" t="inlineStr">
        <is>
          <t>Oxford, England, UK</t>
        </is>
      </c>
      <c r="G519" s="8" t="n"/>
      <c r="H519" s="14" t="n"/>
      <c r="I519" s="15">
        <f>IF($H519="","",$H519-TODAY())</f>
        <v/>
      </c>
      <c r="J519" s="16" t="inlineStr">
        <is>
          <t>Open posting</t>
        </is>
      </c>
      <c r="K519" s="8" t="inlineStr">
        <is>
          <t>filtered by keyword pre-scan</t>
        </is>
      </c>
      <c r="L519" s="17" t="inlineStr">
        <is>
          <t>new</t>
        </is>
      </c>
      <c r="M519" s="18" t="inlineStr"/>
      <c r="N519" s="7" t="inlineStr">
        <is>
          <t>e04ba9594aed0b43cd2270aa25601cbbd438a365</t>
        </is>
      </c>
      <c r="O519" s="14" t="n"/>
      <c r="P519" s="7" t="inlineStr">
        <is>
          <t>jobspy</t>
        </is>
      </c>
      <c r="Q519" s="8" t="inlineStr">
        <is>
          <t>python, git</t>
        </is>
      </c>
      <c r="R519" s="8" t="inlineStr">
        <is>
          <t>graduate Graduate Software Developer</t>
        </is>
      </c>
      <c r="S519" s="19" t="n"/>
      <c r="T519" s="19" t="n"/>
      <c r="U519" s="14" t="n">
        <v>46191</v>
      </c>
      <c r="V519" s="7" t="inlineStr">
        <is>
          <t>v2-cv-accuracy-13b988b18da8ea7d</t>
        </is>
      </c>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1.84</v>
      </c>
      <c r="C520" s="12" t="inlineStr">
        <is>
          <t>Graduate/Entry</t>
        </is>
      </c>
      <c r="D520" s="8" t="inlineStr">
        <is>
          <t>Graduate software engineer</t>
        </is>
      </c>
      <c r="E520" s="7" t="inlineStr">
        <is>
          <t>Bending Spoons</t>
        </is>
      </c>
      <c r="F520" s="8" t="inlineStr">
        <is>
          <t>Oxford, England, UK</t>
        </is>
      </c>
      <c r="G520" s="8" t="n"/>
      <c r="H520" s="14" t="n"/>
      <c r="I520" s="15">
        <f>IF($H520="","",$H520-TODAY())</f>
        <v/>
      </c>
      <c r="J520" s="16" t="inlineStr">
        <is>
          <t>Open posting</t>
        </is>
      </c>
      <c r="K520" s="8" t="inlineStr">
        <is>
          <t>filtered by keyword pre-scan</t>
        </is>
      </c>
      <c r="L520" s="17" t="inlineStr">
        <is>
          <t>new</t>
        </is>
      </c>
      <c r="M520" s="18" t="inlineStr"/>
      <c r="N520" s="7" t="inlineStr">
        <is>
          <t>b7508a5f1a2d4904c0c15d4eea37d386df58d079</t>
        </is>
      </c>
      <c r="O520" s="14" t="n">
        <v>46187</v>
      </c>
      <c r="P520" s="7" t="inlineStr">
        <is>
          <t>jobspy</t>
        </is>
      </c>
      <c r="Q520" s="8" t="inlineStr">
        <is>
          <t>python, git</t>
        </is>
      </c>
      <c r="R520" s="8" t="inlineStr">
        <is>
          <t>junior/graduate Graduate Software Developer</t>
        </is>
      </c>
      <c r="S520" s="19" t="n"/>
      <c r="T520" s="19" t="n"/>
      <c r="U520" s="14" t="n">
        <v>46191</v>
      </c>
      <c r="V520" s="7" t="inlineStr">
        <is>
          <t>v2-cv-accuracy-13b988b18da8ea7d</t>
        </is>
      </c>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1.84</v>
      </c>
      <c r="C521" s="12" t="inlineStr">
        <is>
          <t>Graduate/Entry</t>
        </is>
      </c>
      <c r="D521" s="8" t="inlineStr">
        <is>
          <t>Graduate software engineer</t>
        </is>
      </c>
      <c r="E521" s="7" t="inlineStr">
        <is>
          <t>Meetup</t>
        </is>
      </c>
      <c r="F521" s="8" t="inlineStr">
        <is>
          <t>Oxford, England, UK</t>
        </is>
      </c>
      <c r="G521" s="8" t="n"/>
      <c r="H521" s="14" t="n"/>
      <c r="I521" s="15">
        <f>IF($H521="","",$H521-TODAY())</f>
        <v/>
      </c>
      <c r="J521" s="16" t="inlineStr">
        <is>
          <t>Open posting</t>
        </is>
      </c>
      <c r="K521" s="8" t="inlineStr">
        <is>
          <t>filtered by keyword pre-scan</t>
        </is>
      </c>
      <c r="L521" s="17" t="inlineStr">
        <is>
          <t>new</t>
        </is>
      </c>
      <c r="M521" s="18" t="inlineStr"/>
      <c r="N521" s="7" t="inlineStr">
        <is>
          <t>722d43e0ce86ad473f074cd16bf90c895fad8d6f</t>
        </is>
      </c>
      <c r="O521" s="14" t="n"/>
      <c r="P521" s="7" t="inlineStr">
        <is>
          <t>jobspy</t>
        </is>
      </c>
      <c r="Q521" s="8" t="inlineStr">
        <is>
          <t>python, git</t>
        </is>
      </c>
      <c r="R521" s="8" t="inlineStr">
        <is>
          <t>Graduate Software Developer remote</t>
        </is>
      </c>
      <c r="S521" s="19" t="n"/>
      <c r="T521" s="19" t="n"/>
      <c r="U521" s="14" t="n">
        <v>46191</v>
      </c>
      <c r="V521" s="7" t="inlineStr">
        <is>
          <t>v2-cv-accuracy-13b988b18da8ea7d</t>
        </is>
      </c>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1.84</v>
      </c>
      <c r="C522" s="12" t="inlineStr">
        <is>
          <t>Graduate/Entry</t>
        </is>
      </c>
      <c r="D522" s="8" t="inlineStr">
        <is>
          <t>Graduate software engineer</t>
        </is>
      </c>
      <c r="E522" s="7" t="inlineStr">
        <is>
          <t>WeTransfer</t>
        </is>
      </c>
      <c r="F522" s="8" t="inlineStr">
        <is>
          <t>Oxford, England, UK</t>
        </is>
      </c>
      <c r="G522" s="8" t="n"/>
      <c r="H522" s="14" t="n"/>
      <c r="I522" s="15">
        <f>IF($H522="","",$H522-TODAY())</f>
        <v/>
      </c>
      <c r="J522" s="16" t="inlineStr">
        <is>
          <t>Open posting</t>
        </is>
      </c>
      <c r="K522" s="8" t="inlineStr">
        <is>
          <t>filtered by keyword pre-scan</t>
        </is>
      </c>
      <c r="L522" s="17" t="inlineStr">
        <is>
          <t>new</t>
        </is>
      </c>
      <c r="M522" s="18" t="inlineStr"/>
      <c r="N522" s="7" t="inlineStr">
        <is>
          <t>a880f96ae25fe7532d1679588850c901094e6a38</t>
        </is>
      </c>
      <c r="O522" s="14" t="n"/>
      <c r="P522" s="7" t="inlineStr">
        <is>
          <t>jobspy</t>
        </is>
      </c>
      <c r="Q522" s="8" t="inlineStr">
        <is>
          <t>python, git</t>
        </is>
      </c>
      <c r="R522" s="8" t="inlineStr">
        <is>
          <t>Graduate Software Developer remote</t>
        </is>
      </c>
      <c r="S522" s="19" t="n"/>
      <c r="T522" s="19" t="n"/>
      <c r="U522" s="14" t="n">
        <v>46191</v>
      </c>
      <c r="V522" s="7" t="inlineStr">
        <is>
          <t>v2-cv-accuracy-13b988b18da8ea7d</t>
        </is>
      </c>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1.84</v>
      </c>
      <c r="C523" s="12" t="inlineStr">
        <is>
          <t>Graduate/Entry</t>
        </is>
      </c>
      <c r="D523" s="8" t="inlineStr">
        <is>
          <t>Graduate software engineer</t>
        </is>
      </c>
      <c r="E523" s="7" t="inlineStr">
        <is>
          <t>WeTransfer</t>
        </is>
      </c>
      <c r="F523" s="8" t="inlineStr">
        <is>
          <t>Cambridge, England, UK</t>
        </is>
      </c>
      <c r="G523" s="8" t="n"/>
      <c r="H523" s="14" t="n"/>
      <c r="I523" s="15">
        <f>IF($H523="","",$H523-TODAY())</f>
        <v/>
      </c>
      <c r="J523" s="16" t="inlineStr">
        <is>
          <t>Open posting</t>
        </is>
      </c>
      <c r="K523" s="8" t="inlineStr">
        <is>
          <t>filtered by keyword pre-scan</t>
        </is>
      </c>
      <c r="L523" s="17" t="inlineStr">
        <is>
          <t>new</t>
        </is>
      </c>
      <c r="M523" s="18" t="inlineStr"/>
      <c r="N523" s="7" t="inlineStr">
        <is>
          <t>67cf54a64d27bd2486fd7e6595ee6fbd6f2ab84c</t>
        </is>
      </c>
      <c r="O523" s="14" t="n"/>
      <c r="P523" s="7" t="inlineStr">
        <is>
          <t>jobspy</t>
        </is>
      </c>
      <c r="Q523" s="8" t="inlineStr">
        <is>
          <t>python, git</t>
        </is>
      </c>
      <c r="R523" s="8" t="inlineStr">
        <is>
          <t>Graduate Software Developer remote</t>
        </is>
      </c>
      <c r="S523" s="19" t="n"/>
      <c r="T523" s="19" t="n"/>
      <c r="U523" s="14" t="n">
        <v>46191</v>
      </c>
      <c r="V523" s="7" t="inlineStr">
        <is>
          <t>v2-cv-accuracy-13b988b18da8ea7d</t>
        </is>
      </c>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1.84</v>
      </c>
      <c r="C524" s="12" t="inlineStr">
        <is>
          <t>Graduate/Entry</t>
        </is>
      </c>
      <c r="D524" s="8" t="inlineStr">
        <is>
          <t>Graduate software engineer</t>
        </is>
      </c>
      <c r="E524" s="7" t="inlineStr">
        <is>
          <t>Evernote</t>
        </is>
      </c>
      <c r="F524" s="8" t="inlineStr">
        <is>
          <t>Cambridge, England, UK</t>
        </is>
      </c>
      <c r="G524" s="8" t="n"/>
      <c r="H524" s="14" t="n"/>
      <c r="I524" s="15">
        <f>IF($H524="","",$H524-TODAY())</f>
        <v/>
      </c>
      <c r="J524" s="16" t="inlineStr">
        <is>
          <t>Open posting</t>
        </is>
      </c>
      <c r="K524" s="8" t="inlineStr">
        <is>
          <t>filtered by keyword pre-scan</t>
        </is>
      </c>
      <c r="L524" s="17" t="inlineStr">
        <is>
          <t>new</t>
        </is>
      </c>
      <c r="M524" s="18" t="inlineStr"/>
      <c r="N524" s="7" t="inlineStr">
        <is>
          <t>8551448320e261602ffc423b6cec327763c479aa</t>
        </is>
      </c>
      <c r="O524" s="14" t="n"/>
      <c r="P524" s="7" t="inlineStr">
        <is>
          <t>jobspy</t>
        </is>
      </c>
      <c r="Q524" s="8" t="inlineStr">
        <is>
          <t>python, git</t>
        </is>
      </c>
      <c r="R524" s="8" t="inlineStr">
        <is>
          <t>Graduate Software Developer remote</t>
        </is>
      </c>
      <c r="S524" s="19" t="n"/>
      <c r="T524" s="19" t="n"/>
      <c r="U524" s="14" t="n">
        <v>46191</v>
      </c>
      <c r="V524" s="7" t="inlineStr">
        <is>
          <t>v2-cv-accuracy-13b988b18da8ea7d</t>
        </is>
      </c>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1.84</v>
      </c>
      <c r="C525" s="12" t="inlineStr">
        <is>
          <t>Graduate/Entry</t>
        </is>
      </c>
      <c r="D525" s="8" t="inlineStr">
        <is>
          <t>Graduate Programme 2027: Software Engineer (Python)</t>
        </is>
      </c>
      <c r="E525" s="7" t="inlineStr">
        <is>
          <t>Revolut</t>
        </is>
      </c>
      <c r="F525" s="8" t="inlineStr"/>
      <c r="G525" s="8" t="n"/>
      <c r="H525" s="14" t="n"/>
      <c r="I525" s="15">
        <f>IF($H525="","",$H525-TODAY())</f>
        <v/>
      </c>
      <c r="J525" s="16" t="inlineStr">
        <is>
          <t>Open posting</t>
        </is>
      </c>
      <c r="K525" s="8" t="inlineStr">
        <is>
          <t>filtered by keyword pre-scan</t>
        </is>
      </c>
      <c r="L525" s="17" t="inlineStr">
        <is>
          <t>new</t>
        </is>
      </c>
      <c r="M525" s="18" t="inlineStr"/>
      <c r="N525" s="7" t="inlineStr">
        <is>
          <t>91f251f7cb829accb29bb47bf1ab0e742dd85ab2</t>
        </is>
      </c>
      <c r="O525" s="14" t="n"/>
      <c r="P525" s="7" t="inlineStr">
        <is>
          <t>jobspy</t>
        </is>
      </c>
      <c r="Q525" s="8" t="inlineStr">
        <is>
          <t>python, sql</t>
        </is>
      </c>
      <c r="R525" s="8" t="inlineStr">
        <is>
          <t>Graduate Software Developer remote</t>
        </is>
      </c>
      <c r="S525" s="19" t="n"/>
      <c r="T525" s="19" t="n"/>
      <c r="U525" s="14" t="n">
        <v>46191</v>
      </c>
      <c r="V525" s="7" t="inlineStr">
        <is>
          <t>v2-cv-accuracy-13b988b18da8ea7d</t>
        </is>
      </c>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1.84</v>
      </c>
      <c r="C526" s="12" t="inlineStr">
        <is>
          <t>Junior</t>
        </is>
      </c>
      <c r="D526" s="8" t="inlineStr">
        <is>
          <t>Junior Software Engineer (m/f/d) AI and Data Systems</t>
        </is>
      </c>
      <c r="E526" s="7" t="inlineStr">
        <is>
          <t>Rohde &amp; Schwarz</t>
        </is>
      </c>
      <c r="F526" s="8" t="inlineStr">
        <is>
          <t>Berlin, Germany</t>
        </is>
      </c>
      <c r="G526" s="8" t="n"/>
      <c r="H526" s="14" t="n"/>
      <c r="I526" s="15">
        <f>IF($H526="","",$H526-TODAY())</f>
        <v/>
      </c>
      <c r="J526" s="16" t="inlineStr">
        <is>
          <t>Open posting</t>
        </is>
      </c>
      <c r="K526" s="8" t="inlineStr">
        <is>
          <t>filtered by keyword pre-scan</t>
        </is>
      </c>
      <c r="L526" s="17" t="inlineStr">
        <is>
          <t>new</t>
        </is>
      </c>
      <c r="M526" s="18" t="inlineStr"/>
      <c r="N526" s="7" t="inlineStr">
        <is>
          <t>af28a49786b37d50b2d7d929731ef1a92eda6fc5</t>
        </is>
      </c>
      <c r="O526" s="14" t="n">
        <v>46185</v>
      </c>
      <c r="P526" s="7" t="inlineStr">
        <is>
          <t>jobspy</t>
        </is>
      </c>
      <c r="Q526" s="8" t="inlineStr">
        <is>
          <t>python, javascript</t>
        </is>
      </c>
      <c r="R526" s="8" t="inlineStr">
        <is>
          <t>junior/graduate Junior Python Developer</t>
        </is>
      </c>
      <c r="S526" s="19" t="n"/>
      <c r="T526" s="19" t="n"/>
      <c r="U526" s="14" t="n">
        <v>46191</v>
      </c>
      <c r="V526" s="7" t="inlineStr">
        <is>
          <t>v2-cv-accuracy-13b988b18da8ea7d</t>
        </is>
      </c>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1.84</v>
      </c>
      <c r="C527" s="12" t="inlineStr">
        <is>
          <t>Junior</t>
        </is>
      </c>
      <c r="D527" s="8" t="inlineStr">
        <is>
          <t>Junior Software Engineer (m/f/d) AI and Data Systems</t>
        </is>
      </c>
      <c r="E527" s="7" t="inlineStr">
        <is>
          <t>Rohde &amp; Schwarz</t>
        </is>
      </c>
      <c r="F527" s="8" t="inlineStr">
        <is>
          <t>Berlin, Berlin, Germany</t>
        </is>
      </c>
      <c r="G527" s="8" t="n"/>
      <c r="H527" s="14" t="n"/>
      <c r="I527" s="15">
        <f>IF($H527="","",$H527-TODAY())</f>
        <v/>
      </c>
      <c r="J527" s="16" t="inlineStr">
        <is>
          <t>Open posting</t>
        </is>
      </c>
      <c r="K527" s="8" t="inlineStr">
        <is>
          <t>filtered by keyword pre-scan</t>
        </is>
      </c>
      <c r="L527" s="17" t="inlineStr">
        <is>
          <t>new</t>
        </is>
      </c>
      <c r="M527" s="18" t="inlineStr"/>
      <c r="N527" s="7" t="inlineStr">
        <is>
          <t>e22363404d51f4b974ec33897418818fafcef680</t>
        </is>
      </c>
      <c r="O527" s="14" t="n">
        <v>46184</v>
      </c>
      <c r="P527" s="7" t="inlineStr">
        <is>
          <t>jobspy</t>
        </is>
      </c>
      <c r="Q527" s="8" t="inlineStr">
        <is>
          <t>python, javascript</t>
        </is>
      </c>
      <c r="R527" s="8" t="inlineStr">
        <is>
          <t>junior/graduate Junior Python Developer</t>
        </is>
      </c>
      <c r="S527" s="19" t="n"/>
      <c r="T527" s="19" t="n"/>
      <c r="U527" s="14" t="n">
        <v>46191</v>
      </c>
      <c r="V527" s="7" t="inlineStr">
        <is>
          <t>v2-cv-accuracy-13b988b18da8ea7d</t>
        </is>
      </c>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1.84</v>
      </c>
      <c r="C528" s="12" t="inlineStr">
        <is>
          <t>Junior</t>
        </is>
      </c>
      <c r="D528" s="8" t="inlineStr">
        <is>
          <t>Software Developer - .NET &amp; Angular</t>
        </is>
      </c>
      <c r="E528" s="7" t="inlineStr">
        <is>
          <t>Network Plus</t>
        </is>
      </c>
      <c r="F528" s="8" t="inlineStr">
        <is>
          <t>Salford, ENG, GB</t>
        </is>
      </c>
      <c r="G528" s="8" t="n"/>
      <c r="H528" s="14" t="n"/>
      <c r="I528" s="15">
        <f>IF($H528="","",$H528-TODAY())</f>
        <v/>
      </c>
      <c r="J528" s="16" t="inlineStr">
        <is>
          <t>Open posting</t>
        </is>
      </c>
      <c r="K528" s="8" t="inlineStr">
        <is>
          <t>filtered by keyword pre-scan</t>
        </is>
      </c>
      <c r="L528" s="17" t="inlineStr">
        <is>
          <t>new</t>
        </is>
      </c>
      <c r="M528" s="18" t="inlineStr"/>
      <c r="N528" s="7" t="inlineStr">
        <is>
          <t>8aae4245b6eba272c66e5ce0d85cf8e5248ac666</t>
        </is>
      </c>
      <c r="O528" s="14" t="n">
        <v>46191</v>
      </c>
      <c r="P528" s="7" t="inlineStr">
        <is>
          <t>jobspy</t>
        </is>
      </c>
      <c r="Q528" s="8" t="inlineStr">
        <is>
          <t>sql, git</t>
        </is>
      </c>
      <c r="R528" s="8" t="inlineStr">
        <is>
          <t>Full Stack Developer</t>
        </is>
      </c>
      <c r="S528" s="19" t="n"/>
      <c r="T528" s="19" t="n"/>
      <c r="U528" s="14" t="n">
        <v>46191</v>
      </c>
      <c r="V528" s="7" t="inlineStr">
        <is>
          <t>v2-cv-accuracy-13b988b18da8ea7d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1.84</v>
      </c>
      <c r="C529" s="12" t="inlineStr">
        <is>
          <t>Unspecified</t>
        </is>
      </c>
      <c r="D529" s="8" t="inlineStr">
        <is>
          <t>Full Stack Engineer</t>
        </is>
      </c>
      <c r="E529" s="7" t="inlineStr">
        <is>
          <t>TechYard</t>
        </is>
      </c>
      <c r="F529" s="8" t="inlineStr">
        <is>
          <t>Liverpool, England, UK</t>
        </is>
      </c>
      <c r="G529" s="8" t="n"/>
      <c r="H529" s="14" t="n"/>
      <c r="I529" s="15">
        <f>IF($H529="","",$H529-TODAY())</f>
        <v/>
      </c>
      <c r="J529" s="16" t="inlineStr">
        <is>
          <t>Open posting</t>
        </is>
      </c>
      <c r="K529" s="8" t="inlineStr">
        <is>
          <t>filtered by keyword pre-scan</t>
        </is>
      </c>
      <c r="L529" s="17" t="inlineStr">
        <is>
          <t>new</t>
        </is>
      </c>
      <c r="M529" s="18" t="inlineStr"/>
      <c r="N529" s="7" t="inlineStr">
        <is>
          <t>eaa50f4e7e9063f582284d9be5586e1ef4d70107</t>
        </is>
      </c>
      <c r="O529" s="14" t="n">
        <v>46183</v>
      </c>
      <c r="P529" s="7" t="inlineStr">
        <is>
          <t>jobspy</t>
        </is>
      </c>
      <c r="Q529" s="8" t="inlineStr">
        <is>
          <t>sql, git</t>
        </is>
      </c>
      <c r="R529" s="8" t="inlineStr">
        <is>
          <t>Full Stack Developer</t>
        </is>
      </c>
      <c r="S529" s="19" t="n"/>
      <c r="T529" s="19" t="n"/>
      <c r="U529" s="14" t="n">
        <v>46191</v>
      </c>
      <c r="V529" s="7" t="inlineStr">
        <is>
          <t>v2-cv-accuracy-13b988b18da8ea7d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1.84</v>
      </c>
      <c r="C530" s="12" t="inlineStr">
        <is>
          <t>Graduate/Entry</t>
        </is>
      </c>
      <c r="D530" s="8" t="inlineStr">
        <is>
          <t>Graduate software engineer</t>
        </is>
      </c>
      <c r="E530" s="7" t="inlineStr">
        <is>
          <t>Evernote</t>
        </is>
      </c>
      <c r="F530" s="8" t="inlineStr"/>
      <c r="G530" s="8" t="n"/>
      <c r="H530" s="14" t="n"/>
      <c r="I530" s="15">
        <f>IF($H530="","",$H530-TODAY())</f>
        <v/>
      </c>
      <c r="J530" s="16" t="inlineStr">
        <is>
          <t>Open posting</t>
        </is>
      </c>
      <c r="K530" s="8" t="inlineStr">
        <is>
          <t>filtered by keyword pre-scan</t>
        </is>
      </c>
      <c r="L530" s="17" t="inlineStr">
        <is>
          <t>new</t>
        </is>
      </c>
      <c r="M530" s="18" t="inlineStr"/>
      <c r="N530" s="7" t="inlineStr">
        <is>
          <t>1322e778766df774d9136deed03b57f47103bdd0</t>
        </is>
      </c>
      <c r="O530" s="14" t="n"/>
      <c r="P530" s="7" t="inlineStr">
        <is>
          <t>jobspy</t>
        </is>
      </c>
      <c r="Q530" s="8" t="inlineStr">
        <is>
          <t>python, git</t>
        </is>
      </c>
      <c r="R530" s="8" t="inlineStr">
        <is>
          <t>Graduate Software Developer remote</t>
        </is>
      </c>
      <c r="S530" s="19" t="n"/>
      <c r="T530" s="19" t="n"/>
      <c r="U530" s="14" t="n">
        <v>46191</v>
      </c>
      <c r="V530" s="7" t="inlineStr">
        <is>
          <t>v2-cv-accuracy-13b988b18da8ea7d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1.84</v>
      </c>
      <c r="C531" s="12" t="inlineStr">
        <is>
          <t>Junior</t>
        </is>
      </c>
      <c r="D531" s="8" t="inlineStr">
        <is>
          <t>Junior Software Engineer</t>
        </is>
      </c>
      <c r="E531" s="7" t="inlineStr">
        <is>
          <t>Advanced Research + Invention Agency (ARIA)</t>
        </is>
      </c>
      <c r="F531" s="8" t="inlineStr">
        <is>
          <t>London, England, UK</t>
        </is>
      </c>
      <c r="G531" s="8" t="n"/>
      <c r="H531" s="14" t="n"/>
      <c r="I531" s="15">
        <f>IF($H531="","",$H531-TODAY())</f>
        <v/>
      </c>
      <c r="J531" s="16" t="inlineStr">
        <is>
          <t>Open posting</t>
        </is>
      </c>
      <c r="K531" s="8" t="inlineStr">
        <is>
          <t>filtered by keyword pre-scan</t>
        </is>
      </c>
      <c r="L531" s="17" t="inlineStr">
        <is>
          <t>new</t>
        </is>
      </c>
      <c r="M531" s="18" t="inlineStr"/>
      <c r="N531" s="7" t="inlineStr">
        <is>
          <t>f8f1a3acfa57e0dcdbadd6d561e6cc4d82e3aa8e</t>
        </is>
      </c>
      <c r="O531" s="14" t="n">
        <v>46189</v>
      </c>
      <c r="P531" s="7" t="inlineStr">
        <is>
          <t>jobspy</t>
        </is>
      </c>
      <c r="Q531" s="8" t="inlineStr">
        <is>
          <t>python, git</t>
        </is>
      </c>
      <c r="R531" s="8" t="inlineStr">
        <is>
          <t>junior/graduate Junior Python Developer</t>
        </is>
      </c>
      <c r="S531" s="19" t="n"/>
      <c r="T531" s="19" t="n"/>
      <c r="U531" s="14" t="n">
        <v>46191</v>
      </c>
      <c r="V531" s="7" t="inlineStr">
        <is>
          <t>v2-cv-accuracy-13b988b18da8ea7d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1.84</v>
      </c>
      <c r="C532" s="12" t="inlineStr">
        <is>
          <t>Unspecified</t>
        </is>
      </c>
      <c r="D532" s="8" t="inlineStr">
        <is>
          <t>Python Software Engineer</t>
        </is>
      </c>
      <c r="E532" s="7" t="inlineStr">
        <is>
          <t>Haystack</t>
        </is>
      </c>
      <c r="F532" s="8" t="inlineStr"/>
      <c r="G532" s="8" t="n"/>
      <c r="H532" s="14" t="n"/>
      <c r="I532" s="15">
        <f>IF($H532="","",$H532-TODAY())</f>
        <v/>
      </c>
      <c r="J532" s="16" t="inlineStr">
        <is>
          <t>Open posting</t>
        </is>
      </c>
      <c r="K532" s="8" t="inlineStr">
        <is>
          <t>filtered by keyword pre-scan</t>
        </is>
      </c>
      <c r="L532" s="17" t="inlineStr">
        <is>
          <t>new</t>
        </is>
      </c>
      <c r="M532" s="18" t="inlineStr"/>
      <c r="N532" s="7" t="inlineStr">
        <is>
          <t>dc8e2f42c17b2cd1bbc150487980110c4c3ca294</t>
        </is>
      </c>
      <c r="O532" s="14" t="n">
        <v>46189</v>
      </c>
      <c r="P532" s="7" t="inlineStr">
        <is>
          <t>jobspy</t>
        </is>
      </c>
      <c r="Q532" s="8" t="inlineStr">
        <is>
          <t>python, sql</t>
        </is>
      </c>
      <c r="R532" s="8" t="inlineStr">
        <is>
          <t>Junior Python Developer remote</t>
        </is>
      </c>
      <c r="S532" s="19" t="n"/>
      <c r="T532" s="19" t="n"/>
      <c r="U532" s="14" t="n">
        <v>46191</v>
      </c>
      <c r="V532" s="7" t="inlineStr">
        <is>
          <t>v2-cv-accuracy-13b988b18da8ea7d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1.84</v>
      </c>
      <c r="C533" s="12" t="inlineStr">
        <is>
          <t>Graduate/Entry</t>
        </is>
      </c>
      <c r="D533" s="8" t="inlineStr">
        <is>
          <t>Graduate software engineer</t>
        </is>
      </c>
      <c r="E533" s="7" t="inlineStr">
        <is>
          <t>Bending Spoons</t>
        </is>
      </c>
      <c r="F533" s="8" t="inlineStr">
        <is>
          <t>Edinburgh, Scotland, UK</t>
        </is>
      </c>
      <c r="G533" s="8" t="n"/>
      <c r="H533" s="14" t="n"/>
      <c r="I533" s="15">
        <f>IF($H533="","",$H533-TODAY())</f>
        <v/>
      </c>
      <c r="J533" s="16" t="inlineStr">
        <is>
          <t>Open posting</t>
        </is>
      </c>
      <c r="K533" s="8" t="inlineStr">
        <is>
          <t>filtered by keyword pre-scan</t>
        </is>
      </c>
      <c r="L533" s="17" t="inlineStr">
        <is>
          <t>new</t>
        </is>
      </c>
      <c r="M533" s="18" t="inlineStr"/>
      <c r="N533" s="7" t="inlineStr">
        <is>
          <t>313c42c18d9eb8f14dc5a66faaf20d393b389aeb</t>
        </is>
      </c>
      <c r="O533" s="14" t="n">
        <v>46190</v>
      </c>
      <c r="P533" s="7" t="inlineStr">
        <is>
          <t>jobspy</t>
        </is>
      </c>
      <c r="Q533" s="8" t="inlineStr">
        <is>
          <t>python, git</t>
        </is>
      </c>
      <c r="R533" s="8" t="inlineStr">
        <is>
          <t>graduate Graduate Software Developer</t>
        </is>
      </c>
      <c r="S533" s="19" t="n"/>
      <c r="T533" s="19" t="n"/>
      <c r="U533" s="14" t="n">
        <v>46191</v>
      </c>
      <c r="V533" s="7" t="inlineStr">
        <is>
          <t>v2-cv-accuracy-13b988b18da8ea7d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1.84</v>
      </c>
      <c r="C534" s="12" t="inlineStr">
        <is>
          <t>Senior/Lead</t>
        </is>
      </c>
      <c r="D534" s="8" t="inlineStr">
        <is>
          <t>Python Software Engineer</t>
        </is>
      </c>
      <c r="E534" s="7" t="inlineStr">
        <is>
          <t>Instil</t>
        </is>
      </c>
      <c r="F534" s="8" t="inlineStr">
        <is>
          <t>Belfast, Northern Ireland, UK</t>
        </is>
      </c>
      <c r="G534" s="8" t="n"/>
      <c r="H534" s="14" t="n"/>
      <c r="I534" s="15">
        <f>IF($H534="","",$H534-TODAY())</f>
        <v/>
      </c>
      <c r="J534" s="16" t="inlineStr">
        <is>
          <t>Open posting</t>
        </is>
      </c>
      <c r="K534" s="8" t="inlineStr">
        <is>
          <t>filtered by keyword pre-scan</t>
        </is>
      </c>
      <c r="L534" s="17" t="inlineStr">
        <is>
          <t>new</t>
        </is>
      </c>
      <c r="M534" s="18" t="inlineStr"/>
      <c r="N534" s="7" t="inlineStr">
        <is>
          <t>521dc07b36676bb0c4a45e1a0e4e6ad2f8299f68</t>
        </is>
      </c>
      <c r="O534" s="14" t="n">
        <v>46188</v>
      </c>
      <c r="P534" s="7" t="inlineStr">
        <is>
          <t>jobspy</t>
        </is>
      </c>
      <c r="Q534" s="8" t="inlineStr">
        <is>
          <t>python, git</t>
        </is>
      </c>
      <c r="R534" s="8" t="inlineStr">
        <is>
          <t>Junior Python Developer</t>
        </is>
      </c>
      <c r="S534" s="19" t="n"/>
      <c r="T534" s="19" t="n"/>
      <c r="U534" s="14" t="n">
        <v>46191</v>
      </c>
      <c r="V534" s="7" t="inlineStr">
        <is>
          <t>v2-cv-accuracy-13b988b18da8ea7d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1.84</v>
      </c>
      <c r="C535" s="12" t="inlineStr">
        <is>
          <t>Mid-level</t>
        </is>
      </c>
      <c r="D535" s="8" t="inlineStr">
        <is>
          <t>Mid-Level Backend Developer</t>
        </is>
      </c>
      <c r="E535" s="7" t="inlineStr">
        <is>
          <t>Oliver Bernard</t>
        </is>
      </c>
      <c r="F535" s="8" t="inlineStr"/>
      <c r="G535" s="8" t="n"/>
      <c r="H535" s="14" t="n"/>
      <c r="I535" s="15">
        <f>IF($H535="","",$H535-TODAY())</f>
        <v/>
      </c>
      <c r="J535" s="16" t="inlineStr">
        <is>
          <t>Open posting</t>
        </is>
      </c>
      <c r="K535" s="8" t="inlineStr">
        <is>
          <t>filtered by keyword pre-scan</t>
        </is>
      </c>
      <c r="L535" s="17" t="inlineStr">
        <is>
          <t>new</t>
        </is>
      </c>
      <c r="M535" s="18" t="inlineStr"/>
      <c r="N535" s="7" t="inlineStr">
        <is>
          <t>5481d3575e55da23eca777567c0d7f03145a2f59</t>
        </is>
      </c>
      <c r="O535" s="14" t="n">
        <v>46188</v>
      </c>
      <c r="P535" s="7" t="inlineStr">
        <is>
          <t>jobspy</t>
        </is>
      </c>
      <c r="Q535" s="8" t="inlineStr">
        <is>
          <t>python, sql</t>
        </is>
      </c>
      <c r="R535" s="8" t="inlineStr">
        <is>
          <t>Junior Python Developer remote</t>
        </is>
      </c>
      <c r="S535" s="19" t="n"/>
      <c r="T535" s="19" t="n"/>
      <c r="U535" s="14" t="n">
        <v>46191</v>
      </c>
      <c r="V535" s="7" t="inlineStr">
        <is>
          <t>v2-cv-accuracy-13b988b18da8ea7d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1.84</v>
      </c>
      <c r="C536" s="12" t="inlineStr">
        <is>
          <t>Mid-level</t>
        </is>
      </c>
      <c r="D536" s="8" t="inlineStr">
        <is>
          <t>Mid-Level Python Developer</t>
        </is>
      </c>
      <c r="E536" s="7" t="inlineStr">
        <is>
          <t>Oliver Bernard</t>
        </is>
      </c>
      <c r="F536" s="8" t="inlineStr"/>
      <c r="G536" s="8" t="n"/>
      <c r="H536" s="14" t="n"/>
      <c r="I536" s="15">
        <f>IF($H536="","",$H536-TODAY())</f>
        <v/>
      </c>
      <c r="J536" s="16" t="inlineStr">
        <is>
          <t>Open posting</t>
        </is>
      </c>
      <c r="K536" s="8" t="inlineStr">
        <is>
          <t>filtered by keyword pre-scan</t>
        </is>
      </c>
      <c r="L536" s="17" t="inlineStr">
        <is>
          <t>new</t>
        </is>
      </c>
      <c r="M536" s="18" t="inlineStr"/>
      <c r="N536" s="7" t="inlineStr">
        <is>
          <t>75e95d5a3d80ff748fccb06c26ba8d7142ed1cf6</t>
        </is>
      </c>
      <c r="O536" s="14" t="n">
        <v>46181</v>
      </c>
      <c r="P536" s="7" t="inlineStr">
        <is>
          <t>jobspy</t>
        </is>
      </c>
      <c r="Q536" s="8" t="inlineStr">
        <is>
          <t>python, sql</t>
        </is>
      </c>
      <c r="R536" s="8" t="inlineStr">
        <is>
          <t>Junior Python Developer remote</t>
        </is>
      </c>
      <c r="S536" s="19" t="n"/>
      <c r="T536" s="19" t="n"/>
      <c r="U536" s="14" t="n">
        <v>46191</v>
      </c>
      <c r="V536" s="7" t="inlineStr">
        <is>
          <t>v2-cv-accuracy-13b988b18da8ea7d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1.83</v>
      </c>
      <c r="C537" s="12" t="inlineStr">
        <is>
          <t>Senior/Lead</t>
        </is>
      </c>
      <c r="D537" s="8" t="inlineStr">
        <is>
          <t>Data Engineer</t>
        </is>
      </c>
      <c r="E537" s="7" t="inlineStr">
        <is>
          <t>Ripjar</t>
        </is>
      </c>
      <c r="F537" s="8" t="inlineStr"/>
      <c r="G537" s="8" t="n"/>
      <c r="H537" s="14" t="n"/>
      <c r="I537" s="15">
        <f>IF($H537="","",$H537-TODAY())</f>
        <v/>
      </c>
      <c r="J537" s="16" t="inlineStr">
        <is>
          <t>Open posting</t>
        </is>
      </c>
      <c r="K537" s="8" t="inlineStr">
        <is>
          <t>filtered by keyword pre-scan</t>
        </is>
      </c>
      <c r="L537" s="17" t="inlineStr">
        <is>
          <t>new</t>
        </is>
      </c>
      <c r="M537" s="18" t="inlineStr"/>
      <c r="N537" s="7" t="inlineStr">
        <is>
          <t>d518293c395ce7a517c359c5fc6fca73d6601ea2</t>
        </is>
      </c>
      <c r="O537" s="14" t="n">
        <v>46180</v>
      </c>
      <c r="P537" s="7" t="inlineStr">
        <is>
          <t>jobspy</t>
        </is>
      </c>
      <c r="Q537" s="8" t="inlineStr">
        <is>
          <t>python, kubernetes, git, c</t>
        </is>
      </c>
      <c r="R537" s="8" t="inlineStr">
        <is>
          <t>Junior Data Engineer Python SQL Docker remote</t>
        </is>
      </c>
      <c r="S537" s="19" t="n"/>
      <c r="T537" s="19" t="n"/>
      <c r="U537" s="14" t="n">
        <v>46197</v>
      </c>
      <c r="V537" s="7" t="inlineStr">
        <is>
          <t>v2-cv-accuracy-13b988b18da8ea7d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1.83</v>
      </c>
      <c r="C538" s="12" t="inlineStr">
        <is>
          <t>Unspecified</t>
        </is>
      </c>
      <c r="D538" s="8" t="inlineStr">
        <is>
          <t>Fullstack Software Engineer</t>
        </is>
      </c>
      <c r="E538" s="7" t="inlineStr">
        <is>
          <t>Addepar</t>
        </is>
      </c>
      <c r="F538" s="8" t="inlineStr"/>
      <c r="G538" s="8" t="n"/>
      <c r="H538" s="14" t="n"/>
      <c r="I538" s="15">
        <f>IF($H538="","",$H538-TODAY())</f>
        <v/>
      </c>
      <c r="J538" s="16" t="inlineStr">
        <is>
          <t>Open posting</t>
        </is>
      </c>
      <c r="K538" s="8" t="inlineStr">
        <is>
          <t>filtered by keyword pre-scan</t>
        </is>
      </c>
      <c r="L538" s="17" t="inlineStr">
        <is>
          <t>new</t>
        </is>
      </c>
      <c r="M538" s="18" t="inlineStr"/>
      <c r="N538" s="7" t="inlineStr">
        <is>
          <t>c2380397ba131d13820b0ab2f905e48b3f766be2</t>
        </is>
      </c>
      <c r="O538" s="14" t="n">
        <v>46179</v>
      </c>
      <c r="P538" s="7" t="inlineStr">
        <is>
          <t>jobspy</t>
        </is>
      </c>
      <c r="Q538" s="8" t="inlineStr">
        <is>
          <t>python, sql, mysql, c, javascript</t>
        </is>
      </c>
      <c r="R538" s="8" t="inlineStr">
        <is>
          <t>Graduate Software Engineer Python JavaScript remote</t>
        </is>
      </c>
      <c r="S538" s="19" t="n"/>
      <c r="T538" s="19" t="n"/>
      <c r="U538" s="14" t="n">
        <v>46196</v>
      </c>
      <c r="V538" s="7" t="inlineStr">
        <is>
          <t>v2-cv-accuracy-13b988b18da8ea7d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1.83</v>
      </c>
      <c r="C539" s="12" t="inlineStr">
        <is>
          <t>Senior/Lead</t>
        </is>
      </c>
      <c r="D539" s="8" t="inlineStr">
        <is>
          <t>Back End Developer</t>
        </is>
      </c>
      <c r="E539" s="7" t="inlineStr">
        <is>
          <t>Brown &amp; Brown UK</t>
        </is>
      </c>
      <c r="F539" s="8" t="inlineStr">
        <is>
          <t>London Area, United Kingdom</t>
        </is>
      </c>
      <c r="G539" s="8" t="n"/>
      <c r="H539" s="14" t="n"/>
      <c r="I539" s="15">
        <f>IF($H539="","",$H539-TODAY())</f>
        <v/>
      </c>
      <c r="J539" s="16" t="inlineStr">
        <is>
          <t>Open posting</t>
        </is>
      </c>
      <c r="K539" s="8" t="inlineStr">
        <is>
          <t>filtered by keyword pre-scan</t>
        </is>
      </c>
      <c r="L539" s="17" t="inlineStr">
        <is>
          <t>new</t>
        </is>
      </c>
      <c r="M539" s="18" t="inlineStr"/>
      <c r="N539" s="7" t="inlineStr">
        <is>
          <t>c08e780603b7fcca71a4af4c7d419931863d7e5a</t>
        </is>
      </c>
      <c r="O539" s="14" t="n">
        <v>46176</v>
      </c>
      <c r="P539" s="7" t="inlineStr">
        <is>
          <t>jobspy</t>
        </is>
      </c>
      <c r="Q539" s="8" t="inlineStr">
        <is>
          <t>sql, docker, kubernetes, git, c</t>
        </is>
      </c>
      <c r="R539" s="8" t="inlineStr">
        <is>
          <t>Junior Python Developer backend SQL Docker</t>
        </is>
      </c>
      <c r="S539" s="19" t="n"/>
      <c r="T539" s="19" t="n"/>
      <c r="U539" s="14" t="n">
        <v>46196</v>
      </c>
      <c r="V539" s="7" t="inlineStr">
        <is>
          <t>v2-cv-accuracy-13b988b18da8ea7d</t>
        </is>
      </c>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1.83</v>
      </c>
      <c r="C540" s="12" t="inlineStr">
        <is>
          <t>Unspecified</t>
        </is>
      </c>
      <c r="D540" s="8" t="inlineStr">
        <is>
          <t>Software Engineer</t>
        </is>
      </c>
      <c r="E540" s="7" t="inlineStr">
        <is>
          <t>NCR Voyix</t>
        </is>
      </c>
      <c r="F540" s="8" t="inlineStr">
        <is>
          <t>Bath, England, UK</t>
        </is>
      </c>
      <c r="G540" s="8" t="n"/>
      <c r="H540" s="14" t="n"/>
      <c r="I540" s="15">
        <f>IF($H540="","",$H540-TODAY())</f>
        <v/>
      </c>
      <c r="J540" s="16" t="inlineStr">
        <is>
          <t>Open posting</t>
        </is>
      </c>
      <c r="K540" s="8" t="inlineStr">
        <is>
          <t>filtered by keyword pre-scan</t>
        </is>
      </c>
      <c r="L540" s="17" t="inlineStr">
        <is>
          <t>new</t>
        </is>
      </c>
      <c r="M540" s="18" t="inlineStr"/>
      <c r="N540" s="7" t="inlineStr">
        <is>
          <t>e0fdef575a75c579d2d2602469d080e35b2deefe</t>
        </is>
      </c>
      <c r="O540" s="14" t="n">
        <v>46184</v>
      </c>
      <c r="P540" s="7" t="inlineStr">
        <is>
          <t>jobspy</t>
        </is>
      </c>
      <c r="Q540" s="8" t="inlineStr">
        <is>
          <t>python, docker, kubernetes, git, c</t>
        </is>
      </c>
      <c r="R540" s="8" t="inlineStr">
        <is>
          <t>Graduate Software Engineer Python embedded</t>
        </is>
      </c>
      <c r="S540" s="19" t="n"/>
      <c r="T540" s="19" t="n"/>
      <c r="U540" s="14" t="n">
        <v>46195</v>
      </c>
      <c r="V540" s="7" t="inlineStr">
        <is>
          <t>v2-cv-accuracy-13b988b18da8ea7d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1.83</v>
      </c>
      <c r="C541" s="12" t="inlineStr">
        <is>
          <t>Unspecified</t>
        </is>
      </c>
      <c r="D541" s="8" t="inlineStr">
        <is>
          <t>Platform Integration Engineer</t>
        </is>
      </c>
      <c r="E541" s="7" t="inlineStr">
        <is>
          <t>Symmetric Headhunting</t>
        </is>
      </c>
      <c r="F541" s="8" t="inlineStr"/>
      <c r="G541" s="8" t="n"/>
      <c r="H541" s="14" t="n"/>
      <c r="I541" s="15">
        <f>IF($H541="","",$H541-TODAY())</f>
        <v/>
      </c>
      <c r="J541" s="16" t="inlineStr">
        <is>
          <t>Open posting</t>
        </is>
      </c>
      <c r="K541" s="8" t="inlineStr">
        <is>
          <t>filtered by keyword pre-scan</t>
        </is>
      </c>
      <c r="L541" s="17" t="inlineStr">
        <is>
          <t>new</t>
        </is>
      </c>
      <c r="M541" s="18" t="inlineStr"/>
      <c r="N541" s="7" t="inlineStr">
        <is>
          <t>09ec1aff3c51336fc5cffd5decb68305a3b4b168</t>
        </is>
      </c>
      <c r="O541" s="14" t="n">
        <v>46193</v>
      </c>
      <c r="P541" s="7" t="inlineStr">
        <is>
          <t>jobspy</t>
        </is>
      </c>
      <c r="Q541" s="8" t="inlineStr">
        <is>
          <t>python, docker, kubernetes, git, c</t>
        </is>
      </c>
      <c r="R541" s="8" t="inlineStr">
        <is>
          <t>Platform Engineer graduate Python Docker remote</t>
        </is>
      </c>
      <c r="S541" s="19" t="n"/>
      <c r="T541" s="19" t="n"/>
      <c r="U541" s="14" t="n">
        <v>46195</v>
      </c>
      <c r="V541" s="7" t="inlineStr">
        <is>
          <t>v2-cv-accuracy-13b988b18da8ea7d</t>
        </is>
      </c>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1.83</v>
      </c>
      <c r="C542" s="12" t="inlineStr">
        <is>
          <t>Unspecified</t>
        </is>
      </c>
      <c r="D542" s="8" t="inlineStr">
        <is>
          <t>Data Engineer</t>
        </is>
      </c>
      <c r="E542" s="7" t="inlineStr">
        <is>
          <t>Helic &amp; Co</t>
        </is>
      </c>
      <c r="F542" s="8" t="inlineStr"/>
      <c r="G542" s="8" t="n"/>
      <c r="H542" s="14" t="n"/>
      <c r="I542" s="15">
        <f>IF($H542="","",$H542-TODAY())</f>
        <v/>
      </c>
      <c r="J542" s="16" t="inlineStr">
        <is>
          <t>Open posting</t>
        </is>
      </c>
      <c r="K542" s="8" t="inlineStr">
        <is>
          <t>filtered by keyword pre-scan</t>
        </is>
      </c>
      <c r="L542" s="17" t="inlineStr">
        <is>
          <t>new</t>
        </is>
      </c>
      <c r="M542" s="18" t="inlineStr"/>
      <c r="N542" s="7" t="inlineStr">
        <is>
          <t>ea89e8aaed24235942edfbbdd3d76cd6057ee50a</t>
        </is>
      </c>
      <c r="O542" s="14" t="n"/>
      <c r="P542" s="7" t="inlineStr">
        <is>
          <t>jobspy</t>
        </is>
      </c>
      <c r="Q542" s="8" t="inlineStr">
        <is>
          <t>python, sql, docker, kubernetes, c</t>
        </is>
      </c>
      <c r="R542" s="8" t="inlineStr">
        <is>
          <t>Junior Data Engineer Python SQL MySQL remote</t>
        </is>
      </c>
      <c r="S542" s="19" t="n"/>
      <c r="T542" s="19" t="n"/>
      <c r="U542" s="14" t="n">
        <v>46195</v>
      </c>
      <c r="V542" s="7" t="inlineStr">
        <is>
          <t>v2-cv-accuracy-13b988b18da8ea7d</t>
        </is>
      </c>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1.83</v>
      </c>
      <c r="C543" s="12" t="inlineStr">
        <is>
          <t>Senior/Lead</t>
        </is>
      </c>
      <c r="D543" s="8" t="inlineStr">
        <is>
          <t>Design Verification Engineer</t>
        </is>
      </c>
      <c r="E543" s="7" t="inlineStr">
        <is>
          <t>Codasip</t>
        </is>
      </c>
      <c r="F543" s="8" t="inlineStr">
        <is>
          <t>Cambridge, England, UK</t>
        </is>
      </c>
      <c r="G543" s="8" t="n"/>
      <c r="H543" s="14" t="n"/>
      <c r="I543" s="15">
        <f>IF($H543="","",$H543-TODAY())</f>
        <v/>
      </c>
      <c r="J543" s="16" t="inlineStr">
        <is>
          <t>Open posting</t>
        </is>
      </c>
      <c r="K543" s="8" t="inlineStr">
        <is>
          <t>filtered by keyword pre-scan</t>
        </is>
      </c>
      <c r="L543" s="17" t="inlineStr">
        <is>
          <t>new</t>
        </is>
      </c>
      <c r="M543" s="18" t="inlineStr"/>
      <c r="N543" s="7" t="inlineStr">
        <is>
          <t>030a1c33f5b6a5becd2189f0ee67400dc677aa26</t>
        </is>
      </c>
      <c r="O543" s="14" t="n"/>
      <c r="P543" s="7" t="inlineStr">
        <is>
          <t>jobspy</t>
        </is>
      </c>
      <c r="Q543" s="8" t="inlineStr">
        <is>
          <t>python, verilog, git, c, embedded systems</t>
        </is>
      </c>
      <c r="R543" s="8" t="inlineStr">
        <is>
          <t>Graduate Verification Engineer Verilog digital design</t>
        </is>
      </c>
      <c r="S543" s="19" t="n"/>
      <c r="T543" s="19" t="n"/>
      <c r="U543" s="14" t="n">
        <v>46195</v>
      </c>
      <c r="V543" s="7" t="inlineStr">
        <is>
          <t>v2-cv-accuracy-13b988b18da8ea7d</t>
        </is>
      </c>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1.83</v>
      </c>
      <c r="C544" s="12" t="inlineStr">
        <is>
          <t>Senior/Lead</t>
        </is>
      </c>
      <c r="D544" s="8" t="inlineStr">
        <is>
          <t>Design Verification Engineer</t>
        </is>
      </c>
      <c r="E544" s="7" t="inlineStr">
        <is>
          <t>Codasip</t>
        </is>
      </c>
      <c r="F544" s="8" t="inlineStr">
        <is>
          <t>Greater Bristol Area, United Kingdom</t>
        </is>
      </c>
      <c r="G544" s="8" t="n"/>
      <c r="H544" s="14" t="n"/>
      <c r="I544" s="15">
        <f>IF($H544="","",$H544-TODAY())</f>
        <v/>
      </c>
      <c r="J544" s="16" t="inlineStr">
        <is>
          <t>Open posting</t>
        </is>
      </c>
      <c r="K544" s="8" t="inlineStr">
        <is>
          <t>filtered by keyword pre-scan</t>
        </is>
      </c>
      <c r="L544" s="17" t="inlineStr">
        <is>
          <t>new</t>
        </is>
      </c>
      <c r="M544" s="18" t="inlineStr"/>
      <c r="N544" s="7" t="inlineStr">
        <is>
          <t>c6a0af0367e013a3663a65acf75446fbfc7ae599</t>
        </is>
      </c>
      <c r="O544" s="14" t="n"/>
      <c r="P544" s="7" t="inlineStr">
        <is>
          <t>jobspy</t>
        </is>
      </c>
      <c r="Q544" s="8" t="inlineStr">
        <is>
          <t>python, verilog, git, c, embedded systems</t>
        </is>
      </c>
      <c r="R544" s="8" t="inlineStr">
        <is>
          <t>Graduate Verification Engineer Verilog digital design</t>
        </is>
      </c>
      <c r="S544" s="19" t="n"/>
      <c r="T544" s="19" t="n"/>
      <c r="U544" s="14" t="n">
        <v>46195</v>
      </c>
      <c r="V544" s="7" t="inlineStr">
        <is>
          <t>v2-cv-accuracy-13b988b18da8ea7d</t>
        </is>
      </c>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1.83</v>
      </c>
      <c r="C545" s="12" t="inlineStr">
        <is>
          <t>Graduate/Entry</t>
        </is>
      </c>
      <c r="D545" s="8" t="inlineStr">
        <is>
          <t>Entry-Level Developer roles (Software, Web, AI, Data, IT, Product)</t>
        </is>
      </c>
      <c r="E545" s="7" t="inlineStr">
        <is>
          <t>Joinrs</t>
        </is>
      </c>
      <c r="F545" s="8" t="inlineStr"/>
      <c r="G545" s="8" t="n"/>
      <c r="H545" s="14" t="n"/>
      <c r="I545" s="15">
        <f>IF($H545="","",$H545-TODAY())</f>
        <v/>
      </c>
      <c r="J545" s="16" t="inlineStr">
        <is>
          <t>Open posting</t>
        </is>
      </c>
      <c r="K545" s="8" t="inlineStr">
        <is>
          <t>filtered by keyword pre-scan</t>
        </is>
      </c>
      <c r="L545" s="17" t="inlineStr">
        <is>
          <t>new</t>
        </is>
      </c>
      <c r="M545" s="18" t="inlineStr"/>
      <c r="N545" s="7" t="inlineStr">
        <is>
          <t>b2ce50ba9b4bef97db34a198fcdd550421be47ff</t>
        </is>
      </c>
      <c r="O545" s="14" t="n"/>
      <c r="P545" s="7" t="inlineStr">
        <is>
          <t>jobspy</t>
        </is>
      </c>
      <c r="Q545" s="8" t="inlineStr">
        <is>
          <t>python, git, c, javascript</t>
        </is>
      </c>
      <c r="R545" s="8" t="inlineStr">
        <is>
          <t>Junior Full Stack Developer JavaScript Python remote</t>
        </is>
      </c>
      <c r="S545" s="19" t="n"/>
      <c r="T545" s="19" t="n"/>
      <c r="U545" s="14" t="n">
        <v>46195</v>
      </c>
      <c r="V545" s="7" t="inlineStr">
        <is>
          <t>v2-cv-accuracy-13b988b18da8ea7d</t>
        </is>
      </c>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1.83</v>
      </c>
      <c r="C546" s="12" t="inlineStr">
        <is>
          <t>Unspecified</t>
        </is>
      </c>
      <c r="D546" s="8" t="inlineStr">
        <is>
          <t>Data Engineer</t>
        </is>
      </c>
      <c r="E546" s="7" t="inlineStr">
        <is>
          <t>Helic &amp; Co</t>
        </is>
      </c>
      <c r="F546" s="8" t="inlineStr"/>
      <c r="G546" s="8" t="n"/>
      <c r="H546" s="14" t="n"/>
      <c r="I546" s="15">
        <f>IF($H546="","",$H546-TODAY())</f>
        <v/>
      </c>
      <c r="J546" s="16" t="inlineStr">
        <is>
          <t>Open posting</t>
        </is>
      </c>
      <c r="K546" s="8" t="inlineStr">
        <is>
          <t>filtered by keyword pre-scan</t>
        </is>
      </c>
      <c r="L546" s="17" t="inlineStr">
        <is>
          <t>new</t>
        </is>
      </c>
      <c r="M546" s="18" t="inlineStr"/>
      <c r="N546" s="7" t="inlineStr">
        <is>
          <t>1b89e0cecfbaf61c8fea165d1f4b6f4c127d643a</t>
        </is>
      </c>
      <c r="O546" s="14" t="n">
        <v>46193</v>
      </c>
      <c r="P546" s="7" t="inlineStr">
        <is>
          <t>jobspy</t>
        </is>
      </c>
      <c r="Q546" s="8" t="inlineStr">
        <is>
          <t>python, sql, docker, kubernetes, c</t>
        </is>
      </c>
      <c r="R546" s="8" t="inlineStr">
        <is>
          <t>Graduate Data Engineer Python SQL pipeline</t>
        </is>
      </c>
      <c r="S546" s="19" t="n"/>
      <c r="T546" s="19" t="n"/>
      <c r="U546" s="14" t="n">
        <v>46194</v>
      </c>
      <c r="V546" s="7" t="inlineStr">
        <is>
          <t>v2-cv-accuracy-13b988b18da8ea7d</t>
        </is>
      </c>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1.83</v>
      </c>
      <c r="C547" s="12" t="inlineStr">
        <is>
          <t>Mid-level</t>
        </is>
      </c>
      <c r="D547" s="8" t="inlineStr">
        <is>
          <t>Communication Systems Engineer</t>
        </is>
      </c>
      <c r="E547" s="7" t="inlineStr">
        <is>
          <t>Microchip Technology Inc.</t>
        </is>
      </c>
      <c r="F547" s="8" t="inlineStr">
        <is>
          <t>Cambridge, England, UK</t>
        </is>
      </c>
      <c r="G547" s="8" t="n"/>
      <c r="H547" s="14" t="n"/>
      <c r="I547" s="15">
        <f>IF($H547="","",$H547-TODAY())</f>
        <v/>
      </c>
      <c r="J547" s="16" t="inlineStr">
        <is>
          <t>Open posting</t>
        </is>
      </c>
      <c r="K547" s="8" t="inlineStr">
        <is>
          <t>filtered by keyword pre-scan</t>
        </is>
      </c>
      <c r="L547" s="17" t="inlineStr">
        <is>
          <t>new</t>
        </is>
      </c>
      <c r="M547" s="18" t="inlineStr"/>
      <c r="N547" s="7" t="inlineStr">
        <is>
          <t>dae29bb628d88b6e87d9770d6c6b3bcb134c35d6</t>
        </is>
      </c>
      <c r="O547" s="14" t="n">
        <v>46178</v>
      </c>
      <c r="P547" s="7" t="inlineStr">
        <is>
          <t>jobspy</t>
        </is>
      </c>
      <c r="Q547" s="8" t="inlineStr">
        <is>
          <t>fpga, git, c, digital design</t>
        </is>
      </c>
      <c r="R547" s="8" t="inlineStr">
        <is>
          <t>Graduate DSP Engineer signal processing FPGA</t>
        </is>
      </c>
      <c r="S547" s="19" t="n"/>
      <c r="T547" s="19" t="n"/>
      <c r="U547" s="14" t="n">
        <v>46193</v>
      </c>
      <c r="V547" s="7" t="inlineStr">
        <is>
          <t>v2-cv-accuracy-13b988b18da8ea7d</t>
        </is>
      </c>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1.83</v>
      </c>
      <c r="C548" s="12" t="inlineStr">
        <is>
          <t>Senior/Lead</t>
        </is>
      </c>
      <c r="D548" s="8" t="inlineStr">
        <is>
          <t>Machine Learning DSP Engineer</t>
        </is>
      </c>
      <c r="E548" s="7" t="inlineStr">
        <is>
          <t>Marshall Group</t>
        </is>
      </c>
      <c r="F548" s="8" t="inlineStr">
        <is>
          <t>Milton Keynes, England, UK</t>
        </is>
      </c>
      <c r="G548" s="8" t="n"/>
      <c r="H548" s="14" t="n"/>
      <c r="I548" s="15">
        <f>IF($H548="","",$H548-TODAY())</f>
        <v/>
      </c>
      <c r="J548" s="16" t="inlineStr">
        <is>
          <t>Open posting</t>
        </is>
      </c>
      <c r="K548" s="8" t="inlineStr">
        <is>
          <t>filtered by keyword pre-scan</t>
        </is>
      </c>
      <c r="L548" s="17" t="inlineStr">
        <is>
          <t>new</t>
        </is>
      </c>
      <c r="M548" s="18" t="inlineStr"/>
      <c r="N548" s="7" t="inlineStr">
        <is>
          <t>82753025f3ff974b114d48617725a37ec9f0f235</t>
        </is>
      </c>
      <c r="O548" s="14" t="n">
        <v>46177</v>
      </c>
      <c r="P548" s="7" t="inlineStr">
        <is>
          <t>jobspy</t>
        </is>
      </c>
      <c r="Q548" s="8" t="inlineStr">
        <is>
          <t>python, git, c, embedded systems, dsp</t>
        </is>
      </c>
      <c r="R548" s="8" t="inlineStr">
        <is>
          <t>Graduate Signal Processing Engineer DSP</t>
        </is>
      </c>
      <c r="S548" s="19" t="n"/>
      <c r="T548" s="19" t="n"/>
      <c r="U548" s="14" t="n">
        <v>46193</v>
      </c>
      <c r="V548" s="7" t="inlineStr">
        <is>
          <t>v2-cv-accuracy-13b988b18da8ea7d</t>
        </is>
      </c>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1.83</v>
      </c>
      <c r="C549" s="12" t="inlineStr">
        <is>
          <t>Unspecified</t>
        </is>
      </c>
      <c r="D549" s="8" t="inlineStr">
        <is>
          <t>DevOps Engineer</t>
        </is>
      </c>
      <c r="E549" s="7" t="inlineStr">
        <is>
          <t>Morson Edge (Technology)</t>
        </is>
      </c>
      <c r="F549" s="8" t="inlineStr">
        <is>
          <t>Newcastle Upon Tyne, England, UK</t>
        </is>
      </c>
      <c r="G549" s="8" t="n"/>
      <c r="H549" s="14" t="n"/>
      <c r="I549" s="15">
        <f>IF($H549="","",$H549-TODAY())</f>
        <v/>
      </c>
      <c r="J549" s="16" t="inlineStr">
        <is>
          <t>Open posting</t>
        </is>
      </c>
      <c r="K549" s="8" t="inlineStr">
        <is>
          <t>filtered by keyword pre-scan</t>
        </is>
      </c>
      <c r="L549" s="17" t="inlineStr">
        <is>
          <t>new</t>
        </is>
      </c>
      <c r="M549" s="18" t="inlineStr"/>
      <c r="N549" s="7" t="inlineStr">
        <is>
          <t>754d801396f38d255fd27e75a74e494e6b6a2542</t>
        </is>
      </c>
      <c r="O549" s="14" t="n">
        <v>46170</v>
      </c>
      <c r="P549" s="7" t="inlineStr">
        <is>
          <t>jobspy</t>
        </is>
      </c>
      <c r="Q549" s="8" t="inlineStr">
        <is>
          <t>python, docker, kubernetes, git, c</t>
        </is>
      </c>
      <c r="R549" s="8" t="inlineStr">
        <is>
          <t>Graduate DevOps Engineer Python CI/CD Sheffield</t>
        </is>
      </c>
      <c r="S549" s="19" t="n"/>
      <c r="T549" s="19" t="n"/>
      <c r="U549" s="14" t="n">
        <v>46193</v>
      </c>
      <c r="V549" s="7" t="inlineStr">
        <is>
          <t>v2-cv-accuracy-13b988b18da8ea7d</t>
        </is>
      </c>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1.83</v>
      </c>
      <c r="C550" s="12" t="inlineStr">
        <is>
          <t>Graduate/Entry</t>
        </is>
      </c>
      <c r="D550" s="8" t="inlineStr">
        <is>
          <t>Graduate Software Engineer</t>
        </is>
      </c>
      <c r="E550" s="7" t="inlineStr">
        <is>
          <t>Native</t>
        </is>
      </c>
      <c r="F550" s="8" t="inlineStr">
        <is>
          <t>London, ENG, GB</t>
        </is>
      </c>
      <c r="G550" s="8" t="n"/>
      <c r="H550" s="14" t="n"/>
      <c r="I550" s="15">
        <f>IF($H550="","",$H550-TODAY())</f>
        <v/>
      </c>
      <c r="J550" s="16" t="inlineStr">
        <is>
          <t>Open posting</t>
        </is>
      </c>
      <c r="K550" s="8" t="inlineStr">
        <is>
          <t>filtered by keyword pre-scan</t>
        </is>
      </c>
      <c r="L550" s="17" t="inlineStr">
        <is>
          <t>new</t>
        </is>
      </c>
      <c r="M550" s="18" t="inlineStr"/>
      <c r="N550" s="7" t="inlineStr">
        <is>
          <t>c68086a2f7558b056d55e95cda1efdf845ee37d0</t>
        </is>
      </c>
      <c r="O550" s="14" t="n">
        <v>46192</v>
      </c>
      <c r="P550" s="7" t="inlineStr">
        <is>
          <t>jobspy</t>
        </is>
      </c>
      <c r="Q550" s="8" t="inlineStr">
        <is>
          <t>python, sql, docker, git, c</t>
        </is>
      </c>
      <c r="R550" s="8" t="inlineStr">
        <is>
          <t>Graduate Software Engineer Python Docker</t>
        </is>
      </c>
      <c r="S550" s="19" t="n"/>
      <c r="T550" s="19" t="n"/>
      <c r="U550" s="14" t="n">
        <v>46193</v>
      </c>
      <c r="V550" s="7" t="inlineStr">
        <is>
          <t>v2-cv-accuracy-13b988b18da8ea7d</t>
        </is>
      </c>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1.83</v>
      </c>
      <c r="C551" s="12" t="inlineStr">
        <is>
          <t>Unspecified</t>
        </is>
      </c>
      <c r="D551" s="8" t="inlineStr">
        <is>
          <t>Embedded Software Engineer</t>
        </is>
      </c>
      <c r="E551" s="7" t="inlineStr">
        <is>
          <t>Electus Recruitment Solutions</t>
        </is>
      </c>
      <c r="F551" s="8" t="inlineStr">
        <is>
          <t>Weston-Super-Mare, England, UK</t>
        </is>
      </c>
      <c r="G551" s="8" t="n"/>
      <c r="H551" s="14" t="n"/>
      <c r="I551" s="15">
        <f>IF($H551="","",$H551-TODAY())</f>
        <v/>
      </c>
      <c r="J551" s="16" t="inlineStr">
        <is>
          <t>Open posting</t>
        </is>
      </c>
      <c r="K551" s="8" t="inlineStr">
        <is>
          <t>filtered by keyword pre-scan</t>
        </is>
      </c>
      <c r="L551" s="17" t="inlineStr">
        <is>
          <t>new</t>
        </is>
      </c>
      <c r="M551" s="18" t="inlineStr"/>
      <c r="N551" s="7" t="inlineStr">
        <is>
          <t>8dbd5af1533487ed57221d9b3ed01da0c68aec6d</t>
        </is>
      </c>
      <c r="O551" s="14" t="n">
        <v>46177</v>
      </c>
      <c r="P551" s="7" t="inlineStr">
        <is>
          <t>jobspy</t>
        </is>
      </c>
      <c r="Q551" s="8" t="inlineStr">
        <is>
          <t>python, git, c, embedded systems</t>
        </is>
      </c>
      <c r="R551" s="8" t="inlineStr">
        <is>
          <t>Firmware Engineer Embedded C Microcontroller</t>
        </is>
      </c>
      <c r="S551" s="19" t="n"/>
      <c r="T551" s="19" t="n"/>
      <c r="U551" s="14" t="n">
        <v>46193</v>
      </c>
      <c r="V551" s="7" t="inlineStr">
        <is>
          <t>v2-cv-accuracy-13b988b18da8ea7d</t>
        </is>
      </c>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1.83</v>
      </c>
      <c r="C552" s="12" t="inlineStr">
        <is>
          <t>Junior</t>
        </is>
      </c>
      <c r="D552" s="8" t="inlineStr">
        <is>
          <t>Junior Software Developer</t>
        </is>
      </c>
      <c r="E552" s="7" t="inlineStr">
        <is>
          <t>Helic &amp; Co</t>
        </is>
      </c>
      <c r="F552" s="8" t="inlineStr"/>
      <c r="G552" s="8" t="n"/>
      <c r="H552" s="14" t="n"/>
      <c r="I552" s="15">
        <f>IF($H552="","",$H552-TODAY())</f>
        <v/>
      </c>
      <c r="J552" s="16" t="inlineStr">
        <is>
          <t>Open posting</t>
        </is>
      </c>
      <c r="K552" s="8" t="inlineStr">
        <is>
          <t>filtered by keyword pre-scan</t>
        </is>
      </c>
      <c r="L552" s="17" t="inlineStr">
        <is>
          <t>new</t>
        </is>
      </c>
      <c r="M552" s="18" t="inlineStr"/>
      <c r="N552" s="7" t="inlineStr">
        <is>
          <t>d69bd7c49b18e2234d1e05f876844398aee6b1a3</t>
        </is>
      </c>
      <c r="O552" s="14" t="n"/>
      <c r="P552" s="7" t="inlineStr">
        <is>
          <t>jobspy</t>
        </is>
      </c>
      <c r="Q552" s="8" t="inlineStr">
        <is>
          <t>python, sql, git, c, javascript</t>
        </is>
      </c>
      <c r="R552" s="8" t="inlineStr">
        <is>
          <t>Junior Python Developer SQL Docker</t>
        </is>
      </c>
      <c r="S552" s="19" t="n"/>
      <c r="T552" s="19" t="n"/>
      <c r="U552" s="14" t="n">
        <v>46193</v>
      </c>
      <c r="V552" s="7" t="inlineStr">
        <is>
          <t>v2-cv-accuracy-13b988b18da8ea7d</t>
        </is>
      </c>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1.83</v>
      </c>
      <c r="C553" s="12" t="inlineStr">
        <is>
          <t>Graduate/Entry</t>
        </is>
      </c>
      <c r="D553" s="8" t="inlineStr">
        <is>
          <t>Graduate Full Stack Software Engineer</t>
        </is>
      </c>
      <c r="E553" s="7" t="inlineStr">
        <is>
          <t>Lovey</t>
        </is>
      </c>
      <c r="F553" s="8" t="inlineStr">
        <is>
          <t>Birmingham, ENG, GB</t>
        </is>
      </c>
      <c r="G553" s="8" t="n"/>
      <c r="H553" s="14" t="n"/>
      <c r="I553" s="15">
        <f>IF($H553="","",$H553-TODAY())</f>
        <v/>
      </c>
      <c r="J553" s="16" t="inlineStr">
        <is>
          <t>Open posting</t>
        </is>
      </c>
      <c r="K553" s="8" t="inlineStr">
        <is>
          <t>filtered by keyword pre-scan</t>
        </is>
      </c>
      <c r="L553" s="17" t="inlineStr">
        <is>
          <t>new</t>
        </is>
      </c>
      <c r="M553" s="18" t="inlineStr"/>
      <c r="N553" s="7" t="inlineStr">
        <is>
          <t>0a266789ac0afbe6bcca027b61831da10071e66d</t>
        </is>
      </c>
      <c r="O553" s="14" t="n">
        <v>46189</v>
      </c>
      <c r="P553" s="7" t="inlineStr">
        <is>
          <t>jobspy</t>
        </is>
      </c>
      <c r="Q553" s="8" t="inlineStr">
        <is>
          <t>python, sql, c, backend development</t>
        </is>
      </c>
      <c r="R553" s="8" t="inlineStr">
        <is>
          <t>Junior Software Engineer Python backend</t>
        </is>
      </c>
      <c r="S553" s="19" t="n"/>
      <c r="T553" s="19" t="n"/>
      <c r="U553" s="14" t="n">
        <v>46193</v>
      </c>
      <c r="V553" s="7" t="inlineStr">
        <is>
          <t>v2-cv-accuracy-13b988b18da8ea7d</t>
        </is>
      </c>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1.83</v>
      </c>
      <c r="C554" s="12" t="inlineStr">
        <is>
          <t>Graduate/Entry</t>
        </is>
      </c>
      <c r="D554" s="8" t="inlineStr">
        <is>
          <t>Graduate Software Engineer</t>
        </is>
      </c>
      <c r="E554" s="7" t="inlineStr">
        <is>
          <t>native</t>
        </is>
      </c>
      <c r="F554" s="8" t="inlineStr">
        <is>
          <t>London, England, UK</t>
        </is>
      </c>
      <c r="G554" s="8" t="n"/>
      <c r="H554" s="14" t="n"/>
      <c r="I554" s="15">
        <f>IF($H554="","",$H554-TODAY())</f>
        <v/>
      </c>
      <c r="J554" s="16" t="inlineStr">
        <is>
          <t>Open posting</t>
        </is>
      </c>
      <c r="K554" s="8" t="inlineStr">
        <is>
          <t>filtered by keyword pre-scan</t>
        </is>
      </c>
      <c r="L554" s="17" t="inlineStr">
        <is>
          <t>new</t>
        </is>
      </c>
      <c r="M554" s="18" t="inlineStr"/>
      <c r="N554" s="7" t="inlineStr">
        <is>
          <t>46ee8b1e0844badfb297e2d6ad82784d6930800f</t>
        </is>
      </c>
      <c r="O554" s="14" t="n">
        <v>46192</v>
      </c>
      <c r="P554" s="7" t="inlineStr">
        <is>
          <t>jobspy</t>
        </is>
      </c>
      <c r="Q554" s="8" t="inlineStr">
        <is>
          <t>python, sql, docker, git, c</t>
        </is>
      </c>
      <c r="R554" s="8" t="inlineStr">
        <is>
          <t>Junior Software Engineer Python backend</t>
        </is>
      </c>
      <c r="S554" s="19" t="n"/>
      <c r="T554" s="19" t="n"/>
      <c r="U554" s="14" t="n">
        <v>46193</v>
      </c>
      <c r="V554" s="7" t="inlineStr">
        <is>
          <t>v2-cv-accuracy-13b988b18da8ea7d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1.83</v>
      </c>
      <c r="C555" s="12" t="inlineStr">
        <is>
          <t>Unspecified</t>
        </is>
      </c>
      <c r="D555" s="8" t="inlineStr">
        <is>
          <t>Embedded Software Engineer</t>
        </is>
      </c>
      <c r="E555" s="7" t="inlineStr">
        <is>
          <t>Executive Integrity | B Corp®</t>
        </is>
      </c>
      <c r="F555" s="8" t="inlineStr">
        <is>
          <t>Southampton, England, UK</t>
        </is>
      </c>
      <c r="G555" s="8" t="n"/>
      <c r="H555" s="14" t="n"/>
      <c r="I555" s="15">
        <f>IF($H555="","",$H555-TODAY())</f>
        <v/>
      </c>
      <c r="J555" s="16" t="inlineStr">
        <is>
          <t>Open posting</t>
        </is>
      </c>
      <c r="K555" s="8" t="inlineStr">
        <is>
          <t>filtered by keyword pre-scan</t>
        </is>
      </c>
      <c r="L555" s="17" t="inlineStr">
        <is>
          <t>new</t>
        </is>
      </c>
      <c r="M555" s="18" t="inlineStr"/>
      <c r="N555" s="7" t="inlineStr">
        <is>
          <t>c674e33dfb1b4cd85f3d4b5d4849931037869f60</t>
        </is>
      </c>
      <c r="O555" s="14" t="n">
        <v>46188</v>
      </c>
      <c r="P555" s="7" t="inlineStr">
        <is>
          <t>jobspy</t>
        </is>
      </c>
      <c r="Q555" s="8" t="inlineStr">
        <is>
          <t>python, stm32, git, c, embedded systems</t>
        </is>
      </c>
      <c r="R555" s="8" t="inlineStr">
        <is>
          <t>Junior Embedded Software Engineer STM32 C</t>
        </is>
      </c>
      <c r="S555" s="19" t="n"/>
      <c r="T555" s="19" t="n"/>
      <c r="U555" s="14" t="n">
        <v>46192</v>
      </c>
      <c r="V555" s="7" t="inlineStr">
        <is>
          <t>v2-cv-accuracy-13b988b18da8ea7d</t>
        </is>
      </c>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1.83</v>
      </c>
      <c r="C556" s="12" t="inlineStr">
        <is>
          <t>Junior</t>
        </is>
      </c>
      <c r="D556" s="8" t="inlineStr">
        <is>
          <t>Junior Software Developer</t>
        </is>
      </c>
      <c r="E556" s="7" t="inlineStr">
        <is>
          <t>Helic &amp; Co</t>
        </is>
      </c>
      <c r="F556" s="8" t="inlineStr"/>
      <c r="G556" s="8" t="n"/>
      <c r="H556" s="14" t="n"/>
      <c r="I556" s="15">
        <f>IF($H556="","",$H556-TODAY())</f>
        <v/>
      </c>
      <c r="J556" s="16" t="inlineStr">
        <is>
          <t>Open posting</t>
        </is>
      </c>
      <c r="K556" s="8" t="inlineStr">
        <is>
          <t>filtered by keyword pre-scan</t>
        </is>
      </c>
      <c r="L556" s="17" t="inlineStr">
        <is>
          <t>new</t>
        </is>
      </c>
      <c r="M556" s="18" t="inlineStr"/>
      <c r="N556" s="7" t="inlineStr">
        <is>
          <t>3e3ad75107d30f0e3a5aa197be3b57b8c13aa058</t>
        </is>
      </c>
      <c r="O556" s="14" t="n"/>
      <c r="P556" s="7" t="inlineStr">
        <is>
          <t>jobspy</t>
        </is>
      </c>
      <c r="Q556" s="8" t="inlineStr">
        <is>
          <t>python, sql, git, c, javascript</t>
        </is>
      </c>
      <c r="R556" s="8" t="inlineStr">
        <is>
          <t>Graduate Backend Developer Python MySQL REST API</t>
        </is>
      </c>
      <c r="S556" s="19" t="n"/>
      <c r="T556" s="19" t="n"/>
      <c r="U556" s="14" t="n">
        <v>46192</v>
      </c>
      <c r="V556" s="7" t="inlineStr">
        <is>
          <t>v2-cv-accuracy-13b988b18da8ea7d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1.83</v>
      </c>
      <c r="C557" s="12" t="inlineStr">
        <is>
          <t>Senior/Lead</t>
        </is>
      </c>
      <c r="D557" s="8" t="inlineStr">
        <is>
          <t>Data Reliability Engineer I (dRE 1)</t>
        </is>
      </c>
      <c r="E557" s="7" t="inlineStr">
        <is>
          <t>CME Group</t>
        </is>
      </c>
      <c r="F557" s="8" t="inlineStr">
        <is>
          <t>Belfast, NIR, GB</t>
        </is>
      </c>
      <c r="G557" s="8" t="n"/>
      <c r="H557" s="14" t="n"/>
      <c r="I557" s="15">
        <f>IF($H557="","",$H557-TODAY())</f>
        <v/>
      </c>
      <c r="J557" s="16" t="inlineStr">
        <is>
          <t>Open posting</t>
        </is>
      </c>
      <c r="K557" s="8" t="inlineStr">
        <is>
          <t>filtered by keyword pre-scan</t>
        </is>
      </c>
      <c r="L557" s="17" t="inlineStr">
        <is>
          <t>new</t>
        </is>
      </c>
      <c r="M557" s="18" t="inlineStr"/>
      <c r="N557" s="7" t="inlineStr">
        <is>
          <t>f155838caa3920d4d204ccf58fa6966327ecb237</t>
        </is>
      </c>
      <c r="O557" s="14" t="n">
        <v>46171</v>
      </c>
      <c r="P557" s="7" t="inlineStr">
        <is>
          <t>jobspy</t>
        </is>
      </c>
      <c r="Q557" s="8" t="inlineStr">
        <is>
          <t>python, sql, git, c</t>
        </is>
      </c>
      <c r="R557" s="8" t="inlineStr">
        <is>
          <t>Graduate Data Engineer SQL Python pipeline</t>
        </is>
      </c>
      <c r="S557" s="19" t="n"/>
      <c r="T557" s="19" t="n"/>
      <c r="U557" s="14" t="n">
        <v>46192</v>
      </c>
      <c r="V557" s="7" t="inlineStr">
        <is>
          <t>v2-cv-accuracy-13b988b18da8ea7d</t>
        </is>
      </c>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1.83</v>
      </c>
      <c r="C558" s="12" t="inlineStr">
        <is>
          <t>Junior</t>
        </is>
      </c>
      <c r="D558" s="8" t="inlineStr">
        <is>
          <t>Data Engineer</t>
        </is>
      </c>
      <c r="E558" s="7" t="inlineStr">
        <is>
          <t>Huron</t>
        </is>
      </c>
      <c r="F558" s="8" t="inlineStr">
        <is>
          <t>Belfast, Northern Ireland, UK</t>
        </is>
      </c>
      <c r="G558" s="8" t="n"/>
      <c r="H558" s="14" t="n"/>
      <c r="I558" s="15">
        <f>IF($H558="","",$H558-TODAY())</f>
        <v/>
      </c>
      <c r="J558" s="16" t="inlineStr">
        <is>
          <t>Open posting</t>
        </is>
      </c>
      <c r="K558" s="8" t="inlineStr">
        <is>
          <t>filtered by keyword pre-scan</t>
        </is>
      </c>
      <c r="L558" s="17" t="inlineStr">
        <is>
          <t>new</t>
        </is>
      </c>
      <c r="M558" s="18" t="inlineStr"/>
      <c r="N558" s="7" t="inlineStr">
        <is>
          <t>28573bfbd041e02490f369abc009b94370fc780d</t>
        </is>
      </c>
      <c r="O558" s="14" t="n">
        <v>46186</v>
      </c>
      <c r="P558" s="7" t="inlineStr">
        <is>
          <t>jobspy</t>
        </is>
      </c>
      <c r="Q558" s="8" t="inlineStr">
        <is>
          <t>python, sql, git, c</t>
        </is>
      </c>
      <c r="R558" s="8" t="inlineStr">
        <is>
          <t>Graduate Data Engineer SQL Python pipeline</t>
        </is>
      </c>
      <c r="S558" s="19" t="n"/>
      <c r="T558" s="19" t="n"/>
      <c r="U558" s="14" t="n">
        <v>46192</v>
      </c>
      <c r="V558" s="7" t="inlineStr">
        <is>
          <t>v2-cv-accuracy-13b988b18da8ea7d</t>
        </is>
      </c>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1.83</v>
      </c>
      <c r="C559" s="12" t="inlineStr">
        <is>
          <t>Unspecified</t>
        </is>
      </c>
      <c r="D559" s="8" t="inlineStr">
        <is>
          <t>Data Engineer</t>
        </is>
      </c>
      <c r="E559" s="7" t="inlineStr">
        <is>
          <t>Helic &amp; Co</t>
        </is>
      </c>
      <c r="F559" s="8" t="inlineStr"/>
      <c r="G559" s="8" t="n"/>
      <c r="H559" s="14" t="n"/>
      <c r="I559" s="15">
        <f>IF($H559="","",$H559-TODAY())</f>
        <v/>
      </c>
      <c r="J559" s="16" t="inlineStr">
        <is>
          <t>Open posting</t>
        </is>
      </c>
      <c r="K559" s="8" t="inlineStr">
        <is>
          <t>filtered by keyword pre-scan</t>
        </is>
      </c>
      <c r="L559" s="17" t="inlineStr">
        <is>
          <t>new</t>
        </is>
      </c>
      <c r="M559" s="18" t="inlineStr"/>
      <c r="N559" s="7" t="inlineStr">
        <is>
          <t>5b6d51242a84a90ab798f9c1b306dae095b42bbc</t>
        </is>
      </c>
      <c r="O559" s="14" t="n"/>
      <c r="P559" s="7" t="inlineStr">
        <is>
          <t>jobspy</t>
        </is>
      </c>
      <c r="Q559" s="8" t="inlineStr">
        <is>
          <t>python, sql, docker, kubernetes, c</t>
        </is>
      </c>
      <c r="R559" s="8" t="inlineStr">
        <is>
          <t>Graduate Data Engineer SQL Python pipeline</t>
        </is>
      </c>
      <c r="S559" s="19" t="n"/>
      <c r="T559" s="19" t="n"/>
      <c r="U559" s="14" t="n">
        <v>46192</v>
      </c>
      <c r="V559" s="7" t="inlineStr">
        <is>
          <t>v2-cv-accuracy-13b988b18da8ea7d</t>
        </is>
      </c>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1.83</v>
      </c>
      <c r="C560" s="12" t="inlineStr">
        <is>
          <t>Mid-level</t>
        </is>
      </c>
      <c r="D560" s="8" t="inlineStr">
        <is>
          <t>Design Verification Engineer</t>
        </is>
      </c>
      <c r="E560" s="7" t="inlineStr">
        <is>
          <t>IC Resources</t>
        </is>
      </c>
      <c r="F560" s="8" t="inlineStr">
        <is>
          <t>Oxfordshire, England, UK</t>
        </is>
      </c>
      <c r="G560" s="8" t="n"/>
      <c r="H560" s="14" t="n"/>
      <c r="I560" s="15">
        <f>IF($H560="","",$H560-TODAY())</f>
        <v/>
      </c>
      <c r="J560" s="16" t="inlineStr">
        <is>
          <t>Open posting</t>
        </is>
      </c>
      <c r="K560" s="8" t="inlineStr">
        <is>
          <t>filtered by keyword pre-scan</t>
        </is>
      </c>
      <c r="L560" s="17" t="inlineStr">
        <is>
          <t>new</t>
        </is>
      </c>
      <c r="M560" s="18" t="inlineStr"/>
      <c r="N560" s="7" t="inlineStr">
        <is>
          <t>2dac7720676ca38feef14b8a1cc998d64a7ea324</t>
        </is>
      </c>
      <c r="O560" s="14" t="n">
        <v>46174</v>
      </c>
      <c r="P560" s="7" t="inlineStr">
        <is>
          <t>jobspy</t>
        </is>
      </c>
      <c r="Q560" s="8" t="inlineStr">
        <is>
          <t>python, verilog, fpga, git, c</t>
        </is>
      </c>
      <c r="R560" s="8" t="inlineStr">
        <is>
          <t>Graduate Digital Design Engineer FPGA</t>
        </is>
      </c>
      <c r="S560" s="19" t="n"/>
      <c r="T560" s="19" t="n"/>
      <c r="U560" s="14" t="n">
        <v>46192</v>
      </c>
      <c r="V560" s="7" t="inlineStr">
        <is>
          <t>v2-cv-accuracy-13b988b18da8ea7d</t>
        </is>
      </c>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1.83</v>
      </c>
      <c r="C561" s="12" t="inlineStr">
        <is>
          <t>Mid-level</t>
        </is>
      </c>
      <c r="D561" s="8" t="inlineStr">
        <is>
          <t>Software Engineer (Infrastructure)</t>
        </is>
      </c>
      <c r="E561" s="7" t="inlineStr">
        <is>
          <t>Thought Machine</t>
        </is>
      </c>
      <c r="F561" s="8" t="inlineStr">
        <is>
          <t>London, England, UK</t>
        </is>
      </c>
      <c r="G561" s="8" t="n"/>
      <c r="H561" s="14" t="n"/>
      <c r="I561" s="15">
        <f>IF($H561="","",$H561-TODAY())</f>
        <v/>
      </c>
      <c r="J561" s="16" t="inlineStr">
        <is>
          <t>Open posting</t>
        </is>
      </c>
      <c r="K561" s="8" t="inlineStr">
        <is>
          <t>filtered by keyword pre-scan</t>
        </is>
      </c>
      <c r="L561" s="17" t="inlineStr">
        <is>
          <t>new</t>
        </is>
      </c>
      <c r="M561" s="18" t="inlineStr"/>
      <c r="N561" s="7" t="inlineStr">
        <is>
          <t>eee143fe39a2f77392c25491dff8aca5adc81fbd</t>
        </is>
      </c>
      <c r="O561" s="14" t="n">
        <v>46185</v>
      </c>
      <c r="P561" s="7" t="inlineStr">
        <is>
          <t>jobspy</t>
        </is>
      </c>
      <c r="Q561" s="8" t="inlineStr">
        <is>
          <t>python, docker, kubernetes, git, c</t>
        </is>
      </c>
      <c r="R561" s="8" t="inlineStr">
        <is>
          <t>Graduate Backend Developer Docker Kubernetes</t>
        </is>
      </c>
      <c r="S561" s="19" t="n"/>
      <c r="T561" s="19" t="n"/>
      <c r="U561" s="14" t="n">
        <v>46192</v>
      </c>
      <c r="V561" s="7" t="inlineStr">
        <is>
          <t>v2-cv-accuracy-13b988b18da8ea7d</t>
        </is>
      </c>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1.83</v>
      </c>
      <c r="C562" s="12" t="inlineStr">
        <is>
          <t>Unspecified</t>
        </is>
      </c>
      <c r="D562" s="8" t="inlineStr">
        <is>
          <t>DevOps Engineer</t>
        </is>
      </c>
      <c r="E562" s="7" t="inlineStr">
        <is>
          <t>JAM</t>
        </is>
      </c>
      <c r="F562" s="8" t="inlineStr">
        <is>
          <t>Rugby, England, UK</t>
        </is>
      </c>
      <c r="G562" s="8" t="n"/>
      <c r="H562" s="14" t="n"/>
      <c r="I562" s="15">
        <f>IF($H562="","",$H562-TODAY())</f>
        <v/>
      </c>
      <c r="J562" s="16" t="inlineStr">
        <is>
          <t>Open posting</t>
        </is>
      </c>
      <c r="K562" s="8" t="inlineStr">
        <is>
          <t>filtered by keyword pre-scan</t>
        </is>
      </c>
      <c r="L562" s="17" t="inlineStr">
        <is>
          <t>new</t>
        </is>
      </c>
      <c r="M562" s="18" t="inlineStr"/>
      <c r="N562" s="7" t="inlineStr">
        <is>
          <t>52aad5562f0e539afd8a42ca4c00e2dd4e885fdf</t>
        </is>
      </c>
      <c r="O562" s="14" t="n">
        <v>46176</v>
      </c>
      <c r="P562" s="7" t="inlineStr">
        <is>
          <t>jobspy</t>
        </is>
      </c>
      <c r="Q562" s="8" t="inlineStr">
        <is>
          <t>python, docker, kubernetes, git, c</t>
        </is>
      </c>
      <c r="R562" s="8" t="inlineStr">
        <is>
          <t>Graduate DevOps Engineer Docker Kubernetes Git</t>
        </is>
      </c>
      <c r="S562" s="19" t="n"/>
      <c r="T562" s="19" t="n"/>
      <c r="U562" s="14" t="n">
        <v>46192</v>
      </c>
      <c r="V562" s="7" t="inlineStr">
        <is>
          <t>v2-cv-accuracy-13b988b18da8ea7d</t>
        </is>
      </c>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1.83</v>
      </c>
      <c r="C563" s="12" t="inlineStr">
        <is>
          <t>Unspecified</t>
        </is>
      </c>
      <c r="D563" s="8" t="inlineStr">
        <is>
          <t>DevOps Engineer</t>
        </is>
      </c>
      <c r="E563" s="7" t="inlineStr">
        <is>
          <t>Anson McCade</t>
        </is>
      </c>
      <c r="F563" s="8" t="inlineStr">
        <is>
          <t>England, United Kingdom</t>
        </is>
      </c>
      <c r="G563" s="8" t="n"/>
      <c r="H563" s="14" t="n"/>
      <c r="I563" s="15">
        <f>IF($H563="","",$H563-TODAY())</f>
        <v/>
      </c>
      <c r="J563" s="16" t="inlineStr">
        <is>
          <t>Open posting</t>
        </is>
      </c>
      <c r="K563" s="8" t="inlineStr">
        <is>
          <t>filtered by keyword pre-scan</t>
        </is>
      </c>
      <c r="L563" s="17" t="inlineStr">
        <is>
          <t>new</t>
        </is>
      </c>
      <c r="M563" s="18" t="inlineStr"/>
      <c r="N563" s="7" t="inlineStr">
        <is>
          <t>aa9d805d91ea5de97d96dbf7cc56c3833492f89b</t>
        </is>
      </c>
      <c r="O563" s="14" t="n">
        <v>46175</v>
      </c>
      <c r="P563" s="7" t="inlineStr">
        <is>
          <t>jobspy</t>
        </is>
      </c>
      <c r="Q563" s="8" t="inlineStr">
        <is>
          <t>python, docker, kubernetes, git, c</t>
        </is>
      </c>
      <c r="R563" s="8" t="inlineStr">
        <is>
          <t>Graduate DevOps Engineer Docker Kubernetes Git</t>
        </is>
      </c>
      <c r="S563" s="19" t="n"/>
      <c r="T563" s="19" t="n"/>
      <c r="U563" s="14" t="n">
        <v>46192</v>
      </c>
      <c r="V563" s="7" t="inlineStr">
        <is>
          <t>v2-cv-accuracy-13b988b18da8ea7d</t>
        </is>
      </c>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1.83</v>
      </c>
      <c r="C564" s="12" t="inlineStr">
        <is>
          <t>Junior</t>
        </is>
      </c>
      <c r="D564" s="8" t="inlineStr">
        <is>
          <t>DevOps Engineer</t>
        </is>
      </c>
      <c r="E564" s="7" t="inlineStr">
        <is>
          <t>CGI</t>
        </is>
      </c>
      <c r="F564" s="8" t="inlineStr">
        <is>
          <t>London, England, UK</t>
        </is>
      </c>
      <c r="G564" s="8" t="n"/>
      <c r="H564" s="14" t="n"/>
      <c r="I564" s="15">
        <f>IF($H564="","",$H564-TODAY())</f>
        <v/>
      </c>
      <c r="J564" s="16" t="inlineStr">
        <is>
          <t>Open posting</t>
        </is>
      </c>
      <c r="K564" s="8" t="inlineStr">
        <is>
          <t>filtered by keyword pre-scan</t>
        </is>
      </c>
      <c r="L564" s="17" t="inlineStr">
        <is>
          <t>new</t>
        </is>
      </c>
      <c r="M564" s="18" t="inlineStr"/>
      <c r="N564" s="7" t="inlineStr">
        <is>
          <t>f9f365159af0d09dec44ce5efcc3949dd3facdf5</t>
        </is>
      </c>
      <c r="O564" s="14" t="n">
        <v>46175</v>
      </c>
      <c r="P564" s="7" t="inlineStr">
        <is>
          <t>jobspy</t>
        </is>
      </c>
      <c r="Q564" s="8" t="inlineStr">
        <is>
          <t>python, docker, kubernetes, git, c</t>
        </is>
      </c>
      <c r="R564" s="8" t="inlineStr">
        <is>
          <t>Graduate DevOps Engineer Docker Kubernetes Git</t>
        </is>
      </c>
      <c r="S564" s="19" t="n"/>
      <c r="T564" s="19" t="n"/>
      <c r="U564" s="14" t="n">
        <v>46192</v>
      </c>
      <c r="V564" s="7" t="inlineStr">
        <is>
          <t>v2-cv-accuracy-13b988b18da8ea7d</t>
        </is>
      </c>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1.83</v>
      </c>
      <c r="C565" s="12" t="inlineStr">
        <is>
          <t>Unspecified</t>
        </is>
      </c>
      <c r="D565" s="8" t="inlineStr">
        <is>
          <t>DevOps Engineer (AWS)</t>
        </is>
      </c>
      <c r="E565" s="7" t="inlineStr">
        <is>
          <t>MRP-Global</t>
        </is>
      </c>
      <c r="F565" s="8" t="inlineStr"/>
      <c r="G565" s="8" t="n"/>
      <c r="H565" s="14" t="n"/>
      <c r="I565" s="15">
        <f>IF($H565="","",$H565-TODAY())</f>
        <v/>
      </c>
      <c r="J565" s="16" t="inlineStr">
        <is>
          <t>Open posting</t>
        </is>
      </c>
      <c r="K565" s="8" t="inlineStr">
        <is>
          <t>filtered by keyword pre-scan</t>
        </is>
      </c>
      <c r="L565" s="17" t="inlineStr">
        <is>
          <t>new</t>
        </is>
      </c>
      <c r="M565" s="18" t="inlineStr"/>
      <c r="N565" s="7" t="inlineStr">
        <is>
          <t>d5c9ee6794f01786b183c6faec1f0dfb9d744346</t>
        </is>
      </c>
      <c r="O565" s="14" t="n"/>
      <c r="P565" s="7" t="inlineStr">
        <is>
          <t>jobspy</t>
        </is>
      </c>
      <c r="Q565" s="8" t="inlineStr">
        <is>
          <t>python, docker, kubernetes, git, c</t>
        </is>
      </c>
      <c r="R565" s="8" t="inlineStr">
        <is>
          <t>Graduate DevOps Engineer Docker Kubernetes Git</t>
        </is>
      </c>
      <c r="S565" s="19" t="n"/>
      <c r="T565" s="19" t="n"/>
      <c r="U565" s="14" t="n">
        <v>46192</v>
      </c>
      <c r="V565" s="7" t="inlineStr">
        <is>
          <t>v2-cv-accuracy-13b988b18da8ea7d</t>
        </is>
      </c>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1.72</v>
      </c>
      <c r="C566" s="12" t="inlineStr">
        <is>
          <t>Mid-level</t>
        </is>
      </c>
      <c r="D566" s="8" t="inlineStr">
        <is>
          <t>Biosensor Algorithm Engineer</t>
        </is>
      </c>
      <c r="E566" s="7" t="inlineStr">
        <is>
          <t>Analog Devices</t>
        </is>
      </c>
      <c r="F566" s="8" t="inlineStr">
        <is>
          <t>Cambridge, England, UK</t>
        </is>
      </c>
      <c r="G566" s="8" t="n"/>
      <c r="H566" s="14" t="n"/>
      <c r="I566" s="15">
        <f>IF($H566="","",$H566-TODAY())</f>
        <v/>
      </c>
      <c r="J566" s="16" t="inlineStr">
        <is>
          <t>Open posting</t>
        </is>
      </c>
      <c r="K566" s="8" t="inlineStr">
        <is>
          <t>filtered by keyword pre-scan</t>
        </is>
      </c>
      <c r="L566" s="17" t="inlineStr">
        <is>
          <t>new</t>
        </is>
      </c>
      <c r="M566" s="18" t="inlineStr"/>
      <c r="N566" s="7" t="inlineStr">
        <is>
          <t>84e844f7fc77d1f2a7597044f8cb938f3a052141</t>
        </is>
      </c>
      <c r="O566" s="14" t="n"/>
      <c r="P566" s="7" t="inlineStr">
        <is>
          <t>jobspy</t>
        </is>
      </c>
      <c r="Q566" s="8" t="inlineStr">
        <is>
          <t>python, git, c, embedded systems</t>
        </is>
      </c>
      <c r="R566" s="8" t="inlineStr">
        <is>
          <t>PhD Studentship embedded systems signal processing UK</t>
        </is>
      </c>
      <c r="S566" s="19" t="n"/>
      <c r="T566" s="19" t="n"/>
      <c r="U566" s="14" t="n">
        <v>46198</v>
      </c>
      <c r="V566" s="7" t="inlineStr">
        <is>
          <t>v2-cv-accuracy-13b988b18da8ea7d</t>
        </is>
      </c>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1.72</v>
      </c>
      <c r="C567" s="12" t="inlineStr">
        <is>
          <t>Unspecified</t>
        </is>
      </c>
      <c r="D567" s="8" t="inlineStr">
        <is>
          <t>Robotic Test Engineer II</t>
        </is>
      </c>
      <c r="E567" s="7" t="inlineStr">
        <is>
          <t>Humanoid</t>
        </is>
      </c>
      <c r="F567" s="8" t="inlineStr">
        <is>
          <t>London, England, UK</t>
        </is>
      </c>
      <c r="G567" s="8" t="n"/>
      <c r="H567" s="14" t="n"/>
      <c r="I567" s="15">
        <f>IF($H567="","",$H567-TODAY())</f>
        <v/>
      </c>
      <c r="J567" s="16" t="inlineStr">
        <is>
          <t>Open posting</t>
        </is>
      </c>
      <c r="K567" s="8" t="inlineStr">
        <is>
          <t>filtered by keyword pre-scan</t>
        </is>
      </c>
      <c r="L567" s="17" t="inlineStr">
        <is>
          <t>new</t>
        </is>
      </c>
      <c r="M567" s="18" t="inlineStr"/>
      <c r="N567" s="7" t="inlineStr">
        <is>
          <t>a58d83630d061b6c6a0fa5c2df61076225678207</t>
        </is>
      </c>
      <c r="O567" s="14" t="n">
        <v>46179</v>
      </c>
      <c r="P567" s="7" t="inlineStr">
        <is>
          <t>jobspy</t>
        </is>
      </c>
      <c r="Q567" s="8" t="inlineStr">
        <is>
          <t>python, git, c, embedded systems</t>
        </is>
      </c>
      <c r="R567" s="8" t="inlineStr">
        <is>
          <t>Graduate Software Engineer Python embedded Linux</t>
        </is>
      </c>
      <c r="S567" s="19" t="n"/>
      <c r="T567" s="19" t="n"/>
      <c r="U567" s="14" t="n">
        <v>46198</v>
      </c>
      <c r="V567" s="7" t="inlineStr">
        <is>
          <t>v2-cv-accuracy-13b988b18da8ea7d</t>
        </is>
      </c>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1.72</v>
      </c>
      <c r="C568" s="12" t="inlineStr">
        <is>
          <t>Graduate/Entry</t>
        </is>
      </c>
      <c r="D568" s="8" t="inlineStr">
        <is>
          <t>Graduate software engineer</t>
        </is>
      </c>
      <c r="E568" s="7" t="inlineStr">
        <is>
          <t>Evernote</t>
        </is>
      </c>
      <c r="F568" s="8" t="inlineStr">
        <is>
          <t>London, England, UK</t>
        </is>
      </c>
      <c r="G568" s="8" t="n"/>
      <c r="H568" s="14" t="n"/>
      <c r="I568" s="15">
        <f>IF($H568="","",$H568-TODAY())</f>
        <v/>
      </c>
      <c r="J568" s="16" t="inlineStr">
        <is>
          <t>Open posting</t>
        </is>
      </c>
      <c r="K568" s="8" t="inlineStr">
        <is>
          <t>filtered by keyword pre-scan</t>
        </is>
      </c>
      <c r="L568" s="17" t="inlineStr">
        <is>
          <t>new</t>
        </is>
      </c>
      <c r="M568" s="18" t="inlineStr"/>
      <c r="N568" s="7" t="inlineStr">
        <is>
          <t>7dba7567dc1d061c05b6d32a5f27aea278b90f92</t>
        </is>
      </c>
      <c r="O568" s="14" t="n">
        <v>46196</v>
      </c>
      <c r="P568" s="7" t="inlineStr">
        <is>
          <t>jobspy</t>
        </is>
      </c>
      <c r="Q568" s="8" t="inlineStr">
        <is>
          <t>python, docker, kubernetes, git, c</t>
        </is>
      </c>
      <c r="R568" s="8" t="inlineStr">
        <is>
          <t>Graduate Software Engineer Python Docker Kubernetes</t>
        </is>
      </c>
      <c r="S568" s="19" t="n"/>
      <c r="T568" s="19" t="n"/>
      <c r="U568" s="14" t="n">
        <v>46198</v>
      </c>
      <c r="V568" s="7" t="inlineStr">
        <is>
          <t>v2-cv-accuracy-13b988b18da8ea7d</t>
        </is>
      </c>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1.72</v>
      </c>
      <c r="C569" s="12" t="inlineStr">
        <is>
          <t>Graduate/Entry</t>
        </is>
      </c>
      <c r="D569" s="8" t="inlineStr">
        <is>
          <t>Graduate software engineer</t>
        </is>
      </c>
      <c r="E569" s="7" t="inlineStr">
        <is>
          <t>Meetup</t>
        </is>
      </c>
      <c r="F569" s="8" t="inlineStr">
        <is>
          <t>London, England, UK</t>
        </is>
      </c>
      <c r="G569" s="8" t="n"/>
      <c r="H569" s="14" t="n"/>
      <c r="I569" s="15">
        <f>IF($H569="","",$H569-TODAY())</f>
        <v/>
      </c>
      <c r="J569" s="16" t="inlineStr">
        <is>
          <t>Open posting</t>
        </is>
      </c>
      <c r="K569" s="8" t="inlineStr">
        <is>
          <t>filtered by keyword pre-scan</t>
        </is>
      </c>
      <c r="L569" s="17" t="inlineStr">
        <is>
          <t>new</t>
        </is>
      </c>
      <c r="M569" s="18" t="inlineStr"/>
      <c r="N569" s="7" t="inlineStr">
        <is>
          <t>2e91c9de42ce9cbd20d0ab28448ad86aa1433e14</t>
        </is>
      </c>
      <c r="O569" s="14" t="n">
        <v>46196</v>
      </c>
      <c r="P569" s="7" t="inlineStr">
        <is>
          <t>jobspy</t>
        </is>
      </c>
      <c r="Q569" s="8" t="inlineStr">
        <is>
          <t>python, docker, kubernetes, git, c</t>
        </is>
      </c>
      <c r="R569" s="8" t="inlineStr">
        <is>
          <t>Graduate Software Engineer Python Docker Kubernetes</t>
        </is>
      </c>
      <c r="S569" s="19" t="n"/>
      <c r="T569" s="19" t="n"/>
      <c r="U569" s="14" t="n">
        <v>46198</v>
      </c>
      <c r="V569" s="7" t="inlineStr">
        <is>
          <t>v2-cv-accuracy-13b988b18da8ea7d</t>
        </is>
      </c>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1.72</v>
      </c>
      <c r="C570" s="12" t="inlineStr">
        <is>
          <t>Graduate/Entry</t>
        </is>
      </c>
      <c r="D570" s="8" t="inlineStr">
        <is>
          <t>Graduate software engineer</t>
        </is>
      </c>
      <c r="E570" s="7" t="inlineStr">
        <is>
          <t>Meetup</t>
        </is>
      </c>
      <c r="F570" s="8" t="inlineStr"/>
      <c r="G570" s="8" t="n"/>
      <c r="H570" s="14" t="n"/>
      <c r="I570" s="15">
        <f>IF($H570="","",$H570-TODAY())</f>
        <v/>
      </c>
      <c r="J570" s="16" t="inlineStr">
        <is>
          <t>Open posting</t>
        </is>
      </c>
      <c r="K570" s="8" t="inlineStr">
        <is>
          <t>filtered by keyword pre-scan</t>
        </is>
      </c>
      <c r="L570" s="17" t="inlineStr">
        <is>
          <t>new</t>
        </is>
      </c>
      <c r="M570" s="18" t="inlineStr"/>
      <c r="N570" s="7" t="inlineStr">
        <is>
          <t>4eb5410f85579b1d1fae021d176a72e795a0fcb6</t>
        </is>
      </c>
      <c r="O570" s="14" t="n">
        <v>46196</v>
      </c>
      <c r="P570" s="7" t="inlineStr">
        <is>
          <t>jobspy</t>
        </is>
      </c>
      <c r="Q570" s="8" t="inlineStr">
        <is>
          <t>python, docker, kubernetes, git, c</t>
        </is>
      </c>
      <c r="R570" s="8" t="inlineStr">
        <is>
          <t>Graduate Software Engineer Python Docker Kubernetes</t>
        </is>
      </c>
      <c r="S570" s="19" t="n"/>
      <c r="T570" s="19" t="n"/>
      <c r="U570" s="14" t="n">
        <v>46198</v>
      </c>
      <c r="V570" s="7" t="inlineStr">
        <is>
          <t>v2-cv-accuracy-13b988b18da8ea7d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1.72</v>
      </c>
      <c r="C571" s="12" t="inlineStr">
        <is>
          <t>Graduate/Entry</t>
        </is>
      </c>
      <c r="D571" s="8" t="inlineStr">
        <is>
          <t>Graduate software engineer</t>
        </is>
      </c>
      <c r="E571" s="7" t="inlineStr">
        <is>
          <t>Meetup</t>
        </is>
      </c>
      <c r="F571" s="8" t="inlineStr">
        <is>
          <t>Oxford, England, UK</t>
        </is>
      </c>
      <c r="G571" s="8" t="n"/>
      <c r="H571" s="14" t="n"/>
      <c r="I571" s="15">
        <f>IF($H571="","",$H571-TODAY())</f>
        <v/>
      </c>
      <c r="J571" s="16" t="inlineStr">
        <is>
          <t>Open posting</t>
        </is>
      </c>
      <c r="K571" s="8" t="inlineStr">
        <is>
          <t>filtered by keyword pre-scan</t>
        </is>
      </c>
      <c r="L571" s="17" t="inlineStr">
        <is>
          <t>new</t>
        </is>
      </c>
      <c r="M571" s="18" t="inlineStr"/>
      <c r="N571" s="7" t="inlineStr">
        <is>
          <t>dc78cc793966db0055e6cd11eecf989ab55f550f</t>
        </is>
      </c>
      <c r="O571" s="14" t="n">
        <v>46196</v>
      </c>
      <c r="P571" s="7" t="inlineStr">
        <is>
          <t>jobspy</t>
        </is>
      </c>
      <c r="Q571" s="8" t="inlineStr">
        <is>
          <t>python, docker, kubernetes, git, c</t>
        </is>
      </c>
      <c r="R571" s="8" t="inlineStr">
        <is>
          <t>Graduate Software Engineer Python Docker Kubernetes</t>
        </is>
      </c>
      <c r="S571" s="19" t="n"/>
      <c r="T571" s="19" t="n"/>
      <c r="U571" s="14" t="n">
        <v>46198</v>
      </c>
      <c r="V571" s="7" t="inlineStr">
        <is>
          <t>v2-cv-accuracy-13b988b18da8ea7d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1.72</v>
      </c>
      <c r="C572" s="12" t="inlineStr">
        <is>
          <t>Graduate/Entry</t>
        </is>
      </c>
      <c r="D572" s="8" t="inlineStr">
        <is>
          <t>Graduate software engineer</t>
        </is>
      </c>
      <c r="E572" s="7" t="inlineStr">
        <is>
          <t>Bending Spoons</t>
        </is>
      </c>
      <c r="F572" s="8" t="inlineStr">
        <is>
          <t>Edinburgh, Scotland, UK</t>
        </is>
      </c>
      <c r="G572" s="8" t="n"/>
      <c r="H572" s="14" t="n"/>
      <c r="I572" s="15">
        <f>IF($H572="","",$H572-TODAY())</f>
        <v/>
      </c>
      <c r="J572" s="16" t="inlineStr">
        <is>
          <t>Open posting</t>
        </is>
      </c>
      <c r="K572" s="8" t="inlineStr">
        <is>
          <t>filtered by keyword pre-scan</t>
        </is>
      </c>
      <c r="L572" s="17" t="inlineStr">
        <is>
          <t>new</t>
        </is>
      </c>
      <c r="M572" s="18" t="inlineStr"/>
      <c r="N572" s="7" t="inlineStr">
        <is>
          <t>e0bdc7306c21157f1bdd840767e6fd693c7c0a5e</t>
        </is>
      </c>
      <c r="O572" s="14" t="n">
        <v>46195</v>
      </c>
      <c r="P572" s="7" t="inlineStr">
        <is>
          <t>jobspy</t>
        </is>
      </c>
      <c r="Q572" s="8" t="inlineStr">
        <is>
          <t>python, docker, kubernetes, git, c</t>
        </is>
      </c>
      <c r="R572" s="8" t="inlineStr">
        <is>
          <t>Graduate Software Engineer Python Docker Kubernetes</t>
        </is>
      </c>
      <c r="S572" s="19" t="n"/>
      <c r="T572" s="19" t="n"/>
      <c r="U572" s="14" t="n">
        <v>46198</v>
      </c>
      <c r="V572" s="7" t="inlineStr">
        <is>
          <t>v2-cv-accuracy-13b988b18da8ea7d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1.72</v>
      </c>
      <c r="C573" s="12" t="inlineStr">
        <is>
          <t>Graduate/Entry</t>
        </is>
      </c>
      <c r="D573" s="8" t="inlineStr">
        <is>
          <t>Graduate software engineer</t>
        </is>
      </c>
      <c r="E573" s="7" t="inlineStr">
        <is>
          <t>Bending Spoons</t>
        </is>
      </c>
      <c r="F573" s="8" t="inlineStr">
        <is>
          <t>Durham, England, UK</t>
        </is>
      </c>
      <c r="G573" s="8" t="n"/>
      <c r="H573" s="14" t="n"/>
      <c r="I573" s="15">
        <f>IF($H573="","",$H573-TODAY())</f>
        <v/>
      </c>
      <c r="J573" s="16" t="inlineStr">
        <is>
          <t>Open posting</t>
        </is>
      </c>
      <c r="K573" s="8" t="inlineStr">
        <is>
          <t>filtered by keyword pre-scan</t>
        </is>
      </c>
      <c r="L573" s="17" t="inlineStr">
        <is>
          <t>new</t>
        </is>
      </c>
      <c r="M573" s="18" t="inlineStr"/>
      <c r="N573" s="7" t="inlineStr">
        <is>
          <t>75c7e45dae9189e51b4530d6cd3a073c33385a8f</t>
        </is>
      </c>
      <c r="O573" s="14" t="n">
        <v>46195</v>
      </c>
      <c r="P573" s="7" t="inlineStr">
        <is>
          <t>jobspy</t>
        </is>
      </c>
      <c r="Q573" s="8" t="inlineStr">
        <is>
          <t>python, docker, kubernetes, git, c</t>
        </is>
      </c>
      <c r="R573" s="8" t="inlineStr">
        <is>
          <t>Graduate Software Engineer Python Docker Kubernetes</t>
        </is>
      </c>
      <c r="S573" s="19" t="n"/>
      <c r="T573" s="19" t="n"/>
      <c r="U573" s="14" t="n">
        <v>46198</v>
      </c>
      <c r="V573" s="7" t="inlineStr">
        <is>
          <t>v2-cv-accuracy-13b988b18da8ea7d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1.72</v>
      </c>
      <c r="C574" s="12" t="inlineStr">
        <is>
          <t>Graduate/Entry</t>
        </is>
      </c>
      <c r="D574" s="8" t="inlineStr">
        <is>
          <t>Graduate AI software engineer</t>
        </is>
      </c>
      <c r="E574" s="7" t="inlineStr">
        <is>
          <t>Bending Spoons</t>
        </is>
      </c>
      <c r="F574" s="8" t="inlineStr">
        <is>
          <t>Cambridge, England, UK</t>
        </is>
      </c>
      <c r="G574" s="8" t="n"/>
      <c r="H574" s="14" t="n"/>
      <c r="I574" s="15">
        <f>IF($H574="","",$H574-TODAY())</f>
        <v/>
      </c>
      <c r="J574" s="16" t="inlineStr">
        <is>
          <t>Open posting</t>
        </is>
      </c>
      <c r="K574" s="8" t="inlineStr">
        <is>
          <t>filtered by keyword pre-scan</t>
        </is>
      </c>
      <c r="L574" s="17" t="inlineStr">
        <is>
          <t>new</t>
        </is>
      </c>
      <c r="M574" s="18" t="inlineStr"/>
      <c r="N574" s="7" t="inlineStr">
        <is>
          <t>70f456a97ffa41e4cb0cac0878b2be3497b21879</t>
        </is>
      </c>
      <c r="O574" s="14" t="n"/>
      <c r="P574" s="7" t="inlineStr">
        <is>
          <t>jobspy</t>
        </is>
      </c>
      <c r="Q574" s="8" t="inlineStr">
        <is>
          <t>python, docker, kubernetes, git, c</t>
        </is>
      </c>
      <c r="R574" s="8" t="inlineStr">
        <is>
          <t>Graduate Software Engineer Python Docker Kubernetes</t>
        </is>
      </c>
      <c r="S574" s="19" t="n"/>
      <c r="T574" s="19" t="n"/>
      <c r="U574" s="14" t="n">
        <v>46198</v>
      </c>
      <c r="V574" s="7" t="inlineStr">
        <is>
          <t>v2-cv-accuracy-13b988b18da8ea7d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1.72</v>
      </c>
      <c r="C575" s="12" t="inlineStr">
        <is>
          <t>Graduate/Entry</t>
        </is>
      </c>
      <c r="D575" s="8" t="inlineStr">
        <is>
          <t>Graduate AI software engineer</t>
        </is>
      </c>
      <c r="E575" s="7" t="inlineStr">
        <is>
          <t>Bending Spoons</t>
        </is>
      </c>
      <c r="F575" s="8" t="inlineStr">
        <is>
          <t>Oxford, England, UK</t>
        </is>
      </c>
      <c r="G575" s="8" t="n"/>
      <c r="H575" s="14" t="n"/>
      <c r="I575" s="15">
        <f>IF($H575="","",$H575-TODAY())</f>
        <v/>
      </c>
      <c r="J575" s="16" t="inlineStr">
        <is>
          <t>Open posting</t>
        </is>
      </c>
      <c r="K575" s="8" t="inlineStr">
        <is>
          <t>filtered by keyword pre-scan</t>
        </is>
      </c>
      <c r="L575" s="17" t="inlineStr">
        <is>
          <t>new</t>
        </is>
      </c>
      <c r="M575" s="18" t="inlineStr"/>
      <c r="N575" s="7" t="inlineStr">
        <is>
          <t>b00477cbbc75a4212eabefba27f003cfa3283d37</t>
        </is>
      </c>
      <c r="O575" s="14" t="n"/>
      <c r="P575" s="7" t="inlineStr">
        <is>
          <t>jobspy</t>
        </is>
      </c>
      <c r="Q575" s="8" t="inlineStr">
        <is>
          <t>python, docker, kubernetes, git, c</t>
        </is>
      </c>
      <c r="R575" s="8" t="inlineStr">
        <is>
          <t>Graduate Software Engineer Python Docker Kubernetes</t>
        </is>
      </c>
      <c r="S575" s="19" t="n"/>
      <c r="T575" s="19" t="n"/>
      <c r="U575" s="14" t="n">
        <v>46198</v>
      </c>
      <c r="V575" s="7" t="inlineStr">
        <is>
          <t>v2-cv-accuracy-13b988b18da8ea7d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1.72</v>
      </c>
      <c r="C576" s="12" t="inlineStr">
        <is>
          <t>Senior/Lead</t>
        </is>
      </c>
      <c r="D576" s="8" t="inlineStr">
        <is>
          <t>Software Engineer - Back End</t>
        </is>
      </c>
      <c r="E576" s="7" t="inlineStr">
        <is>
          <t>Roke</t>
        </is>
      </c>
      <c r="F576" s="8" t="inlineStr">
        <is>
          <t>Romsey, England, UK</t>
        </is>
      </c>
      <c r="G576" s="8" t="n"/>
      <c r="H576" s="14" t="n"/>
      <c r="I576" s="15">
        <f>IF($H576="","",$H576-TODAY())</f>
        <v/>
      </c>
      <c r="J576" s="16" t="inlineStr">
        <is>
          <t>Open posting</t>
        </is>
      </c>
      <c r="K576" s="8" t="inlineStr">
        <is>
          <t>filtered by keyword pre-scan</t>
        </is>
      </c>
      <c r="L576" s="17" t="inlineStr">
        <is>
          <t>new</t>
        </is>
      </c>
      <c r="M576" s="18" t="inlineStr"/>
      <c r="N576" s="7" t="inlineStr">
        <is>
          <t>729e6143217d9d7d095891fe99a37c19be2157e7</t>
        </is>
      </c>
      <c r="O576" s="14" t="n"/>
      <c r="P576" s="7" t="inlineStr">
        <is>
          <t>jobspy</t>
        </is>
      </c>
      <c r="Q576" s="8" t="inlineStr">
        <is>
          <t>python, docker, git, c</t>
        </is>
      </c>
      <c r="R576" s="8" t="inlineStr">
        <is>
          <t>Junior Python Developer backend Docker Kubernetes</t>
        </is>
      </c>
      <c r="S576" s="19" t="n"/>
      <c r="T576" s="19" t="n"/>
      <c r="U576" s="14" t="n">
        <v>46198</v>
      </c>
      <c r="V576" s="7" t="inlineStr">
        <is>
          <t>v2-cv-accuracy-13b988b18da8ea7d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1.72</v>
      </c>
      <c r="C577" s="12" t="inlineStr">
        <is>
          <t>Graduate/Entry</t>
        </is>
      </c>
      <c r="D577" s="8" t="inlineStr">
        <is>
          <t>Graduate software engineer</t>
        </is>
      </c>
      <c r="E577" s="7" t="inlineStr">
        <is>
          <t>Meetup</t>
        </is>
      </c>
      <c r="F577" s="8" t="inlineStr">
        <is>
          <t>Cambridge, England, UK</t>
        </is>
      </c>
      <c r="G577" s="8" t="n"/>
      <c r="H577" s="14" t="n"/>
      <c r="I577" s="15">
        <f>IF($H577="","",$H577-TODAY())</f>
        <v/>
      </c>
      <c r="J577" s="16" t="inlineStr">
        <is>
          <t>Open posting</t>
        </is>
      </c>
      <c r="K577" s="8" t="inlineStr">
        <is>
          <t>filtered by keyword pre-scan</t>
        </is>
      </c>
      <c r="L577" s="17" t="inlineStr">
        <is>
          <t>new</t>
        </is>
      </c>
      <c r="M577" s="18" t="inlineStr"/>
      <c r="N577" s="7" t="inlineStr">
        <is>
          <t>eb4c856ba937301bed3186d866f60d758e838265</t>
        </is>
      </c>
      <c r="O577" s="14" t="n">
        <v>46196</v>
      </c>
      <c r="P577" s="7" t="inlineStr">
        <is>
          <t>jobspy</t>
        </is>
      </c>
      <c r="Q577" s="8" t="inlineStr">
        <is>
          <t>python, docker, kubernetes, git, c</t>
        </is>
      </c>
      <c r="R577" s="8" t="inlineStr">
        <is>
          <t>Graduate Software Engineer Python SQL backend</t>
        </is>
      </c>
      <c r="S577" s="19" t="n"/>
      <c r="T577" s="19" t="n"/>
      <c r="U577" s="14" t="n">
        <v>46197</v>
      </c>
      <c r="V577" s="7" t="inlineStr">
        <is>
          <t>v2-cv-accuracy-13b988b18da8ea7d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1.72</v>
      </c>
      <c r="C578" s="12" t="inlineStr">
        <is>
          <t>Unspecified</t>
        </is>
      </c>
      <c r="D578" s="8" t="inlineStr">
        <is>
          <t>Data Engineer</t>
        </is>
      </c>
      <c r="E578" s="7" t="inlineStr">
        <is>
          <t>Midnite</t>
        </is>
      </c>
      <c r="F578" s="8" t="inlineStr">
        <is>
          <t>Greater London, England, UK</t>
        </is>
      </c>
      <c r="G578" s="8" t="n"/>
      <c r="H578" s="14" t="n"/>
      <c r="I578" s="15">
        <f>IF($H578="","",$H578-TODAY())</f>
        <v/>
      </c>
      <c r="J578" s="16" t="inlineStr">
        <is>
          <t>Open posting</t>
        </is>
      </c>
      <c r="K578" s="8" t="inlineStr">
        <is>
          <t>filtered by keyword pre-scan</t>
        </is>
      </c>
      <c r="L578" s="17" t="inlineStr">
        <is>
          <t>new</t>
        </is>
      </c>
      <c r="M578" s="18" t="inlineStr"/>
      <c r="N578" s="7" t="inlineStr">
        <is>
          <t>4fea80c053c70464a9e2cf68247f06ebedde523d</t>
        </is>
      </c>
      <c r="O578" s="14" t="n">
        <v>46186</v>
      </c>
      <c r="P578" s="7" t="inlineStr">
        <is>
          <t>jobspy</t>
        </is>
      </c>
      <c r="Q578" s="8" t="inlineStr">
        <is>
          <t>python, sql, docker, git, c</t>
        </is>
      </c>
      <c r="R578" s="8" t="inlineStr">
        <is>
          <t>Junior Data Engineer Python SQL Docker remote</t>
        </is>
      </c>
      <c r="S578" s="19" t="n"/>
      <c r="T578" s="19" t="n"/>
      <c r="U578" s="14" t="n">
        <v>46197</v>
      </c>
      <c r="V578" s="7" t="inlineStr">
        <is>
          <t>v2-cv-accuracy-13b988b18da8ea7d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1.72</v>
      </c>
      <c r="C579" s="12" t="inlineStr">
        <is>
          <t>Graduate/Entry</t>
        </is>
      </c>
      <c r="D579" s="8" t="inlineStr">
        <is>
          <t>Graduate software engineer</t>
        </is>
      </c>
      <c r="E579" s="7" t="inlineStr">
        <is>
          <t>Evernote</t>
        </is>
      </c>
      <c r="F579" s="8" t="inlineStr"/>
      <c r="G579" s="8" t="n"/>
      <c r="H579" s="14" t="n"/>
      <c r="I579" s="15">
        <f>IF($H579="","",$H579-TODAY())</f>
        <v/>
      </c>
      <c r="J579" s="16" t="inlineStr">
        <is>
          <t>Open posting</t>
        </is>
      </c>
      <c r="K579" s="8" t="inlineStr">
        <is>
          <t>filtered by keyword pre-scan</t>
        </is>
      </c>
      <c r="L579" s="17" t="inlineStr">
        <is>
          <t>new</t>
        </is>
      </c>
      <c r="M579" s="18" t="inlineStr"/>
      <c r="N579" s="7" t="inlineStr">
        <is>
          <t>840d3c746eecff6075d8c7927500018e6bf6699f</t>
        </is>
      </c>
      <c r="O579" s="14" t="n">
        <v>46196</v>
      </c>
      <c r="P579" s="7" t="inlineStr">
        <is>
          <t>jobspy</t>
        </is>
      </c>
      <c r="Q579" s="8" t="inlineStr">
        <is>
          <t>python, docker, kubernetes, git, c</t>
        </is>
      </c>
      <c r="R579" s="8" t="inlineStr">
        <is>
          <t>Graduate Software Engineer Python Docker Kubernetes</t>
        </is>
      </c>
      <c r="S579" s="19" t="n"/>
      <c r="T579" s="19" t="n"/>
      <c r="U579" s="14" t="n">
        <v>46197</v>
      </c>
      <c r="V579" s="7" t="inlineStr">
        <is>
          <t>v2-cv-accuracy-13b988b18da8ea7d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1.72</v>
      </c>
      <c r="C580" s="12" t="inlineStr">
        <is>
          <t>Graduate/Entry</t>
        </is>
      </c>
      <c r="D580" s="8" t="inlineStr">
        <is>
          <t>Graduate software engineer</t>
        </is>
      </c>
      <c r="E580" s="7" t="inlineStr">
        <is>
          <t>Evernote</t>
        </is>
      </c>
      <c r="F580" s="8" t="inlineStr">
        <is>
          <t>Oxford, England, UK</t>
        </is>
      </c>
      <c r="G580" s="8" t="n"/>
      <c r="H580" s="14" t="n"/>
      <c r="I580" s="15">
        <f>IF($H580="","",$H580-TODAY())</f>
        <v/>
      </c>
      <c r="J580" s="16" t="inlineStr">
        <is>
          <t>Open posting</t>
        </is>
      </c>
      <c r="K580" s="8" t="inlineStr">
        <is>
          <t>filtered by keyword pre-scan</t>
        </is>
      </c>
      <c r="L580" s="17" t="inlineStr">
        <is>
          <t>new</t>
        </is>
      </c>
      <c r="M580" s="18" t="inlineStr"/>
      <c r="N580" s="7" t="inlineStr">
        <is>
          <t>e1a5c47e9b485e565c7adeb89366062606335faa</t>
        </is>
      </c>
      <c r="O580" s="14" t="n">
        <v>46196</v>
      </c>
      <c r="P580" s="7" t="inlineStr">
        <is>
          <t>jobspy</t>
        </is>
      </c>
      <c r="Q580" s="8" t="inlineStr">
        <is>
          <t>python, docker, kubernetes, git, c</t>
        </is>
      </c>
      <c r="R580" s="8" t="inlineStr">
        <is>
          <t>Graduate Software Engineer Python Docker Kubernetes</t>
        </is>
      </c>
      <c r="S580" s="19" t="n"/>
      <c r="T580" s="19" t="n"/>
      <c r="U580" s="14" t="n">
        <v>46197</v>
      </c>
      <c r="V580" s="7" t="inlineStr">
        <is>
          <t>v2-cv-accuracy-13b988b18da8ea7d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1.72</v>
      </c>
      <c r="C581" s="12" t="inlineStr">
        <is>
          <t>Graduate/Entry</t>
        </is>
      </c>
      <c r="D581" s="8" t="inlineStr">
        <is>
          <t>Graduate AI software engineer</t>
        </is>
      </c>
      <c r="E581" s="7" t="inlineStr">
        <is>
          <t>Bending Spoons</t>
        </is>
      </c>
      <c r="F581" s="8" t="inlineStr">
        <is>
          <t>Edinburgh, Scotland, UK</t>
        </is>
      </c>
      <c r="G581" s="8" t="n"/>
      <c r="H581" s="14" t="n"/>
      <c r="I581" s="15">
        <f>IF($H581="","",$H581-TODAY())</f>
        <v/>
      </c>
      <c r="J581" s="16" t="inlineStr">
        <is>
          <t>Open posting</t>
        </is>
      </c>
      <c r="K581" s="8" t="inlineStr">
        <is>
          <t>filtered by keyword pre-scan</t>
        </is>
      </c>
      <c r="L581" s="17" t="inlineStr">
        <is>
          <t>new</t>
        </is>
      </c>
      <c r="M581" s="18" t="inlineStr"/>
      <c r="N581" s="7" t="inlineStr">
        <is>
          <t>12856e29dbe2e59eb172fd40dee7319d5d834960</t>
        </is>
      </c>
      <c r="O581" s="14" t="n">
        <v>46195</v>
      </c>
      <c r="P581" s="7" t="inlineStr">
        <is>
          <t>jobspy</t>
        </is>
      </c>
      <c r="Q581" s="8" t="inlineStr">
        <is>
          <t>python, docker, kubernetes, git, c</t>
        </is>
      </c>
      <c r="R581" s="8" t="inlineStr">
        <is>
          <t>Graduate Software Engineer Python Docker Kubernetes</t>
        </is>
      </c>
      <c r="S581" s="19" t="n"/>
      <c r="T581" s="19" t="n"/>
      <c r="U581" s="14" t="n">
        <v>46197</v>
      </c>
      <c r="V581" s="7" t="inlineStr">
        <is>
          <t>v2-cv-accuracy-13b988b18da8ea7d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1.72</v>
      </c>
      <c r="C582" s="12" t="inlineStr">
        <is>
          <t>Graduate/Entry</t>
        </is>
      </c>
      <c r="D582" s="8" t="inlineStr">
        <is>
          <t>Graduate AI software engineer</t>
        </is>
      </c>
      <c r="E582" s="7" t="inlineStr">
        <is>
          <t>Bending Spoons</t>
        </is>
      </c>
      <c r="F582" s="8" t="inlineStr">
        <is>
          <t>Durham, England, UK</t>
        </is>
      </c>
      <c r="G582" s="8" t="n"/>
      <c r="H582" s="14" t="n"/>
      <c r="I582" s="15">
        <f>IF($H582="","",$H582-TODAY())</f>
        <v/>
      </c>
      <c r="J582" s="16" t="inlineStr">
        <is>
          <t>Open posting</t>
        </is>
      </c>
      <c r="K582" s="8" t="inlineStr">
        <is>
          <t>filtered by keyword pre-scan</t>
        </is>
      </c>
      <c r="L582" s="17" t="inlineStr">
        <is>
          <t>new</t>
        </is>
      </c>
      <c r="M582" s="18" t="inlineStr"/>
      <c r="N582" s="7" t="inlineStr">
        <is>
          <t>90745b7f67ff5ce2631cc2fd3186d1afda768d76</t>
        </is>
      </c>
      <c r="O582" s="14" t="n">
        <v>46195</v>
      </c>
      <c r="P582" s="7" t="inlineStr">
        <is>
          <t>jobspy</t>
        </is>
      </c>
      <c r="Q582" s="8" t="inlineStr">
        <is>
          <t>python, docker, kubernetes, git, c</t>
        </is>
      </c>
      <c r="R582" s="8" t="inlineStr">
        <is>
          <t>Graduate Software Engineer Python Docker Kubernetes</t>
        </is>
      </c>
      <c r="S582" s="19" t="n"/>
      <c r="T582" s="19" t="n"/>
      <c r="U582" s="14" t="n">
        <v>46197</v>
      </c>
      <c r="V582" s="7" t="inlineStr">
        <is>
          <t>v2-cv-accuracy-13b988b18da8ea7d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1.72</v>
      </c>
      <c r="C583" s="12" t="inlineStr">
        <is>
          <t>Graduate/Entry</t>
        </is>
      </c>
      <c r="D583" s="8" t="inlineStr">
        <is>
          <t>Graduate AI software engineer</t>
        </is>
      </c>
      <c r="E583" s="7" t="inlineStr">
        <is>
          <t>Bending Spoons</t>
        </is>
      </c>
      <c r="F583" s="8" t="inlineStr">
        <is>
          <t>Warwick, England, UK</t>
        </is>
      </c>
      <c r="G583" s="8" t="n"/>
      <c r="H583" s="14" t="n"/>
      <c r="I583" s="15">
        <f>IF($H583="","",$H583-TODAY())</f>
        <v/>
      </c>
      <c r="J583" s="16" t="inlineStr">
        <is>
          <t>Open posting</t>
        </is>
      </c>
      <c r="K583" s="8" t="inlineStr">
        <is>
          <t>filtered by keyword pre-scan</t>
        </is>
      </c>
      <c r="L583" s="17" t="inlineStr">
        <is>
          <t>new</t>
        </is>
      </c>
      <c r="M583" s="18" t="inlineStr"/>
      <c r="N583" s="7" t="inlineStr">
        <is>
          <t>4f23babadda6d24375447a94b6cf2ad579c21a90</t>
        </is>
      </c>
      <c r="O583" s="14" t="n">
        <v>46195</v>
      </c>
      <c r="P583" s="7" t="inlineStr">
        <is>
          <t>jobspy</t>
        </is>
      </c>
      <c r="Q583" s="8" t="inlineStr">
        <is>
          <t>python, docker, kubernetes, git, c</t>
        </is>
      </c>
      <c r="R583" s="8" t="inlineStr">
        <is>
          <t>Graduate Software Engineer Python Docker Kubernetes</t>
        </is>
      </c>
      <c r="S583" s="19" t="n"/>
      <c r="T583" s="19" t="n"/>
      <c r="U583" s="14" t="n">
        <v>46197</v>
      </c>
      <c r="V583" s="7" t="inlineStr">
        <is>
          <t>v2-cv-accuracy-13b988b18da8ea7d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1.72</v>
      </c>
      <c r="C584" s="12" t="inlineStr">
        <is>
          <t>Unspecified</t>
        </is>
      </c>
      <c r="D584" s="8" t="inlineStr">
        <is>
          <t>Backend Engineer at Volumetree</t>
        </is>
      </c>
      <c r="E584" s="7" t="inlineStr">
        <is>
          <t>Jack &amp; Jill</t>
        </is>
      </c>
      <c r="F584" s="8" t="inlineStr">
        <is>
          <t>London, England, UK</t>
        </is>
      </c>
      <c r="G584" s="8" t="n"/>
      <c r="H584" s="14" t="n"/>
      <c r="I584" s="15">
        <f>IF($H584="","",$H584-TODAY())</f>
        <v/>
      </c>
      <c r="J584" s="16" t="inlineStr">
        <is>
          <t>Open posting</t>
        </is>
      </c>
      <c r="K584" s="8" t="inlineStr">
        <is>
          <t>filtered by keyword pre-scan</t>
        </is>
      </c>
      <c r="L584" s="17" t="inlineStr">
        <is>
          <t>new</t>
        </is>
      </c>
      <c r="M584" s="18" t="inlineStr"/>
      <c r="N584" s="7" t="inlineStr">
        <is>
          <t>e34f31010e4ecabe9eda0c52af11c0c4aea61bdb</t>
        </is>
      </c>
      <c r="O584" s="14" t="n"/>
      <c r="P584" s="7" t="inlineStr">
        <is>
          <t>jobspy</t>
        </is>
      </c>
      <c r="Q584" s="8" t="inlineStr">
        <is>
          <t>python, sql, docker, kubernetes, c</t>
        </is>
      </c>
      <c r="R584" s="8" t="inlineStr">
        <is>
          <t>Junior Python Developer backend Docker Kubernetes</t>
        </is>
      </c>
      <c r="S584" s="19" t="n"/>
      <c r="T584" s="19" t="n"/>
      <c r="U584" s="14" t="n">
        <v>46196</v>
      </c>
      <c r="V584" s="7" t="inlineStr">
        <is>
          <t>v2-cv-accuracy-13b988b18da8ea7d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1.72</v>
      </c>
      <c r="C585" s="12" t="inlineStr">
        <is>
          <t>Senior/Lead</t>
        </is>
      </c>
      <c r="D585" s="8" t="inlineStr">
        <is>
          <t>Developer</t>
        </is>
      </c>
      <c r="E585" s="7" t="inlineStr">
        <is>
          <t>Stott and May</t>
        </is>
      </c>
      <c r="F585" s="8" t="inlineStr"/>
      <c r="G585" s="8" t="n"/>
      <c r="H585" s="14" t="n"/>
      <c r="I585" s="15">
        <f>IF($H585="","",$H585-TODAY())</f>
        <v/>
      </c>
      <c r="J585" s="16" t="inlineStr">
        <is>
          <t>Open posting</t>
        </is>
      </c>
      <c r="K585" s="8" t="inlineStr">
        <is>
          <t>filtered by keyword pre-scan</t>
        </is>
      </c>
      <c r="L585" s="17" t="inlineStr">
        <is>
          <t>new</t>
        </is>
      </c>
      <c r="M585" s="18" t="inlineStr"/>
      <c r="N585" s="7" t="inlineStr">
        <is>
          <t>e8e11a0b526555b0ce6bace55879b745b526a1ef</t>
        </is>
      </c>
      <c r="O585" s="14" t="n">
        <v>46183</v>
      </c>
      <c r="P585" s="7" t="inlineStr">
        <is>
          <t>jobspy</t>
        </is>
      </c>
      <c r="Q585" s="8" t="inlineStr">
        <is>
          <t>python, git, c, javascript</t>
        </is>
      </c>
      <c r="R585" s="8" t="inlineStr">
        <is>
          <t>Graduate Software Engineer Python JavaScript remote</t>
        </is>
      </c>
      <c r="S585" s="19" t="n"/>
      <c r="T585" s="19" t="n"/>
      <c r="U585" s="14" t="n">
        <v>46196</v>
      </c>
      <c r="V585" s="7" t="inlineStr">
        <is>
          <t>v2-cv-accuracy-13b988b18da8ea7d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1.72</v>
      </c>
      <c r="C586" s="12" t="inlineStr">
        <is>
          <t>Senior/Lead</t>
        </is>
      </c>
      <c r="D586" s="8" t="inlineStr">
        <is>
          <t>System Emulation and Evaluation Engineer</t>
        </is>
      </c>
      <c r="E586" s="7" t="inlineStr">
        <is>
          <t>Cirrus Logic</t>
        </is>
      </c>
      <c r="F586" s="8" t="inlineStr">
        <is>
          <t>Edinburgh, Scotland, UK</t>
        </is>
      </c>
      <c r="G586" s="8" t="n"/>
      <c r="H586" s="14" t="n"/>
      <c r="I586" s="15">
        <f>IF($H586="","",$H586-TODAY())</f>
        <v/>
      </c>
      <c r="J586" s="16" t="inlineStr">
        <is>
          <t>Open posting</t>
        </is>
      </c>
      <c r="K586" s="8" t="inlineStr">
        <is>
          <t>filtered by keyword pre-scan</t>
        </is>
      </c>
      <c r="L586" s="17" t="inlineStr">
        <is>
          <t>new</t>
        </is>
      </c>
      <c r="M586" s="18" t="inlineStr"/>
      <c r="N586" s="7" t="inlineStr">
        <is>
          <t>c78341cd61d020736ab2e04883bdcef26ef2a422</t>
        </is>
      </c>
      <c r="O586" s="14" t="n">
        <v>46195</v>
      </c>
      <c r="P586" s="7" t="inlineStr">
        <is>
          <t>jobspy</t>
        </is>
      </c>
      <c r="Q586" s="8" t="inlineStr">
        <is>
          <t>python, fpga, c, dsp</t>
        </is>
      </c>
      <c r="R586" s="8" t="inlineStr">
        <is>
          <t>EngD Research Engineer electronics embedded systems</t>
        </is>
      </c>
      <c r="S586" s="19" t="n"/>
      <c r="T586" s="19" t="n"/>
      <c r="U586" s="14" t="n">
        <v>46196</v>
      </c>
      <c r="V586" s="7" t="inlineStr">
        <is>
          <t>v2-cv-accuracy-13b988b18da8ea7d</t>
        </is>
      </c>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1.72</v>
      </c>
      <c r="C587" s="12" t="inlineStr">
        <is>
          <t>Mid-level</t>
        </is>
      </c>
      <c r="D587" s="8" t="inlineStr">
        <is>
          <t>Software Engineer - Yocto/Linux</t>
        </is>
      </c>
      <c r="E587" s="7" t="inlineStr">
        <is>
          <t>Spire</t>
        </is>
      </c>
      <c r="F587" s="8" t="inlineStr">
        <is>
          <t>Glasgow, Scotland, UK</t>
        </is>
      </c>
      <c r="G587" s="8" t="n"/>
      <c r="H587" s="14" t="n"/>
      <c r="I587" s="15">
        <f>IF($H587="","",$H587-TODAY())</f>
        <v/>
      </c>
      <c r="J587" s="16" t="inlineStr">
        <is>
          <t>Open posting</t>
        </is>
      </c>
      <c r="K587" s="8" t="inlineStr">
        <is>
          <t>filtered by keyword pre-scan</t>
        </is>
      </c>
      <c r="L587" s="17" t="inlineStr">
        <is>
          <t>new</t>
        </is>
      </c>
      <c r="M587" s="18" t="inlineStr"/>
      <c r="N587" s="7" t="inlineStr">
        <is>
          <t>abbf6d2a3535926ae5c5821b700c89b15002b282</t>
        </is>
      </c>
      <c r="O587" s="14" t="n">
        <v>46183</v>
      </c>
      <c r="P587" s="7" t="inlineStr">
        <is>
          <t>jobspy</t>
        </is>
      </c>
      <c r="Q587" s="8" t="inlineStr">
        <is>
          <t>python, git, c, embedded systems</t>
        </is>
      </c>
      <c r="R587" s="8" t="inlineStr">
        <is>
          <t>EngD Research Engineer electronics embedded systems</t>
        </is>
      </c>
      <c r="S587" s="19" t="n"/>
      <c r="T587" s="19" t="n"/>
      <c r="U587" s="14" t="n">
        <v>46196</v>
      </c>
      <c r="V587" s="7" t="inlineStr">
        <is>
          <t>v2-cv-accuracy-13b988b18da8ea7d</t>
        </is>
      </c>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1.72</v>
      </c>
      <c r="C588" s="12" t="inlineStr">
        <is>
          <t>Senior/Lead</t>
        </is>
      </c>
      <c r="D588" s="8" t="inlineStr">
        <is>
          <t>RF Data Scientist / Research Engineer</t>
        </is>
      </c>
      <c r="E588" s="7" t="inlineStr">
        <is>
          <t>RedTech Recruitment</t>
        </is>
      </c>
      <c r="F588" s="8" t="inlineStr">
        <is>
          <t>Saffron Walden, England, UK</t>
        </is>
      </c>
      <c r="G588" s="8" t="n"/>
      <c r="H588" s="14" t="n"/>
      <c r="I588" s="15">
        <f>IF($H588="","",$H588-TODAY())</f>
        <v/>
      </c>
      <c r="J588" s="16" t="inlineStr">
        <is>
          <t>Open posting</t>
        </is>
      </c>
      <c r="K588" s="8" t="inlineStr">
        <is>
          <t>filtered by keyword pre-scan</t>
        </is>
      </c>
      <c r="L588" s="17" t="inlineStr">
        <is>
          <t>new</t>
        </is>
      </c>
      <c r="M588" s="18" t="inlineStr"/>
      <c r="N588" s="7" t="inlineStr">
        <is>
          <t>c6fc909bdfe220c2b17d98a5b7145d5eb8298b23</t>
        </is>
      </c>
      <c r="O588" s="14" t="n"/>
      <c r="P588" s="7" t="inlineStr">
        <is>
          <t>jobspy</t>
        </is>
      </c>
      <c r="Q588" s="8" t="inlineStr">
        <is>
          <t>python, git, c, dsp</t>
        </is>
      </c>
      <c r="R588" s="8" t="inlineStr">
        <is>
          <t>Graduate Signal Processing Engineer DSP Python</t>
        </is>
      </c>
      <c r="S588" s="19" t="n"/>
      <c r="T588" s="19" t="n"/>
      <c r="U588" s="14" t="n">
        <v>46196</v>
      </c>
      <c r="V588" s="7" t="inlineStr">
        <is>
          <t>v2-cv-accuracy-13b988b18da8ea7d</t>
        </is>
      </c>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1.72</v>
      </c>
      <c r="C589" s="12" t="inlineStr">
        <is>
          <t>Graduate/Entry</t>
        </is>
      </c>
      <c r="D589" s="8" t="inlineStr">
        <is>
          <t>Graduate AI software engineer</t>
        </is>
      </c>
      <c r="E589" s="7" t="inlineStr">
        <is>
          <t>Bending Spoons</t>
        </is>
      </c>
      <c r="F589" s="8" t="inlineStr"/>
      <c r="G589" s="8" t="n"/>
      <c r="H589" s="14" t="n"/>
      <c r="I589" s="15">
        <f>IF($H589="","",$H589-TODAY())</f>
        <v/>
      </c>
      <c r="J589" s="16" t="inlineStr">
        <is>
          <t>Open posting</t>
        </is>
      </c>
      <c r="K589" s="8" t="inlineStr">
        <is>
          <t>filtered by keyword pre-scan</t>
        </is>
      </c>
      <c r="L589" s="17" t="inlineStr">
        <is>
          <t>new</t>
        </is>
      </c>
      <c r="M589" s="18" t="inlineStr"/>
      <c r="N589" s="7" t="inlineStr">
        <is>
          <t>84430886132808dc69a998455df1ff496f0c2856</t>
        </is>
      </c>
      <c r="O589" s="14" t="n">
        <v>46195</v>
      </c>
      <c r="P589" s="7" t="inlineStr">
        <is>
          <t>jobspy</t>
        </is>
      </c>
      <c r="Q589" s="8" t="inlineStr">
        <is>
          <t>python, docker, kubernetes, git, c</t>
        </is>
      </c>
      <c r="R589" s="8" t="inlineStr">
        <is>
          <t>Graduate Software Engineer Python Docker Kubernetes</t>
        </is>
      </c>
      <c r="S589" s="19" t="n"/>
      <c r="T589" s="19" t="n"/>
      <c r="U589" s="14" t="n">
        <v>46196</v>
      </c>
      <c r="V589" s="7" t="inlineStr">
        <is>
          <t>v2-cv-accuracy-13b988b18da8ea7d</t>
        </is>
      </c>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1.72</v>
      </c>
      <c r="C590" s="12" t="inlineStr">
        <is>
          <t>Graduate/Entry</t>
        </is>
      </c>
      <c r="D590" s="8" t="inlineStr">
        <is>
          <t>Graduate software engineer</t>
        </is>
      </c>
      <c r="E590" s="7" t="inlineStr">
        <is>
          <t>Bending Spoons</t>
        </is>
      </c>
      <c r="F590" s="8" t="inlineStr">
        <is>
          <t>Cambridge, England, UK</t>
        </is>
      </c>
      <c r="G590" s="8" t="n"/>
      <c r="H590" s="14" t="n"/>
      <c r="I590" s="15">
        <f>IF($H590="","",$H590-TODAY())</f>
        <v/>
      </c>
      <c r="J590" s="16" t="inlineStr">
        <is>
          <t>Open posting</t>
        </is>
      </c>
      <c r="K590" s="8" t="inlineStr">
        <is>
          <t>filtered by keyword pre-scan</t>
        </is>
      </c>
      <c r="L590" s="17" t="inlineStr">
        <is>
          <t>new</t>
        </is>
      </c>
      <c r="M590" s="18" t="inlineStr"/>
      <c r="N590" s="7" t="inlineStr">
        <is>
          <t>a560e582cb31b63e8c4c5719cba698d252fe8d88</t>
        </is>
      </c>
      <c r="O590" s="14" t="n">
        <v>46193</v>
      </c>
      <c r="P590" s="7" t="inlineStr">
        <is>
          <t>jobspy</t>
        </is>
      </c>
      <c r="Q590" s="8" t="inlineStr">
        <is>
          <t>python, docker, kubernetes, git, c</t>
        </is>
      </c>
      <c r="R590" s="8" t="inlineStr">
        <is>
          <t>Graduate Software Engineer Python Docker Kubernetes</t>
        </is>
      </c>
      <c r="S590" s="19" t="n"/>
      <c r="T590" s="19" t="n"/>
      <c r="U590" s="14" t="n">
        <v>46196</v>
      </c>
      <c r="V590" s="7" t="inlineStr">
        <is>
          <t>v2-cv-accuracy-13b988b18da8ea7d</t>
        </is>
      </c>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1.72</v>
      </c>
      <c r="C591" s="12" t="inlineStr">
        <is>
          <t>Graduate/Entry</t>
        </is>
      </c>
      <c r="D591" s="8" t="inlineStr">
        <is>
          <t>Graduate software engineer</t>
        </is>
      </c>
      <c r="E591" s="7" t="inlineStr">
        <is>
          <t>Evernote</t>
        </is>
      </c>
      <c r="F591" s="8" t="inlineStr">
        <is>
          <t>Cambridge, England, UK</t>
        </is>
      </c>
      <c r="G591" s="8" t="n"/>
      <c r="H591" s="14" t="n"/>
      <c r="I591" s="15">
        <f>IF($H591="","",$H591-TODAY())</f>
        <v/>
      </c>
      <c r="J591" s="16" t="inlineStr">
        <is>
          <t>Open posting</t>
        </is>
      </c>
      <c r="K591" s="8" t="inlineStr">
        <is>
          <t>filtered by keyword pre-scan</t>
        </is>
      </c>
      <c r="L591" s="17" t="inlineStr">
        <is>
          <t>new</t>
        </is>
      </c>
      <c r="M591" s="18" t="inlineStr"/>
      <c r="N591" s="7" t="inlineStr">
        <is>
          <t>f5824f7f890f2222f85aa7454a4997bf7cf209c1</t>
        </is>
      </c>
      <c r="O591" s="14" t="n"/>
      <c r="P591" s="7" t="inlineStr">
        <is>
          <t>jobspy</t>
        </is>
      </c>
      <c r="Q591" s="8" t="inlineStr">
        <is>
          <t>python, docker, kubernetes, git, c</t>
        </is>
      </c>
      <c r="R591" s="8" t="inlineStr">
        <is>
          <t>Graduate Software Engineer Python Docker Kubernetes</t>
        </is>
      </c>
      <c r="S591" s="19" t="n"/>
      <c r="T591" s="19" t="n"/>
      <c r="U591" s="14" t="n">
        <v>46196</v>
      </c>
      <c r="V591" s="7" t="inlineStr">
        <is>
          <t>v2-cv-accuracy-13b988b18da8ea7d</t>
        </is>
      </c>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1.72</v>
      </c>
      <c r="C592" s="12" t="inlineStr">
        <is>
          <t>Graduate/Entry</t>
        </is>
      </c>
      <c r="D592" s="8" t="inlineStr">
        <is>
          <t>Graduate software engineer</t>
        </is>
      </c>
      <c r="E592" s="7" t="inlineStr">
        <is>
          <t>WeTransfer</t>
        </is>
      </c>
      <c r="F592" s="8" t="inlineStr">
        <is>
          <t>London, England, UK</t>
        </is>
      </c>
      <c r="G592" s="8" t="n"/>
      <c r="H592" s="14" t="n"/>
      <c r="I592" s="15">
        <f>IF($H592="","",$H592-TODAY())</f>
        <v/>
      </c>
      <c r="J592" s="16" t="inlineStr">
        <is>
          <t>Open posting</t>
        </is>
      </c>
      <c r="K592" s="8" t="inlineStr">
        <is>
          <t>filtered by keyword pre-scan</t>
        </is>
      </c>
      <c r="L592" s="17" t="inlineStr">
        <is>
          <t>new</t>
        </is>
      </c>
      <c r="M592" s="18" t="inlineStr"/>
      <c r="N592" s="7" t="inlineStr">
        <is>
          <t>399c870b59a034aad63343335e5695da6539e5a7</t>
        </is>
      </c>
      <c r="O592" s="14" t="n"/>
      <c r="P592" s="7" t="inlineStr">
        <is>
          <t>jobspy</t>
        </is>
      </c>
      <c r="Q592" s="8" t="inlineStr">
        <is>
          <t>python, docker, kubernetes, git, c</t>
        </is>
      </c>
      <c r="R592" s="8" t="inlineStr">
        <is>
          <t>Graduate Software Engineer Python Docker Kubernetes</t>
        </is>
      </c>
      <c r="S592" s="19" t="n"/>
      <c r="T592" s="19" t="n"/>
      <c r="U592" s="14" t="n">
        <v>46196</v>
      </c>
      <c r="V592" s="7" t="inlineStr">
        <is>
          <t>v2-cv-accuracy-13b988b18da8ea7d</t>
        </is>
      </c>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1.72</v>
      </c>
      <c r="C593" s="12" t="inlineStr">
        <is>
          <t>Mid-level</t>
        </is>
      </c>
      <c r="D593" s="8" t="inlineStr">
        <is>
          <t>Software Engineer (Python)</t>
        </is>
      </c>
      <c r="E593" s="7" t="inlineStr">
        <is>
          <t>Darktrace</t>
        </is>
      </c>
      <c r="F593" s="8" t="inlineStr"/>
      <c r="G593" s="8" t="n"/>
      <c r="H593" s="14" t="n"/>
      <c r="I593" s="15">
        <f>IF($H593="","",$H593-TODAY())</f>
        <v/>
      </c>
      <c r="J593" s="16" t="inlineStr">
        <is>
          <t>Open posting</t>
        </is>
      </c>
      <c r="K593" s="8" t="inlineStr">
        <is>
          <t>filtered by keyword pre-scan</t>
        </is>
      </c>
      <c r="L593" s="17" t="inlineStr">
        <is>
          <t>new</t>
        </is>
      </c>
      <c r="M593" s="18" t="inlineStr"/>
      <c r="N593" s="7" t="inlineStr">
        <is>
          <t>25974c63c72dbcc6a32054011e67ba5be396c166</t>
        </is>
      </c>
      <c r="O593" s="14" t="n">
        <v>46178</v>
      </c>
      <c r="P593" s="7" t="inlineStr">
        <is>
          <t>jobspy</t>
        </is>
      </c>
      <c r="Q593" s="8" t="inlineStr">
        <is>
          <t>python, docker, git, c, javascript</t>
        </is>
      </c>
      <c r="R593" s="8" t="inlineStr">
        <is>
          <t>Graduate Software Engineer Python embedded</t>
        </is>
      </c>
      <c r="S593" s="19" t="n"/>
      <c r="T593" s="19" t="n"/>
      <c r="U593" s="14" t="n">
        <v>46195</v>
      </c>
      <c r="V593" s="7" t="inlineStr">
        <is>
          <t>v2-cv-accuracy-13b988b18da8ea7d</t>
        </is>
      </c>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1.72</v>
      </c>
      <c r="C594" s="12" t="inlineStr">
        <is>
          <t>Unspecified</t>
        </is>
      </c>
      <c r="D594" s="8" t="inlineStr">
        <is>
          <t>Software Engineer, Roku TV</t>
        </is>
      </c>
      <c r="E594" s="7" t="inlineStr">
        <is>
          <t>Roku</t>
        </is>
      </c>
      <c r="F594" s="8" t="inlineStr">
        <is>
          <t>Cambridge, England, UK</t>
        </is>
      </c>
      <c r="G594" s="8" t="n"/>
      <c r="H594" s="14" t="n"/>
      <c r="I594" s="15">
        <f>IF($H594="","",$H594-TODAY())</f>
        <v/>
      </c>
      <c r="J594" s="16" t="inlineStr">
        <is>
          <t>Open posting</t>
        </is>
      </c>
      <c r="K594" s="8" t="inlineStr">
        <is>
          <t>filtered by keyword pre-scan</t>
        </is>
      </c>
      <c r="L594" s="17" t="inlineStr">
        <is>
          <t>new</t>
        </is>
      </c>
      <c r="M594" s="18" t="inlineStr"/>
      <c r="N594" s="7" t="inlineStr">
        <is>
          <t>b98212860646270f3456ef653773c2360edd6f21</t>
        </is>
      </c>
      <c r="O594" s="14" t="n">
        <v>46177</v>
      </c>
      <c r="P594" s="7" t="inlineStr">
        <is>
          <t>jobspy</t>
        </is>
      </c>
      <c r="Q594" s="8" t="inlineStr">
        <is>
          <t>python, c, javascript, embedded systems</t>
        </is>
      </c>
      <c r="R594" s="8" t="inlineStr">
        <is>
          <t>Graduate Software Engineer Python embedded</t>
        </is>
      </c>
      <c r="S594" s="19" t="n"/>
      <c r="T594" s="19" t="n"/>
      <c r="U594" s="14" t="n">
        <v>46195</v>
      </c>
      <c r="V594" s="7" t="inlineStr">
        <is>
          <t>v2-cv-accuracy-13b988b18da8ea7d</t>
        </is>
      </c>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1.72</v>
      </c>
      <c r="C595" s="12" t="inlineStr">
        <is>
          <t>Unspecified</t>
        </is>
      </c>
      <c r="D595" s="8" t="inlineStr">
        <is>
          <t>Cloud Engineer</t>
        </is>
      </c>
      <c r="E595" s="7" t="inlineStr">
        <is>
          <t>Lorien</t>
        </is>
      </c>
      <c r="F595" s="8" t="inlineStr">
        <is>
          <t>Edinburgh, Scotland, UK</t>
        </is>
      </c>
      <c r="G595" s="8" t="n"/>
      <c r="H595" s="14" t="n"/>
      <c r="I595" s="15">
        <f>IF($H595="","",$H595-TODAY())</f>
        <v/>
      </c>
      <c r="J595" s="16" t="inlineStr">
        <is>
          <t>Open posting</t>
        </is>
      </c>
      <c r="K595" s="8" t="inlineStr">
        <is>
          <t>filtered by keyword pre-scan</t>
        </is>
      </c>
      <c r="L595" s="17" t="inlineStr">
        <is>
          <t>new</t>
        </is>
      </c>
      <c r="M595" s="18" t="inlineStr"/>
      <c r="N595" s="7" t="inlineStr">
        <is>
          <t>bc2e6ebbdf77913f2c424c5f003ccd12be24740c</t>
        </is>
      </c>
      <c r="O595" s="14" t="n">
        <v>46189</v>
      </c>
      <c r="P595" s="7" t="inlineStr">
        <is>
          <t>jobspy</t>
        </is>
      </c>
      <c r="Q595" s="8" t="inlineStr">
        <is>
          <t>docker, kubernetes, git, c</t>
        </is>
      </c>
      <c r="R595" s="8" t="inlineStr">
        <is>
          <t>Graduate DevOps Engineer Docker Kubernetes Git</t>
        </is>
      </c>
      <c r="S595" s="19" t="n"/>
      <c r="T595" s="19" t="n"/>
      <c r="U595" s="14" t="n">
        <v>46195</v>
      </c>
      <c r="V595" s="7" t="inlineStr">
        <is>
          <t>v2-cv-accuracy-13b988b18da8ea7d</t>
        </is>
      </c>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1.72</v>
      </c>
      <c r="C596" s="12" t="inlineStr">
        <is>
          <t>Unspecified</t>
        </is>
      </c>
      <c r="D596" s="8" t="inlineStr">
        <is>
          <t>Data Engineer</t>
        </is>
      </c>
      <c r="E596" s="7" t="inlineStr">
        <is>
          <t>Midnite</t>
        </is>
      </c>
      <c r="F596" s="8" t="inlineStr"/>
      <c r="G596" s="8" t="n"/>
      <c r="H596" s="14" t="n"/>
      <c r="I596" s="15">
        <f>IF($H596="","",$H596-TODAY())</f>
        <v/>
      </c>
      <c r="J596" s="16" t="inlineStr">
        <is>
          <t>Open posting</t>
        </is>
      </c>
      <c r="K596" s="8" t="inlineStr">
        <is>
          <t>filtered by keyword pre-scan</t>
        </is>
      </c>
      <c r="L596" s="17" t="inlineStr">
        <is>
          <t>new</t>
        </is>
      </c>
      <c r="M596" s="18" t="inlineStr"/>
      <c r="N596" s="7" t="inlineStr">
        <is>
          <t>6bb70203443bd4a346f7a1bd3ca9a4bf259bd3ad</t>
        </is>
      </c>
      <c r="O596" s="14" t="n">
        <v>46185</v>
      </c>
      <c r="P596" s="7" t="inlineStr">
        <is>
          <t>jobspy</t>
        </is>
      </c>
      <c r="Q596" s="8" t="inlineStr">
        <is>
          <t>python, sql, docker, git, c</t>
        </is>
      </c>
      <c r="R596" s="8" t="inlineStr">
        <is>
          <t>Junior Data Engineer Python SQL MySQL remote</t>
        </is>
      </c>
      <c r="S596" s="19" t="n"/>
      <c r="T596" s="19" t="n"/>
      <c r="U596" s="14" t="n">
        <v>46195</v>
      </c>
      <c r="V596" s="7" t="inlineStr">
        <is>
          <t>v2-cv-accuracy-13b988b18da8ea7d</t>
        </is>
      </c>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1.72</v>
      </c>
      <c r="C597" s="12" t="inlineStr">
        <is>
          <t>Senior/Lead</t>
        </is>
      </c>
      <c r="D597" s="8" t="inlineStr">
        <is>
          <t>Cloud Engineer</t>
        </is>
      </c>
      <c r="E597" s="7" t="inlineStr">
        <is>
          <t>ea Change</t>
        </is>
      </c>
      <c r="F597" s="8" t="inlineStr">
        <is>
          <t>Reading, England, UK</t>
        </is>
      </c>
      <c r="G597" s="8" t="n"/>
      <c r="H597" s="14" t="n"/>
      <c r="I597" s="15">
        <f>IF($H597="","",$H597-TODAY())</f>
        <v/>
      </c>
      <c r="J597" s="16" t="inlineStr">
        <is>
          <t>Open posting</t>
        </is>
      </c>
      <c r="K597" s="8" t="inlineStr">
        <is>
          <t>filtered by keyword pre-scan</t>
        </is>
      </c>
      <c r="L597" s="17" t="inlineStr">
        <is>
          <t>new</t>
        </is>
      </c>
      <c r="M597" s="18" t="inlineStr"/>
      <c r="N597" s="7" t="inlineStr">
        <is>
          <t>ddaf27276eb9e44de510200886d45d85e7fd84d1</t>
        </is>
      </c>
      <c r="O597" s="14" t="n">
        <v>46192</v>
      </c>
      <c r="P597" s="7" t="inlineStr">
        <is>
          <t>jobspy</t>
        </is>
      </c>
      <c r="Q597" s="8" t="inlineStr">
        <is>
          <t>python, kubernetes, git, c</t>
        </is>
      </c>
      <c r="R597" s="8" t="inlineStr">
        <is>
          <t>Graduate Platform Engineer Docker Kubernetes Python</t>
        </is>
      </c>
      <c r="S597" s="19" t="n"/>
      <c r="T597" s="19" t="n"/>
      <c r="U597" s="14" t="n">
        <v>46195</v>
      </c>
      <c r="V597" s="7" t="inlineStr">
        <is>
          <t>v2-cv-accuracy-13b988b18da8ea7d</t>
        </is>
      </c>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1.72</v>
      </c>
      <c r="C598" s="12" t="inlineStr">
        <is>
          <t>Senior/Lead</t>
        </is>
      </c>
      <c r="D598" s="8" t="inlineStr">
        <is>
          <t>Cloud ML DevRel Engineer</t>
        </is>
      </c>
      <c r="E598" s="7" t="inlineStr">
        <is>
          <t>Jobgether</t>
        </is>
      </c>
      <c r="F598" s="8" t="inlineStr"/>
      <c r="G598" s="8" t="n"/>
      <c r="H598" s="14" t="n"/>
      <c r="I598" s="15">
        <f>IF($H598="","",$H598-TODAY())</f>
        <v/>
      </c>
      <c r="J598" s="16" t="inlineStr">
        <is>
          <t>Open posting</t>
        </is>
      </c>
      <c r="K598" s="8" t="inlineStr">
        <is>
          <t>filtered by keyword pre-scan</t>
        </is>
      </c>
      <c r="L598" s="17" t="inlineStr">
        <is>
          <t>new</t>
        </is>
      </c>
      <c r="M598" s="18" t="inlineStr"/>
      <c r="N598" s="7" t="inlineStr">
        <is>
          <t>45b19be0925f3388ffae8cb70a12aa38c72d49db</t>
        </is>
      </c>
      <c r="O598" s="14" t="n">
        <v>46175</v>
      </c>
      <c r="P598" s="7" t="inlineStr">
        <is>
          <t>jobspy</t>
        </is>
      </c>
      <c r="Q598" s="8" t="inlineStr">
        <is>
          <t>python, docker, kubernetes, git, c</t>
        </is>
      </c>
      <c r="R598" s="8" t="inlineStr">
        <is>
          <t>Graduate Platform Engineer Docker Kubernetes Python</t>
        </is>
      </c>
      <c r="S598" s="19" t="n"/>
      <c r="T598" s="19" t="n"/>
      <c r="U598" s="14" t="n">
        <v>46195</v>
      </c>
      <c r="V598" s="7" t="inlineStr">
        <is>
          <t>v2-cv-accuracy-13b988b18da8ea7d</t>
        </is>
      </c>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1.72</v>
      </c>
      <c r="C599" s="12" t="inlineStr">
        <is>
          <t>Graduate/Entry</t>
        </is>
      </c>
      <c r="D599" s="8" t="inlineStr">
        <is>
          <t>Graduate software engineer</t>
        </is>
      </c>
      <c r="E599" s="7" t="inlineStr">
        <is>
          <t>Bending Spoons</t>
        </is>
      </c>
      <c r="F599" s="8" t="inlineStr">
        <is>
          <t>Oxford, England, UK</t>
        </is>
      </c>
      <c r="G599" s="8" t="n"/>
      <c r="H599" s="14" t="n"/>
      <c r="I599" s="15">
        <f>IF($H599="","",$H599-TODAY())</f>
        <v/>
      </c>
      <c r="J599" s="16" t="inlineStr">
        <is>
          <t>Open posting</t>
        </is>
      </c>
      <c r="K599" s="8" t="inlineStr">
        <is>
          <t>filtered by keyword pre-scan</t>
        </is>
      </c>
      <c r="L599" s="17" t="inlineStr">
        <is>
          <t>new</t>
        </is>
      </c>
      <c r="M599" s="18" t="inlineStr"/>
      <c r="N599" s="7" t="inlineStr">
        <is>
          <t>72502142eeda38d8160ad9441c0fcfd00ab039ac</t>
        </is>
      </c>
      <c r="O599" s="14" t="n">
        <v>46193</v>
      </c>
      <c r="P599" s="7" t="inlineStr">
        <is>
          <t>jobspy</t>
        </is>
      </c>
      <c r="Q599" s="8" t="inlineStr">
        <is>
          <t>python, docker, kubernetes, git, c</t>
        </is>
      </c>
      <c r="R599" s="8" t="inlineStr">
        <is>
          <t>Graduate Software Developer Python remote</t>
        </is>
      </c>
      <c r="S599" s="19" t="n"/>
      <c r="T599" s="19" t="n"/>
      <c r="U599" s="14" t="n">
        <v>46195</v>
      </c>
      <c r="V599" s="7" t="inlineStr">
        <is>
          <t>v2-cv-accuracy-13b988b18da8ea7d</t>
        </is>
      </c>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1.72</v>
      </c>
      <c r="C600" s="12" t="inlineStr">
        <is>
          <t>Graduate/Entry</t>
        </is>
      </c>
      <c r="D600" s="8" t="inlineStr">
        <is>
          <t>Graduate software engineer</t>
        </is>
      </c>
      <c r="E600" s="7" t="inlineStr">
        <is>
          <t>Bending Spoons</t>
        </is>
      </c>
      <c r="F600" s="8" t="inlineStr"/>
      <c r="G600" s="8" t="n"/>
      <c r="H600" s="14" t="n"/>
      <c r="I600" s="15">
        <f>IF($H600="","",$H600-TODAY())</f>
        <v/>
      </c>
      <c r="J600" s="16" t="inlineStr">
        <is>
          <t>Open posting</t>
        </is>
      </c>
      <c r="K600" s="8" t="inlineStr">
        <is>
          <t>filtered by keyword pre-scan</t>
        </is>
      </c>
      <c r="L600" s="17" t="inlineStr">
        <is>
          <t>new</t>
        </is>
      </c>
      <c r="M600" s="18" t="inlineStr"/>
      <c r="N600" s="7" t="inlineStr">
        <is>
          <t>40ec94080e547437518f75a066219bdb5bcb8d60</t>
        </is>
      </c>
      <c r="O600" s="14" t="n"/>
      <c r="P600" s="7" t="inlineStr">
        <is>
          <t>jobspy</t>
        </is>
      </c>
      <c r="Q600" s="8" t="inlineStr">
        <is>
          <t>python, docker, kubernetes, git, c</t>
        </is>
      </c>
      <c r="R600" s="8" t="inlineStr">
        <is>
          <t>Graduate Software Developer Python remote</t>
        </is>
      </c>
      <c r="S600" s="19" t="n"/>
      <c r="T600" s="19" t="n"/>
      <c r="U600" s="14" t="n">
        <v>46195</v>
      </c>
      <c r="V600" s="7" t="inlineStr">
        <is>
          <t>v2-cv-accuracy-13b988b18da8ea7d</t>
        </is>
      </c>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1.72</v>
      </c>
      <c r="C601" s="12" t="inlineStr">
        <is>
          <t>Graduate/Entry</t>
        </is>
      </c>
      <c r="D601" s="8" t="inlineStr">
        <is>
          <t>Graduate AI software engineer</t>
        </is>
      </c>
      <c r="E601" s="7" t="inlineStr">
        <is>
          <t>Bending Spoons</t>
        </is>
      </c>
      <c r="F601" s="8" t="inlineStr">
        <is>
          <t>London, England, UK</t>
        </is>
      </c>
      <c r="G601" s="8" t="n"/>
      <c r="H601" s="14" t="n"/>
      <c r="I601" s="15">
        <f>IF($H601="","",$H601-TODAY())</f>
        <v/>
      </c>
      <c r="J601" s="16" t="inlineStr">
        <is>
          <t>Open posting</t>
        </is>
      </c>
      <c r="K601" s="8" t="inlineStr">
        <is>
          <t>filtered by keyword pre-scan</t>
        </is>
      </c>
      <c r="L601" s="17" t="inlineStr">
        <is>
          <t>new</t>
        </is>
      </c>
      <c r="M601" s="18" t="inlineStr"/>
      <c r="N601" s="7" t="inlineStr">
        <is>
          <t>53fe2bf6b45282df6d8d171fa0ba23eecdc36e7c</t>
        </is>
      </c>
      <c r="O601" s="14" t="n">
        <v>46193</v>
      </c>
      <c r="P601" s="7" t="inlineStr">
        <is>
          <t>jobspy</t>
        </is>
      </c>
      <c r="Q601" s="8" t="inlineStr">
        <is>
          <t>python, docker, kubernetes, git, c</t>
        </is>
      </c>
      <c r="R601" s="8" t="inlineStr">
        <is>
          <t>Graduate Software Engineer Python Docker Kubernetes</t>
        </is>
      </c>
      <c r="S601" s="19" t="n"/>
      <c r="T601" s="19" t="n"/>
      <c r="U601" s="14" t="n">
        <v>46194</v>
      </c>
      <c r="V601" s="7" t="inlineStr">
        <is>
          <t>v2-cv-accuracy-13b988b18da8ea7d</t>
        </is>
      </c>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1.72</v>
      </c>
      <c r="C602" s="12" t="inlineStr">
        <is>
          <t>Graduate/Entry</t>
        </is>
      </c>
      <c r="D602" s="8" t="inlineStr">
        <is>
          <t>Graduate AI software engineer</t>
        </is>
      </c>
      <c r="E602" s="7" t="inlineStr">
        <is>
          <t>Bending Spoons</t>
        </is>
      </c>
      <c r="F602" s="8" t="inlineStr"/>
      <c r="G602" s="8" t="n"/>
      <c r="H602" s="14" t="n"/>
      <c r="I602" s="15">
        <f>IF($H602="","",$H602-TODAY())</f>
        <v/>
      </c>
      <c r="J602" s="16" t="inlineStr">
        <is>
          <t>Open posting</t>
        </is>
      </c>
      <c r="K602" s="8" t="inlineStr">
        <is>
          <t>filtered by keyword pre-scan</t>
        </is>
      </c>
      <c r="L602" s="17" t="inlineStr">
        <is>
          <t>new</t>
        </is>
      </c>
      <c r="M602" s="18" t="inlineStr"/>
      <c r="N602" s="7" t="inlineStr">
        <is>
          <t>89e3059a7430c253c8c87fe60bc7fe6c375bff2b</t>
        </is>
      </c>
      <c r="O602" s="14" t="n">
        <v>46193</v>
      </c>
      <c r="P602" s="7" t="inlineStr">
        <is>
          <t>jobspy</t>
        </is>
      </c>
      <c r="Q602" s="8" t="inlineStr">
        <is>
          <t>python, docker, kubernetes, git, c</t>
        </is>
      </c>
      <c r="R602" s="8" t="inlineStr">
        <is>
          <t>Graduate Software Engineer Python Docker Kubernetes</t>
        </is>
      </c>
      <c r="S602" s="19" t="n"/>
      <c r="T602" s="19" t="n"/>
      <c r="U602" s="14" t="n">
        <v>46194</v>
      </c>
      <c r="V602" s="7" t="inlineStr">
        <is>
          <t>v2-cv-accuracy-13b988b18da8ea7d</t>
        </is>
      </c>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1.72</v>
      </c>
      <c r="C603" s="12" t="inlineStr">
        <is>
          <t>Graduate/Entry</t>
        </is>
      </c>
      <c r="D603" s="8" t="inlineStr">
        <is>
          <t>Graduate AI software engineer</t>
        </is>
      </c>
      <c r="E603" s="7" t="inlineStr">
        <is>
          <t>Bending Spoons</t>
        </is>
      </c>
      <c r="F603" s="8" t="inlineStr">
        <is>
          <t>Oxford, England, UK</t>
        </is>
      </c>
      <c r="G603" s="8" t="n"/>
      <c r="H603" s="14" t="n"/>
      <c r="I603" s="15">
        <f>IF($H603="","",$H603-TODAY())</f>
        <v/>
      </c>
      <c r="J603" s="16" t="inlineStr">
        <is>
          <t>Open posting</t>
        </is>
      </c>
      <c r="K603" s="8" t="inlineStr">
        <is>
          <t>filtered by keyword pre-scan</t>
        </is>
      </c>
      <c r="L603" s="17" t="inlineStr">
        <is>
          <t>new</t>
        </is>
      </c>
      <c r="M603" s="18" t="inlineStr"/>
      <c r="N603" s="7" t="inlineStr">
        <is>
          <t>7b5862fed58f897a68673281943fead6e272e7b1</t>
        </is>
      </c>
      <c r="O603" s="14" t="n">
        <v>46193</v>
      </c>
      <c r="P603" s="7" t="inlineStr">
        <is>
          <t>jobspy</t>
        </is>
      </c>
      <c r="Q603" s="8" t="inlineStr">
        <is>
          <t>python, docker, kubernetes, git, c</t>
        </is>
      </c>
      <c r="R603" s="8" t="inlineStr">
        <is>
          <t>Graduate Software Engineer Python Docker Kubernetes</t>
        </is>
      </c>
      <c r="S603" s="19" t="n"/>
      <c r="T603" s="19" t="n"/>
      <c r="U603" s="14" t="n">
        <v>46194</v>
      </c>
      <c r="V603" s="7" t="inlineStr">
        <is>
          <t>v2-cv-accuracy-13b988b18da8ea7d</t>
        </is>
      </c>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1.72</v>
      </c>
      <c r="C604" s="12" t="inlineStr">
        <is>
          <t>Graduate/Entry</t>
        </is>
      </c>
      <c r="D604" s="8" t="inlineStr">
        <is>
          <t>Graduate software engineer</t>
        </is>
      </c>
      <c r="E604" s="7" t="inlineStr">
        <is>
          <t>Bending Spoons</t>
        </is>
      </c>
      <c r="F604" s="8" t="inlineStr">
        <is>
          <t>London, England, UK</t>
        </is>
      </c>
      <c r="G604" s="8" t="n"/>
      <c r="H604" s="14" t="n"/>
      <c r="I604" s="15">
        <f>IF($H604="","",$H604-TODAY())</f>
        <v/>
      </c>
      <c r="J604" s="16" t="inlineStr">
        <is>
          <t>Open posting</t>
        </is>
      </c>
      <c r="K604" s="8" t="inlineStr">
        <is>
          <t>filtered by keyword pre-scan</t>
        </is>
      </c>
      <c r="L604" s="17" t="inlineStr">
        <is>
          <t>new</t>
        </is>
      </c>
      <c r="M604" s="18" t="inlineStr"/>
      <c r="N604" s="7" t="inlineStr">
        <is>
          <t>9c966987316ee08f54c9a0ec1a2ee7067307af8e</t>
        </is>
      </c>
      <c r="O604" s="14" t="n">
        <v>46193</v>
      </c>
      <c r="P604" s="7" t="inlineStr">
        <is>
          <t>jobspy</t>
        </is>
      </c>
      <c r="Q604" s="8" t="inlineStr">
        <is>
          <t>python, docker, kubernetes, git, c</t>
        </is>
      </c>
      <c r="R604" s="8" t="inlineStr">
        <is>
          <t>Graduate Software Engineer Python Docker Kubernetes</t>
        </is>
      </c>
      <c r="S604" s="19" t="n"/>
      <c r="T604" s="19" t="n"/>
      <c r="U604" s="14" t="n">
        <v>46194</v>
      </c>
      <c r="V604" s="7" t="inlineStr">
        <is>
          <t>v2-cv-accuracy-13b988b18da8ea7d</t>
        </is>
      </c>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1.72</v>
      </c>
      <c r="C605" s="12" t="inlineStr">
        <is>
          <t>Graduate/Entry</t>
        </is>
      </c>
      <c r="D605" s="8" t="inlineStr">
        <is>
          <t>Graduate AI software engineer</t>
        </is>
      </c>
      <c r="E605" s="7" t="inlineStr">
        <is>
          <t>Bending Spoons</t>
        </is>
      </c>
      <c r="F605" s="8" t="inlineStr">
        <is>
          <t>Cambridge, England, UK</t>
        </is>
      </c>
      <c r="G605" s="8" t="n"/>
      <c r="H605" s="14" t="n"/>
      <c r="I605" s="15">
        <f>IF($H605="","",$H605-TODAY())</f>
        <v/>
      </c>
      <c r="J605" s="16" t="inlineStr">
        <is>
          <t>Open posting</t>
        </is>
      </c>
      <c r="K605" s="8" t="inlineStr">
        <is>
          <t>filtered by keyword pre-scan</t>
        </is>
      </c>
      <c r="L605" s="17" t="inlineStr">
        <is>
          <t>new</t>
        </is>
      </c>
      <c r="M605" s="18" t="inlineStr"/>
      <c r="N605" s="7" t="inlineStr">
        <is>
          <t>c0ed01ff5b591e6614dbb1deb041b97205e6a135</t>
        </is>
      </c>
      <c r="O605" s="14" t="n">
        <v>46193</v>
      </c>
      <c r="P605" s="7" t="inlineStr">
        <is>
          <t>jobspy</t>
        </is>
      </c>
      <c r="Q605" s="8" t="inlineStr">
        <is>
          <t>python, docker, kubernetes, git, c</t>
        </is>
      </c>
      <c r="R605" s="8" t="inlineStr">
        <is>
          <t>Graduate Software Engineer Python Docker Kubernetes</t>
        </is>
      </c>
      <c r="S605" s="19" t="n"/>
      <c r="T605" s="19" t="n"/>
      <c r="U605" s="14" t="n">
        <v>46194</v>
      </c>
      <c r="V605" s="7" t="inlineStr">
        <is>
          <t>v2-cv-accuracy-13b988b18da8ea7d</t>
        </is>
      </c>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1.72</v>
      </c>
      <c r="C606" s="12" t="inlineStr">
        <is>
          <t>Mid-level</t>
        </is>
      </c>
      <c r="D606" s="8" t="inlineStr">
        <is>
          <t>Embedded Software Engineer</t>
        </is>
      </c>
      <c r="E606" s="7" t="inlineStr">
        <is>
          <t>PA Consulting</t>
        </is>
      </c>
      <c r="F606" s="8" t="inlineStr">
        <is>
          <t>Melbourn, ENG, GB</t>
        </is>
      </c>
      <c r="G606" s="8" t="n"/>
      <c r="H606" s="14" t="n"/>
      <c r="I606" s="15">
        <f>IF($H606="","",$H606-TODAY())</f>
        <v/>
      </c>
      <c r="J606" s="16" t="inlineStr">
        <is>
          <t>Open posting</t>
        </is>
      </c>
      <c r="K606" s="8" t="inlineStr">
        <is>
          <t>filtered by keyword pre-scan</t>
        </is>
      </c>
      <c r="L606" s="17" t="inlineStr">
        <is>
          <t>new</t>
        </is>
      </c>
      <c r="M606" s="18" t="inlineStr"/>
      <c r="N606" s="7" t="inlineStr">
        <is>
          <t>a5806876d02c89d8eb44b0191bf1fb53cc12418b</t>
        </is>
      </c>
      <c r="O606" s="14" t="n">
        <v>46181</v>
      </c>
      <c r="P606" s="7" t="inlineStr">
        <is>
          <t>jobspy</t>
        </is>
      </c>
      <c r="Q606" s="8" t="inlineStr">
        <is>
          <t>python, git, c, embedded systems</t>
        </is>
      </c>
      <c r="R606" s="8" t="inlineStr">
        <is>
          <t>Embedded Software Engineer C Python microcontroller</t>
        </is>
      </c>
      <c r="S606" s="19" t="n"/>
      <c r="T606" s="19" t="n"/>
      <c r="U606" s="14" t="n">
        <v>46194</v>
      </c>
      <c r="V606" s="7" t="inlineStr">
        <is>
          <t>v2-cv-accuracy-13b988b18da8ea7d</t>
        </is>
      </c>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1.72</v>
      </c>
      <c r="C607" s="12" t="inlineStr">
        <is>
          <t>Unspecified</t>
        </is>
      </c>
      <c r="D607" s="8" t="inlineStr">
        <is>
          <t>Software Engineer</t>
        </is>
      </c>
      <c r="E607" s="7" t="inlineStr">
        <is>
          <t>Technify Talent</t>
        </is>
      </c>
      <c r="F607" s="8" t="inlineStr">
        <is>
          <t>Lancashire, England, UK</t>
        </is>
      </c>
      <c r="G607" s="8" t="n"/>
      <c r="H607" s="14" t="n"/>
      <c r="I607" s="15">
        <f>IF($H607="","",$H607-TODAY())</f>
        <v/>
      </c>
      <c r="J607" s="16" t="inlineStr">
        <is>
          <t>Open posting</t>
        </is>
      </c>
      <c r="K607" s="8" t="inlineStr">
        <is>
          <t>filtered by keyword pre-scan</t>
        </is>
      </c>
      <c r="L607" s="17" t="inlineStr">
        <is>
          <t>new</t>
        </is>
      </c>
      <c r="M607" s="18" t="inlineStr"/>
      <c r="N607" s="7" t="inlineStr">
        <is>
          <t>adea3929c2c101566416e5b69b7040127722886a</t>
        </is>
      </c>
      <c r="O607" s="14" t="n">
        <v>46178</v>
      </c>
      <c r="P607" s="7" t="inlineStr">
        <is>
          <t>jobspy</t>
        </is>
      </c>
      <c r="Q607" s="8" t="inlineStr">
        <is>
          <t>python, git, c, sensor integration</t>
        </is>
      </c>
      <c r="R607" s="8" t="inlineStr">
        <is>
          <t>Embedded Software Engineer C Python microcontroller</t>
        </is>
      </c>
      <c r="S607" s="19" t="n"/>
      <c r="T607" s="19" t="n"/>
      <c r="U607" s="14" t="n">
        <v>46194</v>
      </c>
      <c r="V607" s="7" t="inlineStr">
        <is>
          <t>v2-cv-accuracy-13b988b18da8ea7d</t>
        </is>
      </c>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1.72</v>
      </c>
      <c r="C608" s="12" t="inlineStr">
        <is>
          <t>Mid-level</t>
        </is>
      </c>
      <c r="D608" s="8" t="inlineStr">
        <is>
          <t>Embedded Software Engineer</t>
        </is>
      </c>
      <c r="E608" s="7" t="inlineStr">
        <is>
          <t>Consultancy.uk</t>
        </is>
      </c>
      <c r="F608" s="8" t="inlineStr">
        <is>
          <t>Melbourn, England, UK</t>
        </is>
      </c>
      <c r="G608" s="8" t="n"/>
      <c r="H608" s="14" t="n"/>
      <c r="I608" s="15">
        <f>IF($H608="","",$H608-TODAY())</f>
        <v/>
      </c>
      <c r="J608" s="16" t="inlineStr">
        <is>
          <t>Open posting</t>
        </is>
      </c>
      <c r="K608" s="8" t="inlineStr">
        <is>
          <t>filtered by keyword pre-scan</t>
        </is>
      </c>
      <c r="L608" s="17" t="inlineStr">
        <is>
          <t>new</t>
        </is>
      </c>
      <c r="M608" s="18" t="inlineStr"/>
      <c r="N608" s="7" t="inlineStr">
        <is>
          <t>14aacf98f16969bcd76287dd99922f310fb720d8</t>
        </is>
      </c>
      <c r="O608" s="14" t="n">
        <v>46177</v>
      </c>
      <c r="P608" s="7" t="inlineStr">
        <is>
          <t>jobspy</t>
        </is>
      </c>
      <c r="Q608" s="8" t="inlineStr">
        <is>
          <t>python, git, c, embedded systems</t>
        </is>
      </c>
      <c r="R608" s="8" t="inlineStr">
        <is>
          <t>Embedded Software Engineer C Python microcontroller</t>
        </is>
      </c>
      <c r="S608" s="19" t="n"/>
      <c r="T608" s="19" t="n"/>
      <c r="U608" s="14" t="n">
        <v>46194</v>
      </c>
      <c r="V608" s="7" t="inlineStr">
        <is>
          <t>v2-cv-accuracy-13b988b18da8ea7d</t>
        </is>
      </c>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1.72</v>
      </c>
      <c r="C609" s="12" t="inlineStr">
        <is>
          <t>Mid-level</t>
        </is>
      </c>
      <c r="D609" s="8" t="inlineStr">
        <is>
          <t>Embedded Software Engineer</t>
        </is>
      </c>
      <c r="E609" s="7" t="inlineStr">
        <is>
          <t>PA Consulting</t>
        </is>
      </c>
      <c r="F609" s="8" t="inlineStr">
        <is>
          <t>Melbourn, England, UK</t>
        </is>
      </c>
      <c r="G609" s="8" t="n"/>
      <c r="H609" s="14" t="n"/>
      <c r="I609" s="15">
        <f>IF($H609="","",$H609-TODAY())</f>
        <v/>
      </c>
      <c r="J609" s="16" t="inlineStr">
        <is>
          <t>Open posting</t>
        </is>
      </c>
      <c r="K609" s="8" t="inlineStr">
        <is>
          <t>filtered by keyword pre-scan</t>
        </is>
      </c>
      <c r="L609" s="17" t="inlineStr">
        <is>
          <t>new</t>
        </is>
      </c>
      <c r="M609" s="18" t="inlineStr"/>
      <c r="N609" s="7" t="inlineStr">
        <is>
          <t>5544a7303a329faba88a99c21f7d034c434e2c0b</t>
        </is>
      </c>
      <c r="O609" s="14" t="n">
        <v>46177</v>
      </c>
      <c r="P609" s="7" t="inlineStr">
        <is>
          <t>jobspy</t>
        </is>
      </c>
      <c r="Q609" s="8" t="inlineStr">
        <is>
          <t>python, git, c, embedded systems</t>
        </is>
      </c>
      <c r="R609" s="8" t="inlineStr">
        <is>
          <t>Embedded Software Engineer C Python microcontroller</t>
        </is>
      </c>
      <c r="S609" s="19" t="n"/>
      <c r="T609" s="19" t="n"/>
      <c r="U609" s="14" t="n">
        <v>46194</v>
      </c>
      <c r="V609" s="7" t="inlineStr">
        <is>
          <t>v2-cv-accuracy-13b988b18da8ea7d</t>
        </is>
      </c>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1.72</v>
      </c>
      <c r="C610" s="12" t="inlineStr">
        <is>
          <t>Graduate/Entry</t>
        </is>
      </c>
      <c r="D610" s="8" t="inlineStr">
        <is>
          <t>Graduate software engineer</t>
        </is>
      </c>
      <c r="E610" s="7" t="inlineStr">
        <is>
          <t>Bending Spoons</t>
        </is>
      </c>
      <c r="F610" s="8" t="inlineStr"/>
      <c r="G610" s="8" t="n"/>
      <c r="H610" s="14" t="n"/>
      <c r="I610" s="15">
        <f>IF($H610="","",$H610-TODAY())</f>
        <v/>
      </c>
      <c r="J610" s="16" t="inlineStr">
        <is>
          <t>Open posting</t>
        </is>
      </c>
      <c r="K610" s="8" t="inlineStr">
        <is>
          <t>filtered by keyword pre-scan</t>
        </is>
      </c>
      <c r="L610" s="17" t="inlineStr">
        <is>
          <t>new</t>
        </is>
      </c>
      <c r="M610" s="18" t="inlineStr"/>
      <c r="N610" s="7" t="inlineStr">
        <is>
          <t>d40ca13185c1eca7c51b4c086982d3cc6ddda7dd</t>
        </is>
      </c>
      <c r="O610" s="14" t="n">
        <v>46193</v>
      </c>
      <c r="P610" s="7" t="inlineStr">
        <is>
          <t>jobspy</t>
        </is>
      </c>
      <c r="Q610" s="8" t="inlineStr">
        <is>
          <t>python, docker, kubernetes, git, c</t>
        </is>
      </c>
      <c r="R610" s="8" t="inlineStr">
        <is>
          <t>Graduate Computer Engineer Sheffield remote</t>
        </is>
      </c>
      <c r="S610" s="19" t="n"/>
      <c r="T610" s="19" t="n"/>
      <c r="U610" s="14" t="n">
        <v>46194</v>
      </c>
      <c r="V610" s="7" t="inlineStr">
        <is>
          <t>v2-cv-accuracy-13b988b18da8ea7d</t>
        </is>
      </c>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1.72</v>
      </c>
      <c r="C611" s="12" t="inlineStr">
        <is>
          <t>Mid-level</t>
        </is>
      </c>
      <c r="D611" s="8" t="inlineStr">
        <is>
          <t>Backend Engineer (Node / Typescript)</t>
        </is>
      </c>
      <c r="E611" s="7" t="inlineStr">
        <is>
          <t>Skin + Me</t>
        </is>
      </c>
      <c r="F611" s="8" t="inlineStr">
        <is>
          <t>London, England, UK</t>
        </is>
      </c>
      <c r="G611" s="8" t="n"/>
      <c r="H611" s="14" t="n"/>
      <c r="I611" s="15">
        <f>IF($H611="","",$H611-TODAY())</f>
        <v/>
      </c>
      <c r="J611" s="16" t="inlineStr">
        <is>
          <t>Open posting</t>
        </is>
      </c>
      <c r="K611" s="8" t="inlineStr">
        <is>
          <t>filtered by keyword pre-scan</t>
        </is>
      </c>
      <c r="L611" s="17" t="inlineStr">
        <is>
          <t>new</t>
        </is>
      </c>
      <c r="M611" s="18" t="inlineStr"/>
      <c r="N611" s="7" t="inlineStr">
        <is>
          <t>ee38bf73c2537ed90c4b8b7b92accc7cd3856783</t>
        </is>
      </c>
      <c r="O611" s="14" t="n">
        <v>46178</v>
      </c>
      <c r="P611" s="7" t="inlineStr">
        <is>
          <t>jobspy</t>
        </is>
      </c>
      <c r="Q611" s="8" t="inlineStr">
        <is>
          <t>sql, mysql, docker, c</t>
        </is>
      </c>
      <c r="R611" s="8" t="inlineStr">
        <is>
          <t>Junior Full Stack Developer JavaScript Node.js Python</t>
        </is>
      </c>
      <c r="S611" s="19" t="n"/>
      <c r="T611" s="19" t="n"/>
      <c r="U611" s="14" t="n">
        <v>46193</v>
      </c>
      <c r="V611" s="7" t="inlineStr">
        <is>
          <t>v2-cv-accuracy-13b988b18da8ea7d</t>
        </is>
      </c>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1.72</v>
      </c>
      <c r="C612" s="12" t="inlineStr">
        <is>
          <t>Unspecified</t>
        </is>
      </c>
      <c r="D612" s="8" t="inlineStr">
        <is>
          <t>Digital Design Engineer (#OAEG2)</t>
        </is>
      </c>
      <c r="E612" s="7" t="inlineStr">
        <is>
          <t>Cirrus Logic</t>
        </is>
      </c>
      <c r="F612" s="8" t="inlineStr">
        <is>
          <t>Edinburgh, Scotland, UK</t>
        </is>
      </c>
      <c r="G612" s="8" t="n"/>
      <c r="H612" s="14" t="n"/>
      <c r="I612" s="15">
        <f>IF($H612="","",$H612-TODAY())</f>
        <v/>
      </c>
      <c r="J612" s="16" t="inlineStr">
        <is>
          <t>Open posting</t>
        </is>
      </c>
      <c r="K612" s="8" t="inlineStr">
        <is>
          <t>filtered by keyword pre-scan</t>
        </is>
      </c>
      <c r="L612" s="17" t="inlineStr">
        <is>
          <t>new</t>
        </is>
      </c>
      <c r="M612" s="18" t="inlineStr"/>
      <c r="N612" s="7" t="inlineStr">
        <is>
          <t>46a6a8d2432688e0567ecbc5767184a734a5da00</t>
        </is>
      </c>
      <c r="O612" s="14" t="n">
        <v>46175</v>
      </c>
      <c r="P612" s="7" t="inlineStr">
        <is>
          <t>jobspy</t>
        </is>
      </c>
      <c r="Q612" s="8" t="inlineStr">
        <is>
          <t>verilog, git, c, digital design</t>
        </is>
      </c>
      <c r="R612" s="8" t="inlineStr">
        <is>
          <t>Graduate Digital Design Engineer FPGA</t>
        </is>
      </c>
      <c r="S612" s="19" t="n"/>
      <c r="T612" s="19" t="n"/>
      <c r="U612" s="14" t="n">
        <v>46193</v>
      </c>
      <c r="V612" s="7" t="inlineStr">
        <is>
          <t>v2-cv-accuracy-13b988b18da8ea7d</t>
        </is>
      </c>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1.72</v>
      </c>
      <c r="C613" s="12" t="inlineStr">
        <is>
          <t>Senior/Lead</t>
        </is>
      </c>
      <c r="D613" s="8" t="inlineStr">
        <is>
          <t>Digital Engineers - All Levels</t>
        </is>
      </c>
      <c r="E613" s="7" t="inlineStr">
        <is>
          <t>Leonardo</t>
        </is>
      </c>
      <c r="F613" s="8" t="inlineStr">
        <is>
          <t>Edinburgh, Scotland, UK</t>
        </is>
      </c>
      <c r="G613" s="8" t="n"/>
      <c r="H613" s="14" t="n"/>
      <c r="I613" s="15">
        <f>IF($H613="","",$H613-TODAY())</f>
        <v/>
      </c>
      <c r="J613" s="16" t="inlineStr">
        <is>
          <t>Open posting</t>
        </is>
      </c>
      <c r="K613" s="8" t="inlineStr">
        <is>
          <t>filtered by keyword pre-scan</t>
        </is>
      </c>
      <c r="L613" s="17" t="inlineStr">
        <is>
          <t>new</t>
        </is>
      </c>
      <c r="M613" s="18" t="inlineStr"/>
      <c r="N613" s="7" t="inlineStr">
        <is>
          <t>56962dd7c49e08db2ee68242b015dc1c43b8b8b6</t>
        </is>
      </c>
      <c r="O613" s="14" t="n">
        <v>46177</v>
      </c>
      <c r="P613" s="7" t="inlineStr">
        <is>
          <t>jobspy</t>
        </is>
      </c>
      <c r="Q613" s="8" t="inlineStr">
        <is>
          <t>fpga, git, c, hardware design, dsp</t>
        </is>
      </c>
      <c r="R613" s="8" t="inlineStr">
        <is>
          <t>Graduate Systems Engineer hardware software</t>
        </is>
      </c>
      <c r="S613" s="19" t="n"/>
      <c r="T613" s="19" t="n"/>
      <c r="U613" s="14" t="n">
        <v>46193</v>
      </c>
      <c r="V613" s="7" t="inlineStr">
        <is>
          <t>v2-cv-accuracy-13b988b18da8ea7d</t>
        </is>
      </c>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1.72</v>
      </c>
      <c r="C614" s="12" t="inlineStr">
        <is>
          <t>Senior/Lead</t>
        </is>
      </c>
      <c r="D614" s="8" t="inlineStr">
        <is>
          <t>Python Developer</t>
        </is>
      </c>
      <c r="E614" s="7" t="inlineStr">
        <is>
          <t>Version 1</t>
        </is>
      </c>
      <c r="F614" s="8" t="inlineStr">
        <is>
          <t>Belfast, Northern Ireland, UK</t>
        </is>
      </c>
      <c r="G614" s="8" t="n"/>
      <c r="H614" s="14" t="n"/>
      <c r="I614" s="15">
        <f>IF($H614="","",$H614-TODAY())</f>
        <v/>
      </c>
      <c r="J614" s="16" t="inlineStr">
        <is>
          <t>Open posting</t>
        </is>
      </c>
      <c r="K614" s="8" t="inlineStr">
        <is>
          <t>filtered by keyword pre-scan</t>
        </is>
      </c>
      <c r="L614" s="17" t="inlineStr">
        <is>
          <t>new</t>
        </is>
      </c>
      <c r="M614" s="18" t="inlineStr"/>
      <c r="N614" s="7" t="inlineStr">
        <is>
          <t>177584f1c7ddc5c49eca16e4c218d968578e6a8f</t>
        </is>
      </c>
      <c r="O614" s="14" t="n">
        <v>46184</v>
      </c>
      <c r="P614" s="7" t="inlineStr">
        <is>
          <t>jobspy</t>
        </is>
      </c>
      <c r="Q614" s="8" t="inlineStr">
        <is>
          <t>python, sql, docker, git, c</t>
        </is>
      </c>
      <c r="R614" s="8" t="inlineStr">
        <is>
          <t>Junior Python Developer SQL Docker</t>
        </is>
      </c>
      <c r="S614" s="19" t="n"/>
      <c r="T614" s="19" t="n"/>
      <c r="U614" s="14" t="n">
        <v>46193</v>
      </c>
      <c r="V614" s="7" t="inlineStr">
        <is>
          <t>v2-cv-accuracy-13b988b18da8ea7d</t>
        </is>
      </c>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1.72</v>
      </c>
      <c r="C615" s="12" t="inlineStr">
        <is>
          <t>Senior/Lead</t>
        </is>
      </c>
      <c r="D615" s="8" t="inlineStr">
        <is>
          <t>Python Developer</t>
        </is>
      </c>
      <c r="E615" s="7" t="inlineStr">
        <is>
          <t>Version 1</t>
        </is>
      </c>
      <c r="F615" s="8" t="inlineStr">
        <is>
          <t>Newcastle Upon Tyne, England, UK</t>
        </is>
      </c>
      <c r="G615" s="8" t="n"/>
      <c r="H615" s="14" t="n"/>
      <c r="I615" s="15">
        <f>IF($H615="","",$H615-TODAY())</f>
        <v/>
      </c>
      <c r="J615" s="16" t="inlineStr">
        <is>
          <t>Open posting</t>
        </is>
      </c>
      <c r="K615" s="8" t="inlineStr">
        <is>
          <t>filtered by keyword pre-scan</t>
        </is>
      </c>
      <c r="L615" s="17" t="inlineStr">
        <is>
          <t>new</t>
        </is>
      </c>
      <c r="M615" s="18" t="inlineStr"/>
      <c r="N615" s="7" t="inlineStr">
        <is>
          <t>e176a1de5abc2ef5243f72169a96d1e6e105c115</t>
        </is>
      </c>
      <c r="O615" s="14" t="n">
        <v>46183</v>
      </c>
      <c r="P615" s="7" t="inlineStr">
        <is>
          <t>jobspy</t>
        </is>
      </c>
      <c r="Q615" s="8" t="inlineStr">
        <is>
          <t>python, sql, docker, git, c</t>
        </is>
      </c>
      <c r="R615" s="8" t="inlineStr">
        <is>
          <t>Junior Python Developer SQL Docker</t>
        </is>
      </c>
      <c r="S615" s="19" t="n"/>
      <c r="T615" s="19" t="n"/>
      <c r="U615" s="14" t="n">
        <v>46193</v>
      </c>
      <c r="V615" s="7" t="inlineStr">
        <is>
          <t>v2-cv-accuracy-13b988b18da8ea7d</t>
        </is>
      </c>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1.72</v>
      </c>
      <c r="C616" s="12" t="inlineStr">
        <is>
          <t>Senior/Lead</t>
        </is>
      </c>
      <c r="D616" s="8" t="inlineStr">
        <is>
          <t>Python Developer</t>
        </is>
      </c>
      <c r="E616" s="7" t="inlineStr">
        <is>
          <t>Version 1</t>
        </is>
      </c>
      <c r="F616" s="8" t="inlineStr">
        <is>
          <t>London, England, UK</t>
        </is>
      </c>
      <c r="G616" s="8" t="n"/>
      <c r="H616" s="14" t="n"/>
      <c r="I616" s="15">
        <f>IF($H616="","",$H616-TODAY())</f>
        <v/>
      </c>
      <c r="J616" s="16" t="inlineStr">
        <is>
          <t>Open posting</t>
        </is>
      </c>
      <c r="K616" s="8" t="inlineStr">
        <is>
          <t>filtered by keyword pre-scan</t>
        </is>
      </c>
      <c r="L616" s="17" t="inlineStr">
        <is>
          <t>new</t>
        </is>
      </c>
      <c r="M616" s="18" t="inlineStr"/>
      <c r="N616" s="7" t="inlineStr">
        <is>
          <t>a5b5a357f23adb00325e7e95a5e19a4e83833949</t>
        </is>
      </c>
      <c r="O616" s="14" t="n">
        <v>46182</v>
      </c>
      <c r="P616" s="7" t="inlineStr">
        <is>
          <t>jobspy</t>
        </is>
      </c>
      <c r="Q616" s="8" t="inlineStr">
        <is>
          <t>python, sql, docker, git, c</t>
        </is>
      </c>
      <c r="R616" s="8" t="inlineStr">
        <is>
          <t>Junior Python Developer SQL Docker</t>
        </is>
      </c>
      <c r="S616" s="19" t="n"/>
      <c r="T616" s="19" t="n"/>
      <c r="U616" s="14" t="n">
        <v>46193</v>
      </c>
      <c r="V616" s="7" t="inlineStr">
        <is>
          <t>v2-cv-accuracy-13b988b18da8ea7d</t>
        </is>
      </c>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1.72</v>
      </c>
      <c r="C617" s="12" t="inlineStr">
        <is>
          <t>Senior/Lead</t>
        </is>
      </c>
      <c r="D617" s="8" t="inlineStr">
        <is>
          <t>Python Developer</t>
        </is>
      </c>
      <c r="E617" s="7" t="inlineStr">
        <is>
          <t>Version 1</t>
        </is>
      </c>
      <c r="F617" s="8" t="inlineStr">
        <is>
          <t>Edinburgh, Scotland, UK</t>
        </is>
      </c>
      <c r="G617" s="8" t="n"/>
      <c r="H617" s="14" t="n"/>
      <c r="I617" s="15">
        <f>IF($H617="","",$H617-TODAY())</f>
        <v/>
      </c>
      <c r="J617" s="16" t="inlineStr">
        <is>
          <t>Open posting</t>
        </is>
      </c>
      <c r="K617" s="8" t="inlineStr">
        <is>
          <t>filtered by keyword pre-scan</t>
        </is>
      </c>
      <c r="L617" s="17" t="inlineStr">
        <is>
          <t>new</t>
        </is>
      </c>
      <c r="M617" s="18" t="inlineStr"/>
      <c r="N617" s="7" t="inlineStr">
        <is>
          <t>52b80f58f125592a09a74b9590d304ecfa28c83d</t>
        </is>
      </c>
      <c r="O617" s="14" t="n">
        <v>46182</v>
      </c>
      <c r="P617" s="7" t="inlineStr">
        <is>
          <t>jobspy</t>
        </is>
      </c>
      <c r="Q617" s="8" t="inlineStr">
        <is>
          <t>python, sql, docker, git, c</t>
        </is>
      </c>
      <c r="R617" s="8" t="inlineStr">
        <is>
          <t>Junior Python Developer SQL Docker</t>
        </is>
      </c>
      <c r="S617" s="19" t="n"/>
      <c r="T617" s="19" t="n"/>
      <c r="U617" s="14" t="n">
        <v>46193</v>
      </c>
      <c r="V617" s="7" t="inlineStr">
        <is>
          <t>v2-cv-accuracy-13b988b18da8ea7d</t>
        </is>
      </c>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1.72</v>
      </c>
      <c r="C618" s="12" t="inlineStr">
        <is>
          <t>Senior/Lead</t>
        </is>
      </c>
      <c r="D618" s="8" t="inlineStr">
        <is>
          <t>Python Developer</t>
        </is>
      </c>
      <c r="E618" s="7" t="inlineStr">
        <is>
          <t>Version 1</t>
        </is>
      </c>
      <c r="F618" s="8" t="inlineStr">
        <is>
          <t>Birmingham, England, UK</t>
        </is>
      </c>
      <c r="G618" s="8" t="n"/>
      <c r="H618" s="14" t="n"/>
      <c r="I618" s="15">
        <f>IF($H618="","",$H618-TODAY())</f>
        <v/>
      </c>
      <c r="J618" s="16" t="inlineStr">
        <is>
          <t>Open posting</t>
        </is>
      </c>
      <c r="K618" s="8" t="inlineStr">
        <is>
          <t>filtered by keyword pre-scan</t>
        </is>
      </c>
      <c r="L618" s="17" t="inlineStr">
        <is>
          <t>new</t>
        </is>
      </c>
      <c r="M618" s="18" t="inlineStr"/>
      <c r="N618" s="7" t="inlineStr">
        <is>
          <t>d453e8ff088ac36827eaa7f85b54bfd1f3b1a7f3</t>
        </is>
      </c>
      <c r="O618" s="14" t="n">
        <v>46182</v>
      </c>
      <c r="P618" s="7" t="inlineStr">
        <is>
          <t>jobspy</t>
        </is>
      </c>
      <c r="Q618" s="8" t="inlineStr">
        <is>
          <t>python, sql, docker, git, c</t>
        </is>
      </c>
      <c r="R618" s="8" t="inlineStr">
        <is>
          <t>Junior Python Developer SQL Docker</t>
        </is>
      </c>
      <c r="S618" s="19" t="n"/>
      <c r="T618" s="19" t="n"/>
      <c r="U618" s="14" t="n">
        <v>46193</v>
      </c>
      <c r="V618" s="7" t="inlineStr">
        <is>
          <t>v2-cv-accuracy-13b988b18da8ea7d</t>
        </is>
      </c>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1.72</v>
      </c>
      <c r="C619" s="12" t="inlineStr">
        <is>
          <t>Senior/Lead</t>
        </is>
      </c>
      <c r="D619" s="8" t="inlineStr">
        <is>
          <t>Python Developer</t>
        </is>
      </c>
      <c r="E619" s="7" t="inlineStr">
        <is>
          <t>Version 1</t>
        </is>
      </c>
      <c r="F619" s="8" t="inlineStr">
        <is>
          <t>Manchester, England, UK</t>
        </is>
      </c>
      <c r="G619" s="8" t="n"/>
      <c r="H619" s="14" t="n"/>
      <c r="I619" s="15">
        <f>IF($H619="","",$H619-TODAY())</f>
        <v/>
      </c>
      <c r="J619" s="16" t="inlineStr">
        <is>
          <t>Open posting</t>
        </is>
      </c>
      <c r="K619" s="8" t="inlineStr">
        <is>
          <t>filtered by keyword pre-scan</t>
        </is>
      </c>
      <c r="L619" s="17" t="inlineStr">
        <is>
          <t>new</t>
        </is>
      </c>
      <c r="M619" s="18" t="inlineStr"/>
      <c r="N619" s="7" t="inlineStr">
        <is>
          <t>1dcb452c8e8317c90bc79f5992f92f2c1b34e912</t>
        </is>
      </c>
      <c r="O619" s="14" t="n">
        <v>46181</v>
      </c>
      <c r="P619" s="7" t="inlineStr">
        <is>
          <t>jobspy</t>
        </is>
      </c>
      <c r="Q619" s="8" t="inlineStr">
        <is>
          <t>python, sql, docker, git, c</t>
        </is>
      </c>
      <c r="R619" s="8" t="inlineStr">
        <is>
          <t>Junior Python Developer SQL Docker</t>
        </is>
      </c>
      <c r="S619" s="19" t="n"/>
      <c r="T619" s="19" t="n"/>
      <c r="U619" s="14" t="n">
        <v>46193</v>
      </c>
      <c r="V619" s="7" t="inlineStr">
        <is>
          <t>v2-cv-accuracy-13b988b18da8ea7d</t>
        </is>
      </c>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1.72</v>
      </c>
      <c r="C620" s="12" t="inlineStr">
        <is>
          <t>Junior</t>
        </is>
      </c>
      <c r="D620" s="8" t="inlineStr">
        <is>
          <t>Data Engineer</t>
        </is>
      </c>
      <c r="E620" s="7" t="inlineStr">
        <is>
          <t>Information Tech Consultants</t>
        </is>
      </c>
      <c r="F620" s="8" t="inlineStr">
        <is>
          <t>England, United Kingdom</t>
        </is>
      </c>
      <c r="G620" s="8" t="n"/>
      <c r="H620" s="14" t="n"/>
      <c r="I620" s="15">
        <f>IF($H620="","",$H620-TODAY())</f>
        <v/>
      </c>
      <c r="J620" s="16" t="inlineStr">
        <is>
          <t>Open posting</t>
        </is>
      </c>
      <c r="K620" s="8" t="inlineStr">
        <is>
          <t>filtered by keyword pre-scan</t>
        </is>
      </c>
      <c r="L620" s="17" t="inlineStr">
        <is>
          <t>new</t>
        </is>
      </c>
      <c r="M620" s="18" t="inlineStr"/>
      <c r="N620" s="7" t="inlineStr">
        <is>
          <t>26ed763509918d1fa8c0eb140398dba7dd698674</t>
        </is>
      </c>
      <c r="O620" s="14" t="n">
        <v>46192</v>
      </c>
      <c r="P620" s="7" t="inlineStr">
        <is>
          <t>jobspy</t>
        </is>
      </c>
      <c r="Q620" s="8" t="inlineStr">
        <is>
          <t>python, sql, docker, kubernetes, c</t>
        </is>
      </c>
      <c r="R620" s="8" t="inlineStr">
        <is>
          <t>Graduate Data Engineer Python SQL MySQL</t>
        </is>
      </c>
      <c r="S620" s="19" t="n"/>
      <c r="T620" s="19" t="n"/>
      <c r="U620" s="14" t="n">
        <v>46193</v>
      </c>
      <c r="V620" s="7" t="inlineStr">
        <is>
          <t>v2-cv-accuracy-13b988b18da8ea7d</t>
        </is>
      </c>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1.72</v>
      </c>
      <c r="C621" s="12" t="inlineStr">
        <is>
          <t>Unspecified</t>
        </is>
      </c>
      <c r="D621" s="8" t="inlineStr">
        <is>
          <t>Data Engineer I - QuantumBlack, AI by McKinsey</t>
        </is>
      </c>
      <c r="E621" s="7" t="inlineStr">
        <is>
          <t>QuantumBlack, AI by McKinsey</t>
        </is>
      </c>
      <c r="F621" s="8" t="inlineStr">
        <is>
          <t>London, England, UK</t>
        </is>
      </c>
      <c r="G621" s="8" t="n"/>
      <c r="H621" s="14" t="n"/>
      <c r="I621" s="15">
        <f>IF($H621="","",$H621-TODAY())</f>
        <v/>
      </c>
      <c r="J621" s="16" t="inlineStr">
        <is>
          <t>Open posting</t>
        </is>
      </c>
      <c r="K621" s="8" t="inlineStr">
        <is>
          <t>filtered by keyword pre-scan</t>
        </is>
      </c>
      <c r="L621" s="17" t="inlineStr">
        <is>
          <t>new</t>
        </is>
      </c>
      <c r="M621" s="18" t="inlineStr"/>
      <c r="N621" s="7" t="inlineStr">
        <is>
          <t>597b70262fa0100fbbb96afd140c54073f3aaa4f</t>
        </is>
      </c>
      <c r="O621" s="14" t="n"/>
      <c r="P621" s="7" t="inlineStr">
        <is>
          <t>jobspy</t>
        </is>
      </c>
      <c r="Q621" s="8" t="inlineStr">
        <is>
          <t>python, sql, git, c</t>
        </is>
      </c>
      <c r="R621" s="8" t="inlineStr">
        <is>
          <t>Graduate Data Engineer Python SQL MySQL</t>
        </is>
      </c>
      <c r="S621" s="19" t="n"/>
      <c r="T621" s="19" t="n"/>
      <c r="U621" s="14" t="n">
        <v>46193</v>
      </c>
      <c r="V621" s="7" t="inlineStr">
        <is>
          <t>v2-cv-accuracy-13b988b18da8ea7d</t>
        </is>
      </c>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1.72</v>
      </c>
      <c r="C622" s="12" t="inlineStr">
        <is>
          <t>Mid-level</t>
        </is>
      </c>
      <c r="D622" s="8" t="inlineStr">
        <is>
          <t>Software Engineer</t>
        </is>
      </c>
      <c r="E622" s="7" t="inlineStr">
        <is>
          <t>ENGELHART</t>
        </is>
      </c>
      <c r="F622" s="8" t="inlineStr">
        <is>
          <t>London, ENG, GB</t>
        </is>
      </c>
      <c r="G622" s="8" t="n"/>
      <c r="H622" s="14" t="n"/>
      <c r="I622" s="15">
        <f>IF($H622="","",$H622-TODAY())</f>
        <v/>
      </c>
      <c r="J622" s="16" t="inlineStr">
        <is>
          <t>Open posting</t>
        </is>
      </c>
      <c r="K622" s="8" t="inlineStr">
        <is>
          <t>filtered by keyword pre-scan</t>
        </is>
      </c>
      <c r="L622" s="17" t="inlineStr">
        <is>
          <t>new</t>
        </is>
      </c>
      <c r="M622" s="18" t="inlineStr"/>
      <c r="N622" s="7" t="inlineStr">
        <is>
          <t>882c6bedc92bbe7abc740109827b74042e3b1d2d</t>
        </is>
      </c>
      <c r="O622" s="14" t="n">
        <v>46191</v>
      </c>
      <c r="P622" s="7" t="inlineStr">
        <is>
          <t>jobspy</t>
        </is>
      </c>
      <c r="Q622" s="8" t="inlineStr">
        <is>
          <t>python, docker, kubernetes, c</t>
        </is>
      </c>
      <c r="R622" s="8" t="inlineStr">
        <is>
          <t>Platform Engineer Docker Kubernetes Python</t>
        </is>
      </c>
      <c r="S622" s="19" t="n"/>
      <c r="T622" s="19" t="n"/>
      <c r="U622" s="14" t="n">
        <v>46193</v>
      </c>
      <c r="V622" s="7" t="inlineStr">
        <is>
          <t>v2-cv-accuracy-13b988b18da8ea7d</t>
        </is>
      </c>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1.72</v>
      </c>
      <c r="C623" s="12" t="inlineStr">
        <is>
          <t>Unspecified</t>
        </is>
      </c>
      <c r="D623" s="8" t="inlineStr">
        <is>
          <t>Platform Engineer</t>
        </is>
      </c>
      <c r="E623" s="7" t="inlineStr">
        <is>
          <t>Valarian</t>
        </is>
      </c>
      <c r="F623" s="8" t="inlineStr">
        <is>
          <t>London, England, UK</t>
        </is>
      </c>
      <c r="G623" s="8" t="n"/>
      <c r="H623" s="14" t="n"/>
      <c r="I623" s="15">
        <f>IF($H623="","",$H623-TODAY())</f>
        <v/>
      </c>
      <c r="J623" s="16" t="inlineStr">
        <is>
          <t>Open posting</t>
        </is>
      </c>
      <c r="K623" s="8" t="inlineStr">
        <is>
          <t>filtered by keyword pre-scan</t>
        </is>
      </c>
      <c r="L623" s="17" t="inlineStr">
        <is>
          <t>new</t>
        </is>
      </c>
      <c r="M623" s="18" t="inlineStr"/>
      <c r="N623" s="7" t="inlineStr">
        <is>
          <t>fdcc8139cb388b3e53347998eee2ab70310d9a09</t>
        </is>
      </c>
      <c r="O623" s="14" t="n">
        <v>46182</v>
      </c>
      <c r="P623" s="7" t="inlineStr">
        <is>
          <t>jobspy</t>
        </is>
      </c>
      <c r="Q623" s="8" t="inlineStr">
        <is>
          <t>python, docker, kubernetes, git, c</t>
        </is>
      </c>
      <c r="R623" s="8" t="inlineStr">
        <is>
          <t>Platform Engineer Docker Kubernetes Python</t>
        </is>
      </c>
      <c r="S623" s="19" t="n"/>
      <c r="T623" s="19" t="n"/>
      <c r="U623" s="14" t="n">
        <v>46193</v>
      </c>
      <c r="V623" s="7" t="inlineStr">
        <is>
          <t>v2-cv-accuracy-13b988b18da8ea7d</t>
        </is>
      </c>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1.72</v>
      </c>
      <c r="C624" s="12" t="inlineStr">
        <is>
          <t>Graduate/Entry</t>
        </is>
      </c>
      <c r="D624" s="8" t="inlineStr">
        <is>
          <t>Graduate Programme 2027: Software Engineer (Python)</t>
        </is>
      </c>
      <c r="E624" s="7" t="inlineStr">
        <is>
          <t>Revolut</t>
        </is>
      </c>
      <c r="F624" s="8" t="inlineStr">
        <is>
          <t>London, ENG, GB</t>
        </is>
      </c>
      <c r="G624" s="8" t="n"/>
      <c r="H624" s="14" t="n"/>
      <c r="I624" s="15">
        <f>IF($H624="","",$H624-TODAY())</f>
        <v/>
      </c>
      <c r="J624" s="16" t="inlineStr">
        <is>
          <t>Open posting</t>
        </is>
      </c>
      <c r="K624" s="8" t="inlineStr">
        <is>
          <t>filtered by keyword pre-scan</t>
        </is>
      </c>
      <c r="L624" s="17" t="inlineStr">
        <is>
          <t>new</t>
        </is>
      </c>
      <c r="M624" s="18" t="inlineStr"/>
      <c r="N624" s="7" t="inlineStr">
        <is>
          <t>57ac944d7a8294fa348bf8ca87ccee405f777844</t>
        </is>
      </c>
      <c r="O624" s="14" t="n">
        <v>46169</v>
      </c>
      <c r="P624" s="7" t="inlineStr">
        <is>
          <t>jobspy</t>
        </is>
      </c>
      <c r="Q624" s="8" t="inlineStr">
        <is>
          <t>python, sql, docker, kubernetes, c</t>
        </is>
      </c>
      <c r="R624" s="8" t="inlineStr">
        <is>
          <t>Graduate Software Engineer Python Docker Kubernetes</t>
        </is>
      </c>
      <c r="S624" s="19" t="n"/>
      <c r="T624" s="19" t="n"/>
      <c r="U624" s="14" t="n">
        <v>46192</v>
      </c>
      <c r="V624" s="7" t="inlineStr">
        <is>
          <t>v2-cv-accuracy-13b988b18da8ea7d</t>
        </is>
      </c>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1.72</v>
      </c>
      <c r="C625" s="12" t="inlineStr">
        <is>
          <t>Internship</t>
        </is>
      </c>
      <c r="D625" s="8" t="inlineStr">
        <is>
          <t>Internship Programme 2027: Software Engineer (Python)</t>
        </is>
      </c>
      <c r="E625" s="7" t="inlineStr">
        <is>
          <t>Revolut</t>
        </is>
      </c>
      <c r="F625" s="8" t="inlineStr">
        <is>
          <t>London, ENG, GB</t>
        </is>
      </c>
      <c r="G625" s="8" t="n"/>
      <c r="H625" s="14" t="n"/>
      <c r="I625" s="15">
        <f>IF($H625="","",$H625-TODAY())</f>
        <v/>
      </c>
      <c r="J625" s="16" t="inlineStr">
        <is>
          <t>Open posting</t>
        </is>
      </c>
      <c r="K625" s="8" t="inlineStr">
        <is>
          <t>filtered by keyword pre-scan</t>
        </is>
      </c>
      <c r="L625" s="17" t="inlineStr">
        <is>
          <t>new</t>
        </is>
      </c>
      <c r="M625" s="18" t="inlineStr"/>
      <c r="N625" s="7" t="inlineStr">
        <is>
          <t>92deec69bbde83413dbb46cbd97d606c9222b744</t>
        </is>
      </c>
      <c r="O625" s="14" t="n">
        <v>46169</v>
      </c>
      <c r="P625" s="7" t="inlineStr">
        <is>
          <t>jobspy</t>
        </is>
      </c>
      <c r="Q625" s="8" t="inlineStr">
        <is>
          <t>python, sql, docker, kubernetes, c</t>
        </is>
      </c>
      <c r="R625" s="8" t="inlineStr">
        <is>
          <t>Graduate Software Engineer Python Docker Kubernetes</t>
        </is>
      </c>
      <c r="S625" s="19" t="n"/>
      <c r="T625" s="19" t="n"/>
      <c r="U625" s="14" t="n">
        <v>46192</v>
      </c>
      <c r="V625" s="7" t="inlineStr">
        <is>
          <t>v2-cv-accuracy-13b988b18da8ea7d</t>
        </is>
      </c>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1.72</v>
      </c>
      <c r="C626" s="12" t="inlineStr">
        <is>
          <t>Graduate/Entry</t>
        </is>
      </c>
      <c r="D626" s="8" t="inlineStr">
        <is>
          <t>Graduate AI software engineer</t>
        </is>
      </c>
      <c r="E626" s="7" t="inlineStr">
        <is>
          <t>Bending Spoons</t>
        </is>
      </c>
      <c r="F626" s="8" t="inlineStr"/>
      <c r="G626" s="8" t="n"/>
      <c r="H626" s="14" t="n"/>
      <c r="I626" s="15">
        <f>IF($H626="","",$H626-TODAY())</f>
        <v/>
      </c>
      <c r="J626" s="16" t="inlineStr">
        <is>
          <t>Open posting</t>
        </is>
      </c>
      <c r="K626" s="8" t="inlineStr">
        <is>
          <t>filtered by keyword pre-scan</t>
        </is>
      </c>
      <c r="L626" s="17" t="inlineStr">
        <is>
          <t>new</t>
        </is>
      </c>
      <c r="M626" s="18" t="inlineStr"/>
      <c r="N626" s="7" t="inlineStr">
        <is>
          <t>139b40fc8bd1bf40369606c2ebee97402797132a</t>
        </is>
      </c>
      <c r="O626" s="14" t="n">
        <v>46190</v>
      </c>
      <c r="P626" s="7" t="inlineStr">
        <is>
          <t>jobspy</t>
        </is>
      </c>
      <c r="Q626" s="8" t="inlineStr">
        <is>
          <t>python, docker, kubernetes, git, c</t>
        </is>
      </c>
      <c r="R626" s="8" t="inlineStr">
        <is>
          <t>Graduate Software Engineer Python Docker Kubernetes</t>
        </is>
      </c>
      <c r="S626" s="19" t="n"/>
      <c r="T626" s="19" t="n"/>
      <c r="U626" s="14" t="n">
        <v>46192</v>
      </c>
      <c r="V626" s="7" t="inlineStr">
        <is>
          <t>v2-cv-accuracy-13b988b18da8ea7d</t>
        </is>
      </c>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1.72</v>
      </c>
      <c r="C627" s="12" t="inlineStr">
        <is>
          <t>Graduate/Entry</t>
        </is>
      </c>
      <c r="D627" s="8" t="inlineStr">
        <is>
          <t>Graduate AI software engineer</t>
        </is>
      </c>
      <c r="E627" s="7" t="inlineStr">
        <is>
          <t>Bending Spoons</t>
        </is>
      </c>
      <c r="F627" s="8" t="inlineStr">
        <is>
          <t>Warwick, England, UK</t>
        </is>
      </c>
      <c r="G627" s="8" t="n"/>
      <c r="H627" s="14" t="n"/>
      <c r="I627" s="15">
        <f>IF($H627="","",$H627-TODAY())</f>
        <v/>
      </c>
      <c r="J627" s="16" t="inlineStr">
        <is>
          <t>Open posting</t>
        </is>
      </c>
      <c r="K627" s="8" t="inlineStr">
        <is>
          <t>filtered by keyword pre-scan</t>
        </is>
      </c>
      <c r="L627" s="17" t="inlineStr">
        <is>
          <t>new</t>
        </is>
      </c>
      <c r="M627" s="18" t="inlineStr"/>
      <c r="N627" s="7" t="inlineStr">
        <is>
          <t>426dde5f83649c871dec3bc6c96f283168603a30</t>
        </is>
      </c>
      <c r="O627" s="14" t="n">
        <v>46190</v>
      </c>
      <c r="P627" s="7" t="inlineStr">
        <is>
          <t>jobspy</t>
        </is>
      </c>
      <c r="Q627" s="8" t="inlineStr">
        <is>
          <t>python, docker, kubernetes, git, c</t>
        </is>
      </c>
      <c r="R627" s="8" t="inlineStr">
        <is>
          <t>Graduate Software Engineer Python Docker Kubernetes</t>
        </is>
      </c>
      <c r="S627" s="19" t="n"/>
      <c r="T627" s="19" t="n"/>
      <c r="U627" s="14" t="n">
        <v>46192</v>
      </c>
      <c r="V627" s="7" t="inlineStr">
        <is>
          <t>v2-cv-accuracy-13b988b18da8ea7d</t>
        </is>
      </c>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1.72</v>
      </c>
      <c r="C628" s="12" t="inlineStr">
        <is>
          <t>Graduate/Entry</t>
        </is>
      </c>
      <c r="D628" s="8" t="inlineStr">
        <is>
          <t>Graduate AI software engineer</t>
        </is>
      </c>
      <c r="E628" s="7" t="inlineStr">
        <is>
          <t>Bending Spoons</t>
        </is>
      </c>
      <c r="F628" s="8" t="inlineStr">
        <is>
          <t>Durham, England, UK</t>
        </is>
      </c>
      <c r="G628" s="8" t="n"/>
      <c r="H628" s="14" t="n"/>
      <c r="I628" s="15">
        <f>IF($H628="","",$H628-TODAY())</f>
        <v/>
      </c>
      <c r="J628" s="16" t="inlineStr">
        <is>
          <t>Open posting</t>
        </is>
      </c>
      <c r="K628" s="8" t="inlineStr">
        <is>
          <t>filtered by keyword pre-scan</t>
        </is>
      </c>
      <c r="L628" s="17" t="inlineStr">
        <is>
          <t>new</t>
        </is>
      </c>
      <c r="M628" s="18" t="inlineStr"/>
      <c r="N628" s="7" t="inlineStr">
        <is>
          <t>3f737b4d73077136b7b9ed6573e2a5fb465e2640</t>
        </is>
      </c>
      <c r="O628" s="14" t="n">
        <v>46190</v>
      </c>
      <c r="P628" s="7" t="inlineStr">
        <is>
          <t>jobspy</t>
        </is>
      </c>
      <c r="Q628" s="8" t="inlineStr">
        <is>
          <t>python, docker, kubernetes, git, c</t>
        </is>
      </c>
      <c r="R628" s="8" t="inlineStr">
        <is>
          <t>Graduate Software Engineer Python Docker Kubernetes</t>
        </is>
      </c>
      <c r="S628" s="19" t="n"/>
      <c r="T628" s="19" t="n"/>
      <c r="U628" s="14" t="n">
        <v>46192</v>
      </c>
      <c r="V628" s="7" t="inlineStr">
        <is>
          <t>v2-cv-accuracy-13b988b18da8ea7d</t>
        </is>
      </c>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1.72</v>
      </c>
      <c r="C629" s="12" t="inlineStr">
        <is>
          <t>Graduate/Entry</t>
        </is>
      </c>
      <c r="D629" s="8" t="inlineStr">
        <is>
          <t>Graduate AI software engineer</t>
        </is>
      </c>
      <c r="E629" s="7" t="inlineStr">
        <is>
          <t>Bending Spoons</t>
        </is>
      </c>
      <c r="F629" s="8" t="inlineStr">
        <is>
          <t>Edinburgh, Scotland, UK</t>
        </is>
      </c>
      <c r="G629" s="8" t="n"/>
      <c r="H629" s="14" t="n"/>
      <c r="I629" s="15">
        <f>IF($H629="","",$H629-TODAY())</f>
        <v/>
      </c>
      <c r="J629" s="16" t="inlineStr">
        <is>
          <t>Open posting</t>
        </is>
      </c>
      <c r="K629" s="8" t="inlineStr">
        <is>
          <t>filtered by keyword pre-scan</t>
        </is>
      </c>
      <c r="L629" s="17" t="inlineStr">
        <is>
          <t>new</t>
        </is>
      </c>
      <c r="M629" s="18" t="inlineStr"/>
      <c r="N629" s="7" t="inlineStr">
        <is>
          <t>643a7e1036b0bde3a776262efd89222a4d53eaca</t>
        </is>
      </c>
      <c r="O629" s="14" t="n">
        <v>46190</v>
      </c>
      <c r="P629" s="7" t="inlineStr">
        <is>
          <t>jobspy</t>
        </is>
      </c>
      <c r="Q629" s="8" t="inlineStr">
        <is>
          <t>python, docker, kubernetes, git, c</t>
        </is>
      </c>
      <c r="R629" s="8" t="inlineStr">
        <is>
          <t>Graduate Software Engineer Python Docker Kubernetes</t>
        </is>
      </c>
      <c r="S629" s="19" t="n"/>
      <c r="T629" s="19" t="n"/>
      <c r="U629" s="14" t="n">
        <v>46192</v>
      </c>
      <c r="V629" s="7" t="inlineStr">
        <is>
          <t>v2-cv-accuracy-13b988b18da8ea7d</t>
        </is>
      </c>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1.72</v>
      </c>
      <c r="C630" s="12" t="inlineStr">
        <is>
          <t>Graduate/Entry</t>
        </is>
      </c>
      <c r="D630" s="8" t="inlineStr">
        <is>
          <t>Graduate AI software engineer</t>
        </is>
      </c>
      <c r="E630" s="7" t="inlineStr">
        <is>
          <t>Bending Spoons</t>
        </is>
      </c>
      <c r="F630" s="8" t="inlineStr">
        <is>
          <t>London, England, UK</t>
        </is>
      </c>
      <c r="G630" s="8" t="n"/>
      <c r="H630" s="14" t="n"/>
      <c r="I630" s="15">
        <f>IF($H630="","",$H630-TODAY())</f>
        <v/>
      </c>
      <c r="J630" s="16" t="inlineStr">
        <is>
          <t>Open posting</t>
        </is>
      </c>
      <c r="K630" s="8" t="inlineStr">
        <is>
          <t>filtered by keyword pre-scan</t>
        </is>
      </c>
      <c r="L630" s="17" t="inlineStr">
        <is>
          <t>new</t>
        </is>
      </c>
      <c r="M630" s="18" t="inlineStr"/>
      <c r="N630" s="7" t="inlineStr">
        <is>
          <t>ec717edcdc467664d96fdb2527579651352ca61e</t>
        </is>
      </c>
      <c r="O630" s="14" t="n">
        <v>46187</v>
      </c>
      <c r="P630" s="7" t="inlineStr">
        <is>
          <t>jobspy</t>
        </is>
      </c>
      <c r="Q630" s="8" t="inlineStr">
        <is>
          <t>python, docker, kubernetes, git, c</t>
        </is>
      </c>
      <c r="R630" s="8" t="inlineStr">
        <is>
          <t>Graduate Software Engineer Python Docker Kubernetes</t>
        </is>
      </c>
      <c r="S630" s="19" t="n"/>
      <c r="T630" s="19" t="n"/>
      <c r="U630" s="14" t="n">
        <v>46192</v>
      </c>
      <c r="V630" s="7" t="inlineStr">
        <is>
          <t>v2-cv-accuracy-13b988b18da8ea7d</t>
        </is>
      </c>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1.72</v>
      </c>
      <c r="C631" s="12" t="inlineStr">
        <is>
          <t>Graduate/Entry</t>
        </is>
      </c>
      <c r="D631" s="8" t="inlineStr">
        <is>
          <t>Graduate AI software engineer</t>
        </is>
      </c>
      <c r="E631" s="7" t="inlineStr">
        <is>
          <t>Bending Spoons</t>
        </is>
      </c>
      <c r="F631" s="8" t="inlineStr"/>
      <c r="G631" s="8" t="n"/>
      <c r="H631" s="14" t="n"/>
      <c r="I631" s="15">
        <f>IF($H631="","",$H631-TODAY())</f>
        <v/>
      </c>
      <c r="J631" s="16" t="inlineStr">
        <is>
          <t>Open posting</t>
        </is>
      </c>
      <c r="K631" s="8" t="inlineStr">
        <is>
          <t>filtered by keyword pre-scan</t>
        </is>
      </c>
      <c r="L631" s="17" t="inlineStr">
        <is>
          <t>new</t>
        </is>
      </c>
      <c r="M631" s="18" t="inlineStr"/>
      <c r="N631" s="7" t="inlineStr">
        <is>
          <t>61ef4f119c159f7de5efcb9975e802760b643dc8</t>
        </is>
      </c>
      <c r="O631" s="14" t="n">
        <v>46187</v>
      </c>
      <c r="P631" s="7" t="inlineStr">
        <is>
          <t>jobspy</t>
        </is>
      </c>
      <c r="Q631" s="8" t="inlineStr">
        <is>
          <t>python, docker, kubernetes, git, c</t>
        </is>
      </c>
      <c r="R631" s="8" t="inlineStr">
        <is>
          <t>Graduate Software Engineer Python Docker Kubernetes</t>
        </is>
      </c>
      <c r="S631" s="19" t="n"/>
      <c r="T631" s="19" t="n"/>
      <c r="U631" s="14" t="n">
        <v>46192</v>
      </c>
      <c r="V631" s="7" t="inlineStr">
        <is>
          <t>v2-cv-accuracy-13b988b18da8ea7d</t>
        </is>
      </c>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1.72</v>
      </c>
      <c r="C632" s="12" t="inlineStr">
        <is>
          <t>Graduate/Entry</t>
        </is>
      </c>
      <c r="D632" s="8" t="inlineStr">
        <is>
          <t>Graduate AI software engineer</t>
        </is>
      </c>
      <c r="E632" s="7" t="inlineStr">
        <is>
          <t>Bending Spoons</t>
        </is>
      </c>
      <c r="F632" s="8" t="inlineStr">
        <is>
          <t>Oxford, England, UK</t>
        </is>
      </c>
      <c r="G632" s="8" t="n"/>
      <c r="H632" s="14" t="n"/>
      <c r="I632" s="15">
        <f>IF($H632="","",$H632-TODAY())</f>
        <v/>
      </c>
      <c r="J632" s="16" t="inlineStr">
        <is>
          <t>Open posting</t>
        </is>
      </c>
      <c r="K632" s="8" t="inlineStr">
        <is>
          <t>filtered by keyword pre-scan</t>
        </is>
      </c>
      <c r="L632" s="17" t="inlineStr">
        <is>
          <t>new</t>
        </is>
      </c>
      <c r="M632" s="18" t="inlineStr"/>
      <c r="N632" s="7" t="inlineStr">
        <is>
          <t>865bb8adc445e4994c563b2688fa72994d70a17a</t>
        </is>
      </c>
      <c r="O632" s="14" t="n">
        <v>46187</v>
      </c>
      <c r="P632" s="7" t="inlineStr">
        <is>
          <t>jobspy</t>
        </is>
      </c>
      <c r="Q632" s="8" t="inlineStr">
        <is>
          <t>python, docker, kubernetes, git, c</t>
        </is>
      </c>
      <c r="R632" s="8" t="inlineStr">
        <is>
          <t>Graduate Software Engineer Python Docker Kubernetes</t>
        </is>
      </c>
      <c r="S632" s="19" t="n"/>
      <c r="T632" s="19" t="n"/>
      <c r="U632" s="14" t="n">
        <v>46192</v>
      </c>
      <c r="V632" s="7" t="inlineStr">
        <is>
          <t>v2-cv-accuracy-13b988b18da8ea7d</t>
        </is>
      </c>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1.72</v>
      </c>
      <c r="C633" s="12" t="inlineStr">
        <is>
          <t>Graduate/Entry</t>
        </is>
      </c>
      <c r="D633" s="8" t="inlineStr">
        <is>
          <t>Graduate AI software engineer</t>
        </is>
      </c>
      <c r="E633" s="7" t="inlineStr">
        <is>
          <t>Bending Spoons</t>
        </is>
      </c>
      <c r="F633" s="8" t="inlineStr">
        <is>
          <t>Cambridge, England, UK</t>
        </is>
      </c>
      <c r="G633" s="8" t="n"/>
      <c r="H633" s="14" t="n"/>
      <c r="I633" s="15">
        <f>IF($H633="","",$H633-TODAY())</f>
        <v/>
      </c>
      <c r="J633" s="16" t="inlineStr">
        <is>
          <t>Open posting</t>
        </is>
      </c>
      <c r="K633" s="8" t="inlineStr">
        <is>
          <t>filtered by keyword pre-scan</t>
        </is>
      </c>
      <c r="L633" s="17" t="inlineStr">
        <is>
          <t>new</t>
        </is>
      </c>
      <c r="M633" s="18" t="inlineStr"/>
      <c r="N633" s="7" t="inlineStr">
        <is>
          <t>42e7da3eb54466e9f46eb2a9365978ba16f54d0a</t>
        </is>
      </c>
      <c r="O633" s="14" t="n">
        <v>46187</v>
      </c>
      <c r="P633" s="7" t="inlineStr">
        <is>
          <t>jobspy</t>
        </is>
      </c>
      <c r="Q633" s="8" t="inlineStr">
        <is>
          <t>python, docker, kubernetes, git, c</t>
        </is>
      </c>
      <c r="R633" s="8" t="inlineStr">
        <is>
          <t>Graduate Software Engineer Python Docker Kubernetes</t>
        </is>
      </c>
      <c r="S633" s="19" t="n"/>
      <c r="T633" s="19" t="n"/>
      <c r="U633" s="14" t="n">
        <v>46192</v>
      </c>
      <c r="V633" s="7" t="inlineStr">
        <is>
          <t>v2-cv-accuracy-13b988b18da8ea7d</t>
        </is>
      </c>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1.72</v>
      </c>
      <c r="C634" s="12" t="inlineStr">
        <is>
          <t>Mid-level</t>
        </is>
      </c>
      <c r="D634" s="8" t="inlineStr">
        <is>
          <t>Software Engineer</t>
        </is>
      </c>
      <c r="E634" s="7" t="inlineStr">
        <is>
          <t>Engelhart</t>
        </is>
      </c>
      <c r="F634" s="8" t="inlineStr">
        <is>
          <t>London, England, UK</t>
        </is>
      </c>
      <c r="G634" s="8" t="n"/>
      <c r="H634" s="14" t="n"/>
      <c r="I634" s="15">
        <f>IF($H634="","",$H634-TODAY())</f>
        <v/>
      </c>
      <c r="J634" s="16" t="inlineStr">
        <is>
          <t>Open posting</t>
        </is>
      </c>
      <c r="K634" s="8" t="inlineStr">
        <is>
          <t>filtered by keyword pre-scan</t>
        </is>
      </c>
      <c r="L634" s="17" t="inlineStr">
        <is>
          <t>new</t>
        </is>
      </c>
      <c r="M634" s="18" t="inlineStr"/>
      <c r="N634" s="7" t="inlineStr">
        <is>
          <t>4f53409b8642b2dda9db3942552972c19a80c0f9</t>
        </is>
      </c>
      <c r="O634" s="14" t="n"/>
      <c r="P634" s="7" t="inlineStr">
        <is>
          <t>jobspy</t>
        </is>
      </c>
      <c r="Q634" s="8" t="inlineStr">
        <is>
          <t>python, docker, kubernetes, c</t>
        </is>
      </c>
      <c r="R634" s="8" t="inlineStr">
        <is>
          <t>Graduate Software Engineer Python Docker Kubernetes</t>
        </is>
      </c>
      <c r="S634" s="19" t="n"/>
      <c r="T634" s="19" t="n"/>
      <c r="U634" s="14" t="n">
        <v>46192</v>
      </c>
      <c r="V634" s="7" t="inlineStr">
        <is>
          <t>v2-cv-accuracy-13b988b18da8ea7d</t>
        </is>
      </c>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1.72</v>
      </c>
      <c r="C635" s="12" t="inlineStr">
        <is>
          <t>Senior/Lead</t>
        </is>
      </c>
      <c r="D635" s="8" t="inlineStr">
        <is>
          <t>Digital Engineers - All Levels</t>
        </is>
      </c>
      <c r="E635" s="7" t="inlineStr">
        <is>
          <t>Leonardo</t>
        </is>
      </c>
      <c r="F635" s="8" t="inlineStr">
        <is>
          <t>Newcastle Upon Tyne, England, UK</t>
        </is>
      </c>
      <c r="G635" s="8" t="n"/>
      <c r="H635" s="14" t="n"/>
      <c r="I635" s="15">
        <f>IF($H635="","",$H635-TODAY())</f>
        <v/>
      </c>
      <c r="J635" s="16" t="inlineStr">
        <is>
          <t>Open posting</t>
        </is>
      </c>
      <c r="K635" s="8" t="inlineStr">
        <is>
          <t>filtered by keyword pre-scan</t>
        </is>
      </c>
      <c r="L635" s="17" t="inlineStr">
        <is>
          <t>new</t>
        </is>
      </c>
      <c r="M635" s="18" t="inlineStr"/>
      <c r="N635" s="7" t="inlineStr">
        <is>
          <t>2a357b20a43cecdc950ead2bbcabac1058780dea</t>
        </is>
      </c>
      <c r="O635" s="14" t="n">
        <v>46178</v>
      </c>
      <c r="P635" s="7" t="inlineStr">
        <is>
          <t>jobspy</t>
        </is>
      </c>
      <c r="Q635" s="8" t="inlineStr">
        <is>
          <t>fpga, git, c, hardware design, dsp</t>
        </is>
      </c>
      <c r="R635" s="8" t="inlineStr">
        <is>
          <t>Junior Hardware Engineer embedded digital design UK</t>
        </is>
      </c>
      <c r="S635" s="19" t="n"/>
      <c r="T635" s="19" t="n"/>
      <c r="U635" s="14" t="n">
        <v>46192</v>
      </c>
      <c r="V635" s="7" t="inlineStr">
        <is>
          <t>v2-cv-accuracy-13b988b18da8ea7d</t>
        </is>
      </c>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1.72</v>
      </c>
      <c r="C636" s="12" t="inlineStr">
        <is>
          <t>Graduate/Entry</t>
        </is>
      </c>
      <c r="D636" s="8" t="inlineStr">
        <is>
          <t>Graduate Digital Engineer</t>
        </is>
      </c>
      <c r="E636" s="7" t="inlineStr">
        <is>
          <t>Renesas Electronics</t>
        </is>
      </c>
      <c r="F636" s="8" t="inlineStr">
        <is>
          <t>Swindon, England, UK</t>
        </is>
      </c>
      <c r="G636" s="8" t="n"/>
      <c r="H636" s="14" t="n"/>
      <c r="I636" s="15">
        <f>IF($H636="","",$H636-TODAY())</f>
        <v/>
      </c>
      <c r="J636" s="16" t="inlineStr">
        <is>
          <t>Open posting</t>
        </is>
      </c>
      <c r="K636" s="8" t="inlineStr">
        <is>
          <t>filtered by keyword pre-scan</t>
        </is>
      </c>
      <c r="L636" s="17" t="inlineStr">
        <is>
          <t>new</t>
        </is>
      </c>
      <c r="M636" s="18" t="inlineStr"/>
      <c r="N636" s="7" t="inlineStr">
        <is>
          <t>e6355e57d02542ef48dece038cce30e4a255beaa</t>
        </is>
      </c>
      <c r="O636" s="14" t="n">
        <v>46170</v>
      </c>
      <c r="P636" s="7" t="inlineStr">
        <is>
          <t>jobspy</t>
        </is>
      </c>
      <c r="Q636" s="8" t="inlineStr">
        <is>
          <t>verilog, git, c, digital design</t>
        </is>
      </c>
      <c r="R636" s="8" t="inlineStr">
        <is>
          <t>Junior Hardware Engineer embedded digital design UK</t>
        </is>
      </c>
      <c r="S636" s="19" t="n"/>
      <c r="T636" s="19" t="n"/>
      <c r="U636" s="14" t="n">
        <v>46192</v>
      </c>
      <c r="V636" s="7" t="inlineStr">
        <is>
          <t>v2-cv-accuracy-13b988b18da8ea7d</t>
        </is>
      </c>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1.72</v>
      </c>
      <c r="C637" s="12" t="inlineStr">
        <is>
          <t>Junior</t>
        </is>
      </c>
      <c r="D637" s="8" t="inlineStr">
        <is>
          <t>Junior Data Software Engineer</t>
        </is>
      </c>
      <c r="E637" s="7" t="inlineStr">
        <is>
          <t>TalentHawk</t>
        </is>
      </c>
      <c r="F637" s="8" t="inlineStr"/>
      <c r="G637" s="8" t="n"/>
      <c r="H637" s="14" t="n"/>
      <c r="I637" s="15">
        <f>IF($H637="","",$H637-TODAY())</f>
        <v/>
      </c>
      <c r="J637" s="16" t="inlineStr">
        <is>
          <t>Open posting</t>
        </is>
      </c>
      <c r="K637" s="8" t="inlineStr">
        <is>
          <t>filtered by keyword pre-scan</t>
        </is>
      </c>
      <c r="L637" s="17" t="inlineStr">
        <is>
          <t>new</t>
        </is>
      </c>
      <c r="M637" s="18" t="inlineStr"/>
      <c r="N637" s="7" t="inlineStr">
        <is>
          <t>55f81664263fac93a33531d0b77a0267867c84f7</t>
        </is>
      </c>
      <c r="O637" s="14" t="n"/>
      <c r="P637" s="7" t="inlineStr">
        <is>
          <t>jobspy</t>
        </is>
      </c>
      <c r="Q637" s="8" t="inlineStr">
        <is>
          <t>python, sql, docker, c</t>
        </is>
      </c>
      <c r="R637" s="8" t="inlineStr">
        <is>
          <t>Junior Python Developer Docker Kubernetes Sheffield</t>
        </is>
      </c>
      <c r="S637" s="19" t="n"/>
      <c r="T637" s="19" t="n"/>
      <c r="U637" s="14" t="n">
        <v>46192</v>
      </c>
      <c r="V637" s="7" t="inlineStr">
        <is>
          <t>v2-cv-accuracy-13b988b18da8ea7d</t>
        </is>
      </c>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1.72</v>
      </c>
      <c r="C638" s="12" t="inlineStr">
        <is>
          <t>Graduate/Entry</t>
        </is>
      </c>
      <c r="D638" s="8" t="inlineStr">
        <is>
          <t>Graduate software engineer</t>
        </is>
      </c>
      <c r="E638" s="7" t="inlineStr">
        <is>
          <t>WeTransfer</t>
        </is>
      </c>
      <c r="F638" s="8" t="inlineStr"/>
      <c r="G638" s="8" t="n"/>
      <c r="H638" s="14" t="n"/>
      <c r="I638" s="15">
        <f>IF($H638="","",$H638-TODAY())</f>
        <v/>
      </c>
      <c r="J638" s="16" t="inlineStr">
        <is>
          <t>Open posting</t>
        </is>
      </c>
      <c r="K638" s="8" t="inlineStr">
        <is>
          <t>filtered by keyword pre-scan</t>
        </is>
      </c>
      <c r="L638" s="17" t="inlineStr">
        <is>
          <t>new</t>
        </is>
      </c>
      <c r="M638" s="18" t="inlineStr"/>
      <c r="N638" s="7" t="inlineStr">
        <is>
          <t>3b19e8e14298e935bf2465e1aa5421d8620a8230</t>
        </is>
      </c>
      <c r="O638" s="14" t="n">
        <v>46191</v>
      </c>
      <c r="P638" s="7" t="inlineStr">
        <is>
          <t>jobspy</t>
        </is>
      </c>
      <c r="Q638" s="8" t="inlineStr">
        <is>
          <t>python, docker, kubernetes, git, c</t>
        </is>
      </c>
      <c r="R638" s="8" t="inlineStr">
        <is>
          <t>Graduate Computer Engineer Sheffield remote</t>
        </is>
      </c>
      <c r="S638" s="19" t="n"/>
      <c r="T638" s="19" t="n"/>
      <c r="U638" s="14" t="n">
        <v>46192</v>
      </c>
      <c r="V638" s="7" t="inlineStr">
        <is>
          <t>v2-cv-accuracy-13b988b18da8ea7d</t>
        </is>
      </c>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1.72</v>
      </c>
      <c r="C639" s="12" t="inlineStr">
        <is>
          <t>Junior</t>
        </is>
      </c>
      <c r="D639" s="8" t="inlineStr">
        <is>
          <t>Dev Ops Engineer</t>
        </is>
      </c>
      <c r="E639" s="7" t="inlineStr">
        <is>
          <t>Citation Canada</t>
        </is>
      </c>
      <c r="F639" s="8" t="inlineStr">
        <is>
          <t>Wilmslow, England, UK</t>
        </is>
      </c>
      <c r="G639" s="8" t="n"/>
      <c r="H639" s="14" t="n"/>
      <c r="I639" s="15">
        <f>IF($H639="","",$H639-TODAY())</f>
        <v/>
      </c>
      <c r="J639" s="16" t="inlineStr">
        <is>
          <t>Open posting</t>
        </is>
      </c>
      <c r="K639" s="8" t="inlineStr">
        <is>
          <t>filtered by keyword pre-scan</t>
        </is>
      </c>
      <c r="L639" s="17" t="inlineStr">
        <is>
          <t>new</t>
        </is>
      </c>
      <c r="M639" s="18" t="inlineStr"/>
      <c r="N639" s="7" t="inlineStr">
        <is>
          <t>39c5baf27f7dad71e116c384402a2f6816c7a572</t>
        </is>
      </c>
      <c r="O639" s="14" t="n">
        <v>46184</v>
      </c>
      <c r="P639" s="7" t="inlineStr">
        <is>
          <t>jobspy</t>
        </is>
      </c>
      <c r="Q639" s="8" t="inlineStr">
        <is>
          <t>python, docker, git, c</t>
        </is>
      </c>
      <c r="R639" s="8" t="inlineStr">
        <is>
          <t>Graduate DevOps Engineer Docker Kubernetes Python</t>
        </is>
      </c>
      <c r="S639" s="19" t="n"/>
      <c r="T639" s="19" t="n"/>
      <c r="U639" s="14" t="n">
        <v>46192</v>
      </c>
      <c r="V639" s="7" t="inlineStr">
        <is>
          <t>v2-cv-accuracy-13b988b18da8ea7d</t>
        </is>
      </c>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1.72</v>
      </c>
      <c r="C640" s="12" t="inlineStr">
        <is>
          <t>Junior</t>
        </is>
      </c>
      <c r="D640" s="8" t="inlineStr">
        <is>
          <t>Junior Platform Engineer</t>
        </is>
      </c>
      <c r="E640" s="7" t="inlineStr">
        <is>
          <t>Lean Tree</t>
        </is>
      </c>
      <c r="F640" s="8" t="inlineStr">
        <is>
          <t>London Area, United Kingdom</t>
        </is>
      </c>
      <c r="G640" s="8" t="n"/>
      <c r="H640" s="14" t="n"/>
      <c r="I640" s="15">
        <f>IF($H640="","",$H640-TODAY())</f>
        <v/>
      </c>
      <c r="J640" s="16" t="inlineStr">
        <is>
          <t>Open posting</t>
        </is>
      </c>
      <c r="K640" s="8" t="inlineStr">
        <is>
          <t>filtered by keyword pre-scan</t>
        </is>
      </c>
      <c r="L640" s="17" t="inlineStr">
        <is>
          <t>new</t>
        </is>
      </c>
      <c r="M640" s="18" t="inlineStr"/>
      <c r="N640" s="7" t="inlineStr">
        <is>
          <t>00a2d900c752c311b0211c64b9577340868c35f5</t>
        </is>
      </c>
      <c r="O640" s="14" t="n">
        <v>46170</v>
      </c>
      <c r="P640" s="7" t="inlineStr">
        <is>
          <t>jobspy</t>
        </is>
      </c>
      <c r="Q640" s="8" t="inlineStr">
        <is>
          <t>docker, kubernetes, git, c</t>
        </is>
      </c>
      <c r="R640" s="8" t="inlineStr">
        <is>
          <t>Graduate DevOps Engineer Docker Kubernetes Python</t>
        </is>
      </c>
      <c r="S640" s="19" t="n"/>
      <c r="T640" s="19" t="n"/>
      <c r="U640" s="14" t="n">
        <v>46192</v>
      </c>
      <c r="V640" s="7" t="inlineStr">
        <is>
          <t>v2-cv-accuracy-13b988b18da8ea7d</t>
        </is>
      </c>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1.72</v>
      </c>
      <c r="C641" s="12" t="inlineStr">
        <is>
          <t>Unspecified</t>
        </is>
      </c>
      <c r="D641" s="8" t="inlineStr">
        <is>
          <t>Embedded Software Engineer</t>
        </is>
      </c>
      <c r="E641" s="7" t="inlineStr">
        <is>
          <t>X4 Technology</t>
        </is>
      </c>
      <c r="F641" s="8" t="inlineStr">
        <is>
          <t>Birmingham, England, UK</t>
        </is>
      </c>
      <c r="G641" s="8" t="n"/>
      <c r="H641" s="14" t="n"/>
      <c r="I641" s="15">
        <f>IF($H641="","",$H641-TODAY())</f>
        <v/>
      </c>
      <c r="J641" s="16" t="inlineStr">
        <is>
          <t>Open posting</t>
        </is>
      </c>
      <c r="K641" s="8" t="inlineStr">
        <is>
          <t>filtered by keyword pre-scan</t>
        </is>
      </c>
      <c r="L641" s="17" t="inlineStr">
        <is>
          <t>new</t>
        </is>
      </c>
      <c r="M641" s="18" t="inlineStr"/>
      <c r="N641" s="7" t="inlineStr">
        <is>
          <t>9d83567f0b4e2b4e3cc9bdcb548e414b751e780c</t>
        </is>
      </c>
      <c r="O641" s="14" t="n"/>
      <c r="P641" s="7" t="inlineStr">
        <is>
          <t>jobspy</t>
        </is>
      </c>
      <c r="Q641" s="8" t="inlineStr">
        <is>
          <t>stm32, git, c, embedded systems</t>
        </is>
      </c>
      <c r="R641" s="8" t="inlineStr">
        <is>
          <t>Junior Embedded Software Engineer STM32</t>
        </is>
      </c>
      <c r="S641" s="19" t="n"/>
      <c r="T641" s="19" t="n"/>
      <c r="U641" s="14" t="n">
        <v>46192</v>
      </c>
      <c r="V641" s="7" t="inlineStr">
        <is>
          <t>v2-cv-accuracy-13b988b18da8ea7d</t>
        </is>
      </c>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1.63</v>
      </c>
      <c r="C642" s="12" t="inlineStr">
        <is>
          <t>Unspecified</t>
        </is>
      </c>
      <c r="D642" s="8" t="inlineStr">
        <is>
          <t>Software Developer, Offers</t>
        </is>
      </c>
      <c r="E642" s="7" t="inlineStr">
        <is>
          <t>bet365</t>
        </is>
      </c>
      <c r="F642" s="8" t="inlineStr">
        <is>
          <t>Manchester, England, UK</t>
        </is>
      </c>
      <c r="G642" s="8" t="n"/>
      <c r="H642" s="14" t="n"/>
      <c r="I642" s="15">
        <f>IF($H642="","",$H642-TODAY())</f>
        <v/>
      </c>
      <c r="J642" s="16" t="inlineStr">
        <is>
          <t>Open posting</t>
        </is>
      </c>
      <c r="K642" s="8" t="inlineStr">
        <is>
          <t>filtered by keyword pre-scan</t>
        </is>
      </c>
      <c r="L642" s="17" t="inlineStr">
        <is>
          <t>new</t>
        </is>
      </c>
      <c r="M642" s="18" t="inlineStr"/>
      <c r="N642" s="7" t="inlineStr">
        <is>
          <t>85c6daf49d7f60572fd8713e8c6fe0be11279a41</t>
        </is>
      </c>
      <c r="O642" s="14" t="n"/>
      <c r="P642" s="7" t="inlineStr">
        <is>
          <t>jobspy</t>
        </is>
      </c>
      <c r="Q642" s="8" t="inlineStr">
        <is>
          <t>sql, software development</t>
        </is>
      </c>
      <c r="R642" s="8" t="inlineStr">
        <is>
          <t>graduate Full Stack Developer</t>
        </is>
      </c>
      <c r="S642" s="19" t="n"/>
      <c r="T642" s="19" t="n"/>
      <c r="U642" s="14" t="n">
        <v>46192</v>
      </c>
      <c r="V642" s="7" t="inlineStr">
        <is>
          <t>v2-cv-accuracy-13b988b18da8ea7d</t>
        </is>
      </c>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1.63</v>
      </c>
      <c r="C643" s="12" t="inlineStr">
        <is>
          <t>Senior/Lead</t>
        </is>
      </c>
      <c r="D643" s="8" t="inlineStr">
        <is>
          <t>Insurance Pricing Analyst</t>
        </is>
      </c>
      <c r="E643" s="7" t="inlineStr">
        <is>
          <t>Monzo</t>
        </is>
      </c>
      <c r="F643" s="8" t="inlineStr">
        <is>
          <t>Cardiff, London or Remote (UK)</t>
        </is>
      </c>
      <c r="G643" s="8" t="n"/>
      <c r="H643" s="14" t="n"/>
      <c r="I643" s="15">
        <f>IF($H643="","",$H643-TODAY())</f>
        <v/>
      </c>
      <c r="J643" s="16" t="inlineStr">
        <is>
          <t>Open posting</t>
        </is>
      </c>
      <c r="K643" s="8" t="inlineStr">
        <is>
          <t>filtered by keyword pre-scan</t>
        </is>
      </c>
      <c r="L643" s="17" t="inlineStr">
        <is>
          <t>new</t>
        </is>
      </c>
      <c r="M643" s="18" t="inlineStr"/>
      <c r="N643" s="7" t="inlineStr">
        <is>
          <t>a9cc4b660f48f1e5054c10463f26474900a64373</t>
        </is>
      </c>
      <c r="O643" s="14" t="n">
        <v>46189</v>
      </c>
      <c r="P643" s="7" t="inlineStr">
        <is>
          <t>greenhouse:monzo</t>
        </is>
      </c>
      <c r="Q643" s="8" t="inlineStr">
        <is>
          <t>sql, data analysis</t>
        </is>
      </c>
      <c r="R643" s="8" t="n"/>
      <c r="S643" s="19" t="n"/>
      <c r="T643" s="19" t="n"/>
      <c r="U643" s="14" t="n">
        <v>46191</v>
      </c>
      <c r="V643" s="7" t="inlineStr">
        <is>
          <t>v2-cv-accuracy-13b988b18da8ea7d</t>
        </is>
      </c>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1.63</v>
      </c>
      <c r="C644" s="12" t="inlineStr">
        <is>
          <t>Graduate/Entry</t>
        </is>
      </c>
      <c r="D644" s="8" t="inlineStr">
        <is>
          <t>Software Engineer, New Grad</t>
        </is>
      </c>
      <c r="E644" s="7" t="inlineStr">
        <is>
          <t>Deliveroo</t>
        </is>
      </c>
      <c r="F644" s="8" t="inlineStr">
        <is>
          <t>London, England, UK</t>
        </is>
      </c>
      <c r="G644" s="8" t="n"/>
      <c r="H644" s="14" t="n"/>
      <c r="I644" s="15">
        <f>IF($H644="","",$H644-TODAY())</f>
        <v/>
      </c>
      <c r="J644" s="16" t="inlineStr">
        <is>
          <t>Open posting</t>
        </is>
      </c>
      <c r="K644" s="8" t="inlineStr">
        <is>
          <t>filtered by keyword pre-scan</t>
        </is>
      </c>
      <c r="L644" s="17" t="inlineStr">
        <is>
          <t>new</t>
        </is>
      </c>
      <c r="M644" s="18" t="inlineStr"/>
      <c r="N644" s="7" t="inlineStr">
        <is>
          <t>43a1d715fdcda5a66049ffa10e76fb79670788e4</t>
        </is>
      </c>
      <c r="O644" s="14" t="n">
        <v>46172</v>
      </c>
      <c r="P644" s="7" t="inlineStr">
        <is>
          <t>jobspy</t>
        </is>
      </c>
      <c r="Q644" s="8" t="inlineStr">
        <is>
          <t>python, sql</t>
        </is>
      </c>
      <c r="R644" s="8" t="inlineStr">
        <is>
          <t>Graduate Software Developer</t>
        </is>
      </c>
      <c r="S644" s="19" t="n"/>
      <c r="T644" s="19" t="n"/>
      <c r="U644" s="14" t="n">
        <v>46191</v>
      </c>
      <c r="V644" s="7" t="inlineStr">
        <is>
          <t>v2-cv-accuracy-13b988b18da8ea7d</t>
        </is>
      </c>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1.63</v>
      </c>
      <c r="C645" s="12" t="inlineStr">
        <is>
          <t>Junior</t>
        </is>
      </c>
      <c r="D645" s="8" t="inlineStr">
        <is>
          <t>React Engineer</t>
        </is>
      </c>
      <c r="E645" s="7" t="inlineStr">
        <is>
          <t>Randstad Digital</t>
        </is>
      </c>
      <c r="F645" s="8" t="inlineStr">
        <is>
          <t>Sheffield, England, UK</t>
        </is>
      </c>
      <c r="G645" s="8" t="n"/>
      <c r="H645" s="14" t="n"/>
      <c r="I645" s="15">
        <f>IF($H645="","",$H645-TODAY())</f>
        <v/>
      </c>
      <c r="J645" s="16" t="inlineStr">
        <is>
          <t>Open posting</t>
        </is>
      </c>
      <c r="K645" s="8" t="inlineStr">
        <is>
          <t>filtered by keyword pre-scan</t>
        </is>
      </c>
      <c r="L645" s="17" t="inlineStr">
        <is>
          <t>new</t>
        </is>
      </c>
      <c r="M645" s="18" t="inlineStr"/>
      <c r="N645" s="7" t="inlineStr">
        <is>
          <t>34b424ebb1110bccb6c5797b4727ee8ce1b12e6a</t>
        </is>
      </c>
      <c r="O645" s="14" t="n">
        <v>46182</v>
      </c>
      <c r="P645" s="7" t="inlineStr">
        <is>
          <t>jobspy</t>
        </is>
      </c>
      <c r="Q645" s="8" t="inlineStr">
        <is>
          <t>javascript, git</t>
        </is>
      </c>
      <c r="R645" s="8" t="inlineStr">
        <is>
          <t>Graduate Software Developer Sheffield</t>
        </is>
      </c>
      <c r="S645" s="19" t="n"/>
      <c r="T645" s="19" t="n"/>
      <c r="U645" s="14" t="n">
        <v>46191</v>
      </c>
      <c r="V645" s="7" t="inlineStr">
        <is>
          <t>v2-cv-accuracy-13b988b18da8ea7d</t>
        </is>
      </c>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1.63</v>
      </c>
      <c r="C646" s="12" t="inlineStr">
        <is>
          <t>Junior</t>
        </is>
      </c>
      <c r="D646" s="8" t="inlineStr">
        <is>
          <t>Junior Developer</t>
        </is>
      </c>
      <c r="E646" s="7" t="inlineStr">
        <is>
          <t>Telappliant</t>
        </is>
      </c>
      <c r="F646" s="8" t="inlineStr">
        <is>
          <t>London, ENG, GB</t>
        </is>
      </c>
      <c r="G646" s="8" t="n"/>
      <c r="H646" s="14" t="n"/>
      <c r="I646" s="15">
        <f>IF($H646="","",$H646-TODAY())</f>
        <v/>
      </c>
      <c r="J646" s="16" t="inlineStr">
        <is>
          <t>Open posting</t>
        </is>
      </c>
      <c r="K646" s="8" t="inlineStr">
        <is>
          <t>filtered by keyword pre-scan</t>
        </is>
      </c>
      <c r="L646" s="17" t="inlineStr">
        <is>
          <t>new</t>
        </is>
      </c>
      <c r="M646" s="18" t="inlineStr"/>
      <c r="N646" s="7" t="inlineStr">
        <is>
          <t>45b5dd4822718cbfd0171c3acd3d423e1965210d</t>
        </is>
      </c>
      <c r="O646" s="14" t="n">
        <v>46181</v>
      </c>
      <c r="P646" s="7" t="inlineStr">
        <is>
          <t>jobspy</t>
        </is>
      </c>
      <c r="Q646" s="8" t="inlineStr">
        <is>
          <t>python, software development</t>
        </is>
      </c>
      <c r="R646" s="8" t="inlineStr">
        <is>
          <t>junior Graduate Software Developer</t>
        </is>
      </c>
      <c r="S646" s="19" t="n"/>
      <c r="T646" s="19" t="n"/>
      <c r="U646" s="14" t="n">
        <v>46191</v>
      </c>
      <c r="V646" s="7" t="inlineStr">
        <is>
          <t>v2-cv-accuracy-13b988b18da8ea7d</t>
        </is>
      </c>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1.63</v>
      </c>
      <c r="C647" s="12" t="inlineStr">
        <is>
          <t>Junior</t>
        </is>
      </c>
      <c r="D647" s="8" t="inlineStr">
        <is>
          <t>Junior Full Stack Developer</t>
        </is>
      </c>
      <c r="E647" s="7" t="inlineStr">
        <is>
          <t>Play Sports Group</t>
        </is>
      </c>
      <c r="F647" s="8" t="inlineStr">
        <is>
          <t>Harwich, England, UK</t>
        </is>
      </c>
      <c r="G647" s="8" t="n"/>
      <c r="H647" s="14" t="n"/>
      <c r="I647" s="15">
        <f>IF($H647="","",$H647-TODAY())</f>
        <v/>
      </c>
      <c r="J647" s="16" t="inlineStr">
        <is>
          <t>Open posting</t>
        </is>
      </c>
      <c r="K647" s="8" t="inlineStr">
        <is>
          <t>filtered by keyword pre-scan</t>
        </is>
      </c>
      <c r="L647" s="17" t="inlineStr">
        <is>
          <t>new</t>
        </is>
      </c>
      <c r="M647" s="18" t="inlineStr"/>
      <c r="N647" s="7" t="inlineStr">
        <is>
          <t>c993bfd7302b3a9b3bc50a1dd07913a95a1437f5</t>
        </is>
      </c>
      <c r="O647" s="14" t="n">
        <v>46178</v>
      </c>
      <c r="P647" s="7" t="inlineStr">
        <is>
          <t>jobspy</t>
        </is>
      </c>
      <c r="Q647" s="8" t="inlineStr">
        <is>
          <t>sql, javascript</t>
        </is>
      </c>
      <c r="R647" s="8" t="inlineStr">
        <is>
          <t>junior Graduate Software Developer</t>
        </is>
      </c>
      <c r="S647" s="19" t="n"/>
      <c r="T647" s="19" t="n"/>
      <c r="U647" s="14" t="n">
        <v>46191</v>
      </c>
      <c r="V647" s="7" t="inlineStr">
        <is>
          <t>v2-cv-accuracy-13b988b18da8ea7d</t>
        </is>
      </c>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1.63</v>
      </c>
      <c r="C648" s="12" t="inlineStr">
        <is>
          <t>Senior/Lead</t>
        </is>
      </c>
      <c r="D648" s="8" t="inlineStr">
        <is>
          <t>Python Developer</t>
        </is>
      </c>
      <c r="E648" s="7" t="inlineStr">
        <is>
          <t>Talan</t>
        </is>
      </c>
      <c r="F648" s="8" t="inlineStr">
        <is>
          <t>London, England, UK</t>
        </is>
      </c>
      <c r="G648" s="8" t="n"/>
      <c r="H648" s="14" t="n"/>
      <c r="I648" s="15">
        <f>IF($H648="","",$H648-TODAY())</f>
        <v/>
      </c>
      <c r="J648" s="16" t="inlineStr">
        <is>
          <t>Open posting</t>
        </is>
      </c>
      <c r="K648" s="8" t="inlineStr">
        <is>
          <t>filtered by keyword pre-scan</t>
        </is>
      </c>
      <c r="L648" s="17" t="inlineStr">
        <is>
          <t>new</t>
        </is>
      </c>
      <c r="M648" s="18" t="inlineStr"/>
      <c r="N648" s="7" t="inlineStr">
        <is>
          <t>0bfe0a8aba21d59daee46e352976f028c34f522b</t>
        </is>
      </c>
      <c r="O648" s="14" t="n">
        <v>46183</v>
      </c>
      <c r="P648" s="7" t="inlineStr">
        <is>
          <t>jobspy</t>
        </is>
      </c>
      <c r="Q648" s="8" t="inlineStr">
        <is>
          <t>python, sql</t>
        </is>
      </c>
      <c r="R648" s="8" t="inlineStr">
        <is>
          <t>Junior Python Developer</t>
        </is>
      </c>
      <c r="S648" s="19" t="n"/>
      <c r="T648" s="19" t="n"/>
      <c r="U648" s="14" t="n">
        <v>46191</v>
      </c>
      <c r="V648" s="7" t="inlineStr">
        <is>
          <t>v2-cv-accuracy-13b988b18da8ea7d</t>
        </is>
      </c>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1.63</v>
      </c>
      <c r="C649" s="12" t="inlineStr">
        <is>
          <t>Unspecified</t>
        </is>
      </c>
      <c r="D649" s="8" t="inlineStr">
        <is>
          <t>Full Stack Engineer</t>
        </is>
      </c>
      <c r="E649" s="7" t="inlineStr">
        <is>
          <t>Albany Beck</t>
        </is>
      </c>
      <c r="F649" s="8" t="inlineStr">
        <is>
          <t>Sheffield, England, UK</t>
        </is>
      </c>
      <c r="G649" s="8" t="n"/>
      <c r="H649" s="14" t="n"/>
      <c r="I649" s="15">
        <f>IF($H649="","",$H649-TODAY())</f>
        <v/>
      </c>
      <c r="J649" s="16" t="inlineStr">
        <is>
          <t>Open posting</t>
        </is>
      </c>
      <c r="K649" s="8" t="inlineStr">
        <is>
          <t>filtered by keyword pre-scan</t>
        </is>
      </c>
      <c r="L649" s="17" t="inlineStr">
        <is>
          <t>new</t>
        </is>
      </c>
      <c r="M649" s="18" t="inlineStr"/>
      <c r="N649" s="7" t="inlineStr">
        <is>
          <t>5be02e6918d51662f6c7dabbed1eb33b3c5ab93f</t>
        </is>
      </c>
      <c r="O649" s="14" t="n">
        <v>46189</v>
      </c>
      <c r="P649" s="7" t="inlineStr">
        <is>
          <t>jobspy</t>
        </is>
      </c>
      <c r="Q649" s="8" t="inlineStr">
        <is>
          <t>sql</t>
        </is>
      </c>
      <c r="R649" s="8" t="inlineStr">
        <is>
          <t>Junior Python Developer Sheffield</t>
        </is>
      </c>
      <c r="S649" s="19" t="n"/>
      <c r="T649" s="19" t="n"/>
      <c r="U649" s="14" t="n">
        <v>46191</v>
      </c>
      <c r="V649" s="7" t="inlineStr">
        <is>
          <t>v2-cv-accuracy-13b988b18da8ea7d</t>
        </is>
      </c>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1.63</v>
      </c>
      <c r="C650" s="12" t="inlineStr">
        <is>
          <t>Mid-level</t>
        </is>
      </c>
      <c r="D650" s="8" t="inlineStr">
        <is>
          <t>IAM Backend Engineer (HashiCorp Vault)</t>
        </is>
      </c>
      <c r="E650" s="7" t="inlineStr">
        <is>
          <t>Cipher Talent</t>
        </is>
      </c>
      <c r="F650" s="8" t="inlineStr">
        <is>
          <t>Sheffield, England, UK</t>
        </is>
      </c>
      <c r="G650" s="8" t="n"/>
      <c r="H650" s="14" t="n"/>
      <c r="I650" s="15">
        <f>IF($H650="","",$H650-TODAY())</f>
        <v/>
      </c>
      <c r="J650" s="16" t="inlineStr">
        <is>
          <t>Open posting</t>
        </is>
      </c>
      <c r="K650" s="8" t="inlineStr">
        <is>
          <t>filtered by keyword pre-scan</t>
        </is>
      </c>
      <c r="L650" s="17" t="inlineStr">
        <is>
          <t>new</t>
        </is>
      </c>
      <c r="M650" s="18" t="inlineStr"/>
      <c r="N650" s="7" t="inlineStr">
        <is>
          <t>c29671e615e119ec8b385dad046417d5f1ed3e42</t>
        </is>
      </c>
      <c r="O650" s="14" t="n">
        <v>46184</v>
      </c>
      <c r="P650" s="7" t="inlineStr">
        <is>
          <t>jobspy</t>
        </is>
      </c>
      <c r="Q650" s="8" t="inlineStr">
        <is>
          <t>git</t>
        </is>
      </c>
      <c r="R650" s="8" t="inlineStr">
        <is>
          <t>Junior Python Developer Sheffield</t>
        </is>
      </c>
      <c r="S650" s="19" t="n"/>
      <c r="T650" s="19" t="n"/>
      <c r="U650" s="14" t="n">
        <v>46191</v>
      </c>
      <c r="V650" s="7" t="inlineStr">
        <is>
          <t>v2-cv-accuracy-13b988b18da8ea7d</t>
        </is>
      </c>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1.63</v>
      </c>
      <c r="C651" s="12" t="inlineStr">
        <is>
          <t>Junior</t>
        </is>
      </c>
      <c r="D651" s="8" t="inlineStr">
        <is>
          <t>Back End Developer (Sheffield x3 days)</t>
        </is>
      </c>
      <c r="E651" s="7" t="inlineStr">
        <is>
          <t>Synechron</t>
        </is>
      </c>
      <c r="F651" s="8" t="inlineStr">
        <is>
          <t>Sheffield, England, UK</t>
        </is>
      </c>
      <c r="G651" s="8" t="n"/>
      <c r="H651" s="14" t="n"/>
      <c r="I651" s="15">
        <f>IF($H651="","",$H651-TODAY())</f>
        <v/>
      </c>
      <c r="J651" s="16" t="inlineStr">
        <is>
          <t>Open posting</t>
        </is>
      </c>
      <c r="K651" s="8" t="inlineStr">
        <is>
          <t>filtered by keyword pre-scan</t>
        </is>
      </c>
      <c r="L651" s="17" t="inlineStr">
        <is>
          <t>new</t>
        </is>
      </c>
      <c r="M651" s="18" t="inlineStr"/>
      <c r="N651" s="7" t="inlineStr">
        <is>
          <t>5b0119ba0c760d1fb647041c58c0c6f43c83d4bb</t>
        </is>
      </c>
      <c r="O651" s="14" t="n">
        <v>46168</v>
      </c>
      <c r="P651" s="7" t="inlineStr">
        <is>
          <t>jobspy</t>
        </is>
      </c>
      <c r="Q651" s="8" t="inlineStr">
        <is>
          <t>python, javascript</t>
        </is>
      </c>
      <c r="R651" s="8" t="inlineStr">
        <is>
          <t>Junior Python Developer Sheffield</t>
        </is>
      </c>
      <c r="S651" s="19" t="n"/>
      <c r="T651" s="19" t="n"/>
      <c r="U651" s="14" t="n">
        <v>46191</v>
      </c>
      <c r="V651" s="7" t="inlineStr">
        <is>
          <t>v2-cv-accuracy-13b988b18da8ea7d</t>
        </is>
      </c>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1.63</v>
      </c>
      <c r="C652" s="12" t="inlineStr">
        <is>
          <t>Unspecified</t>
        </is>
      </c>
      <c r="D652" s="8" t="inlineStr">
        <is>
          <t>Python Engineer</t>
        </is>
      </c>
      <c r="E652" s="7" t="inlineStr">
        <is>
          <t>hackajob</t>
        </is>
      </c>
      <c r="F652" s="8" t="inlineStr">
        <is>
          <t>London, England, UK</t>
        </is>
      </c>
      <c r="G652" s="8" t="n"/>
      <c r="H652" s="14" t="n"/>
      <c r="I652" s="15">
        <f>IF($H652="","",$H652-TODAY())</f>
        <v/>
      </c>
      <c r="J652" s="16" t="inlineStr">
        <is>
          <t>Open posting</t>
        </is>
      </c>
      <c r="K652" s="8" t="inlineStr">
        <is>
          <t>filtered by keyword pre-scan</t>
        </is>
      </c>
      <c r="L652" s="17" t="inlineStr">
        <is>
          <t>new</t>
        </is>
      </c>
      <c r="M652" s="18" t="inlineStr"/>
      <c r="N652" s="7" t="inlineStr">
        <is>
          <t>299cd9002ebd338fa940aa8cc6b28a061152253c</t>
        </is>
      </c>
      <c r="O652" s="14" t="n">
        <v>46185</v>
      </c>
      <c r="P652" s="7" t="inlineStr">
        <is>
          <t>jobspy</t>
        </is>
      </c>
      <c r="Q652" s="8" t="inlineStr">
        <is>
          <t>python</t>
        </is>
      </c>
      <c r="R652" s="8" t="inlineStr">
        <is>
          <t>Junior Python Developer remote</t>
        </is>
      </c>
      <c r="S652" s="19" t="n"/>
      <c r="T652" s="19" t="n"/>
      <c r="U652" s="14" t="n">
        <v>46191</v>
      </c>
      <c r="V652" s="7" t="inlineStr">
        <is>
          <t>v2-cv-accuracy-13b988b18da8ea7d</t>
        </is>
      </c>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1.63</v>
      </c>
      <c r="C653" s="12" t="inlineStr">
        <is>
          <t>Unspecified</t>
        </is>
      </c>
      <c r="D653" s="8" t="inlineStr">
        <is>
          <t>Python Engineer</t>
        </is>
      </c>
      <c r="E653" s="7" t="inlineStr">
        <is>
          <t>Lendable</t>
        </is>
      </c>
      <c r="F653" s="8" t="inlineStr">
        <is>
          <t>London, England, UK</t>
        </is>
      </c>
      <c r="G653" s="8" t="n"/>
      <c r="H653" s="14" t="n"/>
      <c r="I653" s="15">
        <f>IF($H653="","",$H653-TODAY())</f>
        <v/>
      </c>
      <c r="J653" s="16" t="inlineStr">
        <is>
          <t>Open posting</t>
        </is>
      </c>
      <c r="K653" s="8" t="inlineStr">
        <is>
          <t>filtered by keyword pre-scan</t>
        </is>
      </c>
      <c r="L653" s="17" t="inlineStr">
        <is>
          <t>new</t>
        </is>
      </c>
      <c r="M653" s="18" t="inlineStr"/>
      <c r="N653" s="7" t="inlineStr">
        <is>
          <t>ccf5c40bf30815668e95849d0c46083bd0639098</t>
        </is>
      </c>
      <c r="O653" s="14" t="n">
        <v>46169</v>
      </c>
      <c r="P653" s="7" t="inlineStr">
        <is>
          <t>jobspy</t>
        </is>
      </c>
      <c r="Q653" s="8" t="inlineStr">
        <is>
          <t>python</t>
        </is>
      </c>
      <c r="R653" s="8" t="inlineStr">
        <is>
          <t>Junior Python Developer remote</t>
        </is>
      </c>
      <c r="S653" s="19" t="n"/>
      <c r="T653" s="19" t="n"/>
      <c r="U653" s="14" t="n">
        <v>46191</v>
      </c>
      <c r="V653" s="7" t="inlineStr">
        <is>
          <t>v2-cv-accuracy-13b988b18da8ea7d</t>
        </is>
      </c>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1.63</v>
      </c>
      <c r="C654" s="12" t="inlineStr">
        <is>
          <t>Unspecified</t>
        </is>
      </c>
      <c r="D654" s="8" t="inlineStr">
        <is>
          <t>Python Developer</t>
        </is>
      </c>
      <c r="E654" s="7" t="inlineStr">
        <is>
          <t>Halian | Managed Services, Recruitment Agency &amp; Contract Staffing</t>
        </is>
      </c>
      <c r="F654" s="8" t="inlineStr">
        <is>
          <t>London Area, United Kingdom</t>
        </is>
      </c>
      <c r="G654" s="8" t="n"/>
      <c r="H654" s="14" t="n"/>
      <c r="I654" s="15">
        <f>IF($H654="","",$H654-TODAY())</f>
        <v/>
      </c>
      <c r="J654" s="16" t="inlineStr">
        <is>
          <t>Open posting</t>
        </is>
      </c>
      <c r="K654" s="8" t="inlineStr">
        <is>
          <t>filtered by keyword pre-scan</t>
        </is>
      </c>
      <c r="L654" s="17" t="inlineStr">
        <is>
          <t>new</t>
        </is>
      </c>
      <c r="M654" s="18" t="inlineStr"/>
      <c r="N654" s="7" t="inlineStr">
        <is>
          <t>af22b2e4e2fd8b5f8876251f79b170f5b2c2aa00</t>
        </is>
      </c>
      <c r="O654" s="14" t="n">
        <v>46163</v>
      </c>
      <c r="P654" s="7" t="inlineStr">
        <is>
          <t>jobspy</t>
        </is>
      </c>
      <c r="Q654" s="8" t="inlineStr">
        <is>
          <t>python, rest apis</t>
        </is>
      </c>
      <c r="R654" s="8" t="inlineStr">
        <is>
          <t>Junior Python Developer remote</t>
        </is>
      </c>
      <c r="S654" s="19" t="n"/>
      <c r="T654" s="19" t="n"/>
      <c r="U654" s="14" t="n">
        <v>46191</v>
      </c>
      <c r="V654" s="7" t="inlineStr">
        <is>
          <t>v2-cv-accuracy-13b988b18da8ea7d</t>
        </is>
      </c>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1.63</v>
      </c>
      <c r="C655" s="12" t="inlineStr">
        <is>
          <t>Senior/Lead</t>
        </is>
      </c>
      <c r="D655" s="8" t="inlineStr">
        <is>
          <t>Software Developer - Clearing Technology</t>
        </is>
      </c>
      <c r="E655" s="7" t="inlineStr">
        <is>
          <t>MAREX</t>
        </is>
      </c>
      <c r="F655" s="8" t="inlineStr">
        <is>
          <t>London, ENG, GB</t>
        </is>
      </c>
      <c r="G655" s="8" t="n"/>
      <c r="H655" s="14" t="n"/>
      <c r="I655" s="15">
        <f>IF($H655="","",$H655-TODAY())</f>
        <v/>
      </c>
      <c r="J655" s="16" t="inlineStr">
        <is>
          <t>Open posting</t>
        </is>
      </c>
      <c r="K655" s="8" t="inlineStr">
        <is>
          <t>filtered by keyword pre-scan</t>
        </is>
      </c>
      <c r="L655" s="17" t="inlineStr">
        <is>
          <t>new</t>
        </is>
      </c>
      <c r="M655" s="18" t="inlineStr"/>
      <c r="N655" s="7" t="inlineStr">
        <is>
          <t>3850d2458e652224eb20eb4f08507863f5f7e443</t>
        </is>
      </c>
      <c r="O655" s="14" t="n">
        <v>46174</v>
      </c>
      <c r="P655" s="7" t="inlineStr">
        <is>
          <t>jobspy</t>
        </is>
      </c>
      <c r="Q655" s="8" t="inlineStr">
        <is>
          <t>git, software development</t>
        </is>
      </c>
      <c r="R655" s="8" t="inlineStr">
        <is>
          <t>Full Stack Developer</t>
        </is>
      </c>
      <c r="S655" s="19" t="n"/>
      <c r="T655" s="19" t="n"/>
      <c r="U655" s="14" t="n">
        <v>46191</v>
      </c>
      <c r="V655" s="7" t="inlineStr">
        <is>
          <t>v2-cv-accuracy-13b988b18da8ea7d</t>
        </is>
      </c>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1.63</v>
      </c>
      <c r="C656" s="12" t="inlineStr">
        <is>
          <t>Mid-level</t>
        </is>
      </c>
      <c r="D656" s="8" t="inlineStr">
        <is>
          <t>Frontend Developer</t>
        </is>
      </c>
      <c r="E656" s="7" t="inlineStr">
        <is>
          <t>Acorn Group</t>
        </is>
      </c>
      <c r="F656" s="8" t="inlineStr">
        <is>
          <t>Liverpool, England, UK</t>
        </is>
      </c>
      <c r="G656" s="8" t="n"/>
      <c r="H656" s="14" t="n"/>
      <c r="I656" s="15">
        <f>IF($H656="","",$H656-TODAY())</f>
        <v/>
      </c>
      <c r="J656" s="16" t="inlineStr">
        <is>
          <t>Open posting</t>
        </is>
      </c>
      <c r="K656" s="8" t="inlineStr">
        <is>
          <t>filtered by keyword pre-scan</t>
        </is>
      </c>
      <c r="L656" s="17" t="inlineStr">
        <is>
          <t>new</t>
        </is>
      </c>
      <c r="M656" s="18" t="inlineStr"/>
      <c r="N656" s="7" t="inlineStr">
        <is>
          <t>171cdb9143883077ce849a7b2d9ed3916d394d36</t>
        </is>
      </c>
      <c r="O656" s="14" t="n">
        <v>46183</v>
      </c>
      <c r="P656" s="7" t="inlineStr">
        <is>
          <t>jobspy</t>
        </is>
      </c>
      <c r="Q656" s="8" t="inlineStr">
        <is>
          <t>git</t>
        </is>
      </c>
      <c r="R656" s="8" t="inlineStr">
        <is>
          <t>graduate Full Stack Developer</t>
        </is>
      </c>
      <c r="S656" s="19" t="n"/>
      <c r="T656" s="19" t="n"/>
      <c r="U656" s="14" t="n">
        <v>46191</v>
      </c>
      <c r="V656" s="7" t="inlineStr">
        <is>
          <t>v2-cv-accuracy-13b988b18da8ea7d</t>
        </is>
      </c>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1.63</v>
      </c>
      <c r="C657" s="12" t="inlineStr">
        <is>
          <t>Unspecified</t>
        </is>
      </c>
      <c r="D657" s="8" t="inlineStr">
        <is>
          <t>Software Developer, Offers</t>
        </is>
      </c>
      <c r="E657" s="7" t="inlineStr">
        <is>
          <t>bet365</t>
        </is>
      </c>
      <c r="F657" s="8" t="inlineStr">
        <is>
          <t>Manchester, England, UK</t>
        </is>
      </c>
      <c r="G657" s="8" t="n"/>
      <c r="H657" s="14" t="n"/>
      <c r="I657" s="15">
        <f>IF($H657="","",$H657-TODAY())</f>
        <v/>
      </c>
      <c r="J657" s="16" t="inlineStr">
        <is>
          <t>Open posting</t>
        </is>
      </c>
      <c r="K657" s="8" t="inlineStr">
        <is>
          <t>filtered by keyword pre-scan</t>
        </is>
      </c>
      <c r="L657" s="17" t="inlineStr">
        <is>
          <t>new</t>
        </is>
      </c>
      <c r="M657" s="18" t="inlineStr"/>
      <c r="N657" s="7" t="inlineStr">
        <is>
          <t>ea75d4c18cd7a7ee72639051f6db36b40b5af3ab</t>
        </is>
      </c>
      <c r="O657" s="14" t="n">
        <v>46182</v>
      </c>
      <c r="P657" s="7" t="inlineStr">
        <is>
          <t>jobspy</t>
        </is>
      </c>
      <c r="Q657" s="8" t="inlineStr">
        <is>
          <t>sql, software development</t>
        </is>
      </c>
      <c r="R657" s="8" t="inlineStr">
        <is>
          <t>graduate Full Stack Developer</t>
        </is>
      </c>
      <c r="S657" s="19" t="n"/>
      <c r="T657" s="19" t="n"/>
      <c r="U657" s="14" t="n">
        <v>46191</v>
      </c>
      <c r="V657" s="7" t="inlineStr">
        <is>
          <t>v2-cv-accuracy-13b988b18da8ea7d</t>
        </is>
      </c>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1.63</v>
      </c>
      <c r="C658" s="12" t="inlineStr">
        <is>
          <t>Graduate/Entry</t>
        </is>
      </c>
      <c r="D658" s="8" t="inlineStr">
        <is>
          <t>Graduate Programme 2027: Software Engineer (Java)</t>
        </is>
      </c>
      <c r="E658" s="7" t="inlineStr">
        <is>
          <t>Revolut</t>
        </is>
      </c>
      <c r="F658" s="8" t="inlineStr"/>
      <c r="G658" s="8" t="n"/>
      <c r="H658" s="14" t="n"/>
      <c r="I658" s="15">
        <f>IF($H658="","",$H658-TODAY())</f>
        <v/>
      </c>
      <c r="J658" s="16" t="inlineStr">
        <is>
          <t>Open posting</t>
        </is>
      </c>
      <c r="K658" s="8" t="inlineStr">
        <is>
          <t>filtered by keyword pre-scan</t>
        </is>
      </c>
      <c r="L658" s="17" t="inlineStr">
        <is>
          <t>new</t>
        </is>
      </c>
      <c r="M658" s="18" t="inlineStr"/>
      <c r="N658" s="7" t="inlineStr">
        <is>
          <t>37b6e14e832c07d3dad95bdaab5847f96d24b4ec</t>
        </is>
      </c>
      <c r="O658" s="14" t="n"/>
      <c r="P658" s="7" t="inlineStr">
        <is>
          <t>jobspy</t>
        </is>
      </c>
      <c r="Q658" s="8" t="inlineStr">
        <is>
          <t>sql</t>
        </is>
      </c>
      <c r="R658" s="8" t="inlineStr">
        <is>
          <t>Graduate Software Developer remote</t>
        </is>
      </c>
      <c r="S658" s="19" t="n"/>
      <c r="T658" s="19" t="n"/>
      <c r="U658" s="14" t="n">
        <v>46191</v>
      </c>
      <c r="V658" s="7" t="inlineStr">
        <is>
          <t>v2-cv-accuracy-13b988b18da8ea7d</t>
        </is>
      </c>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1.63</v>
      </c>
      <c r="C659" s="12" t="inlineStr">
        <is>
          <t>Unspecified</t>
        </is>
      </c>
      <c r="D659" s="8" t="inlineStr">
        <is>
          <t>Python工程师-北京（25届校招）</t>
        </is>
      </c>
      <c r="E659" s="7" t="inlineStr">
        <is>
          <t>卓望数码技术(深圳)有限公司</t>
        </is>
      </c>
      <c r="F659" s="8" t="inlineStr">
        <is>
          <t>Beijing, Beijing, China</t>
        </is>
      </c>
      <c r="G659" s="8" t="n"/>
      <c r="H659" s="14" t="n"/>
      <c r="I659" s="15">
        <f>IF($H659="","",$H659-TODAY())</f>
        <v/>
      </c>
      <c r="J659" s="16" t="inlineStr">
        <is>
          <t>Open posting</t>
        </is>
      </c>
      <c r="K659" s="8" t="inlineStr">
        <is>
          <t>filtered by keyword pre-scan</t>
        </is>
      </c>
      <c r="L659" s="17" t="inlineStr">
        <is>
          <t>new</t>
        </is>
      </c>
      <c r="M659" s="18" t="inlineStr"/>
      <c r="N659" s="7" t="inlineStr">
        <is>
          <t>2fb2466c9909dd69aba3a18966711f6ada42fc44</t>
        </is>
      </c>
      <c r="O659" s="14" t="n">
        <v>46171</v>
      </c>
      <c r="P659" s="7" t="inlineStr">
        <is>
          <t>jobspy</t>
        </is>
      </c>
      <c r="Q659" s="8" t="inlineStr">
        <is>
          <t>python</t>
        </is>
      </c>
      <c r="R659" s="8" t="inlineStr">
        <is>
          <t>junior/graduate Junior Python Developer</t>
        </is>
      </c>
      <c r="S659" s="19" t="n"/>
      <c r="T659" s="19" t="n"/>
      <c r="U659" s="14" t="n">
        <v>46191</v>
      </c>
      <c r="V659" s="7" t="inlineStr">
        <is>
          <t>v2-cv-accuracy-13b988b18da8ea7d</t>
        </is>
      </c>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1.63</v>
      </c>
      <c r="C660" s="12" t="inlineStr">
        <is>
          <t>Junior</t>
        </is>
      </c>
      <c r="D660" s="8" t="inlineStr">
        <is>
          <t>Junior Full Stack Developer</t>
        </is>
      </c>
      <c r="E660" s="7" t="inlineStr">
        <is>
          <t>Play Sports Network</t>
        </is>
      </c>
      <c r="F660" s="8" t="inlineStr">
        <is>
          <t>Bath, ENG, GB</t>
        </is>
      </c>
      <c r="G660" s="8" t="n"/>
      <c r="H660" s="14" t="n"/>
      <c r="I660" s="15">
        <f>IF($H660="","",$H660-TODAY())</f>
        <v/>
      </c>
      <c r="J660" s="16" t="inlineStr">
        <is>
          <t>Open posting</t>
        </is>
      </c>
      <c r="K660" s="8" t="inlineStr">
        <is>
          <t>filtered by keyword pre-scan</t>
        </is>
      </c>
      <c r="L660" s="17" t="inlineStr">
        <is>
          <t>new</t>
        </is>
      </c>
      <c r="M660" s="18" t="inlineStr"/>
      <c r="N660" s="7" t="inlineStr">
        <is>
          <t>aad42fbb54778868e54c4ede570734e8ef8c4818</t>
        </is>
      </c>
      <c r="O660" s="14" t="n">
        <v>46178</v>
      </c>
      <c r="P660" s="7" t="inlineStr">
        <is>
          <t>jobspy</t>
        </is>
      </c>
      <c r="Q660" s="8" t="inlineStr">
        <is>
          <t>sql, javascript</t>
        </is>
      </c>
      <c r="R660" s="8" t="inlineStr">
        <is>
          <t>junior Full Stack Developer</t>
        </is>
      </c>
      <c r="S660" s="19" t="n"/>
      <c r="T660" s="19" t="n"/>
      <c r="U660" s="14" t="n">
        <v>46191</v>
      </c>
      <c r="V660" s="7" t="inlineStr">
        <is>
          <t>v2-cv-accuracy-13b988b18da8ea7d</t>
        </is>
      </c>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1.63</v>
      </c>
      <c r="C661" s="12" t="inlineStr">
        <is>
          <t>Junior</t>
        </is>
      </c>
      <c r="D661" s="8" t="inlineStr">
        <is>
          <t>Python Developer</t>
        </is>
      </c>
      <c r="E661" s="7" t="inlineStr">
        <is>
          <t>Robert Walters</t>
        </is>
      </c>
      <c r="F661" s="8" t="inlineStr">
        <is>
          <t>Glasgow, Scotland, UK</t>
        </is>
      </c>
      <c r="G661" s="8" t="n"/>
      <c r="H661" s="14" t="n"/>
      <c r="I661" s="15">
        <f>IF($H661="","",$H661-TODAY())</f>
        <v/>
      </c>
      <c r="J661" s="16" t="inlineStr">
        <is>
          <t>Open posting</t>
        </is>
      </c>
      <c r="K661" s="8" t="inlineStr">
        <is>
          <t>filtered by keyword pre-scan</t>
        </is>
      </c>
      <c r="L661" s="17" t="inlineStr">
        <is>
          <t>new</t>
        </is>
      </c>
      <c r="M661" s="18" t="inlineStr"/>
      <c r="N661" s="7" t="inlineStr">
        <is>
          <t>fc56b165005276bc3ff6c7127010cbcd39b6dad5</t>
        </is>
      </c>
      <c r="O661" s="14" t="n">
        <v>46184</v>
      </c>
      <c r="P661" s="7" t="inlineStr">
        <is>
          <t>jobspy</t>
        </is>
      </c>
      <c r="Q661" s="8" t="inlineStr">
        <is>
          <t>python, git</t>
        </is>
      </c>
      <c r="R661" s="8" t="inlineStr">
        <is>
          <t>Junior Python Developer</t>
        </is>
      </c>
      <c r="S661" s="19" t="n"/>
      <c r="T661" s="19" t="n"/>
      <c r="U661" s="14" t="n">
        <v>46191</v>
      </c>
      <c r="V661" s="7" t="inlineStr">
        <is>
          <t>v2-cv-accuracy-13b988b18da8ea7d</t>
        </is>
      </c>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1.61</v>
      </c>
      <c r="C662" s="12" t="inlineStr">
        <is>
          <t>Graduate/Entry</t>
        </is>
      </c>
      <c r="D662" s="8" t="inlineStr">
        <is>
          <t>2026 Graduate IT Infrastructure Engineer</t>
        </is>
      </c>
      <c r="E662" s="7" t="inlineStr">
        <is>
          <t>Graphcore</t>
        </is>
      </c>
      <c r="F662" s="8" t="inlineStr">
        <is>
          <t>Bristol, UK</t>
        </is>
      </c>
      <c r="G662" s="8" t="n"/>
      <c r="H662" s="14" t="n"/>
      <c r="I662" s="15">
        <f>IF($H662="","",$H662-TODAY())</f>
        <v/>
      </c>
      <c r="J662" s="16" t="inlineStr">
        <is>
          <t>Open posting</t>
        </is>
      </c>
      <c r="K662" s="8" t="inlineStr">
        <is>
          <t>filtered by keyword pre-scan</t>
        </is>
      </c>
      <c r="L662" s="17" t="inlineStr">
        <is>
          <t>new</t>
        </is>
      </c>
      <c r="M662" s="18" t="inlineStr"/>
      <c r="N662" s="7" t="inlineStr">
        <is>
          <t>d4836a66541d6c2892124f2f5c083e09ca7a9f80</t>
        </is>
      </c>
      <c r="O662" s="14" t="n">
        <v>46197</v>
      </c>
      <c r="P662" s="7" t="inlineStr">
        <is>
          <t>greenhouse:graphcore</t>
        </is>
      </c>
      <c r="Q662" s="8" t="inlineStr">
        <is>
          <t>python, docker, kubernetes, c</t>
        </is>
      </c>
      <c r="R662" s="8" t="n"/>
      <c r="S662" s="19" t="n"/>
      <c r="T662" s="19" t="n"/>
      <c r="U662" s="14" t="n">
        <v>46197</v>
      </c>
      <c r="V662" s="7" t="inlineStr">
        <is>
          <t>v2-cv-accuracy-13b988b18da8ea7d</t>
        </is>
      </c>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1.61</v>
      </c>
      <c r="C663" s="12" t="inlineStr">
        <is>
          <t>Graduate/Entry</t>
        </is>
      </c>
      <c r="D663" s="8" t="inlineStr">
        <is>
          <t>2026 Graduate IT Infrastructure Engineer</t>
        </is>
      </c>
      <c r="E663" s="7" t="inlineStr">
        <is>
          <t>Graphcore</t>
        </is>
      </c>
      <c r="F663" s="8" t="inlineStr">
        <is>
          <t>Bristol, ENG, GB</t>
        </is>
      </c>
      <c r="G663" s="8" t="n"/>
      <c r="H663" s="14" t="n"/>
      <c r="I663" s="15">
        <f>IF($H663="","",$H663-TODAY())</f>
        <v/>
      </c>
      <c r="J663" s="16" t="inlineStr">
        <is>
          <t>Open posting</t>
        </is>
      </c>
      <c r="K663" s="8" t="inlineStr">
        <is>
          <t>filtered by keyword pre-scan</t>
        </is>
      </c>
      <c r="L663" s="17" t="inlineStr">
        <is>
          <t>new</t>
        </is>
      </c>
      <c r="M663" s="18" t="inlineStr"/>
      <c r="N663" s="7" t="inlineStr">
        <is>
          <t>5f99f06de3062d8767a566e1fa2361cb1ac59fdd</t>
        </is>
      </c>
      <c r="O663" s="14" t="n">
        <v>46197</v>
      </c>
      <c r="P663" s="7" t="inlineStr">
        <is>
          <t>jobspy</t>
        </is>
      </c>
      <c r="Q663" s="8" t="inlineStr">
        <is>
          <t>python, docker, kubernetes, c</t>
        </is>
      </c>
      <c r="R663" s="8" t="inlineStr">
        <is>
          <t>Graduate Software Engineer Python Docker Kubernetes</t>
        </is>
      </c>
      <c r="S663" s="19" t="n"/>
      <c r="T663" s="19" t="n"/>
      <c r="U663" s="14" t="n">
        <v>46197</v>
      </c>
      <c r="V663" s="7" t="inlineStr">
        <is>
          <t>v2-cv-accuracy-13b988b18da8ea7d</t>
        </is>
      </c>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1.61</v>
      </c>
      <c r="C664" s="12" t="inlineStr">
        <is>
          <t>Unspecified</t>
        </is>
      </c>
      <c r="D664" s="8" t="inlineStr">
        <is>
          <t>Network IoT Engineer</t>
        </is>
      </c>
      <c r="E664" s="7" t="inlineStr">
        <is>
          <t>Bauer Media Outdoor UK</t>
        </is>
      </c>
      <c r="F664" s="8" t="inlineStr">
        <is>
          <t>London Area, United Kingdom</t>
        </is>
      </c>
      <c r="G664" s="8" t="n"/>
      <c r="H664" s="14" t="n"/>
      <c r="I664" s="15">
        <f>IF($H664="","",$H664-TODAY())</f>
        <v/>
      </c>
      <c r="J664" s="16" t="inlineStr">
        <is>
          <t>Open posting</t>
        </is>
      </c>
      <c r="K664" s="8" t="inlineStr">
        <is>
          <t>filtered by keyword pre-scan</t>
        </is>
      </c>
      <c r="L664" s="17" t="inlineStr">
        <is>
          <t>new</t>
        </is>
      </c>
      <c r="M664" s="18" t="inlineStr"/>
      <c r="N664" s="7" t="inlineStr">
        <is>
          <t>83f2368fc4b6ca5ac9db089a76fdb3cbd80bf0e5</t>
        </is>
      </c>
      <c r="O664" s="14" t="n"/>
      <c r="P664" s="7" t="inlineStr">
        <is>
          <t>jobspy</t>
        </is>
      </c>
      <c r="Q664" s="8" t="inlineStr">
        <is>
          <t>python, lorawan, git, c</t>
        </is>
      </c>
      <c r="R664" s="8" t="inlineStr">
        <is>
          <t>IoT Engineer LoRaWAN Python graduate</t>
        </is>
      </c>
      <c r="S664" s="19" t="n"/>
      <c r="T664" s="19" t="n"/>
      <c r="U664" s="14" t="n">
        <v>46196</v>
      </c>
      <c r="V664" s="7" t="inlineStr">
        <is>
          <t>v2-cv-accuracy-13b988b18da8ea7d</t>
        </is>
      </c>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1.61</v>
      </c>
      <c r="C665" s="12" t="inlineStr">
        <is>
          <t>Mid-level</t>
        </is>
      </c>
      <c r="D665" s="8" t="inlineStr">
        <is>
          <t>Full Stack Engineer</t>
        </is>
      </c>
      <c r="E665" s="7" t="inlineStr">
        <is>
          <t>Omnis Partners</t>
        </is>
      </c>
      <c r="F665" s="8" t="inlineStr">
        <is>
          <t>London Area, United Kingdom</t>
        </is>
      </c>
      <c r="G665" s="8" t="n"/>
      <c r="H665" s="14" t="n"/>
      <c r="I665" s="15">
        <f>IF($H665="","",$H665-TODAY())</f>
        <v/>
      </c>
      <c r="J665" s="16" t="inlineStr">
        <is>
          <t>Open posting</t>
        </is>
      </c>
      <c r="K665" s="8" t="inlineStr">
        <is>
          <t>filtered by keyword pre-scan</t>
        </is>
      </c>
      <c r="L665" s="17" t="inlineStr">
        <is>
          <t>new</t>
        </is>
      </c>
      <c r="M665" s="18" t="inlineStr"/>
      <c r="N665" s="7" t="inlineStr">
        <is>
          <t>7c03b414f665217340d60f100902e4410db8682c</t>
        </is>
      </c>
      <c r="O665" s="14" t="n">
        <v>46191</v>
      </c>
      <c r="P665" s="7" t="inlineStr">
        <is>
          <t>jobspy</t>
        </is>
      </c>
      <c r="Q665" s="8" t="inlineStr">
        <is>
          <t>python, docker, kubernetes, c</t>
        </is>
      </c>
      <c r="R665" s="8" t="inlineStr">
        <is>
          <t>Junior Python Developer backend Docker Kubernetes</t>
        </is>
      </c>
      <c r="S665" s="19" t="n"/>
      <c r="T665" s="19" t="n"/>
      <c r="U665" s="14" t="n">
        <v>46196</v>
      </c>
      <c r="V665" s="7" t="inlineStr">
        <is>
          <t>v2-cv-accuracy-13b988b18da8ea7d</t>
        </is>
      </c>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1.61</v>
      </c>
      <c r="C666" s="12" t="inlineStr">
        <is>
          <t>Mid-level</t>
        </is>
      </c>
      <c r="D666" s="8" t="inlineStr">
        <is>
          <t>Backend Engineer</t>
        </is>
      </c>
      <c r="E666" s="7" t="inlineStr">
        <is>
          <t>Explore Group</t>
        </is>
      </c>
      <c r="F666" s="8" t="inlineStr">
        <is>
          <t>London Area, United Kingdom</t>
        </is>
      </c>
      <c r="G666" s="8" t="n"/>
      <c r="H666" s="14" t="n"/>
      <c r="I666" s="15">
        <f>IF($H666="","",$H666-TODAY())</f>
        <v/>
      </c>
      <c r="J666" s="16" t="inlineStr">
        <is>
          <t>Open posting</t>
        </is>
      </c>
      <c r="K666" s="8" t="inlineStr">
        <is>
          <t>filtered by keyword pre-scan</t>
        </is>
      </c>
      <c r="L666" s="17" t="inlineStr">
        <is>
          <t>new</t>
        </is>
      </c>
      <c r="M666" s="18" t="inlineStr"/>
      <c r="N666" s="7" t="inlineStr">
        <is>
          <t>84ad833a2b06736de919d89a26fce91e2fffc315</t>
        </is>
      </c>
      <c r="O666" s="14" t="n">
        <v>46184</v>
      </c>
      <c r="P666" s="7" t="inlineStr">
        <is>
          <t>jobspy</t>
        </is>
      </c>
      <c r="Q666" s="8" t="inlineStr">
        <is>
          <t>python, docker, kubernetes, c</t>
        </is>
      </c>
      <c r="R666" s="8" t="inlineStr">
        <is>
          <t>Junior Python Developer backend Docker Kubernetes</t>
        </is>
      </c>
      <c r="S666" s="19" t="n"/>
      <c r="T666" s="19" t="n"/>
      <c r="U666" s="14" t="n">
        <v>46196</v>
      </c>
      <c r="V666" s="7" t="inlineStr">
        <is>
          <t>v2-cv-accuracy-13b988b18da8ea7d</t>
        </is>
      </c>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1.61</v>
      </c>
      <c r="C667" s="12" t="inlineStr">
        <is>
          <t>Unspecified</t>
        </is>
      </c>
      <c r="D667" s="8" t="inlineStr">
        <is>
          <t>Software Engineer | Remote</t>
        </is>
      </c>
      <c r="E667" s="7" t="inlineStr">
        <is>
          <t>Crossing Hurdles</t>
        </is>
      </c>
      <c r="F667" s="8" t="inlineStr"/>
      <c r="G667" s="8" t="n"/>
      <c r="H667" s="14" t="n"/>
      <c r="I667" s="15">
        <f>IF($H667="","",$H667-TODAY())</f>
        <v/>
      </c>
      <c r="J667" s="16" t="inlineStr">
        <is>
          <t>Open posting</t>
        </is>
      </c>
      <c r="K667" s="8" t="inlineStr">
        <is>
          <t>filtered by keyword pre-scan</t>
        </is>
      </c>
      <c r="L667" s="17" t="inlineStr">
        <is>
          <t>new</t>
        </is>
      </c>
      <c r="M667" s="18" t="inlineStr"/>
      <c r="N667" s="7" t="inlineStr">
        <is>
          <t>f9c80b9ae3993149268a76feaf90bc49d545758a</t>
        </is>
      </c>
      <c r="O667" s="14" t="n">
        <v>46182</v>
      </c>
      <c r="P667" s="7" t="inlineStr">
        <is>
          <t>jobspy</t>
        </is>
      </c>
      <c r="Q667" s="8" t="inlineStr">
        <is>
          <t>python, git, c, javascript</t>
        </is>
      </c>
      <c r="R667" s="8" t="inlineStr">
        <is>
          <t>Graduate Software Engineer Python JavaScript remote</t>
        </is>
      </c>
      <c r="S667" s="19" t="n"/>
      <c r="T667" s="19" t="n"/>
      <c r="U667" s="14" t="n">
        <v>46196</v>
      </c>
      <c r="V667" s="7" t="inlineStr">
        <is>
          <t>v2-cv-accuracy-13b988b18da8ea7d</t>
        </is>
      </c>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1.61</v>
      </c>
      <c r="C668" s="12" t="inlineStr">
        <is>
          <t>Mid-level</t>
        </is>
      </c>
      <c r="D668" s="8" t="inlineStr">
        <is>
          <t>OpenCPI Engineer</t>
        </is>
      </c>
      <c r="E668" s="7" t="inlineStr">
        <is>
          <t>Lockheed Martin</t>
        </is>
      </c>
      <c r="F668" s="8" t="inlineStr">
        <is>
          <t>Gloucestershire, England, UK</t>
        </is>
      </c>
      <c r="G668" s="8" t="n"/>
      <c r="H668" s="14" t="n"/>
      <c r="I668" s="15">
        <f>IF($H668="","",$H668-TODAY())</f>
        <v/>
      </c>
      <c r="J668" s="16" t="inlineStr">
        <is>
          <t>Open posting</t>
        </is>
      </c>
      <c r="K668" s="8" t="inlineStr">
        <is>
          <t>filtered by keyword pre-scan</t>
        </is>
      </c>
      <c r="L668" s="17" t="inlineStr">
        <is>
          <t>new</t>
        </is>
      </c>
      <c r="M668" s="18" t="inlineStr"/>
      <c r="N668" s="7" t="inlineStr">
        <is>
          <t>7e8e96c331f43e2ac55a96779d2e509fb78aa262</t>
        </is>
      </c>
      <c r="O668" s="14" t="n">
        <v>46175</v>
      </c>
      <c r="P668" s="7" t="inlineStr">
        <is>
          <t>jobspy</t>
        </is>
      </c>
      <c r="Q668" s="8" t="inlineStr">
        <is>
          <t>python, git, c, dsp</t>
        </is>
      </c>
      <c r="R668" s="8" t="inlineStr">
        <is>
          <t>Graduate Signal Processing Engineer DSP Python</t>
        </is>
      </c>
      <c r="S668" s="19" t="n"/>
      <c r="T668" s="19" t="n"/>
      <c r="U668" s="14" t="n">
        <v>46196</v>
      </c>
      <c r="V668" s="7" t="inlineStr">
        <is>
          <t>v2-cv-accuracy-13b988b18da8ea7d</t>
        </is>
      </c>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1.61</v>
      </c>
      <c r="C669" s="12" t="inlineStr">
        <is>
          <t>Unspecified</t>
        </is>
      </c>
      <c r="D669" s="8" t="inlineStr">
        <is>
          <t>RF Engineer</t>
        </is>
      </c>
      <c r="E669" s="7" t="inlineStr">
        <is>
          <t>Lockheed Martin</t>
        </is>
      </c>
      <c r="F669" s="8" t="inlineStr">
        <is>
          <t>Gloucester, England, UK</t>
        </is>
      </c>
      <c r="G669" s="8" t="n"/>
      <c r="H669" s="14" t="n"/>
      <c r="I669" s="15">
        <f>IF($H669="","",$H669-TODAY())</f>
        <v/>
      </c>
      <c r="J669" s="16" t="inlineStr">
        <is>
          <t>Open posting</t>
        </is>
      </c>
      <c r="K669" s="8" t="inlineStr">
        <is>
          <t>filtered by keyword pre-scan</t>
        </is>
      </c>
      <c r="L669" s="17" t="inlineStr">
        <is>
          <t>new</t>
        </is>
      </c>
      <c r="M669" s="18" t="inlineStr"/>
      <c r="N669" s="7" t="inlineStr">
        <is>
          <t>2f9dc8232d5c57d1bc154d8f8af2ae4cab3ea04a</t>
        </is>
      </c>
      <c r="O669" s="14" t="n">
        <v>46175</v>
      </c>
      <c r="P669" s="7" t="inlineStr">
        <is>
          <t>jobspy</t>
        </is>
      </c>
      <c r="Q669" s="8" t="inlineStr">
        <is>
          <t>python, git, c, embedded systems</t>
        </is>
      </c>
      <c r="R669" s="8" t="inlineStr">
        <is>
          <t>PhD Studentship IoT wireless communications</t>
        </is>
      </c>
      <c r="S669" s="19" t="n"/>
      <c r="T669" s="19" t="n"/>
      <c r="U669" s="14" t="n">
        <v>46196</v>
      </c>
      <c r="V669" s="7" t="inlineStr">
        <is>
          <t>v2-cv-accuracy-13b988b18da8ea7d</t>
        </is>
      </c>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1.61</v>
      </c>
      <c r="C670" s="12" t="inlineStr">
        <is>
          <t>Unspecified</t>
        </is>
      </c>
      <c r="D670" s="8" t="inlineStr">
        <is>
          <t>Back-end Engineer</t>
        </is>
      </c>
      <c r="E670" s="7" t="inlineStr">
        <is>
          <t>Aslan</t>
        </is>
      </c>
      <c r="F670" s="8" t="inlineStr">
        <is>
          <t>London Area, United Kingdom</t>
        </is>
      </c>
      <c r="G670" s="8" t="n"/>
      <c r="H670" s="14" t="n"/>
      <c r="I670" s="15">
        <f>IF($H670="","",$H670-TODAY())</f>
        <v/>
      </c>
      <c r="J670" s="16" t="inlineStr">
        <is>
          <t>Open posting</t>
        </is>
      </c>
      <c r="K670" s="8" t="inlineStr">
        <is>
          <t>filtered by keyword pre-scan</t>
        </is>
      </c>
      <c r="L670" s="17" t="inlineStr">
        <is>
          <t>new</t>
        </is>
      </c>
      <c r="M670" s="18" t="inlineStr"/>
      <c r="N670" s="7" t="inlineStr">
        <is>
          <t>f41b9f122334fe11532c0fb128e67d26aab2bb26</t>
        </is>
      </c>
      <c r="O670" s="14" t="n">
        <v>46195</v>
      </c>
      <c r="P670" s="7" t="inlineStr">
        <is>
          <t>jobspy</t>
        </is>
      </c>
      <c r="Q670" s="8" t="inlineStr">
        <is>
          <t>sql, docker, git, c</t>
        </is>
      </c>
      <c r="R670" s="8" t="inlineStr">
        <is>
          <t>Junior Python Developer backend SQL Docker</t>
        </is>
      </c>
      <c r="S670" s="19" t="n"/>
      <c r="T670" s="19" t="n"/>
      <c r="U670" s="14" t="n">
        <v>46196</v>
      </c>
      <c r="V670" s="7" t="inlineStr">
        <is>
          <t>v2-cv-accuracy-13b988b18da8ea7d</t>
        </is>
      </c>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1.61</v>
      </c>
      <c r="C671" s="12" t="inlineStr">
        <is>
          <t>Unspecified</t>
        </is>
      </c>
      <c r="D671" s="8" t="inlineStr">
        <is>
          <t>DevOps Specialist</t>
        </is>
      </c>
      <c r="E671" s="7" t="inlineStr">
        <is>
          <t>Infinity Quest</t>
        </is>
      </c>
      <c r="F671" s="8" t="inlineStr">
        <is>
          <t>Manchester Area, United Kingdom</t>
        </is>
      </c>
      <c r="G671" s="8" t="n"/>
      <c r="H671" s="14" t="n"/>
      <c r="I671" s="15">
        <f>IF($H671="","",$H671-TODAY())</f>
        <v/>
      </c>
      <c r="J671" s="16" t="inlineStr">
        <is>
          <t>Open posting</t>
        </is>
      </c>
      <c r="K671" s="8" t="inlineStr">
        <is>
          <t>filtered by keyword pre-scan</t>
        </is>
      </c>
      <c r="L671" s="17" t="inlineStr">
        <is>
          <t>new</t>
        </is>
      </c>
      <c r="M671" s="18" t="inlineStr"/>
      <c r="N671" s="7" t="inlineStr">
        <is>
          <t>c0d9452181ea227eb7371ac6f33b9829295a6a28</t>
        </is>
      </c>
      <c r="O671" s="14" t="n">
        <v>46175</v>
      </c>
      <c r="P671" s="7" t="inlineStr">
        <is>
          <t>jobspy</t>
        </is>
      </c>
      <c r="Q671" s="8" t="inlineStr">
        <is>
          <t>docker, kubernetes, git, c</t>
        </is>
      </c>
      <c r="R671" s="8" t="inlineStr">
        <is>
          <t>Graduate DevOps Engineer Docker Kubernetes Git</t>
        </is>
      </c>
      <c r="S671" s="19" t="n"/>
      <c r="T671" s="19" t="n"/>
      <c r="U671" s="14" t="n">
        <v>46195</v>
      </c>
      <c r="V671" s="7" t="inlineStr">
        <is>
          <t>v2-cv-accuracy-13b988b18da8ea7d</t>
        </is>
      </c>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1.61</v>
      </c>
      <c r="C672" s="12" t="inlineStr">
        <is>
          <t>Senior/Lead</t>
        </is>
      </c>
      <c r="D672" s="8" t="inlineStr">
        <is>
          <t>Platform Engineer</t>
        </is>
      </c>
      <c r="E672" s="7" t="inlineStr">
        <is>
          <t>Experis UK</t>
        </is>
      </c>
      <c r="F672" s="8" t="inlineStr">
        <is>
          <t>Portsmouth, England, UK</t>
        </is>
      </c>
      <c r="G672" s="8" t="n"/>
      <c r="H672" s="14" t="n"/>
      <c r="I672" s="15">
        <f>IF($H672="","",$H672-TODAY())</f>
        <v/>
      </c>
      <c r="J672" s="16" t="inlineStr">
        <is>
          <t>Open posting</t>
        </is>
      </c>
      <c r="K672" s="8" t="inlineStr">
        <is>
          <t>filtered by keyword pre-scan</t>
        </is>
      </c>
      <c r="L672" s="17" t="inlineStr">
        <is>
          <t>new</t>
        </is>
      </c>
      <c r="M672" s="18" t="inlineStr"/>
      <c r="N672" s="7" t="inlineStr">
        <is>
          <t>828ec9e6e1d17e6ab41a448343ca74335f6287b9</t>
        </is>
      </c>
      <c r="O672" s="14" t="n">
        <v>46193</v>
      </c>
      <c r="P672" s="7" t="inlineStr">
        <is>
          <t>jobspy</t>
        </is>
      </c>
      <c r="Q672" s="8" t="inlineStr">
        <is>
          <t>python, docker, kubernetes, c</t>
        </is>
      </c>
      <c r="R672" s="8" t="inlineStr">
        <is>
          <t>Platform Engineer graduate Python Docker remote</t>
        </is>
      </c>
      <c r="S672" s="19" t="n"/>
      <c r="T672" s="19" t="n"/>
      <c r="U672" s="14" t="n">
        <v>46195</v>
      </c>
      <c r="V672" s="7" t="inlineStr">
        <is>
          <t>v2-cv-accuracy-13b988b18da8ea7d</t>
        </is>
      </c>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1.61</v>
      </c>
      <c r="C673" s="12" t="inlineStr">
        <is>
          <t>Junior</t>
        </is>
      </c>
      <c r="D673" s="8" t="inlineStr">
        <is>
          <t>Data Engineer</t>
        </is>
      </c>
      <c r="E673" s="7" t="inlineStr">
        <is>
          <t>Haven</t>
        </is>
      </c>
      <c r="F673" s="8" t="inlineStr"/>
      <c r="G673" s="8" t="n"/>
      <c r="H673" s="14" t="n"/>
      <c r="I673" s="15">
        <f>IF($H673="","",$H673-TODAY())</f>
        <v/>
      </c>
      <c r="J673" s="16" t="inlineStr">
        <is>
          <t>Open posting</t>
        </is>
      </c>
      <c r="K673" s="8" t="inlineStr">
        <is>
          <t>filtered by keyword pre-scan</t>
        </is>
      </c>
      <c r="L673" s="17" t="inlineStr">
        <is>
          <t>new</t>
        </is>
      </c>
      <c r="M673" s="18" t="inlineStr"/>
      <c r="N673" s="7" t="inlineStr">
        <is>
          <t>dd880bdadb6e5d2faa312693cbe5133cbb3aa5ff</t>
        </is>
      </c>
      <c r="O673" s="14" t="n"/>
      <c r="P673" s="7" t="inlineStr">
        <is>
          <t>jobspy</t>
        </is>
      </c>
      <c r="Q673" s="8" t="inlineStr">
        <is>
          <t>python, sql, git, c</t>
        </is>
      </c>
      <c r="R673" s="8" t="inlineStr">
        <is>
          <t>Junior Data Engineer Python SQL MySQL remote</t>
        </is>
      </c>
      <c r="S673" s="19" t="n"/>
      <c r="T673" s="19" t="n"/>
      <c r="U673" s="14" t="n">
        <v>46195</v>
      </c>
      <c r="V673" s="7" t="inlineStr">
        <is>
          <t>v2-cv-accuracy-13b988b18da8ea7d</t>
        </is>
      </c>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1.61</v>
      </c>
      <c r="C674" s="12" t="inlineStr">
        <is>
          <t>Unspecified</t>
        </is>
      </c>
      <c r="D674" s="8" t="inlineStr">
        <is>
          <t>Devops Engineer</t>
        </is>
      </c>
      <c r="E674" s="7" t="inlineStr">
        <is>
          <t>Glocomms</t>
        </is>
      </c>
      <c r="F674" s="8" t="inlineStr">
        <is>
          <t>City Of London, England, UK</t>
        </is>
      </c>
      <c r="G674" s="8" t="n"/>
      <c r="H674" s="14" t="n"/>
      <c r="I674" s="15">
        <f>IF($H674="","",$H674-TODAY())</f>
        <v/>
      </c>
      <c r="J674" s="16" t="inlineStr">
        <is>
          <t>Open posting</t>
        </is>
      </c>
      <c r="K674" s="8" t="inlineStr">
        <is>
          <t>filtered by keyword pre-scan</t>
        </is>
      </c>
      <c r="L674" s="17" t="inlineStr">
        <is>
          <t>new</t>
        </is>
      </c>
      <c r="M674" s="18" t="inlineStr"/>
      <c r="N674" s="7" t="inlineStr">
        <is>
          <t>0b26e2dab57203d88e94481a9973aaca133081ec</t>
        </is>
      </c>
      <c r="O674" s="14" t="n">
        <v>46169</v>
      </c>
      <c r="P674" s="7" t="inlineStr">
        <is>
          <t>jobspy</t>
        </is>
      </c>
      <c r="Q674" s="8" t="inlineStr">
        <is>
          <t>docker, kubernetes, git, c</t>
        </is>
      </c>
      <c r="R674" s="8" t="inlineStr">
        <is>
          <t>Graduate Platform Engineer Docker Kubernetes Python</t>
        </is>
      </c>
      <c r="S674" s="19" t="n"/>
      <c r="T674" s="19" t="n"/>
      <c r="U674" s="14" t="n">
        <v>46195</v>
      </c>
      <c r="V674" s="7" t="inlineStr">
        <is>
          <t>v2-cv-accuracy-13b988b18da8ea7d</t>
        </is>
      </c>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1.61</v>
      </c>
      <c r="C675" s="12" t="inlineStr">
        <is>
          <t>Junior</t>
        </is>
      </c>
      <c r="D675" s="8" t="inlineStr">
        <is>
          <t>Associate, Front Office Software Engineer</t>
        </is>
      </c>
      <c r="E675" s="7" t="inlineStr">
        <is>
          <t>Castleton Commodities International</t>
        </is>
      </c>
      <c r="F675" s="8" t="inlineStr">
        <is>
          <t>London, ENG, GB</t>
        </is>
      </c>
      <c r="G675" s="8" t="n"/>
      <c r="H675" s="14" t="n"/>
      <c r="I675" s="15">
        <f>IF($H675="","",$H675-TODAY())</f>
        <v/>
      </c>
      <c r="J675" s="16" t="inlineStr">
        <is>
          <t>Open posting</t>
        </is>
      </c>
      <c r="K675" s="8" t="inlineStr">
        <is>
          <t>filtered by keyword pre-scan</t>
        </is>
      </c>
      <c r="L675" s="17" t="inlineStr">
        <is>
          <t>new</t>
        </is>
      </c>
      <c r="M675" s="18" t="inlineStr"/>
      <c r="N675" s="7" t="inlineStr">
        <is>
          <t>9477020ee644c3e97b95ff5237d8977150049b05</t>
        </is>
      </c>
      <c r="O675" s="14" t="n">
        <v>46195</v>
      </c>
      <c r="P675" s="7" t="inlineStr">
        <is>
          <t>jobspy</t>
        </is>
      </c>
      <c r="Q675" s="8" t="inlineStr">
        <is>
          <t>python, c, backend development</t>
        </is>
      </c>
      <c r="R675" s="8" t="inlineStr">
        <is>
          <t>Graduate Software Engineer Python backend</t>
        </is>
      </c>
      <c r="S675" s="19" t="n"/>
      <c r="T675" s="19" t="n"/>
      <c r="U675" s="14" t="n">
        <v>46195</v>
      </c>
      <c r="V675" s="7" t="inlineStr">
        <is>
          <t>v2-cv-accuracy-13b988b18da8ea7d</t>
        </is>
      </c>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1.61</v>
      </c>
      <c r="C676" s="12" t="inlineStr">
        <is>
          <t>Junior</t>
        </is>
      </c>
      <c r="D676" s="8" t="inlineStr">
        <is>
          <t>Web Developer (Python)</t>
        </is>
      </c>
      <c r="E676" s="7" t="inlineStr">
        <is>
          <t>Signify Technology</t>
        </is>
      </c>
      <c r="F676" s="8" t="inlineStr">
        <is>
          <t>London Area, United Kingdom</t>
        </is>
      </c>
      <c r="G676" s="8" t="n"/>
      <c r="H676" s="14" t="n"/>
      <c r="I676" s="15">
        <f>IF($H676="","",$H676-TODAY())</f>
        <v/>
      </c>
      <c r="J676" s="16" t="inlineStr">
        <is>
          <t>Open posting</t>
        </is>
      </c>
      <c r="K676" s="8" t="inlineStr">
        <is>
          <t>filtered by keyword pre-scan</t>
        </is>
      </c>
      <c r="L676" s="17" t="inlineStr">
        <is>
          <t>new</t>
        </is>
      </c>
      <c r="M676" s="18" t="inlineStr"/>
      <c r="N676" s="7" t="inlineStr">
        <is>
          <t>3ca03dd4738a5b6ea115da18a6144dc7cee59502</t>
        </is>
      </c>
      <c r="O676" s="14" t="n">
        <v>46176</v>
      </c>
      <c r="P676" s="7" t="inlineStr">
        <is>
          <t>jobspy</t>
        </is>
      </c>
      <c r="Q676" s="8" t="inlineStr">
        <is>
          <t>python, sql, c, javascript</t>
        </is>
      </c>
      <c r="R676" s="8" t="inlineStr">
        <is>
          <t>Junior Python Developer backend SQL</t>
        </is>
      </c>
      <c r="S676" s="19" t="n"/>
      <c r="T676" s="19" t="n"/>
      <c r="U676" s="14" t="n">
        <v>46195</v>
      </c>
      <c r="V676" s="7" t="inlineStr">
        <is>
          <t>v2-cv-accuracy-13b988b18da8ea7d</t>
        </is>
      </c>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1.61</v>
      </c>
      <c r="C677" s="12" t="inlineStr">
        <is>
          <t>Unspecified</t>
        </is>
      </c>
      <c r="D677" s="8" t="inlineStr">
        <is>
          <t>Communications Test Engineer I</t>
        </is>
      </c>
      <c r="E677" s="7" t="inlineStr">
        <is>
          <t>CesiumAstro</t>
        </is>
      </c>
      <c r="F677" s="8" t="inlineStr">
        <is>
          <t>Milton Keynes, England, UK</t>
        </is>
      </c>
      <c r="G677" s="8" t="n"/>
      <c r="H677" s="14" t="n"/>
      <c r="I677" s="15">
        <f>IF($H677="","",$H677-TODAY())</f>
        <v/>
      </c>
      <c r="J677" s="16" t="inlineStr">
        <is>
          <t>Open posting</t>
        </is>
      </c>
      <c r="K677" s="8" t="inlineStr">
        <is>
          <t>filtered by keyword pre-scan</t>
        </is>
      </c>
      <c r="L677" s="17" t="inlineStr">
        <is>
          <t>new</t>
        </is>
      </c>
      <c r="M677" s="18" t="inlineStr"/>
      <c r="N677" s="7" t="inlineStr">
        <is>
          <t>93b560566c608bd82094a896e4c05975015b9ff5</t>
        </is>
      </c>
      <c r="O677" s="14" t="n">
        <v>46175</v>
      </c>
      <c r="P677" s="7" t="inlineStr">
        <is>
          <t>jobspy</t>
        </is>
      </c>
      <c r="Q677" s="8" t="inlineStr">
        <is>
          <t>python, git, c, dsp</t>
        </is>
      </c>
      <c r="R677" s="8" t="inlineStr">
        <is>
          <t>Graduate IoT Engineer LoRaWAN embedded</t>
        </is>
      </c>
      <c r="S677" s="19" t="n"/>
      <c r="T677" s="19" t="n"/>
      <c r="U677" s="14" t="n">
        <v>46195</v>
      </c>
      <c r="V677" s="7" t="inlineStr">
        <is>
          <t>v2-cv-accuracy-13b988b18da8ea7d</t>
        </is>
      </c>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1.61</v>
      </c>
      <c r="C678" s="12" t="inlineStr">
        <is>
          <t>Unspecified</t>
        </is>
      </c>
      <c r="D678" s="8" t="inlineStr">
        <is>
          <t>Data Scientist</t>
        </is>
      </c>
      <c r="E678" s="7" t="inlineStr">
        <is>
          <t>STATSports</t>
        </is>
      </c>
      <c r="F678" s="8" t="inlineStr">
        <is>
          <t>Newry Mourne And Down, Northern Ireland, UK</t>
        </is>
      </c>
      <c r="G678" s="8" t="n"/>
      <c r="H678" s="14" t="n"/>
      <c r="I678" s="15">
        <f>IF($H678="","",$H678-TODAY())</f>
        <v/>
      </c>
      <c r="J678" s="16" t="inlineStr">
        <is>
          <t>Open posting</t>
        </is>
      </c>
      <c r="K678" s="8" t="inlineStr">
        <is>
          <t>filtered by keyword pre-scan</t>
        </is>
      </c>
      <c r="L678" s="17" t="inlineStr">
        <is>
          <t>new</t>
        </is>
      </c>
      <c r="M678" s="18" t="inlineStr"/>
      <c r="N678" s="7" t="inlineStr">
        <is>
          <t>1f0bcef57edf139599c0486590febac797422ad5</t>
        </is>
      </c>
      <c r="O678" s="14" t="n"/>
      <c r="P678" s="7" t="inlineStr">
        <is>
          <t>jobspy</t>
        </is>
      </c>
      <c r="Q678" s="8" t="inlineStr">
        <is>
          <t>python, sql, mysql, c</t>
        </is>
      </c>
      <c r="R678" s="8" t="inlineStr">
        <is>
          <t>Junior Data Engineer Python SQL MySQL</t>
        </is>
      </c>
      <c r="S678" s="19" t="n"/>
      <c r="T678" s="19" t="n"/>
      <c r="U678" s="14" t="n">
        <v>46195</v>
      </c>
      <c r="V678" s="7" t="inlineStr">
        <is>
          <t>v2-cv-accuracy-13b988b18da8ea7d</t>
        </is>
      </c>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1.61</v>
      </c>
      <c r="C679" s="12" t="inlineStr">
        <is>
          <t>Unspecified</t>
        </is>
      </c>
      <c r="D679" s="8" t="inlineStr">
        <is>
          <t>Radar Signal Processing Consultant</t>
        </is>
      </c>
      <c r="E679" s="7" t="inlineStr">
        <is>
          <t>IC Resources</t>
        </is>
      </c>
      <c r="F679" s="8" t="inlineStr">
        <is>
          <t>Cambridge, England, UK</t>
        </is>
      </c>
      <c r="G679" s="8" t="n"/>
      <c r="H679" s="14" t="n"/>
      <c r="I679" s="15">
        <f>IF($H679="","",$H679-TODAY())</f>
        <v/>
      </c>
      <c r="J679" s="16" t="inlineStr">
        <is>
          <t>Open posting</t>
        </is>
      </c>
      <c r="K679" s="8" t="inlineStr">
        <is>
          <t>filtered by keyword pre-scan</t>
        </is>
      </c>
      <c r="L679" s="17" t="inlineStr">
        <is>
          <t>new</t>
        </is>
      </c>
      <c r="M679" s="18" t="inlineStr"/>
      <c r="N679" s="7" t="inlineStr">
        <is>
          <t>5792a963bf28abc33f661b7ebff027b463857026</t>
        </is>
      </c>
      <c r="O679" s="14" t="n">
        <v>46191</v>
      </c>
      <c r="P679" s="7" t="inlineStr">
        <is>
          <t>jobspy</t>
        </is>
      </c>
      <c r="Q679" s="8" t="inlineStr">
        <is>
          <t>python, fpga, c, dsp</t>
        </is>
      </c>
      <c r="R679" s="8" t="inlineStr">
        <is>
          <t>Signal Processing Engineer graduate DSP</t>
        </is>
      </c>
      <c r="S679" s="19" t="n"/>
      <c r="T679" s="19" t="n"/>
      <c r="U679" s="14" t="n">
        <v>46195</v>
      </c>
      <c r="V679" s="7" t="inlineStr">
        <is>
          <t>v2-cv-accuracy-13b988b18da8ea7d</t>
        </is>
      </c>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1.61</v>
      </c>
      <c r="C680" s="12" t="inlineStr">
        <is>
          <t>Unspecified</t>
        </is>
      </c>
      <c r="D680" s="8" t="inlineStr">
        <is>
          <t>Radar Signal Processing Consultant</t>
        </is>
      </c>
      <c r="E680" s="7" t="inlineStr">
        <is>
          <t>Awerian Ltd</t>
        </is>
      </c>
      <c r="F680" s="8" t="inlineStr">
        <is>
          <t>Cambridge, England, UK</t>
        </is>
      </c>
      <c r="G680" s="8" t="n"/>
      <c r="H680" s="14" t="n"/>
      <c r="I680" s="15">
        <f>IF($H680="","",$H680-TODAY())</f>
        <v/>
      </c>
      <c r="J680" s="16" t="inlineStr">
        <is>
          <t>Open posting</t>
        </is>
      </c>
      <c r="K680" s="8" t="inlineStr">
        <is>
          <t>filtered by keyword pre-scan</t>
        </is>
      </c>
      <c r="L680" s="17" t="inlineStr">
        <is>
          <t>new</t>
        </is>
      </c>
      <c r="M680" s="18" t="inlineStr"/>
      <c r="N680" s="7" t="inlineStr">
        <is>
          <t>4cc46f5945db3b1cf8368b6872ebfb121fd8b3f0</t>
        </is>
      </c>
      <c r="O680" s="14" t="n">
        <v>46183</v>
      </c>
      <c r="P680" s="7" t="inlineStr">
        <is>
          <t>jobspy</t>
        </is>
      </c>
      <c r="Q680" s="8" t="inlineStr">
        <is>
          <t>python, fpga, c, dsp</t>
        </is>
      </c>
      <c r="R680" s="8" t="inlineStr">
        <is>
          <t>Signal Processing Engineer graduate DSP</t>
        </is>
      </c>
      <c r="S680" s="19" t="n"/>
      <c r="T680" s="19" t="n"/>
      <c r="U680" s="14" t="n">
        <v>46195</v>
      </c>
      <c r="V680" s="7" t="inlineStr">
        <is>
          <t>v2-cv-accuracy-13b988b18da8ea7d</t>
        </is>
      </c>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1.61</v>
      </c>
      <c r="C681" s="12" t="inlineStr">
        <is>
          <t>Senior/Lead</t>
        </is>
      </c>
      <c r="D681" s="8" t="inlineStr">
        <is>
          <t>Data Engineer</t>
        </is>
      </c>
      <c r="E681" s="7" t="inlineStr">
        <is>
          <t>Inara</t>
        </is>
      </c>
      <c r="F681" s="8" t="inlineStr">
        <is>
          <t>London Area, United Kingdom</t>
        </is>
      </c>
      <c r="G681" s="8" t="n"/>
      <c r="H681" s="14" t="n"/>
      <c r="I681" s="15">
        <f>IF($H681="","",$H681-TODAY())</f>
        <v/>
      </c>
      <c r="J681" s="16" t="inlineStr">
        <is>
          <t>Open posting</t>
        </is>
      </c>
      <c r="K681" s="8" t="inlineStr">
        <is>
          <t>filtered by keyword pre-scan</t>
        </is>
      </c>
      <c r="L681" s="17" t="inlineStr">
        <is>
          <t>new</t>
        </is>
      </c>
      <c r="M681" s="18" t="inlineStr"/>
      <c r="N681" s="7" t="inlineStr">
        <is>
          <t>0623e0fe7dbe7e1076af500976cbbf0c77acde83</t>
        </is>
      </c>
      <c r="O681" s="14" t="n">
        <v>46169</v>
      </c>
      <c r="P681" s="7" t="inlineStr">
        <is>
          <t>jobspy</t>
        </is>
      </c>
      <c r="Q681" s="8" t="inlineStr">
        <is>
          <t>python, sql, kubernetes, c</t>
        </is>
      </c>
      <c r="R681" s="8" t="inlineStr">
        <is>
          <t>Graduate Data Engineer Python SQL pipeline</t>
        </is>
      </c>
      <c r="S681" s="19" t="n"/>
      <c r="T681" s="19" t="n"/>
      <c r="U681" s="14" t="n">
        <v>46194</v>
      </c>
      <c r="V681" s="7" t="inlineStr">
        <is>
          <t>v2-cv-accuracy-13b988b18da8ea7d</t>
        </is>
      </c>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1.61</v>
      </c>
      <c r="C682" s="12" t="inlineStr">
        <is>
          <t>Junior</t>
        </is>
      </c>
      <c r="D682" s="8" t="inlineStr">
        <is>
          <t>Junior Developer – Application Services - IT Services - 107126 - Grade 5</t>
        </is>
      </c>
      <c r="E682" s="7" t="inlineStr">
        <is>
          <t>University of Birmingham</t>
        </is>
      </c>
      <c r="F682" s="8" t="inlineStr">
        <is>
          <t>Birmingham, England, UK</t>
        </is>
      </c>
      <c r="G682" s="8" t="n"/>
      <c r="H682" s="14" t="n">
        <v>46197</v>
      </c>
      <c r="I682" s="15">
        <f>IF($H682="","",$H682-TODAY())</f>
        <v/>
      </c>
      <c r="J682" s="16" t="inlineStr">
        <is>
          <t>Open posting</t>
        </is>
      </c>
      <c r="K682" s="8" t="inlineStr">
        <is>
          <t>filtered by keyword pre-scan</t>
        </is>
      </c>
      <c r="L682" s="17" t="inlineStr">
        <is>
          <t>new</t>
        </is>
      </c>
      <c r="M682" s="18" t="inlineStr"/>
      <c r="N682" s="7" t="inlineStr">
        <is>
          <t>ba28d629de0898c24cd467dc0bd117d662192180</t>
        </is>
      </c>
      <c r="O682" s="14" t="n">
        <v>46190</v>
      </c>
      <c r="P682" s="7" t="inlineStr">
        <is>
          <t>jobspy</t>
        </is>
      </c>
      <c r="Q682" s="8" t="inlineStr">
        <is>
          <t>python, git, c, javascript</t>
        </is>
      </c>
      <c r="R682" s="8" t="inlineStr">
        <is>
          <t>Graduate Verification Engineer digital design</t>
        </is>
      </c>
      <c r="S682" s="19" t="n"/>
      <c r="T682" s="19" t="n"/>
      <c r="U682" s="14" t="n">
        <v>46194</v>
      </c>
      <c r="V682" s="7" t="inlineStr">
        <is>
          <t>v2-cv-accuracy-13b988b18da8ea7d</t>
        </is>
      </c>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1.61</v>
      </c>
      <c r="C683" s="12" t="inlineStr">
        <is>
          <t>Senior/Lead</t>
        </is>
      </c>
      <c r="D683" s="8" t="inlineStr">
        <is>
          <t>Data Engineer</t>
        </is>
      </c>
      <c r="E683" s="7" t="inlineStr">
        <is>
          <t>Creditsafe</t>
        </is>
      </c>
      <c r="F683" s="8" t="inlineStr">
        <is>
          <t>Cardiff, Wales, UK</t>
        </is>
      </c>
      <c r="G683" s="8" t="n"/>
      <c r="H683" s="14" t="n"/>
      <c r="I683" s="15">
        <f>IF($H683="","",$H683-TODAY())</f>
        <v/>
      </c>
      <c r="J683" s="16" t="inlineStr">
        <is>
          <t>Open posting</t>
        </is>
      </c>
      <c r="K683" s="8" t="inlineStr">
        <is>
          <t>filtered by keyword pre-scan</t>
        </is>
      </c>
      <c r="L683" s="17" t="inlineStr">
        <is>
          <t>new</t>
        </is>
      </c>
      <c r="M683" s="18" t="inlineStr"/>
      <c r="N683" s="7" t="inlineStr">
        <is>
          <t>428d9f01d41c92274cc2457fc0f6f9b0677c9f1e</t>
        </is>
      </c>
      <c r="O683" s="14" t="n">
        <v>46182</v>
      </c>
      <c r="P683" s="7" t="inlineStr">
        <is>
          <t>jobspy</t>
        </is>
      </c>
      <c r="Q683" s="8" t="inlineStr">
        <is>
          <t>python, sql, mysql, c</t>
        </is>
      </c>
      <c r="R683" s="8" t="inlineStr">
        <is>
          <t>Junior Data Engineer SQL Python MySQL</t>
        </is>
      </c>
      <c r="S683" s="19" t="n"/>
      <c r="T683" s="19" t="n"/>
      <c r="U683" s="14" t="n">
        <v>46193</v>
      </c>
      <c r="V683" s="7" t="inlineStr">
        <is>
          <t>v2-cv-accuracy-13b988b18da8ea7d</t>
        </is>
      </c>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1.61</v>
      </c>
      <c r="C684" s="12" t="inlineStr">
        <is>
          <t>Unspecified</t>
        </is>
      </c>
      <c r="D684" s="8" t="inlineStr">
        <is>
          <t>Data Engineer</t>
        </is>
      </c>
      <c r="E684" s="7" t="inlineStr">
        <is>
          <t>Claranet</t>
        </is>
      </c>
      <c r="F684" s="8" t="inlineStr">
        <is>
          <t>London Area, United Kingdom</t>
        </is>
      </c>
      <c r="G684" s="8" t="n"/>
      <c r="H684" s="14" t="n"/>
      <c r="I684" s="15">
        <f>IF($H684="","",$H684-TODAY())</f>
        <v/>
      </c>
      <c r="J684" s="16" t="inlineStr">
        <is>
          <t>Open posting</t>
        </is>
      </c>
      <c r="K684" s="8" t="inlineStr">
        <is>
          <t>filtered by keyword pre-scan</t>
        </is>
      </c>
      <c r="L684" s="17" t="inlineStr">
        <is>
          <t>new</t>
        </is>
      </c>
      <c r="M684" s="18" t="inlineStr"/>
      <c r="N684" s="7" t="inlineStr">
        <is>
          <t>3b3176d49c5ed1bc6c8341d0d812bae2544a56d5</t>
        </is>
      </c>
      <c r="O684" s="14" t="n">
        <v>46178</v>
      </c>
      <c r="P684" s="7" t="inlineStr">
        <is>
          <t>jobspy</t>
        </is>
      </c>
      <c r="Q684" s="8" t="inlineStr">
        <is>
          <t>python, sql, mysql, c</t>
        </is>
      </c>
      <c r="R684" s="8" t="inlineStr">
        <is>
          <t>Junior Data Engineer SQL Python MySQL</t>
        </is>
      </c>
      <c r="S684" s="19" t="n"/>
      <c r="T684" s="19" t="n"/>
      <c r="U684" s="14" t="n">
        <v>46193</v>
      </c>
      <c r="V684" s="7" t="inlineStr">
        <is>
          <t>v2-cv-accuracy-13b988b18da8ea7d</t>
        </is>
      </c>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1.61</v>
      </c>
      <c r="C685" s="12" t="inlineStr">
        <is>
          <t>Mid-level</t>
        </is>
      </c>
      <c r="D685" s="8" t="inlineStr">
        <is>
          <t>Embedded Software Engineer</t>
        </is>
      </c>
      <c r="E685" s="7" t="inlineStr">
        <is>
          <t>Chevalier Tech Limited</t>
        </is>
      </c>
      <c r="F685" s="8" t="inlineStr">
        <is>
          <t>London Area, United Kingdom</t>
        </is>
      </c>
      <c r="G685" s="8" t="n"/>
      <c r="H685" s="14" t="n"/>
      <c r="I685" s="15">
        <f>IF($H685="","",$H685-TODAY())</f>
        <v/>
      </c>
      <c r="J685" s="16" t="inlineStr">
        <is>
          <t>Open posting</t>
        </is>
      </c>
      <c r="K685" s="8" t="inlineStr">
        <is>
          <t>filtered by keyword pre-scan</t>
        </is>
      </c>
      <c r="L685" s="17" t="inlineStr">
        <is>
          <t>new</t>
        </is>
      </c>
      <c r="M685" s="18" t="inlineStr"/>
      <c r="N685" s="7" t="inlineStr">
        <is>
          <t>8c547538b2404626036f245e1e362766d5a081d4</t>
        </is>
      </c>
      <c r="O685" s="14" t="n">
        <v>46171</v>
      </c>
      <c r="P685" s="7" t="inlineStr">
        <is>
          <t>jobspy</t>
        </is>
      </c>
      <c r="Q685" s="8" t="inlineStr">
        <is>
          <t>python, git, c, embedded systems</t>
        </is>
      </c>
      <c r="R685" s="8" t="inlineStr">
        <is>
          <t>Embedded Systems Graduate Engineer IoT</t>
        </is>
      </c>
      <c r="S685" s="19" t="n"/>
      <c r="T685" s="19" t="n"/>
      <c r="U685" s="14" t="n">
        <v>46193</v>
      </c>
      <c r="V685" s="7" t="inlineStr">
        <is>
          <t>v2-cv-accuracy-13b988b18da8ea7d</t>
        </is>
      </c>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1.61</v>
      </c>
      <c r="C686" s="12" t="inlineStr">
        <is>
          <t>Mid-level</t>
        </is>
      </c>
      <c r="D686" s="8" t="inlineStr">
        <is>
          <t>Software Engineer</t>
        </is>
      </c>
      <c r="E686" s="7" t="inlineStr">
        <is>
          <t>NeuroHarmonics</t>
        </is>
      </c>
      <c r="F686" s="8" t="inlineStr">
        <is>
          <t>London Area, United Kingdom</t>
        </is>
      </c>
      <c r="G686" s="8" t="n"/>
      <c r="H686" s="14" t="n"/>
      <c r="I686" s="15">
        <f>IF($H686="","",$H686-TODAY())</f>
        <v/>
      </c>
      <c r="J686" s="16" t="inlineStr">
        <is>
          <t>Open posting</t>
        </is>
      </c>
      <c r="K686" s="8" t="inlineStr">
        <is>
          <t>filtered by keyword pre-scan</t>
        </is>
      </c>
      <c r="L686" s="17" t="inlineStr">
        <is>
          <t>new</t>
        </is>
      </c>
      <c r="M686" s="18" t="inlineStr"/>
      <c r="N686" s="7" t="inlineStr">
        <is>
          <t>175ac577522cb30a4a4498efa3d9efed2a637edd</t>
        </is>
      </c>
      <c r="O686" s="14" t="n">
        <v>46188</v>
      </c>
      <c r="P686" s="7" t="inlineStr">
        <is>
          <t>jobspy</t>
        </is>
      </c>
      <c r="Q686" s="8" t="inlineStr">
        <is>
          <t>python, c, embedded systems, dsp</t>
        </is>
      </c>
      <c r="R686" s="8" t="inlineStr">
        <is>
          <t>Graduate Signal Processing Engineer DSP</t>
        </is>
      </c>
      <c r="S686" s="19" t="n"/>
      <c r="T686" s="19" t="n"/>
      <c r="U686" s="14" t="n">
        <v>46193</v>
      </c>
      <c r="V686" s="7" t="inlineStr">
        <is>
          <t>v2-cv-accuracy-13b988b18da8ea7d</t>
        </is>
      </c>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1.61</v>
      </c>
      <c r="C687" s="12" t="inlineStr">
        <is>
          <t>Mid-level</t>
        </is>
      </c>
      <c r="D687" s="8" t="inlineStr">
        <is>
          <t>Service Automation Engineer</t>
        </is>
      </c>
      <c r="E687" s="7" t="inlineStr">
        <is>
          <t>Moneycorp</t>
        </is>
      </c>
      <c r="F687" s="8" t="inlineStr">
        <is>
          <t>London, England, UK</t>
        </is>
      </c>
      <c r="G687" s="8" t="n"/>
      <c r="H687" s="14" t="n"/>
      <c r="I687" s="15">
        <f>IF($H687="","",$H687-TODAY())</f>
        <v/>
      </c>
      <c r="J687" s="16" t="inlineStr">
        <is>
          <t>Open posting</t>
        </is>
      </c>
      <c r="K687" s="8" t="inlineStr">
        <is>
          <t>filtered by keyword pre-scan</t>
        </is>
      </c>
      <c r="L687" s="17" t="inlineStr">
        <is>
          <t>new</t>
        </is>
      </c>
      <c r="M687" s="18" t="inlineStr"/>
      <c r="N687" s="7" t="inlineStr">
        <is>
          <t>ea5122234643554e9b3079c2830e13d3e15a7b73</t>
        </is>
      </c>
      <c r="O687" s="14" t="n">
        <v>46184</v>
      </c>
      <c r="P687" s="7" t="inlineStr">
        <is>
          <t>jobspy</t>
        </is>
      </c>
      <c r="Q687" s="8" t="inlineStr">
        <is>
          <t>python, docker, git, c</t>
        </is>
      </c>
      <c r="R687" s="8" t="inlineStr">
        <is>
          <t>Platform Engineer graduate Docker Kubernetes Python</t>
        </is>
      </c>
      <c r="S687" s="19" t="n"/>
      <c r="T687" s="19" t="n"/>
      <c r="U687" s="14" t="n">
        <v>46193</v>
      </c>
      <c r="V687" s="7" t="inlineStr">
        <is>
          <t>v2-cv-accuracy-13b988b18da8ea7d</t>
        </is>
      </c>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1.61</v>
      </c>
      <c r="C688" s="12" t="inlineStr">
        <is>
          <t>Mid-level</t>
        </is>
      </c>
      <c r="D688" s="8" t="inlineStr">
        <is>
          <t>Service Automation Engineer</t>
        </is>
      </c>
      <c r="E688" s="7" t="inlineStr">
        <is>
          <t>Moneycorp</t>
        </is>
      </c>
      <c r="F688" s="8" t="inlineStr">
        <is>
          <t>London, ENG, GB</t>
        </is>
      </c>
      <c r="G688" s="8" t="n"/>
      <c r="H688" s="14" t="n"/>
      <c r="I688" s="15">
        <f>IF($H688="","",$H688-TODAY())</f>
        <v/>
      </c>
      <c r="J688" s="16" t="inlineStr">
        <is>
          <t>Open posting</t>
        </is>
      </c>
      <c r="K688" s="8" t="inlineStr">
        <is>
          <t>filtered by keyword pre-scan</t>
        </is>
      </c>
      <c r="L688" s="17" t="inlineStr">
        <is>
          <t>new</t>
        </is>
      </c>
      <c r="M688" s="18" t="inlineStr"/>
      <c r="N688" s="7" t="inlineStr">
        <is>
          <t>653d8a719db9bd364d587bee4cd8fcb74e50d898</t>
        </is>
      </c>
      <c r="O688" s="14" t="n">
        <v>46184</v>
      </c>
      <c r="P688" s="7" t="inlineStr">
        <is>
          <t>jobspy</t>
        </is>
      </c>
      <c r="Q688" s="8" t="inlineStr">
        <is>
          <t>python, docker, git, c</t>
        </is>
      </c>
      <c r="R688" s="8" t="inlineStr">
        <is>
          <t>Graduate Software Engineer Python Docker</t>
        </is>
      </c>
      <c r="S688" s="19" t="n"/>
      <c r="T688" s="19" t="n"/>
      <c r="U688" s="14" t="n">
        <v>46193</v>
      </c>
      <c r="V688" s="7" t="inlineStr">
        <is>
          <t>v2-cv-accuracy-13b988b18da8ea7d</t>
        </is>
      </c>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1.61</v>
      </c>
      <c r="C689" s="12" t="inlineStr">
        <is>
          <t>Unspecified</t>
        </is>
      </c>
      <c r="D689" s="8" t="inlineStr">
        <is>
          <t>Embedded Software Engineer - Audio Technologies</t>
        </is>
      </c>
      <c r="E689" s="7" t="inlineStr">
        <is>
          <t>Christy Media Solutions</t>
        </is>
      </c>
      <c r="F689" s="8" t="inlineStr">
        <is>
          <t>Surrey, England, UK</t>
        </is>
      </c>
      <c r="G689" s="8" t="n"/>
      <c r="H689" s="14" t="n"/>
      <c r="I689" s="15">
        <f>IF($H689="","",$H689-TODAY())</f>
        <v/>
      </c>
      <c r="J689" s="16" t="inlineStr">
        <is>
          <t>Open posting</t>
        </is>
      </c>
      <c r="K689" s="8" t="inlineStr">
        <is>
          <t>filtered by keyword pre-scan</t>
        </is>
      </c>
      <c r="L689" s="17" t="inlineStr">
        <is>
          <t>new</t>
        </is>
      </c>
      <c r="M689" s="18" t="inlineStr"/>
      <c r="N689" s="7" t="inlineStr">
        <is>
          <t>8f61b965ec6279cb28723d1ed64b8b6811a21df5</t>
        </is>
      </c>
      <c r="O689" s="14" t="n">
        <v>46168</v>
      </c>
      <c r="P689" s="7" t="inlineStr">
        <is>
          <t>jobspy</t>
        </is>
      </c>
      <c r="Q689" s="8" t="inlineStr">
        <is>
          <t>fpga, c, embedded systems, dsp</t>
        </is>
      </c>
      <c r="R689" s="8" t="inlineStr">
        <is>
          <t>Embedded Systems Engineer FPGA DSP</t>
        </is>
      </c>
      <c r="S689" s="19" t="n"/>
      <c r="T689" s="19" t="n"/>
      <c r="U689" s="14" t="n">
        <v>46193</v>
      </c>
      <c r="V689" s="7" t="inlineStr">
        <is>
          <t>v2-cv-accuracy-13b988b18da8ea7d</t>
        </is>
      </c>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1.61</v>
      </c>
      <c r="C690" s="12" t="inlineStr">
        <is>
          <t>Unspecified</t>
        </is>
      </c>
      <c r="D690" s="8" t="inlineStr">
        <is>
          <t>Site Reliability Engineer (SRE),</t>
        </is>
      </c>
      <c r="E690" s="7" t="inlineStr">
        <is>
          <t>Apple</t>
        </is>
      </c>
      <c r="F690" s="8" t="inlineStr">
        <is>
          <t>London, ENG, GB</t>
        </is>
      </c>
      <c r="G690" s="8" t="n"/>
      <c r="H690" s="14" t="n"/>
      <c r="I690" s="15">
        <f>IF($H690="","",$H690-TODAY())</f>
        <v/>
      </c>
      <c r="J690" s="16" t="inlineStr">
        <is>
          <t>Open posting</t>
        </is>
      </c>
      <c r="K690" s="8" t="inlineStr">
        <is>
          <t>filtered by keyword pre-scan</t>
        </is>
      </c>
      <c r="L690" s="17" t="inlineStr">
        <is>
          <t>new</t>
        </is>
      </c>
      <c r="M690" s="18" t="inlineStr"/>
      <c r="N690" s="7" t="inlineStr">
        <is>
          <t>b15597043874ea2be03465c788200ff372216c5f</t>
        </is>
      </c>
      <c r="O690" s="14" t="n">
        <v>46190</v>
      </c>
      <c r="P690" s="7" t="inlineStr">
        <is>
          <t>jobspy</t>
        </is>
      </c>
      <c r="Q690" s="8" t="inlineStr">
        <is>
          <t>python, docker, kubernetes, c</t>
        </is>
      </c>
      <c r="R690" s="8" t="inlineStr">
        <is>
          <t>Platform Engineer Docker Kubernetes Python</t>
        </is>
      </c>
      <c r="S690" s="19" t="n"/>
      <c r="T690" s="19" t="n"/>
      <c r="U690" s="14" t="n">
        <v>46193</v>
      </c>
      <c r="V690" s="7" t="inlineStr">
        <is>
          <t>v2-cv-accuracy-13b988b18da8ea7d</t>
        </is>
      </c>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1.61</v>
      </c>
      <c r="C691" s="12" t="inlineStr">
        <is>
          <t>Unspecified</t>
        </is>
      </c>
      <c r="D691" s="8" t="inlineStr">
        <is>
          <t>Kubernetes Platform Engineer</t>
        </is>
      </c>
      <c r="E691" s="7" t="inlineStr">
        <is>
          <t>G-Research</t>
        </is>
      </c>
      <c r="F691" s="8" t="inlineStr">
        <is>
          <t>London Area, United Kingdom</t>
        </is>
      </c>
      <c r="G691" s="8" t="n"/>
      <c r="H691" s="14" t="n"/>
      <c r="I691" s="15">
        <f>IF($H691="","",$H691-TODAY())</f>
        <v/>
      </c>
      <c r="J691" s="16" t="inlineStr">
        <is>
          <t>Open posting</t>
        </is>
      </c>
      <c r="K691" s="8" t="inlineStr">
        <is>
          <t>filtered by keyword pre-scan</t>
        </is>
      </c>
      <c r="L691" s="17" t="inlineStr">
        <is>
          <t>new</t>
        </is>
      </c>
      <c r="M691" s="18" t="inlineStr"/>
      <c r="N691" s="7" t="inlineStr">
        <is>
          <t>5ee9c5c895762089d3350fe3d2bef86723755670</t>
        </is>
      </c>
      <c r="O691" s="14" t="n">
        <v>46187</v>
      </c>
      <c r="P691" s="7" t="inlineStr">
        <is>
          <t>jobspy</t>
        </is>
      </c>
      <c r="Q691" s="8" t="inlineStr">
        <is>
          <t>python, kubernetes, git, c</t>
        </is>
      </c>
      <c r="R691" s="8" t="inlineStr">
        <is>
          <t>Platform Engineer Docker Kubernetes Python</t>
        </is>
      </c>
      <c r="S691" s="19" t="n"/>
      <c r="T691" s="19" t="n"/>
      <c r="U691" s="14" t="n">
        <v>46193</v>
      </c>
      <c r="V691" s="7" t="inlineStr">
        <is>
          <t>v2-cv-accuracy-13b988b18da8ea7d</t>
        </is>
      </c>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1.61</v>
      </c>
      <c r="C692" s="12" t="inlineStr">
        <is>
          <t>Senior/Lead</t>
        </is>
      </c>
      <c r="D692" s="8" t="inlineStr">
        <is>
          <t>Platform Engineer</t>
        </is>
      </c>
      <c r="E692" s="7" t="inlineStr">
        <is>
          <t>dunnhumby</t>
        </is>
      </c>
      <c r="F692" s="8" t="inlineStr">
        <is>
          <t>London, England, UK</t>
        </is>
      </c>
      <c r="G692" s="8" t="n"/>
      <c r="H692" s="14" t="n"/>
      <c r="I692" s="15">
        <f>IF($H692="","",$H692-TODAY())</f>
        <v/>
      </c>
      <c r="J692" s="16" t="inlineStr">
        <is>
          <t>Open posting</t>
        </is>
      </c>
      <c r="K692" s="8" t="inlineStr">
        <is>
          <t>filtered by keyword pre-scan</t>
        </is>
      </c>
      <c r="L692" s="17" t="inlineStr">
        <is>
          <t>new</t>
        </is>
      </c>
      <c r="M692" s="18" t="inlineStr"/>
      <c r="N692" s="7" t="inlineStr">
        <is>
          <t>9dac80a928396641d7533b3d2d36299b6511b254</t>
        </is>
      </c>
      <c r="O692" s="14" t="n">
        <v>46177</v>
      </c>
      <c r="P692" s="7" t="inlineStr">
        <is>
          <t>jobspy</t>
        </is>
      </c>
      <c r="Q692" s="8" t="inlineStr">
        <is>
          <t>docker, kubernetes, git, c</t>
        </is>
      </c>
      <c r="R692" s="8" t="inlineStr">
        <is>
          <t>Platform Engineer Docker Kubernetes Python</t>
        </is>
      </c>
      <c r="S692" s="19" t="n"/>
      <c r="T692" s="19" t="n"/>
      <c r="U692" s="14" t="n">
        <v>46193</v>
      </c>
      <c r="V692" s="7" t="inlineStr">
        <is>
          <t>v2-cv-accuracy-13b988b18da8ea7d</t>
        </is>
      </c>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1.61</v>
      </c>
      <c r="C693" s="12" t="inlineStr">
        <is>
          <t>Junior</t>
        </is>
      </c>
      <c r="D693" s="8" t="inlineStr">
        <is>
          <t>Junior Software Engineer</t>
        </is>
      </c>
      <c r="E693" s="7" t="inlineStr">
        <is>
          <t>Opus 2 International</t>
        </is>
      </c>
      <c r="F693" s="8" t="inlineStr">
        <is>
          <t>Edinburgh, SCT, GB</t>
        </is>
      </c>
      <c r="G693" s="8" t="n"/>
      <c r="H693" s="14" t="n"/>
      <c r="I693" s="15">
        <f>IF($H693="","",$H693-TODAY())</f>
        <v/>
      </c>
      <c r="J693" s="16" t="inlineStr">
        <is>
          <t>Open posting</t>
        </is>
      </c>
      <c r="K693" s="8" t="inlineStr">
        <is>
          <t>filtered by keyword pre-scan</t>
        </is>
      </c>
      <c r="L693" s="17" t="inlineStr">
        <is>
          <t>new</t>
        </is>
      </c>
      <c r="M693" s="18" t="inlineStr"/>
      <c r="N693" s="7" t="inlineStr">
        <is>
          <t>33523c87fd8e4eec73b3c3004117c7560996b268</t>
        </is>
      </c>
      <c r="O693" s="14" t="n">
        <v>46178</v>
      </c>
      <c r="P693" s="7" t="inlineStr">
        <is>
          <t>jobspy</t>
        </is>
      </c>
      <c r="Q693" s="8" t="inlineStr">
        <is>
          <t>python, kubernetes, git, c</t>
        </is>
      </c>
      <c r="R693" s="8" t="inlineStr">
        <is>
          <t>Junior Software Engineer Python backend</t>
        </is>
      </c>
      <c r="S693" s="19" t="n"/>
      <c r="T693" s="19" t="n"/>
      <c r="U693" s="14" t="n">
        <v>46193</v>
      </c>
      <c r="V693" s="7" t="inlineStr">
        <is>
          <t>v2-cv-accuracy-13b988b18da8ea7d</t>
        </is>
      </c>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1.61</v>
      </c>
      <c r="C694" s="12" t="inlineStr">
        <is>
          <t>Graduate/Entry</t>
        </is>
      </c>
      <c r="D694" s="8" t="inlineStr">
        <is>
          <t>Graduate Data &amp; Digital Engineer</t>
        </is>
      </c>
      <c r="E694" s="7" t="inlineStr">
        <is>
          <t>ALTRAD</t>
        </is>
      </c>
      <c r="F694" s="8" t="inlineStr">
        <is>
          <t>Middlesbrough, ENG, GB</t>
        </is>
      </c>
      <c r="G694" s="8" t="n"/>
      <c r="H694" s="14" t="n"/>
      <c r="I694" s="15">
        <f>IF($H694="","",$H694-TODAY())</f>
        <v/>
      </c>
      <c r="J694" s="16" t="inlineStr">
        <is>
          <t>Open posting</t>
        </is>
      </c>
      <c r="K694" s="8" t="inlineStr">
        <is>
          <t>filtered by keyword pre-scan</t>
        </is>
      </c>
      <c r="L694" s="17" t="inlineStr">
        <is>
          <t>new</t>
        </is>
      </c>
      <c r="M694" s="18" t="inlineStr"/>
      <c r="N694" s="7" t="inlineStr">
        <is>
          <t>a34ceb3f923899d8b54b043b23bca4daec0f4793</t>
        </is>
      </c>
      <c r="O694" s="14" t="n">
        <v>46176</v>
      </c>
      <c r="P694" s="7" t="inlineStr">
        <is>
          <t>jobspy</t>
        </is>
      </c>
      <c r="Q694" s="8" t="inlineStr">
        <is>
          <t>python, sql, git, c</t>
        </is>
      </c>
      <c r="R694" s="8" t="inlineStr">
        <is>
          <t>Graduate Data Engineer SQL Python pipeline</t>
        </is>
      </c>
      <c r="S694" s="19" t="n"/>
      <c r="T694" s="19" t="n"/>
      <c r="U694" s="14" t="n">
        <v>46192</v>
      </c>
      <c r="V694" s="7" t="inlineStr">
        <is>
          <t>v2-cv-accuracy-13b988b18da8ea7d</t>
        </is>
      </c>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1.61</v>
      </c>
      <c r="C695" s="12" t="inlineStr">
        <is>
          <t>Junior</t>
        </is>
      </c>
      <c r="D695" s="8" t="inlineStr">
        <is>
          <t>Associate Data Platform Engineer - Cyber  Data Platform</t>
        </is>
      </c>
      <c r="E695" s="7" t="inlineStr">
        <is>
          <t>hackajob</t>
        </is>
      </c>
      <c r="F695" s="8" t="inlineStr">
        <is>
          <t>London, England, UK</t>
        </is>
      </c>
      <c r="G695" s="8" t="n"/>
      <c r="H695" s="14" t="n"/>
      <c r="I695" s="15">
        <f>IF($H695="","",$H695-TODAY())</f>
        <v/>
      </c>
      <c r="J695" s="16" t="inlineStr">
        <is>
          <t>Open posting</t>
        </is>
      </c>
      <c r="K695" s="8" t="inlineStr">
        <is>
          <t>filtered by keyword pre-scan</t>
        </is>
      </c>
      <c r="L695" s="17" t="inlineStr">
        <is>
          <t>new</t>
        </is>
      </c>
      <c r="M695" s="18" t="inlineStr"/>
      <c r="N695" s="7" t="inlineStr">
        <is>
          <t>0f3f0fdd562299e001ed01a579263e8702767021</t>
        </is>
      </c>
      <c r="O695" s="14" t="n"/>
      <c r="P695" s="7" t="inlineStr">
        <is>
          <t>jobspy</t>
        </is>
      </c>
      <c r="Q695" s="8" t="inlineStr">
        <is>
          <t>python, sql, git, c</t>
        </is>
      </c>
      <c r="R695" s="8" t="inlineStr">
        <is>
          <t>Graduate Data Engineer SQL Python pipeline</t>
        </is>
      </c>
      <c r="S695" s="19" t="n"/>
      <c r="T695" s="19" t="n"/>
      <c r="U695" s="14" t="n">
        <v>46192</v>
      </c>
      <c r="V695" s="7" t="inlineStr">
        <is>
          <t>v2-cv-accuracy-13b988b18da8ea7d</t>
        </is>
      </c>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1.61</v>
      </c>
      <c r="C696" s="12" t="inlineStr">
        <is>
          <t>Unspecified</t>
        </is>
      </c>
      <c r="D696" s="8" t="inlineStr">
        <is>
          <t>Embedded Systems Engineer - AI Trainer</t>
        </is>
      </c>
      <c r="E696" s="7" t="inlineStr">
        <is>
          <t>DataAnnotation</t>
        </is>
      </c>
      <c r="F696" s="8" t="inlineStr"/>
      <c r="G696" s="8" t="n"/>
      <c r="H696" s="14" t="n"/>
      <c r="I696" s="15">
        <f>IF($H696="","",$H696-TODAY())</f>
        <v/>
      </c>
      <c r="J696" s="16" t="inlineStr">
        <is>
          <t>Open posting</t>
        </is>
      </c>
      <c r="K696" s="8" t="inlineStr">
        <is>
          <t>filtered by keyword pre-scan</t>
        </is>
      </c>
      <c r="L696" s="17" t="inlineStr">
        <is>
          <t>new</t>
        </is>
      </c>
      <c r="M696" s="18" t="inlineStr"/>
      <c r="N696" s="7" t="inlineStr">
        <is>
          <t>20a5f0d388d0c38c08a0a72d8b867dbd073b8731</t>
        </is>
      </c>
      <c r="O696" s="14" t="n">
        <v>46180</v>
      </c>
      <c r="P696" s="7" t="inlineStr">
        <is>
          <t>jobspy</t>
        </is>
      </c>
      <c r="Q696" s="8" t="inlineStr">
        <is>
          <t>python, c, javascript, embedded systems</t>
        </is>
      </c>
      <c r="R696" s="8" t="inlineStr">
        <is>
          <t>Junior Embedded Systems Engineer Python C</t>
        </is>
      </c>
      <c r="S696" s="19" t="n"/>
      <c r="T696" s="19" t="n"/>
      <c r="U696" s="14" t="n">
        <v>46192</v>
      </c>
      <c r="V696" s="7" t="inlineStr">
        <is>
          <t>v2-cv-accuracy-13b988b18da8ea7d</t>
        </is>
      </c>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1.61</v>
      </c>
      <c r="C697" s="12" t="inlineStr">
        <is>
          <t>Junior</t>
        </is>
      </c>
      <c r="D697" s="8" t="inlineStr">
        <is>
          <t>Platform Engineer</t>
        </is>
      </c>
      <c r="E697" s="7" t="inlineStr">
        <is>
          <t>Oliver Bernard</t>
        </is>
      </c>
      <c r="F697" s="8" t="inlineStr">
        <is>
          <t>London Area, United Kingdom</t>
        </is>
      </c>
      <c r="G697" s="8" t="n"/>
      <c r="H697" s="14" t="n"/>
      <c r="I697" s="15">
        <f>IF($H697="","",$H697-TODAY())</f>
        <v/>
      </c>
      <c r="J697" s="16" t="inlineStr">
        <is>
          <t>Open posting</t>
        </is>
      </c>
      <c r="K697" s="8" t="inlineStr">
        <is>
          <t>filtered by keyword pre-scan</t>
        </is>
      </c>
      <c r="L697" s="17" t="inlineStr">
        <is>
          <t>new</t>
        </is>
      </c>
      <c r="M697" s="18" t="inlineStr"/>
      <c r="N697" s="7" t="inlineStr">
        <is>
          <t>e81aeef8b6e2e3f4bd8993e8d679701eec69eeab</t>
        </is>
      </c>
      <c r="O697" s="14" t="n">
        <v>46185</v>
      </c>
      <c r="P697" s="7" t="inlineStr">
        <is>
          <t>jobspy</t>
        </is>
      </c>
      <c r="Q697" s="8" t="inlineStr">
        <is>
          <t>docker, git, c, javascript</t>
        </is>
      </c>
      <c r="R697" s="8" t="inlineStr">
        <is>
          <t>Graduate DevOps Engineer Docker Kubernetes Python</t>
        </is>
      </c>
      <c r="S697" s="19" t="n"/>
      <c r="T697" s="19" t="n"/>
      <c r="U697" s="14" t="n">
        <v>46192</v>
      </c>
      <c r="V697" s="7" t="inlineStr">
        <is>
          <t>v2-cv-accuracy-13b988b18da8ea7d</t>
        </is>
      </c>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1.61</v>
      </c>
      <c r="C698" s="12" t="inlineStr">
        <is>
          <t>Junior</t>
        </is>
      </c>
      <c r="D698" s="8" t="inlineStr">
        <is>
          <t>Junior DevOps Engineer</t>
        </is>
      </c>
      <c r="E698" s="7" t="inlineStr">
        <is>
          <t>Netcompany</t>
        </is>
      </c>
      <c r="F698" s="8" t="inlineStr">
        <is>
          <t>Leeds, England, UK</t>
        </is>
      </c>
      <c r="G698" s="8" t="n"/>
      <c r="H698" s="14" t="n"/>
      <c r="I698" s="15">
        <f>IF($H698="","",$H698-TODAY())</f>
        <v/>
      </c>
      <c r="J698" s="16" t="inlineStr">
        <is>
          <t>Open posting</t>
        </is>
      </c>
      <c r="K698" s="8" t="inlineStr">
        <is>
          <t>filtered by keyword pre-scan</t>
        </is>
      </c>
      <c r="L698" s="17" t="inlineStr">
        <is>
          <t>new</t>
        </is>
      </c>
      <c r="M698" s="18" t="inlineStr"/>
      <c r="N698" s="7" t="inlineStr">
        <is>
          <t>9696f8546e1b99a51686822c42209988ca9df7d6</t>
        </is>
      </c>
      <c r="O698" s="14" t="n">
        <v>46183</v>
      </c>
      <c r="P698" s="7" t="inlineStr">
        <is>
          <t>jobspy</t>
        </is>
      </c>
      <c r="Q698" s="8" t="inlineStr">
        <is>
          <t>python, kubernetes, git, c</t>
        </is>
      </c>
      <c r="R698" s="8" t="inlineStr">
        <is>
          <t>Graduate DevOps Engineer Docker Kubernetes Python</t>
        </is>
      </c>
      <c r="S698" s="19" t="n"/>
      <c r="T698" s="19" t="n"/>
      <c r="U698" s="14" t="n">
        <v>46192</v>
      </c>
      <c r="V698" s="7" t="inlineStr">
        <is>
          <t>v2-cv-accuracy-13b988b18da8ea7d</t>
        </is>
      </c>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1.61</v>
      </c>
      <c r="C699" s="12" t="inlineStr">
        <is>
          <t>Junior</t>
        </is>
      </c>
      <c r="D699" s="8" t="inlineStr">
        <is>
          <t>Junior Software Engineer - Cloud Platform</t>
        </is>
      </c>
      <c r="E699" s="7" t="inlineStr">
        <is>
          <t>loveholidays</t>
        </is>
      </c>
      <c r="F699" s="8" t="inlineStr">
        <is>
          <t>London, England, UK</t>
        </is>
      </c>
      <c r="G699" s="8" t="n"/>
      <c r="H699" s="14" t="n"/>
      <c r="I699" s="15">
        <f>IF($H699="","",$H699-TODAY())</f>
        <v/>
      </c>
      <c r="J699" s="16" t="inlineStr">
        <is>
          <t>Open posting</t>
        </is>
      </c>
      <c r="K699" s="8" t="inlineStr">
        <is>
          <t>filtered by keyword pre-scan</t>
        </is>
      </c>
      <c r="L699" s="17" t="inlineStr">
        <is>
          <t>new</t>
        </is>
      </c>
      <c r="M699" s="18" t="inlineStr"/>
      <c r="N699" s="7" t="inlineStr">
        <is>
          <t>bcbf4aa2ac050472897c5f3e3f634a7a7e6e08c9</t>
        </is>
      </c>
      <c r="O699" s="14" t="n">
        <v>46176</v>
      </c>
      <c r="P699" s="7" t="inlineStr">
        <is>
          <t>jobspy</t>
        </is>
      </c>
      <c r="Q699" s="8" t="inlineStr">
        <is>
          <t>python, sql, git, c</t>
        </is>
      </c>
      <c r="R699" s="8" t="inlineStr">
        <is>
          <t>Graduate DevOps Engineer Docker Kubernetes Python</t>
        </is>
      </c>
      <c r="S699" s="19" t="n"/>
      <c r="T699" s="19" t="n"/>
      <c r="U699" s="14" t="n">
        <v>46192</v>
      </c>
      <c r="V699" s="7" t="inlineStr">
        <is>
          <t>v2-cv-accuracy-13b988b18da8ea7d</t>
        </is>
      </c>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1.61</v>
      </c>
      <c r="C700" s="12" t="inlineStr">
        <is>
          <t>Unspecified</t>
        </is>
      </c>
      <c r="D700" s="8" t="inlineStr">
        <is>
          <t>IAM - Automation Test Engineer</t>
        </is>
      </c>
      <c r="E700" s="7" t="inlineStr">
        <is>
          <t>Test Yantra</t>
        </is>
      </c>
      <c r="F700" s="8" t="inlineStr">
        <is>
          <t>Sheffield, England, UK</t>
        </is>
      </c>
      <c r="G700" s="8" t="n"/>
      <c r="H700" s="14" t="n"/>
      <c r="I700" s="15">
        <f>IF($H700="","",$H700-TODAY())</f>
        <v/>
      </c>
      <c r="J700" s="16" t="inlineStr">
        <is>
          <t>Open posting</t>
        </is>
      </c>
      <c r="K700" s="8" t="inlineStr">
        <is>
          <t>filtered by keyword pre-scan</t>
        </is>
      </c>
      <c r="L700" s="17" t="inlineStr">
        <is>
          <t>new</t>
        </is>
      </c>
      <c r="M700" s="18" t="inlineStr"/>
      <c r="N700" s="7" t="inlineStr">
        <is>
          <t>7f1bc663ae3af3415dada0e7c9173ce63a511fdd</t>
        </is>
      </c>
      <c r="O700" s="14" t="n">
        <v>46169</v>
      </c>
      <c r="P700" s="7" t="inlineStr">
        <is>
          <t>jobspy</t>
        </is>
      </c>
      <c r="Q700" s="8" t="inlineStr">
        <is>
          <t>python, sql, git, c</t>
        </is>
      </c>
      <c r="R700" s="8" t="inlineStr">
        <is>
          <t>Graduate Software Engineer Python Sheffield</t>
        </is>
      </c>
      <c r="S700" s="19" t="n"/>
      <c r="T700" s="19" t="n"/>
      <c r="U700" s="14" t="n">
        <v>46192</v>
      </c>
      <c r="V700" s="7" t="inlineStr">
        <is>
          <t>v2-cv-accuracy-13b988b18da8ea7d</t>
        </is>
      </c>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1.61</v>
      </c>
      <c r="C701" s="12" t="inlineStr">
        <is>
          <t>Internship</t>
        </is>
      </c>
      <c r="D701" s="8" t="inlineStr">
        <is>
          <t>Software Engineer Intern - 12 month Industry Placement</t>
        </is>
      </c>
      <c r="E701" s="7" t="inlineStr">
        <is>
          <t>Roku</t>
        </is>
      </c>
      <c r="F701" s="8" t="inlineStr">
        <is>
          <t>Cambridge, England, UK</t>
        </is>
      </c>
      <c r="G701" s="8" t="n"/>
      <c r="H701" s="14" t="n"/>
      <c r="I701" s="15">
        <f>IF($H701="","",$H701-TODAY())</f>
        <v/>
      </c>
      <c r="J701" s="16" t="inlineStr">
        <is>
          <t>Open posting</t>
        </is>
      </c>
      <c r="K701" s="8" t="inlineStr">
        <is>
          <t>filtered by keyword pre-scan</t>
        </is>
      </c>
      <c r="L701" s="17" t="inlineStr">
        <is>
          <t>new</t>
        </is>
      </c>
      <c r="M701" s="18" t="inlineStr"/>
      <c r="N701" s="7" t="inlineStr">
        <is>
          <t>cc4e70c20e5fb4a48e9b87c88069bc1d68ccf2fc</t>
        </is>
      </c>
      <c r="O701" s="14" t="n">
        <v>46172</v>
      </c>
      <c r="P701" s="7" t="inlineStr">
        <is>
          <t>jobspy</t>
        </is>
      </c>
      <c r="Q701" s="8" t="inlineStr">
        <is>
          <t>python, raspberry pi, c, embedded systems</t>
        </is>
      </c>
      <c r="R701" s="8" t="inlineStr">
        <is>
          <t>Firmware Engineer Raspberry Pi embedded</t>
        </is>
      </c>
      <c r="S701" s="19" t="n"/>
      <c r="T701" s="19" t="n"/>
      <c r="U701" s="14" t="n">
        <v>46192</v>
      </c>
      <c r="V701" s="7" t="inlineStr">
        <is>
          <t>v2-cv-accuracy-13b988b18da8ea7d</t>
        </is>
      </c>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1.61</v>
      </c>
      <c r="C702" s="12" t="inlineStr">
        <is>
          <t>Unspecified</t>
        </is>
      </c>
      <c r="D702" s="8" t="inlineStr">
        <is>
          <t>Software Engineer</t>
        </is>
      </c>
      <c r="E702" s="7" t="inlineStr">
        <is>
          <t>Valarian</t>
        </is>
      </c>
      <c r="F702" s="8" t="inlineStr">
        <is>
          <t>London, England, UK</t>
        </is>
      </c>
      <c r="G702" s="8" t="n"/>
      <c r="H702" s="14" t="n"/>
      <c r="I702" s="15">
        <f>IF($H702="","",$H702-TODAY())</f>
        <v/>
      </c>
      <c r="J702" s="16" t="inlineStr">
        <is>
          <t>Open posting</t>
        </is>
      </c>
      <c r="K702" s="8" t="inlineStr">
        <is>
          <t>filtered by keyword pre-scan</t>
        </is>
      </c>
      <c r="L702" s="17" t="inlineStr">
        <is>
          <t>new</t>
        </is>
      </c>
      <c r="M702" s="18" t="inlineStr"/>
      <c r="N702" s="7" t="inlineStr">
        <is>
          <t>202b1ee55c879d539492c8af50411093001372f8</t>
        </is>
      </c>
      <c r="O702" s="14" t="n">
        <v>46189</v>
      </c>
      <c r="P702" s="7" t="inlineStr">
        <is>
          <t>jobspy</t>
        </is>
      </c>
      <c r="Q702" s="8" t="inlineStr">
        <is>
          <t>docker, kubernetes, git, c</t>
        </is>
      </c>
      <c r="R702" s="8" t="inlineStr">
        <is>
          <t>Graduate Backend Developer Docker Kubernetes</t>
        </is>
      </c>
      <c r="S702" s="19" t="n"/>
      <c r="T702" s="19" t="n"/>
      <c r="U702" s="14" t="n">
        <v>46192</v>
      </c>
      <c r="V702" s="7" t="inlineStr">
        <is>
          <t>v2-cv-accuracy-13b988b18da8ea7d</t>
        </is>
      </c>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1.61</v>
      </c>
      <c r="C703" s="12" t="inlineStr">
        <is>
          <t>Senior/Lead</t>
        </is>
      </c>
      <c r="D703" s="8" t="inlineStr">
        <is>
          <t>Software Engineer</t>
        </is>
      </c>
      <c r="E703" s="7" t="inlineStr">
        <is>
          <t>Cisco</t>
        </is>
      </c>
      <c r="F703" s="8" t="inlineStr">
        <is>
          <t>London, England, UK</t>
        </is>
      </c>
      <c r="G703" s="8" t="n"/>
      <c r="H703" s="14" t="n"/>
      <c r="I703" s="15">
        <f>IF($H703="","",$H703-TODAY())</f>
        <v/>
      </c>
      <c r="J703" s="16" t="inlineStr">
        <is>
          <t>Open posting</t>
        </is>
      </c>
      <c r="K703" s="8" t="inlineStr">
        <is>
          <t>filtered by keyword pre-scan</t>
        </is>
      </c>
      <c r="L703" s="17" t="inlineStr">
        <is>
          <t>new</t>
        </is>
      </c>
      <c r="M703" s="18" t="inlineStr"/>
      <c r="N703" s="7" t="inlineStr">
        <is>
          <t>a4f9e3b9e649a4da993a19e614e7516fe87ed247</t>
        </is>
      </c>
      <c r="O703" s="14" t="n">
        <v>46175</v>
      </c>
      <c r="P703" s="7" t="inlineStr">
        <is>
          <t>jobspy</t>
        </is>
      </c>
      <c r="Q703" s="8" t="inlineStr">
        <is>
          <t>docker, kubernetes, git, c</t>
        </is>
      </c>
      <c r="R703" s="8" t="inlineStr">
        <is>
          <t>Graduate Backend Developer Docker Kubernetes</t>
        </is>
      </c>
      <c r="S703" s="19" t="n"/>
      <c r="T703" s="19" t="n"/>
      <c r="U703" s="14" t="n">
        <v>46192</v>
      </c>
      <c r="V703" s="7" t="inlineStr">
        <is>
          <t>v2-cv-accuracy-13b988b18da8ea7d</t>
        </is>
      </c>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1.61</v>
      </c>
      <c r="C704" s="12" t="inlineStr">
        <is>
          <t>Mid-level</t>
        </is>
      </c>
      <c r="D704" s="8" t="inlineStr">
        <is>
          <t>Embedded Software Engineer</t>
        </is>
      </c>
      <c r="E704" s="7" t="inlineStr">
        <is>
          <t>Analog Devices</t>
        </is>
      </c>
      <c r="F704" s="8" t="inlineStr">
        <is>
          <t>Edinburgh, Scotland, UK</t>
        </is>
      </c>
      <c r="G704" s="8" t="n"/>
      <c r="H704" s="14" t="n"/>
      <c r="I704" s="15">
        <f>IF($H704="","",$H704-TODAY())</f>
        <v/>
      </c>
      <c r="J704" s="16" t="inlineStr">
        <is>
          <t>Open posting</t>
        </is>
      </c>
      <c r="K704" s="8" t="inlineStr">
        <is>
          <t>filtered by keyword pre-scan</t>
        </is>
      </c>
      <c r="L704" s="17" t="inlineStr">
        <is>
          <t>new</t>
        </is>
      </c>
      <c r="M704" s="18" t="inlineStr"/>
      <c r="N704" s="7" t="inlineStr">
        <is>
          <t>275496c19d6ef28c898231146e0d135b582a97f1</t>
        </is>
      </c>
      <c r="O704" s="14" t="n">
        <v>46191</v>
      </c>
      <c r="P704" s="7" t="inlineStr">
        <is>
          <t>jobspy</t>
        </is>
      </c>
      <c r="Q704" s="8" t="inlineStr">
        <is>
          <t>python, git, c, embedded systems</t>
        </is>
      </c>
      <c r="R704" s="8" t="inlineStr">
        <is>
          <t>Embedded Software Engineer C Python graduate</t>
        </is>
      </c>
      <c r="S704" s="19" t="n"/>
      <c r="T704" s="19" t="n"/>
      <c r="U704" s="14" t="n">
        <v>46192</v>
      </c>
      <c r="V704" s="7" t="inlineStr">
        <is>
          <t>v2-cv-accuracy-13b988b18da8ea7d</t>
        </is>
      </c>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1.61</v>
      </c>
      <c r="C705" s="12" t="inlineStr">
        <is>
          <t>Senior/Lead</t>
        </is>
      </c>
      <c r="D705" s="8" t="inlineStr">
        <is>
          <t>Software Engineer</t>
        </is>
      </c>
      <c r="E705" s="7" t="inlineStr">
        <is>
          <t>Ensera Design</t>
        </is>
      </c>
      <c r="F705" s="8" t="inlineStr">
        <is>
          <t>City Of Bristol, England, UK</t>
        </is>
      </c>
      <c r="G705" s="8" t="n"/>
      <c r="H705" s="14" t="n"/>
      <c r="I705" s="15">
        <f>IF($H705="","",$H705-TODAY())</f>
        <v/>
      </c>
      <c r="J705" s="16" t="inlineStr">
        <is>
          <t>Open posting</t>
        </is>
      </c>
      <c r="K705" s="8" t="inlineStr">
        <is>
          <t>filtered by keyword pre-scan</t>
        </is>
      </c>
      <c r="L705" s="17" t="inlineStr">
        <is>
          <t>new</t>
        </is>
      </c>
      <c r="M705" s="18" t="inlineStr"/>
      <c r="N705" s="7" t="inlineStr">
        <is>
          <t>c43532ba59cdf6236f0054791d9080ad7012b36a</t>
        </is>
      </c>
      <c r="O705" s="14" t="n">
        <v>46183</v>
      </c>
      <c r="P705" s="7" t="inlineStr">
        <is>
          <t>jobspy</t>
        </is>
      </c>
      <c r="Q705" s="8" t="inlineStr">
        <is>
          <t>python, stm32, c, embedded systems</t>
        </is>
      </c>
      <c r="R705" s="8" t="inlineStr">
        <is>
          <t>Embedded Software Engineer C Python graduate</t>
        </is>
      </c>
      <c r="S705" s="19" t="n"/>
      <c r="T705" s="19" t="n"/>
      <c r="U705" s="14" t="n">
        <v>46192</v>
      </c>
      <c r="V705" s="7" t="inlineStr">
        <is>
          <t>v2-cv-accuracy-13b988b18da8ea7d</t>
        </is>
      </c>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1.61</v>
      </c>
      <c r="C706" s="12" t="inlineStr">
        <is>
          <t>Unspecified</t>
        </is>
      </c>
      <c r="D706" s="8" t="inlineStr">
        <is>
          <t>Embedded Software Engineer</t>
        </is>
      </c>
      <c r="E706" s="7" t="inlineStr">
        <is>
          <t>EVONA</t>
        </is>
      </c>
      <c r="F706" s="8" t="inlineStr">
        <is>
          <t>London, England, UK</t>
        </is>
      </c>
      <c r="G706" s="8" t="n"/>
      <c r="H706" s="14" t="n"/>
      <c r="I706" s="15">
        <f>IF($H706="","",$H706-TODAY())</f>
        <v/>
      </c>
      <c r="J706" s="16" t="inlineStr">
        <is>
          <t>Open posting</t>
        </is>
      </c>
      <c r="K706" s="8" t="inlineStr">
        <is>
          <t>filtered by keyword pre-scan</t>
        </is>
      </c>
      <c r="L706" s="17" t="inlineStr">
        <is>
          <t>new</t>
        </is>
      </c>
      <c r="M706" s="18" t="inlineStr"/>
      <c r="N706" s="7" t="inlineStr">
        <is>
          <t>121763b591f6302d65344ab2daa231e8de16a9f8</t>
        </is>
      </c>
      <c r="O706" s="14" t="n">
        <v>46183</v>
      </c>
      <c r="P706" s="7" t="inlineStr">
        <is>
          <t>jobspy</t>
        </is>
      </c>
      <c r="Q706" s="8" t="inlineStr">
        <is>
          <t>python, docker, kubernetes, c</t>
        </is>
      </c>
      <c r="R706" s="8" t="inlineStr">
        <is>
          <t>Embedded Software Engineer C Python graduate</t>
        </is>
      </c>
      <c r="S706" s="19" t="n"/>
      <c r="T706" s="19" t="n"/>
      <c r="U706" s="14" t="n">
        <v>46192</v>
      </c>
      <c r="V706" s="7" t="inlineStr">
        <is>
          <t>v2-cv-accuracy-13b988b18da8ea7d</t>
        </is>
      </c>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1.61</v>
      </c>
      <c r="C707" s="12" t="inlineStr">
        <is>
          <t>Mid-level</t>
        </is>
      </c>
      <c r="D707" s="8" t="inlineStr">
        <is>
          <t>Data Engineer</t>
        </is>
      </c>
      <c r="E707" s="7" t="inlineStr">
        <is>
          <t>Beavertown Brewery</t>
        </is>
      </c>
      <c r="F707" s="8" t="inlineStr">
        <is>
          <t>Enfield, England, UK</t>
        </is>
      </c>
      <c r="G707" s="8" t="n"/>
      <c r="H707" s="14" t="n"/>
      <c r="I707" s="15">
        <f>IF($H707="","",$H707-TODAY())</f>
        <v/>
      </c>
      <c r="J707" s="16" t="inlineStr">
        <is>
          <t>Open posting</t>
        </is>
      </c>
      <c r="K707" s="8" t="inlineStr">
        <is>
          <t>filtered by keyword pre-scan</t>
        </is>
      </c>
      <c r="L707" s="17" t="inlineStr">
        <is>
          <t>new</t>
        </is>
      </c>
      <c r="M707" s="18" t="inlineStr"/>
      <c r="N707" s="7" t="inlineStr">
        <is>
          <t>1486ee10be16e7442af193f122e72441e278fb99</t>
        </is>
      </c>
      <c r="O707" s="14" t="n">
        <v>46190</v>
      </c>
      <c r="P707" s="7" t="inlineStr">
        <is>
          <t>jobspy</t>
        </is>
      </c>
      <c r="Q707" s="8" t="inlineStr">
        <is>
          <t>python, sql, git, c</t>
        </is>
      </c>
      <c r="R707" s="8" t="inlineStr">
        <is>
          <t>Graduate Data Engineer SQL Python pipeline</t>
        </is>
      </c>
      <c r="S707" s="19" t="n"/>
      <c r="T707" s="19" t="n"/>
      <c r="U707" s="14" t="n">
        <v>46192</v>
      </c>
      <c r="V707" s="7" t="inlineStr">
        <is>
          <t>v2-cv-accuracy-13b988b18da8ea7d</t>
        </is>
      </c>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1.61</v>
      </c>
      <c r="C708" s="12" t="inlineStr">
        <is>
          <t>Mid-level</t>
        </is>
      </c>
      <c r="D708" s="8" t="inlineStr">
        <is>
          <t>Data Engineer</t>
        </is>
      </c>
      <c r="E708" s="7" t="inlineStr">
        <is>
          <t>Quantium</t>
        </is>
      </c>
      <c r="F708" s="8" t="inlineStr">
        <is>
          <t>Salford, England, UK</t>
        </is>
      </c>
      <c r="G708" s="8" t="n"/>
      <c r="H708" s="14" t="n"/>
      <c r="I708" s="15">
        <f>IF($H708="","",$H708-TODAY())</f>
        <v/>
      </c>
      <c r="J708" s="16" t="inlineStr">
        <is>
          <t>Open posting</t>
        </is>
      </c>
      <c r="K708" s="8" t="inlineStr">
        <is>
          <t>filtered by keyword pre-scan</t>
        </is>
      </c>
      <c r="L708" s="17" t="inlineStr">
        <is>
          <t>new</t>
        </is>
      </c>
      <c r="M708" s="18" t="inlineStr"/>
      <c r="N708" s="7" t="inlineStr">
        <is>
          <t>6bd2b355fe39b3f19ed388bf7fce8a14bfec273c</t>
        </is>
      </c>
      <c r="O708" s="14" t="n">
        <v>46189</v>
      </c>
      <c r="P708" s="7" t="inlineStr">
        <is>
          <t>jobspy</t>
        </is>
      </c>
      <c r="Q708" s="8" t="inlineStr">
        <is>
          <t>python, sql, git, c</t>
        </is>
      </c>
      <c r="R708" s="8" t="inlineStr">
        <is>
          <t>Graduate Data Engineer SQL Python pipeline</t>
        </is>
      </c>
      <c r="S708" s="19" t="n"/>
      <c r="T708" s="19" t="n"/>
      <c r="U708" s="14" t="n">
        <v>46192</v>
      </c>
      <c r="V708" s="7" t="inlineStr">
        <is>
          <t>v2-cv-accuracy-13b988b18da8ea7d</t>
        </is>
      </c>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1.61</v>
      </c>
      <c r="C709" s="12" t="inlineStr">
        <is>
          <t>Mid-level</t>
        </is>
      </c>
      <c r="D709" s="8" t="inlineStr">
        <is>
          <t>Data Engineer</t>
        </is>
      </c>
      <c r="E709" s="7" t="inlineStr">
        <is>
          <t>Curve Analytics</t>
        </is>
      </c>
      <c r="F709" s="8" t="inlineStr">
        <is>
          <t>Greater London, England, UK</t>
        </is>
      </c>
      <c r="G709" s="8" t="n"/>
      <c r="H709" s="14" t="n"/>
      <c r="I709" s="15">
        <f>IF($H709="","",$H709-TODAY())</f>
        <v/>
      </c>
      <c r="J709" s="16" t="inlineStr">
        <is>
          <t>Open posting</t>
        </is>
      </c>
      <c r="K709" s="8" t="inlineStr">
        <is>
          <t>filtered by keyword pre-scan</t>
        </is>
      </c>
      <c r="L709" s="17" t="inlineStr">
        <is>
          <t>new</t>
        </is>
      </c>
      <c r="M709" s="18" t="inlineStr"/>
      <c r="N709" s="7" t="inlineStr">
        <is>
          <t>5e378d100b9482be4afedd23d9b1fcf8b737f1d4</t>
        </is>
      </c>
      <c r="O709" s="14" t="n">
        <v>46176</v>
      </c>
      <c r="P709" s="7" t="inlineStr">
        <is>
          <t>jobspy</t>
        </is>
      </c>
      <c r="Q709" s="8" t="inlineStr">
        <is>
          <t>python, sql, git, c</t>
        </is>
      </c>
      <c r="R709" s="8" t="inlineStr">
        <is>
          <t>Graduate Data Engineer SQL Python pipeline</t>
        </is>
      </c>
      <c r="S709" s="19" t="n"/>
      <c r="T709" s="19" t="n"/>
      <c r="U709" s="14" t="n">
        <v>46192</v>
      </c>
      <c r="V709" s="7" t="inlineStr">
        <is>
          <t>v2-cv-accuracy-13b988b18da8ea7d</t>
        </is>
      </c>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1.61</v>
      </c>
      <c r="C710" s="12" t="inlineStr">
        <is>
          <t>Unspecified</t>
        </is>
      </c>
      <c r="D710" s="8" t="inlineStr">
        <is>
          <t>DevOps Engineer</t>
        </is>
      </c>
      <c r="E710" s="7" t="inlineStr">
        <is>
          <t>Sanderson</t>
        </is>
      </c>
      <c r="F710" s="8" t="inlineStr">
        <is>
          <t>Leicester, England, UK</t>
        </is>
      </c>
      <c r="G710" s="8" t="n"/>
      <c r="H710" s="14" t="n"/>
      <c r="I710" s="15">
        <f>IF($H710="","",$H710-TODAY())</f>
        <v/>
      </c>
      <c r="J710" s="16" t="inlineStr">
        <is>
          <t>Open posting</t>
        </is>
      </c>
      <c r="K710" s="8" t="inlineStr">
        <is>
          <t>filtered by keyword pre-scan</t>
        </is>
      </c>
      <c r="L710" s="17" t="inlineStr">
        <is>
          <t>new</t>
        </is>
      </c>
      <c r="M710" s="18" t="inlineStr"/>
      <c r="N710" s="7" t="inlineStr">
        <is>
          <t>3cc8fee31d6dc705140e84a51da4f5b216b9768b</t>
        </is>
      </c>
      <c r="O710" s="14" t="n">
        <v>46182</v>
      </c>
      <c r="P710" s="7" t="inlineStr">
        <is>
          <t>jobspy</t>
        </is>
      </c>
      <c r="Q710" s="8" t="inlineStr">
        <is>
          <t>docker, kubernetes, git, c</t>
        </is>
      </c>
      <c r="R710" s="8" t="inlineStr">
        <is>
          <t>Graduate DevOps Engineer Docker Kubernetes Git</t>
        </is>
      </c>
      <c r="S710" s="19" t="n"/>
      <c r="T710" s="19" t="n"/>
      <c r="U710" s="14" t="n">
        <v>46192</v>
      </c>
      <c r="V710" s="7" t="inlineStr">
        <is>
          <t>v2-cv-accuracy-13b988b18da8ea7d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1.51</v>
      </c>
      <c r="C711" s="12" t="inlineStr">
        <is>
          <t>Mid-level</t>
        </is>
      </c>
      <c r="D711" s="8" t="inlineStr">
        <is>
          <t>Software Engineer</t>
        </is>
      </c>
      <c r="E711" s="7" t="inlineStr">
        <is>
          <t>Practicus</t>
        </is>
      </c>
      <c r="F711" s="8" t="inlineStr">
        <is>
          <t>England, United Kingdom</t>
        </is>
      </c>
      <c r="G711" s="8" t="n"/>
      <c r="H711" s="14" t="n"/>
      <c r="I711" s="15">
        <f>IF($H711="","",$H711-TODAY())</f>
        <v/>
      </c>
      <c r="J711" s="16" t="inlineStr">
        <is>
          <t>Open posting</t>
        </is>
      </c>
      <c r="K711" s="8" t="inlineStr">
        <is>
          <t>filtered by keyword pre-scan</t>
        </is>
      </c>
      <c r="L711" s="17" t="inlineStr">
        <is>
          <t>new</t>
        </is>
      </c>
      <c r="M711" s="18" t="inlineStr"/>
      <c r="N711" s="7" t="inlineStr">
        <is>
          <t>46df4952f1129633a162e2208610fdbc96d874b4</t>
        </is>
      </c>
      <c r="O711" s="14" t="n">
        <v>46195</v>
      </c>
      <c r="P711" s="7" t="inlineStr">
        <is>
          <t>jobspy</t>
        </is>
      </c>
      <c r="Q711" s="8" t="inlineStr">
        <is>
          <t>python, fpga, git, c</t>
        </is>
      </c>
      <c r="R711" s="8" t="inlineStr">
        <is>
          <t>Graduate Software Engineer Python embedded Linux</t>
        </is>
      </c>
      <c r="S711" s="19" t="n"/>
      <c r="T711" s="19" t="n"/>
      <c r="U711" s="14" t="n">
        <v>46198</v>
      </c>
      <c r="V711" s="7" t="inlineStr">
        <is>
          <t>v2-cv-accuracy-13b988b18da8ea7d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1.51</v>
      </c>
      <c r="C712" s="12" t="inlineStr">
        <is>
          <t>Senior/Lead</t>
        </is>
      </c>
      <c r="D712" s="8" t="inlineStr">
        <is>
          <t>Debug/Trace/Profiling Design Engineer</t>
        </is>
      </c>
      <c r="E712" s="7" t="inlineStr">
        <is>
          <t>SiFive</t>
        </is>
      </c>
      <c r="F712" s="8" t="inlineStr">
        <is>
          <t>Cambridge, England, UK</t>
        </is>
      </c>
      <c r="G712" s="8" t="n"/>
      <c r="H712" s="14" t="n"/>
      <c r="I712" s="15">
        <f>IF($H712="","",$H712-TODAY())</f>
        <v/>
      </c>
      <c r="J712" s="16" t="inlineStr">
        <is>
          <t>Open posting</t>
        </is>
      </c>
      <c r="K712" s="8" t="inlineStr">
        <is>
          <t>filtered by keyword pre-scan</t>
        </is>
      </c>
      <c r="L712" s="17" t="inlineStr">
        <is>
          <t>new</t>
        </is>
      </c>
      <c r="M712" s="18" t="inlineStr"/>
      <c r="N712" s="7" t="inlineStr">
        <is>
          <t>0d0f30e011b76a2f9887eade52ad6ab07c98159d</t>
        </is>
      </c>
      <c r="O712" s="14" t="n">
        <v>46190</v>
      </c>
      <c r="P712" s="7" t="inlineStr">
        <is>
          <t>jobspy</t>
        </is>
      </c>
      <c r="Q712" s="8" t="inlineStr">
        <is>
          <t>verilog, git, c, hardware design</t>
        </is>
      </c>
      <c r="R712" s="8" t="inlineStr">
        <is>
          <t>Graduate Verification Engineer digital design Verilog</t>
        </is>
      </c>
      <c r="S712" s="19" t="n"/>
      <c r="T712" s="19" t="n"/>
      <c r="U712" s="14" t="n">
        <v>46198</v>
      </c>
      <c r="V712" s="7" t="inlineStr">
        <is>
          <t>v2-cv-accuracy-13b988b18da8ea7d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1.51</v>
      </c>
      <c r="C713" s="12" t="inlineStr">
        <is>
          <t>Unspecified</t>
        </is>
      </c>
      <c r="D713" s="8" t="inlineStr">
        <is>
          <t>Data Engineer</t>
        </is>
      </c>
      <c r="E713" s="7" t="inlineStr">
        <is>
          <t>Made Tech</t>
        </is>
      </c>
      <c r="F713" s="8" t="inlineStr">
        <is>
          <t>Greater Manchester, England, UK</t>
        </is>
      </c>
      <c r="G713" s="8" t="n"/>
      <c r="H713" s="14" t="n"/>
      <c r="I713" s="15">
        <f>IF($H713="","",$H713-TODAY())</f>
        <v/>
      </c>
      <c r="J713" s="16" t="inlineStr">
        <is>
          <t>Open posting</t>
        </is>
      </c>
      <c r="K713" s="8" t="inlineStr">
        <is>
          <t>filtered by keyword pre-scan</t>
        </is>
      </c>
      <c r="L713" s="17" t="inlineStr">
        <is>
          <t>new</t>
        </is>
      </c>
      <c r="M713" s="18" t="inlineStr"/>
      <c r="N713" s="7" t="inlineStr">
        <is>
          <t>660a48bba3bad76c9e62cc11207b319e4c500447</t>
        </is>
      </c>
      <c r="O713" s="14" t="n">
        <v>46197</v>
      </c>
      <c r="P713" s="7" t="inlineStr">
        <is>
          <t>jobspy</t>
        </is>
      </c>
      <c r="Q713" s="8" t="inlineStr">
        <is>
          <t>python, sql, git, c</t>
        </is>
      </c>
      <c r="R713" s="8" t="inlineStr">
        <is>
          <t>Graduate Data Engineer Python SQL pipeline</t>
        </is>
      </c>
      <c r="S713" s="19" t="n"/>
      <c r="T713" s="19" t="n"/>
      <c r="U713" s="14" t="n">
        <v>46198</v>
      </c>
      <c r="V713" s="7" t="inlineStr">
        <is>
          <t>v2-cv-accuracy-13b988b18da8ea7d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1.51</v>
      </c>
      <c r="C714" s="12" t="inlineStr">
        <is>
          <t>Unspecified</t>
        </is>
      </c>
      <c r="D714" s="8" t="inlineStr">
        <is>
          <t>Data Engineer</t>
        </is>
      </c>
      <c r="E714" s="7" t="inlineStr">
        <is>
          <t>Made Tech</t>
        </is>
      </c>
      <c r="F714" s="8" t="inlineStr">
        <is>
          <t>Greater London, England, UK</t>
        </is>
      </c>
      <c r="G714" s="8" t="n"/>
      <c r="H714" s="14" t="n"/>
      <c r="I714" s="15">
        <f>IF($H714="","",$H714-TODAY())</f>
        <v/>
      </c>
      <c r="J714" s="16" t="inlineStr">
        <is>
          <t>Open posting</t>
        </is>
      </c>
      <c r="K714" s="8" t="inlineStr">
        <is>
          <t>filtered by keyword pre-scan</t>
        </is>
      </c>
      <c r="L714" s="17" t="inlineStr">
        <is>
          <t>new</t>
        </is>
      </c>
      <c r="M714" s="18" t="inlineStr"/>
      <c r="N714" s="7" t="inlineStr">
        <is>
          <t>1a11a7442ee16ab62607339707b25c463f2e5dc9</t>
        </is>
      </c>
      <c r="O714" s="14" t="n">
        <v>46197</v>
      </c>
      <c r="P714" s="7" t="inlineStr">
        <is>
          <t>jobspy</t>
        </is>
      </c>
      <c r="Q714" s="8" t="inlineStr">
        <is>
          <t>python, sql, git, c</t>
        </is>
      </c>
      <c r="R714" s="8" t="inlineStr">
        <is>
          <t>Graduate Data Engineer Python SQL pipeline</t>
        </is>
      </c>
      <c r="S714" s="19" t="n"/>
      <c r="T714" s="19" t="n"/>
      <c r="U714" s="14" t="n">
        <v>46198</v>
      </c>
      <c r="V714" s="7" t="inlineStr">
        <is>
          <t>v2-cv-accuracy-13b988b18da8ea7d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1.51</v>
      </c>
      <c r="C715" s="12" t="inlineStr">
        <is>
          <t>Unspecified</t>
        </is>
      </c>
      <c r="D715" s="8" t="inlineStr">
        <is>
          <t>Data Engineer</t>
        </is>
      </c>
      <c r="E715" s="7" t="inlineStr">
        <is>
          <t>On the Beach</t>
        </is>
      </c>
      <c r="F715" s="8" t="inlineStr">
        <is>
          <t>Manchester, England, UK</t>
        </is>
      </c>
      <c r="G715" s="8" t="n"/>
      <c r="H715" s="14" t="n"/>
      <c r="I715" s="15">
        <f>IF($H715="","",$H715-TODAY())</f>
        <v/>
      </c>
      <c r="J715" s="16" t="inlineStr">
        <is>
          <t>Open posting</t>
        </is>
      </c>
      <c r="K715" s="8" t="inlineStr">
        <is>
          <t>filtered by keyword pre-scan</t>
        </is>
      </c>
      <c r="L715" s="17" t="inlineStr">
        <is>
          <t>new</t>
        </is>
      </c>
      <c r="M715" s="18" t="inlineStr"/>
      <c r="N715" s="7" t="inlineStr">
        <is>
          <t>bc55233a06ed4f988409ba0758bdce2916d410c3</t>
        </is>
      </c>
      <c r="O715" s="14" t="n">
        <v>46197</v>
      </c>
      <c r="P715" s="7" t="inlineStr">
        <is>
          <t>jobspy</t>
        </is>
      </c>
      <c r="Q715" s="8" t="inlineStr">
        <is>
          <t>python, sql, git, c</t>
        </is>
      </c>
      <c r="R715" s="8" t="inlineStr">
        <is>
          <t>Graduate Data Engineer Python SQL pipeline</t>
        </is>
      </c>
      <c r="S715" s="19" t="n"/>
      <c r="T715" s="19" t="n"/>
      <c r="U715" s="14" t="n">
        <v>46198</v>
      </c>
      <c r="V715" s="7" t="inlineStr">
        <is>
          <t>v2-cv-accuracy-13b988b18da8ea7d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1.51</v>
      </c>
      <c r="C716" s="12" t="inlineStr">
        <is>
          <t>Junior</t>
        </is>
      </c>
      <c r="D716" s="8" t="inlineStr">
        <is>
          <t>Junior Embedded Systems Engineer</t>
        </is>
      </c>
      <c r="E716" s="7" t="inlineStr">
        <is>
          <t>Mansell Recruitment Group Plc</t>
        </is>
      </c>
      <c r="F716" s="8" t="inlineStr">
        <is>
          <t>Pulborough, England, UK</t>
        </is>
      </c>
      <c r="G716" s="8" t="n"/>
      <c r="H716" s="14" t="n"/>
      <c r="I716" s="15">
        <f>IF($H716="","",$H716-TODAY())</f>
        <v/>
      </c>
      <c r="J716" s="16" t="inlineStr">
        <is>
          <t>Open posting</t>
        </is>
      </c>
      <c r="K716" s="8" t="inlineStr">
        <is>
          <t>filtered by keyword pre-scan</t>
        </is>
      </c>
      <c r="L716" s="17" t="inlineStr">
        <is>
          <t>new</t>
        </is>
      </c>
      <c r="M716" s="18" t="inlineStr"/>
      <c r="N716" s="7" t="inlineStr">
        <is>
          <t>08be203e26af40db9070e6c0f9b6f525af2776aa</t>
        </is>
      </c>
      <c r="O716" s="14" t="n"/>
      <c r="P716" s="7" t="inlineStr">
        <is>
          <t>jobspy</t>
        </is>
      </c>
      <c r="Q716" s="8" t="inlineStr">
        <is>
          <t>git, c, embedded systems, dsp</t>
        </is>
      </c>
      <c r="R716" s="8" t="inlineStr">
        <is>
          <t>Junior Embedded Software Engineer C Python UK</t>
        </is>
      </c>
      <c r="S716" s="19" t="n"/>
      <c r="T716" s="19" t="n"/>
      <c r="U716" s="14" t="n">
        <v>46197</v>
      </c>
      <c r="V716" s="7" t="inlineStr">
        <is>
          <t>v2-cv-accuracy-13b988b18da8ea7d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1.51</v>
      </c>
      <c r="C717" s="12" t="inlineStr">
        <is>
          <t>Unspecified</t>
        </is>
      </c>
      <c r="D717" s="8" t="inlineStr">
        <is>
          <t>Data Engineer</t>
        </is>
      </c>
      <c r="E717" s="7" t="inlineStr">
        <is>
          <t>Made Tech</t>
        </is>
      </c>
      <c r="F717" s="8" t="inlineStr"/>
      <c r="G717" s="8" t="n"/>
      <c r="H717" s="14" t="n"/>
      <c r="I717" s="15">
        <f>IF($H717="","",$H717-TODAY())</f>
        <v/>
      </c>
      <c r="J717" s="16" t="inlineStr">
        <is>
          <t>Open posting</t>
        </is>
      </c>
      <c r="K717" s="8" t="inlineStr">
        <is>
          <t>filtered by keyword pre-scan</t>
        </is>
      </c>
      <c r="L717" s="17" t="inlineStr">
        <is>
          <t>new</t>
        </is>
      </c>
      <c r="M717" s="18" t="inlineStr"/>
      <c r="N717" s="7" t="inlineStr">
        <is>
          <t>ecac7ad23c26bfabb13c6c74fafb3de709d5cf91</t>
        </is>
      </c>
      <c r="O717" s="14" t="n"/>
      <c r="P717" s="7" t="inlineStr">
        <is>
          <t>jobspy</t>
        </is>
      </c>
      <c r="Q717" s="8" t="inlineStr">
        <is>
          <t>python, sql, git, c</t>
        </is>
      </c>
      <c r="R717" s="8" t="inlineStr">
        <is>
          <t>Junior Data Engineer Python SQL Docker remote</t>
        </is>
      </c>
      <c r="S717" s="19" t="n"/>
      <c r="T717" s="19" t="n"/>
      <c r="U717" s="14" t="n">
        <v>46197</v>
      </c>
      <c r="V717" s="7" t="inlineStr">
        <is>
          <t>v2-cv-accuracy-13b988b18da8ea7d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1.51</v>
      </c>
      <c r="C718" s="12" t="inlineStr">
        <is>
          <t>Unspecified</t>
        </is>
      </c>
      <c r="D718" s="8" t="inlineStr">
        <is>
          <t>Back End Developer</t>
        </is>
      </c>
      <c r="E718" s="7" t="inlineStr">
        <is>
          <t>Tata Consultancy Services</t>
        </is>
      </c>
      <c r="F718" s="8" t="inlineStr">
        <is>
          <t>London Area, United Kingdom</t>
        </is>
      </c>
      <c r="G718" s="8" t="n"/>
      <c r="H718" s="14" t="n"/>
      <c r="I718" s="15">
        <f>IF($H718="","",$H718-TODAY())</f>
        <v/>
      </c>
      <c r="J718" s="16" t="inlineStr">
        <is>
          <t>Open posting</t>
        </is>
      </c>
      <c r="K718" s="8" t="inlineStr">
        <is>
          <t>filtered by keyword pre-scan</t>
        </is>
      </c>
      <c r="L718" s="17" t="inlineStr">
        <is>
          <t>new</t>
        </is>
      </c>
      <c r="M718" s="18" t="inlineStr"/>
      <c r="N718" s="7" t="inlineStr">
        <is>
          <t>1af04f1fbab03315d0a2e466294e9c49a2b84fe6</t>
        </is>
      </c>
      <c r="O718" s="14" t="n">
        <v>46178</v>
      </c>
      <c r="P718" s="7" t="inlineStr">
        <is>
          <t>jobspy</t>
        </is>
      </c>
      <c r="Q718" s="8" t="inlineStr">
        <is>
          <t>docker, kubernetes, git, c</t>
        </is>
      </c>
      <c r="R718" s="8" t="inlineStr">
        <is>
          <t>Junior Python Developer backend Docker Kubernetes</t>
        </is>
      </c>
      <c r="S718" s="19" t="n"/>
      <c r="T718" s="19" t="n"/>
      <c r="U718" s="14" t="n">
        <v>46196</v>
      </c>
      <c r="V718" s="7" t="inlineStr">
        <is>
          <t>v2-cv-accuracy-13b988b18da8ea7d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1.51</v>
      </c>
      <c r="C719" s="12" t="inlineStr">
        <is>
          <t>Unspecified</t>
        </is>
      </c>
      <c r="D719" s="8" t="inlineStr">
        <is>
          <t>Control Systems Integration Engineer</t>
        </is>
      </c>
      <c r="E719" s="7" t="inlineStr">
        <is>
          <t>SubSea Craft Limited</t>
        </is>
      </c>
      <c r="F719" s="8" t="inlineStr">
        <is>
          <t>Portsmouth, England, UK</t>
        </is>
      </c>
      <c r="G719" s="8" t="n"/>
      <c r="H719" s="14" t="n"/>
      <c r="I719" s="15">
        <f>IF($H719="","",$H719-TODAY())</f>
        <v/>
      </c>
      <c r="J719" s="16" t="inlineStr">
        <is>
          <t>Open posting</t>
        </is>
      </c>
      <c r="K719" s="8" t="inlineStr">
        <is>
          <t>filtered by keyword pre-scan</t>
        </is>
      </c>
      <c r="L719" s="17" t="inlineStr">
        <is>
          <t>new</t>
        </is>
      </c>
      <c r="M719" s="18" t="inlineStr"/>
      <c r="N719" s="7" t="inlineStr">
        <is>
          <t>f740efb34f20ce0a62a5d1da9ed55b105297ce97</t>
        </is>
      </c>
      <c r="O719" s="14" t="n">
        <v>46193</v>
      </c>
      <c r="P719" s="7" t="inlineStr">
        <is>
          <t>jobspy</t>
        </is>
      </c>
      <c r="Q719" s="8" t="inlineStr">
        <is>
          <t>docker, git, c, embedded systems</t>
        </is>
      </c>
      <c r="R719" s="8" t="inlineStr">
        <is>
          <t>EngD Research Engineer electronics embedded systems</t>
        </is>
      </c>
      <c r="S719" s="19" t="n"/>
      <c r="T719" s="19" t="n"/>
      <c r="U719" s="14" t="n">
        <v>46196</v>
      </c>
      <c r="V719" s="7" t="inlineStr">
        <is>
          <t>v2-cv-accuracy-13b988b18da8ea7d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1.51</v>
      </c>
      <c r="C720" s="12" t="inlineStr">
        <is>
          <t>Unspecified</t>
        </is>
      </c>
      <c r="D720" s="8" t="inlineStr">
        <is>
          <t>Software Engineer</t>
        </is>
      </c>
      <c r="E720" s="7" t="inlineStr">
        <is>
          <t>Haystack</t>
        </is>
      </c>
      <c r="F720" s="8" t="inlineStr">
        <is>
          <t>Farnborough, England, UK</t>
        </is>
      </c>
      <c r="G720" s="8" t="n"/>
      <c r="H720" s="14" t="n"/>
      <c r="I720" s="15">
        <f>IF($H720="","",$H720-TODAY())</f>
        <v/>
      </c>
      <c r="J720" s="16" t="inlineStr">
        <is>
          <t>Open posting</t>
        </is>
      </c>
      <c r="K720" s="8" t="inlineStr">
        <is>
          <t>filtered by keyword pre-scan</t>
        </is>
      </c>
      <c r="L720" s="17" t="inlineStr">
        <is>
          <t>new</t>
        </is>
      </c>
      <c r="M720" s="18" t="inlineStr"/>
      <c r="N720" s="7" t="inlineStr">
        <is>
          <t>4bfbd9be7ca0936f9ce514d71f69052469cca4a7</t>
        </is>
      </c>
      <c r="O720" s="14" t="n"/>
      <c r="P720" s="7" t="inlineStr">
        <is>
          <t>jobspy</t>
        </is>
      </c>
      <c r="Q720" s="8" t="inlineStr">
        <is>
          <t>python, docker, kubernetes, c</t>
        </is>
      </c>
      <c r="R720" s="8" t="inlineStr">
        <is>
          <t>Graduate Software Engineer Python Docker Kubernetes</t>
        </is>
      </c>
      <c r="S720" s="19" t="n"/>
      <c r="T720" s="19" t="n"/>
      <c r="U720" s="14" t="n">
        <v>46196</v>
      </c>
      <c r="V720" s="7" t="inlineStr">
        <is>
          <t>v2-cv-accuracy-13b988b18da8ea7d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1.51</v>
      </c>
      <c r="C721" s="12" t="inlineStr">
        <is>
          <t>Senior/Lead</t>
        </is>
      </c>
      <c r="D721" s="8" t="inlineStr">
        <is>
          <t>Equities Trading System Engineer</t>
        </is>
      </c>
      <c r="E721" s="7" t="inlineStr">
        <is>
          <t>hackajob</t>
        </is>
      </c>
      <c r="F721" s="8" t="inlineStr">
        <is>
          <t>London, England, UK</t>
        </is>
      </c>
      <c r="G721" s="8" t="n"/>
      <c r="H721" s="14" t="n"/>
      <c r="I721" s="15">
        <f>IF($H721="","",$H721-TODAY())</f>
        <v/>
      </c>
      <c r="J721" s="16" t="inlineStr">
        <is>
          <t>Open posting</t>
        </is>
      </c>
      <c r="K721" s="8" t="inlineStr">
        <is>
          <t>filtered by keyword pre-scan</t>
        </is>
      </c>
      <c r="L721" s="17" t="inlineStr">
        <is>
          <t>new</t>
        </is>
      </c>
      <c r="M721" s="18" t="inlineStr"/>
      <c r="N721" s="7" t="inlineStr">
        <is>
          <t>d4676b4a1f40dc75373b5f1af43d1560a22e117a</t>
        </is>
      </c>
      <c r="O721" s="14" t="n"/>
      <c r="P721" s="7" t="inlineStr">
        <is>
          <t>jobspy</t>
        </is>
      </c>
      <c r="Q721" s="8" t="inlineStr">
        <is>
          <t>python, sql, git, c</t>
        </is>
      </c>
      <c r="R721" s="8" t="inlineStr">
        <is>
          <t>Graduate Systems Engineer hardware software</t>
        </is>
      </c>
      <c r="S721" s="19" t="n"/>
      <c r="T721" s="19" t="n"/>
      <c r="U721" s="14" t="n">
        <v>46195</v>
      </c>
      <c r="V721" s="7" t="inlineStr">
        <is>
          <t>v2-cv-accuracy-13b988b18da8ea7d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1.51</v>
      </c>
      <c r="C722" s="12" t="inlineStr">
        <is>
          <t>Mid-level</t>
        </is>
      </c>
      <c r="D722" s="8" t="inlineStr">
        <is>
          <t>AWS DevOps Engineer</t>
        </is>
      </c>
      <c r="E722" s="7" t="inlineStr">
        <is>
          <t>Leidos</t>
        </is>
      </c>
      <c r="F722" s="8" t="inlineStr">
        <is>
          <t>Bristol, England, UK</t>
        </is>
      </c>
      <c r="G722" s="8" t="n"/>
      <c r="H722" s="14" t="n"/>
      <c r="I722" s="15">
        <f>IF($H722="","",$H722-TODAY())</f>
        <v/>
      </c>
      <c r="J722" s="16" t="inlineStr">
        <is>
          <t>Open posting</t>
        </is>
      </c>
      <c r="K722" s="8" t="inlineStr">
        <is>
          <t>filtered by keyword pre-scan</t>
        </is>
      </c>
      <c r="L722" s="17" t="inlineStr">
        <is>
          <t>new</t>
        </is>
      </c>
      <c r="M722" s="18" t="inlineStr"/>
      <c r="N722" s="7" t="inlineStr">
        <is>
          <t>48122bf317212a2ebb3c1bb6aaa0a47c28c288d0</t>
        </is>
      </c>
      <c r="O722" s="14" t="n">
        <v>46191</v>
      </c>
      <c r="P722" s="7" t="inlineStr">
        <is>
          <t>jobspy</t>
        </is>
      </c>
      <c r="Q722" s="8" t="inlineStr">
        <is>
          <t>python, docker, git, c</t>
        </is>
      </c>
      <c r="R722" s="8" t="inlineStr">
        <is>
          <t>Platform Engineer graduate Python Docker remote</t>
        </is>
      </c>
      <c r="S722" s="19" t="n"/>
      <c r="T722" s="19" t="n"/>
      <c r="U722" s="14" t="n">
        <v>46195</v>
      </c>
      <c r="V722" s="7" t="inlineStr">
        <is>
          <t>v2-cv-accuracy-13b988b18da8ea7d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1.51</v>
      </c>
      <c r="C723" s="12" t="inlineStr">
        <is>
          <t>Senior/Lead</t>
        </is>
      </c>
      <c r="D723" s="8" t="inlineStr">
        <is>
          <t>DevOps Engineer</t>
        </is>
      </c>
      <c r="E723" s="7" t="inlineStr">
        <is>
          <t>Dexory</t>
        </is>
      </c>
      <c r="F723" s="8" t="inlineStr"/>
      <c r="G723" s="8" t="n"/>
      <c r="H723" s="14" t="n"/>
      <c r="I723" s="15">
        <f>IF($H723="","",$H723-TODAY())</f>
        <v/>
      </c>
      <c r="J723" s="16" t="inlineStr">
        <is>
          <t>Open posting</t>
        </is>
      </c>
      <c r="K723" s="8" t="inlineStr">
        <is>
          <t>filtered by keyword pre-scan</t>
        </is>
      </c>
      <c r="L723" s="17" t="inlineStr">
        <is>
          <t>new</t>
        </is>
      </c>
      <c r="M723" s="18" t="inlineStr"/>
      <c r="N723" s="7" t="inlineStr">
        <is>
          <t>3d16abd33de0fb6b1e9dc2c05bb3fb4496104cc0</t>
        </is>
      </c>
      <c r="O723" s="14" t="n">
        <v>46177</v>
      </c>
      <c r="P723" s="7" t="inlineStr">
        <is>
          <t>jobspy</t>
        </is>
      </c>
      <c r="Q723" s="8" t="inlineStr">
        <is>
          <t>docker, kubernetes, git, c</t>
        </is>
      </c>
      <c r="R723" s="8" t="inlineStr">
        <is>
          <t>Graduate Platform Engineer Docker Kubernetes Python</t>
        </is>
      </c>
      <c r="S723" s="19" t="n"/>
      <c r="T723" s="19" t="n"/>
      <c r="U723" s="14" t="n">
        <v>46195</v>
      </c>
      <c r="V723" s="7" t="inlineStr">
        <is>
          <t>v2-cv-accuracy-13b988b18da8ea7d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1.51</v>
      </c>
      <c r="C724" s="12" t="inlineStr">
        <is>
          <t>Senior/Lead</t>
        </is>
      </c>
      <c r="D724" s="8" t="inlineStr">
        <is>
          <t>Embedded Systems Engineer</t>
        </is>
      </c>
      <c r="E724" s="7" t="inlineStr">
        <is>
          <t>IC Resources</t>
        </is>
      </c>
      <c r="F724" s="8" t="inlineStr">
        <is>
          <t>Gloucestershire, England, UK</t>
        </is>
      </c>
      <c r="G724" s="8" t="n"/>
      <c r="H724" s="14" t="n"/>
      <c r="I724" s="15">
        <f>IF($H724="","",$H724-TODAY())</f>
        <v/>
      </c>
      <c r="J724" s="16" t="inlineStr">
        <is>
          <t>Open posting</t>
        </is>
      </c>
      <c r="K724" s="8" t="inlineStr">
        <is>
          <t>filtered by keyword pre-scan</t>
        </is>
      </c>
      <c r="L724" s="17" t="inlineStr">
        <is>
          <t>new</t>
        </is>
      </c>
      <c r="M724" s="18" t="inlineStr"/>
      <c r="N724" s="7" t="inlineStr">
        <is>
          <t>b341ee6c4eb9cab4d6064907080cdb65f3e424b9</t>
        </is>
      </c>
      <c r="O724" s="14" t="n"/>
      <c r="P724" s="7" t="inlineStr">
        <is>
          <t>jobspy</t>
        </is>
      </c>
      <c r="Q724" s="8" t="inlineStr">
        <is>
          <t>python, stm32, c, embedded systems</t>
        </is>
      </c>
      <c r="R724" s="8" t="inlineStr">
        <is>
          <t>Junior Embedded Software Engineer STM32</t>
        </is>
      </c>
      <c r="S724" s="19" t="n"/>
      <c r="T724" s="19" t="n"/>
      <c r="U724" s="14" t="n">
        <v>46195</v>
      </c>
      <c r="V724" s="7" t="inlineStr">
        <is>
          <t>v2-cv-accuracy-13b988b18da8ea7d</t>
        </is>
      </c>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1.51</v>
      </c>
      <c r="C725" s="12" t="inlineStr">
        <is>
          <t>Junior</t>
        </is>
      </c>
      <c r="D725" s="8" t="inlineStr">
        <is>
          <t>Junior Data Engineer</t>
        </is>
      </c>
      <c r="E725" s="7" t="inlineStr">
        <is>
          <t>Eebz Ltd</t>
        </is>
      </c>
      <c r="F725" s="8" t="inlineStr">
        <is>
          <t>Windsor, ENG, GB</t>
        </is>
      </c>
      <c r="G725" s="8" t="n"/>
      <c r="H725" s="14" t="n"/>
      <c r="I725" s="15">
        <f>IF($H725="","",$H725-TODAY())</f>
        <v/>
      </c>
      <c r="J725" s="16" t="inlineStr">
        <is>
          <t>Open posting</t>
        </is>
      </c>
      <c r="K725" s="8" t="inlineStr">
        <is>
          <t>filtered by keyword pre-scan</t>
        </is>
      </c>
      <c r="L725" s="17" t="inlineStr">
        <is>
          <t>new</t>
        </is>
      </c>
      <c r="M725" s="18" t="inlineStr"/>
      <c r="N725" s="7" t="inlineStr">
        <is>
          <t>599cce36954b09b3a6163cc95c5cc475c920dcc1</t>
        </is>
      </c>
      <c r="O725" s="14" t="n">
        <v>46195</v>
      </c>
      <c r="P725" s="7" t="inlineStr">
        <is>
          <t>jobspy</t>
        </is>
      </c>
      <c r="Q725" s="8" t="inlineStr">
        <is>
          <t>sql, git, c, javascript</t>
        </is>
      </c>
      <c r="R725" s="8" t="inlineStr">
        <is>
          <t>Graduate Computer Engineer digital design</t>
        </is>
      </c>
      <c r="S725" s="19" t="n"/>
      <c r="T725" s="19" t="n"/>
      <c r="U725" s="14" t="n">
        <v>46195</v>
      </c>
      <c r="V725" s="7" t="inlineStr">
        <is>
          <t>v2-cv-accuracy-13b988b18da8ea7d</t>
        </is>
      </c>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1.51</v>
      </c>
      <c r="C726" s="12" t="inlineStr">
        <is>
          <t>Senior/Lead</t>
        </is>
      </c>
      <c r="D726" s="8" t="inlineStr">
        <is>
          <t>Industrial Systems Engineer</t>
        </is>
      </c>
      <c r="E726" s="7" t="inlineStr">
        <is>
          <t>Evolito Ltd</t>
        </is>
      </c>
      <c r="F726" s="8" t="inlineStr">
        <is>
          <t>Bicester, England, UK</t>
        </is>
      </c>
      <c r="G726" s="8" t="n"/>
      <c r="H726" s="14" t="n"/>
      <c r="I726" s="15">
        <f>IF($H726="","",$H726-TODAY())</f>
        <v/>
      </c>
      <c r="J726" s="16" t="inlineStr">
        <is>
          <t>Open posting</t>
        </is>
      </c>
      <c r="K726" s="8" t="inlineStr">
        <is>
          <t>filtered by keyword pre-scan</t>
        </is>
      </c>
      <c r="L726" s="17" t="inlineStr">
        <is>
          <t>new</t>
        </is>
      </c>
      <c r="M726" s="18" t="inlineStr"/>
      <c r="N726" s="7" t="inlineStr">
        <is>
          <t>cdfb09c11773e06c30e7650fd3cd105429817b86</t>
        </is>
      </c>
      <c r="O726" s="14" t="n">
        <v>46185</v>
      </c>
      <c r="P726" s="7" t="inlineStr">
        <is>
          <t>jobspy</t>
        </is>
      </c>
      <c r="Q726" s="8" t="inlineStr">
        <is>
          <t>python, git, c, digital design</t>
        </is>
      </c>
      <c r="R726" s="8" t="inlineStr">
        <is>
          <t>Graduate Computer Engineer digital design</t>
        </is>
      </c>
      <c r="S726" s="19" t="n"/>
      <c r="T726" s="19" t="n"/>
      <c r="U726" s="14" t="n">
        <v>46194</v>
      </c>
      <c r="V726" s="7" t="inlineStr">
        <is>
          <t>v2-cv-accuracy-13b988b18da8ea7d</t>
        </is>
      </c>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1.51</v>
      </c>
      <c r="C727" s="12" t="inlineStr">
        <is>
          <t>Mid-level</t>
        </is>
      </c>
      <c r="D727" s="8" t="inlineStr">
        <is>
          <t>Verification Engineer</t>
        </is>
      </c>
      <c r="E727" s="7" t="inlineStr">
        <is>
          <t>Fractile</t>
        </is>
      </c>
      <c r="F727" s="8" t="inlineStr">
        <is>
          <t>London, England, UK</t>
        </is>
      </c>
      <c r="G727" s="8" t="n"/>
      <c r="H727" s="14" t="n"/>
      <c r="I727" s="15">
        <f>IF($H727="","",$H727-TODAY())</f>
        <v/>
      </c>
      <c r="J727" s="16" t="inlineStr">
        <is>
          <t>Open posting</t>
        </is>
      </c>
      <c r="K727" s="8" t="inlineStr">
        <is>
          <t>filtered by keyword pre-scan</t>
        </is>
      </c>
      <c r="L727" s="17" t="inlineStr">
        <is>
          <t>new</t>
        </is>
      </c>
      <c r="M727" s="18" t="inlineStr"/>
      <c r="N727" s="7" t="inlineStr">
        <is>
          <t>4fdd50f2e35965e926bcfaf12e877c170533a2d5</t>
        </is>
      </c>
      <c r="O727" s="14" t="n">
        <v>46186</v>
      </c>
      <c r="P727" s="7" t="inlineStr">
        <is>
          <t>jobspy</t>
        </is>
      </c>
      <c r="Q727" s="8" t="inlineStr">
        <is>
          <t>python, verilog, git, c</t>
        </is>
      </c>
      <c r="R727" s="8" t="inlineStr">
        <is>
          <t>Graduate FPGA Engineer Verilog Vivado</t>
        </is>
      </c>
      <c r="S727" s="19" t="n"/>
      <c r="T727" s="19" t="n"/>
      <c r="U727" s="14" t="n">
        <v>46194</v>
      </c>
      <c r="V727" s="7" t="inlineStr">
        <is>
          <t>v2-cv-accuracy-13b988b18da8ea7d</t>
        </is>
      </c>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1.51</v>
      </c>
      <c r="C728" s="12" t="inlineStr">
        <is>
          <t>Mid-level</t>
        </is>
      </c>
      <c r="D728" s="8" t="inlineStr">
        <is>
          <t>Verification Engineer</t>
        </is>
      </c>
      <c r="E728" s="7" t="inlineStr">
        <is>
          <t>Fractile</t>
        </is>
      </c>
      <c r="F728" s="8" t="inlineStr">
        <is>
          <t>Bristol, England, UK</t>
        </is>
      </c>
      <c r="G728" s="8" t="n"/>
      <c r="H728" s="14" t="n"/>
      <c r="I728" s="15">
        <f>IF($H728="","",$H728-TODAY())</f>
        <v/>
      </c>
      <c r="J728" s="16" t="inlineStr">
        <is>
          <t>Open posting</t>
        </is>
      </c>
      <c r="K728" s="8" t="inlineStr">
        <is>
          <t>filtered by keyword pre-scan</t>
        </is>
      </c>
      <c r="L728" s="17" t="inlineStr">
        <is>
          <t>new</t>
        </is>
      </c>
      <c r="M728" s="18" t="inlineStr"/>
      <c r="N728" s="7" t="inlineStr">
        <is>
          <t>542c7bb3b9b9a8dc0e43132ee6051c58442a4587</t>
        </is>
      </c>
      <c r="O728" s="14" t="n">
        <v>46186</v>
      </c>
      <c r="P728" s="7" t="inlineStr">
        <is>
          <t>jobspy</t>
        </is>
      </c>
      <c r="Q728" s="8" t="inlineStr">
        <is>
          <t>python, verilog, git, c</t>
        </is>
      </c>
      <c r="R728" s="8" t="inlineStr">
        <is>
          <t>Graduate FPGA Engineer Verilog Vivado</t>
        </is>
      </c>
      <c r="S728" s="19" t="n"/>
      <c r="T728" s="19" t="n"/>
      <c r="U728" s="14" t="n">
        <v>46194</v>
      </c>
      <c r="V728" s="7" t="inlineStr">
        <is>
          <t>v2-cv-accuracy-13b988b18da8ea7d</t>
        </is>
      </c>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1.51</v>
      </c>
      <c r="C729" s="12" t="inlineStr">
        <is>
          <t>Unspecified</t>
        </is>
      </c>
      <c r="D729" s="8" t="inlineStr">
        <is>
          <t>Analytics Engineer</t>
        </is>
      </c>
      <c r="E729" s="7" t="inlineStr">
        <is>
          <t>Rockstar Games</t>
        </is>
      </c>
      <c r="F729" s="8" t="inlineStr">
        <is>
          <t>Leeds, England, UK</t>
        </is>
      </c>
      <c r="G729" s="8" t="n"/>
      <c r="H729" s="14" t="n"/>
      <c r="I729" s="15">
        <f>IF($H729="","",$H729-TODAY())</f>
        <v/>
      </c>
      <c r="J729" s="16" t="inlineStr">
        <is>
          <t>Open posting</t>
        </is>
      </c>
      <c r="K729" s="8" t="inlineStr">
        <is>
          <t>filtered by keyword pre-scan</t>
        </is>
      </c>
      <c r="L729" s="17" t="inlineStr">
        <is>
          <t>new</t>
        </is>
      </c>
      <c r="M729" s="18" t="inlineStr"/>
      <c r="N729" s="7" t="inlineStr">
        <is>
          <t>9e8a360403d25a2110e854c88528d9818235df3c</t>
        </is>
      </c>
      <c r="O729" s="14" t="n">
        <v>46171</v>
      </c>
      <c r="P729" s="7" t="inlineStr">
        <is>
          <t>jobspy</t>
        </is>
      </c>
      <c r="Q729" s="8" t="inlineStr">
        <is>
          <t>python, sql, git, c</t>
        </is>
      </c>
      <c r="R729" s="8" t="inlineStr">
        <is>
          <t>Junior Python Developer backend SQL Sheffield</t>
        </is>
      </c>
      <c r="S729" s="19" t="n"/>
      <c r="T729" s="19" t="n"/>
      <c r="U729" s="14" t="n">
        <v>46193</v>
      </c>
      <c r="V729" s="7" t="inlineStr">
        <is>
          <t>v2-cv-accuracy-13b988b18da8ea7d</t>
        </is>
      </c>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1.51</v>
      </c>
      <c r="C730" s="12" t="inlineStr">
        <is>
          <t>Senior/Lead</t>
        </is>
      </c>
      <c r="D730" s="8" t="inlineStr">
        <is>
          <t>Data Engineer</t>
        </is>
      </c>
      <c r="E730" s="7" t="inlineStr">
        <is>
          <t>Creditsafe</t>
        </is>
      </c>
      <c r="F730" s="8" t="inlineStr">
        <is>
          <t>Cardiff, Wales, UK</t>
        </is>
      </c>
      <c r="G730" s="8" t="n"/>
      <c r="H730" s="14" t="n"/>
      <c r="I730" s="15">
        <f>IF($H730="","",$H730-TODAY())</f>
        <v/>
      </c>
      <c r="J730" s="16" t="inlineStr">
        <is>
          <t>Open posting</t>
        </is>
      </c>
      <c r="K730" s="8" t="inlineStr">
        <is>
          <t>filtered by keyword pre-scan</t>
        </is>
      </c>
      <c r="L730" s="17" t="inlineStr">
        <is>
          <t>new</t>
        </is>
      </c>
      <c r="M730" s="18" t="inlineStr"/>
      <c r="N730" s="7" t="inlineStr">
        <is>
          <t>53659115818962c0320f2ce195386cab6ac08a59</t>
        </is>
      </c>
      <c r="O730" s="14" t="n">
        <v>46182</v>
      </c>
      <c r="P730" s="7" t="inlineStr">
        <is>
          <t>jobspy</t>
        </is>
      </c>
      <c r="Q730" s="8" t="inlineStr">
        <is>
          <t>python, sql, mysql, c</t>
        </is>
      </c>
      <c r="R730" s="8" t="inlineStr">
        <is>
          <t>Junior Data Engineer SQL Python MySQL</t>
        </is>
      </c>
      <c r="S730" s="19" t="n"/>
      <c r="T730" s="19" t="n"/>
      <c r="U730" s="14" t="n">
        <v>46193</v>
      </c>
      <c r="V730" s="7" t="inlineStr">
        <is>
          <t>v2-cv-accuracy-13b988b18da8ea7d</t>
        </is>
      </c>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1.51</v>
      </c>
      <c r="C731" s="12" t="inlineStr">
        <is>
          <t>Unspecified</t>
        </is>
      </c>
      <c r="D731" s="8" t="inlineStr">
        <is>
          <t>Data Engineer</t>
        </is>
      </c>
      <c r="E731" s="7" t="inlineStr">
        <is>
          <t>European Bioinformatics Institute | EMBL-EBI</t>
        </is>
      </c>
      <c r="F731" s="8" t="inlineStr">
        <is>
          <t>England, United Kingdom</t>
        </is>
      </c>
      <c r="G731" s="8" t="n"/>
      <c r="H731" s="14" t="n">
        <v>46201</v>
      </c>
      <c r="I731" s="15">
        <f>IF($H731="","",$H731-TODAY())</f>
        <v/>
      </c>
      <c r="J731" s="16" t="inlineStr">
        <is>
          <t>Open posting</t>
        </is>
      </c>
      <c r="K731" s="8" t="inlineStr">
        <is>
          <t>filtered by keyword pre-scan</t>
        </is>
      </c>
      <c r="L731" s="17" t="inlineStr">
        <is>
          <t>new</t>
        </is>
      </c>
      <c r="M731" s="18" t="inlineStr"/>
      <c r="N731" s="7" t="inlineStr">
        <is>
          <t>694648b1dbf21dff56781b5a8f87582556151aed</t>
        </is>
      </c>
      <c r="O731" s="14" t="n">
        <v>46182</v>
      </c>
      <c r="P731" s="7" t="inlineStr">
        <is>
          <t>jobspy</t>
        </is>
      </c>
      <c r="Q731" s="8" t="inlineStr">
        <is>
          <t>python, sql, mysql, c</t>
        </is>
      </c>
      <c r="R731" s="8" t="inlineStr">
        <is>
          <t>Junior Data Engineer SQL Python MySQL</t>
        </is>
      </c>
      <c r="S731" s="19" t="n"/>
      <c r="T731" s="19" t="n"/>
      <c r="U731" s="14" t="n">
        <v>46193</v>
      </c>
      <c r="V731" s="7" t="inlineStr">
        <is>
          <t>v2-cv-accuracy-13b988b18da8ea7d</t>
        </is>
      </c>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1.51</v>
      </c>
      <c r="C732" s="12" t="inlineStr">
        <is>
          <t>Senior/Lead</t>
        </is>
      </c>
      <c r="D732" s="8" t="inlineStr">
        <is>
          <t>Sr. Software Engineer - Data Query Platform (GBR, Hybrid)</t>
        </is>
      </c>
      <c r="E732" s="7" t="inlineStr">
        <is>
          <t>CrowdStrike</t>
        </is>
      </c>
      <c r="F732" s="8" t="inlineStr">
        <is>
          <t>London, England, UK</t>
        </is>
      </c>
      <c r="G732" s="8" t="n"/>
      <c r="H732" s="14" t="n"/>
      <c r="I732" s="15">
        <f>IF($H732="","",$H732-TODAY())</f>
        <v/>
      </c>
      <c r="J732" s="16" t="inlineStr">
        <is>
          <t>Open posting</t>
        </is>
      </c>
      <c r="K732" s="8" t="inlineStr">
        <is>
          <t>filtered by keyword pre-scan</t>
        </is>
      </c>
      <c r="L732" s="17" t="inlineStr">
        <is>
          <t>new</t>
        </is>
      </c>
      <c r="M732" s="18" t="inlineStr"/>
      <c r="N732" s="7" t="inlineStr">
        <is>
          <t>60b8d011dbdd78717ba91df1373a6c39e6ed57b4</t>
        </is>
      </c>
      <c r="O732" s="14" t="n"/>
      <c r="P732" s="7" t="inlineStr">
        <is>
          <t>jobspy</t>
        </is>
      </c>
      <c r="Q732" s="8" t="inlineStr">
        <is>
          <t>sql, mysql, kubernetes, c</t>
        </is>
      </c>
      <c r="R732" s="8" t="inlineStr">
        <is>
          <t>Junior Data Engineer SQL Python MySQL</t>
        </is>
      </c>
      <c r="S732" s="19" t="n"/>
      <c r="T732" s="19" t="n"/>
      <c r="U732" s="14" t="n">
        <v>46193</v>
      </c>
      <c r="V732" s="7" t="inlineStr">
        <is>
          <t>v2-cv-accuracy-13b988b18da8ea7d</t>
        </is>
      </c>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1.51</v>
      </c>
      <c r="C733" s="12" t="inlineStr">
        <is>
          <t>Unspecified</t>
        </is>
      </c>
      <c r="D733" s="8" t="inlineStr">
        <is>
          <t>Modem Stack Engineer</t>
        </is>
      </c>
      <c r="E733" s="7" t="inlineStr">
        <is>
          <t>MARS Recruitment</t>
        </is>
      </c>
      <c r="F733" s="8" t="inlineStr">
        <is>
          <t>Oxford, England, UK</t>
        </is>
      </c>
      <c r="G733" s="8" t="n"/>
      <c r="H733" s="14" t="n"/>
      <c r="I733" s="15">
        <f>IF($H733="","",$H733-TODAY())</f>
        <v/>
      </c>
      <c r="J733" s="16" t="inlineStr">
        <is>
          <t>Open posting</t>
        </is>
      </c>
      <c r="K733" s="8" t="inlineStr">
        <is>
          <t>filtered by keyword pre-scan</t>
        </is>
      </c>
      <c r="L733" s="17" t="inlineStr">
        <is>
          <t>new</t>
        </is>
      </c>
      <c r="M733" s="18" t="inlineStr"/>
      <c r="N733" s="7" t="inlineStr">
        <is>
          <t>227e6e0c713c55783136546863b742235681ab5a</t>
        </is>
      </c>
      <c r="O733" s="14" t="n">
        <v>46184</v>
      </c>
      <c r="P733" s="7" t="inlineStr">
        <is>
          <t>jobspy</t>
        </is>
      </c>
      <c r="Q733" s="8" t="inlineStr">
        <is>
          <t>fpga, c, embedded systems, dsp</t>
        </is>
      </c>
      <c r="R733" s="8" t="inlineStr">
        <is>
          <t>Graduate Signal Processing Engineer DSP</t>
        </is>
      </c>
      <c r="S733" s="19" t="n"/>
      <c r="T733" s="19" t="n"/>
      <c r="U733" s="14" t="n">
        <v>46193</v>
      </c>
      <c r="V733" s="7" t="inlineStr">
        <is>
          <t>v2-cv-accuracy-13b988b18da8ea7d</t>
        </is>
      </c>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1.51</v>
      </c>
      <c r="C734" s="12" t="inlineStr">
        <is>
          <t>Unspecified</t>
        </is>
      </c>
      <c r="D734" s="8" t="inlineStr">
        <is>
          <t>Software Engineer</t>
        </is>
      </c>
      <c r="E734" s="7" t="inlineStr">
        <is>
          <t>Haystack</t>
        </is>
      </c>
      <c r="F734" s="8" t="inlineStr">
        <is>
          <t>Farnborough, England, UK</t>
        </is>
      </c>
      <c r="G734" s="8" t="n"/>
      <c r="H734" s="14" t="n"/>
      <c r="I734" s="15">
        <f>IF($H734="","",$H734-TODAY())</f>
        <v/>
      </c>
      <c r="J734" s="16" t="inlineStr">
        <is>
          <t>Open posting</t>
        </is>
      </c>
      <c r="K734" s="8" t="inlineStr">
        <is>
          <t>filtered by keyword pre-scan</t>
        </is>
      </c>
      <c r="L734" s="17" t="inlineStr">
        <is>
          <t>new</t>
        </is>
      </c>
      <c r="M734" s="18" t="inlineStr"/>
      <c r="N734" s="7" t="inlineStr">
        <is>
          <t>3fac5a9537e0dc16441e4652b2ca3af3faba07d1</t>
        </is>
      </c>
      <c r="O734" s="14" t="n"/>
      <c r="P734" s="7" t="inlineStr">
        <is>
          <t>jobspy</t>
        </is>
      </c>
      <c r="Q734" s="8" t="inlineStr">
        <is>
          <t>python, docker, kubernetes, c</t>
        </is>
      </c>
      <c r="R734" s="8" t="inlineStr">
        <is>
          <t>Graduate Software Engineer Python Docker</t>
        </is>
      </c>
      <c r="S734" s="19" t="n"/>
      <c r="T734" s="19" t="n"/>
      <c r="U734" s="14" t="n">
        <v>46193</v>
      </c>
      <c r="V734" s="7" t="inlineStr">
        <is>
          <t>v2-cv-accuracy-13b988b18da8ea7d</t>
        </is>
      </c>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1.51</v>
      </c>
      <c r="C735" s="12" t="inlineStr">
        <is>
          <t>Senior/Lead</t>
        </is>
      </c>
      <c r="D735" s="8" t="inlineStr">
        <is>
          <t>Platform Engineer</t>
        </is>
      </c>
      <c r="E735" s="7" t="inlineStr">
        <is>
          <t>Macquarie Group</t>
        </is>
      </c>
      <c r="F735" s="8" t="inlineStr">
        <is>
          <t>London, England, UK</t>
        </is>
      </c>
      <c r="G735" s="8" t="n"/>
      <c r="H735" s="14" t="n"/>
      <c r="I735" s="15">
        <f>IF($H735="","",$H735-TODAY())</f>
        <v/>
      </c>
      <c r="J735" s="16" t="inlineStr">
        <is>
          <t>Open posting</t>
        </is>
      </c>
      <c r="K735" s="8" t="inlineStr">
        <is>
          <t>filtered by keyword pre-scan</t>
        </is>
      </c>
      <c r="L735" s="17" t="inlineStr">
        <is>
          <t>new</t>
        </is>
      </c>
      <c r="M735" s="18" t="inlineStr"/>
      <c r="N735" s="7" t="inlineStr">
        <is>
          <t>c0e9ab0a061e1c9c1e5f5ab28e4c3b0969e8c25f</t>
        </is>
      </c>
      <c r="O735" s="14" t="n">
        <v>46183</v>
      </c>
      <c r="P735" s="7" t="inlineStr">
        <is>
          <t>jobspy</t>
        </is>
      </c>
      <c r="Q735" s="8" t="inlineStr">
        <is>
          <t>python, kubernetes, git, c</t>
        </is>
      </c>
      <c r="R735" s="8" t="inlineStr">
        <is>
          <t>Platform Engineer Docker Kubernetes Python</t>
        </is>
      </c>
      <c r="S735" s="19" t="n"/>
      <c r="T735" s="19" t="n"/>
      <c r="U735" s="14" t="n">
        <v>46193</v>
      </c>
      <c r="V735" s="7" t="inlineStr">
        <is>
          <t>v2-cv-accuracy-13b988b18da8ea7d</t>
        </is>
      </c>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1.51</v>
      </c>
      <c r="C736" s="12" t="inlineStr">
        <is>
          <t>Mid-level</t>
        </is>
      </c>
      <c r="D736" s="8" t="inlineStr">
        <is>
          <t>Platform Engineer - Core AI</t>
        </is>
      </c>
      <c r="E736" s="7" t="inlineStr">
        <is>
          <t>Millennium</t>
        </is>
      </c>
      <c r="F736" s="8" t="inlineStr">
        <is>
          <t>London, England, UK</t>
        </is>
      </c>
      <c r="G736" s="8" t="n"/>
      <c r="H736" s="14" t="n"/>
      <c r="I736" s="15">
        <f>IF($H736="","",$H736-TODAY())</f>
        <v/>
      </c>
      <c r="J736" s="16" t="inlineStr">
        <is>
          <t>Open posting</t>
        </is>
      </c>
      <c r="K736" s="8" t="inlineStr">
        <is>
          <t>filtered by keyword pre-scan</t>
        </is>
      </c>
      <c r="L736" s="17" t="inlineStr">
        <is>
          <t>new</t>
        </is>
      </c>
      <c r="M736" s="18" t="inlineStr"/>
      <c r="N736" s="7" t="inlineStr">
        <is>
          <t>ea4d2499976f501420e1ad1399a32ed1861d9db5</t>
        </is>
      </c>
      <c r="O736" s="14" t="n">
        <v>46180</v>
      </c>
      <c r="P736" s="7" t="inlineStr">
        <is>
          <t>jobspy</t>
        </is>
      </c>
      <c r="Q736" s="8" t="inlineStr">
        <is>
          <t>python, kubernetes, git, c</t>
        </is>
      </c>
      <c r="R736" s="8" t="inlineStr">
        <is>
          <t>Platform Engineer Docker Kubernetes Python</t>
        </is>
      </c>
      <c r="S736" s="19" t="n"/>
      <c r="T736" s="19" t="n"/>
      <c r="U736" s="14" t="n">
        <v>46193</v>
      </c>
      <c r="V736" s="7" t="inlineStr">
        <is>
          <t>v2-cv-accuracy-13b988b18da8ea7d</t>
        </is>
      </c>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1.51</v>
      </c>
      <c r="C737" s="12" t="inlineStr">
        <is>
          <t>Mid-level</t>
        </is>
      </c>
      <c r="D737" s="8" t="inlineStr">
        <is>
          <t>Mid-Level Platform Engineer (Kubernetes)</t>
        </is>
      </c>
      <c r="E737" s="7" t="inlineStr">
        <is>
          <t>Darktrace</t>
        </is>
      </c>
      <c r="F737" s="8" t="inlineStr"/>
      <c r="G737" s="8" t="n"/>
      <c r="H737" s="14" t="n"/>
      <c r="I737" s="15">
        <f>IF($H737="","",$H737-TODAY())</f>
        <v/>
      </c>
      <c r="J737" s="16" t="inlineStr">
        <is>
          <t>Open posting</t>
        </is>
      </c>
      <c r="K737" s="8" t="inlineStr">
        <is>
          <t>filtered by keyword pre-scan</t>
        </is>
      </c>
      <c r="L737" s="17" t="inlineStr">
        <is>
          <t>new</t>
        </is>
      </c>
      <c r="M737" s="18" t="inlineStr"/>
      <c r="N737" s="7" t="inlineStr">
        <is>
          <t>0d5b23c56aec35671ad2bc9d014e2736fcd99f79</t>
        </is>
      </c>
      <c r="O737" s="14" t="n">
        <v>46178</v>
      </c>
      <c r="P737" s="7" t="inlineStr">
        <is>
          <t>jobspy</t>
        </is>
      </c>
      <c r="Q737" s="8" t="inlineStr">
        <is>
          <t>python, kubernetes, git, c</t>
        </is>
      </c>
      <c r="R737" s="8" t="inlineStr">
        <is>
          <t>Platform Engineer Docker Kubernetes Python</t>
        </is>
      </c>
      <c r="S737" s="19" t="n"/>
      <c r="T737" s="19" t="n"/>
      <c r="U737" s="14" t="n">
        <v>46193</v>
      </c>
      <c r="V737" s="7" t="inlineStr">
        <is>
          <t>v2-cv-accuracy-13b988b18da8ea7d</t>
        </is>
      </c>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1.51</v>
      </c>
      <c r="C738" s="12" t="inlineStr">
        <is>
          <t>Mid-level</t>
        </is>
      </c>
      <c r="D738" s="8" t="inlineStr">
        <is>
          <t>Verification Engineer</t>
        </is>
      </c>
      <c r="E738" s="7" t="inlineStr">
        <is>
          <t>Fractile</t>
        </is>
      </c>
      <c r="F738" s="8" t="inlineStr">
        <is>
          <t>Bristol, England, UK</t>
        </is>
      </c>
      <c r="G738" s="8" t="n"/>
      <c r="H738" s="14" t="n"/>
      <c r="I738" s="15">
        <f>IF($H738="","",$H738-TODAY())</f>
        <v/>
      </c>
      <c r="J738" s="16" t="inlineStr">
        <is>
          <t>Open posting</t>
        </is>
      </c>
      <c r="K738" s="8" t="inlineStr">
        <is>
          <t>filtered by keyword pre-scan</t>
        </is>
      </c>
      <c r="L738" s="17" t="inlineStr">
        <is>
          <t>new</t>
        </is>
      </c>
      <c r="M738" s="18" t="inlineStr"/>
      <c r="N738" s="7" t="inlineStr">
        <is>
          <t>49ba4eaaf7ed84a5461254d9115af0e0848decdd</t>
        </is>
      </c>
      <c r="O738" s="14" t="n">
        <v>46186</v>
      </c>
      <c r="P738" s="7" t="inlineStr">
        <is>
          <t>jobspy</t>
        </is>
      </c>
      <c r="Q738" s="8" t="inlineStr">
        <is>
          <t>python, verilog, git, c</t>
        </is>
      </c>
      <c r="R738" s="8" t="inlineStr">
        <is>
          <t>Verification Engineer FPGA Verilog digital</t>
        </is>
      </c>
      <c r="S738" s="19" t="n"/>
      <c r="T738" s="19" t="n"/>
      <c r="U738" s="14" t="n">
        <v>46193</v>
      </c>
      <c r="V738" s="7" t="inlineStr">
        <is>
          <t>v2-cv-accuracy-13b988b18da8ea7d</t>
        </is>
      </c>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1.51</v>
      </c>
      <c r="C739" s="12" t="inlineStr">
        <is>
          <t>Junior</t>
        </is>
      </c>
      <c r="D739" s="8" t="inlineStr">
        <is>
          <t>Junior Software Engineer</t>
        </is>
      </c>
      <c r="E739" s="7" t="inlineStr">
        <is>
          <t>Aria</t>
        </is>
      </c>
      <c r="F739" s="8" t="inlineStr">
        <is>
          <t>London, ENG, GB</t>
        </is>
      </c>
      <c r="G739" s="8" t="n"/>
      <c r="H739" s="14" t="n"/>
      <c r="I739" s="15">
        <f>IF($H739="","",$H739-TODAY())</f>
        <v/>
      </c>
      <c r="J739" s="16" t="inlineStr">
        <is>
          <t>Open posting</t>
        </is>
      </c>
      <c r="K739" s="8" t="inlineStr">
        <is>
          <t>filtered by keyword pre-scan</t>
        </is>
      </c>
      <c r="L739" s="17" t="inlineStr">
        <is>
          <t>new</t>
        </is>
      </c>
      <c r="M739" s="18" t="inlineStr"/>
      <c r="N739" s="7" t="inlineStr">
        <is>
          <t>58972411ec63ee5f0304d72b5e66742527c52c56</t>
        </is>
      </c>
      <c r="O739" s="14" t="n">
        <v>46178</v>
      </c>
      <c r="P739" s="7" t="inlineStr">
        <is>
          <t>jobspy</t>
        </is>
      </c>
      <c r="Q739" s="8" t="inlineStr">
        <is>
          <t>python, docker, git, c</t>
        </is>
      </c>
      <c r="R739" s="8" t="inlineStr">
        <is>
          <t>Junior Software Engineer Python backend</t>
        </is>
      </c>
      <c r="S739" s="19" t="n"/>
      <c r="T739" s="19" t="n"/>
      <c r="U739" s="14" t="n">
        <v>46193</v>
      </c>
      <c r="V739" s="7" t="inlineStr">
        <is>
          <t>v2-cv-accuracy-13b988b18da8ea7d</t>
        </is>
      </c>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1.51</v>
      </c>
      <c r="C740" s="12" t="inlineStr">
        <is>
          <t>Unspecified</t>
        </is>
      </c>
      <c r="D740" s="8" t="inlineStr">
        <is>
          <t>Embedded Software Engineer</t>
        </is>
      </c>
      <c r="E740" s="7" t="inlineStr">
        <is>
          <t>IC Resources</t>
        </is>
      </c>
      <c r="F740" s="8" t="inlineStr">
        <is>
          <t>Oxford, England, UK</t>
        </is>
      </c>
      <c r="G740" s="8" t="n"/>
      <c r="H740" s="14" t="n"/>
      <c r="I740" s="15">
        <f>IF($H740="","",$H740-TODAY())</f>
        <v/>
      </c>
      <c r="J740" s="16" t="inlineStr">
        <is>
          <t>Open posting</t>
        </is>
      </c>
      <c r="K740" s="8" t="inlineStr">
        <is>
          <t>filtered by keyword pre-scan</t>
        </is>
      </c>
      <c r="L740" s="17" t="inlineStr">
        <is>
          <t>new</t>
        </is>
      </c>
      <c r="M740" s="18" t="inlineStr"/>
      <c r="N740" s="7" t="inlineStr">
        <is>
          <t>89676c16dda7e90bff9a53583248d8083bef1e0c</t>
        </is>
      </c>
      <c r="O740" s="14" t="n">
        <v>46175</v>
      </c>
      <c r="P740" s="7" t="inlineStr">
        <is>
          <t>jobspy</t>
        </is>
      </c>
      <c r="Q740" s="8" t="inlineStr">
        <is>
          <t>python, fpga, c, embedded systems</t>
        </is>
      </c>
      <c r="R740" s="8" t="inlineStr">
        <is>
          <t>Graduate Embedded Engineer Python FPGA</t>
        </is>
      </c>
      <c r="S740" s="19" t="n"/>
      <c r="T740" s="19" t="n"/>
      <c r="U740" s="14" t="n">
        <v>46192</v>
      </c>
      <c r="V740" s="7" t="inlineStr">
        <is>
          <t>v2-cv-accuracy-13b988b18da8ea7d</t>
        </is>
      </c>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1.51</v>
      </c>
      <c r="C741" s="12" t="inlineStr">
        <is>
          <t>Junior</t>
        </is>
      </c>
      <c r="D741" s="8" t="inlineStr">
        <is>
          <t>Data Engineer</t>
        </is>
      </c>
      <c r="E741" s="7" t="inlineStr">
        <is>
          <t>Information Tech Consultants</t>
        </is>
      </c>
      <c r="F741" s="8" t="inlineStr">
        <is>
          <t>Greater London, England, UK</t>
        </is>
      </c>
      <c r="G741" s="8" t="n"/>
      <c r="H741" s="14" t="n"/>
      <c r="I741" s="15">
        <f>IF($H741="","",$H741-TODAY())</f>
        <v/>
      </c>
      <c r="J741" s="16" t="inlineStr">
        <is>
          <t>Open posting</t>
        </is>
      </c>
      <c r="K741" s="8" t="inlineStr">
        <is>
          <t>filtered by keyword pre-scan</t>
        </is>
      </c>
      <c r="L741" s="17" t="inlineStr">
        <is>
          <t>new</t>
        </is>
      </c>
      <c r="M741" s="18" t="inlineStr"/>
      <c r="N741" s="7" t="inlineStr">
        <is>
          <t>44e2cf424e0fddee5ec9b04c6c7f91a33a5a716a</t>
        </is>
      </c>
      <c r="O741" s="14" t="n">
        <v>46184</v>
      </c>
      <c r="P741" s="7" t="inlineStr">
        <is>
          <t>jobspy</t>
        </is>
      </c>
      <c r="Q741" s="8" t="inlineStr">
        <is>
          <t>python, sql, git, c</t>
        </is>
      </c>
      <c r="R741" s="8" t="inlineStr">
        <is>
          <t>Graduate Data Engineer SQL Python pipeline</t>
        </is>
      </c>
      <c r="S741" s="19" t="n"/>
      <c r="T741" s="19" t="n"/>
      <c r="U741" s="14" t="n">
        <v>46192</v>
      </c>
      <c r="V741" s="7" t="inlineStr">
        <is>
          <t>v2-cv-accuracy-13b988b18da8ea7d</t>
        </is>
      </c>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1.51</v>
      </c>
      <c r="C742" s="12" t="inlineStr">
        <is>
          <t>Unspecified</t>
        </is>
      </c>
      <c r="D742" s="8" t="inlineStr">
        <is>
          <t>Data Engineer</t>
        </is>
      </c>
      <c r="E742" s="7" t="inlineStr">
        <is>
          <t>Vintage Cash Cow</t>
        </is>
      </c>
      <c r="F742" s="8" t="inlineStr">
        <is>
          <t>Leeds, England, UK</t>
        </is>
      </c>
      <c r="G742" s="8" t="n"/>
      <c r="H742" s="14" t="n"/>
      <c r="I742" s="15">
        <f>IF($H742="","",$H742-TODAY())</f>
        <v/>
      </c>
      <c r="J742" s="16" t="inlineStr">
        <is>
          <t>Open posting</t>
        </is>
      </c>
      <c r="K742" s="8" t="inlineStr">
        <is>
          <t>filtered by keyword pre-scan</t>
        </is>
      </c>
      <c r="L742" s="17" t="inlineStr">
        <is>
          <t>new</t>
        </is>
      </c>
      <c r="M742" s="18" t="inlineStr"/>
      <c r="N742" s="7" t="inlineStr">
        <is>
          <t>fb62eb612a037a3d6d04ee7f97a501744bfa5048</t>
        </is>
      </c>
      <c r="O742" s="14" t="n">
        <v>46181</v>
      </c>
      <c r="P742" s="7" t="inlineStr">
        <is>
          <t>jobspy</t>
        </is>
      </c>
      <c r="Q742" s="8" t="inlineStr">
        <is>
          <t>python, sql, git, c</t>
        </is>
      </c>
      <c r="R742" s="8" t="inlineStr">
        <is>
          <t>Graduate Data Engineer SQL Python pipeline</t>
        </is>
      </c>
      <c r="S742" s="19" t="n"/>
      <c r="T742" s="19" t="n"/>
      <c r="U742" s="14" t="n">
        <v>46192</v>
      </c>
      <c r="V742" s="7" t="inlineStr">
        <is>
          <t>v2-cv-accuracy-13b988b18da8ea7d</t>
        </is>
      </c>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1.51</v>
      </c>
      <c r="C743" s="12" t="inlineStr">
        <is>
          <t>Graduate/Entry</t>
        </is>
      </c>
      <c r="D743" s="8" t="inlineStr">
        <is>
          <t>Graduate Embedded Software Engineer (IoT)</t>
        </is>
      </c>
      <c r="E743" s="7" t="inlineStr">
        <is>
          <t>Helvar</t>
        </is>
      </c>
      <c r="F743" s="8" t="inlineStr">
        <is>
          <t>Dartford, England, UK</t>
        </is>
      </c>
      <c r="G743" s="8" t="n"/>
      <c r="H743" s="14" t="n"/>
      <c r="I743" s="15">
        <f>IF($H743="","",$H743-TODAY())</f>
        <v/>
      </c>
      <c r="J743" s="16" t="inlineStr">
        <is>
          <t>Open posting</t>
        </is>
      </c>
      <c r="K743" s="8" t="inlineStr">
        <is>
          <t>filtered by keyword pre-scan</t>
        </is>
      </c>
      <c r="L743" s="17" t="inlineStr">
        <is>
          <t>new</t>
        </is>
      </c>
      <c r="M743" s="18" t="inlineStr"/>
      <c r="N743" s="7" t="inlineStr">
        <is>
          <t>7a90a00c2db047e01dcc7451ea8921b74a38d93b</t>
        </is>
      </c>
      <c r="O743" s="14" t="n">
        <v>46185</v>
      </c>
      <c r="P743" s="7" t="inlineStr">
        <is>
          <t>jobspy</t>
        </is>
      </c>
      <c r="Q743" s="8" t="inlineStr">
        <is>
          <t>python, stm32, c</t>
        </is>
      </c>
      <c r="R743" s="8" t="inlineStr">
        <is>
          <t>Firmware Engineer STM32 embedded graduate</t>
        </is>
      </c>
      <c r="S743" s="19" t="n"/>
      <c r="T743" s="19" t="n"/>
      <c r="U743" s="14" t="n">
        <v>46192</v>
      </c>
      <c r="V743" s="7" t="inlineStr">
        <is>
          <t>v2-cv-accuracy-13b988b18da8ea7d</t>
        </is>
      </c>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1.51</v>
      </c>
      <c r="C744" s="12" t="inlineStr">
        <is>
          <t>Senior/Lead</t>
        </is>
      </c>
      <c r="D744" s="8" t="inlineStr">
        <is>
          <t>Systems Engineer</t>
        </is>
      </c>
      <c r="E744" s="7" t="inlineStr">
        <is>
          <t>Airbus Defence and Space</t>
        </is>
      </c>
      <c r="F744" s="8" t="inlineStr">
        <is>
          <t>Portsmouth, England, UK</t>
        </is>
      </c>
      <c r="G744" s="8" t="n"/>
      <c r="H744" s="14" t="n"/>
      <c r="I744" s="15">
        <f>IF($H744="","",$H744-TODAY())</f>
        <v/>
      </c>
      <c r="J744" s="16" t="inlineStr">
        <is>
          <t>Open posting</t>
        </is>
      </c>
      <c r="K744" s="8" t="inlineStr">
        <is>
          <t>filtered by keyword pre-scan</t>
        </is>
      </c>
      <c r="L744" s="17" t="inlineStr">
        <is>
          <t>new</t>
        </is>
      </c>
      <c r="M744" s="18" t="inlineStr"/>
      <c r="N744" s="7" t="inlineStr">
        <is>
          <t>4b7f24df8ce44e2b800a4b504d36db6c98e79903</t>
        </is>
      </c>
      <c r="O744" s="14" t="n">
        <v>46177</v>
      </c>
      <c r="P744" s="7" t="inlineStr">
        <is>
          <t>jobspy</t>
        </is>
      </c>
      <c r="Q744" s="8" t="inlineStr">
        <is>
          <t>python, fpga, git, c</t>
        </is>
      </c>
      <c r="R744" s="8" t="inlineStr">
        <is>
          <t>Graduate Systems Engineer hardware software</t>
        </is>
      </c>
      <c r="S744" s="19" t="n"/>
      <c r="T744" s="19" t="n"/>
      <c r="U744" s="14" t="n">
        <v>46192</v>
      </c>
      <c r="V744" s="7" t="inlineStr">
        <is>
          <t>v2-cv-accuracy-13b988b18da8ea7d</t>
        </is>
      </c>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1.51</v>
      </c>
      <c r="C745" s="12" t="inlineStr">
        <is>
          <t>Senior/Lead</t>
        </is>
      </c>
      <c r="D745" s="8" t="inlineStr">
        <is>
          <t>Data Engineer (contract)</t>
        </is>
      </c>
      <c r="E745" s="7" t="inlineStr">
        <is>
          <t>Microsoft</t>
        </is>
      </c>
      <c r="F745" s="8" t="inlineStr">
        <is>
          <t>Atherstone, England, UK</t>
        </is>
      </c>
      <c r="G745" s="8" t="n"/>
      <c r="H745" s="14" t="n"/>
      <c r="I745" s="15">
        <f>IF($H745="","",$H745-TODAY())</f>
        <v/>
      </c>
      <c r="J745" s="16" t="inlineStr">
        <is>
          <t>Open posting</t>
        </is>
      </c>
      <c r="K745" s="8" t="inlineStr">
        <is>
          <t>filtered by keyword pre-scan</t>
        </is>
      </c>
      <c r="L745" s="17" t="inlineStr">
        <is>
          <t>new</t>
        </is>
      </c>
      <c r="M745" s="18" t="inlineStr"/>
      <c r="N745" s="7" t="inlineStr">
        <is>
          <t>c17b550e6c19c4c9b9d055c1c240eb20be269ec8</t>
        </is>
      </c>
      <c r="O745" s="14" t="n">
        <v>46188</v>
      </c>
      <c r="P745" s="7" t="inlineStr">
        <is>
          <t>jobspy</t>
        </is>
      </c>
      <c r="Q745" s="8" t="inlineStr">
        <is>
          <t>python, sql, git, c</t>
        </is>
      </c>
      <c r="R745" s="8" t="inlineStr">
        <is>
          <t>Graduate Data Engineer SQL Python pipeline</t>
        </is>
      </c>
      <c r="S745" s="19" t="n"/>
      <c r="T745" s="19" t="n"/>
      <c r="U745" s="14" t="n">
        <v>46192</v>
      </c>
      <c r="V745" s="7" t="inlineStr">
        <is>
          <t>v2-cv-accuracy-13b988b18da8ea7d</t>
        </is>
      </c>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1.51</v>
      </c>
      <c r="C746" s="12" t="inlineStr">
        <is>
          <t>Mid-level</t>
        </is>
      </c>
      <c r="D746" s="8" t="inlineStr">
        <is>
          <t>Data Engineer</t>
        </is>
      </c>
      <c r="E746" s="7" t="inlineStr">
        <is>
          <t>Athsai</t>
        </is>
      </c>
      <c r="F746" s="8" t="inlineStr"/>
      <c r="G746" s="8" t="n"/>
      <c r="H746" s="14" t="n"/>
      <c r="I746" s="15">
        <f>IF($H746="","",$H746-TODAY())</f>
        <v/>
      </c>
      <c r="J746" s="16" t="inlineStr">
        <is>
          <t>Open posting</t>
        </is>
      </c>
      <c r="K746" s="8" t="inlineStr">
        <is>
          <t>filtered by keyword pre-scan</t>
        </is>
      </c>
      <c r="L746" s="17" t="inlineStr">
        <is>
          <t>new</t>
        </is>
      </c>
      <c r="M746" s="18" t="inlineStr"/>
      <c r="N746" s="7" t="inlineStr">
        <is>
          <t>e87bf0ff8e10d2f0b76626dd87eb7e97056d7b2d</t>
        </is>
      </c>
      <c r="O746" s="14" t="n">
        <v>46176</v>
      </c>
      <c r="P746" s="7" t="inlineStr">
        <is>
          <t>jobspy</t>
        </is>
      </c>
      <c r="Q746" s="8" t="inlineStr">
        <is>
          <t>python, sql, git, c</t>
        </is>
      </c>
      <c r="R746" s="8" t="inlineStr">
        <is>
          <t>Graduate Data Engineer SQL Python pipeline</t>
        </is>
      </c>
      <c r="S746" s="19" t="n"/>
      <c r="T746" s="19" t="n"/>
      <c r="U746" s="14" t="n">
        <v>46192</v>
      </c>
      <c r="V746" s="7" t="inlineStr">
        <is>
          <t>v2-cv-accuracy-13b988b18da8ea7d</t>
        </is>
      </c>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1.51</v>
      </c>
      <c r="C747" s="12" t="inlineStr">
        <is>
          <t>Unspecified</t>
        </is>
      </c>
      <c r="D747" s="8" t="inlineStr">
        <is>
          <t>Embedded Software Engineer</t>
        </is>
      </c>
      <c r="E747" s="7" t="inlineStr">
        <is>
          <t>KO2 Embedded Recruitment Solutions Ltd</t>
        </is>
      </c>
      <c r="F747" s="8" t="inlineStr">
        <is>
          <t>Blackburn, England, UK</t>
        </is>
      </c>
      <c r="G747" s="8" t="n"/>
      <c r="H747" s="14" t="n"/>
      <c r="I747" s="15">
        <f>IF($H747="","",$H747-TODAY())</f>
        <v/>
      </c>
      <c r="J747" s="16" t="inlineStr">
        <is>
          <t>Open posting</t>
        </is>
      </c>
      <c r="K747" s="8" t="inlineStr">
        <is>
          <t>filtered by keyword pre-scan</t>
        </is>
      </c>
      <c r="L747" s="17" t="inlineStr">
        <is>
          <t>new</t>
        </is>
      </c>
      <c r="M747" s="18" t="inlineStr"/>
      <c r="N747" s="7" t="inlineStr">
        <is>
          <t>3063fb34a0c4c83e2ab5093f04a40750d30117a1</t>
        </is>
      </c>
      <c r="O747" s="14" t="n">
        <v>46191</v>
      </c>
      <c r="P747" s="7" t="inlineStr">
        <is>
          <t>jobspy</t>
        </is>
      </c>
      <c r="Q747" s="8" t="inlineStr">
        <is>
          <t>stm32, c, embedded systems, hardware design</t>
        </is>
      </c>
      <c r="R747" s="8" t="inlineStr">
        <is>
          <t>Junior Embedded Software Engineer STM32</t>
        </is>
      </c>
      <c r="S747" s="19" t="n"/>
      <c r="T747" s="19" t="n"/>
      <c r="U747" s="14" t="n">
        <v>46192</v>
      </c>
      <c r="V747" s="7" t="inlineStr">
        <is>
          <t>v2-cv-accuracy-13b988b18da8ea7d</t>
        </is>
      </c>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1.51</v>
      </c>
      <c r="C748" s="12" t="inlineStr">
        <is>
          <t>Senior/Lead</t>
        </is>
      </c>
      <c r="D748" s="8" t="inlineStr">
        <is>
          <t>Embedded Systems Engineer</t>
        </is>
      </c>
      <c r="E748" s="7" t="inlineStr">
        <is>
          <t>IC Resources</t>
        </is>
      </c>
      <c r="F748" s="8" t="inlineStr">
        <is>
          <t>Gloucestershire, England, UK</t>
        </is>
      </c>
      <c r="G748" s="8" t="n"/>
      <c r="H748" s="14" t="n"/>
      <c r="I748" s="15">
        <f>IF($H748="","",$H748-TODAY())</f>
        <v/>
      </c>
      <c r="J748" s="16" t="inlineStr">
        <is>
          <t>Open posting</t>
        </is>
      </c>
      <c r="K748" s="8" t="inlineStr">
        <is>
          <t>filtered by keyword pre-scan</t>
        </is>
      </c>
      <c r="L748" s="17" t="inlineStr">
        <is>
          <t>new</t>
        </is>
      </c>
      <c r="M748" s="18" t="inlineStr"/>
      <c r="N748" s="7" t="inlineStr">
        <is>
          <t>1045b8346254bb5a5a446c5df9bb02ae5e82d867</t>
        </is>
      </c>
      <c r="O748" s="14" t="n">
        <v>46188</v>
      </c>
      <c r="P748" s="7" t="inlineStr">
        <is>
          <t>jobspy</t>
        </is>
      </c>
      <c r="Q748" s="8" t="inlineStr">
        <is>
          <t>python, stm32, c, embedded systems</t>
        </is>
      </c>
      <c r="R748" s="8" t="inlineStr">
        <is>
          <t>Junior Embedded Software Engineer STM32</t>
        </is>
      </c>
      <c r="S748" s="19" t="n"/>
      <c r="T748" s="19" t="n"/>
      <c r="U748" s="14" t="n">
        <v>46192</v>
      </c>
      <c r="V748" s="7" t="inlineStr">
        <is>
          <t>v2-cv-accuracy-13b988b18da8ea7d</t>
        </is>
      </c>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1.51</v>
      </c>
      <c r="C749" s="12" t="inlineStr">
        <is>
          <t>Unspecified</t>
        </is>
      </c>
      <c r="D749" s="8" t="inlineStr">
        <is>
          <t>Open Source Software Developer</t>
        </is>
      </c>
      <c r="E749" s="7" t="inlineStr">
        <is>
          <t>Lorien</t>
        </is>
      </c>
      <c r="F749" s="8" t="inlineStr">
        <is>
          <t>Cheltenham, England, UK</t>
        </is>
      </c>
      <c r="G749" s="8" t="n"/>
      <c r="H749" s="14" t="n"/>
      <c r="I749" s="15">
        <f>IF($H749="","",$H749-TODAY())</f>
        <v/>
      </c>
      <c r="J749" s="16" t="inlineStr">
        <is>
          <t>Open posting</t>
        </is>
      </c>
      <c r="K749" s="8" t="inlineStr">
        <is>
          <t>filtered by keyword pre-scan</t>
        </is>
      </c>
      <c r="L749" s="17" t="inlineStr">
        <is>
          <t>new</t>
        </is>
      </c>
      <c r="M749" s="18" t="inlineStr"/>
      <c r="N749" s="7" t="inlineStr">
        <is>
          <t>dbb93c2bada6e8fd1afac05fc5cb24a83b4c4f10</t>
        </is>
      </c>
      <c r="O749" s="14" t="n">
        <v>46184</v>
      </c>
      <c r="P749" s="7" t="inlineStr">
        <is>
          <t>jobspy</t>
        </is>
      </c>
      <c r="Q749" s="8" t="inlineStr">
        <is>
          <t>python, git, c, javascript</t>
        </is>
      </c>
      <c r="R749" s="8" t="inlineStr">
        <is>
          <t>Graduate Backend Developer Docker Kubernetes</t>
        </is>
      </c>
      <c r="S749" s="19" t="n"/>
      <c r="T749" s="19" t="n"/>
      <c r="U749" s="14" t="n">
        <v>46192</v>
      </c>
      <c r="V749" s="7" t="inlineStr">
        <is>
          <t>v2-cv-accuracy-13b988b18da8ea7d</t>
        </is>
      </c>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1.51</v>
      </c>
      <c r="C750" s="12" t="inlineStr">
        <is>
          <t>Unspecified</t>
        </is>
      </c>
      <c r="D750" s="8" t="inlineStr">
        <is>
          <t>Infrastructure Software Engineer</t>
        </is>
      </c>
      <c r="E750" s="7" t="inlineStr">
        <is>
          <t>Coram AI</t>
        </is>
      </c>
      <c r="F750" s="8" t="inlineStr">
        <is>
          <t>London, England, UK</t>
        </is>
      </c>
      <c r="G750" s="8" t="n"/>
      <c r="H750" s="14" t="n"/>
      <c r="I750" s="15">
        <f>IF($H750="","",$H750-TODAY())</f>
        <v/>
      </c>
      <c r="J750" s="16" t="inlineStr">
        <is>
          <t>Open posting</t>
        </is>
      </c>
      <c r="K750" s="8" t="inlineStr">
        <is>
          <t>filtered by keyword pre-scan</t>
        </is>
      </c>
      <c r="L750" s="17" t="inlineStr">
        <is>
          <t>new</t>
        </is>
      </c>
      <c r="M750" s="18" t="inlineStr"/>
      <c r="N750" s="7" t="inlineStr">
        <is>
          <t>1731d77b73568d02e8ca522d70584dbba5625a6f</t>
        </is>
      </c>
      <c r="O750" s="14" t="n">
        <v>46180</v>
      </c>
      <c r="P750" s="7" t="inlineStr">
        <is>
          <t>jobspy</t>
        </is>
      </c>
      <c r="Q750" s="8" t="inlineStr">
        <is>
          <t>python, docker, kubernetes, c</t>
        </is>
      </c>
      <c r="R750" s="8" t="inlineStr">
        <is>
          <t>Graduate Backend Developer Docker Kubernetes</t>
        </is>
      </c>
      <c r="S750" s="19" t="n"/>
      <c r="T750" s="19" t="n"/>
      <c r="U750" s="14" t="n">
        <v>46192</v>
      </c>
      <c r="V750" s="7" t="inlineStr">
        <is>
          <t>v2-cv-accuracy-13b988b18da8ea7d</t>
        </is>
      </c>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1.51</v>
      </c>
      <c r="C751" s="12" t="inlineStr">
        <is>
          <t>Unspecified</t>
        </is>
      </c>
      <c r="D751" s="8" t="inlineStr">
        <is>
          <t>DevOps Engineer</t>
        </is>
      </c>
      <c r="E751" s="7" t="inlineStr">
        <is>
          <t>ASSA ABLOY Group</t>
        </is>
      </c>
      <c r="F751" s="8" t="inlineStr">
        <is>
          <t>Olney, England, UK</t>
        </is>
      </c>
      <c r="G751" s="8" t="n"/>
      <c r="H751" s="14" t="n"/>
      <c r="I751" s="15">
        <f>IF($H751="","",$H751-TODAY())</f>
        <v/>
      </c>
      <c r="J751" s="16" t="inlineStr">
        <is>
          <t>Open posting</t>
        </is>
      </c>
      <c r="K751" s="8" t="inlineStr">
        <is>
          <t>filtered by keyword pre-scan</t>
        </is>
      </c>
      <c r="L751" s="17" t="inlineStr">
        <is>
          <t>new</t>
        </is>
      </c>
      <c r="M751" s="18" t="inlineStr"/>
      <c r="N751" s="7" t="inlineStr">
        <is>
          <t>15836091e842ffbfe600eddc9eaba2dbfa3d4827</t>
        </is>
      </c>
      <c r="O751" s="14" t="n">
        <v>46187</v>
      </c>
      <c r="P751" s="7" t="inlineStr">
        <is>
          <t>jobspy</t>
        </is>
      </c>
      <c r="Q751" s="8" t="inlineStr">
        <is>
          <t>docker, kubernetes, git, c</t>
        </is>
      </c>
      <c r="R751" s="8" t="inlineStr">
        <is>
          <t>Graduate DevOps Engineer Docker Kubernetes Git</t>
        </is>
      </c>
      <c r="S751" s="19" t="n"/>
      <c r="T751" s="19" t="n"/>
      <c r="U751" s="14" t="n">
        <v>46192</v>
      </c>
      <c r="V751" s="7" t="inlineStr">
        <is>
          <t>v2-cv-accuracy-13b988b18da8ea7d</t>
        </is>
      </c>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1.51</v>
      </c>
      <c r="C752" s="12" t="inlineStr">
        <is>
          <t>Junior</t>
        </is>
      </c>
      <c r="D752" s="8" t="inlineStr">
        <is>
          <t>DevOps Software Engineer</t>
        </is>
      </c>
      <c r="E752" s="7" t="inlineStr">
        <is>
          <t>Deloitte</t>
        </is>
      </c>
      <c r="F752" s="8" t="inlineStr">
        <is>
          <t>City Of London, England, UK</t>
        </is>
      </c>
      <c r="G752" s="8" t="n"/>
      <c r="H752" s="14" t="n"/>
      <c r="I752" s="15">
        <f>IF($H752="","",$H752-TODAY())</f>
        <v/>
      </c>
      <c r="J752" s="16" t="inlineStr">
        <is>
          <t>Open posting</t>
        </is>
      </c>
      <c r="K752" s="8" t="inlineStr">
        <is>
          <t>filtered by keyword pre-scan</t>
        </is>
      </c>
      <c r="L752" s="17" t="inlineStr">
        <is>
          <t>new</t>
        </is>
      </c>
      <c r="M752" s="18" t="inlineStr"/>
      <c r="N752" s="7" t="inlineStr">
        <is>
          <t>ba596895ef9d78ef469c8a327dfe2f35f1f16ba3</t>
        </is>
      </c>
      <c r="O752" s="14" t="n">
        <v>46182</v>
      </c>
      <c r="P752" s="7" t="inlineStr">
        <is>
          <t>jobspy</t>
        </is>
      </c>
      <c r="Q752" s="8" t="inlineStr">
        <is>
          <t>docker, kubernetes, git, c</t>
        </is>
      </c>
      <c r="R752" s="8" t="inlineStr">
        <is>
          <t>Graduate DevOps Engineer Docker Kubernetes Git</t>
        </is>
      </c>
      <c r="S752" s="19" t="n"/>
      <c r="T752" s="19" t="n"/>
      <c r="U752" s="14" t="n">
        <v>46192</v>
      </c>
      <c r="V752" s="7" t="inlineStr">
        <is>
          <t>v2-cv-accuracy-13b988b18da8ea7d</t>
        </is>
      </c>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1.5</v>
      </c>
      <c r="C753" s="12" t="inlineStr">
        <is>
          <t>Junior</t>
        </is>
      </c>
      <c r="D753" s="8" t="inlineStr">
        <is>
          <t>Java Full Stack Developer</t>
        </is>
      </c>
      <c r="E753" s="7" t="inlineStr">
        <is>
          <t>Stott and May</t>
        </is>
      </c>
      <c r="F753" s="8" t="inlineStr">
        <is>
          <t>London, England, UK</t>
        </is>
      </c>
      <c r="G753" s="8" t="n"/>
      <c r="H753" s="14" t="n"/>
      <c r="I753" s="15">
        <f>IF($H753="","",$H753-TODAY())</f>
        <v/>
      </c>
      <c r="J753" s="16" t="inlineStr">
        <is>
          <t>Open posting</t>
        </is>
      </c>
      <c r="K753" s="8" t="inlineStr">
        <is>
          <t>Requires 10+ years senior Java experience and mentoring; candidate is a 2-year graduate with no Java background.</t>
        </is>
      </c>
      <c r="L753" s="17" t="inlineStr">
        <is>
          <t>new</t>
        </is>
      </c>
      <c r="M753" s="18" t="inlineStr"/>
      <c r="N753" s="7" t="inlineStr">
        <is>
          <t>664d9dd78e3d31fad0112588087606daefe04871</t>
        </is>
      </c>
      <c r="O753" s="14" t="n">
        <v>46190</v>
      </c>
      <c r="P753" s="7" t="inlineStr">
        <is>
          <t>jobspy</t>
        </is>
      </c>
      <c r="Q753" s="8" t="inlineStr">
        <is>
          <t>SQL, Docker, Kubernetes, Python, REST APIs</t>
        </is>
      </c>
      <c r="R753" s="8" t="inlineStr">
        <is>
          <t>Junior Python Developer backend SQL Docker</t>
        </is>
      </c>
      <c r="S753" s="19" t="n"/>
      <c r="T753" s="19" t="n"/>
      <c r="U753" s="14" t="n">
        <v>46198</v>
      </c>
      <c r="V753" s="7" t="inlineStr">
        <is>
          <t>v2-cv-accuracy-13b988b18da8ea7d</t>
        </is>
      </c>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1.5</v>
      </c>
      <c r="C754" s="12" t="inlineStr">
        <is>
          <t>Mid-level</t>
        </is>
      </c>
      <c r="D754" s="8" t="inlineStr">
        <is>
          <t>Full Stack Developer</t>
        </is>
      </c>
      <c r="E754" s="7" t="inlineStr">
        <is>
          <t>Morgan McKinley</t>
        </is>
      </c>
      <c r="F754" s="8" t="inlineStr">
        <is>
          <t>London Area, United Kingdom</t>
        </is>
      </c>
      <c r="G754" s="8" t="n"/>
      <c r="H754" s="14" t="n"/>
      <c r="I754" s="15">
        <f>IF($H754="","",$H754-TODAY())</f>
        <v/>
      </c>
      <c r="J754" s="16" t="inlineStr">
        <is>
          <t>Open posting</t>
        </is>
      </c>
      <c r="K754" s="8" t="inlineStr">
        <is>
          <t>Senior full-stack role requiring deep React/TypeScript/Node or C#/.NET expertise and Azure; seniority and most required skills are absent from profile.</t>
        </is>
      </c>
      <c r="L754" s="17" t="inlineStr">
        <is>
          <t>new</t>
        </is>
      </c>
      <c r="M754" s="18" t="inlineStr"/>
      <c r="N754" s="7" t="inlineStr">
        <is>
          <t>f170d0097e5f6c5ea40b886279bb384861bea3f8</t>
        </is>
      </c>
      <c r="O754" s="14" t="n">
        <v>46174</v>
      </c>
      <c r="P754" s="7" t="inlineStr">
        <is>
          <t>jobspy</t>
        </is>
      </c>
      <c r="Q754" s="8" t="inlineStr">
        <is>
          <t>React, Node.js, Git</t>
        </is>
      </c>
      <c r="R754" s="8" t="inlineStr">
        <is>
          <t>Junior Python Developer backend SQL Docker</t>
        </is>
      </c>
      <c r="S754" s="19" t="n"/>
      <c r="T754" s="19" t="n"/>
      <c r="U754" s="14" t="n">
        <v>46196</v>
      </c>
      <c r="V754" s="7" t="inlineStr">
        <is>
          <t>v2-cv-accuracy-13b988b18da8ea7d</t>
        </is>
      </c>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1.5</v>
      </c>
      <c r="C755" s="12" t="inlineStr">
        <is>
          <t>Senior/Lead</t>
        </is>
      </c>
      <c r="D755" s="8" t="inlineStr">
        <is>
          <t>Digital Design Engineer</t>
        </is>
      </c>
      <c r="E755" s="7" t="inlineStr">
        <is>
          <t>microTECH Global LTD</t>
        </is>
      </c>
      <c r="F755" s="8" t="inlineStr">
        <is>
          <t>England, United Kingdom</t>
        </is>
      </c>
      <c r="G755" s="8" t="n"/>
      <c r="H755" s="14" t="n"/>
      <c r="I755" s="15">
        <f>IF($H755="","",$H755-TODAY())</f>
        <v/>
      </c>
      <c r="J755" s="16" t="inlineStr">
        <is>
          <t>Open posting</t>
        </is>
      </c>
      <c r="K755" s="8" t="inlineStr">
        <is>
          <t>Requires 8+ years and Senior Staff seniority, both hard exclusions against graduate-level profile.</t>
        </is>
      </c>
      <c r="L755" s="17" t="inlineStr">
        <is>
          <t>new</t>
        </is>
      </c>
      <c r="M755" s="18" t="inlineStr"/>
      <c r="N755" s="7" t="inlineStr">
        <is>
          <t>6ad23fdbac6c3bd4a3379593d1a072d8f9647a64</t>
        </is>
      </c>
      <c r="O755" s="14" t="n">
        <v>46176</v>
      </c>
      <c r="P755" s="7" t="inlineStr">
        <is>
          <t>jobspy</t>
        </is>
      </c>
      <c r="Q755" s="8" t="inlineStr">
        <is>
          <t>Verilog, Python</t>
        </is>
      </c>
      <c r="R755" s="8" t="inlineStr">
        <is>
          <t>Graduate Digital Design Engineer FPGA</t>
        </is>
      </c>
      <c r="S755" s="19" t="n"/>
      <c r="T755" s="19" t="n"/>
      <c r="U755" s="14" t="n">
        <v>46193</v>
      </c>
      <c r="V755" s="7" t="inlineStr">
        <is>
          <t>v2-cv-accuracy-13b988b18da8ea7d</t>
        </is>
      </c>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1.5</v>
      </c>
      <c r="C756" s="12" t="inlineStr">
        <is>
          <t>Junior</t>
        </is>
      </c>
      <c r="D756" s="8" t="inlineStr">
        <is>
          <t>Back End Developer</t>
        </is>
      </c>
      <c r="E756" s="7" t="inlineStr">
        <is>
          <t>TESTQ Technologies</t>
        </is>
      </c>
      <c r="F756" s="8" t="inlineStr">
        <is>
          <t>Sheffield, England, UK</t>
        </is>
      </c>
      <c r="G756" s="8" t="n"/>
      <c r="H756" s="14" t="n"/>
      <c r="I756" s="15">
        <f>IF($H756="","",$H756-TODAY())</f>
        <v/>
      </c>
      <c r="J756" s="16" t="inlineStr">
        <is>
          <t>Open posting</t>
        </is>
      </c>
      <c r="K756" s="8" t="inlineStr">
        <is>
          <t>Requires 8 years experience with 3 years in a lead role; far above the candidate's 2-year profile and violates seniority negative signals.</t>
        </is>
      </c>
      <c r="L756" s="17" t="inlineStr">
        <is>
          <t>new</t>
        </is>
      </c>
      <c r="M756" s="18" t="inlineStr"/>
      <c r="N756" s="7" t="inlineStr">
        <is>
          <t>1eb609cb2e1c398ec959e5a07c43e691f42fea6b</t>
        </is>
      </c>
      <c r="O756" s="14" t="n"/>
      <c r="P756" s="7" t="inlineStr">
        <is>
          <t>jobspy</t>
        </is>
      </c>
      <c r="Q756" s="8" t="inlineStr">
        <is>
          <t>Python, JavaScript</t>
        </is>
      </c>
      <c r="R756" s="8" t="inlineStr">
        <is>
          <t>Junior Python Developer Sheffield</t>
        </is>
      </c>
      <c r="S756" s="19" t="n"/>
      <c r="T756" s="19" t="n"/>
      <c r="U756" s="14" t="n">
        <v>46192</v>
      </c>
      <c r="V756" s="7" t="inlineStr">
        <is>
          <t>v2-cv-accuracy-13b988b18da8ea7d</t>
        </is>
      </c>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1.5</v>
      </c>
      <c r="C757" s="12" t="inlineStr">
        <is>
          <t>Junior</t>
        </is>
      </c>
      <c r="D757" s="8" t="inlineStr">
        <is>
          <t>Software Engineer</t>
        </is>
      </c>
      <c r="E757" s="7" t="inlineStr">
        <is>
          <t>Gemba Advantage</t>
        </is>
      </c>
      <c r="F757" s="8" t="inlineStr">
        <is>
          <t>London Area, United Kingdom</t>
        </is>
      </c>
      <c r="G757" s="8" t="n"/>
      <c r="H757" s="14" t="n"/>
      <c r="I757" s="15">
        <f>IF($H757="","",$H757-TODAY())</f>
        <v/>
      </c>
      <c r="J757" s="16" t="inlineStr">
        <is>
          <t>Open posting</t>
        </is>
      </c>
      <c r="K757" s="8" t="inlineStr">
        <is>
          <t>SC and DV clearance required—explicit description_excludes trigger—making this role ineligible regardless of skill overlap.</t>
        </is>
      </c>
      <c r="L757" s="17" t="inlineStr">
        <is>
          <t>new</t>
        </is>
      </c>
      <c r="M757" s="18" t="inlineStr"/>
      <c r="N757" s="7" t="inlineStr">
        <is>
          <t>89b4eaaf80abc1b5734a7fbcbb6cbfe9187e3512</t>
        </is>
      </c>
      <c r="O757" s="14" t="n">
        <v>46184</v>
      </c>
      <c r="P757" s="7" t="inlineStr">
        <is>
          <t>jobspy</t>
        </is>
      </c>
      <c r="Q757" s="8" t="inlineStr">
        <is>
          <t>Python, Docker, Kubernetes</t>
        </is>
      </c>
      <c r="R757" s="8" t="inlineStr">
        <is>
          <t>Graduate Backend Developer Docker Kubernetes</t>
        </is>
      </c>
      <c r="S757" s="19" t="n"/>
      <c r="T757" s="19" t="n"/>
      <c r="U757" s="14" t="n">
        <v>46192</v>
      </c>
      <c r="V757" s="7" t="inlineStr">
        <is>
          <t>v2-cv-accuracy-13b988b18da8ea7d</t>
        </is>
      </c>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1.49</v>
      </c>
      <c r="C758" s="12" t="inlineStr">
        <is>
          <t>Senior/Lead</t>
        </is>
      </c>
      <c r="D758" s="8" t="inlineStr">
        <is>
          <t>Software Engineer</t>
        </is>
      </c>
      <c r="E758" s="7" t="inlineStr">
        <is>
          <t>Equifax</t>
        </is>
      </c>
      <c r="F758" s="8" t="inlineStr">
        <is>
          <t>Nottingham, England, UK</t>
        </is>
      </c>
      <c r="G758" s="8" t="n"/>
      <c r="H758" s="14" t="n"/>
      <c r="I758" s="15">
        <f>IF($H758="","",$H758-TODAY())</f>
        <v/>
      </c>
      <c r="J758" s="16" t="inlineStr">
        <is>
          <t>Open posting</t>
        </is>
      </c>
      <c r="K758" s="8" t="inlineStr">
        <is>
          <t>filtered by keyword pre-scan</t>
        </is>
      </c>
      <c r="L758" s="17" t="inlineStr">
        <is>
          <t>new</t>
        </is>
      </c>
      <c r="M758" s="18" t="inlineStr"/>
      <c r="N758" s="7" t="inlineStr">
        <is>
          <t>5cb88ab47cd6d45e22871f6749fbf767d444f44b</t>
        </is>
      </c>
      <c r="O758" s="14" t="n">
        <v>46178</v>
      </c>
      <c r="P758" s="7" t="inlineStr">
        <is>
          <t>jobspy</t>
        </is>
      </c>
      <c r="Q758" s="8" t="inlineStr">
        <is>
          <t>python, sql, javascript, git, software development</t>
        </is>
      </c>
      <c r="R758" s="8" t="inlineStr">
        <is>
          <t>Full Stack Developer Sheffield</t>
        </is>
      </c>
      <c r="S758" s="19" t="n"/>
      <c r="T758" s="19" t="n"/>
      <c r="U758" s="14" t="n">
        <v>46191</v>
      </c>
      <c r="V758" s="7" t="inlineStr">
        <is>
          <t>v2-cv-accuracy-13b988b18da8ea7d</t>
        </is>
      </c>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1.43</v>
      </c>
      <c r="C759" s="12" t="inlineStr">
        <is>
          <t>Graduate/Entry</t>
        </is>
      </c>
      <c r="D759" s="8" t="inlineStr">
        <is>
          <t>Graduate Software Engineer</t>
        </is>
      </c>
      <c r="E759" s="7" t="inlineStr">
        <is>
          <t>Haystack</t>
        </is>
      </c>
      <c r="F759" s="8" t="inlineStr">
        <is>
          <t>Oxford, England, UK</t>
        </is>
      </c>
      <c r="G759" s="8" t="n"/>
      <c r="H759" s="14" t="n"/>
      <c r="I759" s="15">
        <f>IF($H759="","",$H759-TODAY())</f>
        <v/>
      </c>
      <c r="J759" s="16" t="inlineStr">
        <is>
          <t>Open posting</t>
        </is>
      </c>
      <c r="K759" s="8" t="inlineStr">
        <is>
          <t>filtered by keyword pre-scan</t>
        </is>
      </c>
      <c r="L759" s="17" t="inlineStr">
        <is>
          <t>new</t>
        </is>
      </c>
      <c r="M759" s="18" t="inlineStr"/>
      <c r="N759" s="7" t="inlineStr">
        <is>
          <t>a66b1f74bc1f736867500595b0cb36115c0d85d8</t>
        </is>
      </c>
      <c r="O759" s="14" t="n"/>
      <c r="P759" s="7" t="inlineStr">
        <is>
          <t>jobspy</t>
        </is>
      </c>
      <c r="Q759" s="8" t="inlineStr">
        <is>
          <t>python, git</t>
        </is>
      </c>
      <c r="R759" s="8" t="inlineStr">
        <is>
          <t>graduate Graduate Software Developer</t>
        </is>
      </c>
      <c r="S759" s="19" t="n"/>
      <c r="T759" s="19" t="n"/>
      <c r="U759" s="14" t="n">
        <v>46192</v>
      </c>
      <c r="V759" s="7" t="inlineStr">
        <is>
          <t>v2-cv-accuracy-13b988b18da8ea7d</t>
        </is>
      </c>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1.43</v>
      </c>
      <c r="C760" s="12" t="inlineStr">
        <is>
          <t>Senior/Lead</t>
        </is>
      </c>
      <c r="D760" s="8" t="inlineStr">
        <is>
          <t>Software Engineer - Emerging Platform Infrastructure &amp; Automation</t>
        </is>
      </c>
      <c r="E760" s="7" t="inlineStr">
        <is>
          <t>Apple</t>
        </is>
      </c>
      <c r="F760" s="8" t="inlineStr">
        <is>
          <t>London, ENG, GB</t>
        </is>
      </c>
      <c r="G760" s="8" t="n"/>
      <c r="H760" s="14" t="n"/>
      <c r="I760" s="15">
        <f>IF($H760="","",$H760-TODAY())</f>
        <v/>
      </c>
      <c r="J760" s="16" t="inlineStr">
        <is>
          <t>Open posting</t>
        </is>
      </c>
      <c r="K760" s="8" t="inlineStr">
        <is>
          <t>filtered by keyword pre-scan</t>
        </is>
      </c>
      <c r="L760" s="17" t="inlineStr">
        <is>
          <t>new</t>
        </is>
      </c>
      <c r="M760" s="18" t="inlineStr"/>
      <c r="N760" s="7" t="inlineStr">
        <is>
          <t>ace9c81d56476e1b947983d3e3e1b422f631e70b</t>
        </is>
      </c>
      <c r="O760" s="14" t="n">
        <v>46190</v>
      </c>
      <c r="P760" s="7" t="inlineStr">
        <is>
          <t>jobspy</t>
        </is>
      </c>
      <c r="Q760" s="8" t="inlineStr">
        <is>
          <t>python, software development</t>
        </is>
      </c>
      <c r="R760" s="8" t="inlineStr">
        <is>
          <t>Full Stack Developer</t>
        </is>
      </c>
      <c r="S760" s="19" t="n"/>
      <c r="T760" s="19" t="n"/>
      <c r="U760" s="14" t="n">
        <v>46192</v>
      </c>
      <c r="V760" s="7" t="inlineStr">
        <is>
          <t>v2-cv-accuracy-13b988b18da8ea7d</t>
        </is>
      </c>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1.43</v>
      </c>
      <c r="C761" s="12" t="inlineStr">
        <is>
          <t>Unspecified</t>
        </is>
      </c>
      <c r="D761" s="8" t="inlineStr">
        <is>
          <t>Full Stack Software Developer</t>
        </is>
      </c>
      <c r="E761" s="7" t="inlineStr">
        <is>
          <t>Haystack</t>
        </is>
      </c>
      <c r="F761" s="8" t="inlineStr">
        <is>
          <t>Exeter, England, UK</t>
        </is>
      </c>
      <c r="G761" s="8" t="n"/>
      <c r="H761" s="14" t="n"/>
      <c r="I761" s="15">
        <f>IF($H761="","",$H761-TODAY())</f>
        <v/>
      </c>
      <c r="J761" s="16" t="inlineStr">
        <is>
          <t>Open posting</t>
        </is>
      </c>
      <c r="K761" s="8" t="inlineStr">
        <is>
          <t>filtered by keyword pre-scan</t>
        </is>
      </c>
      <c r="L761" s="17" t="inlineStr">
        <is>
          <t>new</t>
        </is>
      </c>
      <c r="M761" s="18" t="inlineStr"/>
      <c r="N761" s="7" t="inlineStr">
        <is>
          <t>3312ab57ffed4f8926b2d99b9802029b1f7fe1e6</t>
        </is>
      </c>
      <c r="O761" s="14" t="n"/>
      <c r="P761" s="7" t="inlineStr">
        <is>
          <t>jobspy</t>
        </is>
      </c>
      <c r="Q761" s="8" t="inlineStr">
        <is>
          <t>sql, javascript</t>
        </is>
      </c>
      <c r="R761" s="8" t="inlineStr">
        <is>
          <t>Full Stack Developer</t>
        </is>
      </c>
      <c r="S761" s="19" t="n"/>
      <c r="T761" s="19" t="n"/>
      <c r="U761" s="14" t="n">
        <v>46192</v>
      </c>
      <c r="V761" s="7" t="inlineStr">
        <is>
          <t>v2-cv-accuracy-13b988b18da8ea7d</t>
        </is>
      </c>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1.43</v>
      </c>
      <c r="C762" s="12" t="inlineStr">
        <is>
          <t>Mid-level</t>
        </is>
      </c>
      <c r="D762" s="8" t="inlineStr">
        <is>
          <t>Full Stack Engineer</t>
        </is>
      </c>
      <c r="E762" s="7" t="inlineStr">
        <is>
          <t>Oho Group</t>
        </is>
      </c>
      <c r="F762" s="8" t="inlineStr">
        <is>
          <t>London Area, United Kingdom</t>
        </is>
      </c>
      <c r="G762" s="8" t="n"/>
      <c r="H762" s="14" t="n"/>
      <c r="I762" s="15">
        <f>IF($H762="","",$H762-TODAY())</f>
        <v/>
      </c>
      <c r="J762" s="16" t="inlineStr">
        <is>
          <t>Open posting</t>
        </is>
      </c>
      <c r="K762" s="8" t="inlineStr">
        <is>
          <t>filtered by keyword pre-scan</t>
        </is>
      </c>
      <c r="L762" s="17" t="inlineStr">
        <is>
          <t>new</t>
        </is>
      </c>
      <c r="M762" s="18" t="inlineStr"/>
      <c r="N762" s="7" t="inlineStr">
        <is>
          <t>823f3307fb47eb40ae47c6a6e79befde8df8179b</t>
        </is>
      </c>
      <c r="O762" s="14" t="n"/>
      <c r="P762" s="7" t="inlineStr">
        <is>
          <t>jobspy</t>
        </is>
      </c>
      <c r="Q762" s="8" t="inlineStr">
        <is>
          <t>python, javascript</t>
        </is>
      </c>
      <c r="R762" s="8" t="inlineStr">
        <is>
          <t>graduate Full Stack Developer</t>
        </is>
      </c>
      <c r="S762" s="19" t="n"/>
      <c r="T762" s="19" t="n"/>
      <c r="U762" s="14" t="n">
        <v>46192</v>
      </c>
      <c r="V762" s="7" t="inlineStr">
        <is>
          <t>v2-cv-accuracy-13b988b18da8ea7d</t>
        </is>
      </c>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1.43</v>
      </c>
      <c r="C763" s="12" t="inlineStr">
        <is>
          <t>Mid-level</t>
        </is>
      </c>
      <c r="D763" s="8" t="inlineStr">
        <is>
          <t>Machine Learning Engineer</t>
        </is>
      </c>
      <c r="E763" s="7" t="inlineStr">
        <is>
          <t>Cloudflare</t>
        </is>
      </c>
      <c r="F763" s="8" t="inlineStr">
        <is>
          <t>In-Office</t>
        </is>
      </c>
      <c r="G763" s="8" t="n"/>
      <c r="H763" s="14" t="n"/>
      <c r="I763" s="15">
        <f>IF($H763="","",$H763-TODAY())</f>
        <v/>
      </c>
      <c r="J763" s="16" t="inlineStr">
        <is>
          <t>Open posting</t>
        </is>
      </c>
      <c r="K763" s="8" t="inlineStr">
        <is>
          <t>filtered by keyword pre-scan</t>
        </is>
      </c>
      <c r="L763" s="17" t="inlineStr">
        <is>
          <t>new</t>
        </is>
      </c>
      <c r="M763" s="18" t="inlineStr"/>
      <c r="N763" s="7" t="inlineStr">
        <is>
          <t>96587fd33014a3fe79e3d27196c3bb72aa7e7bbd</t>
        </is>
      </c>
      <c r="O763" s="14" t="n">
        <v>46190</v>
      </c>
      <c r="P763" s="7" t="inlineStr">
        <is>
          <t>greenhouse:cloudflare</t>
        </is>
      </c>
      <c r="Q763" s="8" t="inlineStr">
        <is>
          <t>python</t>
        </is>
      </c>
      <c r="R763" s="8" t="n"/>
      <c r="S763" s="19" t="n"/>
      <c r="T763" s="19" t="n"/>
      <c r="U763" s="14" t="n">
        <v>46191</v>
      </c>
      <c r="V763" s="7" t="inlineStr">
        <is>
          <t>v2-cv-accuracy-13b988b18da8ea7d</t>
        </is>
      </c>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1.43</v>
      </c>
      <c r="C764" s="12" t="inlineStr">
        <is>
          <t>Graduate/Entry</t>
        </is>
      </c>
      <c r="D764" s="8" t="inlineStr">
        <is>
          <t>Graduate Software Engineer</t>
        </is>
      </c>
      <c r="E764" s="7" t="inlineStr">
        <is>
          <t>Abound</t>
        </is>
      </c>
      <c r="F764" s="8" t="inlineStr">
        <is>
          <t>London, England, UK</t>
        </is>
      </c>
      <c r="G764" s="8" t="n"/>
      <c r="H764" s="14" t="n"/>
      <c r="I764" s="15">
        <f>IF($H764="","",$H764-TODAY())</f>
        <v/>
      </c>
      <c r="J764" s="16" t="inlineStr">
        <is>
          <t>Open posting</t>
        </is>
      </c>
      <c r="K764" s="8" t="inlineStr">
        <is>
          <t>filtered by keyword pre-scan</t>
        </is>
      </c>
      <c r="L764" s="17" t="inlineStr">
        <is>
          <t>new</t>
        </is>
      </c>
      <c r="M764" s="18" t="inlineStr"/>
      <c r="N764" s="7" t="inlineStr">
        <is>
          <t>b2607a65364374a2f22599c1cd7f2f725f0a9714</t>
        </is>
      </c>
      <c r="O764" s="14" t="n">
        <v>46178</v>
      </c>
      <c r="P764" s="7" t="inlineStr">
        <is>
          <t>jobspy</t>
        </is>
      </c>
      <c r="Q764" s="8" t="inlineStr">
        <is>
          <t>python, sql</t>
        </is>
      </c>
      <c r="R764" s="8" t="inlineStr">
        <is>
          <t>Graduate Software Developer</t>
        </is>
      </c>
      <c r="S764" s="19" t="n"/>
      <c r="T764" s="19" t="n"/>
      <c r="U764" s="14" t="n">
        <v>46191</v>
      </c>
      <c r="V764" s="7" t="inlineStr">
        <is>
          <t>v2-cv-accuracy-13b988b18da8ea7d</t>
        </is>
      </c>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1.43</v>
      </c>
      <c r="C765" s="12" t="inlineStr">
        <is>
          <t>Unspecified</t>
        </is>
      </c>
      <c r="D765" s="8" t="inlineStr">
        <is>
          <t>Full Stack .Net Software Engineer</t>
        </is>
      </c>
      <c r="E765" s="7" t="inlineStr">
        <is>
          <t>Fruition Group</t>
        </is>
      </c>
      <c r="F765" s="8" t="inlineStr">
        <is>
          <t>Sheffield, England, UK</t>
        </is>
      </c>
      <c r="G765" s="8" t="n"/>
      <c r="H765" s="14" t="n"/>
      <c r="I765" s="15">
        <f>IF($H765="","",$H765-TODAY())</f>
        <v/>
      </c>
      <c r="J765" s="16" t="inlineStr">
        <is>
          <t>Open posting</t>
        </is>
      </c>
      <c r="K765" s="8" t="inlineStr">
        <is>
          <t>filtered by keyword pre-scan</t>
        </is>
      </c>
      <c r="L765" s="17" t="inlineStr">
        <is>
          <t>new</t>
        </is>
      </c>
      <c r="M765" s="18" t="inlineStr"/>
      <c r="N765" s="7" t="inlineStr">
        <is>
          <t>bc282767baa5d50f9ad4062b1dc344b22018adb7</t>
        </is>
      </c>
      <c r="O765" s="14" t="n">
        <v>46177</v>
      </c>
      <c r="P765" s="7" t="inlineStr">
        <is>
          <t>jobspy</t>
        </is>
      </c>
      <c r="Q765" s="8" t="inlineStr">
        <is>
          <t>git</t>
        </is>
      </c>
      <c r="R765" s="8" t="inlineStr">
        <is>
          <t>Graduate Software Developer Sheffield</t>
        </is>
      </c>
      <c r="S765" s="19" t="n"/>
      <c r="T765" s="19" t="n"/>
      <c r="U765" s="14" t="n">
        <v>46191</v>
      </c>
      <c r="V765" s="7" t="inlineStr">
        <is>
          <t>v2-cv-accuracy-13b988b18da8ea7d</t>
        </is>
      </c>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1.43</v>
      </c>
      <c r="C766" s="12" t="inlineStr">
        <is>
          <t>Junior</t>
        </is>
      </c>
      <c r="D766" s="8" t="inlineStr">
        <is>
          <t>Design Engineer CE</t>
        </is>
      </c>
      <c r="E766" s="7" t="inlineStr">
        <is>
          <t>Robert Bird Group</t>
        </is>
      </c>
      <c r="F766" s="8" t="inlineStr">
        <is>
          <t>London, ENG, GB</t>
        </is>
      </c>
      <c r="G766" s="8" t="n"/>
      <c r="H766" s="14" t="n"/>
      <c r="I766" s="15">
        <f>IF($H766="","",$H766-TODAY())</f>
        <v/>
      </c>
      <c r="J766" s="16" t="inlineStr">
        <is>
          <t>Open posting</t>
        </is>
      </c>
      <c r="K766" s="8" t="inlineStr">
        <is>
          <t>filtered by keyword pre-scan</t>
        </is>
      </c>
      <c r="L766" s="17" t="inlineStr">
        <is>
          <t>new</t>
        </is>
      </c>
      <c r="M766" s="18" t="inlineStr"/>
      <c r="N766" s="7" t="inlineStr">
        <is>
          <t>ed24d1dd92bbad5ea5b9c5b23ccf029296aa8fe1</t>
        </is>
      </c>
      <c r="O766" s="14" t="n">
        <v>46161</v>
      </c>
      <c r="P766" s="7" t="inlineStr">
        <is>
          <t>jobspy</t>
        </is>
      </c>
      <c r="Q766" s="8" t="inlineStr">
        <is>
          <t>python, git</t>
        </is>
      </c>
      <c r="R766" s="8" t="inlineStr">
        <is>
          <t>junior Graduate Software Developer</t>
        </is>
      </c>
      <c r="S766" s="19" t="n"/>
      <c r="T766" s="19" t="n"/>
      <c r="U766" s="14" t="n">
        <v>46191</v>
      </c>
      <c r="V766" s="7" t="inlineStr">
        <is>
          <t>v2-cv-accuracy-13b988b18da8ea7d</t>
        </is>
      </c>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1.43</v>
      </c>
      <c r="C767" s="12" t="inlineStr">
        <is>
          <t>Junior</t>
        </is>
      </c>
      <c r="D767" s="8" t="inlineStr">
        <is>
          <t>Design Engineer CE</t>
        </is>
      </c>
      <c r="E767" s="7" t="inlineStr">
        <is>
          <t>Surbana Jurong Private Limited</t>
        </is>
      </c>
      <c r="F767" s="8" t="inlineStr">
        <is>
          <t>London, ENG, GB</t>
        </is>
      </c>
      <c r="G767" s="8" t="n"/>
      <c r="H767" s="14" t="n"/>
      <c r="I767" s="15">
        <f>IF($H767="","",$H767-TODAY())</f>
        <v/>
      </c>
      <c r="J767" s="16" t="inlineStr">
        <is>
          <t>Open posting</t>
        </is>
      </c>
      <c r="K767" s="8" t="inlineStr">
        <is>
          <t>filtered by keyword pre-scan</t>
        </is>
      </c>
      <c r="L767" s="17" t="inlineStr">
        <is>
          <t>new</t>
        </is>
      </c>
      <c r="M767" s="18" t="inlineStr"/>
      <c r="N767" s="7" t="inlineStr">
        <is>
          <t>622b34fe87a85ceabbeb5951b94a62f907eb9cec</t>
        </is>
      </c>
      <c r="O767" s="14" t="n">
        <v>46161</v>
      </c>
      <c r="P767" s="7" t="inlineStr">
        <is>
          <t>jobspy</t>
        </is>
      </c>
      <c r="Q767" s="8" t="inlineStr">
        <is>
          <t>python, git</t>
        </is>
      </c>
      <c r="R767" s="8" t="inlineStr">
        <is>
          <t>junior Graduate Software Developer</t>
        </is>
      </c>
      <c r="S767" s="19" t="n"/>
      <c r="T767" s="19" t="n"/>
      <c r="U767" s="14" t="n">
        <v>46191</v>
      </c>
      <c r="V767" s="7" t="inlineStr">
        <is>
          <t>v2-cv-accuracy-13b988b18da8ea7d</t>
        </is>
      </c>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1.43</v>
      </c>
      <c r="C768" s="12" t="inlineStr">
        <is>
          <t>Junior</t>
        </is>
      </c>
      <c r="D768" s="8" t="inlineStr">
        <is>
          <t>Junior Software Developer</t>
        </is>
      </c>
      <c r="E768" s="7" t="inlineStr">
        <is>
          <t>Kensa</t>
        </is>
      </c>
      <c r="F768" s="8" t="inlineStr">
        <is>
          <t>Truro, England, UK</t>
        </is>
      </c>
      <c r="G768" s="8" t="n"/>
      <c r="H768" s="14" t="n"/>
      <c r="I768" s="15">
        <f>IF($H768="","",$H768-TODAY())</f>
        <v/>
      </c>
      <c r="J768" s="16" t="inlineStr">
        <is>
          <t>Open posting</t>
        </is>
      </c>
      <c r="K768" s="8" t="inlineStr">
        <is>
          <t>filtered by keyword pre-scan</t>
        </is>
      </c>
      <c r="L768" s="17" t="inlineStr">
        <is>
          <t>new</t>
        </is>
      </c>
      <c r="M768" s="18" t="inlineStr"/>
      <c r="N768" s="7" t="inlineStr">
        <is>
          <t>75bcca5ac03356f36cec297d70a3fdc7a68869a2</t>
        </is>
      </c>
      <c r="O768" s="14" t="n">
        <v>46188</v>
      </c>
      <c r="P768" s="7" t="inlineStr">
        <is>
          <t>jobspy</t>
        </is>
      </c>
      <c r="Q768" s="8" t="inlineStr">
        <is>
          <t>git</t>
        </is>
      </c>
      <c r="R768" s="8" t="inlineStr">
        <is>
          <t>junior Graduate Software Developer</t>
        </is>
      </c>
      <c r="S768" s="19" t="n"/>
      <c r="T768" s="19" t="n"/>
      <c r="U768" s="14" t="n">
        <v>46191</v>
      </c>
      <c r="V768" s="7" t="inlineStr">
        <is>
          <t>v2-cv-accuracy-13b988b18da8ea7d</t>
        </is>
      </c>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1.43</v>
      </c>
      <c r="C769" s="12" t="inlineStr">
        <is>
          <t>Graduate/Entry</t>
        </is>
      </c>
      <c r="D769" s="8" t="inlineStr">
        <is>
          <t>Graduate Software Developer</t>
        </is>
      </c>
      <c r="E769" s="7" t="inlineStr">
        <is>
          <t>Codemakers</t>
        </is>
      </c>
      <c r="F769" s="8" t="inlineStr">
        <is>
          <t>Derby, ENG, GB</t>
        </is>
      </c>
      <c r="G769" s="8" t="n"/>
      <c r="H769" s="14" t="n"/>
      <c r="I769" s="15">
        <f>IF($H769="","",$H769-TODAY())</f>
        <v/>
      </c>
      <c r="J769" s="16" t="inlineStr">
        <is>
          <t>Open posting</t>
        </is>
      </c>
      <c r="K769" s="8" t="inlineStr">
        <is>
          <t>filtered by keyword pre-scan</t>
        </is>
      </c>
      <c r="L769" s="17" t="inlineStr">
        <is>
          <t>new</t>
        </is>
      </c>
      <c r="M769" s="18" t="inlineStr"/>
      <c r="N769" s="7" t="inlineStr">
        <is>
          <t>a3649a62f88ccd1e1718b94f07823fa6e1683d23</t>
        </is>
      </c>
      <c r="O769" s="14" t="n">
        <v>46171</v>
      </c>
      <c r="P769" s="7" t="inlineStr">
        <is>
          <t>jobspy</t>
        </is>
      </c>
      <c r="Q769" s="8" t="inlineStr">
        <is>
          <t>git, software development</t>
        </is>
      </c>
      <c r="R769" s="8" t="inlineStr">
        <is>
          <t>Graduate Software Developer remote</t>
        </is>
      </c>
      <c r="S769" s="19" t="n"/>
      <c r="T769" s="19" t="n"/>
      <c r="U769" s="14" t="n">
        <v>46191</v>
      </c>
      <c r="V769" s="7" t="inlineStr">
        <is>
          <t>v2-cv-accuracy-13b988b18da8ea7d</t>
        </is>
      </c>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1.43</v>
      </c>
      <c r="C770" s="12" t="inlineStr">
        <is>
          <t>Junior</t>
        </is>
      </c>
      <c r="D770" s="8" t="inlineStr">
        <is>
          <t>Optimisation Specialist</t>
        </is>
      </c>
      <c r="E770" s="7" t="inlineStr">
        <is>
          <t>Kinewell Energy</t>
        </is>
      </c>
      <c r="F770" s="8" t="inlineStr">
        <is>
          <t>Newcastle upon Tyne, ENG, GB</t>
        </is>
      </c>
      <c r="G770" s="8" t="n"/>
      <c r="H770" s="14" t="n"/>
      <c r="I770" s="15">
        <f>IF($H770="","",$H770-TODAY())</f>
        <v/>
      </c>
      <c r="J770" s="16" t="inlineStr">
        <is>
          <t>Open posting</t>
        </is>
      </c>
      <c r="K770" s="8" t="inlineStr">
        <is>
          <t>filtered by keyword pre-scan</t>
        </is>
      </c>
      <c r="L770" s="17" t="inlineStr">
        <is>
          <t>new</t>
        </is>
      </c>
      <c r="M770" s="18" t="inlineStr"/>
      <c r="N770" s="7" t="inlineStr">
        <is>
          <t>06f1dd15689439b03c36bfd9e4e2e03e672db116</t>
        </is>
      </c>
      <c r="O770" s="14" t="n">
        <v>46188</v>
      </c>
      <c r="P770" s="7" t="inlineStr">
        <is>
          <t>jobspy</t>
        </is>
      </c>
      <c r="Q770" s="8" t="inlineStr">
        <is>
          <t>python, data analysis</t>
        </is>
      </c>
      <c r="R770" s="8" t="inlineStr">
        <is>
          <t>Junior Python Developer</t>
        </is>
      </c>
      <c r="S770" s="19" t="n"/>
      <c r="T770" s="19" t="n"/>
      <c r="U770" s="14" t="n">
        <v>46191</v>
      </c>
      <c r="V770" s="7" t="inlineStr">
        <is>
          <t>v2-cv-accuracy-13b988b18da8ea7d</t>
        </is>
      </c>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1.43</v>
      </c>
      <c r="C771" s="12" t="inlineStr">
        <is>
          <t>Unspecified</t>
        </is>
      </c>
      <c r="D771" s="8" t="inlineStr">
        <is>
          <t>Python Developer | Remote</t>
        </is>
      </c>
      <c r="E771" s="7" t="inlineStr">
        <is>
          <t>Crossing Hurdles</t>
        </is>
      </c>
      <c r="F771" s="8" t="inlineStr"/>
      <c r="G771" s="8" t="n"/>
      <c r="H771" s="14" t="n"/>
      <c r="I771" s="15">
        <f>IF($H771="","",$H771-TODAY())</f>
        <v/>
      </c>
      <c r="J771" s="16" t="inlineStr">
        <is>
          <t>Open posting</t>
        </is>
      </c>
      <c r="K771" s="8" t="inlineStr">
        <is>
          <t>filtered by keyword pre-scan</t>
        </is>
      </c>
      <c r="L771" s="17" t="inlineStr">
        <is>
          <t>new</t>
        </is>
      </c>
      <c r="M771" s="18" t="inlineStr"/>
      <c r="N771" s="7" t="inlineStr">
        <is>
          <t>fbe8df518479bd4f1eae2e2ab5fb098a2e628ee3</t>
        </is>
      </c>
      <c r="O771" s="14" t="n">
        <v>46178</v>
      </c>
      <c r="P771" s="7" t="inlineStr">
        <is>
          <t>jobspy</t>
        </is>
      </c>
      <c r="Q771" s="8" t="inlineStr">
        <is>
          <t>python, software development</t>
        </is>
      </c>
      <c r="R771" s="8" t="inlineStr">
        <is>
          <t>Junior Python Developer</t>
        </is>
      </c>
      <c r="S771" s="19" t="n"/>
      <c r="T771" s="19" t="n"/>
      <c r="U771" s="14" t="n">
        <v>46191</v>
      </c>
      <c r="V771" s="7" t="inlineStr">
        <is>
          <t>v2-cv-accuracy-13b988b18da8ea7d</t>
        </is>
      </c>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1.43</v>
      </c>
      <c r="C772" s="12" t="inlineStr">
        <is>
          <t>Mid-level</t>
        </is>
      </c>
      <c r="D772" s="8" t="inlineStr">
        <is>
          <t>Python Automation Engineer</t>
        </is>
      </c>
      <c r="E772" s="7" t="inlineStr">
        <is>
          <t>Randstad Digital</t>
        </is>
      </c>
      <c r="F772" s="8" t="inlineStr">
        <is>
          <t>London Area, United Kingdom</t>
        </is>
      </c>
      <c r="G772" s="8" t="n"/>
      <c r="H772" s="14" t="n"/>
      <c r="I772" s="15">
        <f>IF($H772="","",$H772-TODAY())</f>
        <v/>
      </c>
      <c r="J772" s="16" t="inlineStr">
        <is>
          <t>Open posting</t>
        </is>
      </c>
      <c r="K772" s="8" t="inlineStr">
        <is>
          <t>filtered by keyword pre-scan</t>
        </is>
      </c>
      <c r="L772" s="17" t="inlineStr">
        <is>
          <t>new</t>
        </is>
      </c>
      <c r="M772" s="18" t="inlineStr"/>
      <c r="N772" s="7" t="inlineStr">
        <is>
          <t>8358f269e90f94ff79dd6cf074293b914dd6ed35</t>
        </is>
      </c>
      <c r="O772" s="14" t="n"/>
      <c r="P772" s="7" t="inlineStr">
        <is>
          <t>jobspy</t>
        </is>
      </c>
      <c r="Q772" s="8" t="inlineStr">
        <is>
          <t>python, git</t>
        </is>
      </c>
      <c r="R772" s="8" t="inlineStr">
        <is>
          <t>Junior Python Developer Sheffield</t>
        </is>
      </c>
      <c r="S772" s="19" t="n"/>
      <c r="T772" s="19" t="n"/>
      <c r="U772" s="14" t="n">
        <v>46191</v>
      </c>
      <c r="V772" s="7" t="inlineStr">
        <is>
          <t>v2-cv-accuracy-13b988b18da8ea7d</t>
        </is>
      </c>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1.43</v>
      </c>
      <c r="C773" s="12" t="inlineStr">
        <is>
          <t>Unspecified</t>
        </is>
      </c>
      <c r="D773" s="8" t="inlineStr">
        <is>
          <t>Python Developer</t>
        </is>
      </c>
      <c r="E773" s="7" t="inlineStr">
        <is>
          <t>Tata Consultancy Services</t>
        </is>
      </c>
      <c r="F773" s="8" t="inlineStr">
        <is>
          <t>Chennai, Tamil Nadu, India</t>
        </is>
      </c>
      <c r="G773" s="8" t="n"/>
      <c r="H773" s="14" t="n"/>
      <c r="I773" s="15">
        <f>IF($H773="","",$H773-TODAY())</f>
        <v/>
      </c>
      <c r="J773" s="16" t="inlineStr">
        <is>
          <t>Open posting</t>
        </is>
      </c>
      <c r="K773" s="8" t="inlineStr">
        <is>
          <t>filtered by keyword pre-scan</t>
        </is>
      </c>
      <c r="L773" s="17" t="inlineStr">
        <is>
          <t>new</t>
        </is>
      </c>
      <c r="M773" s="18" t="inlineStr"/>
      <c r="N773" s="7" t="inlineStr">
        <is>
          <t>c70b54b6e11de92545cab70ec3f17cba8dee5e89</t>
        </is>
      </c>
      <c r="O773" s="14" t="n">
        <v>46182</v>
      </c>
      <c r="P773" s="7" t="inlineStr">
        <is>
          <t>jobspy</t>
        </is>
      </c>
      <c r="Q773" s="8" t="inlineStr">
        <is>
          <t>python</t>
        </is>
      </c>
      <c r="R773" s="8" t="inlineStr">
        <is>
          <t>graduate Junior Python Developer</t>
        </is>
      </c>
      <c r="S773" s="19" t="n"/>
      <c r="T773" s="19" t="n"/>
      <c r="U773" s="14" t="n">
        <v>46191</v>
      </c>
      <c r="V773" s="7" t="inlineStr">
        <is>
          <t>v2-cv-accuracy-13b988b18da8ea7d</t>
        </is>
      </c>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1.43</v>
      </c>
      <c r="C774" s="12" t="inlineStr">
        <is>
          <t>Unspecified</t>
        </is>
      </c>
      <c r="D774" s="8" t="inlineStr">
        <is>
          <t>Python Engineer</t>
        </is>
      </c>
      <c r="E774" s="7" t="inlineStr">
        <is>
          <t>Virtusa</t>
        </is>
      </c>
      <c r="F774" s="8" t="inlineStr">
        <is>
          <t>Andhra Pradesh, India</t>
        </is>
      </c>
      <c r="G774" s="8" t="n"/>
      <c r="H774" s="14" t="n"/>
      <c r="I774" s="15">
        <f>IF($H774="","",$H774-TODAY())</f>
        <v/>
      </c>
      <c r="J774" s="16" t="inlineStr">
        <is>
          <t>Open posting</t>
        </is>
      </c>
      <c r="K774" s="8" t="inlineStr">
        <is>
          <t>filtered by keyword pre-scan</t>
        </is>
      </c>
      <c r="L774" s="17" t="inlineStr">
        <is>
          <t>new</t>
        </is>
      </c>
      <c r="M774" s="18" t="inlineStr"/>
      <c r="N774" s="7" t="inlineStr">
        <is>
          <t>58b7e84e046050bdbc127e5f7108f77a318f8c22</t>
        </is>
      </c>
      <c r="O774" s="14" t="n"/>
      <c r="P774" s="7" t="inlineStr">
        <is>
          <t>jobspy</t>
        </is>
      </c>
      <c r="Q774" s="8" t="inlineStr">
        <is>
          <t>python, sql</t>
        </is>
      </c>
      <c r="R774" s="8" t="inlineStr">
        <is>
          <t>graduate Junior Python Developer</t>
        </is>
      </c>
      <c r="S774" s="19" t="n"/>
      <c r="T774" s="19" t="n"/>
      <c r="U774" s="14" t="n">
        <v>46191</v>
      </c>
      <c r="V774" s="7" t="inlineStr">
        <is>
          <t>v2-cv-accuracy-13b988b18da8ea7d</t>
        </is>
      </c>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1.43</v>
      </c>
      <c r="C775" s="12" t="inlineStr">
        <is>
          <t>Junior</t>
        </is>
      </c>
      <c r="D775" s="8" t="inlineStr">
        <is>
          <t>Junior Python Developer – Risk Data Services (Business-Facing)</t>
        </is>
      </c>
      <c r="E775" s="7" t="inlineStr">
        <is>
          <t>Lorien</t>
        </is>
      </c>
      <c r="F775" s="8" t="inlineStr">
        <is>
          <t>London Area, United Kingdom</t>
        </is>
      </c>
      <c r="G775" s="8" t="n"/>
      <c r="H775" s="14" t="n"/>
      <c r="I775" s="15">
        <f>IF($H775="","",$H775-TODAY())</f>
        <v/>
      </c>
      <c r="J775" s="16" t="inlineStr">
        <is>
          <t>Open posting</t>
        </is>
      </c>
      <c r="K775" s="8" t="inlineStr">
        <is>
          <t>filtered by keyword pre-scan</t>
        </is>
      </c>
      <c r="L775" s="17" t="inlineStr">
        <is>
          <t>new</t>
        </is>
      </c>
      <c r="M775" s="18" t="inlineStr"/>
      <c r="N775" s="7" t="inlineStr">
        <is>
          <t>901e6fd0408af4e6b8039df16c3a05fa9e8350b4</t>
        </is>
      </c>
      <c r="O775" s="14" t="n">
        <v>46182</v>
      </c>
      <c r="P775" s="7" t="inlineStr">
        <is>
          <t>jobspy</t>
        </is>
      </c>
      <c r="Q775" s="8" t="inlineStr">
        <is>
          <t>python, sql</t>
        </is>
      </c>
      <c r="R775" s="8" t="inlineStr">
        <is>
          <t>junior/graduate Junior Python Developer</t>
        </is>
      </c>
      <c r="S775" s="19" t="n"/>
      <c r="T775" s="19" t="n"/>
      <c r="U775" s="14" t="n">
        <v>46191</v>
      </c>
      <c r="V775" s="7" t="inlineStr">
        <is>
          <t>v2-cv-accuracy-13b988b18da8ea7d</t>
        </is>
      </c>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1.43</v>
      </c>
      <c r="C776" s="12" t="inlineStr">
        <is>
          <t>Senior/Lead</t>
        </is>
      </c>
      <c r="D776" s="8" t="inlineStr">
        <is>
          <t>Python Developer - UK (Remote)</t>
        </is>
      </c>
      <c r="E776" s="7" t="inlineStr">
        <is>
          <t>Anyone AI</t>
        </is>
      </c>
      <c r="F776" s="8" t="inlineStr">
        <is>
          <t>London, England, UK</t>
        </is>
      </c>
      <c r="G776" s="8" t="n"/>
      <c r="H776" s="14" t="n"/>
      <c r="I776" s="15">
        <f>IF($H776="","",$H776-TODAY())</f>
        <v/>
      </c>
      <c r="J776" s="16" t="inlineStr">
        <is>
          <t>Open posting</t>
        </is>
      </c>
      <c r="K776" s="8" t="inlineStr">
        <is>
          <t>filtered by keyword pre-scan</t>
        </is>
      </c>
      <c r="L776" s="17" t="inlineStr">
        <is>
          <t>new</t>
        </is>
      </c>
      <c r="M776" s="18" t="inlineStr"/>
      <c r="N776" s="7" t="inlineStr">
        <is>
          <t>86d12e150b4e3fd3b1d31678a9ee89f83c1324ea</t>
        </is>
      </c>
      <c r="O776" s="14" t="n">
        <v>46171</v>
      </c>
      <c r="P776" s="7" t="inlineStr">
        <is>
          <t>jobspy</t>
        </is>
      </c>
      <c r="Q776" s="8" t="inlineStr">
        <is>
          <t>python, javascript</t>
        </is>
      </c>
      <c r="R776" s="8" t="inlineStr">
        <is>
          <t>Junior Python Developer remote</t>
        </is>
      </c>
      <c r="S776" s="19" t="n"/>
      <c r="T776" s="19" t="n"/>
      <c r="U776" s="14" t="n">
        <v>46191</v>
      </c>
      <c r="V776" s="7" t="inlineStr">
        <is>
          <t>v2-cv-accuracy-13b988b18da8ea7d</t>
        </is>
      </c>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1.43</v>
      </c>
      <c r="C777" s="12" t="inlineStr">
        <is>
          <t>Mid-level</t>
        </is>
      </c>
      <c r="D777" s="8" t="inlineStr">
        <is>
          <t>Mid-level PHP / CMS / Javascript Developer– Creative Technology / Sheffield</t>
        </is>
      </c>
      <c r="E777" s="7" t="inlineStr">
        <is>
          <t>Four Cymru</t>
        </is>
      </c>
      <c r="F777" s="8" t="inlineStr"/>
      <c r="G777" s="8" t="n"/>
      <c r="H777" s="14" t="n"/>
      <c r="I777" s="15">
        <f>IF($H777="","",$H777-TODAY())</f>
        <v/>
      </c>
      <c r="J777" s="16" t="inlineStr">
        <is>
          <t>Open posting</t>
        </is>
      </c>
      <c r="K777" s="8" t="inlineStr">
        <is>
          <t>filtered by keyword pre-scan</t>
        </is>
      </c>
      <c r="L777" s="17" t="inlineStr">
        <is>
          <t>new</t>
        </is>
      </c>
      <c r="M777" s="18" t="inlineStr"/>
      <c r="N777" s="7" t="inlineStr">
        <is>
          <t>47ae648218379b978bce77d85a58ed7976320396</t>
        </is>
      </c>
      <c r="O777" s="14" t="n">
        <v>46184</v>
      </c>
      <c r="P777" s="7" t="inlineStr">
        <is>
          <t>jobspy</t>
        </is>
      </c>
      <c r="Q777" s="8" t="inlineStr">
        <is>
          <t>javascript</t>
        </is>
      </c>
      <c r="R777" s="8" t="inlineStr">
        <is>
          <t>Full Stack Developer Sheffield</t>
        </is>
      </c>
      <c r="S777" s="19" t="n"/>
      <c r="T777" s="19" t="n"/>
      <c r="U777" s="14" t="n">
        <v>46191</v>
      </c>
      <c r="V777" s="7" t="inlineStr">
        <is>
          <t>v2-cv-accuracy-13b988b18da8ea7d</t>
        </is>
      </c>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1.43</v>
      </c>
      <c r="C778" s="12" t="inlineStr">
        <is>
          <t>Graduate/Entry</t>
        </is>
      </c>
      <c r="D778" s="8" t="inlineStr">
        <is>
          <t>Graduate Full Stack Engineer</t>
        </is>
      </c>
      <c r="E778" s="7" t="inlineStr">
        <is>
          <t>Oho Group</t>
        </is>
      </c>
      <c r="F778" s="8" t="inlineStr">
        <is>
          <t>London Area, United Kingdom</t>
        </is>
      </c>
      <c r="G778" s="8" t="n"/>
      <c r="H778" s="14" t="n"/>
      <c r="I778" s="15">
        <f>IF($H778="","",$H778-TODAY())</f>
        <v/>
      </c>
      <c r="J778" s="16" t="inlineStr">
        <is>
          <t>Open posting</t>
        </is>
      </c>
      <c r="K778" s="8" t="inlineStr">
        <is>
          <t>filtered by keyword pre-scan</t>
        </is>
      </c>
      <c r="L778" s="17" t="inlineStr">
        <is>
          <t>new</t>
        </is>
      </c>
      <c r="M778" s="18" t="inlineStr"/>
      <c r="N778" s="7" t="inlineStr">
        <is>
          <t>122c1c4933917b751ef205ccc0220b868db41c73</t>
        </is>
      </c>
      <c r="O778" s="14" t="n">
        <v>46185</v>
      </c>
      <c r="P778" s="7" t="inlineStr">
        <is>
          <t>jobspy</t>
        </is>
      </c>
      <c r="Q778" s="8" t="inlineStr">
        <is>
          <t>python, javascript</t>
        </is>
      </c>
      <c r="R778" s="8" t="inlineStr">
        <is>
          <t>graduate Full Stack Developer</t>
        </is>
      </c>
      <c r="S778" s="19" t="n"/>
      <c r="T778" s="19" t="n"/>
      <c r="U778" s="14" t="n">
        <v>46191</v>
      </c>
      <c r="V778" s="7" t="inlineStr">
        <is>
          <t>v2-cv-accuracy-13b988b18da8ea7d</t>
        </is>
      </c>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1.43</v>
      </c>
      <c r="C779" s="12" t="inlineStr">
        <is>
          <t>Junior</t>
        </is>
      </c>
      <c r="D779" s="8" t="inlineStr">
        <is>
          <t>Junior Software Developer</t>
        </is>
      </c>
      <c r="E779" s="7" t="inlineStr">
        <is>
          <t>Kensa</t>
        </is>
      </c>
      <c r="F779" s="8" t="inlineStr">
        <is>
          <t>Cornwall, England, UK</t>
        </is>
      </c>
      <c r="G779" s="8" t="n"/>
      <c r="H779" s="14" t="n"/>
      <c r="I779" s="15">
        <f>IF($H779="","",$H779-TODAY())</f>
        <v/>
      </c>
      <c r="J779" s="16" t="inlineStr">
        <is>
          <t>Open posting</t>
        </is>
      </c>
      <c r="K779" s="8" t="inlineStr">
        <is>
          <t>filtered by keyword pre-scan</t>
        </is>
      </c>
      <c r="L779" s="17" t="inlineStr">
        <is>
          <t>new</t>
        </is>
      </c>
      <c r="M779" s="18" t="inlineStr"/>
      <c r="N779" s="7" t="inlineStr">
        <is>
          <t>844235e03e99baa8582834c28f31cce416e44376</t>
        </is>
      </c>
      <c r="O779" s="14" t="n">
        <v>46188</v>
      </c>
      <c r="P779" s="7" t="inlineStr">
        <is>
          <t>jobspy</t>
        </is>
      </c>
      <c r="Q779" s="8" t="inlineStr">
        <is>
          <t>git</t>
        </is>
      </c>
      <c r="R779" s="8" t="inlineStr">
        <is>
          <t>junior/graduate Graduate Software Developer</t>
        </is>
      </c>
      <c r="S779" s="19" t="n"/>
      <c r="T779" s="19" t="n"/>
      <c r="U779" s="14" t="n">
        <v>46191</v>
      </c>
      <c r="V779" s="7" t="inlineStr">
        <is>
          <t>v2-cv-accuracy-13b988b18da8ea7d</t>
        </is>
      </c>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1.43</v>
      </c>
      <c r="C780" s="12" t="inlineStr">
        <is>
          <t>Mid-level</t>
        </is>
      </c>
      <c r="D780" s="8" t="inlineStr">
        <is>
          <t>Python Developer</t>
        </is>
      </c>
      <c r="E780" s="7" t="inlineStr">
        <is>
          <t>Thomson Keene</t>
        </is>
      </c>
      <c r="F780" s="8" t="inlineStr">
        <is>
          <t>London Area, United Kingdom</t>
        </is>
      </c>
      <c r="G780" s="8" t="n"/>
      <c r="H780" s="14" t="n"/>
      <c r="I780" s="15">
        <f>IF($H780="","",$H780-TODAY())</f>
        <v/>
      </c>
      <c r="J780" s="16" t="inlineStr">
        <is>
          <t>Open posting</t>
        </is>
      </c>
      <c r="K780" s="8" t="inlineStr">
        <is>
          <t>filtered by keyword pre-scan</t>
        </is>
      </c>
      <c r="L780" s="17" t="inlineStr">
        <is>
          <t>new</t>
        </is>
      </c>
      <c r="M780" s="18" t="inlineStr"/>
      <c r="N780" s="7" t="inlineStr">
        <is>
          <t>79c7421a98e7396e0c37a6fa0d27b72fd0be09c6</t>
        </is>
      </c>
      <c r="O780" s="14" t="n">
        <v>46188</v>
      </c>
      <c r="P780" s="7" t="inlineStr">
        <is>
          <t>jobspy</t>
        </is>
      </c>
      <c r="Q780" s="8" t="inlineStr">
        <is>
          <t>python, sql</t>
        </is>
      </c>
      <c r="R780" s="8" t="inlineStr">
        <is>
          <t>Junior Python Developer</t>
        </is>
      </c>
      <c r="S780" s="19" t="n"/>
      <c r="T780" s="19" t="n"/>
      <c r="U780" s="14" t="n">
        <v>46191</v>
      </c>
      <c r="V780" s="7" t="inlineStr">
        <is>
          <t>v2-cv-accuracy-13b988b18da8ea7d</t>
        </is>
      </c>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1.43</v>
      </c>
      <c r="C781" s="12" t="inlineStr">
        <is>
          <t>Unspecified</t>
        </is>
      </c>
      <c r="D781" s="8" t="inlineStr">
        <is>
          <t>Full Stack Software Developer</t>
        </is>
      </c>
      <c r="E781" s="7" t="inlineStr">
        <is>
          <t>Haystack</t>
        </is>
      </c>
      <c r="F781" s="8" t="inlineStr">
        <is>
          <t>Exeter, England, UK</t>
        </is>
      </c>
      <c r="G781" s="8" t="n"/>
      <c r="H781" s="14" t="n"/>
      <c r="I781" s="15">
        <f>IF($H781="","",$H781-TODAY())</f>
        <v/>
      </c>
      <c r="J781" s="16" t="inlineStr">
        <is>
          <t>Open posting</t>
        </is>
      </c>
      <c r="K781" s="8" t="inlineStr">
        <is>
          <t>filtered by keyword pre-scan</t>
        </is>
      </c>
      <c r="L781" s="17" t="inlineStr">
        <is>
          <t>new</t>
        </is>
      </c>
      <c r="M781" s="18" t="inlineStr"/>
      <c r="N781" s="7" t="inlineStr">
        <is>
          <t>a6b35c8298eb8b7167152405840015279b2959e3</t>
        </is>
      </c>
      <c r="O781" s="14" t="n"/>
      <c r="P781" s="7" t="inlineStr">
        <is>
          <t>jobspy</t>
        </is>
      </c>
      <c r="Q781" s="8" t="inlineStr">
        <is>
          <t>sql, javascript</t>
        </is>
      </c>
      <c r="R781" s="8" t="inlineStr">
        <is>
          <t>junior Full Stack Developer</t>
        </is>
      </c>
      <c r="S781" s="19" t="n"/>
      <c r="T781" s="19" t="n"/>
      <c r="U781" s="14" t="n">
        <v>46191</v>
      </c>
      <c r="V781" s="7" t="inlineStr">
        <is>
          <t>v2-cv-accuracy-13b988b18da8ea7d</t>
        </is>
      </c>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1.43</v>
      </c>
      <c r="C782" s="12" t="inlineStr">
        <is>
          <t>Mid-level</t>
        </is>
      </c>
      <c r="D782" s="8" t="inlineStr">
        <is>
          <t>Full Stack Engineer</t>
        </is>
      </c>
      <c r="E782" s="7" t="inlineStr">
        <is>
          <t>Oho Group</t>
        </is>
      </c>
      <c r="F782" s="8" t="inlineStr">
        <is>
          <t>London Area, United Kingdom</t>
        </is>
      </c>
      <c r="G782" s="8" t="n"/>
      <c r="H782" s="14" t="n"/>
      <c r="I782" s="15">
        <f>IF($H782="","",$H782-TODAY())</f>
        <v/>
      </c>
      <c r="J782" s="16" t="inlineStr">
        <is>
          <t>Open posting</t>
        </is>
      </c>
      <c r="K782" s="8" t="inlineStr">
        <is>
          <t>filtered by keyword pre-scan</t>
        </is>
      </c>
      <c r="L782" s="17" t="inlineStr">
        <is>
          <t>new</t>
        </is>
      </c>
      <c r="M782" s="18" t="inlineStr"/>
      <c r="N782" s="7" t="inlineStr">
        <is>
          <t>dd4e31efe3ad2396d8cd3e54f9d1072bc0cca585</t>
        </is>
      </c>
      <c r="O782" s="14" t="n"/>
      <c r="P782" s="7" t="inlineStr">
        <is>
          <t>jobspy</t>
        </is>
      </c>
      <c r="Q782" s="8" t="inlineStr">
        <is>
          <t>python, javascript</t>
        </is>
      </c>
      <c r="R782" s="8" t="inlineStr">
        <is>
          <t>graduate Full Stack Developer</t>
        </is>
      </c>
      <c r="S782" s="19" t="n"/>
      <c r="T782" s="19" t="n"/>
      <c r="U782" s="14" t="n">
        <v>46191</v>
      </c>
      <c r="V782" s="7" t="inlineStr">
        <is>
          <t>v2-cv-accuracy-13b988b18da8ea7d</t>
        </is>
      </c>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1.43</v>
      </c>
      <c r="C783" s="12" t="inlineStr">
        <is>
          <t>Junior</t>
        </is>
      </c>
      <c r="D783" s="8" t="inlineStr">
        <is>
          <t>Junior Software Engineer</t>
        </is>
      </c>
      <c r="E783" s="7" t="inlineStr">
        <is>
          <t>Stonebridge - Mortgage &amp; Insurance Network</t>
        </is>
      </c>
      <c r="F783" s="8" t="inlineStr">
        <is>
          <t>Basildon, England, UK</t>
        </is>
      </c>
      <c r="G783" s="8" t="n"/>
      <c r="H783" s="14" t="n"/>
      <c r="I783" s="15">
        <f>IF($H783="","",$H783-TODAY())</f>
        <v/>
      </c>
      <c r="J783" s="16" t="inlineStr">
        <is>
          <t>Open posting</t>
        </is>
      </c>
      <c r="K783" s="8" t="inlineStr">
        <is>
          <t>filtered by keyword pre-scan</t>
        </is>
      </c>
      <c r="L783" s="17" t="inlineStr">
        <is>
          <t>new</t>
        </is>
      </c>
      <c r="M783" s="18" t="inlineStr"/>
      <c r="N783" s="7" t="inlineStr">
        <is>
          <t>4256ec2d38615d52fc2b7fca46f0758e19b0ee9e</t>
        </is>
      </c>
      <c r="O783" s="14" t="n">
        <v>46168</v>
      </c>
      <c r="P783" s="7" t="inlineStr">
        <is>
          <t>jobspy</t>
        </is>
      </c>
      <c r="Q783" s="8" t="inlineStr">
        <is>
          <t>sql, git</t>
        </is>
      </c>
      <c r="R783" s="8" t="inlineStr">
        <is>
          <t>junior/graduate Graduate Software Developer</t>
        </is>
      </c>
      <c r="S783" s="19" t="n"/>
      <c r="T783" s="19" t="n"/>
      <c r="U783" s="14" t="n">
        <v>46191</v>
      </c>
      <c r="V783" s="7" t="inlineStr">
        <is>
          <t>v2-cv-accuracy-13b988b18da8ea7d</t>
        </is>
      </c>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1.43</v>
      </c>
      <c r="C784" s="12" t="inlineStr">
        <is>
          <t>Mid-level</t>
        </is>
      </c>
      <c r="D784" s="8" t="inlineStr">
        <is>
          <t>Javascript Developer</t>
        </is>
      </c>
      <c r="E784" s="7" t="inlineStr">
        <is>
          <t>Avellio</t>
        </is>
      </c>
      <c r="F784" s="8" t="inlineStr">
        <is>
          <t>England, United Kingdom</t>
        </is>
      </c>
      <c r="G784" s="8" t="n"/>
      <c r="H784" s="14" t="n"/>
      <c r="I784" s="15">
        <f>IF($H784="","",$H784-TODAY())</f>
        <v/>
      </c>
      <c r="J784" s="16" t="inlineStr">
        <is>
          <t>Open posting</t>
        </is>
      </c>
      <c r="K784" s="8" t="inlineStr">
        <is>
          <t>filtered by keyword pre-scan</t>
        </is>
      </c>
      <c r="L784" s="17" t="inlineStr">
        <is>
          <t>new</t>
        </is>
      </c>
      <c r="M784" s="18" t="inlineStr"/>
      <c r="N784" s="7" t="inlineStr">
        <is>
          <t>adf4a58090e7ab321d2b4675f12f6049b92c1484</t>
        </is>
      </c>
      <c r="O784" s="14" t="n">
        <v>46176</v>
      </c>
      <c r="P784" s="7" t="inlineStr">
        <is>
          <t>jobspy</t>
        </is>
      </c>
      <c r="Q784" s="8" t="inlineStr">
        <is>
          <t>javascript</t>
        </is>
      </c>
      <c r="R784" s="8" t="inlineStr">
        <is>
          <t>junior Full Stack Developer</t>
        </is>
      </c>
      <c r="S784" s="19" t="n"/>
      <c r="T784" s="19" t="n"/>
      <c r="U784" s="14" t="n">
        <v>46191</v>
      </c>
      <c r="V784" s="7" t="inlineStr">
        <is>
          <t>v2-cv-accuracy-13b988b18da8ea7d</t>
        </is>
      </c>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1.43</v>
      </c>
      <c r="C785" s="12" t="inlineStr">
        <is>
          <t>Junior</t>
        </is>
      </c>
      <c r="D785" s="8" t="inlineStr">
        <is>
          <t>Software Developer</t>
        </is>
      </c>
      <c r="E785" s="7" t="inlineStr">
        <is>
          <t>Spectrum IT Recruitment</t>
        </is>
      </c>
      <c r="F785" s="8" t="inlineStr">
        <is>
          <t>London Area, United Kingdom</t>
        </is>
      </c>
      <c r="G785" s="8" t="n"/>
      <c r="H785" s="14" t="n"/>
      <c r="I785" s="15">
        <f>IF($H785="","",$H785-TODAY())</f>
        <v/>
      </c>
      <c r="J785" s="16" t="inlineStr">
        <is>
          <t>Open posting</t>
        </is>
      </c>
      <c r="K785" s="8" t="inlineStr">
        <is>
          <t>filtered by keyword pre-scan</t>
        </is>
      </c>
      <c r="L785" s="17" t="inlineStr">
        <is>
          <t>new</t>
        </is>
      </c>
      <c r="M785" s="18" t="inlineStr"/>
      <c r="N785" s="7" t="inlineStr">
        <is>
          <t>6c6e0fff01bf71f3bd542b72276b2ce26993cb5f</t>
        </is>
      </c>
      <c r="O785" s="14" t="n">
        <v>46162</v>
      </c>
      <c r="P785" s="7" t="inlineStr">
        <is>
          <t>jobspy</t>
        </is>
      </c>
      <c r="Q785" s="8" t="inlineStr">
        <is>
          <t>sql, git</t>
        </is>
      </c>
      <c r="R785" s="8" t="inlineStr">
        <is>
          <t>Graduate Software Developer Sheffield</t>
        </is>
      </c>
      <c r="S785" s="19" t="n"/>
      <c r="T785" s="19" t="n"/>
      <c r="U785" s="14" t="n">
        <v>46191</v>
      </c>
      <c r="V785" s="7" t="inlineStr">
        <is>
          <t>v2-cv-accuracy-13b988b18da8ea7d</t>
        </is>
      </c>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1.43</v>
      </c>
      <c r="C786" s="12" t="inlineStr">
        <is>
          <t>Junior</t>
        </is>
      </c>
      <c r="D786" s="8" t="inlineStr">
        <is>
          <t>Software Engineer</t>
        </is>
      </c>
      <c r="E786" s="7" t="inlineStr">
        <is>
          <t>Quantcast</t>
        </is>
      </c>
      <c r="F786" s="8" t="inlineStr">
        <is>
          <t>London, England, UK</t>
        </is>
      </c>
      <c r="G786" s="8" t="n"/>
      <c r="H786" s="14" t="n"/>
      <c r="I786" s="15">
        <f>IF($H786="","",$H786-TODAY())</f>
        <v/>
      </c>
      <c r="J786" s="16" t="inlineStr">
        <is>
          <t>Open posting</t>
        </is>
      </c>
      <c r="K786" s="8" t="inlineStr">
        <is>
          <t>filtered by keyword pre-scan</t>
        </is>
      </c>
      <c r="L786" s="17" t="inlineStr">
        <is>
          <t>new</t>
        </is>
      </c>
      <c r="M786" s="18" t="inlineStr"/>
      <c r="N786" s="7" t="inlineStr">
        <is>
          <t>fc9f53e1657360cbe635c7ef66deb8fa84d067ce</t>
        </is>
      </c>
      <c r="O786" s="14" t="n">
        <v>46178</v>
      </c>
      <c r="P786" s="7" t="inlineStr">
        <is>
          <t>jobspy</t>
        </is>
      </c>
      <c r="Q786" s="8" t="inlineStr">
        <is>
          <t>python, git</t>
        </is>
      </c>
      <c r="R786" s="8" t="inlineStr">
        <is>
          <t>junior Graduate Software Developer</t>
        </is>
      </c>
      <c r="S786" s="19" t="n"/>
      <c r="T786" s="19" t="n"/>
      <c r="U786" s="14" t="n">
        <v>46191</v>
      </c>
      <c r="V786" s="7" t="inlineStr">
        <is>
          <t>v2-cv-accuracy-13b988b18da8ea7d</t>
        </is>
      </c>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1.4</v>
      </c>
      <c r="C787" s="12" t="inlineStr">
        <is>
          <t>Graduate/Entry</t>
        </is>
      </c>
      <c r="D787" s="8" t="inlineStr">
        <is>
          <t>[HW] Entry-level Engineering (Bachelor’s/Master’s/PhD/전문연구요원)</t>
        </is>
      </c>
      <c r="E787" s="7" t="inlineStr">
        <is>
          <t>DEEPX</t>
        </is>
      </c>
      <c r="F787" s="8" t="inlineStr"/>
      <c r="G787" s="8" t="n"/>
      <c r="H787" s="14" t="n"/>
      <c r="I787" s="15">
        <f>IF($H787="","",$H787-TODAY())</f>
        <v/>
      </c>
      <c r="J787" s="16" t="inlineStr">
        <is>
          <t>Open posting</t>
        </is>
      </c>
      <c r="K787" s="8" t="inlineStr">
        <is>
          <t>filtered by keyword pre-scan</t>
        </is>
      </c>
      <c r="L787" s="17" t="inlineStr">
        <is>
          <t>new</t>
        </is>
      </c>
      <c r="M787" s="18" t="inlineStr"/>
      <c r="N787" s="7" t="inlineStr">
        <is>
          <t>7d99c272377ede89f5355d6b28d7bf04baa7f2a3</t>
        </is>
      </c>
      <c r="O787" s="14" t="n"/>
      <c r="P787" s="7" t="inlineStr">
        <is>
          <t>jobspy</t>
        </is>
      </c>
      <c r="Q787" s="8" t="inlineStr">
        <is>
          <t>verilog, fpga, git, c</t>
        </is>
      </c>
      <c r="R787" s="8" t="inlineStr">
        <is>
          <t>Graduate Hardware Engineer FPGA embedded systems</t>
        </is>
      </c>
      <c r="S787" s="19" t="n"/>
      <c r="T787" s="19" t="n"/>
      <c r="U787" s="14" t="n">
        <v>46198</v>
      </c>
      <c r="V787" s="7" t="inlineStr">
        <is>
          <t>v2-cv-accuracy-13b988b18da8ea7d</t>
        </is>
      </c>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1.4</v>
      </c>
      <c r="C788" s="12" t="inlineStr">
        <is>
          <t>Unspecified</t>
        </is>
      </c>
      <c r="D788" s="8" t="inlineStr">
        <is>
          <t>Software Engineer (RISC-V/Compiler)</t>
        </is>
      </c>
      <c r="E788" s="7" t="inlineStr">
        <is>
          <t>microTECH Global LTD</t>
        </is>
      </c>
      <c r="F788" s="8" t="inlineStr">
        <is>
          <t>Cambridge, England, UK</t>
        </is>
      </c>
      <c r="G788" s="8" t="n"/>
      <c r="H788" s="14" t="n"/>
      <c r="I788" s="15">
        <f>IF($H788="","",$H788-TODAY())</f>
        <v/>
      </c>
      <c r="J788" s="16" t="inlineStr">
        <is>
          <t>Open posting</t>
        </is>
      </c>
      <c r="K788" s="8" t="inlineStr">
        <is>
          <t>filtered by keyword pre-scan</t>
        </is>
      </c>
      <c r="L788" s="17" t="inlineStr">
        <is>
          <t>new</t>
        </is>
      </c>
      <c r="M788" s="18" t="inlineStr"/>
      <c r="N788" s="7" t="inlineStr">
        <is>
          <t>b1b78eb80508d5ce36362eea9253da58a1fddd77</t>
        </is>
      </c>
      <c r="O788" s="14" t="n">
        <v>46168</v>
      </c>
      <c r="P788" s="7" t="inlineStr">
        <is>
          <t>jobspy</t>
        </is>
      </c>
      <c r="Q788" s="8" t="inlineStr">
        <is>
          <t>python, c, hardware design</t>
        </is>
      </c>
      <c r="R788" s="8" t="inlineStr">
        <is>
          <t>Graduate Software Engineer Python embedded Linux</t>
        </is>
      </c>
      <c r="S788" s="19" t="n"/>
      <c r="T788" s="19" t="n"/>
      <c r="U788" s="14" t="n">
        <v>46198</v>
      </c>
      <c r="V788" s="7" t="inlineStr">
        <is>
          <t>v2-cv-accuracy-13b988b18da8ea7d</t>
        </is>
      </c>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1.4</v>
      </c>
      <c r="C789" s="12" t="inlineStr">
        <is>
          <t>Unspecified</t>
        </is>
      </c>
      <c r="D789" s="8" t="inlineStr">
        <is>
          <t>Developer</t>
        </is>
      </c>
      <c r="E789" s="7" t="inlineStr">
        <is>
          <t>NCC Group</t>
        </is>
      </c>
      <c r="F789" s="8" t="inlineStr">
        <is>
          <t>Manchester, England, UK</t>
        </is>
      </c>
      <c r="G789" s="8" t="n"/>
      <c r="H789" s="14" t="n"/>
      <c r="I789" s="15">
        <f>IF($H789="","",$H789-TODAY())</f>
        <v/>
      </c>
      <c r="J789" s="16" t="inlineStr">
        <is>
          <t>Open posting</t>
        </is>
      </c>
      <c r="K789" s="8" t="inlineStr">
        <is>
          <t>filtered by keyword pre-scan</t>
        </is>
      </c>
      <c r="L789" s="17" t="inlineStr">
        <is>
          <t>new</t>
        </is>
      </c>
      <c r="M789" s="18" t="inlineStr"/>
      <c r="N789" s="7" t="inlineStr">
        <is>
          <t>733f127220280ac902c10b1f1eb43d78e47291a1</t>
        </is>
      </c>
      <c r="O789" s="14" t="n">
        <v>46191</v>
      </c>
      <c r="P789" s="7" t="inlineStr">
        <is>
          <t>jobspy</t>
        </is>
      </c>
      <c r="Q789" s="8" t="inlineStr">
        <is>
          <t>python, docker, kubernetes, c</t>
        </is>
      </c>
      <c r="R789" s="8" t="inlineStr">
        <is>
          <t>Junior Python Developer backend Docker Kubernetes</t>
        </is>
      </c>
      <c r="S789" s="19" t="n"/>
      <c r="T789" s="19" t="n"/>
      <c r="U789" s="14" t="n">
        <v>46198</v>
      </c>
      <c r="V789" s="7" t="inlineStr">
        <is>
          <t>v2-cv-accuracy-13b988b18da8ea7d</t>
        </is>
      </c>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1.4</v>
      </c>
      <c r="C790" s="12" t="inlineStr">
        <is>
          <t>Graduate/Entry</t>
        </is>
      </c>
      <c r="D790" s="8" t="inlineStr">
        <is>
          <t>Graduate Engineer</t>
        </is>
      </c>
      <c r="E790" s="7" t="inlineStr">
        <is>
          <t>Tact</t>
        </is>
      </c>
      <c r="F790" s="8" t="inlineStr">
        <is>
          <t>London Area, United Kingdom</t>
        </is>
      </c>
      <c r="G790" s="8" t="n"/>
      <c r="H790" s="14" t="n"/>
      <c r="I790" s="15">
        <f>IF($H790="","",$H790-TODAY())</f>
        <v/>
      </c>
      <c r="J790" s="16" t="inlineStr">
        <is>
          <t>Open posting</t>
        </is>
      </c>
      <c r="K790" s="8" t="inlineStr">
        <is>
          <t>filtered by keyword pre-scan</t>
        </is>
      </c>
      <c r="L790" s="17" t="inlineStr">
        <is>
          <t>new</t>
        </is>
      </c>
      <c r="M790" s="18" t="inlineStr"/>
      <c r="N790" s="7" t="inlineStr">
        <is>
          <t>1a9c0273f2d2dc83c70021a4ea064d0c259cc092</t>
        </is>
      </c>
      <c r="O790" s="14" t="n"/>
      <c r="P790" s="7" t="inlineStr">
        <is>
          <t>jobspy</t>
        </is>
      </c>
      <c r="Q790" s="8" t="inlineStr">
        <is>
          <t>python, c, javascript</t>
        </is>
      </c>
      <c r="R790" s="8" t="inlineStr">
        <is>
          <t>Graduate Backend Developer Python SQL Docker</t>
        </is>
      </c>
      <c r="S790" s="19" t="n"/>
      <c r="T790" s="19" t="n"/>
      <c r="U790" s="14" t="n">
        <v>46198</v>
      </c>
      <c r="V790" s="7" t="inlineStr">
        <is>
          <t>v2-cv-accuracy-13b988b18da8ea7d</t>
        </is>
      </c>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1.4</v>
      </c>
      <c r="C791" s="12" t="inlineStr">
        <is>
          <t>Senior/Lead</t>
        </is>
      </c>
      <c r="D791" s="8" t="inlineStr">
        <is>
          <t>Software Engineer</t>
        </is>
      </c>
      <c r="E791" s="7" t="inlineStr">
        <is>
          <t>SRG</t>
        </is>
      </c>
      <c r="F791" s="8" t="inlineStr">
        <is>
          <t>Sedgefield, England, UK</t>
        </is>
      </c>
      <c r="G791" s="8" t="n"/>
      <c r="H791" s="14" t="n"/>
      <c r="I791" s="15">
        <f>IF($H791="","",$H791-TODAY())</f>
        <v/>
      </c>
      <c r="J791" s="16" t="inlineStr">
        <is>
          <t>Open posting</t>
        </is>
      </c>
      <c r="K791" s="8" t="inlineStr">
        <is>
          <t>filtered by keyword pre-scan</t>
        </is>
      </c>
      <c r="L791" s="17" t="inlineStr">
        <is>
          <t>new</t>
        </is>
      </c>
      <c r="M791" s="18" t="inlineStr"/>
      <c r="N791" s="7" t="inlineStr">
        <is>
          <t>dfebb9956ddbb67a057b5c22f7a97a661e9ab3fb</t>
        </is>
      </c>
      <c r="O791" s="14" t="n"/>
      <c r="P791" s="7" t="inlineStr">
        <is>
          <t>jobspy</t>
        </is>
      </c>
      <c r="Q791" s="8" t="inlineStr">
        <is>
          <t>git, c, embedded systems</t>
        </is>
      </c>
      <c r="R791" s="8" t="inlineStr">
        <is>
          <t>Junior Embedded Software Engineer C Python UK</t>
        </is>
      </c>
      <c r="S791" s="19" t="n"/>
      <c r="T791" s="19" t="n"/>
      <c r="U791" s="14" t="n">
        <v>46197</v>
      </c>
      <c r="V791" s="7" t="inlineStr">
        <is>
          <t>v2-cv-accuracy-13b988b18da8ea7d</t>
        </is>
      </c>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1.4</v>
      </c>
      <c r="C792" s="12" t="inlineStr">
        <is>
          <t>Unspecified</t>
        </is>
      </c>
      <c r="D792" s="8" t="inlineStr">
        <is>
          <t>Full Stack Java Developer</t>
        </is>
      </c>
      <c r="E792" s="7" t="inlineStr">
        <is>
          <t>Q1 Technologies, Inc.</t>
        </is>
      </c>
      <c r="F792" s="8" t="inlineStr">
        <is>
          <t>Bournemouth, England, UK</t>
        </is>
      </c>
      <c r="G792" s="8" t="n"/>
      <c r="H792" s="14" t="n"/>
      <c r="I792" s="15">
        <f>IF($H792="","",$H792-TODAY())</f>
        <v/>
      </c>
      <c r="J792" s="16" t="inlineStr">
        <is>
          <t>Open posting</t>
        </is>
      </c>
      <c r="K792" s="8" t="inlineStr">
        <is>
          <t>filtered by keyword pre-scan</t>
        </is>
      </c>
      <c r="L792" s="17" t="inlineStr">
        <is>
          <t>new</t>
        </is>
      </c>
      <c r="M792" s="18" t="inlineStr"/>
      <c r="N792" s="7" t="inlineStr">
        <is>
          <t>5447387107ba00b42aa2a380fe4dfa6d1b51a17d</t>
        </is>
      </c>
      <c r="O792" s="14" t="n">
        <v>46192</v>
      </c>
      <c r="P792" s="7" t="inlineStr">
        <is>
          <t>jobspy</t>
        </is>
      </c>
      <c r="Q792" s="8" t="inlineStr">
        <is>
          <t>sql, docker, c</t>
        </is>
      </c>
      <c r="R792" s="8" t="inlineStr">
        <is>
          <t>Junior Python Developer backend Docker Kubernetes</t>
        </is>
      </c>
      <c r="S792" s="19" t="n"/>
      <c r="T792" s="19" t="n"/>
      <c r="U792" s="14" t="n">
        <v>46197</v>
      </c>
      <c r="V792" s="7" t="inlineStr">
        <is>
          <t>v2-cv-accuracy-13b988b18da8ea7d</t>
        </is>
      </c>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1.4</v>
      </c>
      <c r="C793" s="12" t="inlineStr">
        <is>
          <t>Mid-level</t>
        </is>
      </c>
      <c r="D793" s="8" t="inlineStr">
        <is>
          <t>Systems Algorithm and Modelling Engineer</t>
        </is>
      </c>
      <c r="E793" s="7" t="inlineStr">
        <is>
          <t>ALL.SPACE</t>
        </is>
      </c>
      <c r="F793" s="8" t="inlineStr">
        <is>
          <t>Reading, England, UK</t>
        </is>
      </c>
      <c r="G793" s="8" t="n"/>
      <c r="H793" s="14" t="n"/>
      <c r="I793" s="15">
        <f>IF($H793="","",$H793-TODAY())</f>
        <v/>
      </c>
      <c r="J793" s="16" t="inlineStr">
        <is>
          <t>Open posting</t>
        </is>
      </c>
      <c r="K793" s="8" t="inlineStr">
        <is>
          <t>filtered by keyword pre-scan</t>
        </is>
      </c>
      <c r="L793" s="17" t="inlineStr">
        <is>
          <t>new</t>
        </is>
      </c>
      <c r="M793" s="18" t="inlineStr"/>
      <c r="N793" s="7" t="inlineStr">
        <is>
          <t>ab958358f492729fa6a85f05adb3c8ca6f8204ce</t>
        </is>
      </c>
      <c r="O793" s="14" t="n">
        <v>46177</v>
      </c>
      <c r="P793" s="7" t="inlineStr">
        <is>
          <t>jobspy</t>
        </is>
      </c>
      <c r="Q793" s="8" t="inlineStr">
        <is>
          <t>python, fpga, c</t>
        </is>
      </c>
      <c r="R793" s="8" t="inlineStr">
        <is>
          <t>PhD Studentship IoT wireless communications</t>
        </is>
      </c>
      <c r="S793" s="19" t="n"/>
      <c r="T793" s="19" t="n"/>
      <c r="U793" s="14" t="n">
        <v>46196</v>
      </c>
      <c r="V793" s="7" t="inlineStr">
        <is>
          <t>v2-cv-accuracy-13b988b18da8ea7d</t>
        </is>
      </c>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1.4</v>
      </c>
      <c r="C794" s="12" t="inlineStr">
        <is>
          <t>Unspecified</t>
        </is>
      </c>
      <c r="D794" s="8" t="inlineStr">
        <is>
          <t>Field-Programmable Gate Arrays Engineer</t>
        </is>
      </c>
      <c r="E794" s="7" t="inlineStr">
        <is>
          <t>TXM Recruit</t>
        </is>
      </c>
      <c r="F794" s="8" t="inlineStr">
        <is>
          <t>Uxbridge, England, UK</t>
        </is>
      </c>
      <c r="G794" s="8" t="n"/>
      <c r="H794" s="14" t="n"/>
      <c r="I794" s="15">
        <f>IF($H794="","",$H794-TODAY())</f>
        <v/>
      </c>
      <c r="J794" s="16" t="inlineStr">
        <is>
          <t>Open posting</t>
        </is>
      </c>
      <c r="K794" s="8" t="inlineStr">
        <is>
          <t>filtered by keyword pre-scan</t>
        </is>
      </c>
      <c r="L794" s="17" t="inlineStr">
        <is>
          <t>new</t>
        </is>
      </c>
      <c r="M794" s="18" t="inlineStr"/>
      <c r="N794" s="7" t="inlineStr">
        <is>
          <t>0265fda04a564e2eac7f3bc5784e88e98a5caaac</t>
        </is>
      </c>
      <c r="O794" s="14" t="n">
        <v>46191</v>
      </c>
      <c r="P794" s="7" t="inlineStr">
        <is>
          <t>jobspy</t>
        </is>
      </c>
      <c r="Q794" s="8" t="inlineStr">
        <is>
          <t>verilog, fpga, c, hardware design</t>
        </is>
      </c>
      <c r="R794" s="8" t="inlineStr">
        <is>
          <t>Graduate Digital Design Engineer FPGA Verilog</t>
        </is>
      </c>
      <c r="S794" s="19" t="n"/>
      <c r="T794" s="19" t="n"/>
      <c r="U794" s="14" t="n">
        <v>46196</v>
      </c>
      <c r="V794" s="7" t="inlineStr">
        <is>
          <t>v2-cv-accuracy-13b988b18da8ea7d</t>
        </is>
      </c>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1.4</v>
      </c>
      <c r="C795" s="12" t="inlineStr">
        <is>
          <t>Mid-level</t>
        </is>
      </c>
      <c r="D795" s="8" t="inlineStr">
        <is>
          <t>AWS Data Engineer</t>
        </is>
      </c>
      <c r="E795" s="7" t="inlineStr">
        <is>
          <t>IT Recruitment Solutions</t>
        </is>
      </c>
      <c r="F795" s="8" t="inlineStr"/>
      <c r="G795" s="8" t="n"/>
      <c r="H795" s="14" t="n"/>
      <c r="I795" s="15">
        <f>IF($H795="","",$H795-TODAY())</f>
        <v/>
      </c>
      <c r="J795" s="16" t="inlineStr">
        <is>
          <t>Open posting</t>
        </is>
      </c>
      <c r="K795" s="8" t="inlineStr">
        <is>
          <t>filtered by keyword pre-scan</t>
        </is>
      </c>
      <c r="L795" s="17" t="inlineStr">
        <is>
          <t>new</t>
        </is>
      </c>
      <c r="M795" s="18" t="inlineStr"/>
      <c r="N795" s="7" t="inlineStr">
        <is>
          <t>dbe9bb323d060e0abfa5d2c2b29ea0a853f5112c</t>
        </is>
      </c>
      <c r="O795" s="14" t="n">
        <v>46188</v>
      </c>
      <c r="P795" s="7" t="inlineStr">
        <is>
          <t>jobspy</t>
        </is>
      </c>
      <c r="Q795" s="8" t="inlineStr">
        <is>
          <t>python, sql, git, c</t>
        </is>
      </c>
      <c r="R795" s="8" t="inlineStr">
        <is>
          <t>Junior Data Engineer Python SQL MySQL remote</t>
        </is>
      </c>
      <c r="S795" s="19" t="n"/>
      <c r="T795" s="19" t="n"/>
      <c r="U795" s="14" t="n">
        <v>46195</v>
      </c>
      <c r="V795" s="7" t="inlineStr">
        <is>
          <t>v2-cv-accuracy-13b988b18da8ea7d</t>
        </is>
      </c>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1.4</v>
      </c>
      <c r="C796" s="12" t="inlineStr">
        <is>
          <t>Unspecified</t>
        </is>
      </c>
      <c r="D796" s="8" t="inlineStr">
        <is>
          <t>IoT Engineer</t>
        </is>
      </c>
      <c r="E796" s="7" t="inlineStr">
        <is>
          <t>Fuse Energy</t>
        </is>
      </c>
      <c r="F796" s="8" t="inlineStr">
        <is>
          <t>London, England, UK</t>
        </is>
      </c>
      <c r="G796" s="8" t="n"/>
      <c r="H796" s="14" t="n"/>
      <c r="I796" s="15">
        <f>IF($H796="","",$H796-TODAY())</f>
        <v/>
      </c>
      <c r="J796" s="16" t="inlineStr">
        <is>
          <t>Open posting</t>
        </is>
      </c>
      <c r="K796" s="8" t="inlineStr">
        <is>
          <t>filtered by keyword pre-scan</t>
        </is>
      </c>
      <c r="L796" s="17" t="inlineStr">
        <is>
          <t>new</t>
        </is>
      </c>
      <c r="M796" s="18" t="inlineStr"/>
      <c r="N796" s="7" t="inlineStr">
        <is>
          <t>ba8058bd9b03553121e54496ad41668ceb5337aa</t>
        </is>
      </c>
      <c r="O796" s="14" t="n"/>
      <c r="P796" s="7" t="inlineStr">
        <is>
          <t>jobspy</t>
        </is>
      </c>
      <c r="Q796" s="8" t="inlineStr">
        <is>
          <t>python, c, embedded systems</t>
        </is>
      </c>
      <c r="R796" s="8" t="inlineStr">
        <is>
          <t>Graduate IoT Engineer LoRaWAN embedded</t>
        </is>
      </c>
      <c r="S796" s="19" t="n"/>
      <c r="T796" s="19" t="n"/>
      <c r="U796" s="14" t="n">
        <v>46195</v>
      </c>
      <c r="V796" s="7" t="inlineStr">
        <is>
          <t>v2-cv-accuracy-13b988b18da8ea7d</t>
        </is>
      </c>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1.4</v>
      </c>
      <c r="C797" s="12" t="inlineStr">
        <is>
          <t>Unspecified</t>
        </is>
      </c>
      <c r="D797" s="8" t="inlineStr">
        <is>
          <t>Data Onboarding Tech</t>
        </is>
      </c>
      <c r="E797" s="7" t="inlineStr">
        <is>
          <t>IDEXX</t>
        </is>
      </c>
      <c r="F797" s="8" t="inlineStr">
        <is>
          <t>London, England, UK</t>
        </is>
      </c>
      <c r="G797" s="8" t="n"/>
      <c r="H797" s="14" t="n"/>
      <c r="I797" s="15">
        <f>IF($H797="","",$H797-TODAY())</f>
        <v/>
      </c>
      <c r="J797" s="16" t="inlineStr">
        <is>
          <t>Open posting</t>
        </is>
      </c>
      <c r="K797" s="8" t="inlineStr">
        <is>
          <t>filtered by keyword pre-scan</t>
        </is>
      </c>
      <c r="L797" s="17" t="inlineStr">
        <is>
          <t>new</t>
        </is>
      </c>
      <c r="M797" s="18" t="inlineStr"/>
      <c r="N797" s="7" t="inlineStr">
        <is>
          <t>8c51e33d95c9e6314ec9bc842fd07179b32aa22d</t>
        </is>
      </c>
      <c r="O797" s="14" t="n">
        <v>46177</v>
      </c>
      <c r="P797" s="7" t="inlineStr">
        <is>
          <t>jobspy</t>
        </is>
      </c>
      <c r="Q797" s="8" t="inlineStr">
        <is>
          <t>python, sql, mysql, c</t>
        </is>
      </c>
      <c r="R797" s="8" t="inlineStr">
        <is>
          <t>Junior Data Engineer Python SQL MySQL</t>
        </is>
      </c>
      <c r="S797" s="19" t="n"/>
      <c r="T797" s="19" t="n"/>
      <c r="U797" s="14" t="n">
        <v>46195</v>
      </c>
      <c r="V797" s="7" t="inlineStr">
        <is>
          <t>v2-cv-accuracy-13b988b18da8ea7d</t>
        </is>
      </c>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1.4</v>
      </c>
      <c r="C798" s="12" t="inlineStr">
        <is>
          <t>Graduate/Entry</t>
        </is>
      </c>
      <c r="D798" s="8" t="inlineStr">
        <is>
          <t>Graduate Programme 2027: Software Engineer (Java)</t>
        </is>
      </c>
      <c r="E798" s="7" t="inlineStr">
        <is>
          <t>Revolut</t>
        </is>
      </c>
      <c r="F798" s="8" t="inlineStr">
        <is>
          <t>London, ENG, GB</t>
        </is>
      </c>
      <c r="G798" s="8" t="n"/>
      <c r="H798" s="14" t="n"/>
      <c r="I798" s="15">
        <f>IF($H798="","",$H798-TODAY())</f>
        <v/>
      </c>
      <c r="J798" s="16" t="inlineStr">
        <is>
          <t>Open posting</t>
        </is>
      </c>
      <c r="K798" s="8" t="inlineStr">
        <is>
          <t>filtered by keyword pre-scan</t>
        </is>
      </c>
      <c r="L798" s="17" t="inlineStr">
        <is>
          <t>new</t>
        </is>
      </c>
      <c r="M798" s="18" t="inlineStr"/>
      <c r="N798" s="7" t="inlineStr">
        <is>
          <t>6ffd31c1eb2955ff5caa82f44f07e51f3e5ebef3</t>
        </is>
      </c>
      <c r="O798" s="14" t="n">
        <v>46169</v>
      </c>
      <c r="P798" s="7" t="inlineStr">
        <is>
          <t>jobspy</t>
        </is>
      </c>
      <c r="Q798" s="8" t="inlineStr">
        <is>
          <t>sql, docker, kubernetes, c</t>
        </is>
      </c>
      <c r="R798" s="8" t="inlineStr">
        <is>
          <t>Platform Engineer graduate Docker Kubernetes</t>
        </is>
      </c>
      <c r="S798" s="19" t="n"/>
      <c r="T798" s="19" t="n"/>
      <c r="U798" s="14" t="n">
        <v>46195</v>
      </c>
      <c r="V798" s="7" t="inlineStr">
        <is>
          <t>v2-cv-accuracy-13b988b18da8ea7d</t>
        </is>
      </c>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1.4</v>
      </c>
      <c r="C799" s="12" t="inlineStr">
        <is>
          <t>Internship</t>
        </is>
      </c>
      <c r="D799" s="8" t="inlineStr">
        <is>
          <t>Internship Programme 2027: Software Engineer (Java)</t>
        </is>
      </c>
      <c r="E799" s="7" t="inlineStr">
        <is>
          <t>Revolut</t>
        </is>
      </c>
      <c r="F799" s="8" t="inlineStr">
        <is>
          <t>London, ENG, GB</t>
        </is>
      </c>
      <c r="G799" s="8" t="n"/>
      <c r="H799" s="14" t="n"/>
      <c r="I799" s="15">
        <f>IF($H799="","",$H799-TODAY())</f>
        <v/>
      </c>
      <c r="J799" s="16" t="inlineStr">
        <is>
          <t>Open posting</t>
        </is>
      </c>
      <c r="K799" s="8" t="inlineStr">
        <is>
          <t>filtered by keyword pre-scan</t>
        </is>
      </c>
      <c r="L799" s="17" t="inlineStr">
        <is>
          <t>new</t>
        </is>
      </c>
      <c r="M799" s="18" t="inlineStr"/>
      <c r="N799" s="7" t="inlineStr">
        <is>
          <t>0b8e8891232c7ebc3deb2b3fdc530b97e42cd75b</t>
        </is>
      </c>
      <c r="O799" s="14" t="n">
        <v>46169</v>
      </c>
      <c r="P799" s="7" t="inlineStr">
        <is>
          <t>jobspy</t>
        </is>
      </c>
      <c r="Q799" s="8" t="inlineStr">
        <is>
          <t>sql, docker, kubernetes, c</t>
        </is>
      </c>
      <c r="R799" s="8" t="inlineStr">
        <is>
          <t>Platform Engineer graduate Docker Kubernetes</t>
        </is>
      </c>
      <c r="S799" s="19" t="n"/>
      <c r="T799" s="19" t="n"/>
      <c r="U799" s="14" t="n">
        <v>46195</v>
      </c>
      <c r="V799" s="7" t="inlineStr">
        <is>
          <t>v2-cv-accuracy-13b988b18da8ea7d</t>
        </is>
      </c>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1.4</v>
      </c>
      <c r="C800" s="12" t="inlineStr">
        <is>
          <t>Unspecified</t>
        </is>
      </c>
      <c r="D800" s="8" t="inlineStr">
        <is>
          <t>Digital Verification Engineer</t>
        </is>
      </c>
      <c r="E800" s="7" t="inlineStr">
        <is>
          <t>NXP Semiconductors</t>
        </is>
      </c>
      <c r="F800" s="8" t="inlineStr">
        <is>
          <t>Glasgow, Scotland, UK</t>
        </is>
      </c>
      <c r="G800" s="8" t="n"/>
      <c r="H800" s="14" t="n"/>
      <c r="I800" s="15">
        <f>IF($H800="","",$H800-TODAY())</f>
        <v/>
      </c>
      <c r="J800" s="16" t="inlineStr">
        <is>
          <t>Open posting</t>
        </is>
      </c>
      <c r="K800" s="8" t="inlineStr">
        <is>
          <t>filtered by keyword pre-scan</t>
        </is>
      </c>
      <c r="L800" s="17" t="inlineStr">
        <is>
          <t>new</t>
        </is>
      </c>
      <c r="M800" s="18" t="inlineStr"/>
      <c r="N800" s="7" t="inlineStr">
        <is>
          <t>b1c415760c441a162691cdc388de4d18aa44262e</t>
        </is>
      </c>
      <c r="O800" s="14" t="n">
        <v>46183</v>
      </c>
      <c r="P800" s="7" t="inlineStr">
        <is>
          <t>jobspy</t>
        </is>
      </c>
      <c r="Q800" s="8" t="inlineStr">
        <is>
          <t>verilog, git, c, hardware design</t>
        </is>
      </c>
      <c r="R800" s="8" t="inlineStr">
        <is>
          <t>Graduate Verification Engineer Verilog FPGA</t>
        </is>
      </c>
      <c r="S800" s="19" t="n"/>
      <c r="T800" s="19" t="n"/>
      <c r="U800" s="14" t="n">
        <v>46195</v>
      </c>
      <c r="V800" s="7" t="inlineStr">
        <is>
          <t>v2-cv-accuracy-13b988b18da8ea7d</t>
        </is>
      </c>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1.4</v>
      </c>
      <c r="C801" s="12" t="inlineStr">
        <is>
          <t>Unspecified</t>
        </is>
      </c>
      <c r="D801" s="8" t="inlineStr">
        <is>
          <t>Embedded Software Engineer (IoT)</t>
        </is>
      </c>
      <c r="E801" s="7" t="inlineStr">
        <is>
          <t>Fuse Energy</t>
        </is>
      </c>
      <c r="F801" s="8" t="inlineStr">
        <is>
          <t>London, England, UK</t>
        </is>
      </c>
      <c r="G801" s="8" t="n"/>
      <c r="H801" s="14" t="n"/>
      <c r="I801" s="15">
        <f>IF($H801="","",$H801-TODAY())</f>
        <v/>
      </c>
      <c r="J801" s="16" t="inlineStr">
        <is>
          <t>Open posting</t>
        </is>
      </c>
      <c r="K801" s="8" t="inlineStr">
        <is>
          <t>filtered by keyword pre-scan</t>
        </is>
      </c>
      <c r="L801" s="17" t="inlineStr">
        <is>
          <t>new</t>
        </is>
      </c>
      <c r="M801" s="18" t="inlineStr"/>
      <c r="N801" s="7" t="inlineStr">
        <is>
          <t>39cb631fa4c31f96e0620a5262639dcd8cfbd14e</t>
        </is>
      </c>
      <c r="O801" s="14" t="n"/>
      <c r="P801" s="7" t="inlineStr">
        <is>
          <t>jobspy</t>
        </is>
      </c>
      <c r="Q801" s="8" t="inlineStr">
        <is>
          <t>python, c, embedded systems</t>
        </is>
      </c>
      <c r="R801" s="8" t="inlineStr">
        <is>
          <t>Graduate Embedded Software Engineer C Python IoT</t>
        </is>
      </c>
      <c r="S801" s="19" t="n"/>
      <c r="T801" s="19" t="n"/>
      <c r="U801" s="14" t="n">
        <v>46195</v>
      </c>
      <c r="V801" s="7" t="inlineStr">
        <is>
          <t>v2-cv-accuracy-13b988b18da8ea7d</t>
        </is>
      </c>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1.4</v>
      </c>
      <c r="C802" s="12" t="inlineStr">
        <is>
          <t>Mid-level</t>
        </is>
      </c>
      <c r="D802" s="8" t="inlineStr">
        <is>
          <t>Field-Programmable Gate Arrays Engineer (with DSP)</t>
        </is>
      </c>
      <c r="E802" s="7" t="inlineStr">
        <is>
          <t>Technical Futures Ltd</t>
        </is>
      </c>
      <c r="F802" s="8" t="inlineStr">
        <is>
          <t>Cambridgeshire, England, UK</t>
        </is>
      </c>
      <c r="G802" s="8" t="n"/>
      <c r="H802" s="14" t="n"/>
      <c r="I802" s="15">
        <f>IF($H802="","",$H802-TODAY())</f>
        <v/>
      </c>
      <c r="J802" s="16" t="inlineStr">
        <is>
          <t>Open posting</t>
        </is>
      </c>
      <c r="K802" s="8" t="inlineStr">
        <is>
          <t>filtered by keyword pre-scan</t>
        </is>
      </c>
      <c r="L802" s="17" t="inlineStr">
        <is>
          <t>new</t>
        </is>
      </c>
      <c r="M802" s="18" t="inlineStr"/>
      <c r="N802" s="7" t="inlineStr">
        <is>
          <t>0c97a1196bb25ceeaefa8a7e4d3afb660bc13923</t>
        </is>
      </c>
      <c r="O802" s="14" t="n">
        <v>46192</v>
      </c>
      <c r="P802" s="7" t="inlineStr">
        <is>
          <t>jobspy</t>
        </is>
      </c>
      <c r="Q802" s="8" t="inlineStr">
        <is>
          <t>fpga, vivado, c, dsp</t>
        </is>
      </c>
      <c r="R802" s="8" t="inlineStr">
        <is>
          <t>Graduate Signal Processing Engineer DSP FPGA</t>
        </is>
      </c>
      <c r="S802" s="19" t="n"/>
      <c r="T802" s="19" t="n"/>
      <c r="U802" s="14" t="n">
        <v>46195</v>
      </c>
      <c r="V802" s="7" t="inlineStr">
        <is>
          <t>v2-cv-accuracy-13b988b18da8ea7d</t>
        </is>
      </c>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1.4</v>
      </c>
      <c r="C803" s="12" t="inlineStr">
        <is>
          <t>Graduate/Entry</t>
        </is>
      </c>
      <c r="D803" s="8" t="inlineStr">
        <is>
          <t>Graduate Partner Trading and AI Merchandising Executive (UK based only)</t>
        </is>
      </c>
      <c r="E803" s="7" t="inlineStr">
        <is>
          <t>Swoon</t>
        </is>
      </c>
      <c r="F803" s="8" t="inlineStr"/>
      <c r="G803" s="8" t="n"/>
      <c r="H803" s="14" t="n"/>
      <c r="I803" s="15">
        <f>IF($H803="","",$H803-TODAY())</f>
        <v/>
      </c>
      <c r="J803" s="16" t="inlineStr">
        <is>
          <t>Open posting</t>
        </is>
      </c>
      <c r="K803" s="8" t="inlineStr">
        <is>
          <t>filtered by keyword pre-scan</t>
        </is>
      </c>
      <c r="L803" s="17" t="inlineStr">
        <is>
          <t>new</t>
        </is>
      </c>
      <c r="M803" s="18" t="inlineStr"/>
      <c r="N803" s="7" t="inlineStr">
        <is>
          <t>7b7c0c418580f1de60e866f4de7c5d5d2bf815fa</t>
        </is>
      </c>
      <c r="O803" s="14" t="n">
        <v>46171</v>
      </c>
      <c r="P803" s="7" t="inlineStr">
        <is>
          <t>jobspy</t>
        </is>
      </c>
      <c r="Q803" s="8" t="inlineStr">
        <is>
          <t>python, sql, git, c</t>
        </is>
      </c>
      <c r="R803" s="8" t="inlineStr">
        <is>
          <t>Graduate Computer Engineer digital design</t>
        </is>
      </c>
      <c r="S803" s="19" t="n"/>
      <c r="T803" s="19" t="n"/>
      <c r="U803" s="14" t="n">
        <v>46194</v>
      </c>
      <c r="V803" s="7" t="inlineStr">
        <is>
          <t>v2-cv-accuracy-13b988b18da8ea7d</t>
        </is>
      </c>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1.4</v>
      </c>
      <c r="C804" s="12" t="inlineStr">
        <is>
          <t>Internship</t>
        </is>
      </c>
      <c r="D804" s="8" t="inlineStr">
        <is>
          <t>Internship Programme 2027: Software Engineer (Java)</t>
        </is>
      </c>
      <c r="E804" s="7" t="inlineStr">
        <is>
          <t>Revolut</t>
        </is>
      </c>
      <c r="F804" s="8" t="inlineStr"/>
      <c r="G804" s="8" t="n"/>
      <c r="H804" s="14" t="n"/>
      <c r="I804" s="15">
        <f>IF($H804="","",$H804-TODAY())</f>
        <v/>
      </c>
      <c r="J804" s="16" t="inlineStr">
        <is>
          <t>Open posting</t>
        </is>
      </c>
      <c r="K804" s="8" t="inlineStr">
        <is>
          <t>filtered by keyword pre-scan</t>
        </is>
      </c>
      <c r="L804" s="17" t="inlineStr">
        <is>
          <t>new</t>
        </is>
      </c>
      <c r="M804" s="18" t="inlineStr"/>
      <c r="N804" s="7" t="inlineStr">
        <is>
          <t>28717dec0a25e36b0a9d56a207bbf2a22be5d46b</t>
        </is>
      </c>
      <c r="O804" s="14" t="n">
        <v>46192</v>
      </c>
      <c r="P804" s="7" t="inlineStr">
        <is>
          <t>jobspy</t>
        </is>
      </c>
      <c r="Q804" s="8" t="inlineStr">
        <is>
          <t>sql, docker, kubernetes, c</t>
        </is>
      </c>
      <c r="R804" s="8" t="inlineStr">
        <is>
          <t>Graduate Backend Developer Python Docker Kubernetes</t>
        </is>
      </c>
      <c r="S804" s="19" t="n"/>
      <c r="T804" s="19" t="n"/>
      <c r="U804" s="14" t="n">
        <v>46194</v>
      </c>
      <c r="V804" s="7" t="inlineStr">
        <is>
          <t>v2-cv-accuracy-13b988b18da8ea7d</t>
        </is>
      </c>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1.4</v>
      </c>
      <c r="C805" s="12" t="inlineStr">
        <is>
          <t>Senior/Lead</t>
        </is>
      </c>
      <c r="D805" s="8" t="inlineStr">
        <is>
          <t>Development Engineer</t>
        </is>
      </c>
      <c r="E805" s="7" t="inlineStr">
        <is>
          <t>WIKA Group</t>
        </is>
      </c>
      <c r="F805" s="8" t="inlineStr">
        <is>
          <t>Didcot, England, UK</t>
        </is>
      </c>
      <c r="G805" s="8" t="n"/>
      <c r="H805" s="14" t="n"/>
      <c r="I805" s="15">
        <f>IF($H805="","",$H805-TODAY())</f>
        <v/>
      </c>
      <c r="J805" s="16" t="inlineStr">
        <is>
          <t>Open posting</t>
        </is>
      </c>
      <c r="K805" s="8" t="inlineStr">
        <is>
          <t>filtered by keyword pre-scan</t>
        </is>
      </c>
      <c r="L805" s="17" t="inlineStr">
        <is>
          <t>new</t>
        </is>
      </c>
      <c r="M805" s="18" t="inlineStr"/>
      <c r="N805" s="7" t="inlineStr">
        <is>
          <t>a93aa9ef287cc80d356d23938d97c2c1a0db65f8</t>
        </is>
      </c>
      <c r="O805" s="14" t="n">
        <v>46183</v>
      </c>
      <c r="P805" s="7" t="inlineStr">
        <is>
          <t>jobspy</t>
        </is>
      </c>
      <c r="Q805" s="8" t="inlineStr">
        <is>
          <t>python, git, c</t>
        </is>
      </c>
      <c r="R805" s="8" t="inlineStr">
        <is>
          <t>Graduate Embedded Engineer Python FPGA</t>
        </is>
      </c>
      <c r="S805" s="19" t="n"/>
      <c r="T805" s="19" t="n"/>
      <c r="U805" s="14" t="n">
        <v>46193</v>
      </c>
      <c r="V805" s="7" t="inlineStr">
        <is>
          <t>v2-cv-accuracy-13b988b18da8ea7d</t>
        </is>
      </c>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1.4</v>
      </c>
      <c r="C806" s="12" t="inlineStr">
        <is>
          <t>Unspecified</t>
        </is>
      </c>
      <c r="D806" s="8" t="inlineStr">
        <is>
          <t>IoT Engineer</t>
        </is>
      </c>
      <c r="E806" s="7" t="inlineStr">
        <is>
          <t>Fuse Energy</t>
        </is>
      </c>
      <c r="F806" s="8" t="inlineStr">
        <is>
          <t>London, England, UK</t>
        </is>
      </c>
      <c r="G806" s="8" t="n"/>
      <c r="H806" s="14" t="n"/>
      <c r="I806" s="15">
        <f>IF($H806="","",$H806-TODAY())</f>
        <v/>
      </c>
      <c r="J806" s="16" t="inlineStr">
        <is>
          <t>Open posting</t>
        </is>
      </c>
      <c r="K806" s="8" t="inlineStr">
        <is>
          <t>filtered by keyword pre-scan</t>
        </is>
      </c>
      <c r="L806" s="17" t="inlineStr">
        <is>
          <t>new</t>
        </is>
      </c>
      <c r="M806" s="18" t="inlineStr"/>
      <c r="N806" s="7" t="inlineStr">
        <is>
          <t>56860feadbd9e054ab3cd751a5bed4ef99c4fbbc</t>
        </is>
      </c>
      <c r="O806" s="14" t="n">
        <v>46178</v>
      </c>
      <c r="P806" s="7" t="inlineStr">
        <is>
          <t>jobspy</t>
        </is>
      </c>
      <c r="Q806" s="8" t="inlineStr">
        <is>
          <t>python, c, embedded systems</t>
        </is>
      </c>
      <c r="R806" s="8" t="inlineStr">
        <is>
          <t>Embedded Systems Engineer Raspberry Pi LoRaWAN</t>
        </is>
      </c>
      <c r="S806" s="19" t="n"/>
      <c r="T806" s="19" t="n"/>
      <c r="U806" s="14" t="n">
        <v>46193</v>
      </c>
      <c r="V806" s="7" t="inlineStr">
        <is>
          <t>v2-cv-accuracy-13b988b18da8ea7d</t>
        </is>
      </c>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1.4</v>
      </c>
      <c r="C807" s="12" t="inlineStr">
        <is>
          <t>Unspecified</t>
        </is>
      </c>
      <c r="D807" s="8" t="inlineStr">
        <is>
          <t>Data Analyst</t>
        </is>
      </c>
      <c r="E807" s="7" t="inlineStr">
        <is>
          <t>Qodea</t>
        </is>
      </c>
      <c r="F807" s="8" t="inlineStr">
        <is>
          <t>Manchester, England, UK</t>
        </is>
      </c>
      <c r="G807" s="8" t="n"/>
      <c r="H807" s="14" t="n"/>
      <c r="I807" s="15">
        <f>IF($H807="","",$H807-TODAY())</f>
        <v/>
      </c>
      <c r="J807" s="16" t="inlineStr">
        <is>
          <t>Open posting</t>
        </is>
      </c>
      <c r="K807" s="8" t="inlineStr">
        <is>
          <t>filtered by keyword pre-scan</t>
        </is>
      </c>
      <c r="L807" s="17" t="inlineStr">
        <is>
          <t>new</t>
        </is>
      </c>
      <c r="M807" s="18" t="inlineStr"/>
      <c r="N807" s="7" t="inlineStr">
        <is>
          <t>df8e8d257788dcc54a4293e2f44c6e24109f40b6</t>
        </is>
      </c>
      <c r="O807" s="14" t="n">
        <v>46171</v>
      </c>
      <c r="P807" s="7" t="inlineStr">
        <is>
          <t>jobspy</t>
        </is>
      </c>
      <c r="Q807" s="8" t="inlineStr">
        <is>
          <t>sql, mysql, c</t>
        </is>
      </c>
      <c r="R807" s="8" t="inlineStr">
        <is>
          <t>Junior Data Engineer SQL Python MySQL</t>
        </is>
      </c>
      <c r="S807" s="19" t="n"/>
      <c r="T807" s="19" t="n"/>
      <c r="U807" s="14" t="n">
        <v>46193</v>
      </c>
      <c r="V807" s="7" t="inlineStr">
        <is>
          <t>v2-cv-accuracy-13b988b18da8ea7d</t>
        </is>
      </c>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1.4</v>
      </c>
      <c r="C808" s="12" t="inlineStr">
        <is>
          <t>Unspecified</t>
        </is>
      </c>
      <c r="D808" s="8" t="inlineStr">
        <is>
          <t>Data Analyst</t>
        </is>
      </c>
      <c r="E808" s="7" t="inlineStr">
        <is>
          <t>Qodea</t>
        </is>
      </c>
      <c r="F808" s="8" t="inlineStr">
        <is>
          <t>London, England, UK</t>
        </is>
      </c>
      <c r="G808" s="8" t="n"/>
      <c r="H808" s="14" t="n"/>
      <c r="I808" s="15">
        <f>IF($H808="","",$H808-TODAY())</f>
        <v/>
      </c>
      <c r="J808" s="16" t="inlineStr">
        <is>
          <t>Open posting</t>
        </is>
      </c>
      <c r="K808" s="8" t="inlineStr">
        <is>
          <t>filtered by keyword pre-scan</t>
        </is>
      </c>
      <c r="L808" s="17" t="inlineStr">
        <is>
          <t>new</t>
        </is>
      </c>
      <c r="M808" s="18" t="inlineStr"/>
      <c r="N808" s="7" t="inlineStr">
        <is>
          <t>b08bd44c3e8ab04969a52c5f2a4234516c9aa88e</t>
        </is>
      </c>
      <c r="O808" s="14" t="n">
        <v>46168</v>
      </c>
      <c r="P808" s="7" t="inlineStr">
        <is>
          <t>jobspy</t>
        </is>
      </c>
      <c r="Q808" s="8" t="inlineStr">
        <is>
          <t>sql, mysql, c</t>
        </is>
      </c>
      <c r="R808" s="8" t="inlineStr">
        <is>
          <t>Junior Data Engineer SQL Python MySQL</t>
        </is>
      </c>
      <c r="S808" s="19" t="n"/>
      <c r="T808" s="19" t="n"/>
      <c r="U808" s="14" t="n">
        <v>46193</v>
      </c>
      <c r="V808" s="7" t="inlineStr">
        <is>
          <t>v2-cv-accuracy-13b988b18da8ea7d</t>
        </is>
      </c>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1.4</v>
      </c>
      <c r="C809" s="12" t="inlineStr">
        <is>
          <t>Mid-level</t>
        </is>
      </c>
      <c r="D809" s="8" t="inlineStr">
        <is>
          <t>DSP Engineer</t>
        </is>
      </c>
      <c r="E809" s="7" t="inlineStr">
        <is>
          <t>Technical Futures Ltd</t>
        </is>
      </c>
      <c r="F809" s="8" t="inlineStr">
        <is>
          <t>Cambridgeshire, England, UK</t>
        </is>
      </c>
      <c r="G809" s="8" t="n"/>
      <c r="H809" s="14" t="n"/>
      <c r="I809" s="15">
        <f>IF($H809="","",$H809-TODAY())</f>
        <v/>
      </c>
      <c r="J809" s="16" t="inlineStr">
        <is>
          <t>Open posting</t>
        </is>
      </c>
      <c r="K809" s="8" t="inlineStr">
        <is>
          <t>filtered by keyword pre-scan</t>
        </is>
      </c>
      <c r="L809" s="17" t="inlineStr">
        <is>
          <t>new</t>
        </is>
      </c>
      <c r="M809" s="18" t="inlineStr"/>
      <c r="N809" s="7" t="inlineStr">
        <is>
          <t>9c230d94967af263690133b25af2db13d34179eb</t>
        </is>
      </c>
      <c r="O809" s="14" t="n">
        <v>46192</v>
      </c>
      <c r="P809" s="7" t="inlineStr">
        <is>
          <t>jobspy</t>
        </is>
      </c>
      <c r="Q809" s="8" t="inlineStr">
        <is>
          <t>fpga, vivado, c, dsp</t>
        </is>
      </c>
      <c r="R809" s="8" t="inlineStr">
        <is>
          <t>Graduate Signal Processing Engineer DSP</t>
        </is>
      </c>
      <c r="S809" s="19" t="n"/>
      <c r="T809" s="19" t="n"/>
      <c r="U809" s="14" t="n">
        <v>46193</v>
      </c>
      <c r="V809" s="7" t="inlineStr">
        <is>
          <t>v2-cv-accuracy-13b988b18da8ea7d</t>
        </is>
      </c>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1.4</v>
      </c>
      <c r="C810" s="12" t="inlineStr">
        <is>
          <t>Senior/Lead</t>
        </is>
      </c>
      <c r="D810" s="8" t="inlineStr">
        <is>
          <t>Embedded Systems Engineer</t>
        </is>
      </c>
      <c r="E810" s="7" t="inlineStr">
        <is>
          <t>Spellman High Voltage Electronics Corporation</t>
        </is>
      </c>
      <c r="F810" s="8" t="inlineStr">
        <is>
          <t>Pulborough, England, UK</t>
        </is>
      </c>
      <c r="G810" s="8" t="n"/>
      <c r="H810" s="14" t="n"/>
      <c r="I810" s="15">
        <f>IF($H810="","",$H810-TODAY())</f>
        <v/>
      </c>
      <c r="J810" s="16" t="inlineStr">
        <is>
          <t>Open posting</t>
        </is>
      </c>
      <c r="K810" s="8" t="inlineStr">
        <is>
          <t>filtered by keyword pre-scan</t>
        </is>
      </c>
      <c r="L810" s="17" t="inlineStr">
        <is>
          <t>new</t>
        </is>
      </c>
      <c r="M810" s="18" t="inlineStr"/>
      <c r="N810" s="7" t="inlineStr">
        <is>
          <t>e70362fb10342117aa2cf670e1fb405f9b210c91</t>
        </is>
      </c>
      <c r="O810" s="14" t="n">
        <v>46181</v>
      </c>
      <c r="P810" s="7" t="inlineStr">
        <is>
          <t>jobspy</t>
        </is>
      </c>
      <c r="Q810" s="8" t="inlineStr">
        <is>
          <t>git, c, embedded systems, dsp</t>
        </is>
      </c>
      <c r="R810" s="8" t="inlineStr">
        <is>
          <t>Graduate Signal Processing Engineer DSP</t>
        </is>
      </c>
      <c r="S810" s="19" t="n"/>
      <c r="T810" s="19" t="n"/>
      <c r="U810" s="14" t="n">
        <v>46193</v>
      </c>
      <c r="V810" s="7" t="inlineStr">
        <is>
          <t>v2-cv-accuracy-13b988b18da8ea7d</t>
        </is>
      </c>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1.4</v>
      </c>
      <c r="C811" s="12" t="inlineStr">
        <is>
          <t>Junior</t>
        </is>
      </c>
      <c r="D811" s="8" t="inlineStr">
        <is>
          <t>External - AI Architect (m/f/*)</t>
        </is>
      </c>
      <c r="E811" s="7" t="inlineStr">
        <is>
          <t>Solventum</t>
        </is>
      </c>
      <c r="F811" s="8" t="inlineStr">
        <is>
          <t>Loughborough, ENG, GB</t>
        </is>
      </c>
      <c r="G811" s="8" t="n"/>
      <c r="H811" s="14" t="n"/>
      <c r="I811" s="15">
        <f>IF($H811="","",$H811-TODAY())</f>
        <v/>
      </c>
      <c r="J811" s="16" t="inlineStr">
        <is>
          <t>Open posting</t>
        </is>
      </c>
      <c r="K811" s="8" t="inlineStr">
        <is>
          <t>filtered by keyword pre-scan</t>
        </is>
      </c>
      <c r="L811" s="17" t="inlineStr">
        <is>
          <t>new</t>
        </is>
      </c>
      <c r="M811" s="18" t="inlineStr"/>
      <c r="N811" s="7" t="inlineStr">
        <is>
          <t>362286eb1e89fbec3346cc02a23182ea270f5140</t>
        </is>
      </c>
      <c r="O811" s="14" t="n">
        <v>46185</v>
      </c>
      <c r="P811" s="7" t="inlineStr">
        <is>
          <t>jobspy</t>
        </is>
      </c>
      <c r="Q811" s="8" t="inlineStr">
        <is>
          <t>python, sql, kubernetes, c</t>
        </is>
      </c>
      <c r="R811" s="8" t="inlineStr">
        <is>
          <t>Junior Data Engineer Python SQL pipeline</t>
        </is>
      </c>
      <c r="S811" s="19" t="n"/>
      <c r="T811" s="19" t="n"/>
      <c r="U811" s="14" t="n">
        <v>46193</v>
      </c>
      <c r="V811" s="7" t="inlineStr">
        <is>
          <t>v2-cv-accuracy-13b988b18da8ea7d</t>
        </is>
      </c>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1.4</v>
      </c>
      <c r="C812" s="12" t="inlineStr">
        <is>
          <t>Mid-level</t>
        </is>
      </c>
      <c r="D812" s="8" t="inlineStr">
        <is>
          <t>Data Engineer</t>
        </is>
      </c>
      <c r="E812" s="7" t="inlineStr">
        <is>
          <t>Feefo</t>
        </is>
      </c>
      <c r="F812" s="8" t="inlineStr">
        <is>
          <t>London, England, UK</t>
        </is>
      </c>
      <c r="G812" s="8" t="n"/>
      <c r="H812" s="14" t="n"/>
      <c r="I812" s="15">
        <f>IF($H812="","",$H812-TODAY())</f>
        <v/>
      </c>
      <c r="J812" s="16" t="inlineStr">
        <is>
          <t>Open posting</t>
        </is>
      </c>
      <c r="K812" s="8" t="inlineStr">
        <is>
          <t>filtered by keyword pre-scan</t>
        </is>
      </c>
      <c r="L812" s="17" t="inlineStr">
        <is>
          <t>new</t>
        </is>
      </c>
      <c r="M812" s="18" t="inlineStr"/>
      <c r="N812" s="7" t="inlineStr">
        <is>
          <t>c62cb75b868c2ac7e204a77eb6386239509bd15f</t>
        </is>
      </c>
      <c r="O812" s="14" t="n">
        <v>46172</v>
      </c>
      <c r="P812" s="7" t="inlineStr">
        <is>
          <t>jobspy</t>
        </is>
      </c>
      <c r="Q812" s="8" t="inlineStr">
        <is>
          <t>python, sql, kubernetes, c</t>
        </is>
      </c>
      <c r="R812" s="8" t="inlineStr">
        <is>
          <t>Junior Data Engineer Python SQL pipeline</t>
        </is>
      </c>
      <c r="S812" s="19" t="n"/>
      <c r="T812" s="19" t="n"/>
      <c r="U812" s="14" t="n">
        <v>46193</v>
      </c>
      <c r="V812" s="7" t="inlineStr">
        <is>
          <t>v2-cv-accuracy-13b988b18da8ea7d</t>
        </is>
      </c>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1.4</v>
      </c>
      <c r="C813" s="12" t="inlineStr">
        <is>
          <t>Mid-level</t>
        </is>
      </c>
      <c r="D813" s="8" t="inlineStr">
        <is>
          <t>Data Engineer</t>
        </is>
      </c>
      <c r="E813" s="7" t="inlineStr">
        <is>
          <t>Anson McCade</t>
        </is>
      </c>
      <c r="F813" s="8" t="inlineStr">
        <is>
          <t>London Area, United Kingdom</t>
        </is>
      </c>
      <c r="G813" s="8" t="n"/>
      <c r="H813" s="14" t="n"/>
      <c r="I813" s="15">
        <f>IF($H813="","",$H813-TODAY())</f>
        <v/>
      </c>
      <c r="J813" s="16" t="inlineStr">
        <is>
          <t>Open posting</t>
        </is>
      </c>
      <c r="K813" s="8" t="inlineStr">
        <is>
          <t>filtered by keyword pre-scan</t>
        </is>
      </c>
      <c r="L813" s="17" t="inlineStr">
        <is>
          <t>new</t>
        </is>
      </c>
      <c r="M813" s="18" t="inlineStr"/>
      <c r="N813" s="7" t="inlineStr">
        <is>
          <t>68e01862c1c166888eca381d05d4875bba560ba0</t>
        </is>
      </c>
      <c r="O813" s="14" t="n">
        <v>46164</v>
      </c>
      <c r="P813" s="7" t="inlineStr">
        <is>
          <t>jobspy</t>
        </is>
      </c>
      <c r="Q813" s="8" t="inlineStr">
        <is>
          <t>python, sql, git, c</t>
        </is>
      </c>
      <c r="R813" s="8" t="inlineStr">
        <is>
          <t>Junior Data Engineer Python SQL pipeline</t>
        </is>
      </c>
      <c r="S813" s="19" t="n"/>
      <c r="T813" s="19" t="n"/>
      <c r="U813" s="14" t="n">
        <v>46193</v>
      </c>
      <c r="V813" s="7" t="inlineStr">
        <is>
          <t>v2-cv-accuracy-13b988b18da8ea7d</t>
        </is>
      </c>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1.4</v>
      </c>
      <c r="C814" s="12" t="inlineStr">
        <is>
          <t>Mid-level</t>
        </is>
      </c>
      <c r="D814" s="8" t="inlineStr">
        <is>
          <t>Software Engineer (Monitoring Platform)</t>
        </is>
      </c>
      <c r="E814" s="7" t="inlineStr">
        <is>
          <t>SRT Marine Systems plc</t>
        </is>
      </c>
      <c r="F814" s="8" t="inlineStr">
        <is>
          <t>Birmingham, England, UK</t>
        </is>
      </c>
      <c r="G814" s="8" t="n"/>
      <c r="H814" s="14" t="n"/>
      <c r="I814" s="15">
        <f>IF($H814="","",$H814-TODAY())</f>
        <v/>
      </c>
      <c r="J814" s="16" t="inlineStr">
        <is>
          <t>Open posting</t>
        </is>
      </c>
      <c r="K814" s="8" t="inlineStr">
        <is>
          <t>filtered by keyword pre-scan</t>
        </is>
      </c>
      <c r="L814" s="17" t="inlineStr">
        <is>
          <t>new</t>
        </is>
      </c>
      <c r="M814" s="18" t="inlineStr"/>
      <c r="N814" s="7" t="inlineStr">
        <is>
          <t>97edcb6aa7bd7a5818d7c880d708936ae4022431</t>
        </is>
      </c>
      <c r="O814" s="14" t="n">
        <v>46177</v>
      </c>
      <c r="P814" s="7" t="inlineStr">
        <is>
          <t>jobspy</t>
        </is>
      </c>
      <c r="Q814" s="8" t="inlineStr">
        <is>
          <t>python, docker, c</t>
        </is>
      </c>
      <c r="R814" s="8" t="inlineStr">
        <is>
          <t>Platform Engineer Docker Kubernetes Python</t>
        </is>
      </c>
      <c r="S814" s="19" t="n"/>
      <c r="T814" s="19" t="n"/>
      <c r="U814" s="14" t="n">
        <v>46193</v>
      </c>
      <c r="V814" s="7" t="inlineStr">
        <is>
          <t>v2-cv-accuracy-13b988b18da8ea7d</t>
        </is>
      </c>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1.4</v>
      </c>
      <c r="C815" s="12" t="inlineStr">
        <is>
          <t>Mid-level</t>
        </is>
      </c>
      <c r="D815" s="8" t="inlineStr">
        <is>
          <t>Software Engineer (Monitoring Platform)</t>
        </is>
      </c>
      <c r="E815" s="7" t="inlineStr">
        <is>
          <t>SRT Marine Systems plc</t>
        </is>
      </c>
      <c r="F815" s="8" t="inlineStr">
        <is>
          <t>City Of Bristol, England, UK</t>
        </is>
      </c>
      <c r="G815" s="8" t="n"/>
      <c r="H815" s="14" t="n"/>
      <c r="I815" s="15">
        <f>IF($H815="","",$H815-TODAY())</f>
        <v/>
      </c>
      <c r="J815" s="16" t="inlineStr">
        <is>
          <t>Open posting</t>
        </is>
      </c>
      <c r="K815" s="8" t="inlineStr">
        <is>
          <t>filtered by keyword pre-scan</t>
        </is>
      </c>
      <c r="L815" s="17" t="inlineStr">
        <is>
          <t>new</t>
        </is>
      </c>
      <c r="M815" s="18" t="inlineStr"/>
      <c r="N815" s="7" t="inlineStr">
        <is>
          <t>d667fd6e995928ec7da16f273cea590da1d7dca0</t>
        </is>
      </c>
      <c r="O815" s="14" t="n">
        <v>46177</v>
      </c>
      <c r="P815" s="7" t="inlineStr">
        <is>
          <t>jobspy</t>
        </is>
      </c>
      <c r="Q815" s="8" t="inlineStr">
        <is>
          <t>python, docker, c</t>
        </is>
      </c>
      <c r="R815" s="8" t="inlineStr">
        <is>
          <t>Platform Engineer Docker Kubernetes Python</t>
        </is>
      </c>
      <c r="S815" s="19" t="n"/>
      <c r="T815" s="19" t="n"/>
      <c r="U815" s="14" t="n">
        <v>46193</v>
      </c>
      <c r="V815" s="7" t="inlineStr">
        <is>
          <t>v2-cv-accuracy-13b988b18da8ea7d</t>
        </is>
      </c>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1.4</v>
      </c>
      <c r="C816" s="12" t="inlineStr">
        <is>
          <t>Mid-level</t>
        </is>
      </c>
      <c r="D816" s="8" t="inlineStr">
        <is>
          <t>Verification Engineer</t>
        </is>
      </c>
      <c r="E816" s="7" t="inlineStr">
        <is>
          <t>Oriole</t>
        </is>
      </c>
      <c r="F816" s="8" t="inlineStr">
        <is>
          <t>London Area, United Kingdom</t>
        </is>
      </c>
      <c r="G816" s="8" t="n"/>
      <c r="H816" s="14" t="n"/>
      <c r="I816" s="15">
        <f>IF($H816="","",$H816-TODAY())</f>
        <v/>
      </c>
      <c r="J816" s="16" t="inlineStr">
        <is>
          <t>Open posting</t>
        </is>
      </c>
      <c r="K816" s="8" t="inlineStr">
        <is>
          <t>filtered by keyword pre-scan</t>
        </is>
      </c>
      <c r="L816" s="17" t="inlineStr">
        <is>
          <t>new</t>
        </is>
      </c>
      <c r="M816" s="18" t="inlineStr"/>
      <c r="N816" s="7" t="inlineStr">
        <is>
          <t>ec59025ee545b8b914dae6d3e1052ccba84d4fd1</t>
        </is>
      </c>
      <c r="O816" s="14" t="n">
        <v>46184</v>
      </c>
      <c r="P816" s="7" t="inlineStr">
        <is>
          <t>jobspy</t>
        </is>
      </c>
      <c r="Q816" s="8" t="inlineStr">
        <is>
          <t>python, verilog, fpga, c</t>
        </is>
      </c>
      <c r="R816" s="8" t="inlineStr">
        <is>
          <t>Verification Engineer FPGA Verilog digital</t>
        </is>
      </c>
      <c r="S816" s="19" t="n"/>
      <c r="T816" s="19" t="n"/>
      <c r="U816" s="14" t="n">
        <v>46193</v>
      </c>
      <c r="V816" s="7" t="inlineStr">
        <is>
          <t>v2-cv-accuracy-13b988b18da8ea7d</t>
        </is>
      </c>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1.4</v>
      </c>
      <c r="C817" s="12" t="inlineStr">
        <is>
          <t>Senior/Lead</t>
        </is>
      </c>
      <c r="D817" s="8" t="inlineStr">
        <is>
          <t>Forward Deployed AI Engineer</t>
        </is>
      </c>
      <c r="E817" s="7" t="inlineStr">
        <is>
          <t>C&amp;D Talent Advisory</t>
        </is>
      </c>
      <c r="F817" s="8" t="inlineStr">
        <is>
          <t>Sheffield, England, UK</t>
        </is>
      </c>
      <c r="G817" s="8" t="n"/>
      <c r="H817" s="14" t="n"/>
      <c r="I817" s="15">
        <f>IF($H817="","",$H817-TODAY())</f>
        <v/>
      </c>
      <c r="J817" s="16" t="inlineStr">
        <is>
          <t>Open posting</t>
        </is>
      </c>
      <c r="K817" s="8" t="inlineStr">
        <is>
          <t>filtered by keyword pre-scan</t>
        </is>
      </c>
      <c r="L817" s="17" t="inlineStr">
        <is>
          <t>new</t>
        </is>
      </c>
      <c r="M817" s="18" t="inlineStr"/>
      <c r="N817" s="7" t="inlineStr">
        <is>
          <t>8d91acdbcd34a619fe65ad5985fee2356bbe6a27</t>
        </is>
      </c>
      <c r="O817" s="14" t="n">
        <v>46181</v>
      </c>
      <c r="P817" s="7" t="inlineStr">
        <is>
          <t>jobspy</t>
        </is>
      </c>
      <c r="Q817" s="8" t="inlineStr">
        <is>
          <t>python, sql, c, javascript</t>
        </is>
      </c>
      <c r="R817" s="8" t="inlineStr">
        <is>
          <t>Graduate Hardware Engineer Sheffield</t>
        </is>
      </c>
      <c r="S817" s="19" t="n"/>
      <c r="T817" s="19" t="n"/>
      <c r="U817" s="14" t="n">
        <v>46192</v>
      </c>
      <c r="V817" s="7" t="inlineStr">
        <is>
          <t>v2-cv-accuracy-13b988b18da8ea7d</t>
        </is>
      </c>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1.4</v>
      </c>
      <c r="C818" s="12" t="inlineStr">
        <is>
          <t>Mid-level</t>
        </is>
      </c>
      <c r="D818" s="8" t="inlineStr">
        <is>
          <t>Research Fellow - School of Chemical Engineering - 107526 - Grade 7</t>
        </is>
      </c>
      <c r="E818" s="7" t="inlineStr">
        <is>
          <t>University of Birmingham</t>
        </is>
      </c>
      <c r="F818" s="8" t="inlineStr">
        <is>
          <t>Birmingham, ENG, GB</t>
        </is>
      </c>
      <c r="G818" s="8" t="n"/>
      <c r="H818" s="14" t="n">
        <v>46194</v>
      </c>
      <c r="I818" s="15">
        <f>IF($H818="","",$H818-TODAY())</f>
        <v/>
      </c>
      <c r="J818" s="16" t="inlineStr">
        <is>
          <t>Open posting</t>
        </is>
      </c>
      <c r="K818" s="8" t="inlineStr">
        <is>
          <t>filtered by keyword pre-scan</t>
        </is>
      </c>
      <c r="L818" s="17" t="inlineStr">
        <is>
          <t>new</t>
        </is>
      </c>
      <c r="M818" s="18" t="inlineStr"/>
      <c r="N818" s="7" t="inlineStr">
        <is>
          <t>311cb6e23a627aee7b605ec7056374c905cadbdd</t>
        </is>
      </c>
      <c r="O818" s="14" t="n">
        <v>46177</v>
      </c>
      <c r="P818" s="7" t="inlineStr">
        <is>
          <t>jobspy</t>
        </is>
      </c>
      <c r="Q818" s="8" t="inlineStr">
        <is>
          <t>python, git, c, embedded systems</t>
        </is>
      </c>
      <c r="R818" s="8" t="inlineStr">
        <is>
          <t>Junior Hardware Engineer embedded digital design UK</t>
        </is>
      </c>
      <c r="S818" s="19" t="n"/>
      <c r="T818" s="19" t="n"/>
      <c r="U818" s="14" t="n">
        <v>46192</v>
      </c>
      <c r="V818" s="7" t="inlineStr">
        <is>
          <t>v2-cv-accuracy-13b988b18da8ea7d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1.4</v>
      </c>
      <c r="C819" s="12" t="inlineStr">
        <is>
          <t>Unspecified</t>
        </is>
      </c>
      <c r="D819" s="8" t="inlineStr">
        <is>
          <t>Design Verification Engineer (EDI)</t>
        </is>
      </c>
      <c r="E819" s="7" t="inlineStr">
        <is>
          <t>Cirrus Logic</t>
        </is>
      </c>
      <c r="F819" s="8" t="inlineStr">
        <is>
          <t>Edinburgh, Scotland, UK</t>
        </is>
      </c>
      <c r="G819" s="8" t="n"/>
      <c r="H819" s="14" t="n"/>
      <c r="I819" s="15">
        <f>IF($H819="","",$H819-TODAY())</f>
        <v/>
      </c>
      <c r="J819" s="16" t="inlineStr">
        <is>
          <t>Open posting</t>
        </is>
      </c>
      <c r="K819" s="8" t="inlineStr">
        <is>
          <t>filtered by keyword pre-scan</t>
        </is>
      </c>
      <c r="L819" s="17" t="inlineStr">
        <is>
          <t>new</t>
        </is>
      </c>
      <c r="M819" s="18" t="inlineStr"/>
      <c r="N819" s="7" t="inlineStr">
        <is>
          <t>324f84a5b6bad43faf66cf80b185272ae7307d46</t>
        </is>
      </c>
      <c r="O819" s="14" t="n">
        <v>46188</v>
      </c>
      <c r="P819" s="7" t="inlineStr">
        <is>
          <t>jobspy</t>
        </is>
      </c>
      <c r="Q819" s="8" t="inlineStr">
        <is>
          <t>verilog, git, c</t>
        </is>
      </c>
      <c r="R819" s="8" t="inlineStr">
        <is>
          <t>Graduate FPGA Engineer UK remote</t>
        </is>
      </c>
      <c r="S819" s="19" t="n"/>
      <c r="T819" s="19" t="n"/>
      <c r="U819" s="14" t="n">
        <v>46192</v>
      </c>
      <c r="V819" s="7" t="inlineStr">
        <is>
          <t>v2-cv-accuracy-13b988b18da8ea7d</t>
        </is>
      </c>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1.4</v>
      </c>
      <c r="C820" s="12" t="inlineStr">
        <is>
          <t>Unspecified</t>
        </is>
      </c>
      <c r="D820" s="8" t="inlineStr">
        <is>
          <t>Design Verification Engineer (NWB)</t>
        </is>
      </c>
      <c r="E820" s="7" t="inlineStr">
        <is>
          <t>Cirrus Logic</t>
        </is>
      </c>
      <c r="F820" s="8" t="inlineStr">
        <is>
          <t>Edinburgh, Scotland, UK</t>
        </is>
      </c>
      <c r="G820" s="8" t="n"/>
      <c r="H820" s="14" t="n"/>
      <c r="I820" s="15">
        <f>IF($H820="","",$H820-TODAY())</f>
        <v/>
      </c>
      <c r="J820" s="16" t="inlineStr">
        <is>
          <t>Open posting</t>
        </is>
      </c>
      <c r="K820" s="8" t="inlineStr">
        <is>
          <t>filtered by keyword pre-scan</t>
        </is>
      </c>
      <c r="L820" s="17" t="inlineStr">
        <is>
          <t>new</t>
        </is>
      </c>
      <c r="M820" s="18" t="inlineStr"/>
      <c r="N820" s="7" t="inlineStr">
        <is>
          <t>012b85c2be60544e5408988f91d289b04fbe6829</t>
        </is>
      </c>
      <c r="O820" s="14" t="n">
        <v>46187</v>
      </c>
      <c r="P820" s="7" t="inlineStr">
        <is>
          <t>jobspy</t>
        </is>
      </c>
      <c r="Q820" s="8" t="inlineStr">
        <is>
          <t>verilog, git, c</t>
        </is>
      </c>
      <c r="R820" s="8" t="inlineStr">
        <is>
          <t>Graduate FPGA Engineer UK remote</t>
        </is>
      </c>
      <c r="S820" s="19" t="n"/>
      <c r="T820" s="19" t="n"/>
      <c r="U820" s="14" t="n">
        <v>46192</v>
      </c>
      <c r="V820" s="7" t="inlineStr">
        <is>
          <t>v2-cv-accuracy-13b988b18da8ea7d</t>
        </is>
      </c>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1.4</v>
      </c>
      <c r="C821" s="12" t="inlineStr">
        <is>
          <t>Mid-level</t>
        </is>
      </c>
      <c r="D821" s="8" t="inlineStr">
        <is>
          <t>Systems Engineer</t>
        </is>
      </c>
      <c r="E821" s="7" t="inlineStr">
        <is>
          <t>AI Top Talents Ltd</t>
        </is>
      </c>
      <c r="F821" s="8" t="inlineStr">
        <is>
          <t>Bristol, ENG, GB</t>
        </is>
      </c>
      <c r="G821" s="8" t="n"/>
      <c r="H821" s="14" t="n"/>
      <c r="I821" s="15">
        <f>IF($H821="","",$H821-TODAY())</f>
        <v/>
      </c>
      <c r="J821" s="16" t="inlineStr">
        <is>
          <t>Open posting</t>
        </is>
      </c>
      <c r="K821" s="8" t="inlineStr">
        <is>
          <t>filtered by keyword pre-scan</t>
        </is>
      </c>
      <c r="L821" s="17" t="inlineStr">
        <is>
          <t>new</t>
        </is>
      </c>
      <c r="M821" s="18" t="inlineStr"/>
      <c r="N821" s="7" t="inlineStr">
        <is>
          <t>9b539ac8896046f85dbf6b67f6f1091a8c2cb08c</t>
        </is>
      </c>
      <c r="O821" s="14" t="n">
        <v>46188</v>
      </c>
      <c r="P821" s="7" t="inlineStr">
        <is>
          <t>jobspy</t>
        </is>
      </c>
      <c r="Q821" s="8" t="inlineStr">
        <is>
          <t>python, git, c</t>
        </is>
      </c>
      <c r="R821" s="8" t="inlineStr">
        <is>
          <t>Graduate Systems Engineer hardware software</t>
        </is>
      </c>
      <c r="S821" s="19" t="n"/>
      <c r="T821" s="19" t="n"/>
      <c r="U821" s="14" t="n">
        <v>46192</v>
      </c>
      <c r="V821" s="7" t="inlineStr">
        <is>
          <t>v2-cv-accuracy-13b988b18da8ea7d</t>
        </is>
      </c>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1.4</v>
      </c>
      <c r="C822" s="12" t="inlineStr">
        <is>
          <t>Junior</t>
        </is>
      </c>
      <c r="D822" s="8" t="inlineStr">
        <is>
          <t>Index Distribution Software Engineer</t>
        </is>
      </c>
      <c r="E822" s="7" t="inlineStr">
        <is>
          <t>LSEG</t>
        </is>
      </c>
      <c r="F822" s="8" t="inlineStr">
        <is>
          <t>City Of London, England, UK</t>
        </is>
      </c>
      <c r="G822" s="8" t="n"/>
      <c r="H822" s="14" t="n"/>
      <c r="I822" s="15">
        <f>IF($H822="","",$H822-TODAY())</f>
        <v/>
      </c>
      <c r="J822" s="16" t="inlineStr">
        <is>
          <t>Open posting</t>
        </is>
      </c>
      <c r="K822" s="8" t="inlineStr">
        <is>
          <t>filtered by keyword pre-scan</t>
        </is>
      </c>
      <c r="L822" s="17" t="inlineStr">
        <is>
          <t>new</t>
        </is>
      </c>
      <c r="M822" s="18" t="inlineStr"/>
      <c r="N822" s="7" t="inlineStr">
        <is>
          <t>092eccce87611d34c6ea77f8422d3c5b20525a6c</t>
        </is>
      </c>
      <c r="O822" s="14" t="n">
        <v>46186</v>
      </c>
      <c r="P822" s="7" t="inlineStr">
        <is>
          <t>jobspy</t>
        </is>
      </c>
      <c r="Q822" s="8" t="inlineStr">
        <is>
          <t>python, sql, c, javascript</t>
        </is>
      </c>
      <c r="R822" s="8" t="inlineStr">
        <is>
          <t>Junior Python Developer Docker Kubernetes Sheffield</t>
        </is>
      </c>
      <c r="S822" s="19" t="n"/>
      <c r="T822" s="19" t="n"/>
      <c r="U822" s="14" t="n">
        <v>46192</v>
      </c>
      <c r="V822" s="7" t="inlineStr">
        <is>
          <t>v2-cv-accuracy-13b988b18da8ea7d</t>
        </is>
      </c>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1.4</v>
      </c>
      <c r="C823" s="12" t="inlineStr">
        <is>
          <t>Unspecified</t>
        </is>
      </c>
      <c r="D823" s="8" t="inlineStr">
        <is>
          <t>Platform Software Engineer</t>
        </is>
      </c>
      <c r="E823" s="7" t="inlineStr">
        <is>
          <t>Aurora Energy Research</t>
        </is>
      </c>
      <c r="F823" s="8" t="inlineStr">
        <is>
          <t>Oxford, England, UK</t>
        </is>
      </c>
      <c r="G823" s="8" t="n"/>
      <c r="H823" s="14" t="n"/>
      <c r="I823" s="15">
        <f>IF($H823="","",$H823-TODAY())</f>
        <v/>
      </c>
      <c r="J823" s="16" t="inlineStr">
        <is>
          <t>Open posting</t>
        </is>
      </c>
      <c r="K823" s="8" t="inlineStr">
        <is>
          <t>filtered by keyword pre-scan</t>
        </is>
      </c>
      <c r="L823" s="17" t="inlineStr">
        <is>
          <t>new</t>
        </is>
      </c>
      <c r="M823" s="18" t="inlineStr"/>
      <c r="N823" s="7" t="inlineStr">
        <is>
          <t>518f835a1200937f0e1f00764dc6b2f5a2c82652</t>
        </is>
      </c>
      <c r="O823" s="14" t="n"/>
      <c r="P823" s="7" t="inlineStr">
        <is>
          <t>jobspy</t>
        </is>
      </c>
      <c r="Q823" s="8" t="inlineStr">
        <is>
          <t>python, sql, mysql, c</t>
        </is>
      </c>
      <c r="R823" s="8" t="inlineStr">
        <is>
          <t>Junior Python Developer Docker Kubernetes Sheffield</t>
        </is>
      </c>
      <c r="S823" s="19" t="n"/>
      <c r="T823" s="19" t="n"/>
      <c r="U823" s="14" t="n">
        <v>46192</v>
      </c>
      <c r="V823" s="7" t="inlineStr">
        <is>
          <t>v2-cv-accuracy-13b988b18da8ea7d</t>
        </is>
      </c>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1.4</v>
      </c>
      <c r="C824" s="12" t="inlineStr">
        <is>
          <t>Mid-level</t>
        </is>
      </c>
      <c r="D824" s="8" t="inlineStr">
        <is>
          <t>Data Engineer</t>
        </is>
      </c>
      <c r="E824" s="7" t="inlineStr">
        <is>
          <t>Pangea</t>
        </is>
      </c>
      <c r="F824" s="8" t="inlineStr">
        <is>
          <t>London Area, United Kingdom</t>
        </is>
      </c>
      <c r="G824" s="8" t="n"/>
      <c r="H824" s="14" t="n"/>
      <c r="I824" s="15">
        <f>IF($H824="","",$H824-TODAY())</f>
        <v/>
      </c>
      <c r="J824" s="16" t="inlineStr">
        <is>
          <t>Open posting</t>
        </is>
      </c>
      <c r="K824" s="8" t="inlineStr">
        <is>
          <t>filtered by keyword pre-scan</t>
        </is>
      </c>
      <c r="L824" s="17" t="inlineStr">
        <is>
          <t>new</t>
        </is>
      </c>
      <c r="M824" s="18" t="inlineStr"/>
      <c r="N824" s="7" t="inlineStr">
        <is>
          <t>c06a7bc7c484b9cdbb2f0774c248da94705037a3</t>
        </is>
      </c>
      <c r="O824" s="14" t="n">
        <v>46185</v>
      </c>
      <c r="P824" s="7" t="inlineStr">
        <is>
          <t>jobspy</t>
        </is>
      </c>
      <c r="Q824" s="8" t="inlineStr">
        <is>
          <t>python, sql, git, c</t>
        </is>
      </c>
      <c r="R824" s="8" t="inlineStr">
        <is>
          <t>Graduate Data Engineer SQL Python pipeline</t>
        </is>
      </c>
      <c r="S824" s="19" t="n"/>
      <c r="T824" s="19" t="n"/>
      <c r="U824" s="14" t="n">
        <v>46192</v>
      </c>
      <c r="V824" s="7" t="inlineStr">
        <is>
          <t>v2-cv-accuracy-13b988b18da8ea7d</t>
        </is>
      </c>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1.4</v>
      </c>
      <c r="C825" s="12" t="inlineStr">
        <is>
          <t>Unspecified</t>
        </is>
      </c>
      <c r="D825" s="8" t="inlineStr">
        <is>
          <t>Data Engineer</t>
        </is>
      </c>
      <c r="E825" s="7" t="inlineStr">
        <is>
          <t>Prima</t>
        </is>
      </c>
      <c r="F825" s="8" t="inlineStr"/>
      <c r="G825" s="8" t="n"/>
      <c r="H825" s="14" t="n"/>
      <c r="I825" s="15">
        <f>IF($H825="","",$H825-TODAY())</f>
        <v/>
      </c>
      <c r="J825" s="16" t="inlineStr">
        <is>
          <t>Open posting</t>
        </is>
      </c>
      <c r="K825" s="8" t="inlineStr">
        <is>
          <t>filtered by keyword pre-scan</t>
        </is>
      </c>
      <c r="L825" s="17" t="inlineStr">
        <is>
          <t>new</t>
        </is>
      </c>
      <c r="M825" s="18" t="inlineStr"/>
      <c r="N825" s="7" t="inlineStr">
        <is>
          <t>9aa54483290cf8ec0f8f8856d782fa98d5c558f0</t>
        </is>
      </c>
      <c r="O825" s="14" t="n">
        <v>46175</v>
      </c>
      <c r="P825" s="7" t="inlineStr">
        <is>
          <t>jobspy</t>
        </is>
      </c>
      <c r="Q825" s="8" t="inlineStr">
        <is>
          <t>python, sql, c</t>
        </is>
      </c>
      <c r="R825" s="8" t="inlineStr">
        <is>
          <t>Graduate Data Engineer SQL Python pipeline</t>
        </is>
      </c>
      <c r="S825" s="19" t="n"/>
      <c r="T825" s="19" t="n"/>
      <c r="U825" s="14" t="n">
        <v>46192</v>
      </c>
      <c r="V825" s="7" t="inlineStr">
        <is>
          <t>v2-cv-accuracy-13b988b18da8ea7d</t>
        </is>
      </c>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1.4</v>
      </c>
      <c r="C826" s="12" t="inlineStr">
        <is>
          <t>Junior</t>
        </is>
      </c>
      <c r="D826" s="8" t="inlineStr">
        <is>
          <t>Cloud Engineer</t>
        </is>
      </c>
      <c r="E826" s="7" t="inlineStr">
        <is>
          <t>Anson McCade</t>
        </is>
      </c>
      <c r="F826" s="8" t="inlineStr">
        <is>
          <t>Manchester Area, United Kingdom</t>
        </is>
      </c>
      <c r="G826" s="8" t="n"/>
      <c r="H826" s="14" t="n"/>
      <c r="I826" s="15">
        <f>IF($H826="","",$H826-TODAY())</f>
        <v/>
      </c>
      <c r="J826" s="16" t="inlineStr">
        <is>
          <t>Open posting</t>
        </is>
      </c>
      <c r="K826" s="8" t="inlineStr">
        <is>
          <t>filtered by keyword pre-scan</t>
        </is>
      </c>
      <c r="L826" s="17" t="inlineStr">
        <is>
          <t>new</t>
        </is>
      </c>
      <c r="M826" s="18" t="inlineStr"/>
      <c r="N826" s="7" t="inlineStr">
        <is>
          <t>d8fadcbac1003f3feb066ab4990d281b27555a8a</t>
        </is>
      </c>
      <c r="O826" s="14" t="n">
        <v>46189</v>
      </c>
      <c r="P826" s="7" t="inlineStr">
        <is>
          <t>jobspy</t>
        </is>
      </c>
      <c r="Q826" s="8" t="inlineStr">
        <is>
          <t>python, kubernetes, c</t>
        </is>
      </c>
      <c r="R826" s="8" t="inlineStr">
        <is>
          <t>Graduate DevOps Engineer Docker Kubernetes Python</t>
        </is>
      </c>
      <c r="S826" s="19" t="n"/>
      <c r="T826" s="19" t="n"/>
      <c r="U826" s="14" t="n">
        <v>46192</v>
      </c>
      <c r="V826" s="7" t="inlineStr">
        <is>
          <t>v2-cv-accuracy-13b988b18da8ea7d</t>
        </is>
      </c>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1.4</v>
      </c>
      <c r="C827" s="12" t="inlineStr">
        <is>
          <t>Senior/Lead</t>
        </is>
      </c>
      <c r="D827" s="8" t="inlineStr">
        <is>
          <t>GPU Design Verification Engineer - Qualcomm, Cambridge, United Kingdom</t>
        </is>
      </c>
      <c r="E827" s="7" t="inlineStr">
        <is>
          <t>Qualcomm</t>
        </is>
      </c>
      <c r="F827" s="8" t="inlineStr">
        <is>
          <t>Cambridge, England, UK</t>
        </is>
      </c>
      <c r="G827" s="8" t="n"/>
      <c r="H827" s="14" t="n"/>
      <c r="I827" s="15">
        <f>IF($H827="","",$H827-TODAY())</f>
        <v/>
      </c>
      <c r="J827" s="16" t="inlineStr">
        <is>
          <t>Open posting</t>
        </is>
      </c>
      <c r="K827" s="8" t="inlineStr">
        <is>
          <t>filtered by keyword pre-scan</t>
        </is>
      </c>
      <c r="L827" s="17" t="inlineStr">
        <is>
          <t>new</t>
        </is>
      </c>
      <c r="M827" s="18" t="inlineStr"/>
      <c r="N827" s="7" t="inlineStr">
        <is>
          <t>a64faa6656e071ef29090d47d00a8c98ef4c2964</t>
        </is>
      </c>
      <c r="O827" s="14" t="n">
        <v>46184</v>
      </c>
      <c r="P827" s="7" t="inlineStr">
        <is>
          <t>jobspy</t>
        </is>
      </c>
      <c r="Q827" s="8" t="inlineStr">
        <is>
          <t>verilog, fpga, c</t>
        </is>
      </c>
      <c r="R827" s="8" t="inlineStr">
        <is>
          <t>Graduate Digital Design Engineer FPGA</t>
        </is>
      </c>
      <c r="S827" s="19" t="n"/>
      <c r="T827" s="19" t="n"/>
      <c r="U827" s="14" t="n">
        <v>46192</v>
      </c>
      <c r="V827" s="7" t="inlineStr">
        <is>
          <t>v2-cv-accuracy-13b988b18da8ea7d</t>
        </is>
      </c>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1.4</v>
      </c>
      <c r="C828" s="12" t="inlineStr">
        <is>
          <t>Senior/Lead</t>
        </is>
      </c>
      <c r="D828" s="8" t="inlineStr">
        <is>
          <t>Platform Engineer-UK</t>
        </is>
      </c>
      <c r="E828" s="7" t="inlineStr">
        <is>
          <t>Certinia</t>
        </is>
      </c>
      <c r="F828" s="8" t="inlineStr">
        <is>
          <t>Harrogate, England, UK</t>
        </is>
      </c>
      <c r="G828" s="8" t="n"/>
      <c r="H828" s="14" t="n"/>
      <c r="I828" s="15">
        <f>IF($H828="","",$H828-TODAY())</f>
        <v/>
      </c>
      <c r="J828" s="16" t="inlineStr">
        <is>
          <t>Open posting</t>
        </is>
      </c>
      <c r="K828" s="8" t="inlineStr">
        <is>
          <t>filtered by keyword pre-scan</t>
        </is>
      </c>
      <c r="L828" s="17" t="inlineStr">
        <is>
          <t>new</t>
        </is>
      </c>
      <c r="M828" s="18" t="inlineStr"/>
      <c r="N828" s="7" t="inlineStr">
        <is>
          <t>69958230bd5405b03218ba45adeac3fb57f81666</t>
        </is>
      </c>
      <c r="O828" s="14" t="n">
        <v>46182</v>
      </c>
      <c r="P828" s="7" t="inlineStr">
        <is>
          <t>jobspy</t>
        </is>
      </c>
      <c r="Q828" s="8" t="inlineStr">
        <is>
          <t>kubernetes, git, c</t>
        </is>
      </c>
      <c r="R828" s="8" t="inlineStr">
        <is>
          <t>Graduate Backend Developer Docker Kubernetes</t>
        </is>
      </c>
      <c r="S828" s="19" t="n"/>
      <c r="T828" s="19" t="n"/>
      <c r="U828" s="14" t="n">
        <v>46192</v>
      </c>
      <c r="V828" s="7" t="inlineStr">
        <is>
          <t>v2-cv-accuracy-13b988b18da8ea7d</t>
        </is>
      </c>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1.4</v>
      </c>
      <c r="C829" s="12" t="inlineStr">
        <is>
          <t>Unspecified</t>
        </is>
      </c>
      <c r="D829" s="8" t="inlineStr">
        <is>
          <t>Data Analytics Engineer I</t>
        </is>
      </c>
      <c r="E829" s="7" t="inlineStr">
        <is>
          <t>Checkout.com</t>
        </is>
      </c>
      <c r="F829" s="8" t="inlineStr">
        <is>
          <t>London, England, UK</t>
        </is>
      </c>
      <c r="G829" s="8" t="n"/>
      <c r="H829" s="14" t="n"/>
      <c r="I829" s="15">
        <f>IF($H829="","",$H829-TODAY())</f>
        <v/>
      </c>
      <c r="J829" s="16" t="inlineStr">
        <is>
          <t>Open posting</t>
        </is>
      </c>
      <c r="K829" s="8" t="inlineStr">
        <is>
          <t>filtered by keyword pre-scan</t>
        </is>
      </c>
      <c r="L829" s="17" t="inlineStr">
        <is>
          <t>new</t>
        </is>
      </c>
      <c r="M829" s="18" t="inlineStr"/>
      <c r="N829" s="7" t="inlineStr">
        <is>
          <t>b36cb1de51d8063fb2cd08191de36669f36baaae</t>
        </is>
      </c>
      <c r="O829" s="14" t="n">
        <v>46176</v>
      </c>
      <c r="P829" s="7" t="inlineStr">
        <is>
          <t>jobspy</t>
        </is>
      </c>
      <c r="Q829" s="8" t="inlineStr">
        <is>
          <t>python, sql, git, c</t>
        </is>
      </c>
      <c r="R829" s="8" t="inlineStr">
        <is>
          <t>Graduate Data Engineer SQL Python pipeline</t>
        </is>
      </c>
      <c r="S829" s="19" t="n"/>
      <c r="T829" s="19" t="n"/>
      <c r="U829" s="14" t="n">
        <v>46192</v>
      </c>
      <c r="V829" s="7" t="inlineStr">
        <is>
          <t>v2-cv-accuracy-13b988b18da8ea7d</t>
        </is>
      </c>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1.29</v>
      </c>
      <c r="C830" s="12" t="inlineStr">
        <is>
          <t>Senior/Lead</t>
        </is>
      </c>
      <c r="D830" s="8" t="inlineStr">
        <is>
          <t>Software Engineer</t>
        </is>
      </c>
      <c r="E830" s="7" t="inlineStr">
        <is>
          <t>Ultra I&amp;C</t>
        </is>
      </c>
      <c r="F830" s="8" t="inlineStr">
        <is>
          <t>Maidenhead, England, UK</t>
        </is>
      </c>
      <c r="G830" s="8" t="n"/>
      <c r="H830" s="14" t="n"/>
      <c r="I830" s="15">
        <f>IF($H830="","",$H830-TODAY())</f>
        <v/>
      </c>
      <c r="J830" s="16" t="inlineStr">
        <is>
          <t>Open posting</t>
        </is>
      </c>
      <c r="K830" s="8" t="inlineStr">
        <is>
          <t>filtered by keyword pre-scan</t>
        </is>
      </c>
      <c r="L830" s="17" t="inlineStr">
        <is>
          <t>new</t>
        </is>
      </c>
      <c r="M830" s="18" t="inlineStr"/>
      <c r="N830" s="7" t="inlineStr">
        <is>
          <t>34d4de8bae5d6b31cea33fd3cc5f17438c10c2ba</t>
        </is>
      </c>
      <c r="O830" s="14" t="n">
        <v>46185</v>
      </c>
      <c r="P830" s="7" t="inlineStr">
        <is>
          <t>jobspy</t>
        </is>
      </c>
      <c r="Q830" s="8" t="inlineStr">
        <is>
          <t>python, c, javascript</t>
        </is>
      </c>
      <c r="R830" s="8" t="inlineStr">
        <is>
          <t>Graduate Software Engineer Python embedded Linux</t>
        </is>
      </c>
      <c r="S830" s="19" t="n"/>
      <c r="T830" s="19" t="n"/>
      <c r="U830" s="14" t="n">
        <v>46198</v>
      </c>
      <c r="V830" s="7" t="inlineStr">
        <is>
          <t>v2-cv-accuracy-13b988b18da8ea7d</t>
        </is>
      </c>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1.29</v>
      </c>
      <c r="C831" s="12" t="inlineStr">
        <is>
          <t>Unspecified</t>
        </is>
      </c>
      <c r="D831" s="8" t="inlineStr">
        <is>
          <t>Arupilot Software Engineer</t>
        </is>
      </c>
      <c r="E831" s="7" t="inlineStr">
        <is>
          <t>SR2 | Socially Responsible Recruitment | Certified B Corporation™</t>
        </is>
      </c>
      <c r="F831" s="8" t="inlineStr">
        <is>
          <t>Greater Bristol Area, United Kingdom</t>
        </is>
      </c>
      <c r="G831" s="8" t="n"/>
      <c r="H831" s="14" t="n"/>
      <c r="I831" s="15">
        <f>IF($H831="","",$H831-TODAY())</f>
        <v/>
      </c>
      <c r="J831" s="16" t="inlineStr">
        <is>
          <t>Open posting</t>
        </is>
      </c>
      <c r="K831" s="8" t="inlineStr">
        <is>
          <t>filtered by keyword pre-scan</t>
        </is>
      </c>
      <c r="L831" s="17" t="inlineStr">
        <is>
          <t>new</t>
        </is>
      </c>
      <c r="M831" s="18" t="inlineStr"/>
      <c r="N831" s="7" t="inlineStr">
        <is>
          <t>617e772f6704b69dd5015ae7a437183126b541cf</t>
        </is>
      </c>
      <c r="O831" s="14" t="n">
        <v>46168</v>
      </c>
      <c r="P831" s="7" t="inlineStr">
        <is>
          <t>jobspy</t>
        </is>
      </c>
      <c r="Q831" s="8" t="inlineStr">
        <is>
          <t>python, c, sensor integration</t>
        </is>
      </c>
      <c r="R831" s="8" t="inlineStr">
        <is>
          <t>Graduate Software Engineer Python embedded Linux</t>
        </is>
      </c>
      <c r="S831" s="19" t="n"/>
      <c r="T831" s="19" t="n"/>
      <c r="U831" s="14" t="n">
        <v>46198</v>
      </c>
      <c r="V831" s="7" t="inlineStr">
        <is>
          <t>v2-cv-accuracy-13b988b18da8ea7d</t>
        </is>
      </c>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1.29</v>
      </c>
      <c r="C832" s="12" t="inlineStr">
        <is>
          <t>Senior/Lead</t>
        </is>
      </c>
      <c r="D832" s="8" t="inlineStr">
        <is>
          <t>Research &amp; Development Engineer</t>
        </is>
      </c>
      <c r="E832" s="7" t="inlineStr">
        <is>
          <t>Labman</t>
        </is>
      </c>
      <c r="F832" s="8" t="inlineStr">
        <is>
          <t>Stokesley, England, UK</t>
        </is>
      </c>
      <c r="G832" s="8" t="n"/>
      <c r="H832" s="14" t="n"/>
      <c r="I832" s="15">
        <f>IF($H832="","",$H832-TODAY())</f>
        <v/>
      </c>
      <c r="J832" s="16" t="inlineStr">
        <is>
          <t>Open posting</t>
        </is>
      </c>
      <c r="K832" s="8" t="inlineStr">
        <is>
          <t>filtered by keyword pre-scan</t>
        </is>
      </c>
      <c r="L832" s="17" t="inlineStr">
        <is>
          <t>new</t>
        </is>
      </c>
      <c r="M832" s="18" t="inlineStr"/>
      <c r="N832" s="7" t="inlineStr">
        <is>
          <t>6adb3f8b74c5d0ccc5efe906971902b13ecc23a7</t>
        </is>
      </c>
      <c r="O832" s="14" t="n">
        <v>46175</v>
      </c>
      <c r="P832" s="7" t="inlineStr">
        <is>
          <t>jobspy</t>
        </is>
      </c>
      <c r="Q832" s="8" t="inlineStr">
        <is>
          <t>solidworks, c, embedded systems</t>
        </is>
      </c>
      <c r="R832" s="8" t="inlineStr">
        <is>
          <t>EngD Research Engineer electronics embedded</t>
        </is>
      </c>
      <c r="S832" s="19" t="n"/>
      <c r="T832" s="19" t="n"/>
      <c r="U832" s="14" t="n">
        <v>46198</v>
      </c>
      <c r="V832" s="7" t="inlineStr">
        <is>
          <t>v2-cv-accuracy-13b988b18da8ea7d</t>
        </is>
      </c>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1.29</v>
      </c>
      <c r="C833" s="12" t="inlineStr">
        <is>
          <t>Junior</t>
        </is>
      </c>
      <c r="D833" s="8" t="inlineStr">
        <is>
          <t>Junior Developer</t>
        </is>
      </c>
      <c r="E833" s="7" t="inlineStr">
        <is>
          <t>RMG Digital</t>
        </is>
      </c>
      <c r="F833" s="8" t="inlineStr">
        <is>
          <t>London, ENG, GB</t>
        </is>
      </c>
      <c r="G833" s="8" t="n"/>
      <c r="H833" s="14" t="n"/>
      <c r="I833" s="15">
        <f>IF($H833="","",$H833-TODAY())</f>
        <v/>
      </c>
      <c r="J833" s="16" t="inlineStr">
        <is>
          <t>Open posting</t>
        </is>
      </c>
      <c r="K833" s="8" t="inlineStr">
        <is>
          <t>filtered by keyword pre-scan</t>
        </is>
      </c>
      <c r="L833" s="17" t="inlineStr">
        <is>
          <t>new</t>
        </is>
      </c>
      <c r="M833" s="18" t="inlineStr"/>
      <c r="N833" s="7" t="inlineStr">
        <is>
          <t>a3594e404bed231854a2120a7b6159529218082f</t>
        </is>
      </c>
      <c r="O833" s="14" t="n">
        <v>46197</v>
      </c>
      <c r="P833" s="7" t="inlineStr">
        <is>
          <t>jobspy</t>
        </is>
      </c>
      <c r="Q833" s="8" t="inlineStr">
        <is>
          <t>git, c, javascript</t>
        </is>
      </c>
      <c r="R833" s="8" t="inlineStr">
        <is>
          <t>Graduate Systems Engineer hardware software</t>
        </is>
      </c>
      <c r="S833" s="19" t="n"/>
      <c r="T833" s="19" t="n"/>
      <c r="U833" s="14" t="n">
        <v>46198</v>
      </c>
      <c r="V833" s="7" t="inlineStr">
        <is>
          <t>v2-cv-accuracy-13b988b18da8ea7d</t>
        </is>
      </c>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1.29</v>
      </c>
      <c r="C834" s="12" t="inlineStr">
        <is>
          <t>Unspecified</t>
        </is>
      </c>
      <c r="D834" s="8" t="inlineStr">
        <is>
          <t>Software Engineer</t>
        </is>
      </c>
      <c r="E834" s="7" t="inlineStr">
        <is>
          <t>KO2 Embedded Recruitment Solutions Ltd</t>
        </is>
      </c>
      <c r="F834" s="8" t="inlineStr">
        <is>
          <t>Salford, England, UK</t>
        </is>
      </c>
      <c r="G834" s="8" t="n"/>
      <c r="H834" s="14" t="n"/>
      <c r="I834" s="15">
        <f>IF($H834="","",$H834-TODAY())</f>
        <v/>
      </c>
      <c r="J834" s="16" t="inlineStr">
        <is>
          <t>Open posting</t>
        </is>
      </c>
      <c r="K834" s="8" t="inlineStr">
        <is>
          <t>filtered by keyword pre-scan</t>
        </is>
      </c>
      <c r="L834" s="17" t="inlineStr">
        <is>
          <t>new</t>
        </is>
      </c>
      <c r="M834" s="18" t="inlineStr"/>
      <c r="N834" s="7" t="inlineStr">
        <is>
          <t>ec3a2127ef4b30f9214ef73af83f2dde9126568b</t>
        </is>
      </c>
      <c r="O834" s="14" t="n">
        <v>46176</v>
      </c>
      <c r="P834" s="7" t="inlineStr">
        <is>
          <t>jobspy</t>
        </is>
      </c>
      <c r="Q834" s="8" t="inlineStr">
        <is>
          <t>git, c, embedded systems</t>
        </is>
      </c>
      <c r="R834" s="8" t="inlineStr">
        <is>
          <t>EngD Research Engineer electronics embedded systems</t>
        </is>
      </c>
      <c r="S834" s="19" t="n"/>
      <c r="T834" s="19" t="n"/>
      <c r="U834" s="14" t="n">
        <v>46196</v>
      </c>
      <c r="V834" s="7" t="inlineStr">
        <is>
          <t>v2-cv-accuracy-13b988b18da8ea7d</t>
        </is>
      </c>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1.29</v>
      </c>
      <c r="C835" s="12" t="inlineStr">
        <is>
          <t>Mid-level</t>
        </is>
      </c>
      <c r="D835" s="8" t="inlineStr">
        <is>
          <t>Flutter Developer</t>
        </is>
      </c>
      <c r="E835" s="7" t="inlineStr">
        <is>
          <t>AgileGrid Solutions</t>
        </is>
      </c>
      <c r="F835" s="8" t="inlineStr"/>
      <c r="G835" s="8" t="n"/>
      <c r="H835" s="14" t="n"/>
      <c r="I835" s="15">
        <f>IF($H835="","",$H835-TODAY())</f>
        <v/>
      </c>
      <c r="J835" s="16" t="inlineStr">
        <is>
          <t>Open posting</t>
        </is>
      </c>
      <c r="K835" s="8" t="inlineStr">
        <is>
          <t>filtered by keyword pre-scan</t>
        </is>
      </c>
      <c r="L835" s="17" t="inlineStr">
        <is>
          <t>new</t>
        </is>
      </c>
      <c r="M835" s="18" t="inlineStr"/>
      <c r="N835" s="7" t="inlineStr">
        <is>
          <t>a83c5b13b78b3c494565484b1604efd1121655f3</t>
        </is>
      </c>
      <c r="O835" s="14" t="n"/>
      <c r="P835" s="7" t="inlineStr">
        <is>
          <t>jobspy</t>
        </is>
      </c>
      <c r="Q835" s="8" t="inlineStr">
        <is>
          <t>git, c, embedded systems</t>
        </is>
      </c>
      <c r="R835" s="8" t="inlineStr">
        <is>
          <t>EngD Research Engineer electronics embedded systems</t>
        </is>
      </c>
      <c r="S835" s="19" t="n"/>
      <c r="T835" s="19" t="n"/>
      <c r="U835" s="14" t="n">
        <v>46196</v>
      </c>
      <c r="V835" s="7" t="inlineStr">
        <is>
          <t>v2-cv-accuracy-13b988b18da8ea7d</t>
        </is>
      </c>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1.29</v>
      </c>
      <c r="C836" s="12" t="inlineStr">
        <is>
          <t>Mid-level</t>
        </is>
      </c>
      <c r="D836" s="8" t="inlineStr">
        <is>
          <t>Software Engineer</t>
        </is>
      </c>
      <c r="E836" s="7" t="inlineStr">
        <is>
          <t>OAL</t>
        </is>
      </c>
      <c r="F836" s="8" t="inlineStr">
        <is>
          <t>Peterborough, England, UK</t>
        </is>
      </c>
      <c r="G836" s="8" t="n"/>
      <c r="H836" s="14" t="n"/>
      <c r="I836" s="15">
        <f>IF($H836="","",$H836-TODAY())</f>
        <v/>
      </c>
      <c r="J836" s="16" t="inlineStr">
        <is>
          <t>Open posting</t>
        </is>
      </c>
      <c r="K836" s="8" t="inlineStr">
        <is>
          <t>filtered by keyword pre-scan</t>
        </is>
      </c>
      <c r="L836" s="17" t="inlineStr">
        <is>
          <t>new</t>
        </is>
      </c>
      <c r="M836" s="18" t="inlineStr"/>
      <c r="N836" s="7" t="inlineStr">
        <is>
          <t>bc1a9c8ff0ef4957ef7d571e8cb6965bd3770587</t>
        </is>
      </c>
      <c r="O836" s="14" t="n">
        <v>46192</v>
      </c>
      <c r="P836" s="7" t="inlineStr">
        <is>
          <t>jobspy</t>
        </is>
      </c>
      <c r="Q836" s="8" t="inlineStr">
        <is>
          <t>python, sql, c</t>
        </is>
      </c>
      <c r="R836" s="8" t="inlineStr">
        <is>
          <t>Graduate Software Engineer Python embedded</t>
        </is>
      </c>
      <c r="S836" s="19" t="n"/>
      <c r="T836" s="19" t="n"/>
      <c r="U836" s="14" t="n">
        <v>46195</v>
      </c>
      <c r="V836" s="7" t="inlineStr">
        <is>
          <t>v2-cv-accuracy-13b988b18da8ea7d</t>
        </is>
      </c>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1.29</v>
      </c>
      <c r="C837" s="12" t="inlineStr">
        <is>
          <t>Mid-level</t>
        </is>
      </c>
      <c r="D837" s="8" t="inlineStr">
        <is>
          <t>Algorithm Engineer</t>
        </is>
      </c>
      <c r="E837" s="7" t="inlineStr">
        <is>
          <t>SII Group UK</t>
        </is>
      </c>
      <c r="F837" s="8" t="inlineStr">
        <is>
          <t>Manchester, England, UK</t>
        </is>
      </c>
      <c r="G837" s="8" t="n"/>
      <c r="H837" s="14" t="n"/>
      <c r="I837" s="15">
        <f>IF($H837="","",$H837-TODAY())</f>
        <v/>
      </c>
      <c r="J837" s="16" t="inlineStr">
        <is>
          <t>Open posting</t>
        </is>
      </c>
      <c r="K837" s="8" t="inlineStr">
        <is>
          <t>filtered by keyword pre-scan</t>
        </is>
      </c>
      <c r="L837" s="17" t="inlineStr">
        <is>
          <t>new</t>
        </is>
      </c>
      <c r="M837" s="18" t="inlineStr"/>
      <c r="N837" s="7" t="inlineStr">
        <is>
          <t>0959d694bce5f57b929a2b20b9200616d1ac7097</t>
        </is>
      </c>
      <c r="O837" s="14" t="n">
        <v>46176</v>
      </c>
      <c r="P837" s="7" t="inlineStr">
        <is>
          <t>jobspy</t>
        </is>
      </c>
      <c r="Q837" s="8" t="inlineStr">
        <is>
          <t>git, c</t>
        </is>
      </c>
      <c r="R837" s="8" t="inlineStr">
        <is>
          <t>Signal Processing Engineer DSP graduate Sheffield</t>
        </is>
      </c>
      <c r="S837" s="19" t="n"/>
      <c r="T837" s="19" t="n"/>
      <c r="U837" s="14" t="n">
        <v>46195</v>
      </c>
      <c r="V837" s="7" t="inlineStr">
        <is>
          <t>v2-cv-accuracy-13b988b18da8ea7d</t>
        </is>
      </c>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1.29</v>
      </c>
      <c r="C838" s="12" t="inlineStr">
        <is>
          <t>Senior/Lead</t>
        </is>
      </c>
      <c r="D838" s="8" t="inlineStr">
        <is>
          <t>Platform Engineer</t>
        </is>
      </c>
      <c r="E838" s="7" t="inlineStr">
        <is>
          <t>PortSwigger</t>
        </is>
      </c>
      <c r="F838" s="8" t="inlineStr">
        <is>
          <t>London, England, UK</t>
        </is>
      </c>
      <c r="G838" s="8" t="n"/>
      <c r="H838" s="14" t="n"/>
      <c r="I838" s="15">
        <f>IF($H838="","",$H838-TODAY())</f>
        <v/>
      </c>
      <c r="J838" s="16" t="inlineStr">
        <is>
          <t>Open posting</t>
        </is>
      </c>
      <c r="K838" s="8" t="inlineStr">
        <is>
          <t>filtered by keyword pre-scan</t>
        </is>
      </c>
      <c r="L838" s="17" t="inlineStr">
        <is>
          <t>new</t>
        </is>
      </c>
      <c r="M838" s="18" t="inlineStr"/>
      <c r="N838" s="7" t="inlineStr">
        <is>
          <t>bbd2e82000d431f5ad5adf7eeee51a19d06548a5</t>
        </is>
      </c>
      <c r="O838" s="14" t="n">
        <v>46185</v>
      </c>
      <c r="P838" s="7" t="inlineStr">
        <is>
          <t>jobspy</t>
        </is>
      </c>
      <c r="Q838" s="8" t="inlineStr">
        <is>
          <t>docker, kubernetes, c</t>
        </is>
      </c>
      <c r="R838" s="8" t="inlineStr">
        <is>
          <t>Graduate Platform Engineer Docker Kubernetes Python</t>
        </is>
      </c>
      <c r="S838" s="19" t="n"/>
      <c r="T838" s="19" t="n"/>
      <c r="U838" s="14" t="n">
        <v>46195</v>
      </c>
      <c r="V838" s="7" t="inlineStr">
        <is>
          <t>v2-cv-accuracy-13b988b18da8ea7d</t>
        </is>
      </c>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1.29</v>
      </c>
      <c r="C839" s="12" t="inlineStr">
        <is>
          <t>Unspecified</t>
        </is>
      </c>
      <c r="D839" s="8" t="inlineStr">
        <is>
          <t>Simulation &amp; Modelling Engineer</t>
        </is>
      </c>
      <c r="E839" s="7" t="inlineStr">
        <is>
          <t>IC Resources</t>
        </is>
      </c>
      <c r="F839" s="8" t="inlineStr">
        <is>
          <t>Cambridgeshire, England, UK</t>
        </is>
      </c>
      <c r="G839" s="8" t="n"/>
      <c r="H839" s="14" t="n"/>
      <c r="I839" s="15">
        <f>IF($H839="","",$H839-TODAY())</f>
        <v/>
      </c>
      <c r="J839" s="16" t="inlineStr">
        <is>
          <t>Open posting</t>
        </is>
      </c>
      <c r="K839" s="8" t="inlineStr">
        <is>
          <t>filtered by keyword pre-scan</t>
        </is>
      </c>
      <c r="L839" s="17" t="inlineStr">
        <is>
          <t>new</t>
        </is>
      </c>
      <c r="M839" s="18" t="inlineStr"/>
      <c r="N839" s="7" t="inlineStr">
        <is>
          <t>53fa075a5e96af590b2f371a6ba9270fc690e0a6</t>
        </is>
      </c>
      <c r="O839" s="14" t="n">
        <v>46185</v>
      </c>
      <c r="P839" s="7" t="inlineStr">
        <is>
          <t>jobspy</t>
        </is>
      </c>
      <c r="Q839" s="8" t="inlineStr">
        <is>
          <t>git, c, dsp</t>
        </is>
      </c>
      <c r="R839" s="8" t="inlineStr">
        <is>
          <t>Signal Processing Engineer graduate DSP</t>
        </is>
      </c>
      <c r="S839" s="19" t="n"/>
      <c r="T839" s="19" t="n"/>
      <c r="U839" s="14" t="n">
        <v>46195</v>
      </c>
      <c r="V839" s="7" t="inlineStr">
        <is>
          <t>v2-cv-accuracy-13b988b18da8ea7d</t>
        </is>
      </c>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1.29</v>
      </c>
      <c r="C840" s="12" t="inlineStr">
        <is>
          <t>Senior/Lead</t>
        </is>
      </c>
      <c r="D840" s="8" t="inlineStr">
        <is>
          <t>Technologist</t>
        </is>
      </c>
      <c r="E840" s="7" t="inlineStr">
        <is>
          <t>Cirrus Logic</t>
        </is>
      </c>
      <c r="F840" s="8" t="inlineStr">
        <is>
          <t>Edinburgh, Scotland, UK</t>
        </is>
      </c>
      <c r="G840" s="8" t="n"/>
      <c r="H840" s="14" t="n"/>
      <c r="I840" s="15">
        <f>IF($H840="","",$H840-TODAY())</f>
        <v/>
      </c>
      <c r="J840" s="16" t="inlineStr">
        <is>
          <t>Open posting</t>
        </is>
      </c>
      <c r="K840" s="8" t="inlineStr">
        <is>
          <t>filtered by keyword pre-scan</t>
        </is>
      </c>
      <c r="L840" s="17" t="inlineStr">
        <is>
          <t>new</t>
        </is>
      </c>
      <c r="M840" s="18" t="inlineStr"/>
      <c r="N840" s="7" t="inlineStr">
        <is>
          <t>eef09055c5eed7c223069562fbdd8181e1b6d98c</t>
        </is>
      </c>
      <c r="O840" s="14" t="n"/>
      <c r="P840" s="7" t="inlineStr">
        <is>
          <t>jobspy</t>
        </is>
      </c>
      <c r="Q840" s="8" t="inlineStr">
        <is>
          <t>python, c</t>
        </is>
      </c>
      <c r="R840" s="8" t="inlineStr">
        <is>
          <t>Signal Processing Engineer graduate DSP</t>
        </is>
      </c>
      <c r="S840" s="19" t="n"/>
      <c r="T840" s="19" t="n"/>
      <c r="U840" s="14" t="n">
        <v>46195</v>
      </c>
      <c r="V840" s="7" t="inlineStr">
        <is>
          <t>v2-cv-accuracy-13b988b18da8ea7d</t>
        </is>
      </c>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1.29</v>
      </c>
      <c r="C841" s="12" t="inlineStr">
        <is>
          <t>Senior/Lead</t>
        </is>
      </c>
      <c r="D841" s="8" t="inlineStr">
        <is>
          <t>Data Engineer</t>
        </is>
      </c>
      <c r="E841" s="7" t="inlineStr">
        <is>
          <t>Perch Group</t>
        </is>
      </c>
      <c r="F841" s="8" t="inlineStr">
        <is>
          <t>Manchester, England, UK</t>
        </is>
      </c>
      <c r="G841" s="8" t="n"/>
      <c r="H841" s="14" t="n"/>
      <c r="I841" s="15">
        <f>IF($H841="","",$H841-TODAY())</f>
        <v/>
      </c>
      <c r="J841" s="16" t="inlineStr">
        <is>
          <t>Open posting</t>
        </is>
      </c>
      <c r="K841" s="8" t="inlineStr">
        <is>
          <t>filtered by keyword pre-scan</t>
        </is>
      </c>
      <c r="L841" s="17" t="inlineStr">
        <is>
          <t>new</t>
        </is>
      </c>
      <c r="M841" s="18" t="inlineStr"/>
      <c r="N841" s="7" t="inlineStr">
        <is>
          <t>316d135863b264fb3d13973310880ae9fc6799ce</t>
        </is>
      </c>
      <c r="O841" s="14" t="n">
        <v>46189</v>
      </c>
      <c r="P841" s="7" t="inlineStr">
        <is>
          <t>jobspy</t>
        </is>
      </c>
      <c r="Q841" s="8" t="inlineStr">
        <is>
          <t>python, sql, c</t>
        </is>
      </c>
      <c r="R841" s="8" t="inlineStr">
        <is>
          <t>Graduate Data Engineer Python SQL pipeline</t>
        </is>
      </c>
      <c r="S841" s="19" t="n"/>
      <c r="T841" s="19" t="n"/>
      <c r="U841" s="14" t="n">
        <v>46194</v>
      </c>
      <c r="V841" s="7" t="inlineStr">
        <is>
          <t>v2-cv-accuracy-13b988b18da8ea7d</t>
        </is>
      </c>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1.29</v>
      </c>
      <c r="C842" s="12" t="inlineStr">
        <is>
          <t>Senior/Lead</t>
        </is>
      </c>
      <c r="D842" s="8" t="inlineStr">
        <is>
          <t>Data Engineer</t>
        </is>
      </c>
      <c r="E842" s="7" t="inlineStr">
        <is>
          <t>Perch Group</t>
        </is>
      </c>
      <c r="F842" s="8" t="inlineStr">
        <is>
          <t>Blackpool, England, UK</t>
        </is>
      </c>
      <c r="G842" s="8" t="n"/>
      <c r="H842" s="14" t="n"/>
      <c r="I842" s="15">
        <f>IF($H842="","",$H842-TODAY())</f>
        <v/>
      </c>
      <c r="J842" s="16" t="inlineStr">
        <is>
          <t>Open posting</t>
        </is>
      </c>
      <c r="K842" s="8" t="inlineStr">
        <is>
          <t>filtered by keyword pre-scan</t>
        </is>
      </c>
      <c r="L842" s="17" t="inlineStr">
        <is>
          <t>new</t>
        </is>
      </c>
      <c r="M842" s="18" t="inlineStr"/>
      <c r="N842" s="7" t="inlineStr">
        <is>
          <t>3b4509abfba4ba85454c9d2c303fefcf98df857a</t>
        </is>
      </c>
      <c r="O842" s="14" t="n">
        <v>46174</v>
      </c>
      <c r="P842" s="7" t="inlineStr">
        <is>
          <t>jobspy</t>
        </is>
      </c>
      <c r="Q842" s="8" t="inlineStr">
        <is>
          <t>python, sql, c</t>
        </is>
      </c>
      <c r="R842" s="8" t="inlineStr">
        <is>
          <t>Graduate Data Engineer Python SQL pipeline</t>
        </is>
      </c>
      <c r="S842" s="19" t="n"/>
      <c r="T842" s="19" t="n"/>
      <c r="U842" s="14" t="n">
        <v>46194</v>
      </c>
      <c r="V842" s="7" t="inlineStr">
        <is>
          <t>v2-cv-accuracy-13b988b18da8ea7d</t>
        </is>
      </c>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1.29</v>
      </c>
      <c r="C843" s="12" t="inlineStr">
        <is>
          <t>Mid-level</t>
        </is>
      </c>
      <c r="D843" s="8" t="inlineStr">
        <is>
          <t>Software Engineer</t>
        </is>
      </c>
      <c r="E843" s="7" t="inlineStr">
        <is>
          <t>Executive Integrity | B Corp®</t>
        </is>
      </c>
      <c r="F843" s="8" t="inlineStr">
        <is>
          <t>Swanwick, England, UK</t>
        </is>
      </c>
      <c r="G843" s="8" t="n"/>
      <c r="H843" s="14" t="n"/>
      <c r="I843" s="15">
        <f>IF($H843="","",$H843-TODAY())</f>
        <v/>
      </c>
      <c r="J843" s="16" t="inlineStr">
        <is>
          <t>Open posting</t>
        </is>
      </c>
      <c r="K843" s="8" t="inlineStr">
        <is>
          <t>filtered by keyword pre-scan</t>
        </is>
      </c>
      <c r="L843" s="17" t="inlineStr">
        <is>
          <t>new</t>
        </is>
      </c>
      <c r="M843" s="18" t="inlineStr"/>
      <c r="N843" s="7" t="inlineStr">
        <is>
          <t>62d6bcb9b281350ceb60e2a36bb2ebffd8fc249b</t>
        </is>
      </c>
      <c r="O843" s="14" t="n">
        <v>46191</v>
      </c>
      <c r="P843" s="7" t="inlineStr">
        <is>
          <t>jobspy</t>
        </is>
      </c>
      <c r="Q843" s="8" t="inlineStr">
        <is>
          <t>python, c, sensor integration</t>
        </is>
      </c>
      <c r="R843" s="8" t="inlineStr">
        <is>
          <t>Embedded Software Engineer graduate C Python</t>
        </is>
      </c>
      <c r="S843" s="19" t="n"/>
      <c r="T843" s="19" t="n"/>
      <c r="U843" s="14" t="n">
        <v>46194</v>
      </c>
      <c r="V843" s="7" t="inlineStr">
        <is>
          <t>v2-cv-accuracy-13b988b18da8ea7d</t>
        </is>
      </c>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1.29</v>
      </c>
      <c r="C844" s="12" t="inlineStr">
        <is>
          <t>Unspecified</t>
        </is>
      </c>
      <c r="D844" s="8" t="inlineStr">
        <is>
          <t>System Software Engineer</t>
        </is>
      </c>
      <c r="E844" s="7" t="inlineStr">
        <is>
          <t>Graphcore</t>
        </is>
      </c>
      <c r="F844" s="8" t="inlineStr">
        <is>
          <t>Cambridge, England, UK</t>
        </is>
      </c>
      <c r="G844" s="8" t="n"/>
      <c r="H844" s="14" t="n"/>
      <c r="I844" s="15">
        <f>IF($H844="","",$H844-TODAY())</f>
        <v/>
      </c>
      <c r="J844" s="16" t="inlineStr">
        <is>
          <t>Open posting</t>
        </is>
      </c>
      <c r="K844" s="8" t="inlineStr">
        <is>
          <t>filtered by keyword pre-scan</t>
        </is>
      </c>
      <c r="L844" s="17" t="inlineStr">
        <is>
          <t>new</t>
        </is>
      </c>
      <c r="M844" s="18" t="inlineStr"/>
      <c r="N844" s="7" t="inlineStr">
        <is>
          <t>c6b9ebbf1cceb815f8fb3aeb0ffe1de4e7e14bbc</t>
        </is>
      </c>
      <c r="O844" s="14" t="n">
        <v>46176</v>
      </c>
      <c r="P844" s="7" t="inlineStr">
        <is>
          <t>jobspy</t>
        </is>
      </c>
      <c r="Q844" s="8" t="inlineStr">
        <is>
          <t>python, kubernetes, c</t>
        </is>
      </c>
      <c r="R844" s="8" t="inlineStr">
        <is>
          <t>Firmware Engineer Raspberry Pi embedded systems</t>
        </is>
      </c>
      <c r="S844" s="19" t="n"/>
      <c r="T844" s="19" t="n"/>
      <c r="U844" s="14" t="n">
        <v>46194</v>
      </c>
      <c r="V844" s="7" t="inlineStr">
        <is>
          <t>v2-cv-accuracy-13b988b18da8ea7d</t>
        </is>
      </c>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1.29</v>
      </c>
      <c r="C845" s="12" t="inlineStr">
        <is>
          <t>Senior/Lead</t>
        </is>
      </c>
      <c r="D845" s="8" t="inlineStr">
        <is>
          <t>Software Engineer</t>
        </is>
      </c>
      <c r="E845" s="7" t="inlineStr">
        <is>
          <t>HUBER+SUHNER</t>
        </is>
      </c>
      <c r="F845" s="8" t="inlineStr">
        <is>
          <t>Cambridge, England, UK</t>
        </is>
      </c>
      <c r="G845" s="8" t="n"/>
      <c r="H845" s="14" t="n"/>
      <c r="I845" s="15">
        <f>IF($H845="","",$H845-TODAY())</f>
        <v/>
      </c>
      <c r="J845" s="16" t="inlineStr">
        <is>
          <t>Open posting</t>
        </is>
      </c>
      <c r="K845" s="8" t="inlineStr">
        <is>
          <t>filtered by keyword pre-scan</t>
        </is>
      </c>
      <c r="L845" s="17" t="inlineStr">
        <is>
          <t>new</t>
        </is>
      </c>
      <c r="M845" s="18" t="inlineStr"/>
      <c r="N845" s="7" t="inlineStr">
        <is>
          <t>99806c52aef74e1e908ef60015557986508ab50a</t>
        </is>
      </c>
      <c r="O845" s="14" t="n">
        <v>46174</v>
      </c>
      <c r="P845" s="7" t="inlineStr">
        <is>
          <t>jobspy</t>
        </is>
      </c>
      <c r="Q845" s="8" t="inlineStr">
        <is>
          <t>git, c, hardware design</t>
        </is>
      </c>
      <c r="R845" s="8" t="inlineStr">
        <is>
          <t>Firmware Engineer Raspberry Pi embedded systems</t>
        </is>
      </c>
      <c r="S845" s="19" t="n"/>
      <c r="T845" s="19" t="n"/>
      <c r="U845" s="14" t="n">
        <v>46194</v>
      </c>
      <c r="V845" s="7" t="inlineStr">
        <is>
          <t>v2-cv-accuracy-13b988b18da8ea7d</t>
        </is>
      </c>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1.29</v>
      </c>
      <c r="C846" s="12" t="inlineStr">
        <is>
          <t>Senior/Lead</t>
        </is>
      </c>
      <c r="D846" s="8" t="inlineStr">
        <is>
          <t>Software Development Engineer (Networking)</t>
        </is>
      </c>
      <c r="E846" s="7" t="inlineStr">
        <is>
          <t>AMD</t>
        </is>
      </c>
      <c r="F846" s="8" t="inlineStr">
        <is>
          <t>Cambridge, England, UK</t>
        </is>
      </c>
      <c r="G846" s="8" t="n"/>
      <c r="H846" s="14" t="n"/>
      <c r="I846" s="15">
        <f>IF($H846="","",$H846-TODAY())</f>
        <v/>
      </c>
      <c r="J846" s="16" t="inlineStr">
        <is>
          <t>Open posting</t>
        </is>
      </c>
      <c r="K846" s="8" t="inlineStr">
        <is>
          <t>filtered by keyword pre-scan</t>
        </is>
      </c>
      <c r="L846" s="17" t="inlineStr">
        <is>
          <t>new</t>
        </is>
      </c>
      <c r="M846" s="18" t="inlineStr"/>
      <c r="N846" s="7" t="inlineStr">
        <is>
          <t>29e7aae85b7e8fccc6f4b6090e29198e21626836</t>
        </is>
      </c>
      <c r="O846" s="14" t="n">
        <v>46184</v>
      </c>
      <c r="P846" s="7" t="inlineStr">
        <is>
          <t>jobspy</t>
        </is>
      </c>
      <c r="Q846" s="8" t="inlineStr">
        <is>
          <t>python, c, embedded systems</t>
        </is>
      </c>
      <c r="R846" s="8" t="inlineStr">
        <is>
          <t>Graduate Systems Engineer embedded hardware</t>
        </is>
      </c>
      <c r="S846" s="19" t="n"/>
      <c r="T846" s="19" t="n"/>
      <c r="U846" s="14" t="n">
        <v>46194</v>
      </c>
      <c r="V846" s="7" t="inlineStr">
        <is>
          <t>v2-cv-accuracy-13b988b18da8ea7d</t>
        </is>
      </c>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1.29</v>
      </c>
      <c r="C847" s="12" t="inlineStr">
        <is>
          <t>Unspecified</t>
        </is>
      </c>
      <c r="D847" s="8" t="inlineStr">
        <is>
          <t>Engineer - Launchpad (Autonomous Driving)</t>
        </is>
      </c>
      <c r="E847" s="7" t="inlineStr">
        <is>
          <t>Oxa</t>
        </is>
      </c>
      <c r="F847" s="8" t="inlineStr">
        <is>
          <t>Oxford, England, UK</t>
        </is>
      </c>
      <c r="G847" s="8" t="n"/>
      <c r="H847" s="14" t="n"/>
      <c r="I847" s="15">
        <f>IF($H847="","",$H847-TODAY())</f>
        <v/>
      </c>
      <c r="J847" s="16" t="inlineStr">
        <is>
          <t>Open posting</t>
        </is>
      </c>
      <c r="K847" s="8" t="inlineStr">
        <is>
          <t>filtered by keyword pre-scan</t>
        </is>
      </c>
      <c r="L847" s="17" t="inlineStr">
        <is>
          <t>new</t>
        </is>
      </c>
      <c r="M847" s="18" t="inlineStr"/>
      <c r="N847" s="7" t="inlineStr">
        <is>
          <t>cda17078a7989f2ed09cda16f4b8d8a538794fec</t>
        </is>
      </c>
      <c r="O847" s="14" t="n">
        <v>46182</v>
      </c>
      <c r="P847" s="7" t="inlineStr">
        <is>
          <t>jobspy</t>
        </is>
      </c>
      <c r="Q847" s="8" t="inlineStr">
        <is>
          <t>python, git, c</t>
        </is>
      </c>
      <c r="R847" s="8" t="inlineStr">
        <is>
          <t>Graduate Embedded Engineer Python FPGA</t>
        </is>
      </c>
      <c r="S847" s="19" t="n"/>
      <c r="T847" s="19" t="n"/>
      <c r="U847" s="14" t="n">
        <v>46193</v>
      </c>
      <c r="V847" s="7" t="inlineStr">
        <is>
          <t>v2-cv-accuracy-13b988b18da8ea7d</t>
        </is>
      </c>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1.29</v>
      </c>
      <c r="C848" s="12" t="inlineStr">
        <is>
          <t>Unspecified</t>
        </is>
      </c>
      <c r="D848" s="8" t="inlineStr">
        <is>
          <t>Signal Processing Systems Engineer</t>
        </is>
      </c>
      <c r="E848" s="7" t="inlineStr">
        <is>
          <t>Leonardo</t>
        </is>
      </c>
      <c r="F848" s="8" t="inlineStr">
        <is>
          <t>Southampton, England, UK</t>
        </is>
      </c>
      <c r="G848" s="8" t="n"/>
      <c r="H848" s="14" t="n"/>
      <c r="I848" s="15">
        <f>IF($H848="","",$H848-TODAY())</f>
        <v/>
      </c>
      <c r="J848" s="16" t="inlineStr">
        <is>
          <t>Open posting</t>
        </is>
      </c>
      <c r="K848" s="8" t="inlineStr">
        <is>
          <t>filtered by keyword pre-scan</t>
        </is>
      </c>
      <c r="L848" s="17" t="inlineStr">
        <is>
          <t>new</t>
        </is>
      </c>
      <c r="M848" s="18" t="inlineStr"/>
      <c r="N848" s="7" t="inlineStr">
        <is>
          <t>6d2b04472a0279fb2d52a5a8a6fa948afa8882b1</t>
        </is>
      </c>
      <c r="O848" s="14" t="n"/>
      <c r="P848" s="7" t="inlineStr">
        <is>
          <t>jobspy</t>
        </is>
      </c>
      <c r="Q848" s="8" t="inlineStr">
        <is>
          <t>fpga, git, c</t>
        </is>
      </c>
      <c r="R848" s="8" t="inlineStr">
        <is>
          <t>Graduate DSP Engineer signal processing FPGA</t>
        </is>
      </c>
      <c r="S848" s="19" t="n"/>
      <c r="T848" s="19" t="n"/>
      <c r="U848" s="14" t="n">
        <v>46193</v>
      </c>
      <c r="V848" s="7" t="inlineStr">
        <is>
          <t>v2-cv-accuracy-13b988b18da8ea7d</t>
        </is>
      </c>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1.29</v>
      </c>
      <c r="C849" s="12" t="inlineStr">
        <is>
          <t>Unspecified</t>
        </is>
      </c>
      <c r="D849" s="8" t="inlineStr">
        <is>
          <t>DevX Build Pipeline Engineer DevOps Engineer</t>
        </is>
      </c>
      <c r="E849" s="7" t="inlineStr">
        <is>
          <t>Undisclosed</t>
        </is>
      </c>
      <c r="F849" s="8" t="inlineStr">
        <is>
          <t>Sheffield, England, UK</t>
        </is>
      </c>
      <c r="G849" s="8" t="n"/>
      <c r="H849" s="14" t="n"/>
      <c r="I849" s="15">
        <f>IF($H849="","",$H849-TODAY())</f>
        <v/>
      </c>
      <c r="J849" s="16" t="inlineStr">
        <is>
          <t>Open posting</t>
        </is>
      </c>
      <c r="K849" s="8" t="inlineStr">
        <is>
          <t>filtered by keyword pre-scan</t>
        </is>
      </c>
      <c r="L849" s="17" t="inlineStr">
        <is>
          <t>new</t>
        </is>
      </c>
      <c r="M849" s="18" t="inlineStr"/>
      <c r="N849" s="7" t="inlineStr">
        <is>
          <t>ca450d87eb958cfab7343735c38007dd12d18987</t>
        </is>
      </c>
      <c r="O849" s="14" t="n">
        <v>46171</v>
      </c>
      <c r="P849" s="7" t="inlineStr">
        <is>
          <t>jobspy</t>
        </is>
      </c>
      <c r="Q849" s="8" t="inlineStr">
        <is>
          <t>python, git, c</t>
        </is>
      </c>
      <c r="R849" s="8" t="inlineStr">
        <is>
          <t>Graduate DevOps Engineer Python CI/CD Sheffield</t>
        </is>
      </c>
      <c r="S849" s="19" t="n"/>
      <c r="T849" s="19" t="n"/>
      <c r="U849" s="14" t="n">
        <v>46193</v>
      </c>
      <c r="V849" s="7" t="inlineStr">
        <is>
          <t>v2-cv-accuracy-13b988b18da8ea7d</t>
        </is>
      </c>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1.29</v>
      </c>
      <c r="C850" s="12" t="inlineStr">
        <is>
          <t>Mid-level</t>
        </is>
      </c>
      <c r="D850" s="8" t="inlineStr">
        <is>
          <t>Embedded Software Engineer</t>
        </is>
      </c>
      <c r="E850" s="7" t="inlineStr">
        <is>
          <t>Deep Sea Electronics Ltd</t>
        </is>
      </c>
      <c r="F850" s="8" t="inlineStr">
        <is>
          <t>Hunmanby, England, UK</t>
        </is>
      </c>
      <c r="G850" s="8" t="n"/>
      <c r="H850" s="14" t="n"/>
      <c r="I850" s="15">
        <f>IF($H850="","",$H850-TODAY())</f>
        <v/>
      </c>
      <c r="J850" s="16" t="inlineStr">
        <is>
          <t>Open posting</t>
        </is>
      </c>
      <c r="K850" s="8" t="inlineStr">
        <is>
          <t>filtered by keyword pre-scan</t>
        </is>
      </c>
      <c r="L850" s="17" t="inlineStr">
        <is>
          <t>new</t>
        </is>
      </c>
      <c r="M850" s="18" t="inlineStr"/>
      <c r="N850" s="7" t="inlineStr">
        <is>
          <t>4cefe464917501bd44de325a82f01013cf2388ba</t>
        </is>
      </c>
      <c r="O850" s="14" t="n">
        <v>46170</v>
      </c>
      <c r="P850" s="7" t="inlineStr">
        <is>
          <t>jobspy</t>
        </is>
      </c>
      <c r="Q850" s="8" t="inlineStr">
        <is>
          <t>git, c, embedded systems</t>
        </is>
      </c>
      <c r="R850" s="8" t="inlineStr">
        <is>
          <t>Firmware Engineer Embedded C Microcontroller</t>
        </is>
      </c>
      <c r="S850" s="19" t="n"/>
      <c r="T850" s="19" t="n"/>
      <c r="U850" s="14" t="n">
        <v>46193</v>
      </c>
      <c r="V850" s="7" t="inlineStr">
        <is>
          <t>v2-cv-accuracy-13b988b18da8ea7d</t>
        </is>
      </c>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1.29</v>
      </c>
      <c r="C851" s="12" t="inlineStr">
        <is>
          <t>Mid-level</t>
        </is>
      </c>
      <c r="D851" s="8" t="inlineStr">
        <is>
          <t>Embedded Software Engineer</t>
        </is>
      </c>
      <c r="E851" s="7" t="inlineStr">
        <is>
          <t>Deep Sea Electronics Ltd</t>
        </is>
      </c>
      <c r="F851" s="8" t="inlineStr">
        <is>
          <t>Mansfield, England, UK</t>
        </is>
      </c>
      <c r="G851" s="8" t="n"/>
      <c r="H851" s="14" t="n"/>
      <c r="I851" s="15">
        <f>IF($H851="","",$H851-TODAY())</f>
        <v/>
      </c>
      <c r="J851" s="16" t="inlineStr">
        <is>
          <t>Open posting</t>
        </is>
      </c>
      <c r="K851" s="8" t="inlineStr">
        <is>
          <t>filtered by keyword pre-scan</t>
        </is>
      </c>
      <c r="L851" s="17" t="inlineStr">
        <is>
          <t>new</t>
        </is>
      </c>
      <c r="M851" s="18" t="inlineStr"/>
      <c r="N851" s="7" t="inlineStr">
        <is>
          <t>6736c5f7b5a6cdbf901cece924dbd656ff23d183</t>
        </is>
      </c>
      <c r="O851" s="14" t="n">
        <v>46170</v>
      </c>
      <c r="P851" s="7" t="inlineStr">
        <is>
          <t>jobspy</t>
        </is>
      </c>
      <c r="Q851" s="8" t="inlineStr">
        <is>
          <t>git, c, embedded systems</t>
        </is>
      </c>
      <c r="R851" s="8" t="inlineStr">
        <is>
          <t>Firmware Engineer Embedded C Microcontroller</t>
        </is>
      </c>
      <c r="S851" s="19" t="n"/>
      <c r="T851" s="19" t="n"/>
      <c r="U851" s="14" t="n">
        <v>46193</v>
      </c>
      <c r="V851" s="7" t="inlineStr">
        <is>
          <t>v2-cv-accuracy-13b988b18da8ea7d</t>
        </is>
      </c>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1.29</v>
      </c>
      <c r="C852" s="12" t="inlineStr">
        <is>
          <t>Junior</t>
        </is>
      </c>
      <c r="D852" s="8" t="inlineStr">
        <is>
          <t>Software Engineer</t>
        </is>
      </c>
      <c r="E852" s="7" t="inlineStr">
        <is>
          <t>Opus 2 International</t>
        </is>
      </c>
      <c r="F852" s="8" t="inlineStr">
        <is>
          <t>Edinburgh, SCT, GB</t>
        </is>
      </c>
      <c r="G852" s="8" t="n"/>
      <c r="H852" s="14" t="n"/>
      <c r="I852" s="15">
        <f>IF($H852="","",$H852-TODAY())</f>
        <v/>
      </c>
      <c r="J852" s="16" t="inlineStr">
        <is>
          <t>Open posting</t>
        </is>
      </c>
      <c r="K852" s="8" t="inlineStr">
        <is>
          <t>filtered by keyword pre-scan</t>
        </is>
      </c>
      <c r="L852" s="17" t="inlineStr">
        <is>
          <t>new</t>
        </is>
      </c>
      <c r="M852" s="18" t="inlineStr"/>
      <c r="N852" s="7" t="inlineStr">
        <is>
          <t>dca1ffc93b14d8290d24715db9f6adaaf428e147</t>
        </is>
      </c>
      <c r="O852" s="14" t="n">
        <v>46178</v>
      </c>
      <c r="P852" s="7" t="inlineStr">
        <is>
          <t>jobspy</t>
        </is>
      </c>
      <c r="Q852" s="8" t="inlineStr">
        <is>
          <t>python, kubernetes, c</t>
        </is>
      </c>
      <c r="R852" s="8" t="inlineStr">
        <is>
          <t>Junior Software Engineer Python backend</t>
        </is>
      </c>
      <c r="S852" s="19" t="n"/>
      <c r="T852" s="19" t="n"/>
      <c r="U852" s="14" t="n">
        <v>46193</v>
      </c>
      <c r="V852" s="7" t="inlineStr">
        <is>
          <t>v2-cv-accuracy-13b988b18da8ea7d</t>
        </is>
      </c>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1.29</v>
      </c>
      <c r="C853" s="12" t="inlineStr">
        <is>
          <t>Graduate/Entry</t>
        </is>
      </c>
      <c r="D853" s="8" t="inlineStr">
        <is>
          <t>Graduate Software Engineer</t>
        </is>
      </c>
      <c r="E853" s="7" t="inlineStr">
        <is>
          <t>Autodesk</t>
        </is>
      </c>
      <c r="F853" s="8" t="inlineStr">
        <is>
          <t>Birmingham, England, UK</t>
        </is>
      </c>
      <c r="G853" s="8" t="n"/>
      <c r="H853" s="14" t="n"/>
      <c r="I853" s="15">
        <f>IF($H853="","",$H853-TODAY())</f>
        <v/>
      </c>
      <c r="J853" s="16" t="inlineStr">
        <is>
          <t>Open posting</t>
        </is>
      </c>
      <c r="K853" s="8" t="inlineStr">
        <is>
          <t>filtered by keyword pre-scan</t>
        </is>
      </c>
      <c r="L853" s="17" t="inlineStr">
        <is>
          <t>new</t>
        </is>
      </c>
      <c r="M853" s="18" t="inlineStr"/>
      <c r="N853" s="7" t="inlineStr">
        <is>
          <t>2d8e829cd6100dd4f3bfbdcd8fe417910910d145</t>
        </is>
      </c>
      <c r="O853" s="14" t="n">
        <v>46177</v>
      </c>
      <c r="P853" s="7" t="inlineStr">
        <is>
          <t>jobspy</t>
        </is>
      </c>
      <c r="Q853" s="8" t="inlineStr">
        <is>
          <t>python, git, c</t>
        </is>
      </c>
      <c r="R853" s="8" t="inlineStr">
        <is>
          <t>Junior Software Engineer Python backend</t>
        </is>
      </c>
      <c r="S853" s="19" t="n"/>
      <c r="T853" s="19" t="n"/>
      <c r="U853" s="14" t="n">
        <v>46193</v>
      </c>
      <c r="V853" s="7" t="inlineStr">
        <is>
          <t>v2-cv-accuracy-13b988b18da8ea7d</t>
        </is>
      </c>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1.29</v>
      </c>
      <c r="C854" s="12" t="inlineStr">
        <is>
          <t>Unspecified</t>
        </is>
      </c>
      <c r="D854" s="8" t="inlineStr">
        <is>
          <t>Engineer</t>
        </is>
      </c>
      <c r="E854" s="7" t="inlineStr">
        <is>
          <t>TEKsystems</t>
        </is>
      </c>
      <c r="F854" s="8" t="inlineStr">
        <is>
          <t>Sheffield, England, UK</t>
        </is>
      </c>
      <c r="G854" s="8" t="n"/>
      <c r="H854" s="14" t="n"/>
      <c r="I854" s="15">
        <f>IF($H854="","",$H854-TODAY())</f>
        <v/>
      </c>
      <c r="J854" s="16" t="inlineStr">
        <is>
          <t>Open posting</t>
        </is>
      </c>
      <c r="K854" s="8" t="inlineStr">
        <is>
          <t>filtered by keyword pre-scan</t>
        </is>
      </c>
      <c r="L854" s="17" t="inlineStr">
        <is>
          <t>new</t>
        </is>
      </c>
      <c r="M854" s="18" t="inlineStr"/>
      <c r="N854" s="7" t="inlineStr">
        <is>
          <t>290f87f1fdfdd161fdb13b22753c06dae2a13b08</t>
        </is>
      </c>
      <c r="O854" s="14" t="n">
        <v>46176</v>
      </c>
      <c r="P854" s="7" t="inlineStr">
        <is>
          <t>jobspy</t>
        </is>
      </c>
      <c r="Q854" s="8" t="inlineStr">
        <is>
          <t>sql, api integration, c</t>
        </is>
      </c>
      <c r="R854" s="8" t="inlineStr">
        <is>
          <t>Graduate Hardware Engineer Sheffield</t>
        </is>
      </c>
      <c r="S854" s="19" t="n"/>
      <c r="T854" s="19" t="n"/>
      <c r="U854" s="14" t="n">
        <v>46192</v>
      </c>
      <c r="V854" s="7" t="inlineStr">
        <is>
          <t>v2-cv-accuracy-13b988b18da8ea7d</t>
        </is>
      </c>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1.29</v>
      </c>
      <c r="C855" s="12" t="inlineStr">
        <is>
          <t>Junior</t>
        </is>
      </c>
      <c r="D855" s="8" t="inlineStr">
        <is>
          <t>RF/Digital SDR Integration Engineer (KTP Associate)</t>
        </is>
      </c>
      <c r="E855" s="7" t="inlineStr">
        <is>
          <t>Heriot-Watt University</t>
        </is>
      </c>
      <c r="F855" s="8" t="inlineStr">
        <is>
          <t>Edinburgh, SCT, GB</t>
        </is>
      </c>
      <c r="G855" s="8" t="n"/>
      <c r="H855" s="14" t="n"/>
      <c r="I855" s="15">
        <f>IF($H855="","",$H855-TODAY())</f>
        <v/>
      </c>
      <c r="J855" s="16" t="inlineStr">
        <is>
          <t>Open posting</t>
        </is>
      </c>
      <c r="K855" s="8" t="inlineStr">
        <is>
          <t>filtered by keyword pre-scan</t>
        </is>
      </c>
      <c r="L855" s="17" t="inlineStr">
        <is>
          <t>new</t>
        </is>
      </c>
      <c r="M855" s="18" t="inlineStr"/>
      <c r="N855" s="7" t="inlineStr">
        <is>
          <t>15f6c6191961b5b985017dd4dc5145aab6bb21c8</t>
        </is>
      </c>
      <c r="O855" s="14" t="n">
        <v>46177</v>
      </c>
      <c r="P855" s="7" t="inlineStr">
        <is>
          <t>jobspy</t>
        </is>
      </c>
      <c r="Q855" s="8" t="inlineStr">
        <is>
          <t>fpga, git, c</t>
        </is>
      </c>
      <c r="R855" s="8" t="inlineStr">
        <is>
          <t>Graduate Embedded Engineer Python FPGA</t>
        </is>
      </c>
      <c r="S855" s="19" t="n"/>
      <c r="T855" s="19" t="n"/>
      <c r="U855" s="14" t="n">
        <v>46192</v>
      </c>
      <c r="V855" s="7" t="inlineStr">
        <is>
          <t>v2-cv-accuracy-13b988b18da8ea7d</t>
        </is>
      </c>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1.29</v>
      </c>
      <c r="C856" s="12" t="inlineStr">
        <is>
          <t>Junior</t>
        </is>
      </c>
      <c r="D856" s="8" t="inlineStr">
        <is>
          <t>Junior Data Engineer</t>
        </is>
      </c>
      <c r="E856" s="7" t="inlineStr">
        <is>
          <t>Aquis Exchange</t>
        </is>
      </c>
      <c r="F856" s="8" t="inlineStr">
        <is>
          <t>London, ENG, GB</t>
        </is>
      </c>
      <c r="G856" s="8" t="n"/>
      <c r="H856" s="14" t="n"/>
      <c r="I856" s="15">
        <f>IF($H856="","",$H856-TODAY())</f>
        <v/>
      </c>
      <c r="J856" s="16" t="inlineStr">
        <is>
          <t>Open posting</t>
        </is>
      </c>
      <c r="K856" s="8" t="inlineStr">
        <is>
          <t>filtered by keyword pre-scan</t>
        </is>
      </c>
      <c r="L856" s="17" t="inlineStr">
        <is>
          <t>new</t>
        </is>
      </c>
      <c r="M856" s="18" t="inlineStr"/>
      <c r="N856" s="7" t="inlineStr">
        <is>
          <t>900ae57bed5e297d7e4cc2c520391b798d9b43e4</t>
        </is>
      </c>
      <c r="O856" s="14" t="n">
        <v>46183</v>
      </c>
      <c r="P856" s="7" t="inlineStr">
        <is>
          <t>jobspy</t>
        </is>
      </c>
      <c r="Q856" s="8" t="inlineStr">
        <is>
          <t>python, sql, c</t>
        </is>
      </c>
      <c r="R856" s="8" t="inlineStr">
        <is>
          <t>Graduate Data Engineer SQL Python pipeline</t>
        </is>
      </c>
      <c r="S856" s="19" t="n"/>
      <c r="T856" s="19" t="n"/>
      <c r="U856" s="14" t="n">
        <v>46192</v>
      </c>
      <c r="V856" s="7" t="inlineStr">
        <is>
          <t>v2-cv-accuracy-13b988b18da8ea7d</t>
        </is>
      </c>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1.29</v>
      </c>
      <c r="C857" s="12" t="inlineStr">
        <is>
          <t>Junior</t>
        </is>
      </c>
      <c r="D857" s="8" t="inlineStr">
        <is>
          <t>Junior Data Engineer</t>
        </is>
      </c>
      <c r="E857" s="7" t="inlineStr">
        <is>
          <t>Aquis Exchange</t>
        </is>
      </c>
      <c r="F857" s="8" t="inlineStr">
        <is>
          <t>London, England, UK</t>
        </is>
      </c>
      <c r="G857" s="8" t="n"/>
      <c r="H857" s="14" t="n"/>
      <c r="I857" s="15">
        <f>IF($H857="","",$H857-TODAY())</f>
        <v/>
      </c>
      <c r="J857" s="16" t="inlineStr">
        <is>
          <t>Open posting</t>
        </is>
      </c>
      <c r="K857" s="8" t="inlineStr">
        <is>
          <t>filtered by keyword pre-scan</t>
        </is>
      </c>
      <c r="L857" s="17" t="inlineStr">
        <is>
          <t>new</t>
        </is>
      </c>
      <c r="M857" s="18" t="inlineStr"/>
      <c r="N857" s="7" t="inlineStr">
        <is>
          <t>d9a3aafa61886a37b1b973987ab8eff88a0c9c89</t>
        </is>
      </c>
      <c r="O857" s="14" t="n">
        <v>46184</v>
      </c>
      <c r="P857" s="7" t="inlineStr">
        <is>
          <t>jobspy</t>
        </is>
      </c>
      <c r="Q857" s="8" t="inlineStr">
        <is>
          <t>python, sql, c</t>
        </is>
      </c>
      <c r="R857" s="8" t="inlineStr">
        <is>
          <t>Graduate Data Engineer SQL Python pipeline</t>
        </is>
      </c>
      <c r="S857" s="19" t="n"/>
      <c r="T857" s="19" t="n"/>
      <c r="U857" s="14" t="n">
        <v>46192</v>
      </c>
      <c r="V857" s="7" t="inlineStr">
        <is>
          <t>v2-cv-accuracy-13b988b18da8ea7d</t>
        </is>
      </c>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1.29</v>
      </c>
      <c r="C858" s="12" t="inlineStr">
        <is>
          <t>Mid-level</t>
        </is>
      </c>
      <c r="D858" s="8" t="inlineStr">
        <is>
          <t>Quantitative Developer</t>
        </is>
      </c>
      <c r="E858" s="7" t="inlineStr">
        <is>
          <t>Engelhart</t>
        </is>
      </c>
      <c r="F858" s="8" t="inlineStr">
        <is>
          <t>London, England, UK</t>
        </is>
      </c>
      <c r="G858" s="8" t="n"/>
      <c r="H858" s="14" t="n"/>
      <c r="I858" s="15">
        <f>IF($H858="","",$H858-TODAY())</f>
        <v/>
      </c>
      <c r="J858" s="16" t="inlineStr">
        <is>
          <t>Open posting</t>
        </is>
      </c>
      <c r="K858" s="8" t="inlineStr">
        <is>
          <t>filtered by keyword pre-scan</t>
        </is>
      </c>
      <c r="L858" s="17" t="inlineStr">
        <is>
          <t>new</t>
        </is>
      </c>
      <c r="M858" s="18" t="inlineStr"/>
      <c r="N858" s="7" t="inlineStr">
        <is>
          <t>20eff3ea1bd30e988d58546b11a4905a87bc125d</t>
        </is>
      </c>
      <c r="O858" s="14" t="n">
        <v>46178</v>
      </c>
      <c r="P858" s="7" t="inlineStr">
        <is>
          <t>jobspy</t>
        </is>
      </c>
      <c r="Q858" s="8" t="inlineStr">
        <is>
          <t>python, sql, c</t>
        </is>
      </c>
      <c r="R858" s="8" t="inlineStr">
        <is>
          <t>Graduate Data Engineer SQL Python pipeline</t>
        </is>
      </c>
      <c r="S858" s="19" t="n"/>
      <c r="T858" s="19" t="n"/>
      <c r="U858" s="14" t="n">
        <v>46192</v>
      </c>
      <c r="V858" s="7" t="inlineStr">
        <is>
          <t>v2-cv-accuracy-13b988b18da8ea7d</t>
        </is>
      </c>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1.29</v>
      </c>
      <c r="C859" s="12" t="inlineStr">
        <is>
          <t>Senior/Lead</t>
        </is>
      </c>
      <c r="D859" s="8" t="inlineStr">
        <is>
          <t>Engineer</t>
        </is>
      </c>
      <c r="E859" s="7" t="inlineStr">
        <is>
          <t>Roke</t>
        </is>
      </c>
      <c r="F859" s="8" t="inlineStr">
        <is>
          <t>Romsey, England, UK</t>
        </is>
      </c>
      <c r="G859" s="8" t="n"/>
      <c r="H859" s="14" t="n"/>
      <c r="I859" s="15">
        <f>IF($H859="","",$H859-TODAY())</f>
        <v/>
      </c>
      <c r="J859" s="16" t="inlineStr">
        <is>
          <t>Open posting</t>
        </is>
      </c>
      <c r="K859" s="8" t="inlineStr">
        <is>
          <t>filtered by keyword pre-scan</t>
        </is>
      </c>
      <c r="L859" s="17" t="inlineStr">
        <is>
          <t>new</t>
        </is>
      </c>
      <c r="M859" s="18" t="inlineStr"/>
      <c r="N859" s="7" t="inlineStr">
        <is>
          <t>da8385da9c50d6bcabae8622d1bca173f4178029</t>
        </is>
      </c>
      <c r="O859" s="14" t="n">
        <v>46176</v>
      </c>
      <c r="P859" s="7" t="inlineStr">
        <is>
          <t>jobspy</t>
        </is>
      </c>
      <c r="Q859" s="8" t="inlineStr">
        <is>
          <t>python, fpga, c</t>
        </is>
      </c>
      <c r="R859" s="8" t="inlineStr">
        <is>
          <t>Graduate Electronics Engineer remote UK</t>
        </is>
      </c>
      <c r="S859" s="19" t="n"/>
      <c r="T859" s="19" t="n"/>
      <c r="U859" s="14" t="n">
        <v>46192</v>
      </c>
      <c r="V859" s="7" t="inlineStr">
        <is>
          <t>v2-cv-accuracy-13b988b18da8ea7d</t>
        </is>
      </c>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1.29</v>
      </c>
      <c r="C860" s="12" t="inlineStr">
        <is>
          <t>Junior</t>
        </is>
      </c>
      <c r="D860" s="8" t="inlineStr">
        <is>
          <t>Junior Embedded Software Engineer</t>
        </is>
      </c>
      <c r="E860" s="7" t="inlineStr">
        <is>
          <t>BOTZ</t>
        </is>
      </c>
      <c r="F860" s="8" t="inlineStr">
        <is>
          <t>London, ENG, GB</t>
        </is>
      </c>
      <c r="G860" s="8" t="n"/>
      <c r="H860" s="14" t="n"/>
      <c r="I860" s="15">
        <f>IF($H860="","",$H860-TODAY())</f>
        <v/>
      </c>
      <c r="J860" s="16" t="inlineStr">
        <is>
          <t>Open posting</t>
        </is>
      </c>
      <c r="K860" s="8" t="inlineStr">
        <is>
          <t>filtered by keyword pre-scan</t>
        </is>
      </c>
      <c r="L860" s="17" t="inlineStr">
        <is>
          <t>new</t>
        </is>
      </c>
      <c r="M860" s="18" t="inlineStr"/>
      <c r="N860" s="7" t="inlineStr">
        <is>
          <t>d6f22cd171d2ee07b1320138d65bd948bcc33526</t>
        </is>
      </c>
      <c r="O860" s="14" t="n">
        <v>46164</v>
      </c>
      <c r="P860" s="7" t="inlineStr">
        <is>
          <t>jobspy</t>
        </is>
      </c>
      <c r="Q860" s="8" t="inlineStr">
        <is>
          <t>python, git, c</t>
        </is>
      </c>
      <c r="R860" s="8" t="inlineStr">
        <is>
          <t>Junior Embedded Systems Engineer Python C</t>
        </is>
      </c>
      <c r="S860" s="19" t="n"/>
      <c r="T860" s="19" t="n"/>
      <c r="U860" s="14" t="n">
        <v>46192</v>
      </c>
      <c r="V860" s="7" t="inlineStr">
        <is>
          <t>v2-cv-accuracy-13b988b18da8ea7d</t>
        </is>
      </c>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1.29</v>
      </c>
      <c r="C861" s="12" t="inlineStr">
        <is>
          <t>Unspecified</t>
        </is>
      </c>
      <c r="D861" s="8" t="inlineStr">
        <is>
          <t>Embedded Software Engineer</t>
        </is>
      </c>
      <c r="E861" s="7" t="inlineStr">
        <is>
          <t>Surrey Satellite Technology Ltd (SSTL)</t>
        </is>
      </c>
      <c r="F861" s="8" t="inlineStr">
        <is>
          <t>Surrey, England, UK</t>
        </is>
      </c>
      <c r="G861" s="8" t="n"/>
      <c r="H861" s="14" t="n"/>
      <c r="I861" s="15">
        <f>IF($H861="","",$H861-TODAY())</f>
        <v/>
      </c>
      <c r="J861" s="16" t="inlineStr">
        <is>
          <t>Open posting</t>
        </is>
      </c>
      <c r="K861" s="8" t="inlineStr">
        <is>
          <t>filtered by keyword pre-scan</t>
        </is>
      </c>
      <c r="L861" s="17" t="inlineStr">
        <is>
          <t>new</t>
        </is>
      </c>
      <c r="M861" s="18" t="inlineStr"/>
      <c r="N861" s="7" t="inlineStr">
        <is>
          <t>0a1473981f0a8df1406e572804dc82239a6b4220</t>
        </is>
      </c>
      <c r="O861" s="14" t="n">
        <v>46183</v>
      </c>
      <c r="P861" s="7" t="inlineStr">
        <is>
          <t>jobspy</t>
        </is>
      </c>
      <c r="Q861" s="8" t="inlineStr">
        <is>
          <t>python, git, c</t>
        </is>
      </c>
      <c r="R861" s="8" t="inlineStr">
        <is>
          <t>Junior Embedded Systems Engineer Python C</t>
        </is>
      </c>
      <c r="S861" s="19" t="n"/>
      <c r="T861" s="19" t="n"/>
      <c r="U861" s="14" t="n">
        <v>46192</v>
      </c>
      <c r="V861" s="7" t="inlineStr">
        <is>
          <t>v2-cv-accuracy-13b988b18da8ea7d</t>
        </is>
      </c>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1.29</v>
      </c>
      <c r="C862" s="12" t="inlineStr">
        <is>
          <t>Apprentice/Trainee</t>
        </is>
      </c>
      <c r="D862" s="8" t="inlineStr">
        <is>
          <t>Trainee Support Engineer</t>
        </is>
      </c>
      <c r="E862" s="7" t="inlineStr">
        <is>
          <t>OAL</t>
        </is>
      </c>
      <c r="F862" s="8" t="inlineStr">
        <is>
          <t>Peterborough, England, UK</t>
        </is>
      </c>
      <c r="G862" s="8" t="n"/>
      <c r="H862" s="14" t="n"/>
      <c r="I862" s="15">
        <f>IF($H862="","",$H862-TODAY())</f>
        <v/>
      </c>
      <c r="J862" s="16" t="inlineStr">
        <is>
          <t>Open posting</t>
        </is>
      </c>
      <c r="K862" s="8" t="inlineStr">
        <is>
          <t>filtered by keyword pre-scan</t>
        </is>
      </c>
      <c r="L862" s="17" t="inlineStr">
        <is>
          <t>new</t>
        </is>
      </c>
      <c r="M862" s="18" t="inlineStr"/>
      <c r="N862" s="7" t="inlineStr">
        <is>
          <t>be98b3e4d697484d3555239c19921004efecc012</t>
        </is>
      </c>
      <c r="O862" s="14" t="n">
        <v>46189</v>
      </c>
      <c r="P862" s="7" t="inlineStr">
        <is>
          <t>jobspy</t>
        </is>
      </c>
      <c r="Q862" s="8" t="inlineStr">
        <is>
          <t>sql, git, c</t>
        </is>
      </c>
      <c r="R862" s="8" t="inlineStr">
        <is>
          <t>Graduate Systems Engineer hardware software</t>
        </is>
      </c>
      <c r="S862" s="19" t="n"/>
      <c r="T862" s="19" t="n"/>
      <c r="U862" s="14" t="n">
        <v>46192</v>
      </c>
      <c r="V862" s="7" t="inlineStr">
        <is>
          <t>v2-cv-accuracy-13b988b18da8ea7d</t>
        </is>
      </c>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1.29</v>
      </c>
      <c r="C863" s="12" t="inlineStr">
        <is>
          <t>Mid-level</t>
        </is>
      </c>
      <c r="D863" s="8" t="inlineStr">
        <is>
          <t>Product Definer/Systems Engineer</t>
        </is>
      </c>
      <c r="E863" s="7" t="inlineStr">
        <is>
          <t>Renesas Electronics</t>
        </is>
      </c>
      <c r="F863" s="8" t="inlineStr">
        <is>
          <t>Edinburgh, Scotland, UK</t>
        </is>
      </c>
      <c r="G863" s="8" t="n"/>
      <c r="H863" s="14" t="n"/>
      <c r="I863" s="15">
        <f>IF($H863="","",$H863-TODAY())</f>
        <v/>
      </c>
      <c r="J863" s="16" t="inlineStr">
        <is>
          <t>Open posting</t>
        </is>
      </c>
      <c r="K863" s="8" t="inlineStr">
        <is>
          <t>filtered by keyword pre-scan</t>
        </is>
      </c>
      <c r="L863" s="17" t="inlineStr">
        <is>
          <t>new</t>
        </is>
      </c>
      <c r="M863" s="18" t="inlineStr"/>
      <c r="N863" s="7" t="inlineStr">
        <is>
          <t>66652a54603e8107c7d938b9bf63b35d66b47036</t>
        </is>
      </c>
      <c r="O863" s="14" t="n">
        <v>46176</v>
      </c>
      <c r="P863" s="7" t="inlineStr">
        <is>
          <t>jobspy</t>
        </is>
      </c>
      <c r="Q863" s="8" t="inlineStr">
        <is>
          <t>fpga, git, c</t>
        </is>
      </c>
      <c r="R863" s="8" t="inlineStr">
        <is>
          <t>Graduate Systems Engineer hardware software</t>
        </is>
      </c>
      <c r="S863" s="19" t="n"/>
      <c r="T863" s="19" t="n"/>
      <c r="U863" s="14" t="n">
        <v>46192</v>
      </c>
      <c r="V863" s="7" t="inlineStr">
        <is>
          <t>v2-cv-accuracy-13b988b18da8ea7d</t>
        </is>
      </c>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1.29</v>
      </c>
      <c r="C864" s="12" t="inlineStr">
        <is>
          <t>Unspecified</t>
        </is>
      </c>
      <c r="D864" s="8" t="inlineStr">
        <is>
          <t>Python Engineer</t>
        </is>
      </c>
      <c r="E864" s="7" t="inlineStr">
        <is>
          <t>Zero Deposit</t>
        </is>
      </c>
      <c r="F864" s="8" t="inlineStr">
        <is>
          <t>Hitchin, England, UK</t>
        </is>
      </c>
      <c r="G864" s="8" t="n"/>
      <c r="H864" s="14" t="n"/>
      <c r="I864" s="15">
        <f>IF($H864="","",$H864-TODAY())</f>
        <v/>
      </c>
      <c r="J864" s="16" t="inlineStr">
        <is>
          <t>Open posting</t>
        </is>
      </c>
      <c r="K864" s="8" t="inlineStr">
        <is>
          <t>filtered by keyword pre-scan</t>
        </is>
      </c>
      <c r="L864" s="17" t="inlineStr">
        <is>
          <t>new</t>
        </is>
      </c>
      <c r="M864" s="18" t="inlineStr"/>
      <c r="N864" s="7" t="inlineStr">
        <is>
          <t>e30e2d71cce82cec12a234e62076bc7943e6986c</t>
        </is>
      </c>
      <c r="O864" s="14" t="n"/>
      <c r="P864" s="7" t="inlineStr">
        <is>
          <t>jobspy</t>
        </is>
      </c>
      <c r="Q864" s="8" t="inlineStr">
        <is>
          <t>python, sql, c</t>
        </is>
      </c>
      <c r="R864" s="8" t="inlineStr">
        <is>
          <t>Junior Python Developer Docker Kubernetes Sheffield</t>
        </is>
      </c>
      <c r="S864" s="19" t="n"/>
      <c r="T864" s="19" t="n"/>
      <c r="U864" s="14" t="n">
        <v>46192</v>
      </c>
      <c r="V864" s="7" t="inlineStr">
        <is>
          <t>v2-cv-accuracy-13b988b18da8ea7d</t>
        </is>
      </c>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1.29</v>
      </c>
      <c r="C865" s="12" t="inlineStr">
        <is>
          <t>Mid-level</t>
        </is>
      </c>
      <c r="D865" s="8" t="inlineStr">
        <is>
          <t>Data Engineer</t>
        </is>
      </c>
      <c r="E865" s="7" t="inlineStr">
        <is>
          <t>Pioneer Search</t>
        </is>
      </c>
      <c r="F865" s="8" t="inlineStr">
        <is>
          <t>City Of London, England, UK</t>
        </is>
      </c>
      <c r="G865" s="8" t="n"/>
      <c r="H865" s="14" t="n"/>
      <c r="I865" s="15">
        <f>IF($H865="","",$H865-TODAY())</f>
        <v/>
      </c>
      <c r="J865" s="16" t="inlineStr">
        <is>
          <t>Open posting</t>
        </is>
      </c>
      <c r="K865" s="8" t="inlineStr">
        <is>
          <t>filtered by keyword pre-scan</t>
        </is>
      </c>
      <c r="L865" s="17" t="inlineStr">
        <is>
          <t>new</t>
        </is>
      </c>
      <c r="M865" s="18" t="inlineStr"/>
      <c r="N865" s="7" t="inlineStr">
        <is>
          <t>1c159f38c814f3a0e3d11283c2c67410c508fe4c</t>
        </is>
      </c>
      <c r="O865" s="14" t="n"/>
      <c r="P865" s="7" t="inlineStr">
        <is>
          <t>jobspy</t>
        </is>
      </c>
      <c r="Q865" s="8" t="inlineStr">
        <is>
          <t>python, sql, c</t>
        </is>
      </c>
      <c r="R865" s="8" t="inlineStr">
        <is>
          <t>Graduate Data Engineer SQL Python pipeline</t>
        </is>
      </c>
      <c r="S865" s="19" t="n"/>
      <c r="T865" s="19" t="n"/>
      <c r="U865" s="14" t="n">
        <v>46192</v>
      </c>
      <c r="V865" s="7" t="inlineStr">
        <is>
          <t>v2-cv-accuracy-13b988b18da8ea7d</t>
        </is>
      </c>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1.29</v>
      </c>
      <c r="C866" s="12" t="inlineStr">
        <is>
          <t>Senior/Lead</t>
        </is>
      </c>
      <c r="D866" s="8" t="inlineStr">
        <is>
          <t>Embedded Software Engineer (C++17) Global Gas Sensing</t>
        </is>
      </c>
      <c r="E866" s="7" t="inlineStr">
        <is>
          <t>Servomex</t>
        </is>
      </c>
      <c r="F866" s="8" t="inlineStr">
        <is>
          <t>Crowborough, England, UK</t>
        </is>
      </c>
      <c r="G866" s="8" t="n"/>
      <c r="H866" s="14" t="n"/>
      <c r="I866" s="15">
        <f>IF($H866="","",$H866-TODAY())</f>
        <v/>
      </c>
      <c r="J866" s="16" t="inlineStr">
        <is>
          <t>Open posting</t>
        </is>
      </c>
      <c r="K866" s="8" t="inlineStr">
        <is>
          <t>filtered by keyword pre-scan</t>
        </is>
      </c>
      <c r="L866" s="17" t="inlineStr">
        <is>
          <t>new</t>
        </is>
      </c>
      <c r="M866" s="18" t="inlineStr"/>
      <c r="N866" s="7" t="inlineStr">
        <is>
          <t>859ac121d6b7a1c616831e61f25229385f3aaabd</t>
        </is>
      </c>
      <c r="O866" s="14" t="n">
        <v>46191</v>
      </c>
      <c r="P866" s="7" t="inlineStr">
        <is>
          <t>jobspy</t>
        </is>
      </c>
      <c r="Q866" s="8" t="inlineStr">
        <is>
          <t>python, stm32, c</t>
        </is>
      </c>
      <c r="R866" s="8" t="inlineStr">
        <is>
          <t>Junior Embedded Software Engineer STM32</t>
        </is>
      </c>
      <c r="S866" s="19" t="n"/>
      <c r="T866" s="19" t="n"/>
      <c r="U866" s="14" t="n">
        <v>46192</v>
      </c>
      <c r="V866" s="7" t="inlineStr">
        <is>
          <t>v2-cv-accuracy-13b988b18da8ea7d</t>
        </is>
      </c>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1.29</v>
      </c>
      <c r="C867" s="12" t="inlineStr">
        <is>
          <t>Unspecified</t>
        </is>
      </c>
      <c r="D867" s="8" t="inlineStr">
        <is>
          <t>Software Engineer</t>
        </is>
      </c>
      <c r="E867" s="7" t="inlineStr">
        <is>
          <t>Raspberry Pi</t>
        </is>
      </c>
      <c r="F867" s="8" t="inlineStr">
        <is>
          <t>Cambridge, ENG, GB</t>
        </is>
      </c>
      <c r="G867" s="8" t="n"/>
      <c r="H867" s="14" t="n"/>
      <c r="I867" s="15">
        <f>IF($H867="","",$H867-TODAY())</f>
        <v/>
      </c>
      <c r="J867" s="16" t="inlineStr">
        <is>
          <t>Open posting</t>
        </is>
      </c>
      <c r="K867" s="8" t="inlineStr">
        <is>
          <t>filtered by keyword pre-scan</t>
        </is>
      </c>
      <c r="L867" s="17" t="inlineStr">
        <is>
          <t>new</t>
        </is>
      </c>
      <c r="M867" s="18" t="inlineStr"/>
      <c r="N867" s="7" t="inlineStr">
        <is>
          <t>0ee6fecc023a0f0367ad51d8b2b6434d57f78608</t>
        </is>
      </c>
      <c r="O867" s="14" t="n">
        <v>46188</v>
      </c>
      <c r="P867" s="7" t="inlineStr">
        <is>
          <t>jobspy</t>
        </is>
      </c>
      <c r="Q867" s="8" t="inlineStr">
        <is>
          <t>raspberry pi, git, c</t>
        </is>
      </c>
      <c r="R867" s="8" t="inlineStr">
        <is>
          <t>Firmware Engineer Raspberry Pi embedded</t>
        </is>
      </c>
      <c r="S867" s="19" t="n"/>
      <c r="T867" s="19" t="n"/>
      <c r="U867" s="14" t="n">
        <v>46192</v>
      </c>
      <c r="V867" s="7" t="inlineStr">
        <is>
          <t>v2-cv-accuracy-13b988b18da8ea7d</t>
        </is>
      </c>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1.29</v>
      </c>
      <c r="C868" s="12" t="inlineStr">
        <is>
          <t>Unspecified</t>
        </is>
      </c>
      <c r="D868" s="8" t="inlineStr">
        <is>
          <t>Software Engineer</t>
        </is>
      </c>
      <c r="E868" s="7" t="inlineStr">
        <is>
          <t>Raspberry Pi</t>
        </is>
      </c>
      <c r="F868" s="8" t="inlineStr">
        <is>
          <t>Cambridge, England, UK</t>
        </is>
      </c>
      <c r="G868" s="8" t="n"/>
      <c r="H868" s="14" t="n"/>
      <c r="I868" s="15">
        <f>IF($H868="","",$H868-TODAY())</f>
        <v/>
      </c>
      <c r="J868" s="16" t="inlineStr">
        <is>
          <t>Open posting</t>
        </is>
      </c>
      <c r="K868" s="8" t="inlineStr">
        <is>
          <t>filtered by keyword pre-scan</t>
        </is>
      </c>
      <c r="L868" s="17" t="inlineStr">
        <is>
          <t>new</t>
        </is>
      </c>
      <c r="M868" s="18" t="inlineStr"/>
      <c r="N868" s="7" t="inlineStr">
        <is>
          <t>63b4e3611cf8dd55cc69fd7a3eb3d4414b2fac53</t>
        </is>
      </c>
      <c r="O868" s="14" t="n">
        <v>46188</v>
      </c>
      <c r="P868" s="7" t="inlineStr">
        <is>
          <t>jobspy</t>
        </is>
      </c>
      <c r="Q868" s="8" t="inlineStr">
        <is>
          <t>raspberry pi, git, c</t>
        </is>
      </c>
      <c r="R868" s="8" t="inlineStr">
        <is>
          <t>Firmware Engineer Raspberry Pi embedded</t>
        </is>
      </c>
      <c r="S868" s="19" t="n"/>
      <c r="T868" s="19" t="n"/>
      <c r="U868" s="14" t="n">
        <v>46192</v>
      </c>
      <c r="V868" s="7" t="inlineStr">
        <is>
          <t>v2-cv-accuracy-13b988b18da8ea7d</t>
        </is>
      </c>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1.29</v>
      </c>
      <c r="C869" s="12" t="inlineStr">
        <is>
          <t>Mid-level</t>
        </is>
      </c>
      <c r="D869" s="8" t="inlineStr">
        <is>
          <t>Embedded Software Engineer</t>
        </is>
      </c>
      <c r="E869" s="7" t="inlineStr">
        <is>
          <t>Future Talent Group</t>
        </is>
      </c>
      <c r="F869" s="8" t="inlineStr">
        <is>
          <t>Greater Bristol Area, United Kingdom</t>
        </is>
      </c>
      <c r="G869" s="8" t="n"/>
      <c r="H869" s="14" t="n"/>
      <c r="I869" s="15">
        <f>IF($H869="","",$H869-TODAY())</f>
        <v/>
      </c>
      <c r="J869" s="16" t="inlineStr">
        <is>
          <t>Open posting</t>
        </is>
      </c>
      <c r="K869" s="8" t="inlineStr">
        <is>
          <t>filtered by keyword pre-scan</t>
        </is>
      </c>
      <c r="L869" s="17" t="inlineStr">
        <is>
          <t>new</t>
        </is>
      </c>
      <c r="M869" s="18" t="inlineStr"/>
      <c r="N869" s="7" t="inlineStr">
        <is>
          <t>588bfeaaf3ec762cce84ebce212ebef095908373</t>
        </is>
      </c>
      <c r="O869" s="14" t="n">
        <v>46183</v>
      </c>
      <c r="P869" s="7" t="inlineStr">
        <is>
          <t>jobspy</t>
        </is>
      </c>
      <c r="Q869" s="8" t="inlineStr">
        <is>
          <t>raspberry pi, c, embedded systems</t>
        </is>
      </c>
      <c r="R869" s="8" t="inlineStr">
        <is>
          <t>Firmware Engineer Raspberry Pi embedded</t>
        </is>
      </c>
      <c r="S869" s="19" t="n"/>
      <c r="T869" s="19" t="n"/>
      <c r="U869" s="14" t="n">
        <v>46192</v>
      </c>
      <c r="V869" s="7" t="inlineStr">
        <is>
          <t>v2-cv-accuracy-13b988b18da8ea7d</t>
        </is>
      </c>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1.29</v>
      </c>
      <c r="C870" s="12" t="inlineStr">
        <is>
          <t>Junior</t>
        </is>
      </c>
      <c r="D870" s="8" t="inlineStr">
        <is>
          <t>Junior Embedded Software Engineer</t>
        </is>
      </c>
      <c r="E870" s="7" t="inlineStr">
        <is>
          <t>morph.</t>
        </is>
      </c>
      <c r="F870" s="8" t="inlineStr">
        <is>
          <t>London, England, UK</t>
        </is>
      </c>
      <c r="G870" s="8" t="n"/>
      <c r="H870" s="14" t="n"/>
      <c r="I870" s="15">
        <f>IF($H870="","",$H870-TODAY())</f>
        <v/>
      </c>
      <c r="J870" s="16" t="inlineStr">
        <is>
          <t>Open posting</t>
        </is>
      </c>
      <c r="K870" s="8" t="inlineStr">
        <is>
          <t>filtered by keyword pre-scan</t>
        </is>
      </c>
      <c r="L870" s="17" t="inlineStr">
        <is>
          <t>new</t>
        </is>
      </c>
      <c r="M870" s="18" t="inlineStr"/>
      <c r="N870" s="7" t="inlineStr">
        <is>
          <t>04f4bcbcef41b2f0238a356acab234fd9051eba5</t>
        </is>
      </c>
      <c r="O870" s="14" t="n">
        <v>46164</v>
      </c>
      <c r="P870" s="7" t="inlineStr">
        <is>
          <t>jobspy</t>
        </is>
      </c>
      <c r="Q870" s="8" t="inlineStr">
        <is>
          <t>python, git, c</t>
        </is>
      </c>
      <c r="R870" s="8" t="inlineStr">
        <is>
          <t>Embedded Software Engineer C Python graduate</t>
        </is>
      </c>
      <c r="S870" s="19" t="n"/>
      <c r="T870" s="19" t="n"/>
      <c r="U870" s="14" t="n">
        <v>46192</v>
      </c>
      <c r="V870" s="7" t="inlineStr">
        <is>
          <t>v2-cv-accuracy-13b988b18da8ea7d</t>
        </is>
      </c>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1.29</v>
      </c>
      <c r="C871" s="12" t="inlineStr">
        <is>
          <t>Junior</t>
        </is>
      </c>
      <c r="D871" s="8" t="inlineStr">
        <is>
          <t>Junior Data Engineer</t>
        </is>
      </c>
      <c r="E871" s="7" t="inlineStr">
        <is>
          <t>Harrington Starr</t>
        </is>
      </c>
      <c r="F871" s="8" t="inlineStr">
        <is>
          <t>London Area, United Kingdom</t>
        </is>
      </c>
      <c r="G871" s="8" t="n"/>
      <c r="H871" s="14" t="n"/>
      <c r="I871" s="15">
        <f>IF($H871="","",$H871-TODAY())</f>
        <v/>
      </c>
      <c r="J871" s="16" t="inlineStr">
        <is>
          <t>Open posting</t>
        </is>
      </c>
      <c r="K871" s="8" t="inlineStr">
        <is>
          <t>filtered by keyword pre-scan</t>
        </is>
      </c>
      <c r="L871" s="17" t="inlineStr">
        <is>
          <t>new</t>
        </is>
      </c>
      <c r="M871" s="18" t="inlineStr"/>
      <c r="N871" s="7" t="inlineStr">
        <is>
          <t>24cb3a14d33f9fc051b9d2bb9201bf345c518527</t>
        </is>
      </c>
      <c r="O871" s="14" t="n">
        <v>46188</v>
      </c>
      <c r="P871" s="7" t="inlineStr">
        <is>
          <t>jobspy</t>
        </is>
      </c>
      <c r="Q871" s="8" t="inlineStr">
        <is>
          <t>python, sql, c</t>
        </is>
      </c>
      <c r="R871" s="8" t="inlineStr">
        <is>
          <t>Graduate Data Engineer SQL Python pipeline</t>
        </is>
      </c>
      <c r="S871" s="19" t="n"/>
      <c r="T871" s="19" t="n"/>
      <c r="U871" s="14" t="n">
        <v>46192</v>
      </c>
      <c r="V871" s="7" t="inlineStr">
        <is>
          <t>v2-cv-accuracy-13b988b18da8ea7d</t>
        </is>
      </c>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1.22</v>
      </c>
      <c r="C872" s="12" t="inlineStr">
        <is>
          <t>Unspecified</t>
        </is>
      </c>
      <c r="D872" s="8" t="inlineStr">
        <is>
          <t>Software Development Engineer - Payment Intelligence team</t>
        </is>
      </c>
      <c r="E872" s="7" t="inlineStr">
        <is>
          <t>GoCardless</t>
        </is>
      </c>
      <c r="F872" s="8" t="inlineStr">
        <is>
          <t>Lisbon, Portugal</t>
        </is>
      </c>
      <c r="G872" s="8" t="n"/>
      <c r="H872" s="14" t="n"/>
      <c r="I872" s="15">
        <f>IF($H872="","",$H872-TODAY())</f>
        <v/>
      </c>
      <c r="J872" s="16" t="inlineStr">
        <is>
          <t>Open posting</t>
        </is>
      </c>
      <c r="K872" s="8" t="inlineStr">
        <is>
          <t>filtered by keyword pre-scan</t>
        </is>
      </c>
      <c r="L872" s="17" t="inlineStr">
        <is>
          <t>new</t>
        </is>
      </c>
      <c r="M872" s="18" t="inlineStr"/>
      <c r="N872" s="7" t="inlineStr">
        <is>
          <t>33f2a9379fbdf7a9c4420f4b3eecb9a90b3617ce</t>
        </is>
      </c>
      <c r="O872" s="14" t="n">
        <v>46192</v>
      </c>
      <c r="P872" s="7" t="inlineStr">
        <is>
          <t>greenhouse:gocardless</t>
        </is>
      </c>
      <c r="Q872" s="8" t="inlineStr">
        <is>
          <t>python, software development</t>
        </is>
      </c>
      <c r="R872" s="8" t="n"/>
      <c r="S872" s="19" t="n"/>
      <c r="T872" s="19" t="n"/>
      <c r="U872" s="14" t="n">
        <v>46192</v>
      </c>
      <c r="V872" s="7" t="inlineStr">
        <is>
          <t>v2-cv-accuracy-13b988b18da8ea7d</t>
        </is>
      </c>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1.22</v>
      </c>
      <c r="C873" s="12" t="inlineStr">
        <is>
          <t>Senior/Lead</t>
        </is>
      </c>
      <c r="D873" s="8" t="inlineStr">
        <is>
          <t>IFRS9 Modeller</t>
        </is>
      </c>
      <c r="E873" s="7" t="inlineStr">
        <is>
          <t>Monzo</t>
        </is>
      </c>
      <c r="F873" s="8" t="inlineStr">
        <is>
          <t>London</t>
        </is>
      </c>
      <c r="G873" s="8" t="n"/>
      <c r="H873" s="14" t="n"/>
      <c r="I873" s="15">
        <f>IF($H873="","",$H873-TODAY())</f>
        <v/>
      </c>
      <c r="J873" s="16" t="inlineStr">
        <is>
          <t>Open posting</t>
        </is>
      </c>
      <c r="K873" s="8" t="inlineStr">
        <is>
          <t>filtered by keyword pre-scan</t>
        </is>
      </c>
      <c r="L873" s="17" t="inlineStr">
        <is>
          <t>new</t>
        </is>
      </c>
      <c r="M873" s="18" t="inlineStr"/>
      <c r="N873" s="7" t="inlineStr">
        <is>
          <t>147889ad0f564109b8eff01f61ecb4f40f1aef5e</t>
        </is>
      </c>
      <c r="O873" s="14" t="n">
        <v>46170</v>
      </c>
      <c r="P873" s="7" t="inlineStr">
        <is>
          <t>greenhouse:monzo</t>
        </is>
      </c>
      <c r="Q873" s="8" t="inlineStr">
        <is>
          <t>python, sql</t>
        </is>
      </c>
      <c r="R873" s="8" t="n"/>
      <c r="S873" s="19" t="n"/>
      <c r="T873" s="19" t="n"/>
      <c r="U873" s="14" t="n">
        <v>46191</v>
      </c>
      <c r="V873" s="7" t="inlineStr">
        <is>
          <t>v2-cv-accuracy-13b988b18da8ea7d</t>
        </is>
      </c>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1.22</v>
      </c>
      <c r="C874" s="12" t="inlineStr">
        <is>
          <t>Graduate/Entry</t>
        </is>
      </c>
      <c r="D874" s="8" t="inlineStr">
        <is>
          <t>Graduate Software Engineer</t>
        </is>
      </c>
      <c r="E874" s="7" t="inlineStr">
        <is>
          <t>Spectrum IT Recruitment</t>
        </is>
      </c>
      <c r="F874" s="8" t="inlineStr">
        <is>
          <t>City Of London, England, UK</t>
        </is>
      </c>
      <c r="G874" s="8" t="n"/>
      <c r="H874" s="14" t="n"/>
      <c r="I874" s="15">
        <f>IF($H874="","",$H874-TODAY())</f>
        <v/>
      </c>
      <c r="J874" s="16" t="inlineStr">
        <is>
          <t>Open posting</t>
        </is>
      </c>
      <c r="K874" s="8" t="inlineStr">
        <is>
          <t>filtered by keyword pre-scan</t>
        </is>
      </c>
      <c r="L874" s="17" t="inlineStr">
        <is>
          <t>new</t>
        </is>
      </c>
      <c r="M874" s="18" t="inlineStr"/>
      <c r="N874" s="7" t="inlineStr">
        <is>
          <t>ba877d57beb25c1f0789fa5088595a03b7324da8</t>
        </is>
      </c>
      <c r="O874" s="14" t="n"/>
      <c r="P874" s="7" t="inlineStr">
        <is>
          <t>jobspy</t>
        </is>
      </c>
      <c r="Q874" s="8" t="inlineStr">
        <is>
          <t>python</t>
        </is>
      </c>
      <c r="R874" s="8" t="inlineStr">
        <is>
          <t>junior/graduate Graduate Software Developer</t>
        </is>
      </c>
      <c r="S874" s="19" t="n"/>
      <c r="T874" s="19" t="n"/>
      <c r="U874" s="14" t="n">
        <v>46191</v>
      </c>
      <c r="V874" s="7" t="inlineStr">
        <is>
          <t>v2-cv-accuracy-13b988b18da8ea7d</t>
        </is>
      </c>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1.22</v>
      </c>
      <c r="C875" s="12" t="inlineStr">
        <is>
          <t>Senior/Lead</t>
        </is>
      </c>
      <c r="D875" s="8" t="inlineStr">
        <is>
          <t>Full Stack Software Engineer (Python)</t>
        </is>
      </c>
      <c r="E875" s="7" t="inlineStr">
        <is>
          <t>Validus Risk Management</t>
        </is>
      </c>
      <c r="F875" s="8" t="inlineStr">
        <is>
          <t>London, England, UK</t>
        </is>
      </c>
      <c r="G875" s="8" t="n"/>
      <c r="H875" s="14" t="n"/>
      <c r="I875" s="15">
        <f>IF($H875="","",$H875-TODAY())</f>
        <v/>
      </c>
      <c r="J875" s="16" t="inlineStr">
        <is>
          <t>Open posting</t>
        </is>
      </c>
      <c r="K875" s="8" t="inlineStr">
        <is>
          <t>filtered by keyword pre-scan</t>
        </is>
      </c>
      <c r="L875" s="17" t="inlineStr">
        <is>
          <t>new</t>
        </is>
      </c>
      <c r="M875" s="18" t="inlineStr"/>
      <c r="N875" s="7" t="inlineStr">
        <is>
          <t>ce19eb055bf80f77fd2ec1f5a38f60de3671281a</t>
        </is>
      </c>
      <c r="O875" s="14" t="n">
        <v>46189</v>
      </c>
      <c r="P875" s="7" t="inlineStr">
        <is>
          <t>jobspy</t>
        </is>
      </c>
      <c r="Q875" s="8" t="inlineStr">
        <is>
          <t>python, software development</t>
        </is>
      </c>
      <c r="R875" s="8" t="inlineStr">
        <is>
          <t>Junior Python Developer</t>
        </is>
      </c>
      <c r="S875" s="19" t="n"/>
      <c r="T875" s="19" t="n"/>
      <c r="U875" s="14" t="n">
        <v>46191</v>
      </c>
      <c r="V875" s="7" t="inlineStr">
        <is>
          <t>v2-cv-accuracy-13b988b18da8ea7d</t>
        </is>
      </c>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1.22</v>
      </c>
      <c r="C876" s="12" t="inlineStr">
        <is>
          <t>Unspecified</t>
        </is>
      </c>
      <c r="D876" s="8" t="inlineStr">
        <is>
          <t>Python Developer - Hedge Fund</t>
        </is>
      </c>
      <c r="E876" s="7" t="inlineStr">
        <is>
          <t>Winston Fox</t>
        </is>
      </c>
      <c r="F876" s="8" t="inlineStr">
        <is>
          <t>London Area, United Kingdom</t>
        </is>
      </c>
      <c r="G876" s="8" t="n"/>
      <c r="H876" s="14" t="n"/>
      <c r="I876" s="15">
        <f>IF($H876="","",$H876-TODAY())</f>
        <v/>
      </c>
      <c r="J876" s="16" t="inlineStr">
        <is>
          <t>Open posting</t>
        </is>
      </c>
      <c r="K876" s="8" t="inlineStr">
        <is>
          <t>filtered by keyword pre-scan</t>
        </is>
      </c>
      <c r="L876" s="17" t="inlineStr">
        <is>
          <t>new</t>
        </is>
      </c>
      <c r="M876" s="18" t="inlineStr"/>
      <c r="N876" s="7" t="inlineStr">
        <is>
          <t>772b79281ac2b07cebd29f17798df4d7059ef8fd</t>
        </is>
      </c>
      <c r="O876" s="14" t="n">
        <v>46161</v>
      </c>
      <c r="P876" s="7" t="inlineStr">
        <is>
          <t>jobspy</t>
        </is>
      </c>
      <c r="Q876" s="8" t="inlineStr">
        <is>
          <t>python, sql</t>
        </is>
      </c>
      <c r="R876" s="8" t="inlineStr">
        <is>
          <t>Junior Python Developer</t>
        </is>
      </c>
      <c r="S876" s="19" t="n"/>
      <c r="T876" s="19" t="n"/>
      <c r="U876" s="14" t="n">
        <v>46191</v>
      </c>
      <c r="V876" s="7" t="inlineStr">
        <is>
          <t>v2-cv-accuracy-13b988b18da8ea7d</t>
        </is>
      </c>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1.22</v>
      </c>
      <c r="C877" s="12" t="inlineStr">
        <is>
          <t>Junior</t>
        </is>
      </c>
      <c r="D877" s="8" t="inlineStr">
        <is>
          <t>Junior Python Developer</t>
        </is>
      </c>
      <c r="E877" s="7" t="inlineStr">
        <is>
          <t>IBM</t>
        </is>
      </c>
      <c r="F877" s="8" t="inlineStr">
        <is>
          <t>Kochi, Kerala, India</t>
        </is>
      </c>
      <c r="G877" s="8" t="n"/>
      <c r="H877" s="14" t="n"/>
      <c r="I877" s="15">
        <f>IF($H877="","",$H877-TODAY())</f>
        <v/>
      </c>
      <c r="J877" s="16" t="inlineStr">
        <is>
          <t>Open posting</t>
        </is>
      </c>
      <c r="K877" s="8" t="inlineStr">
        <is>
          <t>filtered by keyword pre-scan</t>
        </is>
      </c>
      <c r="L877" s="17" t="inlineStr">
        <is>
          <t>new</t>
        </is>
      </c>
      <c r="M877" s="18" t="inlineStr"/>
      <c r="N877" s="7" t="inlineStr">
        <is>
          <t>02fae9691ff60dda1316fe04670e93065bdaddcf</t>
        </is>
      </c>
      <c r="O877" s="14" t="n"/>
      <c r="P877" s="7" t="inlineStr">
        <is>
          <t>jobspy</t>
        </is>
      </c>
      <c r="Q877" s="8" t="inlineStr">
        <is>
          <t>python</t>
        </is>
      </c>
      <c r="R877" s="8" t="inlineStr">
        <is>
          <t>graduate Junior Python Developer</t>
        </is>
      </c>
      <c r="S877" s="19" t="n"/>
      <c r="T877" s="19" t="n"/>
      <c r="U877" s="14" t="n">
        <v>46191</v>
      </c>
      <c r="V877" s="7" t="inlineStr">
        <is>
          <t>v2-cv-accuracy-13b988b18da8ea7d</t>
        </is>
      </c>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1.22</v>
      </c>
      <c r="C878" s="12" t="inlineStr">
        <is>
          <t>Senior/Lead</t>
        </is>
      </c>
      <c r="D878" s="8" t="inlineStr">
        <is>
          <t>Python Developer in Test</t>
        </is>
      </c>
      <c r="E878" s="7" t="inlineStr">
        <is>
          <t>AMD</t>
        </is>
      </c>
      <c r="F878" s="8" t="inlineStr">
        <is>
          <t>Cambridge, England, UK</t>
        </is>
      </c>
      <c r="G878" s="8" t="n"/>
      <c r="H878" s="14" t="n"/>
      <c r="I878" s="15">
        <f>IF($H878="","",$H878-TODAY())</f>
        <v/>
      </c>
      <c r="J878" s="16" t="inlineStr">
        <is>
          <t>Open posting</t>
        </is>
      </c>
      <c r="K878" s="8" t="inlineStr">
        <is>
          <t>filtered by keyword pre-scan</t>
        </is>
      </c>
      <c r="L878" s="17" t="inlineStr">
        <is>
          <t>new</t>
        </is>
      </c>
      <c r="M878" s="18" t="inlineStr"/>
      <c r="N878" s="7" t="inlineStr">
        <is>
          <t>f83dc32dbd05d553bd110c7f8b998e49b9b59562</t>
        </is>
      </c>
      <c r="O878" s="14" t="n">
        <v>46183</v>
      </c>
      <c r="P878" s="7" t="inlineStr">
        <is>
          <t>jobspy</t>
        </is>
      </c>
      <c r="Q878" s="8" t="inlineStr">
        <is>
          <t>python</t>
        </is>
      </c>
      <c r="R878" s="8" t="inlineStr">
        <is>
          <t>entry level Junior Python Developer</t>
        </is>
      </c>
      <c r="S878" s="19" t="n"/>
      <c r="T878" s="19" t="n"/>
      <c r="U878" s="14" t="n">
        <v>46191</v>
      </c>
      <c r="V878" s="7" t="inlineStr">
        <is>
          <t>v2-cv-accuracy-13b988b18da8ea7d</t>
        </is>
      </c>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1.22</v>
      </c>
      <c r="C879" s="12" t="inlineStr">
        <is>
          <t>Unspecified</t>
        </is>
      </c>
      <c r="D879" s="8" t="inlineStr">
        <is>
          <t>Python Simulation Developer | Remote</t>
        </is>
      </c>
      <c r="E879" s="7" t="inlineStr">
        <is>
          <t>Crossing Hurdles</t>
        </is>
      </c>
      <c r="F879" s="8" t="inlineStr"/>
      <c r="G879" s="8" t="n"/>
      <c r="H879" s="14" t="n"/>
      <c r="I879" s="15">
        <f>IF($H879="","",$H879-TODAY())</f>
        <v/>
      </c>
      <c r="J879" s="16" t="inlineStr">
        <is>
          <t>Open posting</t>
        </is>
      </c>
      <c r="K879" s="8" t="inlineStr">
        <is>
          <t>filtered by keyword pre-scan</t>
        </is>
      </c>
      <c r="L879" s="17" t="inlineStr">
        <is>
          <t>new</t>
        </is>
      </c>
      <c r="M879" s="18" t="inlineStr"/>
      <c r="N879" s="7" t="inlineStr">
        <is>
          <t>e19058b225ab1853b087e90bc8f1aa9a05c1da42</t>
        </is>
      </c>
      <c r="O879" s="14" t="n">
        <v>46178</v>
      </c>
      <c r="P879" s="7" t="inlineStr">
        <is>
          <t>jobspy</t>
        </is>
      </c>
      <c r="Q879" s="8" t="inlineStr">
        <is>
          <t>python, git</t>
        </is>
      </c>
      <c r="R879" s="8" t="inlineStr">
        <is>
          <t>Junior Python Developer remote</t>
        </is>
      </c>
      <c r="S879" s="19" t="n"/>
      <c r="T879" s="19" t="n"/>
      <c r="U879" s="14" t="n">
        <v>46191</v>
      </c>
      <c r="V879" s="7" t="inlineStr">
        <is>
          <t>v2-cv-accuracy-13b988b18da8ea7d</t>
        </is>
      </c>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1.22</v>
      </c>
      <c r="C880" s="12" t="inlineStr">
        <is>
          <t>Unspecified</t>
        </is>
      </c>
      <c r="D880" s="8" t="inlineStr">
        <is>
          <t>Python Developer</t>
        </is>
      </c>
      <c r="E880" s="7" t="inlineStr">
        <is>
          <t>Opus Recruitment Solutions</t>
        </is>
      </c>
      <c r="F880" s="8" t="inlineStr"/>
      <c r="G880" s="8" t="n"/>
      <c r="H880" s="14" t="n"/>
      <c r="I880" s="15">
        <f>IF($H880="","",$H880-TODAY())</f>
        <v/>
      </c>
      <c r="J880" s="16" t="inlineStr">
        <is>
          <t>Open posting</t>
        </is>
      </c>
      <c r="K880" s="8" t="inlineStr">
        <is>
          <t>filtered by keyword pre-scan</t>
        </is>
      </c>
      <c r="L880" s="17" t="inlineStr">
        <is>
          <t>new</t>
        </is>
      </c>
      <c r="M880" s="18" t="inlineStr"/>
      <c r="N880" s="7" t="inlineStr">
        <is>
          <t>11d055c3081896b884edaee45840543c279c69cf</t>
        </is>
      </c>
      <c r="O880" s="14" t="n">
        <v>46176</v>
      </c>
      <c r="P880" s="7" t="inlineStr">
        <is>
          <t>jobspy</t>
        </is>
      </c>
      <c r="Q880" s="8" t="inlineStr">
        <is>
          <t>python, rest apis</t>
        </is>
      </c>
      <c r="R880" s="8" t="inlineStr">
        <is>
          <t>Junior Python Developer remote</t>
        </is>
      </c>
      <c r="S880" s="19" t="n"/>
      <c r="T880" s="19" t="n"/>
      <c r="U880" s="14" t="n">
        <v>46191</v>
      </c>
      <c r="V880" s="7" t="inlineStr">
        <is>
          <t>v2-cv-accuracy-13b988b18da8ea7d</t>
        </is>
      </c>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1.22</v>
      </c>
      <c r="C881" s="12" t="inlineStr">
        <is>
          <t>Senior/Lead</t>
        </is>
      </c>
      <c r="D881" s="8" t="inlineStr">
        <is>
          <t>Full Stack Developer (Laravel &amp; React)</t>
        </is>
      </c>
      <c r="E881" s="7" t="inlineStr">
        <is>
          <t>Class Manager</t>
        </is>
      </c>
      <c r="F881" s="8" t="inlineStr">
        <is>
          <t>Exminster, England, UK</t>
        </is>
      </c>
      <c r="G881" s="8" t="n"/>
      <c r="H881" s="14" t="n"/>
      <c r="I881" s="15">
        <f>IF($H881="","",$H881-TODAY())</f>
        <v/>
      </c>
      <c r="J881" s="16" t="inlineStr">
        <is>
          <t>Open posting</t>
        </is>
      </c>
      <c r="K881" s="8" t="inlineStr">
        <is>
          <t>filtered by keyword pre-scan</t>
        </is>
      </c>
      <c r="L881" s="17" t="inlineStr">
        <is>
          <t>new</t>
        </is>
      </c>
      <c r="M881" s="18" t="inlineStr"/>
      <c r="N881" s="7" t="inlineStr">
        <is>
          <t>ccf43b03d43d408839e5d3436b9dd1b4847ca8bf</t>
        </is>
      </c>
      <c r="O881" s="14" t="n">
        <v>46178</v>
      </c>
      <c r="P881" s="7" t="inlineStr">
        <is>
          <t>jobspy</t>
        </is>
      </c>
      <c r="Q881" s="8" t="inlineStr">
        <is>
          <t>sql</t>
        </is>
      </c>
      <c r="R881" s="8" t="inlineStr">
        <is>
          <t>Full Stack Developer</t>
        </is>
      </c>
      <c r="S881" s="19" t="n"/>
      <c r="T881" s="19" t="n"/>
      <c r="U881" s="14" t="n">
        <v>46191</v>
      </c>
      <c r="V881" s="7" t="inlineStr">
        <is>
          <t>v2-cv-accuracy-13b988b18da8ea7d</t>
        </is>
      </c>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1.22</v>
      </c>
      <c r="C882" s="12" t="inlineStr">
        <is>
          <t>Junior</t>
        </is>
      </c>
      <c r="D882" s="8" t="inlineStr">
        <is>
          <t>Full Stack Engineer (£55k–£95k + Equity) at Valyu</t>
        </is>
      </c>
      <c r="E882" s="7" t="inlineStr">
        <is>
          <t>Jack &amp; Jill</t>
        </is>
      </c>
      <c r="F882" s="8" t="inlineStr">
        <is>
          <t>London, England, UK</t>
        </is>
      </c>
      <c r="G882" s="8" t="n"/>
      <c r="H882" s="14" t="n"/>
      <c r="I882" s="15">
        <f>IF($H882="","",$H882-TODAY())</f>
        <v/>
      </c>
      <c r="J882" s="16" t="inlineStr">
        <is>
          <t>Open posting</t>
        </is>
      </c>
      <c r="K882" s="8" t="inlineStr">
        <is>
          <t>filtered by keyword pre-scan</t>
        </is>
      </c>
      <c r="L882" s="17" t="inlineStr">
        <is>
          <t>new</t>
        </is>
      </c>
      <c r="M882" s="18" t="inlineStr"/>
      <c r="N882" s="7" t="inlineStr">
        <is>
          <t>e331f23fc131cb2760d26a9304e430392c00e303</t>
        </is>
      </c>
      <c r="O882" s="14" t="n"/>
      <c r="P882" s="7" t="inlineStr">
        <is>
          <t>jobspy</t>
        </is>
      </c>
      <c r="Q882" s="8" t="inlineStr">
        <is>
          <t>software development</t>
        </is>
      </c>
      <c r="R882" s="8" t="inlineStr">
        <is>
          <t>junior Full Stack Developer</t>
        </is>
      </c>
      <c r="S882" s="19" t="n"/>
      <c r="T882" s="19" t="n"/>
      <c r="U882" s="14" t="n">
        <v>46191</v>
      </c>
      <c r="V882" s="7" t="inlineStr">
        <is>
          <t>v2-cv-accuracy-13b988b18da8ea7d</t>
        </is>
      </c>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1.22</v>
      </c>
      <c r="C883" s="12" t="inlineStr">
        <is>
          <t>Senior/Lead</t>
        </is>
      </c>
      <c r="D883" s="8" t="inlineStr">
        <is>
          <t>R&amp;D Process Developer Engineer</t>
        </is>
      </c>
      <c r="E883" s="7" t="inlineStr">
        <is>
          <t>Unilever</t>
        </is>
      </c>
      <c r="F883" s="8" t="inlineStr">
        <is>
          <t>Leeds, ENG, GB</t>
        </is>
      </c>
      <c r="G883" s="8" t="n"/>
      <c r="H883" s="14" t="n"/>
      <c r="I883" s="15">
        <f>IF($H883="","",$H883-TODAY())</f>
        <v/>
      </c>
      <c r="J883" s="16" t="inlineStr">
        <is>
          <t>Open posting</t>
        </is>
      </c>
      <c r="K883" s="8" t="inlineStr">
        <is>
          <t>filtered by keyword pre-scan</t>
        </is>
      </c>
      <c r="L883" s="17" t="inlineStr">
        <is>
          <t>new</t>
        </is>
      </c>
      <c r="M883" s="18" t="inlineStr"/>
      <c r="N883" s="7" t="inlineStr">
        <is>
          <t>c8b5b95bec88cfe3a902c27b88490c81871976bf</t>
        </is>
      </c>
      <c r="O883" s="14" t="n">
        <v>46191</v>
      </c>
      <c r="P883" s="7" t="inlineStr">
        <is>
          <t>jobspy</t>
        </is>
      </c>
      <c r="Q883" s="8" t="inlineStr">
        <is>
          <t>python, git</t>
        </is>
      </c>
      <c r="R883" s="8" t="inlineStr">
        <is>
          <t>Graduate Software Developer</t>
        </is>
      </c>
      <c r="S883" s="19" t="n"/>
      <c r="T883" s="19" t="n"/>
      <c r="U883" s="14" t="n">
        <v>46191</v>
      </c>
      <c r="V883" s="7" t="inlineStr">
        <is>
          <t>v2-cv-accuracy-13b988b18da8ea7d</t>
        </is>
      </c>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1.22</v>
      </c>
      <c r="C884" s="12" t="inlineStr">
        <is>
          <t>Junior</t>
        </is>
      </c>
      <c r="D884" s="8" t="inlineStr">
        <is>
          <t>Full Stack Engineer (£55k–£95k + Equity) at Valyu</t>
        </is>
      </c>
      <c r="E884" s="7" t="inlineStr">
        <is>
          <t>Jack &amp; Jill</t>
        </is>
      </c>
      <c r="F884" s="8" t="inlineStr">
        <is>
          <t>London, England, UK</t>
        </is>
      </c>
      <c r="G884" s="8" t="n"/>
      <c r="H884" s="14" t="n"/>
      <c r="I884" s="15">
        <f>IF($H884="","",$H884-TODAY())</f>
        <v/>
      </c>
      <c r="J884" s="16" t="inlineStr">
        <is>
          <t>Open posting</t>
        </is>
      </c>
      <c r="K884" s="8" t="inlineStr">
        <is>
          <t>filtered by keyword pre-scan</t>
        </is>
      </c>
      <c r="L884" s="17" t="inlineStr">
        <is>
          <t>new</t>
        </is>
      </c>
      <c r="M884" s="18" t="inlineStr"/>
      <c r="N884" s="7" t="inlineStr">
        <is>
          <t>15a1e3b1ce3d8297b8e59f4b69fbdff3dcc51200</t>
        </is>
      </c>
      <c r="O884" s="14" t="n"/>
      <c r="P884" s="7" t="inlineStr">
        <is>
          <t>jobspy</t>
        </is>
      </c>
      <c r="Q884" s="8" t="inlineStr">
        <is>
          <t>software development</t>
        </is>
      </c>
      <c r="R884" s="8" t="inlineStr">
        <is>
          <t>junior Full Stack Developer</t>
        </is>
      </c>
      <c r="S884" s="19" t="n"/>
      <c r="T884" s="19" t="n"/>
      <c r="U884" s="14" t="n">
        <v>46191</v>
      </c>
      <c r="V884" s="7" t="inlineStr">
        <is>
          <t>v2-cv-accuracy-13b988b18da8ea7d</t>
        </is>
      </c>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1.22</v>
      </c>
      <c r="C885" s="12" t="inlineStr">
        <is>
          <t>Junior</t>
        </is>
      </c>
      <c r="D885" s="8" t="inlineStr">
        <is>
          <t>Junior Software Engineer</t>
        </is>
      </c>
      <c r="E885" s="7" t="inlineStr">
        <is>
          <t>Corecom Consulting</t>
        </is>
      </c>
      <c r="F885" s="8" t="inlineStr"/>
      <c r="G885" s="8" t="n"/>
      <c r="H885" s="14" t="n"/>
      <c r="I885" s="15">
        <f>IF($H885="","",$H885-TODAY())</f>
        <v/>
      </c>
      <c r="J885" s="16" t="inlineStr">
        <is>
          <t>Open posting</t>
        </is>
      </c>
      <c r="K885" s="8" t="inlineStr">
        <is>
          <t>filtered by keyword pre-scan</t>
        </is>
      </c>
      <c r="L885" s="17" t="inlineStr">
        <is>
          <t>new</t>
        </is>
      </c>
      <c r="M885" s="18" t="inlineStr"/>
      <c r="N885" s="7" t="inlineStr">
        <is>
          <t>dac77c73884e9ba53d348b026415f6b36236c337</t>
        </is>
      </c>
      <c r="O885" s="14" t="n">
        <v>46175</v>
      </c>
      <c r="P885" s="7" t="inlineStr">
        <is>
          <t>jobspy</t>
        </is>
      </c>
      <c r="Q885" s="8" t="inlineStr">
        <is>
          <t>sql, git</t>
        </is>
      </c>
      <c r="R885" s="8" t="inlineStr">
        <is>
          <t>entry level Graduate Software Developer</t>
        </is>
      </c>
      <c r="S885" s="19" t="n"/>
      <c r="T885" s="19" t="n"/>
      <c r="U885" s="14" t="n">
        <v>46191</v>
      </c>
      <c r="V885" s="7" t="inlineStr">
        <is>
          <t>v2-cv-accuracy-13b988b18da8ea7d</t>
        </is>
      </c>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1.22</v>
      </c>
      <c r="C886" s="12" t="inlineStr">
        <is>
          <t>Unspecified</t>
        </is>
      </c>
      <c r="D886" s="8" t="inlineStr">
        <is>
          <t>Software Engineer</t>
        </is>
      </c>
      <c r="E886" s="7" t="inlineStr">
        <is>
          <t>Tenth Revolution Group</t>
        </is>
      </c>
      <c r="F886" s="8" t="inlineStr">
        <is>
          <t>Newcastle Upon Tyne, England, UK</t>
        </is>
      </c>
      <c r="G886" s="8" t="n"/>
      <c r="H886" s="14" t="n"/>
      <c r="I886" s="15">
        <f>IF($H886="","",$H886-TODAY())</f>
        <v/>
      </c>
      <c r="J886" s="16" t="inlineStr">
        <is>
          <t>Open posting</t>
        </is>
      </c>
      <c r="K886" s="8" t="inlineStr">
        <is>
          <t>filtered by keyword pre-scan</t>
        </is>
      </c>
      <c r="L886" s="17" t="inlineStr">
        <is>
          <t>new</t>
        </is>
      </c>
      <c r="M886" s="18" t="inlineStr"/>
      <c r="N886" s="7" t="inlineStr">
        <is>
          <t>a05d62e4211622624185725489216db02d92bc54</t>
        </is>
      </c>
      <c r="O886" s="14" t="n">
        <v>46185</v>
      </c>
      <c r="P886" s="7" t="inlineStr">
        <is>
          <t>jobspy</t>
        </is>
      </c>
      <c r="Q886" s="8" t="inlineStr">
        <is>
          <t>python, software development</t>
        </is>
      </c>
      <c r="R886" s="8" t="inlineStr">
        <is>
          <t>Junior Python Developer</t>
        </is>
      </c>
      <c r="S886" s="19" t="n"/>
      <c r="T886" s="19" t="n"/>
      <c r="U886" s="14" t="n">
        <v>46191</v>
      </c>
      <c r="V886" s="7" t="inlineStr">
        <is>
          <t>v2-cv-accuracy-13b988b18da8ea7d</t>
        </is>
      </c>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1.18</v>
      </c>
      <c r="C887" s="12" t="inlineStr">
        <is>
          <t>Unspecified</t>
        </is>
      </c>
      <c r="D887" s="8" t="inlineStr">
        <is>
          <t>Software Engineer</t>
        </is>
      </c>
      <c r="E887" s="7" t="inlineStr">
        <is>
          <t>Bright Purple</t>
        </is>
      </c>
      <c r="F887" s="8" t="inlineStr">
        <is>
          <t>London Area, United Kingdom</t>
        </is>
      </c>
      <c r="G887" s="8" t="n"/>
      <c r="H887" s="14" t="n"/>
      <c r="I887" s="15">
        <f>IF($H887="","",$H887-TODAY())</f>
        <v/>
      </c>
      <c r="J887" s="16" t="inlineStr">
        <is>
          <t>Open posting</t>
        </is>
      </c>
      <c r="K887" s="8" t="inlineStr">
        <is>
          <t>filtered by keyword pre-scan</t>
        </is>
      </c>
      <c r="L887" s="17" t="inlineStr">
        <is>
          <t>new</t>
        </is>
      </c>
      <c r="M887" s="18" t="inlineStr"/>
      <c r="N887" s="7" t="inlineStr">
        <is>
          <t>43d6a9e623f2d01db0af689b284bdc16781204b1</t>
        </is>
      </c>
      <c r="O887" s="14" t="n"/>
      <c r="P887" s="7" t="inlineStr">
        <is>
          <t>jobspy</t>
        </is>
      </c>
      <c r="Q887" s="8" t="inlineStr">
        <is>
          <t>python, docker, c</t>
        </is>
      </c>
      <c r="R887" s="8" t="inlineStr">
        <is>
          <t>Graduate Backend Developer Python Docker Kubernetes</t>
        </is>
      </c>
      <c r="S887" s="19" t="n"/>
      <c r="T887" s="19" t="n"/>
      <c r="U887" s="14" t="n">
        <v>46198</v>
      </c>
      <c r="V887" s="7" t="inlineStr">
        <is>
          <t>v2-cv-accuracy-13b988b18da8ea7d</t>
        </is>
      </c>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1.18</v>
      </c>
      <c r="C888" s="12" t="inlineStr">
        <is>
          <t>Unspecified</t>
        </is>
      </c>
      <c r="D888" s="8" t="inlineStr">
        <is>
          <t>Software Engineer, Cloudforce One</t>
        </is>
      </c>
      <c r="E888" s="7" t="inlineStr">
        <is>
          <t>Cloudflare</t>
        </is>
      </c>
      <c r="F888" s="8" t="inlineStr">
        <is>
          <t>Hybrid</t>
        </is>
      </c>
      <c r="G888" s="8" t="n"/>
      <c r="H888" s="14" t="n"/>
      <c r="I888" s="15">
        <f>IF($H888="","",$H888-TODAY())</f>
        <v/>
      </c>
      <c r="J888" s="16" t="inlineStr">
        <is>
          <t>Open posting</t>
        </is>
      </c>
      <c r="K888" s="8" t="inlineStr">
        <is>
          <t>filtered by keyword pre-scan</t>
        </is>
      </c>
      <c r="L888" s="17" t="inlineStr">
        <is>
          <t>new</t>
        </is>
      </c>
      <c r="M888" s="18" t="inlineStr"/>
      <c r="N888" s="7" t="inlineStr">
        <is>
          <t>1d9d6a1483b69210fc026a5c6d72637591eec3ba</t>
        </is>
      </c>
      <c r="O888" s="14" t="n">
        <v>46198</v>
      </c>
      <c r="P888" s="7" t="inlineStr">
        <is>
          <t>greenhouse:cloudflare</t>
        </is>
      </c>
      <c r="Q888" s="8" t="inlineStr">
        <is>
          <t>sql, kubernetes, c</t>
        </is>
      </c>
      <c r="R888" s="8" t="n"/>
      <c r="S888" s="19" t="n"/>
      <c r="T888" s="19" t="n"/>
      <c r="U888" s="14" t="n">
        <v>46198</v>
      </c>
      <c r="V888" s="7" t="inlineStr">
        <is>
          <t>v2-cv-accuracy-13b988b18da8ea7d</t>
        </is>
      </c>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1.18</v>
      </c>
      <c r="C889" s="12" t="inlineStr">
        <is>
          <t>Unspecified</t>
        </is>
      </c>
      <c r="D889" s="8" t="inlineStr">
        <is>
          <t>Software Engineer</t>
        </is>
      </c>
      <c r="E889" s="7" t="inlineStr">
        <is>
          <t>Microsoft</t>
        </is>
      </c>
      <c r="F889" s="8" t="inlineStr">
        <is>
          <t>London, England, UK</t>
        </is>
      </c>
      <c r="G889" s="8" t="n"/>
      <c r="H889" s="14" t="n"/>
      <c r="I889" s="15">
        <f>IF($H889="","",$H889-TODAY())</f>
        <v/>
      </c>
      <c r="J889" s="16" t="inlineStr">
        <is>
          <t>Open posting</t>
        </is>
      </c>
      <c r="K889" s="8" t="inlineStr">
        <is>
          <t>filtered by keyword pre-scan</t>
        </is>
      </c>
      <c r="L889" s="17" t="inlineStr">
        <is>
          <t>new</t>
        </is>
      </c>
      <c r="M889" s="18" t="inlineStr"/>
      <c r="N889" s="7" t="inlineStr">
        <is>
          <t>c06ed62131e1d556b8b4e0033a5e3cfb4be1842f</t>
        </is>
      </c>
      <c r="O889" s="14" t="n"/>
      <c r="P889" s="7" t="inlineStr">
        <is>
          <t>jobspy</t>
        </is>
      </c>
      <c r="Q889" s="8" t="inlineStr">
        <is>
          <t>python, c, javascript</t>
        </is>
      </c>
      <c r="R889" s="8" t="inlineStr">
        <is>
          <t>Graduate Software Engineer embedded systems Python</t>
        </is>
      </c>
      <c r="S889" s="19" t="n"/>
      <c r="T889" s="19" t="n"/>
      <c r="U889" s="14" t="n">
        <v>46196</v>
      </c>
      <c r="V889" s="7" t="inlineStr">
        <is>
          <t>v2-cv-accuracy-13b988b18da8ea7d</t>
        </is>
      </c>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1.18</v>
      </c>
      <c r="C890" s="12" t="inlineStr">
        <is>
          <t>Junior</t>
        </is>
      </c>
      <c r="D890" s="8" t="inlineStr">
        <is>
          <t>AI-Driven Phased Array Ultrasonic Inspection Engineer (KTP) - 16891</t>
        </is>
      </c>
      <c r="E890" s="7" t="inlineStr">
        <is>
          <t>Brunel University of London</t>
        </is>
      </c>
      <c r="F890" s="8" t="inlineStr">
        <is>
          <t>Uxbridge, England, UK</t>
        </is>
      </c>
      <c r="G890" s="8" t="n"/>
      <c r="H890" s="14" t="n">
        <v>46196</v>
      </c>
      <c r="I890" s="15">
        <f>IF($H890="","",$H890-TODAY())</f>
        <v/>
      </c>
      <c r="J890" s="16" t="inlineStr">
        <is>
          <t>Open posting</t>
        </is>
      </c>
      <c r="K890" s="8" t="inlineStr">
        <is>
          <t>filtered by keyword pre-scan</t>
        </is>
      </c>
      <c r="L890" s="17" t="inlineStr">
        <is>
          <t>new</t>
        </is>
      </c>
      <c r="M890" s="18" t="inlineStr"/>
      <c r="N890" s="7" t="inlineStr">
        <is>
          <t>cce473a507030697d4f640fe04e867fa3bd9783d</t>
        </is>
      </c>
      <c r="O890" s="14" t="n">
        <v>46168</v>
      </c>
      <c r="P890" s="7" t="inlineStr">
        <is>
          <t>jobspy</t>
        </is>
      </c>
      <c r="Q890" s="8" t="inlineStr">
        <is>
          <t>python, c</t>
        </is>
      </c>
      <c r="R890" s="8" t="inlineStr">
        <is>
          <t>PhD Studentship embedded systems signal processing</t>
        </is>
      </c>
      <c r="S890" s="19" t="n"/>
      <c r="T890" s="19" t="n"/>
      <c r="U890" s="14" t="n">
        <v>46196</v>
      </c>
      <c r="V890" s="7" t="inlineStr">
        <is>
          <t>v2-cv-accuracy-13b988b18da8ea7d</t>
        </is>
      </c>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1.18</v>
      </c>
      <c r="C891" s="12" t="inlineStr">
        <is>
          <t>Senior/Lead</t>
        </is>
      </c>
      <c r="D891" s="8" t="inlineStr">
        <is>
          <t>Design Engineer</t>
        </is>
      </c>
      <c r="E891" s="7" t="inlineStr">
        <is>
          <t>Huawei Technologies Research &amp; Development (UK) Ltd</t>
        </is>
      </c>
      <c r="F891" s="8" t="inlineStr">
        <is>
          <t>Ipswich, England, UK</t>
        </is>
      </c>
      <c r="G891" s="8" t="n"/>
      <c r="H891" s="14" t="n"/>
      <c r="I891" s="15">
        <f>IF($H891="","",$H891-TODAY())</f>
        <v/>
      </c>
      <c r="J891" s="16" t="inlineStr">
        <is>
          <t>Open posting</t>
        </is>
      </c>
      <c r="K891" s="8" t="inlineStr">
        <is>
          <t>filtered by keyword pre-scan</t>
        </is>
      </c>
      <c r="L891" s="17" t="inlineStr">
        <is>
          <t>new</t>
        </is>
      </c>
      <c r="M891" s="18" t="inlineStr"/>
      <c r="N891" s="7" t="inlineStr">
        <is>
          <t>3ec1002795694ad2ae041f53f910117fd3360e1f</t>
        </is>
      </c>
      <c r="O891" s="14" t="n"/>
      <c r="P891" s="7" t="inlineStr">
        <is>
          <t>jobspy</t>
        </is>
      </c>
      <c r="Q891" s="8" t="inlineStr">
        <is>
          <t>python, git, c</t>
        </is>
      </c>
      <c r="R891" s="8" t="inlineStr">
        <is>
          <t>PhD Studentship IoT wireless communications</t>
        </is>
      </c>
      <c r="S891" s="19" t="n"/>
      <c r="T891" s="19" t="n"/>
      <c r="U891" s="14" t="n">
        <v>46196</v>
      </c>
      <c r="V891" s="7" t="inlineStr">
        <is>
          <t>v2-cv-accuracy-13b988b18da8ea7d</t>
        </is>
      </c>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1.18</v>
      </c>
      <c r="C892" s="12" t="inlineStr">
        <is>
          <t>Senior/Lead</t>
        </is>
      </c>
      <c r="D892" s="8" t="inlineStr">
        <is>
          <t>Fullstack Engineer (Frontend focus)</t>
        </is>
      </c>
      <c r="E892" s="7" t="inlineStr">
        <is>
          <t>CoreWeave</t>
        </is>
      </c>
      <c r="F892" s="8" t="inlineStr">
        <is>
          <t>London, England, UK</t>
        </is>
      </c>
      <c r="G892" s="8" t="n"/>
      <c r="H892" s="14" t="n"/>
      <c r="I892" s="15">
        <f>IF($H892="","",$H892-TODAY())</f>
        <v/>
      </c>
      <c r="J892" s="16" t="inlineStr">
        <is>
          <t>Open posting</t>
        </is>
      </c>
      <c r="K892" s="8" t="inlineStr">
        <is>
          <t>filtered by keyword pre-scan</t>
        </is>
      </c>
      <c r="L892" s="17" t="inlineStr">
        <is>
          <t>new</t>
        </is>
      </c>
      <c r="M892" s="18" t="inlineStr"/>
      <c r="N892" s="7" t="inlineStr">
        <is>
          <t>f773eaef14e955e1a8d38b29eeddf20504f11cb0</t>
        </is>
      </c>
      <c r="O892" s="14" t="n">
        <v>46186</v>
      </c>
      <c r="P892" s="7" t="inlineStr">
        <is>
          <t>jobspy</t>
        </is>
      </c>
      <c r="Q892" s="8" t="inlineStr">
        <is>
          <t>python, git, c</t>
        </is>
      </c>
      <c r="R892" s="8" t="inlineStr">
        <is>
          <t>Junior Python Developer backend SQL Docker</t>
        </is>
      </c>
      <c r="S892" s="19" t="n"/>
      <c r="T892" s="19" t="n"/>
      <c r="U892" s="14" t="n">
        <v>46196</v>
      </c>
      <c r="V892" s="7" t="inlineStr">
        <is>
          <t>v2-cv-accuracy-13b988b18da8ea7d</t>
        </is>
      </c>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1.18</v>
      </c>
      <c r="C893" s="12" t="inlineStr">
        <is>
          <t>Senior/Lead</t>
        </is>
      </c>
      <c r="D893" s="8" t="inlineStr">
        <is>
          <t>Data Engineer</t>
        </is>
      </c>
      <c r="E893" s="7" t="inlineStr">
        <is>
          <t>Anaplan</t>
        </is>
      </c>
      <c r="F893" s="8" t="inlineStr">
        <is>
          <t>Manchester, England, UK</t>
        </is>
      </c>
      <c r="G893" s="8" t="n"/>
      <c r="H893" s="14" t="n"/>
      <c r="I893" s="15">
        <f>IF($H893="","",$H893-TODAY())</f>
        <v/>
      </c>
      <c r="J893" s="16" t="inlineStr">
        <is>
          <t>Open posting</t>
        </is>
      </c>
      <c r="K893" s="8" t="inlineStr">
        <is>
          <t>filtered by keyword pre-scan</t>
        </is>
      </c>
      <c r="L893" s="17" t="inlineStr">
        <is>
          <t>new</t>
        </is>
      </c>
      <c r="M893" s="18" t="inlineStr"/>
      <c r="N893" s="7" t="inlineStr">
        <is>
          <t>a9ac77d1fbb2b3f09978b6fa5550f7c78b614705</t>
        </is>
      </c>
      <c r="O893" s="14" t="n">
        <v>46175</v>
      </c>
      <c r="P893" s="7" t="inlineStr">
        <is>
          <t>jobspy</t>
        </is>
      </c>
      <c r="Q893" s="8" t="inlineStr">
        <is>
          <t>python, sql, c</t>
        </is>
      </c>
      <c r="R893" s="8" t="inlineStr">
        <is>
          <t>Graduate Data Engineer SQL Python MySQL</t>
        </is>
      </c>
      <c r="S893" s="19" t="n"/>
      <c r="T893" s="19" t="n"/>
      <c r="U893" s="14" t="n">
        <v>46195</v>
      </c>
      <c r="V893" s="7" t="inlineStr">
        <is>
          <t>v2-cv-accuracy-13b988b18da8ea7d</t>
        </is>
      </c>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1.18</v>
      </c>
      <c r="C894" s="12" t="inlineStr">
        <is>
          <t>Mid-level</t>
        </is>
      </c>
      <c r="D894" s="8" t="inlineStr">
        <is>
          <t>Data Engineer</t>
        </is>
      </c>
      <c r="E894" s="7" t="inlineStr">
        <is>
          <t>Tech4</t>
        </is>
      </c>
      <c r="F894" s="8" t="inlineStr">
        <is>
          <t>Newcastle Upon Tyne, England, UK</t>
        </is>
      </c>
      <c r="G894" s="8" t="n"/>
      <c r="H894" s="14" t="n"/>
      <c r="I894" s="15">
        <f>IF($H894="","",$H894-TODAY())</f>
        <v/>
      </c>
      <c r="J894" s="16" t="inlineStr">
        <is>
          <t>Open posting</t>
        </is>
      </c>
      <c r="K894" s="8" t="inlineStr">
        <is>
          <t>filtered by keyword pre-scan</t>
        </is>
      </c>
      <c r="L894" s="17" t="inlineStr">
        <is>
          <t>new</t>
        </is>
      </c>
      <c r="M894" s="18" t="inlineStr"/>
      <c r="N894" s="7" t="inlineStr">
        <is>
          <t>22d5a7cb77698dc9098e15e6397610b92ffd2f27</t>
        </is>
      </c>
      <c r="O894" s="14" t="n"/>
      <c r="P894" s="7" t="inlineStr">
        <is>
          <t>jobspy</t>
        </is>
      </c>
      <c r="Q894" s="8" t="inlineStr">
        <is>
          <t>python, sql, c</t>
        </is>
      </c>
      <c r="R894" s="8" t="inlineStr">
        <is>
          <t>Graduate Data Engineer SQL Python MySQL</t>
        </is>
      </c>
      <c r="S894" s="19" t="n"/>
      <c r="T894" s="19" t="n"/>
      <c r="U894" s="14" t="n">
        <v>46195</v>
      </c>
      <c r="V894" s="7" t="inlineStr">
        <is>
          <t>v2-cv-accuracy-13b988b18da8ea7d</t>
        </is>
      </c>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1.18</v>
      </c>
      <c r="C895" s="12" t="inlineStr">
        <is>
          <t>Mid-level</t>
        </is>
      </c>
      <c r="D895" s="8" t="inlineStr">
        <is>
          <t>Signal Processing and Communications Engineer</t>
        </is>
      </c>
      <c r="E895" s="7" t="inlineStr">
        <is>
          <t>GMV</t>
        </is>
      </c>
      <c r="F895" s="8" t="inlineStr">
        <is>
          <t>Nottingham, England, UK</t>
        </is>
      </c>
      <c r="G895" s="8" t="n"/>
      <c r="H895" s="14" t="n"/>
      <c r="I895" s="15">
        <f>IF($H895="","",$H895-TODAY())</f>
        <v/>
      </c>
      <c r="J895" s="16" t="inlineStr">
        <is>
          <t>Open posting</t>
        </is>
      </c>
      <c r="K895" s="8" t="inlineStr">
        <is>
          <t>filtered by keyword pre-scan</t>
        </is>
      </c>
      <c r="L895" s="17" t="inlineStr">
        <is>
          <t>new</t>
        </is>
      </c>
      <c r="M895" s="18" t="inlineStr"/>
      <c r="N895" s="7" t="inlineStr">
        <is>
          <t>3688b39fde2567266292c4bd433ea84b0db15c93</t>
        </is>
      </c>
      <c r="O895" s="14" t="n">
        <v>46187</v>
      </c>
      <c r="P895" s="7" t="inlineStr">
        <is>
          <t>jobspy</t>
        </is>
      </c>
      <c r="Q895" s="8" t="inlineStr">
        <is>
          <t>python, c</t>
        </is>
      </c>
      <c r="R895" s="8" t="inlineStr">
        <is>
          <t>Signal Processing Engineer DSP graduate Sheffield</t>
        </is>
      </c>
      <c r="S895" s="19" t="n"/>
      <c r="T895" s="19" t="n"/>
      <c r="U895" s="14" t="n">
        <v>46195</v>
      </c>
      <c r="V895" s="7" t="inlineStr">
        <is>
          <t>v2-cv-accuracy-13b988b18da8ea7d</t>
        </is>
      </c>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1.18</v>
      </c>
      <c r="C896" s="12" t="inlineStr">
        <is>
          <t>Graduate/Entry</t>
        </is>
      </c>
      <c r="D896" s="8" t="inlineStr">
        <is>
          <t>2026 Graduate Software Engineer - Drivers</t>
        </is>
      </c>
      <c r="E896" s="7" t="inlineStr">
        <is>
          <t>Graphcore</t>
        </is>
      </c>
      <c r="F896" s="8" t="inlineStr">
        <is>
          <t>Cambridge, England, UK</t>
        </is>
      </c>
      <c r="G896" s="8" t="n"/>
      <c r="H896" s="14" t="n"/>
      <c r="I896" s="15">
        <f>IF($H896="","",$H896-TODAY())</f>
        <v/>
      </c>
      <c r="J896" s="16" t="inlineStr">
        <is>
          <t>Open posting</t>
        </is>
      </c>
      <c r="K896" s="8" t="inlineStr">
        <is>
          <t>filtered by keyword pre-scan</t>
        </is>
      </c>
      <c r="L896" s="17" t="inlineStr">
        <is>
          <t>new</t>
        </is>
      </c>
      <c r="M896" s="18" t="inlineStr"/>
      <c r="N896" s="7" t="inlineStr">
        <is>
          <t>43baeaf67b717ae1957edb3b1f8dfdfea66eacf5</t>
        </is>
      </c>
      <c r="O896" s="14" t="n">
        <v>46186</v>
      </c>
      <c r="P896" s="7" t="inlineStr">
        <is>
          <t>jobspy</t>
        </is>
      </c>
      <c r="Q896" s="8" t="inlineStr">
        <is>
          <t>python, git, c</t>
        </is>
      </c>
      <c r="R896" s="8" t="inlineStr">
        <is>
          <t>Graduate Systems Engineer hardware software Sheffield</t>
        </is>
      </c>
      <c r="S896" s="19" t="n"/>
      <c r="T896" s="19" t="n"/>
      <c r="U896" s="14" t="n">
        <v>46195</v>
      </c>
      <c r="V896" s="7" t="inlineStr">
        <is>
          <t>v2-cv-accuracy-13b988b18da8ea7d</t>
        </is>
      </c>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1.18</v>
      </c>
      <c r="C897" s="12" t="inlineStr">
        <is>
          <t>Junior</t>
        </is>
      </c>
      <c r="D897" s="8" t="inlineStr">
        <is>
          <t>Data Engineer</t>
        </is>
      </c>
      <c r="E897" s="7" t="inlineStr">
        <is>
          <t>Nexere Consulting</t>
        </is>
      </c>
      <c r="F897" s="8" t="inlineStr"/>
      <c r="G897" s="8" t="n"/>
      <c r="H897" s="14" t="n"/>
      <c r="I897" s="15">
        <f>IF($H897="","",$H897-TODAY())</f>
        <v/>
      </c>
      <c r="J897" s="16" t="inlineStr">
        <is>
          <t>Open posting</t>
        </is>
      </c>
      <c r="K897" s="8" t="inlineStr">
        <is>
          <t>filtered by keyword pre-scan</t>
        </is>
      </c>
      <c r="L897" s="17" t="inlineStr">
        <is>
          <t>new</t>
        </is>
      </c>
      <c r="M897" s="18" t="inlineStr"/>
      <c r="N897" s="7" t="inlineStr">
        <is>
          <t>53dd1fc652d39f967896b49928cc7f1c0714027b</t>
        </is>
      </c>
      <c r="O897" s="14" t="n">
        <v>46192</v>
      </c>
      <c r="P897" s="7" t="inlineStr">
        <is>
          <t>jobspy</t>
        </is>
      </c>
      <c r="Q897" s="8" t="inlineStr">
        <is>
          <t>python, sql, c</t>
        </is>
      </c>
      <c r="R897" s="8" t="inlineStr">
        <is>
          <t>Junior Data Engineer Python SQL MySQL remote</t>
        </is>
      </c>
      <c r="S897" s="19" t="n"/>
      <c r="T897" s="19" t="n"/>
      <c r="U897" s="14" t="n">
        <v>46195</v>
      </c>
      <c r="V897" s="7" t="inlineStr">
        <is>
          <t>v2-cv-accuracy-13b988b18da8ea7d</t>
        </is>
      </c>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1.18</v>
      </c>
      <c r="C898" s="12" t="inlineStr">
        <is>
          <t>Unspecified</t>
        </is>
      </c>
      <c r="D898" s="8" t="inlineStr">
        <is>
          <t>Data Engineer</t>
        </is>
      </c>
      <c r="E898" s="7" t="inlineStr">
        <is>
          <t>Station</t>
        </is>
      </c>
      <c r="F898" s="8" t="inlineStr">
        <is>
          <t>England, United Kingdom</t>
        </is>
      </c>
      <c r="G898" s="8" t="n"/>
      <c r="H898" s="14" t="n"/>
      <c r="I898" s="15">
        <f>IF($H898="","",$H898-TODAY())</f>
        <v/>
      </c>
      <c r="J898" s="16" t="inlineStr">
        <is>
          <t>Open posting</t>
        </is>
      </c>
      <c r="K898" s="8" t="inlineStr">
        <is>
          <t>filtered by keyword pre-scan</t>
        </is>
      </c>
      <c r="L898" s="17" t="inlineStr">
        <is>
          <t>new</t>
        </is>
      </c>
      <c r="M898" s="18" t="inlineStr"/>
      <c r="N898" s="7" t="inlineStr">
        <is>
          <t>57f77619f5de1b7a8d68d4b0369df53f324a2f20</t>
        </is>
      </c>
      <c r="O898" s="14" t="n">
        <v>46188</v>
      </c>
      <c r="P898" s="7" t="inlineStr">
        <is>
          <t>jobspy</t>
        </is>
      </c>
      <c r="Q898" s="8" t="inlineStr">
        <is>
          <t>python, sql, c</t>
        </is>
      </c>
      <c r="R898" s="8" t="inlineStr">
        <is>
          <t>Junior Data Engineer Python SQL MySQL remote</t>
        </is>
      </c>
      <c r="S898" s="19" t="n"/>
      <c r="T898" s="19" t="n"/>
      <c r="U898" s="14" t="n">
        <v>46195</v>
      </c>
      <c r="V898" s="7" t="inlineStr">
        <is>
          <t>v2-cv-accuracy-13b988b18da8ea7d</t>
        </is>
      </c>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1.18</v>
      </c>
      <c r="C899" s="12" t="inlineStr">
        <is>
          <t>Mid-level</t>
        </is>
      </c>
      <c r="D899" s="8" t="inlineStr">
        <is>
          <t>Site Reliability Engineer</t>
        </is>
      </c>
      <c r="E899" s="7" t="inlineStr">
        <is>
          <t>Orion Health</t>
        </is>
      </c>
      <c r="F899" s="8" t="inlineStr"/>
      <c r="G899" s="8" t="n"/>
      <c r="H899" s="14" t="n"/>
      <c r="I899" s="15">
        <f>IF($H899="","",$H899-TODAY())</f>
        <v/>
      </c>
      <c r="J899" s="16" t="inlineStr">
        <is>
          <t>Open posting</t>
        </is>
      </c>
      <c r="K899" s="8" t="inlineStr">
        <is>
          <t>filtered by keyword pre-scan</t>
        </is>
      </c>
      <c r="L899" s="17" t="inlineStr">
        <is>
          <t>new</t>
        </is>
      </c>
      <c r="M899" s="18" t="inlineStr"/>
      <c r="N899" s="7" t="inlineStr">
        <is>
          <t>953467014a7ee2e02cef889dea97930874d310b3</t>
        </is>
      </c>
      <c r="O899" s="14" t="n">
        <v>46171</v>
      </c>
      <c r="P899" s="7" t="inlineStr">
        <is>
          <t>jobspy</t>
        </is>
      </c>
      <c r="Q899" s="8" t="inlineStr">
        <is>
          <t>kubernetes, git, c</t>
        </is>
      </c>
      <c r="R899" s="8" t="inlineStr">
        <is>
          <t>Graduate Platform Engineer Docker Kubernetes Python</t>
        </is>
      </c>
      <c r="S899" s="19" t="n"/>
      <c r="T899" s="19" t="n"/>
      <c r="U899" s="14" t="n">
        <v>46195</v>
      </c>
      <c r="V899" s="7" t="inlineStr">
        <is>
          <t>v2-cv-accuracy-13b988b18da8ea7d</t>
        </is>
      </c>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1.18</v>
      </c>
      <c r="C900" s="12" t="inlineStr">
        <is>
          <t>Apprentice/Trainee</t>
        </is>
      </c>
      <c r="D900" s="8" t="inlineStr">
        <is>
          <t>Verification Engineering Trainee (f/m/div)</t>
        </is>
      </c>
      <c r="E900" s="7" t="inlineStr">
        <is>
          <t>Infineon Technologies</t>
        </is>
      </c>
      <c r="F900" s="8" t="inlineStr">
        <is>
          <t>Bristol, England, UK</t>
        </is>
      </c>
      <c r="G900" s="8" t="n"/>
      <c r="H900" s="14" t="n"/>
      <c r="I900" s="15">
        <f>IF($H900="","",$H900-TODAY())</f>
        <v/>
      </c>
      <c r="J900" s="16" t="inlineStr">
        <is>
          <t>Open posting</t>
        </is>
      </c>
      <c r="K900" s="8" t="inlineStr">
        <is>
          <t>filtered by keyword pre-scan</t>
        </is>
      </c>
      <c r="L900" s="17" t="inlineStr">
        <is>
          <t>new</t>
        </is>
      </c>
      <c r="M900" s="18" t="inlineStr"/>
      <c r="N900" s="7" t="inlineStr">
        <is>
          <t>c79bc6cc8768f995bfe0c80198309a94ea0afba0</t>
        </is>
      </c>
      <c r="O900" s="14" t="n">
        <v>46190</v>
      </c>
      <c r="P900" s="7" t="inlineStr">
        <is>
          <t>jobspy</t>
        </is>
      </c>
      <c r="Q900" s="8" t="inlineStr">
        <is>
          <t>python, verilog, c</t>
        </is>
      </c>
      <c r="R900" s="8" t="inlineStr">
        <is>
          <t>Graduate Verification Engineer Verilog digital design</t>
        </is>
      </c>
      <c r="S900" s="19" t="n"/>
      <c r="T900" s="19" t="n"/>
      <c r="U900" s="14" t="n">
        <v>46195</v>
      </c>
      <c r="V900" s="7" t="inlineStr">
        <is>
          <t>v2-cv-accuracy-13b988b18da8ea7d</t>
        </is>
      </c>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1.18</v>
      </c>
      <c r="C901" s="12" t="inlineStr">
        <is>
          <t>Senior/Lead</t>
        </is>
      </c>
      <c r="D901" s="8" t="inlineStr">
        <is>
          <t>Software Engineer</t>
        </is>
      </c>
      <c r="E901" s="7" t="inlineStr">
        <is>
          <t>Avyn</t>
        </is>
      </c>
      <c r="F901" s="8" t="inlineStr">
        <is>
          <t>London Area, United Kingdom</t>
        </is>
      </c>
      <c r="G901" s="8" t="n"/>
      <c r="H901" s="14" t="n"/>
      <c r="I901" s="15">
        <f>IF($H901="","",$H901-TODAY())</f>
        <v/>
      </c>
      <c r="J901" s="16" t="inlineStr">
        <is>
          <t>Open posting</t>
        </is>
      </c>
      <c r="K901" s="8" t="inlineStr">
        <is>
          <t>filtered by keyword pre-scan</t>
        </is>
      </c>
      <c r="L901" s="17" t="inlineStr">
        <is>
          <t>new</t>
        </is>
      </c>
      <c r="M901" s="18" t="inlineStr"/>
      <c r="N901" s="7" t="inlineStr">
        <is>
          <t>c87f3d341c9372841a1172e56ba4dfb09265184a</t>
        </is>
      </c>
      <c r="O901" s="14" t="n">
        <v>46178</v>
      </c>
      <c r="P901" s="7" t="inlineStr">
        <is>
          <t>jobspy</t>
        </is>
      </c>
      <c r="Q901" s="8" t="inlineStr">
        <is>
          <t>python, sql, c</t>
        </is>
      </c>
      <c r="R901" s="8" t="inlineStr">
        <is>
          <t>Junior Python Developer backend SQL</t>
        </is>
      </c>
      <c r="S901" s="19" t="n"/>
      <c r="T901" s="19" t="n"/>
      <c r="U901" s="14" t="n">
        <v>46195</v>
      </c>
      <c r="V901" s="7" t="inlineStr">
        <is>
          <t>v2-cv-accuracy-13b988b18da8ea7d</t>
        </is>
      </c>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1.18</v>
      </c>
      <c r="C902" s="12" t="inlineStr">
        <is>
          <t>Unspecified</t>
        </is>
      </c>
      <c r="D902" s="8" t="inlineStr">
        <is>
          <t>Python Software Engineer – Up to £150,000 + Comps – London</t>
        </is>
      </c>
      <c r="E902" s="7" t="inlineStr">
        <is>
          <t>Hunter Bond</t>
        </is>
      </c>
      <c r="F902" s="8" t="inlineStr">
        <is>
          <t>London Area, United Kingdom</t>
        </is>
      </c>
      <c r="G902" s="8" t="n"/>
      <c r="H902" s="14" t="n"/>
      <c r="I902" s="15">
        <f>IF($H902="","",$H902-TODAY())</f>
        <v/>
      </c>
      <c r="J902" s="16" t="inlineStr">
        <is>
          <t>Open posting</t>
        </is>
      </c>
      <c r="K902" s="8" t="inlineStr">
        <is>
          <t>filtered by keyword pre-scan</t>
        </is>
      </c>
      <c r="L902" s="17" t="inlineStr">
        <is>
          <t>new</t>
        </is>
      </c>
      <c r="M902" s="18" t="inlineStr"/>
      <c r="N902" s="7" t="inlineStr">
        <is>
          <t>58421b94b7a19f143b989a8e40faa3c254093061</t>
        </is>
      </c>
      <c r="O902" s="14" t="n"/>
      <c r="P902" s="7" t="inlineStr">
        <is>
          <t>jobspy</t>
        </is>
      </c>
      <c r="Q902" s="8" t="inlineStr">
        <is>
          <t>python, sql, c</t>
        </is>
      </c>
      <c r="R902" s="8" t="inlineStr">
        <is>
          <t>Junior Python Developer backend SQL</t>
        </is>
      </c>
      <c r="S902" s="19" t="n"/>
      <c r="T902" s="19" t="n"/>
      <c r="U902" s="14" t="n">
        <v>46195</v>
      </c>
      <c r="V902" s="7" t="inlineStr">
        <is>
          <t>v2-cv-accuracy-13b988b18da8ea7d</t>
        </is>
      </c>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1.18</v>
      </c>
      <c r="C903" s="12" t="inlineStr">
        <is>
          <t>Unspecified</t>
        </is>
      </c>
      <c r="D903" s="8" t="inlineStr">
        <is>
          <t>System Engineer</t>
        </is>
      </c>
      <c r="E903" s="7" t="inlineStr">
        <is>
          <t>Applied Intuition</t>
        </is>
      </c>
      <c r="F903" s="8" t="inlineStr">
        <is>
          <t>London Area, United Kingdom</t>
        </is>
      </c>
      <c r="G903" s="8" t="n"/>
      <c r="H903" s="14" t="n"/>
      <c r="I903" s="15">
        <f>IF($H903="","",$H903-TODAY())</f>
        <v/>
      </c>
      <c r="J903" s="16" t="inlineStr">
        <is>
          <t>Open posting</t>
        </is>
      </c>
      <c r="K903" s="8" t="inlineStr">
        <is>
          <t>filtered by keyword pre-scan</t>
        </is>
      </c>
      <c r="L903" s="17" t="inlineStr">
        <is>
          <t>new</t>
        </is>
      </c>
      <c r="M903" s="18" t="inlineStr"/>
      <c r="N903" s="7" t="inlineStr">
        <is>
          <t>893956b938237672a679af32bb5e9e0636cf719d</t>
        </is>
      </c>
      <c r="O903" s="14" t="n"/>
      <c r="P903" s="7" t="inlineStr">
        <is>
          <t>jobspy</t>
        </is>
      </c>
      <c r="Q903" s="8" t="inlineStr">
        <is>
          <t>python, c, embedded systems</t>
        </is>
      </c>
      <c r="R903" s="8" t="inlineStr">
        <is>
          <t>Graduate Systems Engineer hardware software</t>
        </is>
      </c>
      <c r="S903" s="19" t="n"/>
      <c r="T903" s="19" t="n"/>
      <c r="U903" s="14" t="n">
        <v>46195</v>
      </c>
      <c r="V903" s="7" t="inlineStr">
        <is>
          <t>v2-cv-accuracy-13b988b18da8ea7d</t>
        </is>
      </c>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1.18</v>
      </c>
      <c r="C904" s="12" t="inlineStr">
        <is>
          <t>Junior</t>
        </is>
      </c>
      <c r="D904" s="8" t="inlineStr">
        <is>
          <t>Junior Engineer - UK Only (Brighton) - Studio Based</t>
        </is>
      </c>
      <c r="E904" s="7" t="inlineStr">
        <is>
          <t>FuturLab</t>
        </is>
      </c>
      <c r="F904" s="8" t="inlineStr">
        <is>
          <t>Brighton, England, UK</t>
        </is>
      </c>
      <c r="G904" s="8" t="n"/>
      <c r="H904" s="14" t="n"/>
      <c r="I904" s="15">
        <f>IF($H904="","",$H904-TODAY())</f>
        <v/>
      </c>
      <c r="J904" s="16" t="inlineStr">
        <is>
          <t>Open posting</t>
        </is>
      </c>
      <c r="K904" s="8" t="inlineStr">
        <is>
          <t>filtered by keyword pre-scan</t>
        </is>
      </c>
      <c r="L904" s="17" t="inlineStr">
        <is>
          <t>new</t>
        </is>
      </c>
      <c r="M904" s="18" t="inlineStr"/>
      <c r="N904" s="7" t="inlineStr">
        <is>
          <t>f61b8aa3cdf41dda0409c79b4e7e9cf3e738005b</t>
        </is>
      </c>
      <c r="O904" s="14" t="n">
        <v>46191</v>
      </c>
      <c r="P904" s="7" t="inlineStr">
        <is>
          <t>jobspy</t>
        </is>
      </c>
      <c r="Q904" s="8" t="inlineStr">
        <is>
          <t>sql, docker, c</t>
        </is>
      </c>
      <c r="R904" s="8" t="inlineStr">
        <is>
          <t>Graduate Computer Engineer digital design</t>
        </is>
      </c>
      <c r="S904" s="19" t="n"/>
      <c r="T904" s="19" t="n"/>
      <c r="U904" s="14" t="n">
        <v>46195</v>
      </c>
      <c r="V904" s="7" t="inlineStr">
        <is>
          <t>v2-cv-accuracy-13b988b18da8ea7d</t>
        </is>
      </c>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1.18</v>
      </c>
      <c r="C905" s="12" t="inlineStr">
        <is>
          <t>Unspecified</t>
        </is>
      </c>
      <c r="D905" s="8" t="inlineStr">
        <is>
          <t>Data and Analytics Engineer</t>
        </is>
      </c>
      <c r="E905" s="7" t="inlineStr">
        <is>
          <t>StarCompliance</t>
        </is>
      </c>
      <c r="F905" s="8" t="inlineStr">
        <is>
          <t>York, England, UK</t>
        </is>
      </c>
      <c r="G905" s="8" t="n"/>
      <c r="H905" s="14" t="n"/>
      <c r="I905" s="15">
        <f>IF($H905="","",$H905-TODAY())</f>
        <v/>
      </c>
      <c r="J905" s="16" t="inlineStr">
        <is>
          <t>Open posting</t>
        </is>
      </c>
      <c r="K905" s="8" t="inlineStr">
        <is>
          <t>filtered by keyword pre-scan</t>
        </is>
      </c>
      <c r="L905" s="17" t="inlineStr">
        <is>
          <t>new</t>
        </is>
      </c>
      <c r="M905" s="18" t="inlineStr"/>
      <c r="N905" s="7" t="inlineStr">
        <is>
          <t>c91c4a135e306b4cab90d5f99a52ffd4a9d02aff</t>
        </is>
      </c>
      <c r="O905" s="14" t="n">
        <v>46174</v>
      </c>
      <c r="P905" s="7" t="inlineStr">
        <is>
          <t>jobspy</t>
        </is>
      </c>
      <c r="Q905" s="8" t="inlineStr">
        <is>
          <t>sql, git, c</t>
        </is>
      </c>
      <c r="R905" s="8" t="inlineStr">
        <is>
          <t>Graduate Data Engineer Python SQL pipeline</t>
        </is>
      </c>
      <c r="S905" s="19" t="n"/>
      <c r="T905" s="19" t="n"/>
      <c r="U905" s="14" t="n">
        <v>46194</v>
      </c>
      <c r="V905" s="7" t="inlineStr">
        <is>
          <t>v2-cv-accuracy-13b988b18da8ea7d</t>
        </is>
      </c>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1.18</v>
      </c>
      <c r="C906" s="12" t="inlineStr">
        <is>
          <t>Graduate/Entry</t>
        </is>
      </c>
      <c r="D906" s="8" t="inlineStr">
        <is>
          <t>Graduate IT &amp; Automation Engineer (AI / Microsoft 365)</t>
        </is>
      </c>
      <c r="E906" s="7" t="inlineStr">
        <is>
          <t>Jotun Group</t>
        </is>
      </c>
      <c r="F906" s="8" t="inlineStr">
        <is>
          <t>Flixborough, ENG, GB</t>
        </is>
      </c>
      <c r="G906" s="8" t="n"/>
      <c r="H906" s="14" t="n"/>
      <c r="I906" s="15">
        <f>IF($H906="","",$H906-TODAY())</f>
        <v/>
      </c>
      <c r="J906" s="16" t="inlineStr">
        <is>
          <t>Open posting</t>
        </is>
      </c>
      <c r="K906" s="8" t="inlineStr">
        <is>
          <t>filtered by keyword pre-scan</t>
        </is>
      </c>
      <c r="L906" s="17" t="inlineStr">
        <is>
          <t>new</t>
        </is>
      </c>
      <c r="M906" s="18" t="inlineStr"/>
      <c r="N906" s="7" t="inlineStr">
        <is>
          <t>8a16f23d2028b18b1924539a60fe0fe6496fb08b</t>
        </is>
      </c>
      <c r="O906" s="14" t="n">
        <v>46190</v>
      </c>
      <c r="P906" s="7" t="inlineStr">
        <is>
          <t>jobspy</t>
        </is>
      </c>
      <c r="Q906" s="8" t="inlineStr">
        <is>
          <t>python, git, c</t>
        </is>
      </c>
      <c r="R906" s="8" t="inlineStr">
        <is>
          <t>Graduate Computer Engineer digital design</t>
        </is>
      </c>
      <c r="S906" s="19" t="n"/>
      <c r="T906" s="19" t="n"/>
      <c r="U906" s="14" t="n">
        <v>46194</v>
      </c>
      <c r="V906" s="7" t="inlineStr">
        <is>
          <t>v2-cv-accuracy-13b988b18da8ea7d</t>
        </is>
      </c>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1.18</v>
      </c>
      <c r="C907" s="12" t="inlineStr">
        <is>
          <t>Graduate/Entry</t>
        </is>
      </c>
      <c r="D907" s="8" t="inlineStr">
        <is>
          <t>2026 Technology Graduate Programme – Platform Engineer</t>
        </is>
      </c>
      <c r="E907" s="7" t="inlineStr">
        <is>
          <t>Man Group</t>
        </is>
      </c>
      <c r="F907" s="8" t="inlineStr">
        <is>
          <t>London, ENG, GB</t>
        </is>
      </c>
      <c r="G907" s="8" t="n"/>
      <c r="H907" s="14" t="n"/>
      <c r="I907" s="15">
        <f>IF($H907="","",$H907-TODAY())</f>
        <v/>
      </c>
      <c r="J907" s="16" t="inlineStr">
        <is>
          <t>Open posting</t>
        </is>
      </c>
      <c r="K907" s="8" t="inlineStr">
        <is>
          <t>filtered by keyword pre-scan</t>
        </is>
      </c>
      <c r="L907" s="17" t="inlineStr">
        <is>
          <t>new</t>
        </is>
      </c>
      <c r="M907" s="18" t="inlineStr"/>
      <c r="N907" s="7" t="inlineStr">
        <is>
          <t>501b554a1e6d0c7bfdab8214c265b5667b53c1a8</t>
        </is>
      </c>
      <c r="O907" s="14" t="n">
        <v>46190</v>
      </c>
      <c r="P907" s="7" t="inlineStr">
        <is>
          <t>jobspy</t>
        </is>
      </c>
      <c r="Q907" s="8" t="inlineStr">
        <is>
          <t>python, git, c</t>
        </is>
      </c>
      <c r="R907" s="8" t="inlineStr">
        <is>
          <t>Graduate Software Engineer embedded systems</t>
        </is>
      </c>
      <c r="S907" s="19" t="n"/>
      <c r="T907" s="19" t="n"/>
      <c r="U907" s="14" t="n">
        <v>46194</v>
      </c>
      <c r="V907" s="7" t="inlineStr">
        <is>
          <t>v2-cv-accuracy-13b988b18da8ea7d</t>
        </is>
      </c>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1.18</v>
      </c>
      <c r="C908" s="12" t="inlineStr">
        <is>
          <t>Unspecified</t>
        </is>
      </c>
      <c r="D908" s="8" t="inlineStr">
        <is>
          <t>Software Engineer</t>
        </is>
      </c>
      <c r="E908" s="7" t="inlineStr">
        <is>
          <t>DCS Technology</t>
        </is>
      </c>
      <c r="F908" s="8" t="inlineStr">
        <is>
          <t>Oxfordshire, England, UK</t>
        </is>
      </c>
      <c r="G908" s="8" t="n"/>
      <c r="H908" s="14" t="n"/>
      <c r="I908" s="15">
        <f>IF($H908="","",$H908-TODAY())</f>
        <v/>
      </c>
      <c r="J908" s="16" t="inlineStr">
        <is>
          <t>Open posting</t>
        </is>
      </c>
      <c r="K908" s="8" t="inlineStr">
        <is>
          <t>filtered by keyword pre-scan</t>
        </is>
      </c>
      <c r="L908" s="17" t="inlineStr">
        <is>
          <t>new</t>
        </is>
      </c>
      <c r="M908" s="18" t="inlineStr"/>
      <c r="N908" s="7" t="inlineStr">
        <is>
          <t>5f48060a1ce62dd8b4f1a571c41e7adb7d361616</t>
        </is>
      </c>
      <c r="O908" s="14" t="n">
        <v>46184</v>
      </c>
      <c r="P908" s="7" t="inlineStr">
        <is>
          <t>jobspy</t>
        </is>
      </c>
      <c r="Q908" s="8" t="inlineStr">
        <is>
          <t>python, c, embedded systems</t>
        </is>
      </c>
      <c r="R908" s="8" t="inlineStr">
        <is>
          <t>Graduate Software Engineer embedded systems</t>
        </is>
      </c>
      <c r="S908" s="19" t="n"/>
      <c r="T908" s="19" t="n"/>
      <c r="U908" s="14" t="n">
        <v>46194</v>
      </c>
      <c r="V908" s="7" t="inlineStr">
        <is>
          <t>v2-cv-accuracy-13b988b18da8ea7d</t>
        </is>
      </c>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1.18</v>
      </c>
      <c r="C909" s="12" t="inlineStr">
        <is>
          <t>Mid-level</t>
        </is>
      </c>
      <c r="D909" s="8" t="inlineStr">
        <is>
          <t>Systems Engineer - Modelling &amp; Simulation (Seeker)</t>
        </is>
      </c>
      <c r="E909" s="7" t="inlineStr">
        <is>
          <t>MBDA</t>
        </is>
      </c>
      <c r="F909" s="8" t="inlineStr">
        <is>
          <t>Bolton, England, UK</t>
        </is>
      </c>
      <c r="G909" s="8" t="n"/>
      <c r="H909" s="14" t="n"/>
      <c r="I909" s="15">
        <f>IF($H909="","",$H909-TODAY())</f>
        <v/>
      </c>
      <c r="J909" s="16" t="inlineStr">
        <is>
          <t>Open posting</t>
        </is>
      </c>
      <c r="K909" s="8" t="inlineStr">
        <is>
          <t>filtered by keyword pre-scan</t>
        </is>
      </c>
      <c r="L909" s="17" t="inlineStr">
        <is>
          <t>new</t>
        </is>
      </c>
      <c r="M909" s="18" t="inlineStr"/>
      <c r="N909" s="7" t="inlineStr">
        <is>
          <t>d7e667a0a97ecacfe209ce0a9cf4fd59c02b4623</t>
        </is>
      </c>
      <c r="O909" s="14" t="n">
        <v>46186</v>
      </c>
      <c r="P909" s="7" t="inlineStr">
        <is>
          <t>jobspy</t>
        </is>
      </c>
      <c r="Q909" s="8" t="inlineStr">
        <is>
          <t>git, c</t>
        </is>
      </c>
      <c r="R909" s="8" t="inlineStr">
        <is>
          <t>Graduate Systems Engineer hardware software</t>
        </is>
      </c>
      <c r="S909" s="19" t="n"/>
      <c r="T909" s="19" t="n"/>
      <c r="U909" s="14" t="n">
        <v>46194</v>
      </c>
      <c r="V909" s="7" t="inlineStr">
        <is>
          <t>v2-cv-accuracy-13b988b18da8ea7d</t>
        </is>
      </c>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1.18</v>
      </c>
      <c r="C910" s="12" t="inlineStr">
        <is>
          <t>Senior/Lead</t>
        </is>
      </c>
      <c r="D910" s="8" t="inlineStr">
        <is>
          <t>Data Engineer</t>
        </is>
      </c>
      <c r="E910" s="7" t="inlineStr">
        <is>
          <t>eComplete Group</t>
        </is>
      </c>
      <c r="F910" s="8" t="inlineStr">
        <is>
          <t>England, United Kingdom</t>
        </is>
      </c>
      <c r="G910" s="8" t="n"/>
      <c r="H910" s="14" t="n"/>
      <c r="I910" s="15">
        <f>IF($H910="","",$H910-TODAY())</f>
        <v/>
      </c>
      <c r="J910" s="16" t="inlineStr">
        <is>
          <t>Open posting</t>
        </is>
      </c>
      <c r="K910" s="8" t="inlineStr">
        <is>
          <t>filtered by keyword pre-scan</t>
        </is>
      </c>
      <c r="L910" s="17" t="inlineStr">
        <is>
          <t>new</t>
        </is>
      </c>
      <c r="M910" s="18" t="inlineStr"/>
      <c r="N910" s="7" t="inlineStr">
        <is>
          <t>585b36a393744024d8a06683650b4a14bdf07829</t>
        </is>
      </c>
      <c r="O910" s="14" t="n">
        <v>46174</v>
      </c>
      <c r="P910" s="7" t="inlineStr">
        <is>
          <t>jobspy</t>
        </is>
      </c>
      <c r="Q910" s="8" t="inlineStr">
        <is>
          <t>python, sql, c</t>
        </is>
      </c>
      <c r="R910" s="8" t="inlineStr">
        <is>
          <t>Graduate Data Engineer Python SQL pipeline</t>
        </is>
      </c>
      <c r="S910" s="19" t="n"/>
      <c r="T910" s="19" t="n"/>
      <c r="U910" s="14" t="n">
        <v>46194</v>
      </c>
      <c r="V910" s="7" t="inlineStr">
        <is>
          <t>v2-cv-accuracy-13b988b18da8ea7d</t>
        </is>
      </c>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1.18</v>
      </c>
      <c r="C911" s="12" t="inlineStr">
        <is>
          <t>Unspecified</t>
        </is>
      </c>
      <c r="D911" s="8" t="inlineStr">
        <is>
          <t>Quantum Software Engineer (Calibration Team)</t>
        </is>
      </c>
      <c r="E911" s="7" t="inlineStr">
        <is>
          <t>Oxford Quantum Circuits (OQC)</t>
        </is>
      </c>
      <c r="F911" s="8" t="inlineStr">
        <is>
          <t>Reading, England, UK</t>
        </is>
      </c>
      <c r="G911" s="8" t="n"/>
      <c r="H911" s="14" t="n"/>
      <c r="I911" s="15">
        <f>IF($H911="","",$H911-TODAY())</f>
        <v/>
      </c>
      <c r="J911" s="16" t="inlineStr">
        <is>
          <t>Open posting</t>
        </is>
      </c>
      <c r="K911" s="8" t="inlineStr">
        <is>
          <t>filtered by keyword pre-scan</t>
        </is>
      </c>
      <c r="L911" s="17" t="inlineStr">
        <is>
          <t>new</t>
        </is>
      </c>
      <c r="M911" s="18" t="inlineStr"/>
      <c r="N911" s="7" t="inlineStr">
        <is>
          <t>810983e4663b94b284312b1534f02fb2d9edf0e2</t>
        </is>
      </c>
      <c r="O911" s="14" t="n">
        <v>46188</v>
      </c>
      <c r="P911" s="7" t="inlineStr">
        <is>
          <t>jobspy</t>
        </is>
      </c>
      <c r="Q911" s="8" t="inlineStr">
        <is>
          <t>python, git, c</t>
        </is>
      </c>
      <c r="R911" s="8" t="inlineStr">
        <is>
          <t>Embedded Software Engineer graduate C Python</t>
        </is>
      </c>
      <c r="S911" s="19" t="n"/>
      <c r="T911" s="19" t="n"/>
      <c r="U911" s="14" t="n">
        <v>46194</v>
      </c>
      <c r="V911" s="7" t="inlineStr">
        <is>
          <t>v2-cv-accuracy-13b988b18da8ea7d</t>
        </is>
      </c>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1.18</v>
      </c>
      <c r="C912" s="12" t="inlineStr">
        <is>
          <t>Unspecified</t>
        </is>
      </c>
      <c r="D912" s="8" t="inlineStr">
        <is>
          <t>Software Engineer</t>
        </is>
      </c>
      <c r="E912" s="7" t="inlineStr">
        <is>
          <t>Oriole</t>
        </is>
      </c>
      <c r="F912" s="8" t="inlineStr">
        <is>
          <t>London Area, United Kingdom</t>
        </is>
      </c>
      <c r="G912" s="8" t="n"/>
      <c r="H912" s="14" t="n"/>
      <c r="I912" s="15">
        <f>IF($H912="","",$H912-TODAY())</f>
        <v/>
      </c>
      <c r="J912" s="16" t="inlineStr">
        <is>
          <t>Open posting</t>
        </is>
      </c>
      <c r="K912" s="8" t="inlineStr">
        <is>
          <t>filtered by keyword pre-scan</t>
        </is>
      </c>
      <c r="L912" s="17" t="inlineStr">
        <is>
          <t>new</t>
        </is>
      </c>
      <c r="M912" s="18" t="inlineStr"/>
      <c r="N912" s="7" t="inlineStr">
        <is>
          <t>37add7735265a9a02a9350e981b4cf8327aa675a</t>
        </is>
      </c>
      <c r="O912" s="14" t="n">
        <v>46168</v>
      </c>
      <c r="P912" s="7" t="inlineStr">
        <is>
          <t>jobspy</t>
        </is>
      </c>
      <c r="Q912" s="8" t="inlineStr">
        <is>
          <t>python, c, hardware design</t>
        </is>
      </c>
      <c r="R912" s="8" t="inlineStr">
        <is>
          <t>Firmware Engineer Raspberry Pi embedded systems</t>
        </is>
      </c>
      <c r="S912" s="19" t="n"/>
      <c r="T912" s="19" t="n"/>
      <c r="U912" s="14" t="n">
        <v>46194</v>
      </c>
      <c r="V912" s="7" t="inlineStr">
        <is>
          <t>v2-cv-accuracy-13b988b18da8ea7d</t>
        </is>
      </c>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1.18</v>
      </c>
      <c r="C913" s="12" t="inlineStr">
        <is>
          <t>Mid-level</t>
        </is>
      </c>
      <c r="D913" s="8" t="inlineStr">
        <is>
          <t>Systems Engineer - Modelling &amp; Simulation (Seeker)</t>
        </is>
      </c>
      <c r="E913" s="7" t="inlineStr">
        <is>
          <t>MBDA</t>
        </is>
      </c>
      <c r="F913" s="8" t="inlineStr">
        <is>
          <t>Bristol, England, UK</t>
        </is>
      </c>
      <c r="G913" s="8" t="n"/>
      <c r="H913" s="14" t="n"/>
      <c r="I913" s="15">
        <f>IF($H913="","",$H913-TODAY())</f>
        <v/>
      </c>
      <c r="J913" s="16" t="inlineStr">
        <is>
          <t>Open posting</t>
        </is>
      </c>
      <c r="K913" s="8" t="inlineStr">
        <is>
          <t>filtered by keyword pre-scan</t>
        </is>
      </c>
      <c r="L913" s="17" t="inlineStr">
        <is>
          <t>new</t>
        </is>
      </c>
      <c r="M913" s="18" t="inlineStr"/>
      <c r="N913" s="7" t="inlineStr">
        <is>
          <t>42682d81c2d4326b290f14f1074ce57c768f8080</t>
        </is>
      </c>
      <c r="O913" s="14" t="n">
        <v>46185</v>
      </c>
      <c r="P913" s="7" t="inlineStr">
        <is>
          <t>jobspy</t>
        </is>
      </c>
      <c r="Q913" s="8" t="inlineStr">
        <is>
          <t>git, c</t>
        </is>
      </c>
      <c r="R913" s="8" t="inlineStr">
        <is>
          <t>Graduate Systems Engineer embedded hardware</t>
        </is>
      </c>
      <c r="S913" s="19" t="n"/>
      <c r="T913" s="19" t="n"/>
      <c r="U913" s="14" t="n">
        <v>46194</v>
      </c>
      <c r="V913" s="7" t="inlineStr">
        <is>
          <t>v2-cv-accuracy-13b988b18da8ea7d</t>
        </is>
      </c>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1.18</v>
      </c>
      <c r="C914" s="12" t="inlineStr">
        <is>
          <t>Mid-level</t>
        </is>
      </c>
      <c r="D914" s="8" t="inlineStr">
        <is>
          <t>Systems Engineer - Modelling &amp; Simulation (Seeker)</t>
        </is>
      </c>
      <c r="E914" s="7" t="inlineStr">
        <is>
          <t>MBDA</t>
        </is>
      </c>
      <c r="F914" s="8" t="inlineStr">
        <is>
          <t>Stevenage, England, UK</t>
        </is>
      </c>
      <c r="G914" s="8" t="n"/>
      <c r="H914" s="14" t="n"/>
      <c r="I914" s="15">
        <f>IF($H914="","",$H914-TODAY())</f>
        <v/>
      </c>
      <c r="J914" s="16" t="inlineStr">
        <is>
          <t>Open posting</t>
        </is>
      </c>
      <c r="K914" s="8" t="inlineStr">
        <is>
          <t>filtered by keyword pre-scan</t>
        </is>
      </c>
      <c r="L914" s="17" t="inlineStr">
        <is>
          <t>new</t>
        </is>
      </c>
      <c r="M914" s="18" t="inlineStr"/>
      <c r="N914" s="7" t="inlineStr">
        <is>
          <t>d5fb14595edbf04f63e349eb6184fcaad5621eb6</t>
        </is>
      </c>
      <c r="O914" s="14" t="n">
        <v>46185</v>
      </c>
      <c r="P914" s="7" t="inlineStr">
        <is>
          <t>jobspy</t>
        </is>
      </c>
      <c r="Q914" s="8" t="inlineStr">
        <is>
          <t>git, c</t>
        </is>
      </c>
      <c r="R914" s="8" t="inlineStr">
        <is>
          <t>Graduate Systems Engineer embedded hardware</t>
        </is>
      </c>
      <c r="S914" s="19" t="n"/>
      <c r="T914" s="19" t="n"/>
      <c r="U914" s="14" t="n">
        <v>46194</v>
      </c>
      <c r="V914" s="7" t="inlineStr">
        <is>
          <t>v2-cv-accuracy-13b988b18da8ea7d</t>
        </is>
      </c>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1.18</v>
      </c>
      <c r="C915" s="12" t="inlineStr">
        <is>
          <t>Unspecified</t>
        </is>
      </c>
      <c r="D915" s="8" t="inlineStr">
        <is>
          <t>Operational Technology Engineer</t>
        </is>
      </c>
      <c r="E915" s="7" t="inlineStr">
        <is>
          <t>AHEAD</t>
        </is>
      </c>
      <c r="F915" s="8" t="inlineStr">
        <is>
          <t>Reading, England, UK</t>
        </is>
      </c>
      <c r="G915" s="8" t="n"/>
      <c r="H915" s="14" t="n"/>
      <c r="I915" s="15">
        <f>IF($H915="","",$H915-TODAY())</f>
        <v/>
      </c>
      <c r="J915" s="16" t="inlineStr">
        <is>
          <t>Open posting</t>
        </is>
      </c>
      <c r="K915" s="8" t="inlineStr">
        <is>
          <t>filtered by keyword pre-scan</t>
        </is>
      </c>
      <c r="L915" s="17" t="inlineStr">
        <is>
          <t>new</t>
        </is>
      </c>
      <c r="M915" s="18" t="inlineStr"/>
      <c r="N915" s="7" t="inlineStr">
        <is>
          <t>b59f597bd0513d3e81e0e31c09c1311ada48d1d1</t>
        </is>
      </c>
      <c r="O915" s="14" t="n">
        <v>46183</v>
      </c>
      <c r="P915" s="7" t="inlineStr">
        <is>
          <t>jobspy</t>
        </is>
      </c>
      <c r="Q915" s="8" t="inlineStr">
        <is>
          <t>python, git, c</t>
        </is>
      </c>
      <c r="R915" s="8" t="inlineStr">
        <is>
          <t>Graduate Systems Engineer embedded hardware</t>
        </is>
      </c>
      <c r="S915" s="19" t="n"/>
      <c r="T915" s="19" t="n"/>
      <c r="U915" s="14" t="n">
        <v>46194</v>
      </c>
      <c r="V915" s="7" t="inlineStr">
        <is>
          <t>v2-cv-accuracy-13b988b18da8ea7d</t>
        </is>
      </c>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1.18</v>
      </c>
      <c r="C916" s="12" t="inlineStr">
        <is>
          <t>Unspecified</t>
        </is>
      </c>
      <c r="D916" s="8" t="inlineStr">
        <is>
          <t>Software Engineer - Robot Software</t>
        </is>
      </c>
      <c r="E916" s="7" t="inlineStr">
        <is>
          <t>CMR Surgical</t>
        </is>
      </c>
      <c r="F916" s="8" t="inlineStr">
        <is>
          <t>Cambridge, ENG, GB</t>
        </is>
      </c>
      <c r="G916" s="8" t="n"/>
      <c r="H916" s="14" t="n"/>
      <c r="I916" s="15">
        <f>IF($H916="","",$H916-TODAY())</f>
        <v/>
      </c>
      <c r="J916" s="16" t="inlineStr">
        <is>
          <t>Open posting</t>
        </is>
      </c>
      <c r="K916" s="8" t="inlineStr">
        <is>
          <t>filtered by keyword pre-scan</t>
        </is>
      </c>
      <c r="L916" s="17" t="inlineStr">
        <is>
          <t>new</t>
        </is>
      </c>
      <c r="M916" s="18" t="inlineStr"/>
      <c r="N916" s="7" t="inlineStr">
        <is>
          <t>0422d87ab02ea2536563a5f395b513ad76ec6e56</t>
        </is>
      </c>
      <c r="O916" s="14" t="n">
        <v>46185</v>
      </c>
      <c r="P916" s="7" t="inlineStr">
        <is>
          <t>jobspy</t>
        </is>
      </c>
      <c r="Q916" s="8" t="inlineStr">
        <is>
          <t>python, c</t>
        </is>
      </c>
      <c r="R916" s="8" t="inlineStr">
        <is>
          <t>Embedded Software Engineer C Python microcontroller</t>
        </is>
      </c>
      <c r="S916" s="19" t="n"/>
      <c r="T916" s="19" t="n"/>
      <c r="U916" s="14" t="n">
        <v>46194</v>
      </c>
      <c r="V916" s="7" t="inlineStr">
        <is>
          <t>v2-cv-accuracy-13b988b18da8ea7d</t>
        </is>
      </c>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1.18</v>
      </c>
      <c r="C917" s="12" t="inlineStr">
        <is>
          <t>Unspecified</t>
        </is>
      </c>
      <c r="D917" s="8" t="inlineStr">
        <is>
          <t>Control Systems Engineer</t>
        </is>
      </c>
      <c r="E917" s="7" t="inlineStr">
        <is>
          <t>Rolls-Royce</t>
        </is>
      </c>
      <c r="F917" s="8" t="inlineStr">
        <is>
          <t>Bristol, England, UK</t>
        </is>
      </c>
      <c r="G917" s="8" t="n"/>
      <c r="H917" s="14" t="n"/>
      <c r="I917" s="15">
        <f>IF($H917="","",$H917-TODAY())</f>
        <v/>
      </c>
      <c r="J917" s="16" t="inlineStr">
        <is>
          <t>Open posting</t>
        </is>
      </c>
      <c r="K917" s="8" t="inlineStr">
        <is>
          <t>filtered by keyword pre-scan</t>
        </is>
      </c>
      <c r="L917" s="17" t="inlineStr">
        <is>
          <t>new</t>
        </is>
      </c>
      <c r="M917" s="18" t="inlineStr"/>
      <c r="N917" s="7" t="inlineStr">
        <is>
          <t>e0acc83b93fe8651ba94807d8aea5e3358722dc8</t>
        </is>
      </c>
      <c r="O917" s="14" t="n">
        <v>46190</v>
      </c>
      <c r="P917" s="7" t="inlineStr">
        <is>
          <t>jobspy</t>
        </is>
      </c>
      <c r="Q917" s="8" t="inlineStr">
        <is>
          <t>git, c, embedded systems</t>
        </is>
      </c>
      <c r="R917" s="8" t="inlineStr">
        <is>
          <t>Graduate Aerospace Engineer embedded systems Sheffield</t>
        </is>
      </c>
      <c r="S917" s="19" t="n"/>
      <c r="T917" s="19" t="n"/>
      <c r="U917" s="14" t="n">
        <v>46194</v>
      </c>
      <c r="V917" s="7" t="inlineStr">
        <is>
          <t>v2-cv-accuracy-13b988b18da8ea7d</t>
        </is>
      </c>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1.18</v>
      </c>
      <c r="C918" s="12" t="inlineStr">
        <is>
          <t>Unspecified</t>
        </is>
      </c>
      <c r="D918" s="8" t="inlineStr">
        <is>
          <t>Software Engineer</t>
        </is>
      </c>
      <c r="E918" s="7" t="inlineStr">
        <is>
          <t>MDA Space</t>
        </is>
      </c>
      <c r="F918" s="8" t="inlineStr">
        <is>
          <t>Stevenage, England, UK</t>
        </is>
      </c>
      <c r="G918" s="8" t="n"/>
      <c r="H918" s="14" t="n"/>
      <c r="I918" s="15">
        <f>IF($H918="","",$H918-TODAY())</f>
        <v/>
      </c>
      <c r="J918" s="16" t="inlineStr">
        <is>
          <t>Open posting</t>
        </is>
      </c>
      <c r="K918" s="8" t="inlineStr">
        <is>
          <t>filtered by keyword pre-scan</t>
        </is>
      </c>
      <c r="L918" s="17" t="inlineStr">
        <is>
          <t>new</t>
        </is>
      </c>
      <c r="M918" s="18" t="inlineStr"/>
      <c r="N918" s="7" t="inlineStr">
        <is>
          <t>848f18e58d81a6a320f37c659987ccc2936e88c5</t>
        </is>
      </c>
      <c r="O918" s="14" t="n"/>
      <c r="P918" s="7" t="inlineStr">
        <is>
          <t>jobspy</t>
        </is>
      </c>
      <c r="Q918" s="8" t="inlineStr">
        <is>
          <t>python, git, c</t>
        </is>
      </c>
      <c r="R918" s="8" t="inlineStr">
        <is>
          <t>Graduate Embedded Engineer Python FPGA</t>
        </is>
      </c>
      <c r="S918" s="19" t="n"/>
      <c r="T918" s="19" t="n"/>
      <c r="U918" s="14" t="n">
        <v>46193</v>
      </c>
      <c r="V918" s="7" t="inlineStr">
        <is>
          <t>v2-cv-accuracy-13b988b18da8ea7d</t>
        </is>
      </c>
    </row>
    <row r="919" ht="28" customHeight="1">
      <c r="A919" s="12">
        <f>IF($L919="applied","Applied",IF($L919="interview","Interview",IF($L919="offer","Offer",IF($L919="rejected","Rejected",IF($L919="ignore","Ignore",IF($L919="archive","Archive",IF($L919="closed","Closed",IF($B919="","Unscored",IF(AND($B919&gt;=8,OR($H919="",$H919-TODAY()&lt;=14)),"P1 Apply",IF($B919&gt;=7,"P2 Strong",IF($B919&gt;=5,"P3 Maybe","P4 Low")))))))))))</f>
        <v/>
      </c>
      <c r="B919" s="13" t="n">
        <v>1.18</v>
      </c>
      <c r="C919" s="12" t="inlineStr">
        <is>
          <t>Mid-level</t>
        </is>
      </c>
      <c r="D919" s="8" t="inlineStr">
        <is>
          <t>Software Engineer - Leeds</t>
        </is>
      </c>
      <c r="E919" s="7" t="inlineStr">
        <is>
          <t>Accenture UK &amp; Ireland</t>
        </is>
      </c>
      <c r="F919" s="8" t="inlineStr">
        <is>
          <t>Leeds, England, UK</t>
        </is>
      </c>
      <c r="G919" s="8" t="n"/>
      <c r="H919" s="14" t="n"/>
      <c r="I919" s="15">
        <f>IF($H919="","",$H919-TODAY())</f>
        <v/>
      </c>
      <c r="J919" s="16" t="inlineStr">
        <is>
          <t>Open posting</t>
        </is>
      </c>
      <c r="K919" s="8" t="inlineStr">
        <is>
          <t>filtered by keyword pre-scan</t>
        </is>
      </c>
      <c r="L919" s="17" t="inlineStr">
        <is>
          <t>new</t>
        </is>
      </c>
      <c r="M919" s="18" t="inlineStr"/>
      <c r="N919" s="7" t="inlineStr">
        <is>
          <t>452100522462b765818fde520e4dd977f2c88218</t>
        </is>
      </c>
      <c r="O919" s="14" t="n">
        <v>46192</v>
      </c>
      <c r="P919" s="7" t="inlineStr">
        <is>
          <t>jobspy</t>
        </is>
      </c>
      <c r="Q919" s="8" t="inlineStr">
        <is>
          <t>python, git, c</t>
        </is>
      </c>
      <c r="R919" s="8" t="inlineStr">
        <is>
          <t>Junior Python Developer backend SQL Sheffield</t>
        </is>
      </c>
      <c r="S919" s="19" t="n"/>
      <c r="T919" s="19" t="n"/>
      <c r="U919" s="14" t="n">
        <v>46193</v>
      </c>
      <c r="V919" s="7" t="inlineStr">
        <is>
          <t>v2-cv-accuracy-13b988b18da8ea7d</t>
        </is>
      </c>
    </row>
    <row r="920" ht="28" customHeight="1">
      <c r="A920" s="12">
        <f>IF($L920="applied","Applied",IF($L920="interview","Interview",IF($L920="offer","Offer",IF($L920="rejected","Rejected",IF($L920="ignore","Ignore",IF($L920="archive","Archive",IF($L920="closed","Closed",IF($B920="","Unscored",IF(AND($B920&gt;=8,OR($H920="",$H920-TODAY()&lt;=14)),"P1 Apply",IF($B920&gt;=7,"P2 Strong",IF($B920&gt;=5,"P3 Maybe","P4 Low")))))))))))</f>
        <v/>
      </c>
      <c r="B920" s="13" t="n">
        <v>1.18</v>
      </c>
      <c r="C920" s="12" t="inlineStr">
        <is>
          <t>Unspecified</t>
        </is>
      </c>
      <c r="D920" s="8" t="inlineStr">
        <is>
          <t>Cloud DevOps Engineer</t>
        </is>
      </c>
      <c r="E920" s="7" t="inlineStr">
        <is>
          <t>British Business Bank</t>
        </is>
      </c>
      <c r="F920" s="8" t="inlineStr">
        <is>
          <t>Sheffield, England, UK</t>
        </is>
      </c>
      <c r="G920" s="8" t="n"/>
      <c r="H920" s="14" t="n"/>
      <c r="I920" s="15">
        <f>IF($H920="","",$H920-TODAY())</f>
        <v/>
      </c>
      <c r="J920" s="16" t="inlineStr">
        <is>
          <t>Open posting</t>
        </is>
      </c>
      <c r="K920" s="8" t="inlineStr">
        <is>
          <t>filtered by keyword pre-scan</t>
        </is>
      </c>
      <c r="L920" s="17" t="inlineStr">
        <is>
          <t>new</t>
        </is>
      </c>
      <c r="M920" s="18" t="inlineStr"/>
      <c r="N920" s="7" t="inlineStr">
        <is>
          <t>e0ca10c6390d46b5f4ff4d220cd9f6585b975d5a</t>
        </is>
      </c>
      <c r="O920" s="14" t="n">
        <v>46192</v>
      </c>
      <c r="P920" s="7" t="inlineStr">
        <is>
          <t>jobspy</t>
        </is>
      </c>
      <c r="Q920" s="8" t="inlineStr">
        <is>
          <t>python, git, c</t>
        </is>
      </c>
      <c r="R920" s="8" t="inlineStr">
        <is>
          <t>Graduate DevOps Engineer Python CI/CD Sheffield</t>
        </is>
      </c>
      <c r="S920" s="19" t="n"/>
      <c r="T920" s="19" t="n"/>
      <c r="U920" s="14" t="n">
        <v>46193</v>
      </c>
      <c r="V920" s="7" t="inlineStr">
        <is>
          <t>v2-cv-accuracy-13b988b18da8ea7d</t>
        </is>
      </c>
    </row>
    <row r="921" ht="28" customHeight="1">
      <c r="A921" s="12">
        <f>IF($L921="applied","Applied",IF($L921="interview","Interview",IF($L921="offer","Offer",IF($L921="rejected","Rejected",IF($L921="ignore","Ignore",IF($L921="archive","Archive",IF($L921="closed","Closed",IF($B921="","Unscored",IF(AND($B921&gt;=8,OR($H921="",$H921-TODAY()&lt;=14)),"P1 Apply",IF($B921&gt;=7,"P2 Strong",IF($B921&gt;=5,"P3 Maybe","P4 Low")))))))))))</f>
        <v/>
      </c>
      <c r="B921" s="13" t="n">
        <v>1.18</v>
      </c>
      <c r="C921" s="12" t="inlineStr">
        <is>
          <t>Senior/Lead</t>
        </is>
      </c>
      <c r="D921" s="8" t="inlineStr">
        <is>
          <t>Debug Validation Engineer — Multiple Levels</t>
        </is>
      </c>
      <c r="E921" s="7" t="inlineStr">
        <is>
          <t>Graphcore</t>
        </is>
      </c>
      <c r="F921" s="8" t="inlineStr">
        <is>
          <t>Bristol, UK</t>
        </is>
      </c>
      <c r="G921" s="8" t="n"/>
      <c r="H921" s="14" t="n"/>
      <c r="I921" s="15">
        <f>IF($H921="","",$H921-TODAY())</f>
        <v/>
      </c>
      <c r="J921" s="16" t="inlineStr">
        <is>
          <t>Open posting</t>
        </is>
      </c>
      <c r="K921" s="8" t="inlineStr">
        <is>
          <t>filtered by keyword pre-scan</t>
        </is>
      </c>
      <c r="L921" s="17" t="inlineStr">
        <is>
          <t>new</t>
        </is>
      </c>
      <c r="M921" s="18" t="inlineStr"/>
      <c r="N921" s="7" t="inlineStr">
        <is>
          <t>b7044108786d3a54a6621988359c3067a39d393b</t>
        </is>
      </c>
      <c r="O921" s="14" t="n">
        <v>46193</v>
      </c>
      <c r="P921" s="7" t="inlineStr">
        <is>
          <t>greenhouse:graphcore</t>
        </is>
      </c>
      <c r="Q921" s="8" t="inlineStr">
        <is>
          <t>python, git, c</t>
        </is>
      </c>
      <c r="R921" s="8" t="n"/>
      <c r="S921" s="19" t="n"/>
      <c r="T921" s="19" t="n"/>
      <c r="U921" s="14" t="n">
        <v>46193</v>
      </c>
      <c r="V921" s="7" t="inlineStr">
        <is>
          <t>v2-cv-accuracy-13b988b18da8ea7d</t>
        </is>
      </c>
    </row>
    <row r="922" ht="28" customHeight="1">
      <c r="A922" s="12">
        <f>IF($L922="applied","Applied",IF($L922="interview","Interview",IF($L922="offer","Offer",IF($L922="rejected","Rejected",IF($L922="ignore","Ignore",IF($L922="archive","Archive",IF($L922="closed","Closed",IF($B922="","Unscored",IF(AND($B922&gt;=8,OR($H922="",$H922-TODAY()&lt;=14)),"P1 Apply",IF($B922&gt;=7,"P2 Strong",IF($B922&gt;=5,"P3 Maybe","P4 Low")))))))))))</f>
        <v/>
      </c>
      <c r="B922" s="13" t="n">
        <v>1.18</v>
      </c>
      <c r="C922" s="12" t="inlineStr">
        <is>
          <t>Graduate/Entry</t>
        </is>
      </c>
      <c r="D922" s="8" t="inlineStr">
        <is>
          <t>2026 Technology Graduate Programme – Platform Engineer</t>
        </is>
      </c>
      <c r="E922" s="7" t="inlineStr">
        <is>
          <t>Man Group</t>
        </is>
      </c>
      <c r="F922" s="8" t="inlineStr">
        <is>
          <t>London, England, UK</t>
        </is>
      </c>
      <c r="G922" s="8" t="n"/>
      <c r="H922" s="14" t="n"/>
      <c r="I922" s="15">
        <f>IF($H922="","",$H922-TODAY())</f>
        <v/>
      </c>
      <c r="J922" s="16" t="inlineStr">
        <is>
          <t>Open posting</t>
        </is>
      </c>
      <c r="K922" s="8" t="inlineStr">
        <is>
          <t>filtered by keyword pre-scan</t>
        </is>
      </c>
      <c r="L922" s="17" t="inlineStr">
        <is>
          <t>new</t>
        </is>
      </c>
      <c r="M922" s="18" t="inlineStr"/>
      <c r="N922" s="7" t="inlineStr">
        <is>
          <t>5f218d77898a7eaf35df7983fe98d89e5a7ab555</t>
        </is>
      </c>
      <c r="O922" s="14" t="n">
        <v>46190</v>
      </c>
      <c r="P922" s="7" t="inlineStr">
        <is>
          <t>jobspy</t>
        </is>
      </c>
      <c r="Q922" s="8" t="inlineStr">
        <is>
          <t>python, git, c</t>
        </is>
      </c>
      <c r="R922" s="8" t="inlineStr">
        <is>
          <t>Graduate Software Engineer Python Docker</t>
        </is>
      </c>
      <c r="S922" s="19" t="n"/>
      <c r="T922" s="19" t="n"/>
      <c r="U922" s="14" t="n">
        <v>46193</v>
      </c>
      <c r="V922" s="7" t="inlineStr">
        <is>
          <t>v2-cv-accuracy-13b988b18da8ea7d</t>
        </is>
      </c>
    </row>
    <row r="923" ht="28" customHeight="1">
      <c r="A923" s="12">
        <f>IF($L923="applied","Applied",IF($L923="interview","Interview",IF($L923="offer","Offer",IF($L923="rejected","Rejected",IF($L923="ignore","Ignore",IF($L923="archive","Archive",IF($L923="closed","Closed",IF($B923="","Unscored",IF(AND($B923&gt;=8,OR($H923="",$H923-TODAY()&lt;=14)),"P1 Apply",IF($B923&gt;=7,"P2 Strong",IF($B923&gt;=5,"P3 Maybe","P4 Low")))))))))))</f>
        <v/>
      </c>
      <c r="B923" s="13" t="n">
        <v>1.18</v>
      </c>
      <c r="C923" s="12" t="inlineStr">
        <is>
          <t>Junior</t>
        </is>
      </c>
      <c r="D923" s="8" t="inlineStr">
        <is>
          <t>Python Software Engineer</t>
        </is>
      </c>
      <c r="E923" s="7" t="inlineStr">
        <is>
          <t>Cboe Global Markets</t>
        </is>
      </c>
      <c r="F923" s="8" t="inlineStr">
        <is>
          <t>London, England, UK</t>
        </is>
      </c>
      <c r="G923" s="8" t="n"/>
      <c r="H923" s="14" t="n"/>
      <c r="I923" s="15">
        <f>IF($H923="","",$H923-TODAY())</f>
        <v/>
      </c>
      <c r="J923" s="16" t="inlineStr">
        <is>
          <t>Open posting</t>
        </is>
      </c>
      <c r="K923" s="8" t="inlineStr">
        <is>
          <t>filtered by keyword pre-scan</t>
        </is>
      </c>
      <c r="L923" s="17" t="inlineStr">
        <is>
          <t>new</t>
        </is>
      </c>
      <c r="M923" s="18" t="inlineStr"/>
      <c r="N923" s="7" t="inlineStr">
        <is>
          <t>c0cf014f3d4b83ffda2decd47dd6dc52001f366a</t>
        </is>
      </c>
      <c r="O923" s="14" t="n">
        <v>46174</v>
      </c>
      <c r="P923" s="7" t="inlineStr">
        <is>
          <t>jobspy</t>
        </is>
      </c>
      <c r="Q923" s="8" t="inlineStr">
        <is>
          <t>python, sql, c</t>
        </is>
      </c>
      <c r="R923" s="8" t="inlineStr">
        <is>
          <t>Junior Python Developer SQL Docker</t>
        </is>
      </c>
      <c r="S923" s="19" t="n"/>
      <c r="T923" s="19" t="n"/>
      <c r="U923" s="14" t="n">
        <v>46193</v>
      </c>
      <c r="V923" s="7" t="inlineStr">
        <is>
          <t>v2-cv-accuracy-13b988b18da8ea7d</t>
        </is>
      </c>
    </row>
    <row r="924" ht="28" customHeight="1">
      <c r="A924" s="12">
        <f>IF($L924="applied","Applied",IF($L924="interview","Interview",IF($L924="offer","Offer",IF($L924="rejected","Rejected",IF($L924="ignore","Ignore",IF($L924="archive","Archive",IF($L924="closed","Closed",IF($B924="","Unscored",IF(AND($B924&gt;=8,OR($H924="",$H924-TODAY()&lt;=14)),"P1 Apply",IF($B924&gt;=7,"P2 Strong",IF($B924&gt;=5,"P3 Maybe","P4 Low")))))))))))</f>
        <v/>
      </c>
      <c r="B924" s="13" t="n">
        <v>1.18</v>
      </c>
      <c r="C924" s="12" t="inlineStr">
        <is>
          <t>Senior/Lead</t>
        </is>
      </c>
      <c r="D924" s="8" t="inlineStr">
        <is>
          <t>Software Development Engineer</t>
        </is>
      </c>
      <c r="E924" s="7" t="inlineStr">
        <is>
          <t>AMD</t>
        </is>
      </c>
      <c r="F924" s="8" t="inlineStr">
        <is>
          <t>Belfast, Northern Ireland, UK</t>
        </is>
      </c>
      <c r="G924" s="8" t="n"/>
      <c r="H924" s="14" t="n"/>
      <c r="I924" s="15">
        <f>IF($H924="","",$H924-TODAY())</f>
        <v/>
      </c>
      <c r="J924" s="16" t="inlineStr">
        <is>
          <t>Open posting</t>
        </is>
      </c>
      <c r="K924" s="8" t="inlineStr">
        <is>
          <t>filtered by keyword pre-scan</t>
        </is>
      </c>
      <c r="L924" s="17" t="inlineStr">
        <is>
          <t>new</t>
        </is>
      </c>
      <c r="M924" s="18" t="inlineStr"/>
      <c r="N924" s="7" t="inlineStr">
        <is>
          <t>4ebfc1a17c5cf2e46a7e54f9ef4e774b576862dc</t>
        </is>
      </c>
      <c r="O924" s="14" t="n">
        <v>46186</v>
      </c>
      <c r="P924" s="7" t="inlineStr">
        <is>
          <t>jobspy</t>
        </is>
      </c>
      <c r="Q924" s="8" t="inlineStr">
        <is>
          <t>python, c, embedded systems</t>
        </is>
      </c>
      <c r="R924" s="8" t="inlineStr">
        <is>
          <t>Embedded Systems Engineer FPGA DSP</t>
        </is>
      </c>
      <c r="S924" s="19" t="n"/>
      <c r="T924" s="19" t="n"/>
      <c r="U924" s="14" t="n">
        <v>46193</v>
      </c>
      <c r="V924" s="7" t="inlineStr">
        <is>
          <t>v2-cv-accuracy-13b988b18da8ea7d</t>
        </is>
      </c>
    </row>
    <row r="925" ht="28" customHeight="1">
      <c r="A925" s="12">
        <f>IF($L925="applied","Applied",IF($L925="interview","Interview",IF($L925="offer","Offer",IF($L925="rejected","Rejected",IF($L925="ignore","Ignore",IF($L925="archive","Archive",IF($L925="closed","Closed",IF($B925="","Unscored",IF(AND($B925&gt;=8,OR($H925="",$H925-TODAY()&lt;=14)),"P1 Apply",IF($B925&gt;=7,"P2 Strong",IF($B925&gt;=5,"P3 Maybe","P4 Low")))))))))))</f>
        <v/>
      </c>
      <c r="B925" s="13" t="n">
        <v>1.18</v>
      </c>
      <c r="C925" s="12" t="inlineStr">
        <is>
          <t>Junior</t>
        </is>
      </c>
      <c r="D925" s="8" t="inlineStr">
        <is>
          <t>AI Solutions Architect</t>
        </is>
      </c>
      <c r="E925" s="7" t="inlineStr">
        <is>
          <t>PHINIA</t>
        </is>
      </c>
      <c r="F925" s="8" t="inlineStr">
        <is>
          <t>Gillingham, ENG, GB</t>
        </is>
      </c>
      <c r="G925" s="8" t="n"/>
      <c r="H925" s="14" t="n"/>
      <c r="I925" s="15">
        <f>IF($H925="","",$H925-TODAY())</f>
        <v/>
      </c>
      <c r="J925" s="16" t="inlineStr">
        <is>
          <t>Open posting</t>
        </is>
      </c>
      <c r="K925" s="8" t="inlineStr">
        <is>
          <t>filtered by keyword pre-scan</t>
        </is>
      </c>
      <c r="L925" s="17" t="inlineStr">
        <is>
          <t>new</t>
        </is>
      </c>
      <c r="M925" s="18" t="inlineStr"/>
      <c r="N925" s="7" t="inlineStr">
        <is>
          <t>73801859da83ee360c3747866cb30af8ecc76aa1</t>
        </is>
      </c>
      <c r="O925" s="14" t="n">
        <v>46191</v>
      </c>
      <c r="P925" s="7" t="inlineStr">
        <is>
          <t>jobspy</t>
        </is>
      </c>
      <c r="Q925" s="8" t="inlineStr">
        <is>
          <t>docker, kubernetes, c</t>
        </is>
      </c>
      <c r="R925" s="8" t="inlineStr">
        <is>
          <t>Platform Engineer Docker Kubernetes Python</t>
        </is>
      </c>
      <c r="S925" s="19" t="n"/>
      <c r="T925" s="19" t="n"/>
      <c r="U925" s="14" t="n">
        <v>46193</v>
      </c>
      <c r="V925" s="7" t="inlineStr">
        <is>
          <t>v2-cv-accuracy-13b988b18da8ea7d</t>
        </is>
      </c>
    </row>
    <row r="926" ht="28" customHeight="1">
      <c r="A926" s="12">
        <f>IF($L926="applied","Applied",IF($L926="interview","Interview",IF($L926="offer","Offer",IF($L926="rejected","Rejected",IF($L926="ignore","Ignore",IF($L926="archive","Archive",IF($L926="closed","Closed",IF($B926="","Unscored",IF(AND($B926&gt;=8,OR($H926="",$H926-TODAY()&lt;=14)),"P1 Apply",IF($B926&gt;=7,"P2 Strong",IF($B926&gt;=5,"P3 Maybe","P4 Low")))))))))))</f>
        <v/>
      </c>
      <c r="B926" s="13" t="n">
        <v>1.18</v>
      </c>
      <c r="C926" s="12" t="inlineStr">
        <is>
          <t>Graduate/Entry</t>
        </is>
      </c>
      <c r="D926" s="8" t="inlineStr">
        <is>
          <t>Graduate Digital Analyst</t>
        </is>
      </c>
      <c r="E926" s="7" t="inlineStr">
        <is>
          <t>Progeny</t>
        </is>
      </c>
      <c r="F926" s="8" t="inlineStr">
        <is>
          <t>Leeds, England, UK</t>
        </is>
      </c>
      <c r="G926" s="8" t="n"/>
      <c r="H926" s="14" t="n"/>
      <c r="I926" s="15">
        <f>IF($H926="","",$H926-TODAY())</f>
        <v/>
      </c>
      <c r="J926" s="16" t="inlineStr">
        <is>
          <t>Open posting</t>
        </is>
      </c>
      <c r="K926" s="8" t="inlineStr">
        <is>
          <t>filtered by keyword pre-scan</t>
        </is>
      </c>
      <c r="L926" s="17" t="inlineStr">
        <is>
          <t>new</t>
        </is>
      </c>
      <c r="M926" s="18" t="inlineStr"/>
      <c r="N926" s="7" t="inlineStr">
        <is>
          <t>1f446b46c83442b35b71185773a82e8b8d462a65</t>
        </is>
      </c>
      <c r="O926" s="14" t="n">
        <v>46188</v>
      </c>
      <c r="P926" s="7" t="inlineStr">
        <is>
          <t>jobspy</t>
        </is>
      </c>
      <c r="Q926" s="8" t="inlineStr">
        <is>
          <t>api integration, git, c</t>
        </is>
      </c>
      <c r="R926" s="8" t="inlineStr">
        <is>
          <t>Graduate Computer Engineer Sheffield</t>
        </is>
      </c>
      <c r="S926" s="19" t="n"/>
      <c r="T926" s="19" t="n"/>
      <c r="U926" s="14" t="n">
        <v>46193</v>
      </c>
      <c r="V926" s="7" t="inlineStr">
        <is>
          <t>v2-cv-accuracy-13b988b18da8ea7d</t>
        </is>
      </c>
    </row>
    <row r="927" ht="28" customHeight="1">
      <c r="A927" s="12">
        <f>IF($L927="applied","Applied",IF($L927="interview","Interview",IF($L927="offer","Offer",IF($L927="rejected","Rejected",IF($L927="ignore","Ignore",IF($L927="archive","Archive",IF($L927="closed","Closed",IF($B927="","Unscored",IF(AND($B927&gt;=8,OR($H927="",$H927-TODAY()&lt;=14)),"P1 Apply",IF($B927&gt;=7,"P2 Strong",IF($B927&gt;=5,"P3 Maybe","P4 Low")))))))))))</f>
        <v/>
      </c>
      <c r="B927" s="13" t="n">
        <v>1.18</v>
      </c>
      <c r="C927" s="12" t="inlineStr">
        <is>
          <t>Unspecified</t>
        </is>
      </c>
      <c r="D927" s="8" t="inlineStr">
        <is>
          <t>Algorithms Engineer</t>
        </is>
      </c>
      <c r="E927" s="7" t="inlineStr">
        <is>
          <t>Expleo Group</t>
        </is>
      </c>
      <c r="F927" s="8" t="inlineStr">
        <is>
          <t>Greater Manchester, England, UK</t>
        </is>
      </c>
      <c r="G927" s="8" t="n"/>
      <c r="H927" s="14" t="n"/>
      <c r="I927" s="15">
        <f>IF($H927="","",$H927-TODAY())</f>
        <v/>
      </c>
      <c r="J927" s="16" t="inlineStr">
        <is>
          <t>Open posting</t>
        </is>
      </c>
      <c r="K927" s="8" t="inlineStr">
        <is>
          <t>filtered by keyword pre-scan</t>
        </is>
      </c>
      <c r="L927" s="17" t="inlineStr">
        <is>
          <t>new</t>
        </is>
      </c>
      <c r="M927" s="18" t="inlineStr"/>
      <c r="N927" s="7" t="inlineStr">
        <is>
          <t>71170b243de109d043ab69fd7b4c7f90cc3e549f</t>
        </is>
      </c>
      <c r="O927" s="14" t="n">
        <v>46191</v>
      </c>
      <c r="P927" s="7" t="inlineStr">
        <is>
          <t>jobspy</t>
        </is>
      </c>
      <c r="Q927" s="8" t="inlineStr">
        <is>
          <t>c, embedded systems</t>
        </is>
      </c>
      <c r="R927" s="8" t="inlineStr">
        <is>
          <t>Signal Processing Engineer DSP FPGA</t>
        </is>
      </c>
      <c r="S927" s="19" t="n"/>
      <c r="T927" s="19" t="n"/>
      <c r="U927" s="14" t="n">
        <v>46193</v>
      </c>
      <c r="V927" s="7" t="inlineStr">
        <is>
          <t>v2-cv-accuracy-13b988b18da8ea7d</t>
        </is>
      </c>
    </row>
    <row r="928" ht="28" customHeight="1">
      <c r="A928" s="12">
        <f>IF($L928="applied","Applied",IF($L928="interview","Interview",IF($L928="offer","Offer",IF($L928="rejected","Rejected",IF($L928="ignore","Ignore",IF($L928="archive","Archive",IF($L928="closed","Closed",IF($B928="","Unscored",IF(AND($B928&gt;=8,OR($H928="",$H928-TODAY()&lt;=14)),"P1 Apply",IF($B928&gt;=7,"P2 Strong",IF($B928&gt;=5,"P3 Maybe","P4 Low")))))))))))</f>
        <v/>
      </c>
      <c r="B928" s="13" t="n">
        <v>1.18</v>
      </c>
      <c r="C928" s="12" t="inlineStr">
        <is>
          <t>Graduate/Entry</t>
        </is>
      </c>
      <c r="D928" s="8" t="inlineStr">
        <is>
          <t>Graduate Software Engineer</t>
        </is>
      </c>
      <c r="E928" s="7" t="inlineStr">
        <is>
          <t>Advanced Resource Managers</t>
        </is>
      </c>
      <c r="F928" s="8" t="inlineStr">
        <is>
          <t>Guildford, England, UK</t>
        </is>
      </c>
      <c r="G928" s="8" t="n"/>
      <c r="H928" s="14" t="n"/>
      <c r="I928" s="15">
        <f>IF($H928="","",$H928-TODAY())</f>
        <v/>
      </c>
      <c r="J928" s="16" t="inlineStr">
        <is>
          <t>Open posting</t>
        </is>
      </c>
      <c r="K928" s="8" t="inlineStr">
        <is>
          <t>filtered by keyword pre-scan</t>
        </is>
      </c>
      <c r="L928" s="17" t="inlineStr">
        <is>
          <t>new</t>
        </is>
      </c>
      <c r="M928" s="18" t="inlineStr"/>
      <c r="N928" s="7" t="inlineStr">
        <is>
          <t>c03792c48642cb7d6b081c322b6d17c3fff34e91</t>
        </is>
      </c>
      <c r="O928" s="14" t="n">
        <v>46188</v>
      </c>
      <c r="P928" s="7" t="inlineStr">
        <is>
          <t>jobspy</t>
        </is>
      </c>
      <c r="Q928" s="8" t="inlineStr">
        <is>
          <t>python, c, javascript</t>
        </is>
      </c>
      <c r="R928" s="8" t="inlineStr">
        <is>
          <t>Junior Software Engineer Python backend</t>
        </is>
      </c>
      <c r="S928" s="19" t="n"/>
      <c r="T928" s="19" t="n"/>
      <c r="U928" s="14" t="n">
        <v>46193</v>
      </c>
      <c r="V928" s="7" t="inlineStr">
        <is>
          <t>v2-cv-accuracy-13b988b18da8ea7d</t>
        </is>
      </c>
    </row>
    <row r="929" ht="28" customHeight="1">
      <c r="A929" s="12">
        <f>IF($L929="applied","Applied",IF($L929="interview","Interview",IF($L929="offer","Offer",IF($L929="rejected","Rejected",IF($L929="ignore","Ignore",IF($L929="archive","Archive",IF($L929="closed","Closed",IF($B929="","Unscored",IF(AND($B929&gt;=8,OR($H929="",$H929-TODAY()&lt;=14)),"P1 Apply",IF($B929&gt;=7,"P2 Strong",IF($B929&gt;=5,"P3 Maybe","P4 Low")))))))))))</f>
        <v/>
      </c>
      <c r="B929" s="13" t="n">
        <v>1.18</v>
      </c>
      <c r="C929" s="12" t="inlineStr">
        <is>
          <t>Graduate/Entry</t>
        </is>
      </c>
      <c r="D929" s="8" t="inlineStr">
        <is>
          <t>Graduate Embedded Software Engineer</t>
        </is>
      </c>
      <c r="E929" s="7" t="inlineStr">
        <is>
          <t>Racelogic Limited</t>
        </is>
      </c>
      <c r="F929" s="8" t="inlineStr">
        <is>
          <t>Buckingham, ENG, GB</t>
        </is>
      </c>
      <c r="G929" s="8" t="n"/>
      <c r="H929" s="14" t="n"/>
      <c r="I929" s="15">
        <f>IF($H929="","",$H929-TODAY())</f>
        <v/>
      </c>
      <c r="J929" s="16" t="inlineStr">
        <is>
          <t>Open posting</t>
        </is>
      </c>
      <c r="K929" s="8" t="inlineStr">
        <is>
          <t>filtered by keyword pre-scan</t>
        </is>
      </c>
      <c r="L929" s="17" t="inlineStr">
        <is>
          <t>new</t>
        </is>
      </c>
      <c r="M929" s="18" t="inlineStr"/>
      <c r="N929" s="7" t="inlineStr">
        <is>
          <t>e749e7473869dad0299ab6fe635c1c1584e2cd03</t>
        </is>
      </c>
      <c r="O929" s="14" t="n">
        <v>46186</v>
      </c>
      <c r="P929" s="7" t="inlineStr">
        <is>
          <t>jobspy</t>
        </is>
      </c>
      <c r="Q929" s="8" t="inlineStr">
        <is>
          <t>python, c, embedded systems</t>
        </is>
      </c>
      <c r="R929" s="8" t="inlineStr">
        <is>
          <t>Graduate Systems Engineer embedded hardware software</t>
        </is>
      </c>
      <c r="S929" s="19" t="n"/>
      <c r="T929" s="19" t="n"/>
      <c r="U929" s="14" t="n">
        <v>46192</v>
      </c>
      <c r="V929" s="7" t="inlineStr">
        <is>
          <t>v2-cv-accuracy-13b988b18da8ea7d</t>
        </is>
      </c>
    </row>
    <row r="930" ht="28" customHeight="1">
      <c r="A930" s="12">
        <f>IF($L930="applied","Applied",IF($L930="interview","Interview",IF($L930="offer","Offer",IF($L930="rejected","Rejected",IF($L930="ignore","Ignore",IF($L930="archive","Archive",IF($L930="closed","Closed",IF($B930="","Unscored",IF(AND($B930&gt;=8,OR($H930="",$H930-TODAY()&lt;=14)),"P1 Apply",IF($B930&gt;=7,"P2 Strong",IF($B930&gt;=5,"P3 Maybe","P4 Low")))))))))))</f>
        <v/>
      </c>
      <c r="B930" s="13" t="n">
        <v>1.18</v>
      </c>
      <c r="C930" s="12" t="inlineStr">
        <is>
          <t>Unspecified</t>
        </is>
      </c>
      <c r="D930" s="8" t="inlineStr">
        <is>
          <t>System Engineer</t>
        </is>
      </c>
      <c r="E930" s="7" t="inlineStr">
        <is>
          <t>Applied Intuition</t>
        </is>
      </c>
      <c r="F930" s="8" t="inlineStr">
        <is>
          <t>London Area, United Kingdom</t>
        </is>
      </c>
      <c r="G930" s="8" t="n"/>
      <c r="H930" s="14" t="n"/>
      <c r="I930" s="15">
        <f>IF($H930="","",$H930-TODAY())</f>
        <v/>
      </c>
      <c r="J930" s="16" t="inlineStr">
        <is>
          <t>Open posting</t>
        </is>
      </c>
      <c r="K930" s="8" t="inlineStr">
        <is>
          <t>filtered by keyword pre-scan</t>
        </is>
      </c>
      <c r="L930" s="17" t="inlineStr">
        <is>
          <t>new</t>
        </is>
      </c>
      <c r="M930" s="18" t="inlineStr"/>
      <c r="N930" s="7" t="inlineStr">
        <is>
          <t>6f46c6c7404693aa5d3cec6616fb18cb3c5edcd1</t>
        </is>
      </c>
      <c r="O930" s="14" t="n">
        <v>46163</v>
      </c>
      <c r="P930" s="7" t="inlineStr">
        <is>
          <t>jobspy</t>
        </is>
      </c>
      <c r="Q930" s="8" t="inlineStr">
        <is>
          <t>python, c, embedded systems</t>
        </is>
      </c>
      <c r="R930" s="8" t="inlineStr">
        <is>
          <t>Graduate Systems Engineer embedded hardware software</t>
        </is>
      </c>
      <c r="S930" s="19" t="n"/>
      <c r="T930" s="19" t="n"/>
      <c r="U930" s="14" t="n">
        <v>46192</v>
      </c>
      <c r="V930" s="7" t="inlineStr">
        <is>
          <t>v2-cv-accuracy-13b988b18da8ea7d</t>
        </is>
      </c>
    </row>
    <row r="931" ht="28" customHeight="1">
      <c r="A931" s="12">
        <f>IF($L931="applied","Applied",IF($L931="interview","Interview",IF($L931="offer","Offer",IF($L931="rejected","Rejected",IF($L931="ignore","Ignore",IF($L931="archive","Archive",IF($L931="closed","Closed",IF($B931="","Unscored",IF(AND($B931&gt;=8,OR($H931="",$H931-TODAY()&lt;=14)),"P1 Apply",IF($B931&gt;=7,"P2 Strong",IF($B931&gt;=5,"P3 Maybe","P4 Low")))))))))))</f>
        <v/>
      </c>
      <c r="B931" s="13" t="n">
        <v>1.18</v>
      </c>
      <c r="C931" s="12" t="inlineStr">
        <is>
          <t>Unspecified</t>
        </is>
      </c>
      <c r="D931" s="8" t="inlineStr">
        <is>
          <t>AI Engineer</t>
        </is>
      </c>
      <c r="E931" s="7" t="inlineStr">
        <is>
          <t>Atwell Solutions</t>
        </is>
      </c>
      <c r="F931" s="8" t="inlineStr">
        <is>
          <t>West London, ENG, GB</t>
        </is>
      </c>
      <c r="G931" s="8" t="n"/>
      <c r="H931" s="14" t="n"/>
      <c r="I931" s="15">
        <f>IF($H931="","",$H931-TODAY())</f>
        <v/>
      </c>
      <c r="J931" s="16" t="inlineStr">
        <is>
          <t>Open posting</t>
        </is>
      </c>
      <c r="K931" s="8" t="inlineStr">
        <is>
          <t>filtered by keyword pre-scan</t>
        </is>
      </c>
      <c r="L931" s="17" t="inlineStr">
        <is>
          <t>new</t>
        </is>
      </c>
      <c r="M931" s="18" t="inlineStr"/>
      <c r="N931" s="7" t="inlineStr">
        <is>
          <t>4c3a2e0d5e15c3e2eb742e1b35d5cf9448235a5d</t>
        </is>
      </c>
      <c r="O931" s="14" t="n">
        <v>46177</v>
      </c>
      <c r="P931" s="7" t="inlineStr">
        <is>
          <t>jobspy</t>
        </is>
      </c>
      <c r="Q931" s="8" t="inlineStr">
        <is>
          <t>python, sql, c</t>
        </is>
      </c>
      <c r="R931" s="8" t="inlineStr">
        <is>
          <t>Graduate Data Engineer SQL Python pipeline</t>
        </is>
      </c>
      <c r="S931" s="19" t="n"/>
      <c r="T931" s="19" t="n"/>
      <c r="U931" s="14" t="n">
        <v>46192</v>
      </c>
      <c r="V931" s="7" t="inlineStr">
        <is>
          <t>v2-cv-accuracy-13b988b18da8ea7d</t>
        </is>
      </c>
    </row>
    <row r="932" ht="28" customHeight="1">
      <c r="A932" s="12">
        <f>IF($L932="applied","Applied",IF($L932="interview","Interview",IF($L932="offer","Offer",IF($L932="rejected","Rejected",IF($L932="ignore","Ignore",IF($L932="archive","Archive",IF($L932="closed","Closed",IF($B932="","Unscored",IF(AND($B932&gt;=8,OR($H932="",$H932-TODAY()&lt;=14)),"P1 Apply",IF($B932&gt;=7,"P2 Strong",IF($B932&gt;=5,"P3 Maybe","P4 Low")))))))))))</f>
        <v/>
      </c>
      <c r="B932" s="13" t="n">
        <v>1.18</v>
      </c>
      <c r="C932" s="12" t="inlineStr">
        <is>
          <t>Unspecified</t>
        </is>
      </c>
      <c r="D932" s="8" t="inlineStr">
        <is>
          <t>Data Engineer</t>
        </is>
      </c>
      <c r="E932" s="7" t="inlineStr">
        <is>
          <t>RocketFin</t>
        </is>
      </c>
      <c r="F932" s="8" t="inlineStr">
        <is>
          <t>London, England, UK</t>
        </is>
      </c>
      <c r="G932" s="8" t="n"/>
      <c r="H932" s="14" t="n"/>
      <c r="I932" s="15">
        <f>IF($H932="","",$H932-TODAY())</f>
        <v/>
      </c>
      <c r="J932" s="16" t="inlineStr">
        <is>
          <t>Open posting</t>
        </is>
      </c>
      <c r="K932" s="8" t="inlineStr">
        <is>
          <t>filtered by keyword pre-scan</t>
        </is>
      </c>
      <c r="L932" s="17" t="inlineStr">
        <is>
          <t>new</t>
        </is>
      </c>
      <c r="M932" s="18" t="inlineStr"/>
      <c r="N932" s="7" t="inlineStr">
        <is>
          <t>d340a44d10913d122f98608de01b7691c2d67011</t>
        </is>
      </c>
      <c r="O932" s="14" t="n">
        <v>46189</v>
      </c>
      <c r="P932" s="7" t="inlineStr">
        <is>
          <t>jobspy</t>
        </is>
      </c>
      <c r="Q932" s="8" t="inlineStr">
        <is>
          <t>python, sql, c</t>
        </is>
      </c>
      <c r="R932" s="8" t="inlineStr">
        <is>
          <t>Graduate Data Engineer SQL Python pipeline</t>
        </is>
      </c>
      <c r="S932" s="19" t="n"/>
      <c r="T932" s="19" t="n"/>
      <c r="U932" s="14" t="n">
        <v>46192</v>
      </c>
      <c r="V932" s="7" t="inlineStr">
        <is>
          <t>v2-cv-accuracy-13b988b18da8ea7d</t>
        </is>
      </c>
    </row>
    <row r="933" ht="28" customHeight="1">
      <c r="A933" s="12">
        <f>IF($L933="applied","Applied",IF($L933="interview","Interview",IF($L933="offer","Offer",IF($L933="rejected","Rejected",IF($L933="ignore","Ignore",IF($L933="archive","Archive",IF($L933="closed","Closed",IF($B933="","Unscored",IF(AND($B933&gt;=8,OR($H933="",$H933-TODAY()&lt;=14)),"P1 Apply",IF($B933&gt;=7,"P2 Strong",IF($B933&gt;=5,"P3 Maybe","P4 Low")))))))))))</f>
        <v/>
      </c>
      <c r="B933" s="13" t="n">
        <v>1.18</v>
      </c>
      <c r="C933" s="12" t="inlineStr">
        <is>
          <t>Unspecified</t>
        </is>
      </c>
      <c r="D933" s="8" t="inlineStr">
        <is>
          <t>Data Analytics Engineer</t>
        </is>
      </c>
      <c r="E933" s="7" t="inlineStr">
        <is>
          <t>Reassured</t>
        </is>
      </c>
      <c r="F933" s="8" t="inlineStr">
        <is>
          <t>Basingstoke, England, UK</t>
        </is>
      </c>
      <c r="G933" s="8" t="n"/>
      <c r="H933" s="14" t="n"/>
      <c r="I933" s="15">
        <f>IF($H933="","",$H933-TODAY())</f>
        <v/>
      </c>
      <c r="J933" s="16" t="inlineStr">
        <is>
          <t>Open posting</t>
        </is>
      </c>
      <c r="K933" s="8" t="inlineStr">
        <is>
          <t>filtered by keyword pre-scan</t>
        </is>
      </c>
      <c r="L933" s="17" t="inlineStr">
        <is>
          <t>new</t>
        </is>
      </c>
      <c r="M933" s="18" t="inlineStr"/>
      <c r="N933" s="7" t="inlineStr">
        <is>
          <t>56f44d154c0c2d28895ae5e9f33eb73c5e6448d8</t>
        </is>
      </c>
      <c r="O933" s="14" t="n">
        <v>46176</v>
      </c>
      <c r="P933" s="7" t="inlineStr">
        <is>
          <t>jobspy</t>
        </is>
      </c>
      <c r="Q933" s="8" t="inlineStr">
        <is>
          <t>python, sql, c</t>
        </is>
      </c>
      <c r="R933" s="8" t="inlineStr">
        <is>
          <t>Graduate Data Engineer SQL Python pipeline</t>
        </is>
      </c>
      <c r="S933" s="19" t="n"/>
      <c r="T933" s="19" t="n"/>
      <c r="U933" s="14" t="n">
        <v>46192</v>
      </c>
      <c r="V933" s="7" t="inlineStr">
        <is>
          <t>v2-cv-accuracy-13b988b18da8ea7d</t>
        </is>
      </c>
    </row>
    <row r="934" ht="28" customHeight="1">
      <c r="A934" s="12">
        <f>IF($L934="applied","Applied",IF($L934="interview","Interview",IF($L934="offer","Offer",IF($L934="rejected","Rejected",IF($L934="ignore","Ignore",IF($L934="archive","Archive",IF($L934="closed","Closed",IF($B934="","Unscored",IF(AND($B934&gt;=8,OR($H934="",$H934-TODAY()&lt;=14)),"P1 Apply",IF($B934&gt;=7,"P2 Strong",IF($B934&gt;=5,"P3 Maybe","P4 Low")))))))))))</f>
        <v/>
      </c>
      <c r="B934" s="13" t="n">
        <v>1.18</v>
      </c>
      <c r="C934" s="12" t="inlineStr">
        <is>
          <t>Junior</t>
        </is>
      </c>
      <c r="D934" s="8" t="inlineStr">
        <is>
          <t>Data Engineer (AI / LLM Exposure) | Macro Hedge Fund</t>
        </is>
      </c>
      <c r="E934" s="7" t="inlineStr">
        <is>
          <t>Selby Jennings</t>
        </is>
      </c>
      <c r="F934" s="8" t="inlineStr">
        <is>
          <t>City Of London, England, UK</t>
        </is>
      </c>
      <c r="G934" s="8" t="n"/>
      <c r="H934" s="14" t="n"/>
      <c r="I934" s="15">
        <f>IF($H934="","",$H934-TODAY())</f>
        <v/>
      </c>
      <c r="J934" s="16" t="inlineStr">
        <is>
          <t>Open posting</t>
        </is>
      </c>
      <c r="K934" s="8" t="inlineStr">
        <is>
          <t>filtered by keyword pre-scan</t>
        </is>
      </c>
      <c r="L934" s="17" t="inlineStr">
        <is>
          <t>new</t>
        </is>
      </c>
      <c r="M934" s="18" t="inlineStr"/>
      <c r="N934" s="7" t="inlineStr">
        <is>
          <t>41ac254687b6311d56c984058568275f13a7cf4e</t>
        </is>
      </c>
      <c r="O934" s="14" t="n">
        <v>46174</v>
      </c>
      <c r="P934" s="7" t="inlineStr">
        <is>
          <t>jobspy</t>
        </is>
      </c>
      <c r="Q934" s="8" t="inlineStr">
        <is>
          <t>python, sql, c</t>
        </is>
      </c>
      <c r="R934" s="8" t="inlineStr">
        <is>
          <t>Graduate Data Engineer SQL Python pipeline</t>
        </is>
      </c>
      <c r="S934" s="19" t="n"/>
      <c r="T934" s="19" t="n"/>
      <c r="U934" s="14" t="n">
        <v>46192</v>
      </c>
      <c r="V934" s="7" t="inlineStr">
        <is>
          <t>v2-cv-accuracy-13b988b18da8ea7d</t>
        </is>
      </c>
    </row>
    <row r="935" ht="28" customHeight="1">
      <c r="A935" s="12">
        <f>IF($L935="applied","Applied",IF($L935="interview","Interview",IF($L935="offer","Offer",IF($L935="rejected","Rejected",IF($L935="ignore","Ignore",IF($L935="archive","Archive",IF($L935="closed","Closed",IF($B935="","Unscored",IF(AND($B935&gt;=8,OR($H935="",$H935-TODAY()&lt;=14)),"P1 Apply",IF($B935&gt;=7,"P2 Strong",IF($B935&gt;=5,"P3 Maybe","P4 Low")))))))))))</f>
        <v/>
      </c>
      <c r="B935" s="13" t="n">
        <v>1.18</v>
      </c>
      <c r="C935" s="12" t="inlineStr">
        <is>
          <t>Unspecified</t>
        </is>
      </c>
      <c r="D935" s="8" t="inlineStr">
        <is>
          <t>Digital Buildings System Engineer</t>
        </is>
      </c>
      <c r="E935" s="7" t="inlineStr">
        <is>
          <t>FPC Global</t>
        </is>
      </c>
      <c r="F935" s="8" t="inlineStr">
        <is>
          <t>London, England, UK</t>
        </is>
      </c>
      <c r="G935" s="8" t="n"/>
      <c r="H935" s="14" t="n"/>
      <c r="I935" s="15">
        <f>IF($H935="","",$H935-TODAY())</f>
        <v/>
      </c>
      <c r="J935" s="16" t="inlineStr">
        <is>
          <t>Open posting</t>
        </is>
      </c>
      <c r="K935" s="8" t="inlineStr">
        <is>
          <t>filtered by keyword pre-scan</t>
        </is>
      </c>
      <c r="L935" s="17" t="inlineStr">
        <is>
          <t>new</t>
        </is>
      </c>
      <c r="M935" s="18" t="inlineStr"/>
      <c r="N935" s="7" t="inlineStr">
        <is>
          <t>64bd690d84236253fe46a172d04edeee972f177a</t>
        </is>
      </c>
      <c r="O935" s="14" t="n">
        <v>46174</v>
      </c>
      <c r="P935" s="7" t="inlineStr">
        <is>
          <t>jobspy</t>
        </is>
      </c>
      <c r="Q935" s="8" t="inlineStr">
        <is>
          <t>lorawan, git, c</t>
        </is>
      </c>
      <c r="R935" s="8" t="inlineStr">
        <is>
          <t>Graduate Systems Engineer hardware software</t>
        </is>
      </c>
      <c r="S935" s="19" t="n"/>
      <c r="T935" s="19" t="n"/>
      <c r="U935" s="14" t="n">
        <v>46192</v>
      </c>
      <c r="V935" s="7" t="inlineStr">
        <is>
          <t>v2-cv-accuracy-13b988b18da8ea7d</t>
        </is>
      </c>
    </row>
    <row r="936" ht="28" customHeight="1">
      <c r="A936" s="12">
        <f>IF($L936="applied","Applied",IF($L936="interview","Interview",IF($L936="offer","Offer",IF($L936="rejected","Rejected",IF($L936="ignore","Ignore",IF($L936="archive","Archive",IF($L936="closed","Closed",IF($B936="","Unscored",IF(AND($B936&gt;=8,OR($H936="",$H936-TODAY()&lt;=14)),"P1 Apply",IF($B936&gt;=7,"P2 Strong",IF($B936&gt;=5,"P3 Maybe","P4 Low")))))))))))</f>
        <v/>
      </c>
      <c r="B936" s="13" t="n">
        <v>1.18</v>
      </c>
      <c r="C936" s="12" t="inlineStr">
        <is>
          <t>Senior/Lead</t>
        </is>
      </c>
      <c r="D936" s="8" t="inlineStr">
        <is>
          <t>Data Engineer _ London_ Permanent</t>
        </is>
      </c>
      <c r="E936" s="7" t="inlineStr">
        <is>
          <t>Accion Labs</t>
        </is>
      </c>
      <c r="F936" s="8" t="inlineStr">
        <is>
          <t>London Area, United Kingdom</t>
        </is>
      </c>
      <c r="G936" s="8" t="n"/>
      <c r="H936" s="14" t="n"/>
      <c r="I936" s="15">
        <f>IF($H936="","",$H936-TODAY())</f>
        <v/>
      </c>
      <c r="J936" s="16" t="inlineStr">
        <is>
          <t>Open posting</t>
        </is>
      </c>
      <c r="K936" s="8" t="inlineStr">
        <is>
          <t>filtered by keyword pre-scan</t>
        </is>
      </c>
      <c r="L936" s="17" t="inlineStr">
        <is>
          <t>new</t>
        </is>
      </c>
      <c r="M936" s="18" t="inlineStr"/>
      <c r="N936" s="7" t="inlineStr">
        <is>
          <t>114b6260fee13842fdc15cb679edfed3d8ace2eb</t>
        </is>
      </c>
      <c r="O936" s="14" t="n">
        <v>46190</v>
      </c>
      <c r="P936" s="7" t="inlineStr">
        <is>
          <t>jobspy</t>
        </is>
      </c>
      <c r="Q936" s="8" t="inlineStr">
        <is>
          <t>python, sql, c</t>
        </is>
      </c>
      <c r="R936" s="8" t="inlineStr">
        <is>
          <t>Graduate Data Engineer SQL Python pipeline</t>
        </is>
      </c>
      <c r="S936" s="19" t="n"/>
      <c r="T936" s="19" t="n"/>
      <c r="U936" s="14" t="n">
        <v>46192</v>
      </c>
      <c r="V936" s="7" t="inlineStr">
        <is>
          <t>v2-cv-accuracy-13b988b18da8ea7d</t>
        </is>
      </c>
    </row>
    <row r="937" ht="28" customHeight="1">
      <c r="A937" s="12">
        <f>IF($L937="applied","Applied",IF($L937="interview","Interview",IF($L937="offer","Offer",IF($L937="rejected","Rejected",IF($L937="ignore","Ignore",IF($L937="archive","Archive",IF($L937="closed","Closed",IF($B937="","Unscored",IF(AND($B937&gt;=8,OR($H937="",$H937-TODAY()&lt;=14)),"P1 Apply",IF($B937&gt;=7,"P2 Strong",IF($B937&gt;=5,"P3 Maybe","P4 Low")))))))))))</f>
        <v/>
      </c>
      <c r="B937" s="13" t="n">
        <v>1.18</v>
      </c>
      <c r="C937" s="12" t="inlineStr">
        <is>
          <t>Senior/Lead</t>
        </is>
      </c>
      <c r="D937" s="8" t="inlineStr">
        <is>
          <t>Cloud Platform Engineer</t>
        </is>
      </c>
      <c r="E937" s="7" t="inlineStr">
        <is>
          <t>Checkout.com</t>
        </is>
      </c>
      <c r="F937" s="8" t="inlineStr">
        <is>
          <t>London, England, UK</t>
        </is>
      </c>
      <c r="G937" s="8" t="n"/>
      <c r="H937" s="14" t="n"/>
      <c r="I937" s="15">
        <f>IF($H937="","",$H937-TODAY())</f>
        <v/>
      </c>
      <c r="J937" s="16" t="inlineStr">
        <is>
          <t>Open posting</t>
        </is>
      </c>
      <c r="K937" s="8" t="inlineStr">
        <is>
          <t>filtered by keyword pre-scan</t>
        </is>
      </c>
      <c r="L937" s="17" t="inlineStr">
        <is>
          <t>new</t>
        </is>
      </c>
      <c r="M937" s="18" t="inlineStr"/>
      <c r="N937" s="7" t="inlineStr">
        <is>
          <t>0f8807b062e10632369f04a5f6395d34e50a33e4</t>
        </is>
      </c>
      <c r="O937" s="14" t="n"/>
      <c r="P937" s="7" t="inlineStr">
        <is>
          <t>jobspy</t>
        </is>
      </c>
      <c r="Q937" s="8" t="inlineStr">
        <is>
          <t>kubernetes, git, c</t>
        </is>
      </c>
      <c r="R937" s="8" t="inlineStr">
        <is>
          <t>Graduate DevOps Engineer Docker Kubernetes Python</t>
        </is>
      </c>
      <c r="S937" s="19" t="n"/>
      <c r="T937" s="19" t="n"/>
      <c r="U937" s="14" t="n">
        <v>46192</v>
      </c>
      <c r="V937" s="7" t="inlineStr">
        <is>
          <t>v2-cv-accuracy-13b988b18da8ea7d</t>
        </is>
      </c>
    </row>
    <row r="938" ht="28" customHeight="1">
      <c r="A938" s="12">
        <f>IF($L938="applied","Applied",IF($L938="interview","Interview",IF($L938="offer","Offer",IF($L938="rejected","Rejected",IF($L938="ignore","Ignore",IF($L938="archive","Archive",IF($L938="closed","Closed",IF($B938="","Unscored",IF(AND($B938&gt;=8,OR($H938="",$H938-TODAY()&lt;=14)),"P1 Apply",IF($B938&gt;=7,"P2 Strong",IF($B938&gt;=5,"P3 Maybe","P4 Low")))))))))))</f>
        <v/>
      </c>
      <c r="B938" s="13" t="n">
        <v>1.18</v>
      </c>
      <c r="C938" s="12" t="inlineStr">
        <is>
          <t>Senior/Lead</t>
        </is>
      </c>
      <c r="D938" s="8" t="inlineStr">
        <is>
          <t>Modelling &amp; Simulation Engineer – Training Provided</t>
        </is>
      </c>
      <c r="E938" s="7" t="inlineStr">
        <is>
          <t>Stirling Dynamics</t>
        </is>
      </c>
      <c r="F938" s="8" t="inlineStr">
        <is>
          <t>Bristol, ENG, GB</t>
        </is>
      </c>
      <c r="G938" s="8" t="n"/>
      <c r="H938" s="14" t="n"/>
      <c r="I938" s="15">
        <f>IF($H938="","",$H938-TODAY())</f>
        <v/>
      </c>
      <c r="J938" s="16" t="inlineStr">
        <is>
          <t>Open posting</t>
        </is>
      </c>
      <c r="K938" s="8" t="inlineStr">
        <is>
          <t>filtered by keyword pre-scan</t>
        </is>
      </c>
      <c r="L938" s="17" t="inlineStr">
        <is>
          <t>new</t>
        </is>
      </c>
      <c r="M938" s="18" t="inlineStr"/>
      <c r="N938" s="7" t="inlineStr">
        <is>
          <t>e54d34a02c3cf6a901b898dd467571e8072f9878</t>
        </is>
      </c>
      <c r="O938" s="14" t="n">
        <v>46163</v>
      </c>
      <c r="P938" s="7" t="inlineStr">
        <is>
          <t>jobspy</t>
        </is>
      </c>
      <c r="Q938" s="8" t="inlineStr">
        <is>
          <t>python, c, embedded systems</t>
        </is>
      </c>
      <c r="R938" s="8" t="inlineStr">
        <is>
          <t>Graduate Aerospace Engineer embedded systems UK</t>
        </is>
      </c>
      <c r="S938" s="19" t="n"/>
      <c r="T938" s="19" t="n"/>
      <c r="U938" s="14" t="n">
        <v>46192</v>
      </c>
      <c r="V938" s="7" t="inlineStr">
        <is>
          <t>v2-cv-accuracy-13b988b18da8ea7d</t>
        </is>
      </c>
    </row>
    <row r="939" ht="28" customHeight="1">
      <c r="A939" s="12">
        <f>IF($L939="applied","Applied",IF($L939="interview","Interview",IF($L939="offer","Offer",IF($L939="rejected","Rejected",IF($L939="ignore","Ignore",IF($L939="archive","Archive",IF($L939="closed","Closed",IF($B939="","Unscored",IF(AND($B939&gt;=8,OR($H939="",$H939-TODAY()&lt;=14)),"P1 Apply",IF($B939&gt;=7,"P2 Strong",IF($B939&gt;=5,"P3 Maybe","P4 Low")))))))))))</f>
        <v/>
      </c>
      <c r="B939" s="13" t="n">
        <v>1.18</v>
      </c>
      <c r="C939" s="12" t="inlineStr">
        <is>
          <t>Graduate/Entry</t>
        </is>
      </c>
      <c r="D939" s="8" t="inlineStr">
        <is>
          <t>Graduate Engineer</t>
        </is>
      </c>
      <c r="E939" s="7" t="inlineStr">
        <is>
          <t>Fyous</t>
        </is>
      </c>
      <c r="F939" s="8" t="inlineStr">
        <is>
          <t>Sheffield, England, UK</t>
        </is>
      </c>
      <c r="G939" s="8" t="n"/>
      <c r="H939" s="14" t="n"/>
      <c r="I939" s="15">
        <f>IF($H939="","",$H939-TODAY())</f>
        <v/>
      </c>
      <c r="J939" s="16" t="inlineStr">
        <is>
          <t>Open posting</t>
        </is>
      </c>
      <c r="K939" s="8" t="inlineStr">
        <is>
          <t>filtered by keyword pre-scan</t>
        </is>
      </c>
      <c r="L939" s="17" t="inlineStr">
        <is>
          <t>new</t>
        </is>
      </c>
      <c r="M939" s="18" t="inlineStr"/>
      <c r="N939" s="7" t="inlineStr">
        <is>
          <t>bb551044dd07562df937e92cb0ad7c7cd65cf6c3</t>
        </is>
      </c>
      <c r="O939" s="14" t="n">
        <v>46185</v>
      </c>
      <c r="P939" s="7" t="inlineStr">
        <is>
          <t>jobspy</t>
        </is>
      </c>
      <c r="Q939" s="8" t="inlineStr">
        <is>
          <t>git, solidworks, c</t>
        </is>
      </c>
      <c r="R939" s="8" t="inlineStr">
        <is>
          <t>Graduate Electronics Engineer Sheffield</t>
        </is>
      </c>
      <c r="S939" s="19" t="n"/>
      <c r="T939" s="19" t="n"/>
      <c r="U939" s="14" t="n">
        <v>46192</v>
      </c>
      <c r="V939" s="7" t="inlineStr">
        <is>
          <t>v2-cv-accuracy-13b988b18da8ea7d</t>
        </is>
      </c>
    </row>
    <row r="940" ht="28" customHeight="1">
      <c r="A940" s="12">
        <f>IF($L940="applied","Applied",IF($L940="interview","Interview",IF($L940="offer","Offer",IF($L940="rejected","Rejected",IF($L940="ignore","Ignore",IF($L940="archive","Archive",IF($L940="closed","Closed",IF($B940="","Unscored",IF(AND($B940&gt;=8,OR($H940="",$H940-TODAY()&lt;=14)),"P1 Apply",IF($B940&gt;=7,"P2 Strong",IF($B940&gt;=5,"P3 Maybe","P4 Low")))))))))))</f>
        <v/>
      </c>
      <c r="B940" s="13" t="n">
        <v>1.18</v>
      </c>
      <c r="C940" s="12" t="inlineStr">
        <is>
          <t>Unspecified</t>
        </is>
      </c>
      <c r="D940" s="8" t="inlineStr">
        <is>
          <t>Embedded Software Engineer</t>
        </is>
      </c>
      <c r="E940" s="7" t="inlineStr">
        <is>
          <t>IC Resources</t>
        </is>
      </c>
      <c r="F940" s="8" t="inlineStr">
        <is>
          <t>West Berkshire, England, UK</t>
        </is>
      </c>
      <c r="G940" s="8" t="n"/>
      <c r="H940" s="14" t="n"/>
      <c r="I940" s="15">
        <f>IF($H940="","",$H940-TODAY())</f>
        <v/>
      </c>
      <c r="J940" s="16" t="inlineStr">
        <is>
          <t>Open posting</t>
        </is>
      </c>
      <c r="K940" s="8" t="inlineStr">
        <is>
          <t>filtered by keyword pre-scan</t>
        </is>
      </c>
      <c r="L940" s="17" t="inlineStr">
        <is>
          <t>new</t>
        </is>
      </c>
      <c r="M940" s="18" t="inlineStr"/>
      <c r="N940" s="7" t="inlineStr">
        <is>
          <t>4e53bd874bef7f9c36ddb2e36767497bc45f421a</t>
        </is>
      </c>
      <c r="O940" s="14" t="n"/>
      <c r="P940" s="7" t="inlineStr">
        <is>
          <t>jobspy</t>
        </is>
      </c>
      <c r="Q940" s="8" t="inlineStr">
        <is>
          <t>stm32, c, embedded systems</t>
        </is>
      </c>
      <c r="R940" s="8" t="inlineStr">
        <is>
          <t>Junior Embedded Software Engineer STM32</t>
        </is>
      </c>
      <c r="S940" s="19" t="n"/>
      <c r="T940" s="19" t="n"/>
      <c r="U940" s="14" t="n">
        <v>46192</v>
      </c>
      <c r="V940" s="7" t="inlineStr">
        <is>
          <t>v2-cv-accuracy-13b988b18da8ea7d</t>
        </is>
      </c>
    </row>
    <row r="941" ht="28" customHeight="1">
      <c r="A941" s="12">
        <f>IF($L941="applied","Applied",IF($L941="interview","Interview",IF($L941="offer","Offer",IF($L941="rejected","Rejected",IF($L941="ignore","Ignore",IF($L941="archive","Archive",IF($L941="closed","Closed",IF($B941="","Unscored",IF(AND($B941&gt;=8,OR($H941="",$H941-TODAY()&lt;=14)),"P1 Apply",IF($B941&gt;=7,"P2 Strong",IF($B941&gt;=5,"P3 Maybe","P4 Low")))))))))))</f>
        <v/>
      </c>
      <c r="B941" s="13" t="n">
        <v>1.18</v>
      </c>
      <c r="C941" s="12" t="inlineStr">
        <is>
          <t>Junior</t>
        </is>
      </c>
      <c r="D941" s="8" t="inlineStr">
        <is>
          <t>Junior Software Engineer</t>
        </is>
      </c>
      <c r="E941" s="7" t="inlineStr">
        <is>
          <t>FundApps</t>
        </is>
      </c>
      <c r="F941" s="8" t="inlineStr">
        <is>
          <t>London Area, United Kingdom</t>
        </is>
      </c>
      <c r="G941" s="8" t="n"/>
      <c r="H941" s="14" t="n"/>
      <c r="I941" s="15">
        <f>IF($H941="","",$H941-TODAY())</f>
        <v/>
      </c>
      <c r="J941" s="16" t="inlineStr">
        <is>
          <t>Open posting</t>
        </is>
      </c>
      <c r="K941" s="8" t="inlineStr">
        <is>
          <t>filtered by keyword pre-scan</t>
        </is>
      </c>
      <c r="L941" s="17" t="inlineStr">
        <is>
          <t>new</t>
        </is>
      </c>
      <c r="M941" s="18" t="inlineStr"/>
      <c r="N941" s="7" t="inlineStr">
        <is>
          <t>dceaeacee35e21976f68e4bd856565f82c3cd7ad</t>
        </is>
      </c>
      <c r="O941" s="14" t="n">
        <v>46185</v>
      </c>
      <c r="P941" s="7" t="inlineStr">
        <is>
          <t>jobspy</t>
        </is>
      </c>
      <c r="Q941" s="8" t="inlineStr">
        <is>
          <t>sql, git, c</t>
        </is>
      </c>
      <c r="R941" s="8" t="inlineStr">
        <is>
          <t>Graduate Backend Developer Docker Kubernetes</t>
        </is>
      </c>
      <c r="S941" s="19" t="n"/>
      <c r="T941" s="19" t="n"/>
      <c r="U941" s="14" t="n">
        <v>46192</v>
      </c>
      <c r="V941" s="7" t="inlineStr">
        <is>
          <t>v2-cv-accuracy-13b988b18da8ea7d</t>
        </is>
      </c>
    </row>
    <row r="942" ht="28" customHeight="1">
      <c r="A942" s="12">
        <f>IF($L942="applied","Applied",IF($L942="interview","Interview",IF($L942="offer","Offer",IF($L942="rejected","Rejected",IF($L942="ignore","Ignore",IF($L942="archive","Archive",IF($L942="closed","Closed",IF($B942="","Unscored",IF(AND($B942&gt;=8,OR($H942="",$H942-TODAY()&lt;=14)),"P1 Apply",IF($B942&gt;=7,"P2 Strong",IF($B942&gt;=5,"P3 Maybe","P4 Low")))))))))))</f>
        <v/>
      </c>
      <c r="B942" s="13" t="n">
        <v>1.18</v>
      </c>
      <c r="C942" s="12" t="inlineStr">
        <is>
          <t>Junior</t>
        </is>
      </c>
      <c r="D942" s="8" t="inlineStr">
        <is>
          <t>Software Engineer</t>
        </is>
      </c>
      <c r="E942" s="7" t="inlineStr">
        <is>
          <t>Indra Group UK &amp; Ireland</t>
        </is>
      </c>
      <c r="F942" s="8" t="inlineStr">
        <is>
          <t>Market Deeping, England, UK</t>
        </is>
      </c>
      <c r="G942" s="8" t="n"/>
      <c r="H942" s="14" t="n"/>
      <c r="I942" s="15">
        <f>IF($H942="","",$H942-TODAY())</f>
        <v/>
      </c>
      <c r="J942" s="16" t="inlineStr">
        <is>
          <t>Open posting</t>
        </is>
      </c>
      <c r="K942" s="8" t="inlineStr">
        <is>
          <t>filtered by keyword pre-scan</t>
        </is>
      </c>
      <c r="L942" s="17" t="inlineStr">
        <is>
          <t>new</t>
        </is>
      </c>
      <c r="M942" s="18" t="inlineStr"/>
      <c r="N942" s="7" t="inlineStr">
        <is>
          <t>c161124eb49e571c726927660c8afee21a9ca158</t>
        </is>
      </c>
      <c r="O942" s="14" t="n">
        <v>46191</v>
      </c>
      <c r="P942" s="7" t="inlineStr">
        <is>
          <t>jobspy</t>
        </is>
      </c>
      <c r="Q942" s="8" t="inlineStr">
        <is>
          <t>fpga, c, dsp</t>
        </is>
      </c>
      <c r="R942" s="8" t="inlineStr">
        <is>
          <t>Embedded Software Engineer C Python graduate</t>
        </is>
      </c>
      <c r="S942" s="19" t="n"/>
      <c r="T942" s="19" t="n"/>
      <c r="U942" s="14" t="n">
        <v>46192</v>
      </c>
      <c r="V942" s="7" t="inlineStr">
        <is>
          <t>v2-cv-accuracy-13b988b18da8ea7d</t>
        </is>
      </c>
    </row>
    <row r="943" ht="28" customHeight="1">
      <c r="A943" s="12">
        <f>IF($L943="applied","Applied",IF($L943="interview","Interview",IF($L943="offer","Offer",IF($L943="rejected","Rejected",IF($L943="ignore","Ignore",IF($L943="archive","Archive",IF($L943="closed","Closed",IF($B943="","Unscored",IF(AND($B943&gt;=8,OR($H943="",$H943-TODAY()&lt;=14)),"P1 Apply",IF($B943&gt;=7,"P2 Strong",IF($B943&gt;=5,"P3 Maybe","P4 Low")))))))))))</f>
        <v/>
      </c>
      <c r="B943" s="13" t="n">
        <v>1.18</v>
      </c>
      <c r="C943" s="12" t="inlineStr">
        <is>
          <t>Unspecified</t>
        </is>
      </c>
      <c r="D943" s="8" t="inlineStr">
        <is>
          <t>Software Engineer</t>
        </is>
      </c>
      <c r="E943" s="7" t="inlineStr">
        <is>
          <t>CMR Surgical</t>
        </is>
      </c>
      <c r="F943" s="8" t="inlineStr">
        <is>
          <t>Cambridge, England, UK</t>
        </is>
      </c>
      <c r="G943" s="8" t="n"/>
      <c r="H943" s="14" t="n"/>
      <c r="I943" s="15">
        <f>IF($H943="","",$H943-TODAY())</f>
        <v/>
      </c>
      <c r="J943" s="16" t="inlineStr">
        <is>
          <t>Open posting</t>
        </is>
      </c>
      <c r="K943" s="8" t="inlineStr">
        <is>
          <t>filtered by keyword pre-scan</t>
        </is>
      </c>
      <c r="L943" s="17" t="inlineStr">
        <is>
          <t>new</t>
        </is>
      </c>
      <c r="M943" s="18" t="inlineStr"/>
      <c r="N943" s="7" t="inlineStr">
        <is>
          <t>e706b3b58a78873783004fc7901ffe1f5f6d688a</t>
        </is>
      </c>
      <c r="O943" s="14" t="n">
        <v>46188</v>
      </c>
      <c r="P943" s="7" t="inlineStr">
        <is>
          <t>jobspy</t>
        </is>
      </c>
      <c r="Q943" s="8" t="inlineStr">
        <is>
          <t>python, c</t>
        </is>
      </c>
      <c r="R943" s="8" t="inlineStr">
        <is>
          <t>Embedded Software Engineer C Python graduate</t>
        </is>
      </c>
      <c r="S943" s="19" t="n"/>
      <c r="T943" s="19" t="n"/>
      <c r="U943" s="14" t="n">
        <v>46192</v>
      </c>
      <c r="V943" s="7" t="inlineStr">
        <is>
          <t>v2-cv-accuracy-13b988b18da8ea7d</t>
        </is>
      </c>
    </row>
    <row r="944" ht="28" customHeight="1">
      <c r="A944" s="12">
        <f>IF($L944="applied","Applied",IF($L944="interview","Interview",IF($L944="offer","Offer",IF($L944="rejected","Rejected",IF($L944="ignore","Ignore",IF($L944="archive","Archive",IF($L944="closed","Closed",IF($B944="","Unscored",IF(AND($B944&gt;=8,OR($H944="",$H944-TODAY()&lt;=14)),"P1 Apply",IF($B944&gt;=7,"P2 Strong",IF($B944&gt;=5,"P3 Maybe","P4 Low")))))))))))</f>
        <v/>
      </c>
      <c r="B944" s="13" t="n">
        <v>1.18</v>
      </c>
      <c r="C944" s="12" t="inlineStr">
        <is>
          <t>Unspecified</t>
        </is>
      </c>
      <c r="D944" s="8" t="inlineStr">
        <is>
          <t>Software Applications Engineer</t>
        </is>
      </c>
      <c r="E944" s="7" t="inlineStr">
        <is>
          <t>Mode Labs</t>
        </is>
      </c>
      <c r="F944" s="8" t="inlineStr">
        <is>
          <t>Oxford, England, UK</t>
        </is>
      </c>
      <c r="G944" s="8" t="n"/>
      <c r="H944" s="14" t="n"/>
      <c r="I944" s="15">
        <f>IF($H944="","",$H944-TODAY())</f>
        <v/>
      </c>
      <c r="J944" s="16" t="inlineStr">
        <is>
          <t>Open posting</t>
        </is>
      </c>
      <c r="K944" s="8" t="inlineStr">
        <is>
          <t>filtered by keyword pre-scan</t>
        </is>
      </c>
      <c r="L944" s="17" t="inlineStr">
        <is>
          <t>new</t>
        </is>
      </c>
      <c r="M944" s="18" t="inlineStr"/>
      <c r="N944" s="7" t="inlineStr">
        <is>
          <t>2575c225f856bca6bf1423ad6fc2fe39b0996c95</t>
        </is>
      </c>
      <c r="O944" s="14" t="n">
        <v>46176</v>
      </c>
      <c r="P944" s="7" t="inlineStr">
        <is>
          <t>jobspy</t>
        </is>
      </c>
      <c r="Q944" s="8" t="inlineStr">
        <is>
          <t>python, sql, c</t>
        </is>
      </c>
      <c r="R944" s="8" t="inlineStr">
        <is>
          <t>Embedded Software Engineer C Python graduate</t>
        </is>
      </c>
      <c r="S944" s="19" t="n"/>
      <c r="T944" s="19" t="n"/>
      <c r="U944" s="14" t="n">
        <v>46192</v>
      </c>
      <c r="V944" s="7" t="inlineStr">
        <is>
          <t>v2-cv-accuracy-13b988b18da8ea7d</t>
        </is>
      </c>
    </row>
    <row r="945" ht="28" customHeight="1">
      <c r="A945" s="12">
        <f>IF($L945="applied","Applied",IF($L945="interview","Interview",IF($L945="offer","Offer",IF($L945="rejected","Rejected",IF($L945="ignore","Ignore",IF($L945="archive","Archive",IF($L945="closed","Closed",IF($B945="","Unscored",IF(AND($B945&gt;=8,OR($H945="",$H945-TODAY()&lt;=14)),"P1 Apply",IF($B945&gt;=7,"P2 Strong",IF($B945&gt;=5,"P3 Maybe","P4 Low")))))))))))</f>
        <v/>
      </c>
      <c r="B945" s="13" t="n">
        <v>1.18</v>
      </c>
      <c r="C945" s="12" t="inlineStr">
        <is>
          <t>Unspecified</t>
        </is>
      </c>
      <c r="D945" s="8" t="inlineStr">
        <is>
          <t>Software Engineer</t>
        </is>
      </c>
      <c r="E945" s="7" t="inlineStr">
        <is>
          <t>MDA Space</t>
        </is>
      </c>
      <c r="F945" s="8" t="inlineStr">
        <is>
          <t>Didcot, England, UK</t>
        </is>
      </c>
      <c r="G945" s="8" t="n"/>
      <c r="H945" s="14" t="n"/>
      <c r="I945" s="15">
        <f>IF($H945="","",$H945-TODAY())</f>
        <v/>
      </c>
      <c r="J945" s="16" t="inlineStr">
        <is>
          <t>Open posting</t>
        </is>
      </c>
      <c r="K945" s="8" t="inlineStr">
        <is>
          <t>filtered by keyword pre-scan</t>
        </is>
      </c>
      <c r="L945" s="17" t="inlineStr">
        <is>
          <t>new</t>
        </is>
      </c>
      <c r="M945" s="18" t="inlineStr"/>
      <c r="N945" s="7" t="inlineStr">
        <is>
          <t>e8e9c307d594430b683bdd3ef82271f502f8481d</t>
        </is>
      </c>
      <c r="O945" s="14" t="n"/>
      <c r="P945" s="7" t="inlineStr">
        <is>
          <t>jobspy</t>
        </is>
      </c>
      <c r="Q945" s="8" t="inlineStr">
        <is>
          <t>python, git, c</t>
        </is>
      </c>
      <c r="R945" s="8" t="inlineStr">
        <is>
          <t>Embedded Software Engineer C Python graduate</t>
        </is>
      </c>
      <c r="S945" s="19" t="n"/>
      <c r="T945" s="19" t="n"/>
      <c r="U945" s="14" t="n">
        <v>46192</v>
      </c>
      <c r="V945" s="7" t="inlineStr">
        <is>
          <t>v2-cv-accuracy-13b988b18da8ea7d</t>
        </is>
      </c>
    </row>
    <row r="946" ht="28" customHeight="1">
      <c r="A946" s="12">
        <f>IF($L946="applied","Applied",IF($L946="interview","Interview",IF($L946="offer","Offer",IF($L946="rejected","Rejected",IF($L946="ignore","Ignore",IF($L946="archive","Archive",IF($L946="closed","Closed",IF($B946="","Unscored",IF(AND($B946&gt;=8,OR($H946="",$H946-TODAY()&lt;=14)),"P1 Apply",IF($B946&gt;=7,"P2 Strong",IF($B946&gt;=5,"P3 Maybe","P4 Low")))))))))))</f>
        <v/>
      </c>
      <c r="B946" s="13" t="n">
        <v>1.18</v>
      </c>
      <c r="C946" s="12" t="inlineStr">
        <is>
          <t>Mid-level</t>
        </is>
      </c>
      <c r="D946" s="8" t="inlineStr">
        <is>
          <t>Data Engineer</t>
        </is>
      </c>
      <c r="E946" s="7" t="inlineStr">
        <is>
          <t>Tech4</t>
        </is>
      </c>
      <c r="F946" s="8" t="inlineStr">
        <is>
          <t>Newcastle Upon Tyne, England, UK</t>
        </is>
      </c>
      <c r="G946" s="8" t="n"/>
      <c r="H946" s="14" t="n"/>
      <c r="I946" s="15">
        <f>IF($H946="","",$H946-TODAY())</f>
        <v/>
      </c>
      <c r="J946" s="16" t="inlineStr">
        <is>
          <t>Open posting</t>
        </is>
      </c>
      <c r="K946" s="8" t="inlineStr">
        <is>
          <t>filtered by keyword pre-scan</t>
        </is>
      </c>
      <c r="L946" s="17" t="inlineStr">
        <is>
          <t>new</t>
        </is>
      </c>
      <c r="M946" s="18" t="inlineStr"/>
      <c r="N946" s="7" t="inlineStr">
        <is>
          <t>ce0e396bcdc7d23a9f5f65a8c278ad85edea95b5</t>
        </is>
      </c>
      <c r="O946" s="14" t="n">
        <v>46168</v>
      </c>
      <c r="P946" s="7" t="inlineStr">
        <is>
          <t>jobspy</t>
        </is>
      </c>
      <c r="Q946" s="8" t="inlineStr">
        <is>
          <t>python, sql, c</t>
        </is>
      </c>
      <c r="R946" s="8" t="inlineStr">
        <is>
          <t>Graduate Data Engineer SQL Python pipeline</t>
        </is>
      </c>
      <c r="S946" s="19" t="n"/>
      <c r="T946" s="19" t="n"/>
      <c r="U946" s="14" t="n">
        <v>46192</v>
      </c>
      <c r="V946" s="7" t="inlineStr">
        <is>
          <t>v2-cv-accuracy-13b988b18da8ea7d</t>
        </is>
      </c>
    </row>
    <row r="947" ht="28" customHeight="1">
      <c r="A947" s="12">
        <f>IF($L947="applied","Applied",IF($L947="interview","Interview",IF($L947="offer","Offer",IF($L947="rejected","Rejected",IF($L947="ignore","Ignore",IF($L947="archive","Archive",IF($L947="closed","Closed",IF($B947="","Unscored",IF(AND($B947&gt;=8,OR($H947="",$H947-TODAY()&lt;=14)),"P1 Apply",IF($B947&gt;=7,"P2 Strong",IF($B947&gt;=5,"P3 Maybe","P4 Low")))))))))))</f>
        <v/>
      </c>
      <c r="B947" s="13" t="n">
        <v>1.08</v>
      </c>
      <c r="C947" s="12" t="inlineStr">
        <is>
          <t>Graduate/Entry</t>
        </is>
      </c>
      <c r="D947" s="8" t="inlineStr">
        <is>
          <t>Graduate Full Stack Engineer</t>
        </is>
      </c>
      <c r="E947" s="7" t="inlineStr">
        <is>
          <t>Oho Group</t>
        </is>
      </c>
      <c r="F947" s="8" t="inlineStr">
        <is>
          <t>London Area, United Kingdom</t>
        </is>
      </c>
      <c r="G947" s="8" t="n"/>
      <c r="H947" s="14" t="n"/>
      <c r="I947" s="15">
        <f>IF($H947="","",$H947-TODAY())</f>
        <v/>
      </c>
      <c r="J947" s="16" t="inlineStr">
        <is>
          <t>Open posting</t>
        </is>
      </c>
      <c r="K947" s="8" t="inlineStr">
        <is>
          <t>filtered by keyword pre-scan</t>
        </is>
      </c>
      <c r="L947" s="17" t="inlineStr">
        <is>
          <t>new</t>
        </is>
      </c>
      <c r="M947" s="18" t="inlineStr"/>
      <c r="N947" s="7" t="inlineStr">
        <is>
          <t>97f7c67d35a5e5a25dbf09d08924724ad23b1166</t>
        </is>
      </c>
      <c r="O947" s="14" t="n">
        <v>46195</v>
      </c>
      <c r="P947" s="7" t="inlineStr">
        <is>
          <t>jobspy</t>
        </is>
      </c>
      <c r="Q947" s="8" t="inlineStr">
        <is>
          <t>python, c, javascript</t>
        </is>
      </c>
      <c r="R947" s="8" t="inlineStr">
        <is>
          <t>Graduate Backend Developer Python SQL Docker</t>
        </is>
      </c>
      <c r="S947" s="19" t="n"/>
      <c r="T947" s="19" t="n"/>
      <c r="U947" s="14" t="n">
        <v>46198</v>
      </c>
      <c r="V947" s="7" t="inlineStr">
        <is>
          <t>v2-cv-accuracy-13b988b18da8ea7d</t>
        </is>
      </c>
    </row>
    <row r="948" ht="28" customHeight="1">
      <c r="A948" s="12">
        <f>IF($L948="applied","Applied",IF($L948="interview","Interview",IF($L948="offer","Offer",IF($L948="rejected","Rejected",IF($L948="ignore","Ignore",IF($L948="archive","Archive",IF($L948="closed","Closed",IF($B948="","Unscored",IF(AND($B948&gt;=8,OR($H948="",$H948-TODAY()&lt;=14)),"P1 Apply",IF($B948&gt;=7,"P2 Strong",IF($B948&gt;=5,"P3 Maybe","P4 Low")))))))))))</f>
        <v/>
      </c>
      <c r="B948" s="13" t="n">
        <v>1.08</v>
      </c>
      <c r="C948" s="12" t="inlineStr">
        <is>
          <t>Unspecified</t>
        </is>
      </c>
      <c r="D948" s="8" t="inlineStr">
        <is>
          <t>Software Infrastructure Kubernetes Engineer</t>
        </is>
      </c>
      <c r="E948" s="7" t="inlineStr">
        <is>
          <t>Graphcore</t>
        </is>
      </c>
      <c r="F948" s="8" t="inlineStr">
        <is>
          <t>Gdańsk, Pomeranian Voivodeship, Poland</t>
        </is>
      </c>
      <c r="G948" s="8" t="n"/>
      <c r="H948" s="14" t="n"/>
      <c r="I948" s="15">
        <f>IF($H948="","",$H948-TODAY())</f>
        <v/>
      </c>
      <c r="J948" s="16" t="inlineStr">
        <is>
          <t>Open posting</t>
        </is>
      </c>
      <c r="K948" s="8" t="inlineStr">
        <is>
          <t>filtered by keyword pre-scan</t>
        </is>
      </c>
      <c r="L948" s="17" t="inlineStr">
        <is>
          <t>new</t>
        </is>
      </c>
      <c r="M948" s="18" t="inlineStr"/>
      <c r="N948" s="7" t="inlineStr">
        <is>
          <t>121c51fcef66a118c3a48b744d360e9e0ca8b9e1</t>
        </is>
      </c>
      <c r="O948" s="14" t="n">
        <v>46197</v>
      </c>
      <c r="P948" s="7" t="inlineStr">
        <is>
          <t>greenhouse:graphcore</t>
        </is>
      </c>
      <c r="Q948" s="8" t="inlineStr">
        <is>
          <t>python, kubernetes, c</t>
        </is>
      </c>
      <c r="R948" s="8" t="n"/>
      <c r="S948" s="19" t="n"/>
      <c r="T948" s="19" t="n"/>
      <c r="U948" s="14" t="n">
        <v>46197</v>
      </c>
      <c r="V948" s="7" t="inlineStr">
        <is>
          <t>v2-cv-accuracy-13b988b18da8ea7d</t>
        </is>
      </c>
    </row>
    <row r="949" ht="28" customHeight="1">
      <c r="A949" s="12">
        <f>IF($L949="applied","Applied",IF($L949="interview","Interview",IF($L949="offer","Offer",IF($L949="rejected","Rejected",IF($L949="ignore","Ignore",IF($L949="archive","Archive",IF($L949="closed","Closed",IF($B949="","Unscored",IF(AND($B949&gt;=8,OR($H949="",$H949-TODAY()&lt;=14)),"P1 Apply",IF($B949&gt;=7,"P2 Strong",IF($B949&gt;=5,"P3 Maybe","P4 Low")))))))))))</f>
        <v/>
      </c>
      <c r="B949" s="13" t="n">
        <v>1.08</v>
      </c>
      <c r="C949" s="12" t="inlineStr">
        <is>
          <t>Unspecified</t>
        </is>
      </c>
      <c r="D949" s="8" t="inlineStr">
        <is>
          <t>Software Infrastructure Kubernetes Engineer</t>
        </is>
      </c>
      <c r="E949" s="7" t="inlineStr">
        <is>
          <t>Graphcore</t>
        </is>
      </c>
      <c r="F949" s="8" t="inlineStr">
        <is>
          <t>Cambridge, UK</t>
        </is>
      </c>
      <c r="G949" s="8" t="n"/>
      <c r="H949" s="14" t="n"/>
      <c r="I949" s="15">
        <f>IF($H949="","",$H949-TODAY())</f>
        <v/>
      </c>
      <c r="J949" s="16" t="inlineStr">
        <is>
          <t>Open posting</t>
        </is>
      </c>
      <c r="K949" s="8" t="inlineStr">
        <is>
          <t>filtered by keyword pre-scan</t>
        </is>
      </c>
      <c r="L949" s="17" t="inlineStr">
        <is>
          <t>new</t>
        </is>
      </c>
      <c r="M949" s="18" t="inlineStr"/>
      <c r="N949" s="7" t="inlineStr">
        <is>
          <t>ed5edb9a3c55b4fa595b3a1946ea52570b036bca</t>
        </is>
      </c>
      <c r="O949" s="14" t="n">
        <v>46197</v>
      </c>
      <c r="P949" s="7" t="inlineStr">
        <is>
          <t>greenhouse:graphcore</t>
        </is>
      </c>
      <c r="Q949" s="8" t="inlineStr">
        <is>
          <t>python, kubernetes, c</t>
        </is>
      </c>
      <c r="R949" s="8" t="n"/>
      <c r="S949" s="19" t="n"/>
      <c r="T949" s="19" t="n"/>
      <c r="U949" s="14" t="n">
        <v>46197</v>
      </c>
      <c r="V949" s="7" t="inlineStr">
        <is>
          <t>v2-cv-accuracy-13b988b18da8ea7d</t>
        </is>
      </c>
    </row>
    <row r="950" ht="28" customHeight="1">
      <c r="A950" s="12">
        <f>IF($L950="applied","Applied",IF($L950="interview","Interview",IF($L950="offer","Offer",IF($L950="rejected","Rejected",IF($L950="ignore","Ignore",IF($L950="archive","Archive",IF($L950="closed","Closed",IF($B950="","Unscored",IF(AND($B950&gt;=8,OR($H950="",$H950-TODAY()&lt;=14)),"P1 Apply",IF($B950&gt;=7,"P2 Strong",IF($B950&gt;=5,"P3 Maybe","P4 Low")))))))))))</f>
        <v/>
      </c>
      <c r="B950" s="13" t="n">
        <v>1.08</v>
      </c>
      <c r="C950" s="12" t="inlineStr">
        <is>
          <t>Unspecified</t>
        </is>
      </c>
      <c r="D950" s="8" t="inlineStr">
        <is>
          <t>Software Infrastructure Kubernetes Engineer</t>
        </is>
      </c>
      <c r="E950" s="7" t="inlineStr">
        <is>
          <t>Graphcore</t>
        </is>
      </c>
      <c r="F950" s="8" t="inlineStr">
        <is>
          <t>London, UK</t>
        </is>
      </c>
      <c r="G950" s="8" t="n"/>
      <c r="H950" s="14" t="n"/>
      <c r="I950" s="15">
        <f>IF($H950="","",$H950-TODAY())</f>
        <v/>
      </c>
      <c r="J950" s="16" t="inlineStr">
        <is>
          <t>Open posting</t>
        </is>
      </c>
      <c r="K950" s="8" t="inlineStr">
        <is>
          <t>filtered by keyword pre-scan</t>
        </is>
      </c>
      <c r="L950" s="17" t="inlineStr">
        <is>
          <t>new</t>
        </is>
      </c>
      <c r="M950" s="18" t="inlineStr"/>
      <c r="N950" s="7" t="inlineStr">
        <is>
          <t>04bc097915ebacd2413e7e1188004b1fa74b87e6</t>
        </is>
      </c>
      <c r="O950" s="14" t="n">
        <v>46197</v>
      </c>
      <c r="P950" s="7" t="inlineStr">
        <is>
          <t>greenhouse:graphcore</t>
        </is>
      </c>
      <c r="Q950" s="8" t="inlineStr">
        <is>
          <t>python, kubernetes, c</t>
        </is>
      </c>
      <c r="R950" s="8" t="n"/>
      <c r="S950" s="19" t="n"/>
      <c r="T950" s="19" t="n"/>
      <c r="U950" s="14" t="n">
        <v>46197</v>
      </c>
      <c r="V950" s="7" t="inlineStr">
        <is>
          <t>v2-cv-accuracy-13b988b18da8ea7d</t>
        </is>
      </c>
    </row>
    <row r="951" ht="28" customHeight="1">
      <c r="A951" s="12">
        <f>IF($L951="applied","Applied",IF($L951="interview","Interview",IF($L951="offer","Offer",IF($L951="rejected","Rejected",IF($L951="ignore","Ignore",IF($L951="archive","Archive",IF($L951="closed","Closed",IF($B951="","Unscored",IF(AND($B951&gt;=8,OR($H951="",$H951-TODAY()&lt;=14)),"P1 Apply",IF($B951&gt;=7,"P2 Strong",IF($B951&gt;=5,"P3 Maybe","P4 Low")))))))))))</f>
        <v/>
      </c>
      <c r="B951" s="13" t="n">
        <v>1.08</v>
      </c>
      <c r="C951" s="12" t="inlineStr">
        <is>
          <t>Graduate/Entry</t>
        </is>
      </c>
      <c r="D951" s="8" t="inlineStr">
        <is>
          <t>Data Engineer</t>
        </is>
      </c>
      <c r="E951" s="7" t="inlineStr">
        <is>
          <t>Football Radar</t>
        </is>
      </c>
      <c r="F951" s="8" t="inlineStr">
        <is>
          <t>London, England, UK</t>
        </is>
      </c>
      <c r="G951" s="8" t="n"/>
      <c r="H951" s="14" t="n"/>
      <c r="I951" s="15">
        <f>IF($H951="","",$H951-TODAY())</f>
        <v/>
      </c>
      <c r="J951" s="16" t="inlineStr">
        <is>
          <t>Open posting</t>
        </is>
      </c>
      <c r="K951" s="8" t="inlineStr">
        <is>
          <t>filtered by keyword pre-scan</t>
        </is>
      </c>
      <c r="L951" s="17" t="inlineStr">
        <is>
          <t>new</t>
        </is>
      </c>
      <c r="M951" s="18" t="inlineStr"/>
      <c r="N951" s="7" t="inlineStr">
        <is>
          <t>c5ef8b83d2506689d8b3ad0446ced236f85384cb</t>
        </is>
      </c>
      <c r="O951" s="14" t="n">
        <v>46196</v>
      </c>
      <c r="P951" s="7" t="inlineStr">
        <is>
          <t>jobspy</t>
        </is>
      </c>
      <c r="Q951" s="8" t="inlineStr">
        <is>
          <t>python, sql, c</t>
        </is>
      </c>
      <c r="R951" s="8" t="inlineStr">
        <is>
          <t>Junior Data Engineer Python SQL Docker remote</t>
        </is>
      </c>
      <c r="S951" s="19" t="n"/>
      <c r="T951" s="19" t="n"/>
      <c r="U951" s="14" t="n">
        <v>46197</v>
      </c>
      <c r="V951" s="7" t="inlineStr">
        <is>
          <t>v2-cv-accuracy-13b988b18da8ea7d</t>
        </is>
      </c>
    </row>
    <row r="952" ht="28" customHeight="1">
      <c r="A952" s="12">
        <f>IF($L952="applied","Applied",IF($L952="interview","Interview",IF($L952="offer","Offer",IF($L952="rejected","Rejected",IF($L952="ignore","Ignore",IF($L952="archive","Archive",IF($L952="closed","Closed",IF($B952="","Unscored",IF(AND($B952&gt;=8,OR($H952="",$H952-TODAY()&lt;=14)),"P1 Apply",IF($B952&gt;=7,"P2 Strong",IF($B952&gt;=5,"P3 Maybe","P4 Low")))))))))))</f>
        <v/>
      </c>
      <c r="B952" s="13" t="n">
        <v>1.08</v>
      </c>
      <c r="C952" s="12" t="inlineStr">
        <is>
          <t>Mid-level</t>
        </is>
      </c>
      <c r="D952" s="8" t="inlineStr">
        <is>
          <t>Full Stack Engineer</t>
        </is>
      </c>
      <c r="E952" s="7" t="inlineStr">
        <is>
          <t>Oho Group</t>
        </is>
      </c>
      <c r="F952" s="8" t="inlineStr">
        <is>
          <t>London Area, United Kingdom</t>
        </is>
      </c>
      <c r="G952" s="8" t="n"/>
      <c r="H952" s="14" t="n"/>
      <c r="I952" s="15">
        <f>IF($H952="","",$H952-TODAY())</f>
        <v/>
      </c>
      <c r="J952" s="16" t="inlineStr">
        <is>
          <t>Open posting</t>
        </is>
      </c>
      <c r="K952" s="8" t="inlineStr">
        <is>
          <t>filtered by keyword pre-scan</t>
        </is>
      </c>
      <c r="L952" s="17" t="inlineStr">
        <is>
          <t>new</t>
        </is>
      </c>
      <c r="M952" s="18" t="inlineStr"/>
      <c r="N952" s="7" t="inlineStr">
        <is>
          <t>136bf8cf6ae6a53d04d057aa799cc66532d8f0e7</t>
        </is>
      </c>
      <c r="O952" s="14" t="n"/>
      <c r="P952" s="7" t="inlineStr">
        <is>
          <t>jobspy</t>
        </is>
      </c>
      <c r="Q952" s="8" t="inlineStr">
        <is>
          <t>python, c, javascript</t>
        </is>
      </c>
      <c r="R952" s="8" t="inlineStr">
        <is>
          <t>Graduate Software Engineer Python JavaScript remote</t>
        </is>
      </c>
      <c r="S952" s="19" t="n"/>
      <c r="T952" s="19" t="n"/>
      <c r="U952" s="14" t="n">
        <v>46196</v>
      </c>
      <c r="V952" s="7" t="inlineStr">
        <is>
          <t>v2-cv-accuracy-13b988b18da8ea7d</t>
        </is>
      </c>
    </row>
    <row r="953" ht="28" customHeight="1">
      <c r="A953" s="12">
        <f>IF($L953="applied","Applied",IF($L953="interview","Interview",IF($L953="offer","Offer",IF($L953="rejected","Rejected",IF($L953="ignore","Ignore",IF($L953="archive","Archive",IF($L953="closed","Closed",IF($B953="","Unscored",IF(AND($B953&gt;=8,OR($H953="",$H953-TODAY()&lt;=14)),"P1 Apply",IF($B953&gt;=7,"P2 Strong",IF($B953&gt;=5,"P3 Maybe","P4 Low")))))))))))</f>
        <v/>
      </c>
      <c r="B953" s="13" t="n">
        <v>1.08</v>
      </c>
      <c r="C953" s="12" t="inlineStr">
        <is>
          <t>Mid-level</t>
        </is>
      </c>
      <c r="D953" s="8" t="inlineStr">
        <is>
          <t>Field-Programmable Gate Arrays Engineer</t>
        </is>
      </c>
      <c r="E953" s="7" t="inlineStr">
        <is>
          <t>microTECH Global LTD</t>
        </is>
      </c>
      <c r="F953" s="8" t="inlineStr">
        <is>
          <t>England, United Kingdom</t>
        </is>
      </c>
      <c r="G953" s="8" t="n"/>
      <c r="H953" s="14" t="n"/>
      <c r="I953" s="15">
        <f>IF($H953="","",$H953-TODAY())</f>
        <v/>
      </c>
      <c r="J953" s="16" t="inlineStr">
        <is>
          <t>Open posting</t>
        </is>
      </c>
      <c r="K953" s="8" t="inlineStr">
        <is>
          <t>filtered by keyword pre-scan</t>
        </is>
      </c>
      <c r="L953" s="17" t="inlineStr">
        <is>
          <t>new</t>
        </is>
      </c>
      <c r="M953" s="18" t="inlineStr"/>
      <c r="N953" s="7" t="inlineStr">
        <is>
          <t>e46bca3632cdda083ff6576113e45d2980a577dc</t>
        </is>
      </c>
      <c r="O953" s="14" t="n">
        <v>46184</v>
      </c>
      <c r="P953" s="7" t="inlineStr">
        <is>
          <t>jobspy</t>
        </is>
      </c>
      <c r="Q953" s="8" t="inlineStr">
        <is>
          <t>verilog, fpga, c</t>
        </is>
      </c>
      <c r="R953" s="8" t="inlineStr">
        <is>
          <t>FPGA Engineer graduate Vivado Verilog remote</t>
        </is>
      </c>
      <c r="S953" s="19" t="n"/>
      <c r="T953" s="19" t="n"/>
      <c r="U953" s="14" t="n">
        <v>46196</v>
      </c>
      <c r="V953" s="7" t="inlineStr">
        <is>
          <t>v2-cv-accuracy-13b988b18da8ea7d</t>
        </is>
      </c>
    </row>
    <row r="954" ht="28" customHeight="1">
      <c r="A954" s="12">
        <f>IF($L954="applied","Applied",IF($L954="interview","Interview",IF($L954="offer","Offer",IF($L954="rejected","Rejected",IF($L954="ignore","Ignore",IF($L954="archive","Archive",IF($L954="closed","Closed",IF($B954="","Unscored",IF(AND($B954&gt;=8,OR($H954="",$H954-TODAY()&lt;=14)),"P1 Apply",IF($B954&gt;=7,"P2 Strong",IF($B954&gt;=5,"P3 Maybe","P4 Low")))))))))))</f>
        <v/>
      </c>
      <c r="B954" s="13" t="n">
        <v>1.08</v>
      </c>
      <c r="C954" s="12" t="inlineStr">
        <is>
          <t>Senior/Lead</t>
        </is>
      </c>
      <c r="D954" s="8" t="inlineStr">
        <is>
          <t>Software Engineer</t>
        </is>
      </c>
      <c r="E954" s="7" t="inlineStr">
        <is>
          <t>Stream</t>
        </is>
      </c>
      <c r="F954" s="8" t="inlineStr">
        <is>
          <t>London Area, United Kingdom</t>
        </is>
      </c>
      <c r="G954" s="8" t="n"/>
      <c r="H954" s="14" t="n"/>
      <c r="I954" s="15">
        <f>IF($H954="","",$H954-TODAY())</f>
        <v/>
      </c>
      <c r="J954" s="16" t="inlineStr">
        <is>
          <t>Open posting</t>
        </is>
      </c>
      <c r="K954" s="8" t="inlineStr">
        <is>
          <t>filtered by keyword pre-scan</t>
        </is>
      </c>
      <c r="L954" s="17" t="inlineStr">
        <is>
          <t>new</t>
        </is>
      </c>
      <c r="M954" s="18" t="inlineStr"/>
      <c r="N954" s="7" t="inlineStr">
        <is>
          <t>0a8ae57a6597962b8d190a5040b0d29ea3eae631</t>
        </is>
      </c>
      <c r="O954" s="14" t="n">
        <v>46184</v>
      </c>
      <c r="P954" s="7" t="inlineStr">
        <is>
          <t>jobspy</t>
        </is>
      </c>
      <c r="Q954" s="8" t="inlineStr">
        <is>
          <t>python, sql, c</t>
        </is>
      </c>
      <c r="R954" s="8" t="inlineStr">
        <is>
          <t>Graduate Software Engineer Python Docker Kubernetes</t>
        </is>
      </c>
      <c r="S954" s="19" t="n"/>
      <c r="T954" s="19" t="n"/>
      <c r="U954" s="14" t="n">
        <v>46196</v>
      </c>
      <c r="V954" s="7" t="inlineStr">
        <is>
          <t>v2-cv-accuracy-13b988b18da8ea7d</t>
        </is>
      </c>
    </row>
    <row r="955" ht="28" customHeight="1">
      <c r="A955" s="12">
        <f>IF($L955="applied","Applied",IF($L955="interview","Interview",IF($L955="offer","Offer",IF($L955="rejected","Rejected",IF($L955="ignore","Ignore",IF($L955="archive","Archive",IF($L955="closed","Closed",IF($B955="","Unscored",IF(AND($B955&gt;=8,OR($H955="",$H955-TODAY()&lt;=14)),"P1 Apply",IF($B955&gt;=7,"P2 Strong",IF($B955&gt;=5,"P3 Maybe","P4 Low")))))))))))</f>
        <v/>
      </c>
      <c r="B955" s="13" t="n">
        <v>1.08</v>
      </c>
      <c r="C955" s="12" t="inlineStr">
        <is>
          <t>Senior/Lead</t>
        </is>
      </c>
      <c r="D955" s="8" t="inlineStr">
        <is>
          <t>ML/AI Platform Engineer</t>
        </is>
      </c>
      <c r="E955" s="7" t="inlineStr">
        <is>
          <t>Monzo</t>
        </is>
      </c>
      <c r="F955" s="8" t="inlineStr">
        <is>
          <t>Cardiff, London or Remote (UK); London</t>
        </is>
      </c>
      <c r="G955" s="8" t="n"/>
      <c r="H955" s="14" t="n"/>
      <c r="I955" s="15">
        <f>IF($H955="","",$H955-TODAY())</f>
        <v/>
      </c>
      <c r="J955" s="16" t="inlineStr">
        <is>
          <t>Open posting</t>
        </is>
      </c>
      <c r="K955" s="8" t="inlineStr">
        <is>
          <t>filtered by keyword pre-scan</t>
        </is>
      </c>
      <c r="L955" s="17" t="inlineStr">
        <is>
          <t>new</t>
        </is>
      </c>
      <c r="M955" s="18" t="inlineStr"/>
      <c r="N955" s="7" t="inlineStr">
        <is>
          <t>f4951cee86a2369af3116261132679386dccf345</t>
        </is>
      </c>
      <c r="O955" s="14" t="n">
        <v>46194</v>
      </c>
      <c r="P955" s="7" t="inlineStr">
        <is>
          <t>greenhouse:monzo</t>
        </is>
      </c>
      <c r="Q955" s="8" t="inlineStr">
        <is>
          <t>python, git, c</t>
        </is>
      </c>
      <c r="R955" s="8" t="n"/>
      <c r="S955" s="19" t="n"/>
      <c r="T955" s="19" t="n"/>
      <c r="U955" s="14" t="n">
        <v>46195</v>
      </c>
      <c r="V955" s="7" t="inlineStr">
        <is>
          <t>v2-cv-accuracy-13b988b18da8ea7d</t>
        </is>
      </c>
    </row>
    <row r="956" ht="28" customHeight="1">
      <c r="A956" s="12">
        <f>IF($L956="applied","Applied",IF($L956="interview","Interview",IF($L956="offer","Offer",IF($L956="rejected","Rejected",IF($L956="ignore","Ignore",IF($L956="archive","Archive",IF($L956="closed","Closed",IF($B956="","Unscored",IF(AND($B956&gt;=8,OR($H956="",$H956-TODAY()&lt;=14)),"P1 Apply",IF($B956&gt;=7,"P2 Strong",IF($B956&gt;=5,"P3 Maybe","P4 Low")))))))))))</f>
        <v/>
      </c>
      <c r="B956" s="13" t="n">
        <v>1.08</v>
      </c>
      <c r="C956" s="12" t="inlineStr">
        <is>
          <t>Unspecified</t>
        </is>
      </c>
      <c r="D956" s="8" t="inlineStr">
        <is>
          <t>Research and Development Test Engineer</t>
        </is>
      </c>
      <c r="E956" s="7" t="inlineStr">
        <is>
          <t>Verso Recruitment Group</t>
        </is>
      </c>
      <c r="F956" s="8" t="inlineStr">
        <is>
          <t>Cambridge, England, UK</t>
        </is>
      </c>
      <c r="G956" s="8" t="n"/>
      <c r="H956" s="14" t="n"/>
      <c r="I956" s="15">
        <f>IF($H956="","",$H956-TODAY())</f>
        <v/>
      </c>
      <c r="J956" s="16" t="inlineStr">
        <is>
          <t>Open posting</t>
        </is>
      </c>
      <c r="K956" s="8" t="inlineStr">
        <is>
          <t>filtered by keyword pre-scan</t>
        </is>
      </c>
      <c r="L956" s="17" t="inlineStr">
        <is>
          <t>new</t>
        </is>
      </c>
      <c r="M956" s="18" t="inlineStr"/>
      <c r="N956" s="7" t="inlineStr">
        <is>
          <t>43998cb75fc713d47f9064fbe8b365a66ad5dc8d</t>
        </is>
      </c>
      <c r="O956" s="14" t="n">
        <v>46178</v>
      </c>
      <c r="P956" s="7" t="inlineStr">
        <is>
          <t>jobspy</t>
        </is>
      </c>
      <c r="Q956" s="8" t="inlineStr">
        <is>
          <t>python, c, data capture</t>
        </is>
      </c>
      <c r="R956" s="8" t="inlineStr">
        <is>
          <t>Graduate Software Engineer Python embedded</t>
        </is>
      </c>
      <c r="S956" s="19" t="n"/>
      <c r="T956" s="19" t="n"/>
      <c r="U956" s="14" t="n">
        <v>46195</v>
      </c>
      <c r="V956" s="7" t="inlineStr">
        <is>
          <t>v2-cv-accuracy-13b988b18da8ea7d</t>
        </is>
      </c>
    </row>
    <row r="957" ht="28" customHeight="1">
      <c r="A957" s="12">
        <f>IF($L957="applied","Applied",IF($L957="interview","Interview",IF($L957="offer","Offer",IF($L957="rejected","Rejected",IF($L957="ignore","Ignore",IF($L957="archive","Archive",IF($L957="closed","Closed",IF($B957="","Unscored",IF(AND($B957&gt;=8,OR($H957="",$H957-TODAY()&lt;=14)),"P1 Apply",IF($B957&gt;=7,"P2 Strong",IF($B957&gt;=5,"P3 Maybe","P4 Low")))))))))))</f>
        <v/>
      </c>
      <c r="B957" s="13" t="n">
        <v>1.08</v>
      </c>
      <c r="C957" s="12" t="inlineStr">
        <is>
          <t>Unspecified</t>
        </is>
      </c>
      <c r="D957" s="8" t="inlineStr">
        <is>
          <t>Software / Data Engineer - Build powerful analytics platforms</t>
        </is>
      </c>
      <c r="E957" s="7" t="inlineStr">
        <is>
          <t>Saragossa</t>
        </is>
      </c>
      <c r="F957" s="8" t="inlineStr">
        <is>
          <t>London Area, United Kingdom</t>
        </is>
      </c>
      <c r="G957" s="8" t="n"/>
      <c r="H957" s="14" t="n"/>
      <c r="I957" s="15">
        <f>IF($H957="","",$H957-TODAY())</f>
        <v/>
      </c>
      <c r="J957" s="16" t="inlineStr">
        <is>
          <t>Open posting</t>
        </is>
      </c>
      <c r="K957" s="8" t="inlineStr">
        <is>
          <t>filtered by keyword pre-scan</t>
        </is>
      </c>
      <c r="L957" s="17" t="inlineStr">
        <is>
          <t>new</t>
        </is>
      </c>
      <c r="M957" s="18" t="inlineStr"/>
      <c r="N957" s="7" t="inlineStr">
        <is>
          <t>63694f9f4af76b895377e796283b598eeeab539a</t>
        </is>
      </c>
      <c r="O957" s="14" t="n">
        <v>46188</v>
      </c>
      <c r="P957" s="7" t="inlineStr">
        <is>
          <t>jobspy</t>
        </is>
      </c>
      <c r="Q957" s="8" t="inlineStr">
        <is>
          <t>python, sql, c</t>
        </is>
      </c>
      <c r="R957" s="8" t="inlineStr">
        <is>
          <t>Graduate Data Engineer SQL Python MySQL</t>
        </is>
      </c>
      <c r="S957" s="19" t="n"/>
      <c r="T957" s="19" t="n"/>
      <c r="U957" s="14" t="n">
        <v>46195</v>
      </c>
      <c r="V957" s="7" t="inlineStr">
        <is>
          <t>v2-cv-accuracy-13b988b18da8ea7d</t>
        </is>
      </c>
    </row>
    <row r="958" ht="28" customHeight="1">
      <c r="A958" s="12">
        <f>IF($L958="applied","Applied",IF($L958="interview","Interview",IF($L958="offer","Offer",IF($L958="rejected","Rejected",IF($L958="ignore","Ignore",IF($L958="archive","Archive",IF($L958="closed","Closed",IF($B958="","Unscored",IF(AND($B958&gt;=8,OR($H958="",$H958-TODAY()&lt;=14)),"P1 Apply",IF($B958&gt;=7,"P2 Strong",IF($B958&gt;=5,"P3 Maybe","P4 Low")))))))))))</f>
        <v/>
      </c>
      <c r="B958" s="13" t="n">
        <v>1.08</v>
      </c>
      <c r="C958" s="12" t="inlineStr">
        <is>
          <t>Mid-level</t>
        </is>
      </c>
      <c r="D958" s="8" t="inlineStr">
        <is>
          <t>Data Engineer</t>
        </is>
      </c>
      <c r="E958" s="7" t="inlineStr">
        <is>
          <t>Reply</t>
        </is>
      </c>
      <c r="F958" s="8" t="inlineStr">
        <is>
          <t>London Area, United Kingdom</t>
        </is>
      </c>
      <c r="G958" s="8" t="n"/>
      <c r="H958" s="14" t="n"/>
      <c r="I958" s="15">
        <f>IF($H958="","",$H958-TODAY())</f>
        <v/>
      </c>
      <c r="J958" s="16" t="inlineStr">
        <is>
          <t>Open posting</t>
        </is>
      </c>
      <c r="K958" s="8" t="inlineStr">
        <is>
          <t>filtered by keyword pre-scan</t>
        </is>
      </c>
      <c r="L958" s="17" t="inlineStr">
        <is>
          <t>new</t>
        </is>
      </c>
      <c r="M958" s="18" t="inlineStr"/>
      <c r="N958" s="7" t="inlineStr">
        <is>
          <t>2afb9ac5c15d360bf65d3c111ecadf21b4ccdc04</t>
        </is>
      </c>
      <c r="O958" s="14" t="n">
        <v>46168</v>
      </c>
      <c r="P958" s="7" t="inlineStr">
        <is>
          <t>jobspy</t>
        </is>
      </c>
      <c r="Q958" s="8" t="inlineStr">
        <is>
          <t>python, sql, c</t>
        </is>
      </c>
      <c r="R958" s="8" t="inlineStr">
        <is>
          <t>Graduate Data Engineer SQL Python MySQL</t>
        </is>
      </c>
      <c r="S958" s="19" t="n"/>
      <c r="T958" s="19" t="n"/>
      <c r="U958" s="14" t="n">
        <v>46195</v>
      </c>
      <c r="V958" s="7" t="inlineStr">
        <is>
          <t>v2-cv-accuracy-13b988b18da8ea7d</t>
        </is>
      </c>
    </row>
    <row r="959" ht="28" customHeight="1">
      <c r="A959" s="12">
        <f>IF($L959="applied","Applied",IF($L959="interview","Interview",IF($L959="offer","Offer",IF($L959="rejected","Rejected",IF($L959="ignore","Ignore",IF($L959="archive","Archive",IF($L959="closed","Closed",IF($B959="","Unscored",IF(AND($B959&gt;=8,OR($H959="",$H959-TODAY()&lt;=14)),"P1 Apply",IF($B959&gt;=7,"P2 Strong",IF($B959&gt;=5,"P3 Maybe","P4 Low")))))))))))</f>
        <v/>
      </c>
      <c r="B959" s="13" t="n">
        <v>1.08</v>
      </c>
      <c r="C959" s="12" t="inlineStr">
        <is>
          <t>Mid-level</t>
        </is>
      </c>
      <c r="D959" s="8" t="inlineStr">
        <is>
          <t>Algorithms Engineer</t>
        </is>
      </c>
      <c r="E959" s="7" t="inlineStr">
        <is>
          <t>MBDA</t>
        </is>
      </c>
      <c r="F959" s="8" t="inlineStr">
        <is>
          <t>Stevenage, England, UK</t>
        </is>
      </c>
      <c r="G959" s="8" t="n"/>
      <c r="H959" s="14" t="n"/>
      <c r="I959" s="15">
        <f>IF($H959="","",$H959-TODAY())</f>
        <v/>
      </c>
      <c r="J959" s="16" t="inlineStr">
        <is>
          <t>Open posting</t>
        </is>
      </c>
      <c r="K959" s="8" t="inlineStr">
        <is>
          <t>filtered by keyword pre-scan</t>
        </is>
      </c>
      <c r="L959" s="17" t="inlineStr">
        <is>
          <t>new</t>
        </is>
      </c>
      <c r="M959" s="18" t="inlineStr"/>
      <c r="N959" s="7" t="inlineStr">
        <is>
          <t>50b16338d91906c0f957a5d6389c82e70c344463</t>
        </is>
      </c>
      <c r="O959" s="14" t="n">
        <v>46192</v>
      </c>
      <c r="P959" s="7" t="inlineStr">
        <is>
          <t>jobspy</t>
        </is>
      </c>
      <c r="Q959" s="8" t="inlineStr">
        <is>
          <t>git, c</t>
        </is>
      </c>
      <c r="R959" s="8" t="inlineStr">
        <is>
          <t>Signal Processing Engineer DSP graduate Sheffield</t>
        </is>
      </c>
      <c r="S959" s="19" t="n"/>
      <c r="T959" s="19" t="n"/>
      <c r="U959" s="14" t="n">
        <v>46195</v>
      </c>
      <c r="V959" s="7" t="inlineStr">
        <is>
          <t>v2-cv-accuracy-13b988b18da8ea7d</t>
        </is>
      </c>
    </row>
    <row r="960" ht="28" customHeight="1">
      <c r="A960" s="12">
        <f>IF($L960="applied","Applied",IF($L960="interview","Interview",IF($L960="offer","Offer",IF($L960="rejected","Rejected",IF($L960="ignore","Ignore",IF($L960="archive","Archive",IF($L960="closed","Closed",IF($B960="","Unscored",IF(AND($B960&gt;=8,OR($H960="",$H960-TODAY()&lt;=14)),"P1 Apply",IF($B960&gt;=7,"P2 Strong",IF($B960&gt;=5,"P3 Maybe","P4 Low")))))))))))</f>
        <v/>
      </c>
      <c r="B960" s="13" t="n">
        <v>1.08</v>
      </c>
      <c r="C960" s="12" t="inlineStr">
        <is>
          <t>Junior</t>
        </is>
      </c>
      <c r="D960" s="8" t="inlineStr">
        <is>
          <t>Design Verification Engineer</t>
        </is>
      </c>
      <c r="E960" s="7" t="inlineStr">
        <is>
          <t>IC Resources</t>
        </is>
      </c>
      <c r="F960" s="8" t="inlineStr">
        <is>
          <t>Edinburgh, Scotland, UK</t>
        </is>
      </c>
      <c r="G960" s="8" t="n"/>
      <c r="H960" s="14" t="n"/>
      <c r="I960" s="15">
        <f>IF($H960="","",$H960-TODAY())</f>
        <v/>
      </c>
      <c r="J960" s="16" t="inlineStr">
        <is>
          <t>Open posting</t>
        </is>
      </c>
      <c r="K960" s="8" t="inlineStr">
        <is>
          <t>filtered by keyword pre-scan</t>
        </is>
      </c>
      <c r="L960" s="17" t="inlineStr">
        <is>
          <t>new</t>
        </is>
      </c>
      <c r="M960" s="18" t="inlineStr"/>
      <c r="N960" s="7" t="inlineStr">
        <is>
          <t>23a2a1477a220ee9f974409fbd42a8a8948f9c06</t>
        </is>
      </c>
      <c r="O960" s="14" t="n">
        <v>46192</v>
      </c>
      <c r="P960" s="7" t="inlineStr">
        <is>
          <t>jobspy</t>
        </is>
      </c>
      <c r="Q960" s="8" t="inlineStr">
        <is>
          <t>verilog, git, c</t>
        </is>
      </c>
      <c r="R960" s="8" t="inlineStr">
        <is>
          <t>Graduate Verification Engineer Verilog digital design</t>
        </is>
      </c>
      <c r="S960" s="19" t="n"/>
      <c r="T960" s="19" t="n"/>
      <c r="U960" s="14" t="n">
        <v>46195</v>
      </c>
      <c r="V960" s="7" t="inlineStr">
        <is>
          <t>v2-cv-accuracy-13b988b18da8ea7d</t>
        </is>
      </c>
    </row>
    <row r="961" ht="28" customHeight="1">
      <c r="A961" s="12">
        <f>IF($L961="applied","Applied",IF($L961="interview","Interview",IF($L961="offer","Offer",IF($L961="rejected","Rejected",IF($L961="ignore","Ignore",IF($L961="archive","Archive",IF($L961="closed","Closed",IF($B961="","Unscored",IF(AND($B961&gt;=8,OR($H961="",$H961-TODAY()&lt;=14)),"P1 Apply",IF($B961&gt;=7,"P2 Strong",IF($B961&gt;=5,"P3 Maybe","P4 Low")))))))))))</f>
        <v/>
      </c>
      <c r="B961" s="13" t="n">
        <v>1.08</v>
      </c>
      <c r="C961" s="12" t="inlineStr">
        <is>
          <t>Senior/Lead</t>
        </is>
      </c>
      <c r="D961" s="8" t="inlineStr">
        <is>
          <t>Design Verification Engineer</t>
        </is>
      </c>
      <c r="E961" s="7" t="inlineStr">
        <is>
          <t>microTECH Global LTD</t>
        </is>
      </c>
      <c r="F961" s="8" t="inlineStr">
        <is>
          <t>Newbury, England, UK</t>
        </is>
      </c>
      <c r="G961" s="8" t="n"/>
      <c r="H961" s="14" t="n"/>
      <c r="I961" s="15">
        <f>IF($H961="","",$H961-TODAY())</f>
        <v/>
      </c>
      <c r="J961" s="16" t="inlineStr">
        <is>
          <t>Open posting</t>
        </is>
      </c>
      <c r="K961" s="8" t="inlineStr">
        <is>
          <t>filtered by keyword pre-scan</t>
        </is>
      </c>
      <c r="L961" s="17" t="inlineStr">
        <is>
          <t>new</t>
        </is>
      </c>
      <c r="M961" s="18" t="inlineStr"/>
      <c r="N961" s="7" t="inlineStr">
        <is>
          <t>63e66fc67aa11ac73c0e9687140037602095c5e3</t>
        </is>
      </c>
      <c r="O961" s="14" t="n">
        <v>46183</v>
      </c>
      <c r="P961" s="7" t="inlineStr">
        <is>
          <t>jobspy</t>
        </is>
      </c>
      <c r="Q961" s="8" t="inlineStr">
        <is>
          <t>verilog, git, c</t>
        </is>
      </c>
      <c r="R961" s="8" t="inlineStr">
        <is>
          <t>Graduate Verification Engineer Verilog digital design</t>
        </is>
      </c>
      <c r="S961" s="19" t="n"/>
      <c r="T961" s="19" t="n"/>
      <c r="U961" s="14" t="n">
        <v>46195</v>
      </c>
      <c r="V961" s="7" t="inlineStr">
        <is>
          <t>v2-cv-accuracy-13b988b18da8ea7d</t>
        </is>
      </c>
    </row>
    <row r="962" ht="28" customHeight="1">
      <c r="A962" s="12">
        <f>IF($L962="applied","Applied",IF($L962="interview","Interview",IF($L962="offer","Offer",IF($L962="rejected","Rejected",IF($L962="ignore","Ignore",IF($L962="archive","Archive",IF($L962="closed","Closed",IF($B962="","Unscored",IF(AND($B962&gt;=8,OR($H962="",$H962-TODAY()&lt;=14)),"P1 Apply",IF($B962&gt;=7,"P2 Strong",IF($B962&gt;=5,"P3 Maybe","P4 Low")))))))))))</f>
        <v/>
      </c>
      <c r="B962" s="13" t="n">
        <v>1.08</v>
      </c>
      <c r="C962" s="12" t="inlineStr">
        <is>
          <t>Unspecified</t>
        </is>
      </c>
      <c r="D962" s="8" t="inlineStr">
        <is>
          <t>Instrumentation Engineer</t>
        </is>
      </c>
      <c r="E962" s="7" t="inlineStr">
        <is>
          <t>Hays</t>
        </is>
      </c>
      <c r="F962" s="8" t="inlineStr">
        <is>
          <t>Cheshire West And Chester, England, UK</t>
        </is>
      </c>
      <c r="G962" s="8" t="n"/>
      <c r="H962" s="14" t="n"/>
      <c r="I962" s="15">
        <f>IF($H962="","",$H962-TODAY())</f>
        <v/>
      </c>
      <c r="J962" s="16" t="inlineStr">
        <is>
          <t>Open posting</t>
        </is>
      </c>
      <c r="K962" s="8" t="inlineStr">
        <is>
          <t>filtered by keyword pre-scan</t>
        </is>
      </c>
      <c r="L962" s="17" t="inlineStr">
        <is>
          <t>new</t>
        </is>
      </c>
      <c r="M962" s="18" t="inlineStr"/>
      <c r="N962" s="7" t="inlineStr">
        <is>
          <t>da5fdfe7e4c87e53e80428a73f12e181b4d6d593</t>
        </is>
      </c>
      <c r="O962" s="14" t="n">
        <v>46189</v>
      </c>
      <c r="P962" s="7" t="inlineStr">
        <is>
          <t>jobspy</t>
        </is>
      </c>
      <c r="Q962" s="8" t="inlineStr">
        <is>
          <t>python, c</t>
        </is>
      </c>
      <c r="R962" s="8" t="inlineStr">
        <is>
          <t>Graduate Electronics Engineer Sheffield</t>
        </is>
      </c>
      <c r="S962" s="19" t="n"/>
      <c r="T962" s="19" t="n"/>
      <c r="U962" s="14" t="n">
        <v>46195</v>
      </c>
      <c r="V962" s="7" t="inlineStr">
        <is>
          <t>v2-cv-accuracy-13b988b18da8ea7d</t>
        </is>
      </c>
    </row>
    <row r="963" ht="28" customHeight="1">
      <c r="A963" s="12">
        <f>IF($L963="applied","Applied",IF($L963="interview","Interview",IF($L963="offer","Offer",IF($L963="rejected","Rejected",IF($L963="ignore","Ignore",IF($L963="archive","Archive",IF($L963="closed","Closed",IF($B963="","Unscored",IF(AND($B963&gt;=8,OR($H963="",$H963-TODAY()&lt;=14)),"P1 Apply",IF($B963&gt;=7,"P2 Strong",IF($B963&gt;=5,"P3 Maybe","P4 Low")))))))))))</f>
        <v/>
      </c>
      <c r="B963" s="13" t="n">
        <v>1.08</v>
      </c>
      <c r="C963" s="12" t="inlineStr">
        <is>
          <t>Junior</t>
        </is>
      </c>
      <c r="D963" s="8" t="inlineStr">
        <is>
          <t>Junior Web Developer (C# / Blazor)</t>
        </is>
      </c>
      <c r="E963" s="7" t="inlineStr">
        <is>
          <t>Simpson Spence Young</t>
        </is>
      </c>
      <c r="F963" s="8" t="inlineStr">
        <is>
          <t>London, ENG, GB</t>
        </is>
      </c>
      <c r="G963" s="8" t="n"/>
      <c r="H963" s="14" t="n"/>
      <c r="I963" s="15">
        <f>IF($H963="","",$H963-TODAY())</f>
        <v/>
      </c>
      <c r="J963" s="16" t="inlineStr">
        <is>
          <t>Open posting</t>
        </is>
      </c>
      <c r="K963" s="8" t="inlineStr">
        <is>
          <t>filtered by keyword pre-scan</t>
        </is>
      </c>
      <c r="L963" s="17" t="inlineStr">
        <is>
          <t>new</t>
        </is>
      </c>
      <c r="M963" s="18" t="inlineStr"/>
      <c r="N963" s="7" t="inlineStr">
        <is>
          <t>d8ce1e8b8200a99b06e8cbc34bbe0cf958f4a617</t>
        </is>
      </c>
      <c r="O963" s="14" t="n">
        <v>46177</v>
      </c>
      <c r="P963" s="7" t="inlineStr">
        <is>
          <t>jobspy</t>
        </is>
      </c>
      <c r="Q963" s="8" t="inlineStr">
        <is>
          <t>python, sql, c</t>
        </is>
      </c>
      <c r="R963" s="8" t="inlineStr">
        <is>
          <t>Junior Python Developer backend SQL</t>
        </is>
      </c>
      <c r="S963" s="19" t="n"/>
      <c r="T963" s="19" t="n"/>
      <c r="U963" s="14" t="n">
        <v>46195</v>
      </c>
      <c r="V963" s="7" t="inlineStr">
        <is>
          <t>v2-cv-accuracy-13b988b18da8ea7d</t>
        </is>
      </c>
    </row>
    <row r="964" ht="28" customHeight="1">
      <c r="A964" s="12">
        <f>IF($L964="applied","Applied",IF($L964="interview","Interview",IF($L964="offer","Offer",IF($L964="rejected","Rejected",IF($L964="ignore","Ignore",IF($L964="archive","Archive",IF($L964="closed","Closed",IF($B964="","Unscored",IF(AND($B964&gt;=8,OR($H964="",$H964-TODAY()&lt;=14)),"P1 Apply",IF($B964&gt;=7,"P2 Strong",IF($B964&gt;=5,"P3 Maybe","P4 Low")))))))))))</f>
        <v/>
      </c>
      <c r="B964" s="13" t="n">
        <v>1.08</v>
      </c>
      <c r="C964" s="12" t="inlineStr">
        <is>
          <t>Mid-level</t>
        </is>
      </c>
      <c r="D964" s="8" t="inlineStr">
        <is>
          <t>Algorithms Engineer</t>
        </is>
      </c>
      <c r="E964" s="7" t="inlineStr">
        <is>
          <t>MBDA</t>
        </is>
      </c>
      <c r="F964" s="8" t="inlineStr">
        <is>
          <t>Bristol, England, UK</t>
        </is>
      </c>
      <c r="G964" s="8" t="n"/>
      <c r="H964" s="14" t="n"/>
      <c r="I964" s="15">
        <f>IF($H964="","",$H964-TODAY())</f>
        <v/>
      </c>
      <c r="J964" s="16" t="inlineStr">
        <is>
          <t>Open posting</t>
        </is>
      </c>
      <c r="K964" s="8" t="inlineStr">
        <is>
          <t>filtered by keyword pre-scan</t>
        </is>
      </c>
      <c r="L964" s="17" t="inlineStr">
        <is>
          <t>new</t>
        </is>
      </c>
      <c r="M964" s="18" t="inlineStr"/>
      <c r="N964" s="7" t="inlineStr">
        <is>
          <t>cc864b0baf3366747748a6232de0b40f562ae073</t>
        </is>
      </c>
      <c r="O964" s="14" t="n">
        <v>46191</v>
      </c>
      <c r="P964" s="7" t="inlineStr">
        <is>
          <t>jobspy</t>
        </is>
      </c>
      <c r="Q964" s="8" t="inlineStr">
        <is>
          <t>git, c</t>
        </is>
      </c>
      <c r="R964" s="8" t="inlineStr">
        <is>
          <t>Signal Processing Engineer graduate DSP</t>
        </is>
      </c>
      <c r="S964" s="19" t="n"/>
      <c r="T964" s="19" t="n"/>
      <c r="U964" s="14" t="n">
        <v>46195</v>
      </c>
      <c r="V964" s="7" t="inlineStr">
        <is>
          <t>v2-cv-accuracy-13b988b18da8ea7d</t>
        </is>
      </c>
    </row>
    <row r="965" ht="28" customHeight="1">
      <c r="A965" s="12">
        <f>IF($L965="applied","Applied",IF($L965="interview","Interview",IF($L965="offer","Offer",IF($L965="rejected","Rejected",IF($L965="ignore","Ignore",IF($L965="archive","Archive",IF($L965="closed","Closed",IF($B965="","Unscored",IF(AND($B965&gt;=8,OR($H965="",$H965-TODAY()&lt;=14)),"P1 Apply",IF($B965&gt;=7,"P2 Strong",IF($B965&gt;=5,"P3 Maybe","P4 Low")))))))))))</f>
        <v/>
      </c>
      <c r="B965" s="13" t="n">
        <v>1.08</v>
      </c>
      <c r="C965" s="12" t="inlineStr">
        <is>
          <t>Unspecified</t>
        </is>
      </c>
      <c r="D965" s="8" t="inlineStr">
        <is>
          <t>Software Engineer – Python | Remote</t>
        </is>
      </c>
      <c r="E965" s="7" t="inlineStr">
        <is>
          <t>Crossing Hurdles</t>
        </is>
      </c>
      <c r="F965" s="8" t="inlineStr"/>
      <c r="G965" s="8" t="n"/>
      <c r="H965" s="14" t="n"/>
      <c r="I965" s="15">
        <f>IF($H965="","",$H965-TODAY())</f>
        <v/>
      </c>
      <c r="J965" s="16" t="inlineStr">
        <is>
          <t>Open posting</t>
        </is>
      </c>
      <c r="K965" s="8" t="inlineStr">
        <is>
          <t>filtered by keyword pre-scan</t>
        </is>
      </c>
      <c r="L965" s="17" t="inlineStr">
        <is>
          <t>new</t>
        </is>
      </c>
      <c r="M965" s="18" t="inlineStr"/>
      <c r="N965" s="7" t="inlineStr">
        <is>
          <t>4b5a7eee4dff407c3f21811855f32f0e05399184</t>
        </is>
      </c>
      <c r="O965" s="14" t="n"/>
      <c r="P965" s="7" t="inlineStr">
        <is>
          <t>jobspy</t>
        </is>
      </c>
      <c r="Q965" s="8" t="inlineStr">
        <is>
          <t>python, sql, c</t>
        </is>
      </c>
      <c r="R965" s="8" t="inlineStr">
        <is>
          <t>Graduate Software Developer Python remote</t>
        </is>
      </c>
      <c r="S965" s="19" t="n"/>
      <c r="T965" s="19" t="n"/>
      <c r="U965" s="14" t="n">
        <v>46195</v>
      </c>
      <c r="V965" s="7" t="inlineStr">
        <is>
          <t>v2-cv-accuracy-13b988b18da8ea7d</t>
        </is>
      </c>
    </row>
    <row r="966" ht="28" customHeight="1">
      <c r="A966" s="12">
        <f>IF($L966="applied","Applied",IF($L966="interview","Interview",IF($L966="offer","Offer",IF($L966="rejected","Rejected",IF($L966="ignore","Ignore",IF($L966="archive","Archive",IF($L966="closed","Closed",IF($B966="","Unscored",IF(AND($B966&gt;=8,OR($H966="",$H966-TODAY()&lt;=14)),"P1 Apply",IF($B966&gt;=7,"P2 Strong",IF($B966&gt;=5,"P3 Maybe","P4 Low")))))))))))</f>
        <v/>
      </c>
      <c r="B966" s="13" t="n">
        <v>1.08</v>
      </c>
      <c r="C966" s="12" t="inlineStr">
        <is>
          <t>Unspecified</t>
        </is>
      </c>
      <c r="D966" s="8" t="inlineStr">
        <is>
          <t>Backend Engineer – C#, .Net, Azure | Payments Financial Services | £600/day outside IR35| Hybrid</t>
        </is>
      </c>
      <c r="E966" s="7" t="inlineStr">
        <is>
          <t>VirtueTech Recruitment Group</t>
        </is>
      </c>
      <c r="F966" s="8" t="inlineStr">
        <is>
          <t>London Area, United Kingdom</t>
        </is>
      </c>
      <c r="G966" s="8" t="n"/>
      <c r="H966" s="14" t="n"/>
      <c r="I966" s="15">
        <f>IF($H966="","",$H966-TODAY())</f>
        <v/>
      </c>
      <c r="J966" s="16" t="inlineStr">
        <is>
          <t>Open posting</t>
        </is>
      </c>
      <c r="K966" s="8" t="inlineStr">
        <is>
          <t>filtered by keyword pre-scan</t>
        </is>
      </c>
      <c r="L966" s="17" t="inlineStr">
        <is>
          <t>new</t>
        </is>
      </c>
      <c r="M966" s="18" t="inlineStr"/>
      <c r="N966" s="7" t="inlineStr">
        <is>
          <t>59fbc107f9c903da2a6809226710f67b49e6ebe8</t>
        </is>
      </c>
      <c r="O966" s="14" t="n">
        <v>46178</v>
      </c>
      <c r="P966" s="7" t="inlineStr">
        <is>
          <t>jobspy</t>
        </is>
      </c>
      <c r="Q966" s="8" t="inlineStr">
        <is>
          <t>sql, mysql, c</t>
        </is>
      </c>
      <c r="R966" s="8" t="inlineStr">
        <is>
          <t>Junior Python Developer SQL MySQL backend</t>
        </is>
      </c>
      <c r="S966" s="19" t="n"/>
      <c r="T966" s="19" t="n"/>
      <c r="U966" s="14" t="n">
        <v>46195</v>
      </c>
      <c r="V966" s="7" t="inlineStr">
        <is>
          <t>v2-cv-accuracy-13b988b18da8ea7d</t>
        </is>
      </c>
    </row>
    <row r="967" ht="28" customHeight="1">
      <c r="A967" s="12">
        <f>IF($L967="applied","Applied",IF($L967="interview","Interview",IF($L967="offer","Offer",IF($L967="rejected","Rejected",IF($L967="ignore","Ignore",IF($L967="archive","Archive",IF($L967="closed","Closed",IF($B967="","Unscored",IF(AND($B967&gt;=8,OR($H967="",$H967-TODAY()&lt;=14)),"P1 Apply",IF($B967&gt;=7,"P2 Strong",IF($B967&gt;=5,"P3 Maybe","P4 Low")))))))))))</f>
        <v/>
      </c>
      <c r="B967" s="13" t="n">
        <v>1.08</v>
      </c>
      <c r="C967" s="12" t="inlineStr">
        <is>
          <t>Mid-level</t>
        </is>
      </c>
      <c r="D967" s="8" t="inlineStr">
        <is>
          <t>Software Engineer (Python / ETL) - London</t>
        </is>
      </c>
      <c r="E967" s="7" t="inlineStr">
        <is>
          <t>Validus Risk Management</t>
        </is>
      </c>
      <c r="F967" s="8" t="inlineStr">
        <is>
          <t>London, England, UK</t>
        </is>
      </c>
      <c r="G967" s="8" t="n"/>
      <c r="H967" s="14" t="n"/>
      <c r="I967" s="15">
        <f>IF($H967="","",$H967-TODAY())</f>
        <v/>
      </c>
      <c r="J967" s="16" t="inlineStr">
        <is>
          <t>Open posting</t>
        </is>
      </c>
      <c r="K967" s="8" t="inlineStr">
        <is>
          <t>filtered by keyword pre-scan</t>
        </is>
      </c>
      <c r="L967" s="17" t="inlineStr">
        <is>
          <t>new</t>
        </is>
      </c>
      <c r="M967" s="18" t="inlineStr"/>
      <c r="N967" s="7" t="inlineStr">
        <is>
          <t>5b6c421686aff0955aacc65c64b225441a497e39</t>
        </is>
      </c>
      <c r="O967" s="14" t="n">
        <v>46185</v>
      </c>
      <c r="P967" s="7" t="inlineStr">
        <is>
          <t>jobspy</t>
        </is>
      </c>
      <c r="Q967" s="8" t="inlineStr">
        <is>
          <t>python, c</t>
        </is>
      </c>
      <c r="R967" s="8" t="inlineStr">
        <is>
          <t>Graduate Data Engineer Python SQL pipeline</t>
        </is>
      </c>
      <c r="S967" s="19" t="n"/>
      <c r="T967" s="19" t="n"/>
      <c r="U967" s="14" t="n">
        <v>46194</v>
      </c>
      <c r="V967" s="7" t="inlineStr">
        <is>
          <t>v2-cv-accuracy-13b988b18da8ea7d</t>
        </is>
      </c>
    </row>
    <row r="968" ht="28" customHeight="1">
      <c r="A968" s="12">
        <f>IF($L968="applied","Applied",IF($L968="interview","Interview",IF($L968="offer","Offer",IF($L968="rejected","Rejected",IF($L968="ignore","Ignore",IF($L968="archive","Archive",IF($L968="closed","Closed",IF($B968="","Unscored",IF(AND($B968&gt;=8,OR($H968="",$H968-TODAY()&lt;=14)),"P1 Apply",IF($B968&gt;=7,"P2 Strong",IF($B968&gt;=5,"P3 Maybe","P4 Low")))))))))))</f>
        <v/>
      </c>
      <c r="B968" s="13" t="n">
        <v>1.08</v>
      </c>
      <c r="C968" s="12" t="inlineStr">
        <is>
          <t>Senior/Lead</t>
        </is>
      </c>
      <c r="D968" s="8" t="inlineStr">
        <is>
          <t>Data Engineer</t>
        </is>
      </c>
      <c r="E968" s="7" t="inlineStr">
        <is>
          <t>develop</t>
        </is>
      </c>
      <c r="F968" s="8" t="inlineStr">
        <is>
          <t>London Area, United Kingdom</t>
        </is>
      </c>
      <c r="G968" s="8" t="n"/>
      <c r="H968" s="14" t="n"/>
      <c r="I968" s="15">
        <f>IF($H968="","",$H968-TODAY())</f>
        <v/>
      </c>
      <c r="J968" s="16" t="inlineStr">
        <is>
          <t>Open posting</t>
        </is>
      </c>
      <c r="K968" s="8" t="inlineStr">
        <is>
          <t>filtered by keyword pre-scan</t>
        </is>
      </c>
      <c r="L968" s="17" t="inlineStr">
        <is>
          <t>new</t>
        </is>
      </c>
      <c r="M968" s="18" t="inlineStr"/>
      <c r="N968" s="7" t="inlineStr">
        <is>
          <t>be0f0c2b3e94b70f265ab7a58ba29ca5d8860fdc</t>
        </is>
      </c>
      <c r="O968" s="14" t="n">
        <v>46181</v>
      </c>
      <c r="P968" s="7" t="inlineStr">
        <is>
          <t>jobspy</t>
        </is>
      </c>
      <c r="Q968" s="8" t="inlineStr">
        <is>
          <t>python, sql, c</t>
        </is>
      </c>
      <c r="R968" s="8" t="inlineStr">
        <is>
          <t>Graduate Data Engineer Python SQL pipeline</t>
        </is>
      </c>
      <c r="S968" s="19" t="n"/>
      <c r="T968" s="19" t="n"/>
      <c r="U968" s="14" t="n">
        <v>46194</v>
      </c>
      <c r="V968" s="7" t="inlineStr">
        <is>
          <t>v2-cv-accuracy-13b988b18da8ea7d</t>
        </is>
      </c>
    </row>
    <row r="969" ht="28" customHeight="1">
      <c r="A969" s="12">
        <f>IF($L969="applied","Applied",IF($L969="interview","Interview",IF($L969="offer","Offer",IF($L969="rejected","Rejected",IF($L969="ignore","Ignore",IF($L969="archive","Archive",IF($L969="closed","Closed",IF($B969="","Unscored",IF(AND($B969&gt;=8,OR($H969="",$H969-TODAY()&lt;=14)),"P1 Apply",IF($B969&gt;=7,"P2 Strong",IF($B969&gt;=5,"P3 Maybe","P4 Low")))))))))))</f>
        <v/>
      </c>
      <c r="B969" s="13" t="n">
        <v>1.08</v>
      </c>
      <c r="C969" s="12" t="inlineStr">
        <is>
          <t>Unspecified</t>
        </is>
      </c>
      <c r="D969" s="8" t="inlineStr">
        <is>
          <t>Field-Programmable Gate Arrays Engineer</t>
        </is>
      </c>
      <c r="E969" s="7" t="inlineStr">
        <is>
          <t>Investigo</t>
        </is>
      </c>
      <c r="F969" s="8" t="inlineStr">
        <is>
          <t>Essex, England, UK</t>
        </is>
      </c>
      <c r="G969" s="8" t="n"/>
      <c r="H969" s="14" t="n"/>
      <c r="I969" s="15">
        <f>IF($H969="","",$H969-TODAY())</f>
        <v/>
      </c>
      <c r="J969" s="16" t="inlineStr">
        <is>
          <t>Open posting</t>
        </is>
      </c>
      <c r="K969" s="8" t="inlineStr">
        <is>
          <t>filtered by keyword pre-scan</t>
        </is>
      </c>
      <c r="L969" s="17" t="inlineStr">
        <is>
          <t>new</t>
        </is>
      </c>
      <c r="M969" s="18" t="inlineStr"/>
      <c r="N969" s="7" t="inlineStr">
        <is>
          <t>4dba7f82be10645f057a96b49d5f40603e4a6f6a</t>
        </is>
      </c>
      <c r="O969" s="14" t="n">
        <v>46188</v>
      </c>
      <c r="P969" s="7" t="inlineStr">
        <is>
          <t>jobspy</t>
        </is>
      </c>
      <c r="Q969" s="8" t="inlineStr">
        <is>
          <t>verilog, fpga, c</t>
        </is>
      </c>
      <c r="R969" s="8" t="inlineStr">
        <is>
          <t>Graduate FPGA Engineer Verilog Vivado</t>
        </is>
      </c>
      <c r="S969" s="19" t="n"/>
      <c r="T969" s="19" t="n"/>
      <c r="U969" s="14" t="n">
        <v>46194</v>
      </c>
      <c r="V969" s="7" t="inlineStr">
        <is>
          <t>v2-cv-accuracy-13b988b18da8ea7d</t>
        </is>
      </c>
    </row>
    <row r="970" ht="28" customHeight="1">
      <c r="A970" s="12">
        <f>IF($L970="applied","Applied",IF($L970="interview","Interview",IF($L970="offer","Offer",IF($L970="rejected","Rejected",IF($L970="ignore","Ignore",IF($L970="archive","Archive",IF($L970="closed","Closed",IF($B970="","Unscored",IF(AND($B970&gt;=8,OR($H970="",$H970-TODAY()&lt;=14)),"P1 Apply",IF($B970&gt;=7,"P2 Strong",IF($B970&gt;=5,"P3 Maybe","P4 Low")))))))))))</f>
        <v/>
      </c>
      <c r="B970" s="13" t="n">
        <v>1.08</v>
      </c>
      <c r="C970" s="12" t="inlineStr">
        <is>
          <t>Graduate/Entry</t>
        </is>
      </c>
      <c r="D970" s="8" t="inlineStr">
        <is>
          <t>Graduate Embedded Software Engineer</t>
        </is>
      </c>
      <c r="E970" s="7" t="inlineStr">
        <is>
          <t>Innovative Technology Ltd</t>
        </is>
      </c>
      <c r="F970" s="8" t="inlineStr">
        <is>
          <t>Oldham, England, UK</t>
        </is>
      </c>
      <c r="G970" s="8" t="n"/>
      <c r="H970" s="14" t="n"/>
      <c r="I970" s="15">
        <f>IF($H970="","",$H970-TODAY())</f>
        <v/>
      </c>
      <c r="J970" s="16" t="inlineStr">
        <is>
          <t>Open posting</t>
        </is>
      </c>
      <c r="K970" s="8" t="inlineStr">
        <is>
          <t>filtered by keyword pre-scan</t>
        </is>
      </c>
      <c r="L970" s="17" t="inlineStr">
        <is>
          <t>new</t>
        </is>
      </c>
      <c r="M970" s="18" t="inlineStr"/>
      <c r="N970" s="7" t="inlineStr">
        <is>
          <t>7e320f95a3c0570010f761935a00e00c3dfdcfbc</t>
        </is>
      </c>
      <c r="O970" s="14" t="n">
        <v>46189</v>
      </c>
      <c r="P970" s="7" t="inlineStr">
        <is>
          <t>jobspy</t>
        </is>
      </c>
      <c r="Q970" s="8" t="inlineStr">
        <is>
          <t>c, embedded systems</t>
        </is>
      </c>
      <c r="R970" s="8" t="inlineStr">
        <is>
          <t>Graduate Software Engineer embedded systems</t>
        </is>
      </c>
      <c r="S970" s="19" t="n"/>
      <c r="T970" s="19" t="n"/>
      <c r="U970" s="14" t="n">
        <v>46194</v>
      </c>
      <c r="V970" s="7" t="inlineStr">
        <is>
          <t>v2-cv-accuracy-13b988b18da8ea7d</t>
        </is>
      </c>
    </row>
    <row r="971" ht="28" customHeight="1">
      <c r="A971" s="12">
        <f>IF($L971="applied","Applied",IF($L971="interview","Interview",IF($L971="offer","Offer",IF($L971="rejected","Rejected",IF($L971="ignore","Ignore",IF($L971="archive","Archive",IF($L971="closed","Closed",IF($B971="","Unscored",IF(AND($B971&gt;=8,OR($H971="",$H971-TODAY()&lt;=14)),"P1 Apply",IF($B971&gt;=7,"P2 Strong",IF($B971&gt;=5,"P3 Maybe","P4 Low")))))))))))</f>
        <v/>
      </c>
      <c r="B971" s="13" t="n">
        <v>1.08</v>
      </c>
      <c r="C971" s="12" t="inlineStr">
        <is>
          <t>Senior/Lead</t>
        </is>
      </c>
      <c r="D971" s="8" t="inlineStr">
        <is>
          <t>Flight Software Engineer</t>
        </is>
      </c>
      <c r="E971" s="7" t="inlineStr">
        <is>
          <t>Blackswan Space</t>
        </is>
      </c>
      <c r="F971" s="8" t="inlineStr">
        <is>
          <t>London Area, United Kingdom</t>
        </is>
      </c>
      <c r="G971" s="8" t="n"/>
      <c r="H971" s="14" t="n"/>
      <c r="I971" s="15">
        <f>IF($H971="","",$H971-TODAY())</f>
        <v/>
      </c>
      <c r="J971" s="16" t="inlineStr">
        <is>
          <t>Open posting</t>
        </is>
      </c>
      <c r="K971" s="8" t="inlineStr">
        <is>
          <t>filtered by keyword pre-scan</t>
        </is>
      </c>
      <c r="L971" s="17" t="inlineStr">
        <is>
          <t>new</t>
        </is>
      </c>
      <c r="M971" s="18" t="inlineStr"/>
      <c r="N971" s="7" t="inlineStr">
        <is>
          <t>5c96570213fb92bdd5079fd3b6b9479284e590d1</t>
        </is>
      </c>
      <c r="O971" s="14" t="n">
        <v>46176</v>
      </c>
      <c r="P971" s="7" t="inlineStr">
        <is>
          <t>jobspy</t>
        </is>
      </c>
      <c r="Q971" s="8" t="inlineStr">
        <is>
          <t>python, c, embedded systems</t>
        </is>
      </c>
      <c r="R971" s="8" t="inlineStr">
        <is>
          <t>Graduate Software Engineer embedded systems</t>
        </is>
      </c>
      <c r="S971" s="19" t="n"/>
      <c r="T971" s="19" t="n"/>
      <c r="U971" s="14" t="n">
        <v>46194</v>
      </c>
      <c r="V971" s="7" t="inlineStr">
        <is>
          <t>v2-cv-accuracy-13b988b18da8ea7d</t>
        </is>
      </c>
    </row>
    <row r="972" ht="28" customHeight="1">
      <c r="A972" s="12">
        <f>IF($L972="applied","Applied",IF($L972="interview","Interview",IF($L972="offer","Offer",IF($L972="rejected","Rejected",IF($L972="ignore","Ignore",IF($L972="archive","Archive",IF($L972="closed","Closed",IF($B972="","Unscored",IF(AND($B972&gt;=8,OR($H972="",$H972-TODAY()&lt;=14)),"P1 Apply",IF($B972&gt;=7,"P2 Strong",IF($B972&gt;=5,"P3 Maybe","P4 Low")))))))))))</f>
        <v/>
      </c>
      <c r="B972" s="13" t="n">
        <v>1.08</v>
      </c>
      <c r="C972" s="12" t="inlineStr">
        <is>
          <t>Unspecified</t>
        </is>
      </c>
      <c r="D972" s="8" t="inlineStr">
        <is>
          <t>Low Code Developer</t>
        </is>
      </c>
      <c r="E972" s="7" t="inlineStr">
        <is>
          <t>DGH Recruitment</t>
        </is>
      </c>
      <c r="F972" s="8" t="inlineStr">
        <is>
          <t>Cardiff, Wales, UK</t>
        </is>
      </c>
      <c r="G972" s="8" t="n"/>
      <c r="H972" s="14" t="n"/>
      <c r="I972" s="15">
        <f>IF($H972="","",$H972-TODAY())</f>
        <v/>
      </c>
      <c r="J972" s="16" t="inlineStr">
        <is>
          <t>Open posting</t>
        </is>
      </c>
      <c r="K972" s="8" t="inlineStr">
        <is>
          <t>filtered by keyword pre-scan</t>
        </is>
      </c>
      <c r="L972" s="17" t="inlineStr">
        <is>
          <t>new</t>
        </is>
      </c>
      <c r="M972" s="18" t="inlineStr"/>
      <c r="N972" s="7" t="inlineStr">
        <is>
          <t>21c4ec8e0f38e5bfc01ae9db507a3a9bab502cd3</t>
        </is>
      </c>
      <c r="O972" s="14" t="n">
        <v>46189</v>
      </c>
      <c r="P972" s="7" t="inlineStr">
        <is>
          <t>jobspy</t>
        </is>
      </c>
      <c r="Q972" s="8" t="inlineStr">
        <is>
          <t>git, c, javascript</t>
        </is>
      </c>
      <c r="R972" s="8" t="inlineStr">
        <is>
          <t>Graduate Verification Engineer digital design</t>
        </is>
      </c>
      <c r="S972" s="19" t="n"/>
      <c r="T972" s="19" t="n"/>
      <c r="U972" s="14" t="n">
        <v>46194</v>
      </c>
      <c r="V972" s="7" t="inlineStr">
        <is>
          <t>v2-cv-accuracy-13b988b18da8ea7d</t>
        </is>
      </c>
    </row>
    <row r="973" ht="28" customHeight="1">
      <c r="A973" s="12">
        <f>IF($L973="applied","Applied",IF($L973="interview","Interview",IF($L973="offer","Offer",IF($L973="rejected","Rejected",IF($L973="ignore","Ignore",IF($L973="archive","Archive",IF($L973="closed","Closed",IF($B973="","Unscored",IF(AND($B973&gt;=8,OR($H973="",$H973-TODAY()&lt;=14)),"P1 Apply",IF($B973&gt;=7,"P2 Strong",IF($B973&gt;=5,"P3 Maybe","P4 Low")))))))))))</f>
        <v/>
      </c>
      <c r="B973" s="13" t="n">
        <v>1.08</v>
      </c>
      <c r="C973" s="12" t="inlineStr">
        <is>
          <t>Unspecified</t>
        </is>
      </c>
      <c r="D973" s="8" t="inlineStr">
        <is>
          <t>Digital Engineer</t>
        </is>
      </c>
      <c r="E973" s="7" t="inlineStr">
        <is>
          <t>NRL</t>
        </is>
      </c>
      <c r="F973" s="8" t="inlineStr">
        <is>
          <t>London Area, United Kingdom</t>
        </is>
      </c>
      <c r="G973" s="8" t="n"/>
      <c r="H973" s="14" t="n"/>
      <c r="I973" s="15">
        <f>IF($H973="","",$H973-TODAY())</f>
        <v/>
      </c>
      <c r="J973" s="16" t="inlineStr">
        <is>
          <t>Open posting</t>
        </is>
      </c>
      <c r="K973" s="8" t="inlineStr">
        <is>
          <t>filtered by keyword pre-scan</t>
        </is>
      </c>
      <c r="L973" s="17" t="inlineStr">
        <is>
          <t>new</t>
        </is>
      </c>
      <c r="M973" s="18" t="inlineStr"/>
      <c r="N973" s="7" t="inlineStr">
        <is>
          <t>7ce0800423acbe38102d50a9f44e95fa8457979b</t>
        </is>
      </c>
      <c r="O973" s="14" t="n">
        <v>46183</v>
      </c>
      <c r="P973" s="7" t="inlineStr">
        <is>
          <t>jobspy</t>
        </is>
      </c>
      <c r="Q973" s="8" t="inlineStr">
        <is>
          <t>git, c</t>
        </is>
      </c>
      <c r="R973" s="8" t="inlineStr">
        <is>
          <t>Graduate Verification Engineer digital design</t>
        </is>
      </c>
      <c r="S973" s="19" t="n"/>
      <c r="T973" s="19" t="n"/>
      <c r="U973" s="14" t="n">
        <v>46194</v>
      </c>
      <c r="V973" s="7" t="inlineStr">
        <is>
          <t>v2-cv-accuracy-13b988b18da8ea7d</t>
        </is>
      </c>
    </row>
    <row r="974" ht="28" customHeight="1">
      <c r="A974" s="12">
        <f>IF($L974="applied","Applied",IF($L974="interview","Interview",IF($L974="offer","Offer",IF($L974="rejected","Rejected",IF($L974="ignore","Ignore",IF($L974="archive","Archive",IF($L974="closed","Closed",IF($B974="","Unscored",IF(AND($B974&gt;=8,OR($H974="",$H974-TODAY()&lt;=14)),"P1 Apply",IF($B974&gt;=7,"P2 Strong",IF($B974&gt;=5,"P3 Maybe","P4 Low")))))))))))</f>
        <v/>
      </c>
      <c r="B974" s="13" t="n">
        <v>1.08</v>
      </c>
      <c r="C974" s="12" t="inlineStr">
        <is>
          <t>Graduate/Entry</t>
        </is>
      </c>
      <c r="D974" s="8" t="inlineStr">
        <is>
          <t>Graduate Software Engineer – Virtual Platforms - Qualcomm - Cambridge, UK</t>
        </is>
      </c>
      <c r="E974" s="7" t="inlineStr">
        <is>
          <t>Qualcomm</t>
        </is>
      </c>
      <c r="F974" s="8" t="inlineStr">
        <is>
          <t>Cambridge, England, UK</t>
        </is>
      </c>
      <c r="G974" s="8" t="n"/>
      <c r="H974" s="14" t="n"/>
      <c r="I974" s="15">
        <f>IF($H974="","",$H974-TODAY())</f>
        <v/>
      </c>
      <c r="J974" s="16" t="inlineStr">
        <is>
          <t>Open posting</t>
        </is>
      </c>
      <c r="K974" s="8" t="inlineStr">
        <is>
          <t>filtered by keyword pre-scan</t>
        </is>
      </c>
      <c r="L974" s="17" t="inlineStr">
        <is>
          <t>new</t>
        </is>
      </c>
      <c r="M974" s="18" t="inlineStr"/>
      <c r="N974" s="7" t="inlineStr">
        <is>
          <t>d79e0143d7e36c20a8a6a27118c9007892f076f2</t>
        </is>
      </c>
      <c r="O974" s="14" t="n">
        <v>46180</v>
      </c>
      <c r="P974" s="7" t="inlineStr">
        <is>
          <t>jobspy</t>
        </is>
      </c>
      <c r="Q974" s="8" t="inlineStr">
        <is>
          <t>git, c, hardware design</t>
        </is>
      </c>
      <c r="R974" s="8" t="inlineStr">
        <is>
          <t>Graduate Embedded Engineer Python FPGA</t>
        </is>
      </c>
      <c r="S974" s="19" t="n"/>
      <c r="T974" s="19" t="n"/>
      <c r="U974" s="14" t="n">
        <v>46193</v>
      </c>
      <c r="V974" s="7" t="inlineStr">
        <is>
          <t>v2-cv-accuracy-13b988b18da8ea7d</t>
        </is>
      </c>
    </row>
    <row r="975" ht="28" customHeight="1">
      <c r="A975" s="12">
        <f>IF($L975="applied","Applied",IF($L975="interview","Interview",IF($L975="offer","Offer",IF($L975="rejected","Rejected",IF($L975="ignore","Ignore",IF($L975="archive","Archive",IF($L975="closed","Closed",IF($B975="","Unscored",IF(AND($B975&gt;=8,OR($H975="",$H975-TODAY()&lt;=14)),"P1 Apply",IF($B975&gt;=7,"P2 Strong",IF($B975&gt;=5,"P3 Maybe","P4 Low")))))))))))</f>
        <v/>
      </c>
      <c r="B975" s="13" t="n">
        <v>1.08</v>
      </c>
      <c r="C975" s="12" t="inlineStr">
        <is>
          <t>Unspecified</t>
        </is>
      </c>
      <c r="D975" s="8" t="inlineStr">
        <is>
          <t>Embedded Software Engineer</t>
        </is>
      </c>
      <c r="E975" s="7" t="inlineStr">
        <is>
          <t>Haystack</t>
        </is>
      </c>
      <c r="F975" s="8" t="inlineStr">
        <is>
          <t>London, England, UK</t>
        </is>
      </c>
      <c r="G975" s="8" t="n"/>
      <c r="H975" s="14" t="n"/>
      <c r="I975" s="15">
        <f>IF($H975="","",$H975-TODAY())</f>
        <v/>
      </c>
      <c r="J975" s="16" t="inlineStr">
        <is>
          <t>Open posting</t>
        </is>
      </c>
      <c r="K975" s="8" t="inlineStr">
        <is>
          <t>filtered by keyword pre-scan</t>
        </is>
      </c>
      <c r="L975" s="17" t="inlineStr">
        <is>
          <t>new</t>
        </is>
      </c>
      <c r="M975" s="18" t="inlineStr"/>
      <c r="N975" s="7" t="inlineStr">
        <is>
          <t>6d1a129b1f80d3998aa5ed945e4707ef56cb5e0a</t>
        </is>
      </c>
      <c r="O975" s="14" t="n"/>
      <c r="P975" s="7" t="inlineStr">
        <is>
          <t>jobspy</t>
        </is>
      </c>
      <c r="Q975" s="8" t="inlineStr">
        <is>
          <t>stm32, c, embedded systems</t>
        </is>
      </c>
      <c r="R975" s="8" t="inlineStr">
        <is>
          <t>Junior Embedded Software Engineer STM32</t>
        </is>
      </c>
      <c r="S975" s="19" t="n"/>
      <c r="T975" s="19" t="n"/>
      <c r="U975" s="14" t="n">
        <v>46193</v>
      </c>
      <c r="V975" s="7" t="inlineStr">
        <is>
          <t>v2-cv-accuracy-13b988b18da8ea7d</t>
        </is>
      </c>
    </row>
    <row r="976" ht="28" customHeight="1">
      <c r="A976" s="12">
        <f>IF($L976="applied","Applied",IF($L976="interview","Interview",IF($L976="offer","Offer",IF($L976="rejected","Rejected",IF($L976="ignore","Ignore",IF($L976="archive","Archive",IF($L976="closed","Closed",IF($B976="","Unscored",IF(AND($B976&gt;=8,OR($H976="",$H976-TODAY()&lt;=14)),"P1 Apply",IF($B976&gt;=7,"P2 Strong",IF($B976&gt;=5,"P3 Maybe","P4 Low")))))))))))</f>
        <v/>
      </c>
      <c r="B976" s="13" t="n">
        <v>1.08</v>
      </c>
      <c r="C976" s="12" t="inlineStr">
        <is>
          <t>Unspecified</t>
        </is>
      </c>
      <c r="D976" s="8" t="inlineStr">
        <is>
          <t>Data Engineer</t>
        </is>
      </c>
      <c r="E976" s="7" t="inlineStr">
        <is>
          <t>MLM SEARCH</t>
        </is>
      </c>
      <c r="F976" s="8" t="inlineStr">
        <is>
          <t>London Area, United Kingdom</t>
        </is>
      </c>
      <c r="G976" s="8" t="n"/>
      <c r="H976" s="14" t="n"/>
      <c r="I976" s="15">
        <f>IF($H976="","",$H976-TODAY())</f>
        <v/>
      </c>
      <c r="J976" s="16" t="inlineStr">
        <is>
          <t>Open posting</t>
        </is>
      </c>
      <c r="K976" s="8" t="inlineStr">
        <is>
          <t>filtered by keyword pre-scan</t>
        </is>
      </c>
      <c r="L976" s="17" t="inlineStr">
        <is>
          <t>new</t>
        </is>
      </c>
      <c r="M976" s="18" t="inlineStr"/>
      <c r="N976" s="7" t="inlineStr">
        <is>
          <t>9b339aabc6e1d9eb3b3f143d2b4938e657342007</t>
        </is>
      </c>
      <c r="O976" s="14" t="n">
        <v>46190</v>
      </c>
      <c r="P976" s="7" t="inlineStr">
        <is>
          <t>jobspy</t>
        </is>
      </c>
      <c r="Q976" s="8" t="inlineStr">
        <is>
          <t>python, sql, c</t>
        </is>
      </c>
      <c r="R976" s="8" t="inlineStr">
        <is>
          <t>Junior Data Engineer Python SQL pipeline</t>
        </is>
      </c>
      <c r="S976" s="19" t="n"/>
      <c r="T976" s="19" t="n"/>
      <c r="U976" s="14" t="n">
        <v>46193</v>
      </c>
      <c r="V976" s="7" t="inlineStr">
        <is>
          <t>v2-cv-accuracy-13b988b18da8ea7d</t>
        </is>
      </c>
    </row>
    <row r="977" ht="28" customHeight="1">
      <c r="A977" s="12">
        <f>IF($L977="applied","Applied",IF($L977="interview","Interview",IF($L977="offer","Offer",IF($L977="rejected","Rejected",IF($L977="ignore","Ignore",IF($L977="archive","Archive",IF($L977="closed","Closed",IF($B977="","Unscored",IF(AND($B977&gt;=8,OR($H977="",$H977-TODAY()&lt;=14)),"P1 Apply",IF($B977&gt;=7,"P2 Strong",IF($B977&gt;=5,"P3 Maybe","P4 Low")))))))))))</f>
        <v/>
      </c>
      <c r="B977" s="13" t="n">
        <v>1.08</v>
      </c>
      <c r="C977" s="12" t="inlineStr">
        <is>
          <t>Junior</t>
        </is>
      </c>
      <c r="D977" s="8" t="inlineStr">
        <is>
          <t>Junior Embedded Software Engineer</t>
        </is>
      </c>
      <c r="E977" s="7" t="inlineStr">
        <is>
          <t>IC Resources</t>
        </is>
      </c>
      <c r="F977" s="8" t="inlineStr">
        <is>
          <t>Oxfordshire, England, UK</t>
        </is>
      </c>
      <c r="G977" s="8" t="n"/>
      <c r="H977" s="14" t="n"/>
      <c r="I977" s="15">
        <f>IF($H977="","",$H977-TODAY())</f>
        <v/>
      </c>
      <c r="J977" s="16" t="inlineStr">
        <is>
          <t>Open posting</t>
        </is>
      </c>
      <c r="K977" s="8" t="inlineStr">
        <is>
          <t>filtered by keyword pre-scan</t>
        </is>
      </c>
      <c r="L977" s="17" t="inlineStr">
        <is>
          <t>new</t>
        </is>
      </c>
      <c r="M977" s="18" t="inlineStr"/>
      <c r="N977" s="7" t="inlineStr">
        <is>
          <t>7e68aa6e6739a9f199ed25675b0bd8355d649897</t>
        </is>
      </c>
      <c r="O977" s="14" t="n">
        <v>46191</v>
      </c>
      <c r="P977" s="7" t="inlineStr">
        <is>
          <t>jobspy</t>
        </is>
      </c>
      <c r="Q977" s="8" t="inlineStr">
        <is>
          <t>c, embedded systems</t>
        </is>
      </c>
      <c r="R977" s="8" t="inlineStr">
        <is>
          <t>Junior Embedded Software Engineer STM32</t>
        </is>
      </c>
      <c r="S977" s="19" t="n"/>
      <c r="T977" s="19" t="n"/>
      <c r="U977" s="14" t="n">
        <v>46193</v>
      </c>
      <c r="V977" s="7" t="inlineStr">
        <is>
          <t>v2-cv-accuracy-13b988b18da8ea7d</t>
        </is>
      </c>
    </row>
    <row r="978" ht="28" customHeight="1">
      <c r="A978" s="12">
        <f>IF($L978="applied","Applied",IF($L978="interview","Interview",IF($L978="offer","Offer",IF($L978="rejected","Rejected",IF($L978="ignore","Ignore",IF($L978="archive","Archive",IF($L978="closed","Closed",IF($B978="","Unscored",IF(AND($B978&gt;=8,OR($H978="",$H978-TODAY()&lt;=14)),"P1 Apply",IF($B978&gt;=7,"P2 Strong",IF($B978&gt;=5,"P3 Maybe","P4 Low")))))))))))</f>
        <v/>
      </c>
      <c r="B978" s="13" t="n">
        <v>1.08</v>
      </c>
      <c r="C978" s="12" t="inlineStr">
        <is>
          <t>Unspecified</t>
        </is>
      </c>
      <c r="D978" s="8" t="inlineStr">
        <is>
          <t>Software Engineer</t>
        </is>
      </c>
      <c r="E978" s="7" t="inlineStr">
        <is>
          <t>Axle Energy</t>
        </is>
      </c>
      <c r="F978" s="8" t="inlineStr">
        <is>
          <t>London Area, United Kingdom</t>
        </is>
      </c>
      <c r="G978" s="8" t="n"/>
      <c r="H978" s="14" t="n"/>
      <c r="I978" s="15">
        <f>IF($H978="","",$H978-TODAY())</f>
        <v/>
      </c>
      <c r="J978" s="16" t="inlineStr">
        <is>
          <t>Open posting</t>
        </is>
      </c>
      <c r="K978" s="8" t="inlineStr">
        <is>
          <t>filtered by keyword pre-scan</t>
        </is>
      </c>
      <c r="L978" s="17" t="inlineStr">
        <is>
          <t>new</t>
        </is>
      </c>
      <c r="M978" s="18" t="inlineStr"/>
      <c r="N978" s="7" t="inlineStr">
        <is>
          <t>a6b214cb6695fde53b3f35cd625afcc8331caa11</t>
        </is>
      </c>
      <c r="O978" s="14" t="n">
        <v>46190</v>
      </c>
      <c r="P978" s="7" t="inlineStr">
        <is>
          <t>jobspy</t>
        </is>
      </c>
      <c r="Q978" s="8" t="inlineStr">
        <is>
          <t>python, docker, c</t>
        </is>
      </c>
      <c r="R978" s="8" t="inlineStr">
        <is>
          <t>Graduate Software Engineer Python Docker</t>
        </is>
      </c>
      <c r="S978" s="19" t="n"/>
      <c r="T978" s="19" t="n"/>
      <c r="U978" s="14" t="n">
        <v>46193</v>
      </c>
      <c r="V978" s="7" t="inlineStr">
        <is>
          <t>v2-cv-accuracy-13b988b18da8ea7d</t>
        </is>
      </c>
    </row>
    <row r="979" ht="28" customHeight="1">
      <c r="A979" s="12">
        <f>IF($L979="applied","Applied",IF($L979="interview","Interview",IF($L979="offer","Offer",IF($L979="rejected","Rejected",IF($L979="ignore","Ignore",IF($L979="archive","Archive",IF($L979="closed","Closed",IF($B979="","Unscored",IF(AND($B979&gt;=8,OR($H979="",$H979-TODAY()&lt;=14)),"P1 Apply",IF($B979&gt;=7,"P2 Strong",IF($B979&gt;=5,"P3 Maybe","P4 Low")))))))))))</f>
        <v/>
      </c>
      <c r="B979" s="13" t="n">
        <v>1.08</v>
      </c>
      <c r="C979" s="12" t="inlineStr">
        <is>
          <t>Graduate/Entry</t>
        </is>
      </c>
      <c r="D979" s="8" t="inlineStr">
        <is>
          <t>Graduate Technical Engineer</t>
        </is>
      </c>
      <c r="E979" s="7" t="inlineStr">
        <is>
          <t>TPP</t>
        </is>
      </c>
      <c r="F979" s="8" t="inlineStr">
        <is>
          <t>Horsforth, England, UK</t>
        </is>
      </c>
      <c r="G979" s="8" t="n"/>
      <c r="H979" s="14" t="n"/>
      <c r="I979" s="15">
        <f>IF($H979="","",$H979-TODAY())</f>
        <v/>
      </c>
      <c r="J979" s="16" t="inlineStr">
        <is>
          <t>Open posting</t>
        </is>
      </c>
      <c r="K979" s="8" t="inlineStr">
        <is>
          <t>filtered by keyword pre-scan</t>
        </is>
      </c>
      <c r="L979" s="17" t="inlineStr">
        <is>
          <t>new</t>
        </is>
      </c>
      <c r="M979" s="18" t="inlineStr"/>
      <c r="N979" s="7" t="inlineStr">
        <is>
          <t>653d608664e80de0676c41ffc40927901d82dc17</t>
        </is>
      </c>
      <c r="O979" s="14" t="n">
        <v>46191</v>
      </c>
      <c r="P979" s="7" t="inlineStr">
        <is>
          <t>jobspy</t>
        </is>
      </c>
      <c r="Q979" s="8" t="inlineStr">
        <is>
          <t>sql, git, c</t>
        </is>
      </c>
      <c r="R979" s="8" t="inlineStr">
        <is>
          <t>Graduate Computer Engineer Sheffield</t>
        </is>
      </c>
      <c r="S979" s="19" t="n"/>
      <c r="T979" s="19" t="n"/>
      <c r="U979" s="14" t="n">
        <v>46193</v>
      </c>
      <c r="V979" s="7" t="inlineStr">
        <is>
          <t>v2-cv-accuracy-13b988b18da8ea7d</t>
        </is>
      </c>
    </row>
    <row r="980" ht="28" customHeight="1">
      <c r="A980" s="12">
        <f>IF($L980="applied","Applied",IF($L980="interview","Interview",IF($L980="offer","Offer",IF($L980="rejected","Rejected",IF($L980="ignore","Ignore",IF($L980="archive","Archive",IF($L980="closed","Closed",IF($B980="","Unscored",IF(AND($B980&gt;=8,OR($H980="",$H980-TODAY()&lt;=14)),"P1 Apply",IF($B980&gt;=7,"P2 Strong",IF($B980&gt;=5,"P3 Maybe","P4 Low")))))))))))</f>
        <v/>
      </c>
      <c r="B980" s="13" t="n">
        <v>1.08</v>
      </c>
      <c r="C980" s="12" t="inlineStr">
        <is>
          <t>Junior</t>
        </is>
      </c>
      <c r="D980" s="8" t="inlineStr">
        <is>
          <t>Sr. Software Engineer, Cloud (Hybrid, London)</t>
        </is>
      </c>
      <c r="E980" s="7" t="inlineStr">
        <is>
          <t>CrowdStrike</t>
        </is>
      </c>
      <c r="F980" s="8" t="inlineStr">
        <is>
          <t>London, ENG, GB</t>
        </is>
      </c>
      <c r="G980" s="8" t="n"/>
      <c r="H980" s="14" t="n"/>
      <c r="I980" s="15">
        <f>IF($H980="","",$H980-TODAY())</f>
        <v/>
      </c>
      <c r="J980" s="16" t="inlineStr">
        <is>
          <t>Open posting</t>
        </is>
      </c>
      <c r="K980" s="8" t="inlineStr">
        <is>
          <t>filtered by keyword pre-scan</t>
        </is>
      </c>
      <c r="L980" s="17" t="inlineStr">
        <is>
          <t>new</t>
        </is>
      </c>
      <c r="M980" s="18" t="inlineStr"/>
      <c r="N980" s="7" t="inlineStr">
        <is>
          <t>4f226f5497a03ed161de073b2f6c2e8ec968672b</t>
        </is>
      </c>
      <c r="O980" s="14" t="n">
        <v>46185</v>
      </c>
      <c r="P980" s="7" t="inlineStr">
        <is>
          <t>jobspy</t>
        </is>
      </c>
      <c r="Q980" s="8" t="inlineStr">
        <is>
          <t>docker, kubernetes, c</t>
        </is>
      </c>
      <c r="R980" s="8" t="inlineStr">
        <is>
          <t>Junior Software Engineer Python backend</t>
        </is>
      </c>
      <c r="S980" s="19" t="n"/>
      <c r="T980" s="19" t="n"/>
      <c r="U980" s="14" t="n">
        <v>46193</v>
      </c>
      <c r="V980" s="7" t="inlineStr">
        <is>
          <t>v2-cv-accuracy-13b988b18da8ea7d</t>
        </is>
      </c>
    </row>
    <row r="981" ht="28" customHeight="1">
      <c r="A981" s="12">
        <f>IF($L981="applied","Applied",IF($L981="interview","Interview",IF($L981="offer","Offer",IF($L981="rejected","Rejected",IF($L981="ignore","Ignore",IF($L981="archive","Archive",IF($L981="closed","Closed",IF($B981="","Unscored",IF(AND($B981&gt;=8,OR($H981="",$H981-TODAY()&lt;=14)),"P1 Apply",IF($B981&gt;=7,"P2 Strong",IF($B981&gt;=5,"P3 Maybe","P4 Low")))))))))))</f>
        <v/>
      </c>
      <c r="B981" s="13" t="n">
        <v>1.08</v>
      </c>
      <c r="C981" s="12" t="inlineStr">
        <is>
          <t>Graduate/Entry</t>
        </is>
      </c>
      <c r="D981" s="8" t="inlineStr">
        <is>
          <t>Junior Web Developer – Remote – £30,000 + Training Provided (Entry Level)</t>
        </is>
      </c>
      <c r="E981" s="7" t="inlineStr">
        <is>
          <t>Apply4U | Apply4U | Human-Assisted AI Job &amp; Recruitment Platform</t>
        </is>
      </c>
      <c r="F981" s="8" t="inlineStr"/>
      <c r="G981" s="8" t="n"/>
      <c r="H981" s="14" t="n"/>
      <c r="I981" s="15">
        <f>IF($H981="","",$H981-TODAY())</f>
        <v/>
      </c>
      <c r="J981" s="16" t="inlineStr">
        <is>
          <t>Open posting</t>
        </is>
      </c>
      <c r="K981" s="8" t="inlineStr">
        <is>
          <t>filtered by keyword pre-scan</t>
        </is>
      </c>
      <c r="L981" s="17" t="inlineStr">
        <is>
          <t>new</t>
        </is>
      </c>
      <c r="M981" s="18" t="inlineStr"/>
      <c r="N981" s="7" t="inlineStr">
        <is>
          <t>04cd61fe2f8879078a436924cebe02a45697a568</t>
        </is>
      </c>
      <c r="O981" s="14" t="n">
        <v>46168</v>
      </c>
      <c r="P981" s="7" t="inlineStr">
        <is>
          <t>jobspy</t>
        </is>
      </c>
      <c r="Q981" s="8" t="inlineStr">
        <is>
          <t>git, c, javascript</t>
        </is>
      </c>
      <c r="R981" s="8" t="inlineStr">
        <is>
          <t>Junior Software Engineer Python backend</t>
        </is>
      </c>
      <c r="S981" s="19" t="n"/>
      <c r="T981" s="19" t="n"/>
      <c r="U981" s="14" t="n">
        <v>46193</v>
      </c>
      <c r="V981" s="7" t="inlineStr">
        <is>
          <t>v2-cv-accuracy-13b988b18da8ea7d</t>
        </is>
      </c>
    </row>
    <row r="982" ht="28" customHeight="1">
      <c r="A982" s="12">
        <f>IF($L982="applied","Applied",IF($L982="interview","Interview",IF($L982="offer","Offer",IF($L982="rejected","Rejected",IF($L982="ignore","Ignore",IF($L982="archive","Archive",IF($L982="closed","Closed",IF($B982="","Unscored",IF(AND($B982&gt;=8,OR($H982="",$H982-TODAY()&lt;=14)),"P1 Apply",IF($B982&gt;=7,"P2 Strong",IF($B982&gt;=5,"P3 Maybe","P4 Low")))))))))))</f>
        <v/>
      </c>
      <c r="B982" s="13" t="n">
        <v>1.08</v>
      </c>
      <c r="C982" s="12" t="inlineStr">
        <is>
          <t>Graduate/Entry</t>
        </is>
      </c>
      <c r="D982" s="8" t="inlineStr">
        <is>
          <t>Graduate Embedded Software Engineer</t>
        </is>
      </c>
      <c r="E982" s="7" t="inlineStr">
        <is>
          <t>Innovative Technology Ltd</t>
        </is>
      </c>
      <c r="F982" s="8" t="inlineStr">
        <is>
          <t>Oldham, ENG, GB</t>
        </is>
      </c>
      <c r="G982" s="8" t="n"/>
      <c r="H982" s="14" t="n"/>
      <c r="I982" s="15">
        <f>IF($H982="","",$H982-TODAY())</f>
        <v/>
      </c>
      <c r="J982" s="16" t="inlineStr">
        <is>
          <t>Open posting</t>
        </is>
      </c>
      <c r="K982" s="8" t="inlineStr">
        <is>
          <t>filtered by keyword pre-scan</t>
        </is>
      </c>
      <c r="L982" s="17" t="inlineStr">
        <is>
          <t>new</t>
        </is>
      </c>
      <c r="M982" s="18" t="inlineStr"/>
      <c r="N982" s="7" t="inlineStr">
        <is>
          <t>2754df94b5ddbec7dabafae21967b6192458d961</t>
        </is>
      </c>
      <c r="O982" s="14" t="n">
        <v>46189</v>
      </c>
      <c r="P982" s="7" t="inlineStr">
        <is>
          <t>jobspy</t>
        </is>
      </c>
      <c r="Q982" s="8" t="inlineStr">
        <is>
          <t>c, embedded systems</t>
        </is>
      </c>
      <c r="R982" s="8" t="inlineStr">
        <is>
          <t>Graduate Systems Engineer embedded hardware software</t>
        </is>
      </c>
      <c r="S982" s="19" t="n"/>
      <c r="T982" s="19" t="n"/>
      <c r="U982" s="14" t="n">
        <v>46192</v>
      </c>
      <c r="V982" s="7" t="inlineStr">
        <is>
          <t>v2-cv-accuracy-13b988b18da8ea7d</t>
        </is>
      </c>
    </row>
    <row r="983" ht="28" customHeight="1">
      <c r="A983" s="12">
        <f>IF($L983="applied","Applied",IF($L983="interview","Interview",IF($L983="offer","Offer",IF($L983="rejected","Rejected",IF($L983="ignore","Ignore",IF($L983="archive","Archive",IF($L983="closed","Closed",IF($B983="","Unscored",IF(AND($B983&gt;=8,OR($H983="",$H983-TODAY()&lt;=14)),"P1 Apply",IF($B983&gt;=7,"P2 Strong",IF($B983&gt;=5,"P3 Maybe","P4 Low")))))))))))</f>
        <v/>
      </c>
      <c r="B983" s="13" t="n">
        <v>1.08</v>
      </c>
      <c r="C983" s="12" t="inlineStr">
        <is>
          <t>Unspecified</t>
        </is>
      </c>
      <c r="D983" s="8" t="inlineStr">
        <is>
          <t>Data Scientist</t>
        </is>
      </c>
      <c r="E983" s="7" t="inlineStr">
        <is>
          <t>Sainsbury’s</t>
        </is>
      </c>
      <c r="F983" s="8" t="inlineStr">
        <is>
          <t>London, ENG, GB</t>
        </is>
      </c>
      <c r="G983" s="8" t="n"/>
      <c r="H983" s="14" t="n"/>
      <c r="I983" s="15">
        <f>IF($H983="","",$H983-TODAY())</f>
        <v/>
      </c>
      <c r="J983" s="16" t="inlineStr">
        <is>
          <t>Open posting</t>
        </is>
      </c>
      <c r="K983" s="8" t="inlineStr">
        <is>
          <t>filtered by keyword pre-scan</t>
        </is>
      </c>
      <c r="L983" s="17" t="inlineStr">
        <is>
          <t>new</t>
        </is>
      </c>
      <c r="M983" s="18" t="inlineStr"/>
      <c r="N983" s="7" t="inlineStr">
        <is>
          <t>ceedc106c7eabee06a9b7c8784671734cd744915</t>
        </is>
      </c>
      <c r="O983" s="14" t="n">
        <v>46181</v>
      </c>
      <c r="P983" s="7" t="inlineStr">
        <is>
          <t>jobspy</t>
        </is>
      </c>
      <c r="Q983" s="8" t="inlineStr">
        <is>
          <t>python, sql, c</t>
        </is>
      </c>
      <c r="R983" s="8" t="inlineStr">
        <is>
          <t>Graduate Data Engineer SQL Python pipeline</t>
        </is>
      </c>
      <c r="S983" s="19" t="n"/>
      <c r="T983" s="19" t="n"/>
      <c r="U983" s="14" t="n">
        <v>46192</v>
      </c>
      <c r="V983" s="7" t="inlineStr">
        <is>
          <t>v2-cv-accuracy-13b988b18da8ea7d</t>
        </is>
      </c>
    </row>
    <row r="984" ht="28" customHeight="1">
      <c r="A984" s="12">
        <f>IF($L984="applied","Applied",IF($L984="interview","Interview",IF($L984="offer","Offer",IF($L984="rejected","Rejected",IF($L984="ignore","Ignore",IF($L984="archive","Archive",IF($L984="closed","Closed",IF($B984="","Unscored",IF(AND($B984&gt;=8,OR($H984="",$H984-TODAY()&lt;=14)),"P1 Apply",IF($B984&gt;=7,"P2 Strong",IF($B984&gt;=5,"P3 Maybe","P4 Low")))))))))))</f>
        <v/>
      </c>
      <c r="B984" s="13" t="n">
        <v>1.08</v>
      </c>
      <c r="C984" s="12" t="inlineStr">
        <is>
          <t>Unspecified</t>
        </is>
      </c>
      <c r="D984" s="8" t="inlineStr">
        <is>
          <t>Data Engineer</t>
        </is>
      </c>
      <c r="E984" s="7" t="inlineStr">
        <is>
          <t>Cititec</t>
        </is>
      </c>
      <c r="F984" s="8" t="inlineStr">
        <is>
          <t>London Area, United Kingdom</t>
        </is>
      </c>
      <c r="G984" s="8" t="n"/>
      <c r="H984" s="14" t="n"/>
      <c r="I984" s="15">
        <f>IF($H984="","",$H984-TODAY())</f>
        <v/>
      </c>
      <c r="J984" s="16" t="inlineStr">
        <is>
          <t>Open posting</t>
        </is>
      </c>
      <c r="K984" s="8" t="inlineStr">
        <is>
          <t>filtered by keyword pre-scan</t>
        </is>
      </c>
      <c r="L984" s="17" t="inlineStr">
        <is>
          <t>new</t>
        </is>
      </c>
      <c r="M984" s="18" t="inlineStr"/>
      <c r="N984" s="7" t="inlineStr">
        <is>
          <t>ff65c9a46858acca546732256593c12aa050e1d8</t>
        </is>
      </c>
      <c r="O984" s="14" t="n">
        <v>46181</v>
      </c>
      <c r="P984" s="7" t="inlineStr">
        <is>
          <t>jobspy</t>
        </is>
      </c>
      <c r="Q984" s="8" t="inlineStr">
        <is>
          <t>python, sql, c</t>
        </is>
      </c>
      <c r="R984" s="8" t="inlineStr">
        <is>
          <t>Graduate Data Engineer SQL Python pipeline</t>
        </is>
      </c>
      <c r="S984" s="19" t="n"/>
      <c r="T984" s="19" t="n"/>
      <c r="U984" s="14" t="n">
        <v>46192</v>
      </c>
      <c r="V984" s="7" t="inlineStr">
        <is>
          <t>v2-cv-accuracy-13b988b18da8ea7d</t>
        </is>
      </c>
    </row>
    <row r="985" ht="28" customHeight="1">
      <c r="A985" s="12">
        <f>IF($L985="applied","Applied",IF($L985="interview","Interview",IF($L985="offer","Offer",IF($L985="rejected","Rejected",IF($L985="ignore","Ignore",IF($L985="archive","Archive",IF($L985="closed","Closed",IF($B985="","Unscored",IF(AND($B985&gt;=8,OR($H985="",$H985-TODAY()&lt;=14)),"P1 Apply",IF($B985&gt;=7,"P2 Strong",IF($B985&gt;=5,"P3 Maybe","P4 Low")))))))))))</f>
        <v/>
      </c>
      <c r="B985" s="13" t="n">
        <v>1.08</v>
      </c>
      <c r="C985" s="12" t="inlineStr">
        <is>
          <t>Graduate/Entry</t>
        </is>
      </c>
      <c r="D985" s="8" t="inlineStr">
        <is>
          <t>Graduate Data Engineer</t>
        </is>
      </c>
      <c r="E985" s="7" t="inlineStr">
        <is>
          <t>Netcompany</t>
        </is>
      </c>
      <c r="F985" s="8" t="inlineStr">
        <is>
          <t>Leeds, England, UK</t>
        </is>
      </c>
      <c r="G985" s="8" t="n"/>
      <c r="H985" s="14" t="n"/>
      <c r="I985" s="15">
        <f>IF($H985="","",$H985-TODAY())</f>
        <v/>
      </c>
      <c r="J985" s="16" t="inlineStr">
        <is>
          <t>Open posting</t>
        </is>
      </c>
      <c r="K985" s="8" t="inlineStr">
        <is>
          <t>filtered by keyword pre-scan</t>
        </is>
      </c>
      <c r="L985" s="17" t="inlineStr">
        <is>
          <t>new</t>
        </is>
      </c>
      <c r="M985" s="18" t="inlineStr"/>
      <c r="N985" s="7" t="inlineStr">
        <is>
          <t>95c4dc3f6903fb8e0e6ab998687feb34b33ec065</t>
        </is>
      </c>
      <c r="O985" s="14" t="n"/>
      <c r="P985" s="7" t="inlineStr">
        <is>
          <t>jobspy</t>
        </is>
      </c>
      <c r="Q985" s="8" t="inlineStr">
        <is>
          <t>sql, git, c</t>
        </is>
      </c>
      <c r="R985" s="8" t="inlineStr">
        <is>
          <t>Graduate Data Engineer SQL Python pipeline</t>
        </is>
      </c>
      <c r="S985" s="19" t="n"/>
      <c r="T985" s="19" t="n"/>
      <c r="U985" s="14" t="n">
        <v>46192</v>
      </c>
      <c r="V985" s="7" t="inlineStr">
        <is>
          <t>v2-cv-accuracy-13b988b18da8ea7d</t>
        </is>
      </c>
    </row>
    <row r="986" ht="28" customHeight="1">
      <c r="A986" s="12">
        <f>IF($L986="applied","Applied",IF($L986="interview","Interview",IF($L986="offer","Offer",IF($L986="rejected","Rejected",IF($L986="ignore","Ignore",IF($L986="archive","Archive",IF($L986="closed","Closed",IF($B986="","Unscored",IF(AND($B986&gt;=8,OR($H986="",$H986-TODAY()&lt;=14)),"P1 Apply",IF($B986&gt;=7,"P2 Strong",IF($B986&gt;=5,"P3 Maybe","P4 Low")))))))))))</f>
        <v/>
      </c>
      <c r="B986" s="13" t="n">
        <v>1.08</v>
      </c>
      <c r="C986" s="12" t="inlineStr">
        <is>
          <t>Graduate/Entry</t>
        </is>
      </c>
      <c r="D986" s="8" t="inlineStr">
        <is>
          <t>Graduate / Entry Level Mixed Signal IC Layout Designer</t>
        </is>
      </c>
      <c r="E986" s="7" t="inlineStr">
        <is>
          <t>Cirrus Logic</t>
        </is>
      </c>
      <c r="F986" s="8" t="inlineStr">
        <is>
          <t>Edinburgh, SCT, GB</t>
        </is>
      </c>
      <c r="G986" s="8" t="n"/>
      <c r="H986" s="14" t="n"/>
      <c r="I986" s="15">
        <f>IF($H986="","",$H986-TODAY())</f>
        <v/>
      </c>
      <c r="J986" s="16" t="inlineStr">
        <is>
          <t>Open posting</t>
        </is>
      </c>
      <c r="K986" s="8" t="inlineStr">
        <is>
          <t>filtered by keyword pre-scan</t>
        </is>
      </c>
      <c r="L986" s="17" t="inlineStr">
        <is>
          <t>new</t>
        </is>
      </c>
      <c r="M986" s="18" t="inlineStr"/>
      <c r="N986" s="7" t="inlineStr">
        <is>
          <t>f1025731068c73321c4453492ffd1af2854d1cc5</t>
        </is>
      </c>
      <c r="O986" s="14" t="n">
        <v>46167</v>
      </c>
      <c r="P986" s="7" t="inlineStr">
        <is>
          <t>jobspy</t>
        </is>
      </c>
      <c r="Q986" s="8" t="inlineStr">
        <is>
          <t>git, c</t>
        </is>
      </c>
      <c r="R986" s="8" t="inlineStr">
        <is>
          <t>Graduate Electronics Engineer remote UK</t>
        </is>
      </c>
      <c r="S986" s="19" t="n"/>
      <c r="T986" s="19" t="n"/>
      <c r="U986" s="14" t="n">
        <v>46192</v>
      </c>
      <c r="V986" s="7" t="inlineStr">
        <is>
          <t>v2-cv-accuracy-13b988b18da8ea7d</t>
        </is>
      </c>
    </row>
    <row r="987" ht="28" customHeight="1">
      <c r="A987" s="12">
        <f>IF($L987="applied","Applied",IF($L987="interview","Interview",IF($L987="offer","Offer",IF($L987="rejected","Rejected",IF($L987="ignore","Ignore",IF($L987="archive","Archive",IF($L987="closed","Closed",IF($B987="","Unscored",IF(AND($B987&gt;=8,OR($H987="",$H987-TODAY()&lt;=14)),"P1 Apply",IF($B987&gt;=7,"P2 Strong",IF($B987&gt;=5,"P3 Maybe","P4 Low")))))))))))</f>
        <v/>
      </c>
      <c r="B987" s="13" t="n">
        <v>1.08</v>
      </c>
      <c r="C987" s="12" t="inlineStr">
        <is>
          <t>Graduate/Entry</t>
        </is>
      </c>
      <c r="D987" s="8" t="inlineStr">
        <is>
          <t>Graduate Embedded Software Engineer</t>
        </is>
      </c>
      <c r="E987" s="7" t="inlineStr">
        <is>
          <t>RACELOGIC</t>
        </is>
      </c>
      <c r="F987" s="8" t="inlineStr">
        <is>
          <t>Buckingham, England, UK</t>
        </is>
      </c>
      <c r="G987" s="8" t="n"/>
      <c r="H987" s="14" t="n"/>
      <c r="I987" s="15">
        <f>IF($H987="","",$H987-TODAY())</f>
        <v/>
      </c>
      <c r="J987" s="16" t="inlineStr">
        <is>
          <t>Open posting</t>
        </is>
      </c>
      <c r="K987" s="8" t="inlineStr">
        <is>
          <t>filtered by keyword pre-scan</t>
        </is>
      </c>
      <c r="L987" s="17" t="inlineStr">
        <is>
          <t>new</t>
        </is>
      </c>
      <c r="M987" s="18" t="inlineStr"/>
      <c r="N987" s="7" t="inlineStr">
        <is>
          <t>b9b83ad0882f60f4366e6957bf607ec58935095f</t>
        </is>
      </c>
      <c r="O987" s="14" t="n">
        <v>46191</v>
      </c>
      <c r="P987" s="7" t="inlineStr">
        <is>
          <t>jobspy</t>
        </is>
      </c>
      <c r="Q987" s="8" t="inlineStr">
        <is>
          <t>python, c, embedded systems</t>
        </is>
      </c>
      <c r="R987" s="8" t="inlineStr">
        <is>
          <t>Embedded Software Engineer C Python graduate UK</t>
        </is>
      </c>
      <c r="S987" s="19" t="n"/>
      <c r="T987" s="19" t="n"/>
      <c r="U987" s="14" t="n">
        <v>46192</v>
      </c>
      <c r="V987" s="7" t="inlineStr">
        <is>
          <t>v2-cv-accuracy-13b988b18da8ea7d</t>
        </is>
      </c>
    </row>
    <row r="988" ht="28" customHeight="1">
      <c r="A988" s="12">
        <f>IF($L988="applied","Applied",IF($L988="interview","Interview",IF($L988="offer","Offer",IF($L988="rejected","Rejected",IF($L988="ignore","Ignore",IF($L988="archive","Archive",IF($L988="closed","Closed",IF($B988="","Unscored",IF(AND($B988&gt;=8,OR($H988="",$H988-TODAY()&lt;=14)),"P1 Apply",IF($B988&gt;=7,"P2 Strong",IF($B988&gt;=5,"P3 Maybe","P4 Low")))))))))))</f>
        <v/>
      </c>
      <c r="B988" s="13" t="n">
        <v>1.08</v>
      </c>
      <c r="C988" s="12" t="inlineStr">
        <is>
          <t>Unspecified</t>
        </is>
      </c>
      <c r="D988" s="8" t="inlineStr">
        <is>
          <t>Data Engineer</t>
        </is>
      </c>
      <c r="E988" s="7" t="inlineStr">
        <is>
          <t>The Adecco Group</t>
        </is>
      </c>
      <c r="F988" s="8" t="inlineStr">
        <is>
          <t>Lincolnshire, England, UK</t>
        </is>
      </c>
      <c r="G988" s="8" t="n"/>
      <c r="H988" s="14" t="n"/>
      <c r="I988" s="15">
        <f>IF($H988="","",$H988-TODAY())</f>
        <v/>
      </c>
      <c r="J988" s="16" t="inlineStr">
        <is>
          <t>Open posting</t>
        </is>
      </c>
      <c r="K988" s="8" t="inlineStr">
        <is>
          <t>filtered by keyword pre-scan</t>
        </is>
      </c>
      <c r="L988" s="17" t="inlineStr">
        <is>
          <t>new</t>
        </is>
      </c>
      <c r="M988" s="18" t="inlineStr"/>
      <c r="N988" s="7" t="inlineStr">
        <is>
          <t>a00d89cbe385500ca94c205e643fa2e075bd6098</t>
        </is>
      </c>
      <c r="O988" s="14" t="n">
        <v>46190</v>
      </c>
      <c r="P988" s="7" t="inlineStr">
        <is>
          <t>jobspy</t>
        </is>
      </c>
      <c r="Q988" s="8" t="inlineStr">
        <is>
          <t>python, sql, c</t>
        </is>
      </c>
      <c r="R988" s="8" t="inlineStr">
        <is>
          <t>Graduate Data Engineer SQL Python pipeline</t>
        </is>
      </c>
      <c r="S988" s="19" t="n"/>
      <c r="T988" s="19" t="n"/>
      <c r="U988" s="14" t="n">
        <v>46192</v>
      </c>
      <c r="V988" s="7" t="inlineStr">
        <is>
          <t>v2-cv-accuracy-13b988b18da8ea7d</t>
        </is>
      </c>
    </row>
    <row r="989" ht="28" customHeight="1">
      <c r="A989" s="12">
        <f>IF($L989="applied","Applied",IF($L989="interview","Interview",IF($L989="offer","Offer",IF($L989="rejected","Rejected",IF($L989="ignore","Ignore",IF($L989="archive","Archive",IF($L989="closed","Closed",IF($B989="","Unscored",IF(AND($B989&gt;=8,OR($H989="",$H989-TODAY()&lt;=14)),"P1 Apply",IF($B989&gt;=7,"P2 Strong",IF($B989&gt;=5,"P3 Maybe","P4 Low")))))))))))</f>
        <v/>
      </c>
      <c r="B989" s="13" t="n">
        <v>1.08</v>
      </c>
      <c r="C989" s="12" t="inlineStr">
        <is>
          <t>Mid-level</t>
        </is>
      </c>
      <c r="D989" s="8" t="inlineStr">
        <is>
          <t>Dev Ops / Platform Engineer</t>
        </is>
      </c>
      <c r="E989" s="7" t="inlineStr">
        <is>
          <t>Neat</t>
        </is>
      </c>
      <c r="F989" s="8" t="inlineStr">
        <is>
          <t>Cambridge, England, UK</t>
        </is>
      </c>
      <c r="G989" s="8" t="n"/>
      <c r="H989" s="14" t="n"/>
      <c r="I989" s="15">
        <f>IF($H989="","",$H989-TODAY())</f>
        <v/>
      </c>
      <c r="J989" s="16" t="inlineStr">
        <is>
          <t>Open posting</t>
        </is>
      </c>
      <c r="K989" s="8" t="inlineStr">
        <is>
          <t>filtered by keyword pre-scan</t>
        </is>
      </c>
      <c r="L989" s="17" t="inlineStr">
        <is>
          <t>new</t>
        </is>
      </c>
      <c r="M989" s="18" t="inlineStr"/>
      <c r="N989" s="7" t="inlineStr">
        <is>
          <t>58f64f5a05081734446e6f99c02f8d9064976acb</t>
        </is>
      </c>
      <c r="O989" s="14" t="n"/>
      <c r="P989" s="7" t="inlineStr">
        <is>
          <t>jobspy</t>
        </is>
      </c>
      <c r="Q989" s="8" t="inlineStr">
        <is>
          <t>docker, kubernetes, c</t>
        </is>
      </c>
      <c r="R989" s="8" t="inlineStr">
        <is>
          <t>Graduate DevOps Engineer Docker Kubernetes Python</t>
        </is>
      </c>
      <c r="S989" s="19" t="n"/>
      <c r="T989" s="19" t="n"/>
      <c r="U989" s="14" t="n">
        <v>46192</v>
      </c>
      <c r="V989" s="7" t="inlineStr">
        <is>
          <t>v2-cv-accuracy-13b988b18da8ea7d</t>
        </is>
      </c>
    </row>
    <row r="990" ht="28" customHeight="1">
      <c r="A990" s="12">
        <f>IF($L990="applied","Applied",IF($L990="interview","Interview",IF($L990="offer","Offer",IF($L990="rejected","Rejected",IF($L990="ignore","Ignore",IF($L990="archive","Archive",IF($L990="closed","Closed",IF($B990="","Unscored",IF(AND($B990&gt;=8,OR($H990="",$H990-TODAY()&lt;=14)),"P1 Apply",IF($B990&gt;=7,"P2 Strong",IF($B990&gt;=5,"P3 Maybe","P4 Low")))))))))))</f>
        <v/>
      </c>
      <c r="B990" s="13" t="n">
        <v>1.08</v>
      </c>
      <c r="C990" s="12" t="inlineStr">
        <is>
          <t>Graduate/Entry</t>
        </is>
      </c>
      <c r="D990" s="8" t="inlineStr">
        <is>
          <t>Graduate Applications Engineer (full time)</t>
        </is>
      </c>
      <c r="E990" s="7" t="inlineStr">
        <is>
          <t>XJTAG</t>
        </is>
      </c>
      <c r="F990" s="8" t="inlineStr">
        <is>
          <t>Cambridge, ENG, GB</t>
        </is>
      </c>
      <c r="G990" s="8" t="n"/>
      <c r="H990" s="14" t="n"/>
      <c r="I990" s="15">
        <f>IF($H990="","",$H990-TODAY())</f>
        <v/>
      </c>
      <c r="J990" s="16" t="inlineStr">
        <is>
          <t>Open posting</t>
        </is>
      </c>
      <c r="K990" s="8" t="inlineStr">
        <is>
          <t>filtered by keyword pre-scan</t>
        </is>
      </c>
      <c r="L990" s="17" t="inlineStr">
        <is>
          <t>new</t>
        </is>
      </c>
      <c r="M990" s="18" t="inlineStr"/>
      <c r="N990" s="7" t="inlineStr">
        <is>
          <t>565bf5c43020bef7435a8f132d6a16aa78bce113</t>
        </is>
      </c>
      <c r="O990" s="14" t="n">
        <v>46178</v>
      </c>
      <c r="P990" s="7" t="inlineStr">
        <is>
          <t>jobspy</t>
        </is>
      </c>
      <c r="Q990" s="8" t="inlineStr">
        <is>
          <t>fpga, git, c</t>
        </is>
      </c>
      <c r="R990" s="8" t="inlineStr">
        <is>
          <t>Graduate Digital Design Engineer FPGA</t>
        </is>
      </c>
      <c r="S990" s="19" t="n"/>
      <c r="T990" s="19" t="n"/>
      <c r="U990" s="14" t="n">
        <v>46192</v>
      </c>
      <c r="V990" s="7" t="inlineStr">
        <is>
          <t>v2-cv-accuracy-13b988b18da8ea7d</t>
        </is>
      </c>
    </row>
    <row r="991" ht="28" customHeight="1">
      <c r="A991" s="12">
        <f>IF($L991="applied","Applied",IF($L991="interview","Interview",IF($L991="offer","Offer",IF($L991="rejected","Rejected",IF($L991="ignore","Ignore",IF($L991="archive","Archive",IF($L991="closed","Closed",IF($B991="","Unscored",IF(AND($B991&gt;=8,OR($H991="",$H991-TODAY()&lt;=14)),"P1 Apply",IF($B991&gt;=7,"P2 Strong",IF($B991&gt;=5,"P3 Maybe","P4 Low")))))))))))</f>
        <v/>
      </c>
      <c r="B991" s="13" t="n">
        <v>1.08</v>
      </c>
      <c r="C991" s="12" t="inlineStr">
        <is>
          <t>Unspecified</t>
        </is>
      </c>
      <c r="D991" s="8" t="inlineStr">
        <is>
          <t>Production Engineer</t>
        </is>
      </c>
      <c r="E991" s="7" t="inlineStr">
        <is>
          <t>Meta</t>
        </is>
      </c>
      <c r="F991" s="8" t="inlineStr">
        <is>
          <t>London, England, UK</t>
        </is>
      </c>
      <c r="G991" s="8" t="n"/>
      <c r="H991" s="14" t="n"/>
      <c r="I991" s="15">
        <f>IF($H991="","",$H991-TODAY())</f>
        <v/>
      </c>
      <c r="J991" s="16" t="inlineStr">
        <is>
          <t>Open posting</t>
        </is>
      </c>
      <c r="K991" s="8" t="inlineStr">
        <is>
          <t>filtered by keyword pre-scan</t>
        </is>
      </c>
      <c r="L991" s="17" t="inlineStr">
        <is>
          <t>new</t>
        </is>
      </c>
      <c r="M991" s="18" t="inlineStr"/>
      <c r="N991" s="7" t="inlineStr">
        <is>
          <t>7d90f1a7908649643f4856659ffb6bb1511000cc</t>
        </is>
      </c>
      <c r="O991" s="14" t="n">
        <v>46191</v>
      </c>
      <c r="P991" s="7" t="inlineStr">
        <is>
          <t>jobspy</t>
        </is>
      </c>
      <c r="Q991" s="8" t="inlineStr">
        <is>
          <t>python, git, c</t>
        </is>
      </c>
      <c r="R991" s="8" t="inlineStr">
        <is>
          <t>Graduate Backend Developer Docker Kubernetes</t>
        </is>
      </c>
      <c r="S991" s="19" t="n"/>
      <c r="T991" s="19" t="n"/>
      <c r="U991" s="14" t="n">
        <v>46192</v>
      </c>
      <c r="V991" s="7" t="inlineStr">
        <is>
          <t>v2-cv-accuracy-13b988b18da8ea7d</t>
        </is>
      </c>
    </row>
    <row r="992" ht="28" customHeight="1">
      <c r="A992" s="12">
        <f>IF($L992="applied","Applied",IF($L992="interview","Interview",IF($L992="offer","Offer",IF($L992="rejected","Rejected",IF($L992="ignore","Ignore",IF($L992="archive","Archive",IF($L992="closed","Closed",IF($B992="","Unscored",IF(AND($B992&gt;=8,OR($H992="",$H992-TODAY()&lt;=14)),"P1 Apply",IF($B992&gt;=7,"P2 Strong",IF($B992&gt;=5,"P3 Maybe","P4 Low")))))))))))</f>
        <v/>
      </c>
      <c r="B992" s="13" t="n">
        <v>1.08</v>
      </c>
      <c r="C992" s="12" t="inlineStr">
        <is>
          <t>Mid-level</t>
        </is>
      </c>
      <c r="D992" s="8" t="inlineStr">
        <is>
          <t>Software Engineer - Infrastructure,SWE Developer Foundations</t>
        </is>
      </c>
      <c r="E992" s="7" t="inlineStr">
        <is>
          <t>Apple</t>
        </is>
      </c>
      <c r="F992" s="8" t="inlineStr">
        <is>
          <t>London, England, UK</t>
        </is>
      </c>
      <c r="G992" s="8" t="n"/>
      <c r="H992" s="14" t="n"/>
      <c r="I992" s="15">
        <f>IF($H992="","",$H992-TODAY())</f>
        <v/>
      </c>
      <c r="J992" s="16" t="inlineStr">
        <is>
          <t>Open posting</t>
        </is>
      </c>
      <c r="K992" s="8" t="inlineStr">
        <is>
          <t>filtered by keyword pre-scan</t>
        </is>
      </c>
      <c r="L992" s="17" t="inlineStr">
        <is>
          <t>new</t>
        </is>
      </c>
      <c r="M992" s="18" t="inlineStr"/>
      <c r="N992" s="7" t="inlineStr">
        <is>
          <t>337ca626f04b981d326e83068568360bba8eb564</t>
        </is>
      </c>
      <c r="O992" s="14" t="n">
        <v>46191</v>
      </c>
      <c r="P992" s="7" t="inlineStr">
        <is>
          <t>jobspy</t>
        </is>
      </c>
      <c r="Q992" s="8" t="inlineStr">
        <is>
          <t>kubernetes, git, c</t>
        </is>
      </c>
      <c r="R992" s="8" t="inlineStr">
        <is>
          <t>Graduate Backend Developer Docker Kubernetes</t>
        </is>
      </c>
      <c r="S992" s="19" t="n"/>
      <c r="T992" s="19" t="n"/>
      <c r="U992" s="14" t="n">
        <v>46192</v>
      </c>
      <c r="V992" s="7" t="inlineStr">
        <is>
          <t>v2-cv-accuracy-13b988b18da8ea7d</t>
        </is>
      </c>
    </row>
    <row r="993" ht="28" customHeight="1">
      <c r="A993" s="12">
        <f>IF($L993="applied","Applied",IF($L993="interview","Interview",IF($L993="offer","Offer",IF($L993="rejected","Rejected",IF($L993="ignore","Ignore",IF($L993="archive","Archive",IF($L993="closed","Closed",IF($B993="","Unscored",IF(AND($B993&gt;=8,OR($H993="",$H993-TODAY()&lt;=14)),"P1 Apply",IF($B993&gt;=7,"P2 Strong",IF($B993&gt;=5,"P3 Maybe","P4 Low")))))))))))</f>
        <v/>
      </c>
      <c r="B993" s="13" t="n">
        <v>1.08</v>
      </c>
      <c r="C993" s="12" t="inlineStr">
        <is>
          <t>Senior/Lead</t>
        </is>
      </c>
      <c r="D993" s="8" t="inlineStr">
        <is>
          <t>Software Engineer - Orchestration</t>
        </is>
      </c>
      <c r="E993" s="7" t="inlineStr">
        <is>
          <t>Neo4j</t>
        </is>
      </c>
      <c r="F993" s="8" t="inlineStr">
        <is>
          <t>London Area, United Kingdom</t>
        </is>
      </c>
      <c r="G993" s="8" t="n"/>
      <c r="H993" s="14" t="n"/>
      <c r="I993" s="15">
        <f>IF($H993="","",$H993-TODAY())</f>
        <v/>
      </c>
      <c r="J993" s="16" t="inlineStr">
        <is>
          <t>Open posting</t>
        </is>
      </c>
      <c r="K993" s="8" t="inlineStr">
        <is>
          <t>filtered by keyword pre-scan</t>
        </is>
      </c>
      <c r="L993" s="17" t="inlineStr">
        <is>
          <t>new</t>
        </is>
      </c>
      <c r="M993" s="18" t="inlineStr"/>
      <c r="N993" s="7" t="inlineStr">
        <is>
          <t>3e7978563e626f7e94e0e11122f4240d8cf74c79</t>
        </is>
      </c>
      <c r="O993" s="14" t="n">
        <v>46169</v>
      </c>
      <c r="P993" s="7" t="inlineStr">
        <is>
          <t>jobspy</t>
        </is>
      </c>
      <c r="Q993" s="8" t="inlineStr">
        <is>
          <t>kubernetes, git, c</t>
        </is>
      </c>
      <c r="R993" s="8" t="inlineStr">
        <is>
          <t>Graduate Backend Developer Docker Kubernetes</t>
        </is>
      </c>
      <c r="S993" s="19" t="n"/>
      <c r="T993" s="19" t="n"/>
      <c r="U993" s="14" t="n">
        <v>46192</v>
      </c>
      <c r="V993" s="7" t="inlineStr">
        <is>
          <t>v2-cv-accuracy-13b988b18da8ea7d</t>
        </is>
      </c>
    </row>
    <row r="994" ht="28" customHeight="1">
      <c r="A994" s="12">
        <f>IF($L994="applied","Applied",IF($L994="interview","Interview",IF($L994="offer","Offer",IF($L994="rejected","Rejected",IF($L994="ignore","Ignore",IF($L994="archive","Archive",IF($L994="closed","Closed",IF($B994="","Unscored",IF(AND($B994&gt;=8,OR($H994="",$H994-TODAY()&lt;=14)),"P1 Apply",IF($B994&gt;=7,"P2 Strong",IF($B994&gt;=5,"P3 Maybe","P4 Low")))))))))))</f>
        <v/>
      </c>
      <c r="B994" s="13" t="n">
        <v>1.08</v>
      </c>
      <c r="C994" s="12" t="inlineStr">
        <is>
          <t>Unspecified</t>
        </is>
      </c>
      <c r="D994" s="8" t="inlineStr">
        <is>
          <t>Data Flow Engineer</t>
        </is>
      </c>
      <c r="E994" s="7" t="inlineStr">
        <is>
          <t>Clearwater Analytics</t>
        </is>
      </c>
      <c r="F994" s="8" t="inlineStr">
        <is>
          <t>Edinburgh, Scotland, UK</t>
        </is>
      </c>
      <c r="G994" s="8" t="n"/>
      <c r="H994" s="14" t="n"/>
      <c r="I994" s="15">
        <f>IF($H994="","",$H994-TODAY())</f>
        <v/>
      </c>
      <c r="J994" s="16" t="inlineStr">
        <is>
          <t>Open posting</t>
        </is>
      </c>
      <c r="K994" s="8" t="inlineStr">
        <is>
          <t>filtered by keyword pre-scan</t>
        </is>
      </c>
      <c r="L994" s="17" t="inlineStr">
        <is>
          <t>new</t>
        </is>
      </c>
      <c r="M994" s="18" t="inlineStr"/>
      <c r="N994" s="7" t="inlineStr">
        <is>
          <t>bb5af8634ba2c18d816cd49b1a137c8b5ba8d498</t>
        </is>
      </c>
      <c r="O994" s="14" t="n">
        <v>46190</v>
      </c>
      <c r="P994" s="7" t="inlineStr">
        <is>
          <t>jobspy</t>
        </is>
      </c>
      <c r="Q994" s="8" t="inlineStr">
        <is>
          <t>python, sql, c</t>
        </is>
      </c>
      <c r="R994" s="8" t="inlineStr">
        <is>
          <t>Graduate Data Engineer SQL Python pipeline</t>
        </is>
      </c>
      <c r="S994" s="19" t="n"/>
      <c r="T994" s="19" t="n"/>
      <c r="U994" s="14" t="n">
        <v>46192</v>
      </c>
      <c r="V994" s="7" t="inlineStr">
        <is>
          <t>v2-cv-accuracy-13b988b18da8ea7d</t>
        </is>
      </c>
    </row>
    <row r="995" ht="28" customHeight="1">
      <c r="A995" s="12">
        <f>IF($L995="applied","Applied",IF($L995="interview","Interview",IF($L995="offer","Offer",IF($L995="rejected","Rejected",IF($L995="ignore","Ignore",IF($L995="archive","Archive",IF($L995="closed","Closed",IF($B995="","Unscored",IF(AND($B995&gt;=8,OR($H995="",$H995-TODAY()&lt;=14)),"P1 Apply",IF($B995&gt;=7,"P2 Strong",IF($B995&gt;=5,"P3 Maybe","P4 Low")))))))))))</f>
        <v/>
      </c>
      <c r="B995" s="13" t="n">
        <v>1.08</v>
      </c>
      <c r="C995" s="12" t="inlineStr">
        <is>
          <t>Apprentice/Trainee</t>
        </is>
      </c>
      <c r="D995" s="8" t="inlineStr">
        <is>
          <t>Software Developer Apprentice</t>
        </is>
      </c>
      <c r="E995" s="7" t="inlineStr">
        <is>
          <t>QA</t>
        </is>
      </c>
      <c r="F995" s="8" t="inlineStr">
        <is>
          <t>London, ENG, GB</t>
        </is>
      </c>
      <c r="G995" s="8" t="n"/>
      <c r="H995" s="14" t="n"/>
      <c r="I995" s="15">
        <f>IF($H995="","",$H995-TODAY())</f>
        <v/>
      </c>
      <c r="J995" s="16" t="inlineStr">
        <is>
          <t>Open posting</t>
        </is>
      </c>
      <c r="K995" s="8" t="inlineStr">
        <is>
          <t>filtered by keyword pre-scan</t>
        </is>
      </c>
      <c r="L995" s="17" t="inlineStr">
        <is>
          <t>new</t>
        </is>
      </c>
      <c r="M995" s="18" t="inlineStr"/>
      <c r="N995" s="7" t="inlineStr">
        <is>
          <t>0112350fdd221490a7a6bf45ea3dfdd441f3185b</t>
        </is>
      </c>
      <c r="O995" s="14" t="n">
        <v>46173</v>
      </c>
      <c r="P995" s="7" t="inlineStr">
        <is>
          <t>jobspy</t>
        </is>
      </c>
      <c r="Q995" s="8" t="inlineStr">
        <is>
          <t>python, sql, javascript, git, software development</t>
        </is>
      </c>
      <c r="R995" s="8" t="inlineStr">
        <is>
          <t>junior Graduate Software Developer</t>
        </is>
      </c>
      <c r="S995" s="19" t="n"/>
      <c r="T995" s="19" t="n"/>
      <c r="U995" s="14" t="n">
        <v>46191</v>
      </c>
      <c r="V995" s="7" t="inlineStr">
        <is>
          <t>v2-cv-accuracy-13b988b18da8ea7d</t>
        </is>
      </c>
    </row>
    <row r="996" ht="28" customHeight="1">
      <c r="A996" s="12">
        <f>IF($L996="applied","Applied",IF($L996="interview","Interview",IF($L996="offer","Offer",IF($L996="rejected","Rejected",IF($L996="ignore","Ignore",IF($L996="archive","Archive",IF($L996="closed","Closed",IF($B996="","Unscored",IF(AND($B996&gt;=8,OR($H996="",$H996-TODAY()&lt;=14)),"P1 Apply",IF($B996&gt;=7,"P2 Strong",IF($B996&gt;=5,"P3 Maybe","P4 Low")))))))))))</f>
        <v/>
      </c>
      <c r="B996" s="13" t="n">
        <v>1.08</v>
      </c>
      <c r="C996" s="12" t="inlineStr">
        <is>
          <t>Junior</t>
        </is>
      </c>
      <c r="D996" s="8" t="inlineStr">
        <is>
          <t>Junior / Mid-Level Full Stack Developer</t>
        </is>
      </c>
      <c r="E996" s="7" t="inlineStr">
        <is>
          <t>NEC Software Solutions</t>
        </is>
      </c>
      <c r="F996" s="8" t="inlineStr">
        <is>
          <t>London, England, UK</t>
        </is>
      </c>
      <c r="G996" s="8" t="n"/>
      <c r="H996" s="14" t="n"/>
      <c r="I996" s="15">
        <f>IF($H996="","",$H996-TODAY())</f>
        <v/>
      </c>
      <c r="J996" s="16" t="inlineStr">
        <is>
          <t>Open posting</t>
        </is>
      </c>
      <c r="K996" s="8" t="inlineStr">
        <is>
          <t>filtered by keyword pre-scan</t>
        </is>
      </c>
      <c r="L996" s="17" t="inlineStr">
        <is>
          <t>new</t>
        </is>
      </c>
      <c r="M996" s="18" t="inlineStr"/>
      <c r="N996" s="7" t="inlineStr">
        <is>
          <t>57ebcca5f2e663d40fb4eb2263a7c22afc108848</t>
        </is>
      </c>
      <c r="O996" s="14" t="n"/>
      <c r="P996" s="7" t="inlineStr">
        <is>
          <t>jobspy</t>
        </is>
      </c>
      <c r="Q996" s="8" t="inlineStr">
        <is>
          <t>sql, javascript, rest apis, git, software development</t>
        </is>
      </c>
      <c r="R996" s="8" t="inlineStr">
        <is>
          <t>junior Graduate Software Developer</t>
        </is>
      </c>
      <c r="S996" s="19" t="n"/>
      <c r="T996" s="19" t="n"/>
      <c r="U996" s="14" t="n">
        <v>46191</v>
      </c>
      <c r="V996" s="7" t="inlineStr">
        <is>
          <t>v2-cv-accuracy-13b988b18da8ea7d</t>
        </is>
      </c>
    </row>
    <row r="997" ht="28" customHeight="1">
      <c r="A997" s="12">
        <f>IF($L997="applied","Applied",IF($L997="interview","Interview",IF($L997="offer","Offer",IF($L997="rejected","Rejected",IF($L997="ignore","Ignore",IF($L997="archive","Archive",IF($L997="closed","Closed",IF($B997="","Unscored",IF(AND($B997&gt;=8,OR($H997="",$H997-TODAY()&lt;=14)),"P1 Apply",IF($B997&gt;=7,"P2 Strong",IF($B997&gt;=5,"P3 Maybe","P4 Low")))))))))))</f>
        <v/>
      </c>
      <c r="B997" s="13" t="n">
        <v>1.08</v>
      </c>
      <c r="C997" s="12" t="inlineStr">
        <is>
          <t>Junior</t>
        </is>
      </c>
      <c r="D997" s="8" t="inlineStr">
        <is>
          <t>Junior / Mid-Level Full Stack Developer</t>
        </is>
      </c>
      <c r="E997" s="7" t="inlineStr">
        <is>
          <t>NEC Corporation</t>
        </is>
      </c>
      <c r="F997" s="8" t="inlineStr">
        <is>
          <t>London, ENG, GB</t>
        </is>
      </c>
      <c r="G997" s="8" t="n"/>
      <c r="H997" s="14" t="n"/>
      <c r="I997" s="15">
        <f>IF($H997="","",$H997-TODAY())</f>
        <v/>
      </c>
      <c r="J997" s="16" t="inlineStr">
        <is>
          <t>Open posting</t>
        </is>
      </c>
      <c r="K997" s="8" t="inlineStr">
        <is>
          <t>filtered by keyword pre-scan</t>
        </is>
      </c>
      <c r="L997" s="17" t="inlineStr">
        <is>
          <t>new</t>
        </is>
      </c>
      <c r="M997" s="18" t="inlineStr"/>
      <c r="N997" s="7" t="inlineStr">
        <is>
          <t>fb32d45795258eca737334020647a87debc15679</t>
        </is>
      </c>
      <c r="O997" s="14" t="n">
        <v>46191</v>
      </c>
      <c r="P997" s="7" t="inlineStr">
        <is>
          <t>jobspy</t>
        </is>
      </c>
      <c r="Q997" s="8" t="inlineStr">
        <is>
          <t>sql, javascript, rest apis, git, software development</t>
        </is>
      </c>
      <c r="R997" s="8" t="inlineStr">
        <is>
          <t>Full Stack Developer</t>
        </is>
      </c>
      <c r="S997" s="19" t="n"/>
      <c r="T997" s="19" t="n"/>
      <c r="U997" s="14" t="n">
        <v>46191</v>
      </c>
      <c r="V997" s="7" t="inlineStr">
        <is>
          <t>v2-cv-accuracy-13b988b18da8ea7d</t>
        </is>
      </c>
    </row>
    <row r="998" ht="28" customHeight="1">
      <c r="A998" s="12">
        <f>IF($L998="applied","Applied",IF($L998="interview","Interview",IF($L998="offer","Offer",IF($L998="rejected","Rejected",IF($L998="ignore","Ignore",IF($L998="archive","Archive",IF($L998="closed","Closed",IF($B998="","Unscored",IF(AND($B998&gt;=8,OR($H998="",$H998-TODAY()&lt;=14)),"P1 Apply",IF($B998&gt;=7,"P2 Strong",IF($B998&gt;=5,"P3 Maybe","P4 Low")))))))))))</f>
        <v/>
      </c>
      <c r="B998" s="13" t="n">
        <v>1.08</v>
      </c>
      <c r="C998" s="12" t="inlineStr">
        <is>
          <t>Junior</t>
        </is>
      </c>
      <c r="D998" s="8" t="inlineStr">
        <is>
          <t>Junior / Mid-Level Full Stack Developer</t>
        </is>
      </c>
      <c r="E998" s="7" t="inlineStr">
        <is>
          <t>NEC Software Solutions</t>
        </is>
      </c>
      <c r="F998" s="8" t="inlineStr">
        <is>
          <t>London, England, UK</t>
        </is>
      </c>
      <c r="G998" s="8" t="n"/>
      <c r="H998" s="14" t="n"/>
      <c r="I998" s="15">
        <f>IF($H998="","",$H998-TODAY())</f>
        <v/>
      </c>
      <c r="J998" s="16" t="inlineStr">
        <is>
          <t>Open posting</t>
        </is>
      </c>
      <c r="K998" s="8" t="inlineStr">
        <is>
          <t>filtered by keyword pre-scan</t>
        </is>
      </c>
      <c r="L998" s="17" t="inlineStr">
        <is>
          <t>new</t>
        </is>
      </c>
      <c r="M998" s="18" t="inlineStr"/>
      <c r="N998" s="7" t="inlineStr">
        <is>
          <t>b9b3a031eeb2c0137af6bfc74818962df5fc74bd</t>
        </is>
      </c>
      <c r="O998" s="14" t="n"/>
      <c r="P998" s="7" t="inlineStr">
        <is>
          <t>jobspy</t>
        </is>
      </c>
      <c r="Q998" s="8" t="inlineStr">
        <is>
          <t>sql, javascript, rest apis, git, software development</t>
        </is>
      </c>
      <c r="R998" s="8" t="inlineStr">
        <is>
          <t>junior Full Stack Developer</t>
        </is>
      </c>
      <c r="S998" s="19" t="n"/>
      <c r="T998" s="19" t="n"/>
      <c r="U998" s="14" t="n">
        <v>46191</v>
      </c>
      <c r="V998" s="7" t="inlineStr">
        <is>
          <t>v2-cv-accuracy-13b988b18da8ea7d</t>
        </is>
      </c>
    </row>
    <row r="999" ht="28" customHeight="1">
      <c r="A999" s="12">
        <f>IF($L999="applied","Applied",IF($L999="interview","Interview",IF($L999="offer","Offer",IF($L999="rejected","Rejected",IF($L999="ignore","Ignore",IF($L999="archive","Archive",IF($L999="closed","Closed",IF($B999="","Unscored",IF(AND($B999&gt;=8,OR($H999="",$H999-TODAY()&lt;=14)),"P1 Apply",IF($B999&gt;=7,"P2 Strong",IF($B999&gt;=5,"P3 Maybe","P4 Low")))))))))))</f>
        <v/>
      </c>
      <c r="B999" s="13" t="n">
        <v>1.08</v>
      </c>
      <c r="C999" s="12" t="inlineStr">
        <is>
          <t>Junior</t>
        </is>
      </c>
      <c r="D999" s="8" t="inlineStr">
        <is>
          <t>Junior / Mid-Level Full Stack Developer</t>
        </is>
      </c>
      <c r="E999" s="7" t="inlineStr">
        <is>
          <t>NEC Software Solutions (India)</t>
        </is>
      </c>
      <c r="F999" s="8" t="inlineStr">
        <is>
          <t>London, England, UK</t>
        </is>
      </c>
      <c r="G999" s="8" t="n"/>
      <c r="H999" s="14" t="n"/>
      <c r="I999" s="15">
        <f>IF($H999="","",$H999-TODAY())</f>
        <v/>
      </c>
      <c r="J999" s="16" t="inlineStr">
        <is>
          <t>Open posting</t>
        </is>
      </c>
      <c r="K999" s="8" t="inlineStr">
        <is>
          <t>filtered by keyword pre-scan</t>
        </is>
      </c>
      <c r="L999" s="17" t="inlineStr">
        <is>
          <t>new</t>
        </is>
      </c>
      <c r="M999" s="18" t="inlineStr"/>
      <c r="N999" s="7" t="inlineStr">
        <is>
          <t>06b41dc7eed1f728716bbc89355ef0a717ac2002</t>
        </is>
      </c>
      <c r="O999" s="14" t="n"/>
      <c r="P999" s="7" t="inlineStr">
        <is>
          <t>jobspy</t>
        </is>
      </c>
      <c r="Q999" s="8" t="inlineStr">
        <is>
          <t>sql, javascript, rest apis, git, software development</t>
        </is>
      </c>
      <c r="R999" s="8" t="inlineStr">
        <is>
          <t>junior Full Stack Developer</t>
        </is>
      </c>
      <c r="S999" s="19" t="n"/>
      <c r="T999" s="19" t="n"/>
      <c r="U999" s="14" t="n">
        <v>46191</v>
      </c>
      <c r="V999" s="7" t="inlineStr">
        <is>
          <t>v2-cv-accuracy-13b988b18da8ea7d</t>
        </is>
      </c>
    </row>
    <row r="1000" ht="28" customHeight="1">
      <c r="A1000" s="12">
        <f>IF($L1000="applied","Applied",IF($L1000="interview","Interview",IF($L1000="offer","Offer",IF($L1000="rejected","Rejected",IF($L1000="ignore","Ignore",IF($L1000="archive","Archive",IF($L1000="closed","Closed",IF($B1000="","Unscored",IF(AND($B1000&gt;=8,OR($H1000="",$H1000-TODAY()&lt;=14)),"P1 Apply",IF($B1000&gt;=7,"P2 Strong",IF($B1000&gt;=5,"P3 Maybe","P4 Low")))))))))))</f>
        <v/>
      </c>
      <c r="B1000" s="13" t="n">
        <v>1.02</v>
      </c>
      <c r="C1000" s="12" t="inlineStr">
        <is>
          <t>Senior/Lead</t>
        </is>
      </c>
      <c r="D1000" s="8" t="inlineStr">
        <is>
          <t>Software Engineer II</t>
        </is>
      </c>
      <c r="E1000" s="7" t="inlineStr">
        <is>
          <t>Monzo</t>
        </is>
      </c>
      <c r="F1000" s="8" t="inlineStr">
        <is>
          <t>Barcelona</t>
        </is>
      </c>
      <c r="G1000" s="8" t="n"/>
      <c r="H1000" s="14" t="n"/>
      <c r="I1000" s="15">
        <f>IF($H1000="","",$H1000-TODAY())</f>
        <v/>
      </c>
      <c r="J1000" s="16" t="inlineStr">
        <is>
          <t>Open posting</t>
        </is>
      </c>
      <c r="K1000" s="8" t="inlineStr">
        <is>
          <t>filtered by keyword pre-scan</t>
        </is>
      </c>
      <c r="L1000" s="17" t="inlineStr">
        <is>
          <t>new</t>
        </is>
      </c>
      <c r="M1000" s="18" t="inlineStr"/>
      <c r="N1000" s="7" t="inlineStr">
        <is>
          <t>09cbb54df145d99ae556902b14290200fb302fa2</t>
        </is>
      </c>
      <c r="O1000" s="14" t="n">
        <v>46170</v>
      </c>
      <c r="P1000" s="7" t="inlineStr">
        <is>
          <t>greenhouse:monzo</t>
        </is>
      </c>
      <c r="Q1000" s="8" t="inlineStr">
        <is>
          <t>git</t>
        </is>
      </c>
      <c r="R1000" s="8" t="n"/>
      <c r="S1000" s="19" t="n"/>
      <c r="T1000" s="19" t="n"/>
      <c r="U1000" s="14" t="n">
        <v>46191</v>
      </c>
      <c r="V1000" s="7" t="inlineStr">
        <is>
          <t>v2-cv-accuracy-13b988b18da8ea7d</t>
        </is>
      </c>
    </row>
    <row r="1001" ht="28" customHeight="1">
      <c r="A1001" s="12">
        <f>IF($L1001="applied","Applied",IF($L1001="interview","Interview",IF($L1001="offer","Offer",IF($L1001="rejected","Rejected",IF($L1001="ignore","Ignore",IF($L1001="archive","Archive",IF($L1001="closed","Closed",IF($B1001="","Unscored",IF(AND($B1001&gt;=8,OR($H1001="",$H1001-TODAY()&lt;=14)),"P1 Apply",IF($B1001&gt;=7,"P2 Strong",IF($B1001&gt;=5,"P3 Maybe","P4 Low")))))))))))</f>
        <v/>
      </c>
      <c r="B1001" s="13" t="n">
        <v>1.02</v>
      </c>
      <c r="C1001" s="12" t="inlineStr">
        <is>
          <t>Senior/Lead</t>
        </is>
      </c>
      <c r="D1001" s="8" t="inlineStr">
        <is>
          <t>Software Engineer III</t>
        </is>
      </c>
      <c r="E1001" s="7" t="inlineStr">
        <is>
          <t>Monzo</t>
        </is>
      </c>
      <c r="F1001" s="8" t="inlineStr">
        <is>
          <t>Barcelona</t>
        </is>
      </c>
      <c r="G1001" s="8" t="n"/>
      <c r="H1001" s="14" t="n"/>
      <c r="I1001" s="15">
        <f>IF($H1001="","",$H1001-TODAY())</f>
        <v/>
      </c>
      <c r="J1001" s="16" t="inlineStr">
        <is>
          <t>Open posting</t>
        </is>
      </c>
      <c r="K1001" s="8" t="inlineStr">
        <is>
          <t>filtered by keyword pre-scan</t>
        </is>
      </c>
      <c r="L1001" s="17" t="inlineStr">
        <is>
          <t>new</t>
        </is>
      </c>
      <c r="M1001" s="18" t="inlineStr"/>
      <c r="N1001" s="7" t="inlineStr">
        <is>
          <t>7b2a595da3c434072c0616db1fc3190cbe207b01</t>
        </is>
      </c>
      <c r="O1001" s="14" t="n">
        <v>46170</v>
      </c>
      <c r="P1001" s="7" t="inlineStr">
        <is>
          <t>greenhouse:monzo</t>
        </is>
      </c>
      <c r="Q1001" s="8" t="inlineStr">
        <is>
          <t>git</t>
        </is>
      </c>
      <c r="R1001" s="8" t="n"/>
      <c r="S1001" s="19" t="n"/>
      <c r="T1001" s="19" t="n"/>
      <c r="U1001" s="14" t="n">
        <v>46191</v>
      </c>
      <c r="V1001" s="7" t="inlineStr">
        <is>
          <t>v2-cv-accuracy-13b988b18da8ea7d</t>
        </is>
      </c>
    </row>
    <row r="1002" ht="28" customHeight="1">
      <c r="A1002" s="12">
        <f>IF($L1002="applied","Applied",IF($L1002="interview","Interview",IF($L1002="offer","Offer",IF($L1002="rejected","Rejected",IF($L1002="ignore","Ignore",IF($L1002="archive","Archive",IF($L1002="closed","Closed",IF($B1002="","Unscored",IF(AND($B1002&gt;=8,OR($H1002="",$H1002-TODAY()&lt;=14)),"P1 Apply",IF($B1002&gt;=7,"P2 Strong",IF($B1002&gt;=5,"P3 Maybe","P4 Low")))))))))))</f>
        <v/>
      </c>
      <c r="B1002" s="13" t="n">
        <v>1.02</v>
      </c>
      <c r="C1002" s="12" t="inlineStr">
        <is>
          <t>Mid-level</t>
        </is>
      </c>
      <c r="D1002" s="8" t="inlineStr">
        <is>
          <t>Software Developer (Connected Service and Diagnostics)</t>
        </is>
      </c>
      <c r="E1002" s="7" t="inlineStr">
        <is>
          <t>Actia (UK) Ltd</t>
        </is>
      </c>
      <c r="F1002" s="8" t="inlineStr">
        <is>
          <t>Newtown, WLS, GB</t>
        </is>
      </c>
      <c r="G1002" s="8" t="n"/>
      <c r="H1002" s="14" t="n"/>
      <c r="I1002" s="15">
        <f>IF($H1002="","",$H1002-TODAY())</f>
        <v/>
      </c>
      <c r="J1002" s="16" t="inlineStr">
        <is>
          <t>Open posting</t>
        </is>
      </c>
      <c r="K1002" s="8" t="inlineStr">
        <is>
          <t>filtered by keyword pre-scan</t>
        </is>
      </c>
      <c r="L1002" s="17" t="inlineStr">
        <is>
          <t>new</t>
        </is>
      </c>
      <c r="M1002" s="18" t="inlineStr"/>
      <c r="N1002" s="7" t="inlineStr">
        <is>
          <t>c9e3c7a19bbe8825923a8da3a659e9a0b45493d7</t>
        </is>
      </c>
      <c r="O1002" s="14" t="n">
        <v>46190</v>
      </c>
      <c r="P1002" s="7" t="inlineStr">
        <is>
          <t>jobspy</t>
        </is>
      </c>
      <c r="Q1002" s="8" t="inlineStr">
        <is>
          <t>software development</t>
        </is>
      </c>
      <c r="R1002" s="8" t="inlineStr">
        <is>
          <t>Graduate Software Developer</t>
        </is>
      </c>
      <c r="S1002" s="19" t="n"/>
      <c r="T1002" s="19" t="n"/>
      <c r="U1002" s="14" t="n">
        <v>46191</v>
      </c>
      <c r="V1002" s="7" t="inlineStr">
        <is>
          <t>v2-cv-accuracy-13b988b18da8ea7d</t>
        </is>
      </c>
    </row>
    <row r="1003" ht="28" customHeight="1">
      <c r="A1003" s="12">
        <f>IF($L1003="applied","Applied",IF($L1003="interview","Interview",IF($L1003="offer","Offer",IF($L1003="rejected","Rejected",IF($L1003="ignore","Ignore",IF($L1003="archive","Archive",IF($L1003="closed","Closed",IF($B1003="","Unscored",IF(AND($B1003&gt;=8,OR($H1003="",$H1003-TODAY()&lt;=14)),"P1 Apply",IF($B1003&gt;=7,"P2 Strong",IF($B1003&gt;=5,"P3 Maybe","P4 Low")))))))))))</f>
        <v/>
      </c>
      <c r="B1003" s="13" t="n">
        <v>1.02</v>
      </c>
      <c r="C1003" s="12" t="inlineStr">
        <is>
          <t>Unspecified</t>
        </is>
      </c>
      <c r="D1003" s="8" t="inlineStr">
        <is>
          <t>Software Engineer</t>
        </is>
      </c>
      <c r="E1003" s="7" t="inlineStr">
        <is>
          <t>Cura Terrae Water</t>
        </is>
      </c>
      <c r="F1003" s="8" t="inlineStr">
        <is>
          <t>Sheffield, England, UK</t>
        </is>
      </c>
      <c r="G1003" s="8" t="n"/>
      <c r="H1003" s="14" t="n"/>
      <c r="I1003" s="15">
        <f>IF($H1003="","",$H1003-TODAY())</f>
        <v/>
      </c>
      <c r="J1003" s="16" t="inlineStr">
        <is>
          <t>Open posting</t>
        </is>
      </c>
      <c r="K1003" s="8" t="inlineStr">
        <is>
          <t>filtered by keyword pre-scan</t>
        </is>
      </c>
      <c r="L1003" s="17" t="inlineStr">
        <is>
          <t>new</t>
        </is>
      </c>
      <c r="M1003" s="18" t="inlineStr"/>
      <c r="N1003" s="7" t="inlineStr">
        <is>
          <t>30aca3a299dd278a532372053645af4afbcb4509</t>
        </is>
      </c>
      <c r="O1003" s="14" t="n">
        <v>46182</v>
      </c>
      <c r="P1003" s="7" t="inlineStr">
        <is>
          <t>jobspy</t>
        </is>
      </c>
      <c r="Q1003" s="8" t="inlineStr"/>
      <c r="R1003" s="8" t="inlineStr">
        <is>
          <t>Graduate Software Developer Sheffield</t>
        </is>
      </c>
      <c r="S1003" s="19" t="n"/>
      <c r="T1003" s="19" t="n"/>
      <c r="U1003" s="14" t="n">
        <v>46191</v>
      </c>
      <c r="V1003" s="7" t="inlineStr">
        <is>
          <t>v2-cv-accuracy-13b988b18da8ea7d</t>
        </is>
      </c>
    </row>
    <row r="1004" ht="28" customHeight="1">
      <c r="A1004" s="12">
        <f>IF($L1004="applied","Applied",IF($L1004="interview","Interview",IF($L1004="offer","Offer",IF($L1004="rejected","Rejected",IF($L1004="ignore","Ignore",IF($L1004="archive","Archive",IF($L1004="closed","Closed",IF($B1004="","Unscored",IF(AND($B1004&gt;=8,OR($H1004="",$H1004-TODAY()&lt;=14)),"P1 Apply",IF($B1004&gt;=7,"P2 Strong",IF($B1004&gt;=5,"P3 Maybe","P4 Low")))))))))))</f>
        <v/>
      </c>
      <c r="B1004" s="13" t="n">
        <v>1.02</v>
      </c>
      <c r="C1004" s="12" t="inlineStr">
        <is>
          <t>Senior/Lead</t>
        </is>
      </c>
      <c r="D1004" s="8" t="inlineStr">
        <is>
          <t>Overseas Contractor</t>
        </is>
      </c>
      <c r="E1004" s="7" t="inlineStr">
        <is>
          <t>LTM</t>
        </is>
      </c>
      <c r="F1004" s="8" t="inlineStr">
        <is>
          <t>Sheffield, England, UK</t>
        </is>
      </c>
      <c r="G1004" s="8" t="n"/>
      <c r="H1004" s="14" t="n"/>
      <c r="I1004" s="15">
        <f>IF($H1004="","",$H1004-TODAY())</f>
        <v/>
      </c>
      <c r="J1004" s="16" t="inlineStr">
        <is>
          <t>Open posting</t>
        </is>
      </c>
      <c r="K1004" s="8" t="inlineStr">
        <is>
          <t>filtered by keyword pre-scan</t>
        </is>
      </c>
      <c r="L1004" s="17" t="inlineStr">
        <is>
          <t>new</t>
        </is>
      </c>
      <c r="M1004" s="18" t="inlineStr"/>
      <c r="N1004" s="7" t="inlineStr">
        <is>
          <t>94504d5952946de0e3a38821a549fcc37bcf9a02</t>
        </is>
      </c>
      <c r="O1004" s="14" t="n">
        <v>46182</v>
      </c>
      <c r="P1004" s="7" t="inlineStr">
        <is>
          <t>jobspy</t>
        </is>
      </c>
      <c r="Q1004" s="8" t="inlineStr">
        <is>
          <t>javascript</t>
        </is>
      </c>
      <c r="R1004" s="8" t="inlineStr">
        <is>
          <t>Graduate Software Developer Sheffield</t>
        </is>
      </c>
      <c r="S1004" s="19" t="n"/>
      <c r="T1004" s="19" t="n"/>
      <c r="U1004" s="14" t="n">
        <v>46191</v>
      </c>
      <c r="V1004" s="7" t="inlineStr">
        <is>
          <t>v2-cv-accuracy-13b988b18da8ea7d</t>
        </is>
      </c>
    </row>
    <row r="1005" ht="28" customHeight="1">
      <c r="A1005" s="12">
        <f>IF($L1005="applied","Applied",IF($L1005="interview","Interview",IF($L1005="offer","Offer",IF($L1005="rejected","Rejected",IF($L1005="ignore","Ignore",IF($L1005="archive","Archive",IF($L1005="closed","Closed",IF($B1005="","Unscored",IF(AND($B1005&gt;=8,OR($H1005="",$H1005-TODAY()&lt;=14)),"P1 Apply",IF($B1005&gt;=7,"P2 Strong",IF($B1005&gt;=5,"P3 Maybe","P4 Low")))))))))))</f>
        <v/>
      </c>
      <c r="B1005" s="13" t="n">
        <v>1.02</v>
      </c>
      <c r="C1005" s="12" t="inlineStr">
        <is>
          <t>Unspecified</t>
        </is>
      </c>
      <c r="D1005" s="8" t="inlineStr">
        <is>
          <t>Python Developer</t>
        </is>
      </c>
      <c r="E1005" s="7" t="inlineStr">
        <is>
          <t>Virtusa</t>
        </is>
      </c>
      <c r="F1005" s="8" t="inlineStr">
        <is>
          <t>Andhra Pradesh, India</t>
        </is>
      </c>
      <c r="G1005" s="8" t="n"/>
      <c r="H1005" s="14" t="n"/>
      <c r="I1005" s="15">
        <f>IF($H1005="","",$H1005-TODAY())</f>
        <v/>
      </c>
      <c r="J1005" s="16" t="inlineStr">
        <is>
          <t>Open posting</t>
        </is>
      </c>
      <c r="K1005" s="8" t="inlineStr">
        <is>
          <t>filtered by keyword pre-scan</t>
        </is>
      </c>
      <c r="L1005" s="17" t="inlineStr">
        <is>
          <t>new</t>
        </is>
      </c>
      <c r="M1005" s="18" t="inlineStr"/>
      <c r="N1005" s="7" t="inlineStr">
        <is>
          <t>74eb836d5703e26ce3bd2488b9c6fe0f397a82a0</t>
        </is>
      </c>
      <c r="O1005" s="14" t="n">
        <v>46184</v>
      </c>
      <c r="P1005" s="7" t="inlineStr">
        <is>
          <t>jobspy</t>
        </is>
      </c>
      <c r="Q1005" s="8" t="inlineStr">
        <is>
          <t>python</t>
        </is>
      </c>
      <c r="R1005" s="8" t="inlineStr">
        <is>
          <t>graduate Junior Python Developer</t>
        </is>
      </c>
      <c r="S1005" s="19" t="n"/>
      <c r="T1005" s="19" t="n"/>
      <c r="U1005" s="14" t="n">
        <v>46191</v>
      </c>
      <c r="V1005" s="7" t="inlineStr">
        <is>
          <t>v2-cv-accuracy-13b988b18da8ea7d</t>
        </is>
      </c>
    </row>
    <row r="1006" ht="28" customHeight="1">
      <c r="A1006" s="12">
        <f>IF($L1006="applied","Applied",IF($L1006="interview","Interview",IF($L1006="offer","Offer",IF($L1006="rejected","Rejected",IF($L1006="ignore","Ignore",IF($L1006="archive","Archive",IF($L1006="closed","Closed",IF($B1006="","Unscored",IF(AND($B1006&gt;=8,OR($H1006="",$H1006-TODAY()&lt;=14)),"P1 Apply",IF($B1006&gt;=7,"P2 Strong",IF($B1006&gt;=5,"P3 Maybe","P4 Low")))))))))))</f>
        <v/>
      </c>
      <c r="B1006" s="13" t="n">
        <v>1.02</v>
      </c>
      <c r="C1006" s="12" t="inlineStr">
        <is>
          <t>Unspecified</t>
        </is>
      </c>
      <c r="D1006" s="8" t="inlineStr">
        <is>
          <t>Full Stack Software Engineer (Cloud &amp; Integrations)</t>
        </is>
      </c>
      <c r="E1006" s="7" t="inlineStr">
        <is>
          <t>BabelQuest</t>
        </is>
      </c>
      <c r="F1006" s="8" t="inlineStr">
        <is>
          <t>Oxford, ENG, GB</t>
        </is>
      </c>
      <c r="G1006" s="8" t="n"/>
      <c r="H1006" s="14" t="n"/>
      <c r="I1006" s="15">
        <f>IF($H1006="","",$H1006-TODAY())</f>
        <v/>
      </c>
      <c r="J1006" s="16" t="inlineStr">
        <is>
          <t>Open posting</t>
        </is>
      </c>
      <c r="K1006" s="8" t="inlineStr">
        <is>
          <t>filtered by keyword pre-scan</t>
        </is>
      </c>
      <c r="L1006" s="17" t="inlineStr">
        <is>
          <t>new</t>
        </is>
      </c>
      <c r="M1006" s="18" t="inlineStr"/>
      <c r="N1006" s="7" t="inlineStr">
        <is>
          <t>436e331627297919c341d1b91df84d1587f5caf6</t>
        </is>
      </c>
      <c r="O1006" s="14" t="n">
        <v>46189</v>
      </c>
      <c r="P1006" s="7" t="inlineStr">
        <is>
          <t>jobspy</t>
        </is>
      </c>
      <c r="Q1006" s="8" t="inlineStr">
        <is>
          <t>python</t>
        </is>
      </c>
      <c r="R1006" s="8" t="inlineStr">
        <is>
          <t>Full Stack Developer</t>
        </is>
      </c>
      <c r="S1006" s="19" t="n"/>
      <c r="T1006" s="19" t="n"/>
      <c r="U1006" s="14" t="n">
        <v>46191</v>
      </c>
      <c r="V1006" s="7" t="inlineStr">
        <is>
          <t>v2-cv-accuracy-13b988b18da8ea7d</t>
        </is>
      </c>
    </row>
    <row r="1007" ht="28" customHeight="1">
      <c r="A1007" s="12">
        <f>IF($L1007="applied","Applied",IF($L1007="interview","Interview",IF($L1007="offer","Offer",IF($L1007="rejected","Rejected",IF($L1007="ignore","Ignore",IF($L1007="archive","Archive",IF($L1007="closed","Closed",IF($B1007="","Unscored",IF(AND($B1007&gt;=8,OR($H1007="",$H1007-TODAY()&lt;=14)),"P1 Apply",IF($B1007&gt;=7,"P2 Strong",IF($B1007&gt;=5,"P3 Maybe","P4 Low")))))))))))</f>
        <v/>
      </c>
      <c r="B1007" s="13" t="n">
        <v>1.02</v>
      </c>
      <c r="C1007" s="12" t="inlineStr">
        <is>
          <t>Junior</t>
        </is>
      </c>
      <c r="D1007" s="8" t="inlineStr">
        <is>
          <t>Junior Software Engineer</t>
        </is>
      </c>
      <c r="E1007" s="7" t="inlineStr">
        <is>
          <t>EMCS</t>
        </is>
      </c>
      <c r="F1007" s="8" t="inlineStr">
        <is>
          <t>Nottingham, ENG, GB</t>
        </is>
      </c>
      <c r="G1007" s="8" t="n"/>
      <c r="H1007" s="14" t="n"/>
      <c r="I1007" s="15">
        <f>IF($H1007="","",$H1007-TODAY())</f>
        <v/>
      </c>
      <c r="J1007" s="16" t="inlineStr">
        <is>
          <t>Open posting</t>
        </is>
      </c>
      <c r="K1007" s="8" t="inlineStr">
        <is>
          <t>filtered by keyword pre-scan</t>
        </is>
      </c>
      <c r="L1007" s="17" t="inlineStr">
        <is>
          <t>new</t>
        </is>
      </c>
      <c r="M1007" s="18" t="inlineStr"/>
      <c r="N1007" s="7" t="inlineStr">
        <is>
          <t>fa2fa28e00139138480444a29d34ccd7051a0a40</t>
        </is>
      </c>
      <c r="O1007" s="14" t="n">
        <v>46178</v>
      </c>
      <c r="P1007" s="7" t="inlineStr">
        <is>
          <t>jobspy</t>
        </is>
      </c>
      <c r="Q1007" s="8" t="inlineStr">
        <is>
          <t>javascript</t>
        </is>
      </c>
      <c r="R1007" s="8" t="inlineStr">
        <is>
          <t>junior Full Stack Developer</t>
        </is>
      </c>
      <c r="S1007" s="19" t="n"/>
      <c r="T1007" s="19" t="n"/>
      <c r="U1007" s="14" t="n">
        <v>46191</v>
      </c>
      <c r="V1007" s="7" t="inlineStr">
        <is>
          <t>v2-cv-accuracy-13b988b18da8ea7d</t>
        </is>
      </c>
    </row>
    <row r="1008" ht="28" customHeight="1">
      <c r="A1008" s="12">
        <f>IF($L1008="applied","Applied",IF($L1008="interview","Interview",IF($L1008="offer","Offer",IF($L1008="rejected","Rejected",IF($L1008="ignore","Ignore",IF($L1008="archive","Archive",IF($L1008="closed","Closed",IF($B1008="","Unscored",IF(AND($B1008&gt;=8,OR($H1008="",$H1008-TODAY()&lt;=14)),"P1 Apply",IF($B1008&gt;=7,"P2 Strong",IF($B1008&gt;=5,"P3 Maybe","P4 Low")))))))))))</f>
        <v/>
      </c>
      <c r="B1008" s="13" t="n">
        <v>1.02</v>
      </c>
      <c r="C1008" s="12" t="inlineStr">
        <is>
          <t>Unspecified</t>
        </is>
      </c>
      <c r="D1008" s="8" t="inlineStr">
        <is>
          <t>Python Developer</t>
        </is>
      </c>
      <c r="E1008" s="7" t="inlineStr">
        <is>
          <t>RJC Group</t>
        </is>
      </c>
      <c r="F1008" s="8" t="inlineStr">
        <is>
          <t>London Area, United Kingdom</t>
        </is>
      </c>
      <c r="G1008" s="8" t="n"/>
      <c r="H1008" s="14" t="n"/>
      <c r="I1008" s="15">
        <f>IF($H1008="","",$H1008-TODAY())</f>
        <v/>
      </c>
      <c r="J1008" s="16" t="inlineStr">
        <is>
          <t>Open posting</t>
        </is>
      </c>
      <c r="K1008" s="8" t="inlineStr">
        <is>
          <t>filtered by keyword pre-scan</t>
        </is>
      </c>
      <c r="L1008" s="17" t="inlineStr">
        <is>
          <t>new</t>
        </is>
      </c>
      <c r="M1008" s="18" t="inlineStr"/>
      <c r="N1008" s="7" t="inlineStr">
        <is>
          <t>6ebb835d593150cbfffed60abdfb6509ec512302</t>
        </is>
      </c>
      <c r="O1008" s="14" t="n">
        <v>46164</v>
      </c>
      <c r="P1008" s="7" t="inlineStr">
        <is>
          <t>jobspy</t>
        </is>
      </c>
      <c r="Q1008" s="8" t="inlineStr">
        <is>
          <t>python</t>
        </is>
      </c>
      <c r="R1008" s="8" t="inlineStr">
        <is>
          <t>junior/graduate Junior Python Developer</t>
        </is>
      </c>
      <c r="S1008" s="19" t="n"/>
      <c r="T1008" s="19" t="n"/>
      <c r="U1008" s="14" t="n">
        <v>46191</v>
      </c>
      <c r="V1008" s="7" t="inlineStr">
        <is>
          <t>v2-cv-accuracy-13b988b18da8ea7d</t>
        </is>
      </c>
    </row>
    <row r="1009" ht="28" customHeight="1">
      <c r="A1009" s="12">
        <f>IF($L1009="applied","Applied",IF($L1009="interview","Interview",IF($L1009="offer","Offer",IF($L1009="rejected","Rejected",IF($L1009="ignore","Ignore",IF($L1009="archive","Archive",IF($L1009="closed","Closed",IF($B1009="","Unscored",IF(AND($B1009&gt;=8,OR($H1009="",$H1009-TODAY()&lt;=14)),"P1 Apply",IF($B1009&gt;=7,"P2 Strong",IF($B1009&gt;=5,"P3 Maybe","P4 Low")))))))))))</f>
        <v/>
      </c>
      <c r="B1009" s="13" t="n">
        <v>1.02</v>
      </c>
      <c r="C1009" s="12" t="inlineStr">
        <is>
          <t>Unspecified</t>
        </is>
      </c>
      <c r="D1009" s="8" t="inlineStr">
        <is>
          <t>Software Engineer</t>
        </is>
      </c>
      <c r="E1009" s="7" t="inlineStr">
        <is>
          <t>Hays</t>
        </is>
      </c>
      <c r="F1009" s="8" t="inlineStr">
        <is>
          <t>Sheffield, England, UK</t>
        </is>
      </c>
      <c r="G1009" s="8" t="n"/>
      <c r="H1009" s="14" t="n"/>
      <c r="I1009" s="15">
        <f>IF($H1009="","",$H1009-TODAY())</f>
        <v/>
      </c>
      <c r="J1009" s="16" t="inlineStr">
        <is>
          <t>Open posting</t>
        </is>
      </c>
      <c r="K1009" s="8" t="inlineStr">
        <is>
          <t>filtered by keyword pre-scan</t>
        </is>
      </c>
      <c r="L1009" s="17" t="inlineStr">
        <is>
          <t>new</t>
        </is>
      </c>
      <c r="M1009" s="18" t="inlineStr"/>
      <c r="N1009" s="7" t="inlineStr">
        <is>
          <t>22a7c4f3139727c53095d5cbe3d19f374cc13adf</t>
        </is>
      </c>
      <c r="O1009" s="14" t="n"/>
      <c r="P1009" s="7" t="inlineStr">
        <is>
          <t>jobspy</t>
        </is>
      </c>
      <c r="Q1009" s="8" t="inlineStr"/>
      <c r="R1009" s="8" t="inlineStr">
        <is>
          <t>Graduate Software Developer Sheffield</t>
        </is>
      </c>
      <c r="S1009" s="19" t="n"/>
      <c r="T1009" s="19" t="n"/>
      <c r="U1009" s="14" t="n">
        <v>46191</v>
      </c>
      <c r="V1009" s="7" t="inlineStr">
        <is>
          <t>v2-cv-accuracy-13b988b18da8ea7d</t>
        </is>
      </c>
    </row>
    <row r="1010" ht="28" customHeight="1">
      <c r="A1010" s="12">
        <f>IF($L1010="applied","Applied",IF($L1010="interview","Interview",IF($L1010="offer","Offer",IF($L1010="rejected","Rejected",IF($L1010="ignore","Ignore",IF($L1010="archive","Archive",IF($L1010="closed","Closed",IF($B1010="","Unscored",IF(AND($B1010&gt;=8,OR($H1010="",$H1010-TODAY()&lt;=14)),"P1 Apply",IF($B1010&gt;=7,"P2 Strong",IF($B1010&gt;=5,"P3 Maybe","P4 Low")))))))))))</f>
        <v/>
      </c>
      <c r="B1010" s="13" t="n">
        <v>1.02</v>
      </c>
      <c r="C1010" s="12" t="inlineStr">
        <is>
          <t>Unspecified</t>
        </is>
      </c>
      <c r="D1010" s="8" t="inlineStr">
        <is>
          <t>Python开发工程师</t>
        </is>
      </c>
      <c r="E1010" s="7" t="inlineStr">
        <is>
          <t>紫光云数科技有限公司</t>
        </is>
      </c>
      <c r="F1010" s="8" t="inlineStr">
        <is>
          <t>Hangzhou, Zhejiang, China</t>
        </is>
      </c>
      <c r="G1010" s="8" t="n"/>
      <c r="H1010" s="14" t="n"/>
      <c r="I1010" s="15">
        <f>IF($H1010="","",$H1010-TODAY())</f>
        <v/>
      </c>
      <c r="J1010" s="16" t="inlineStr">
        <is>
          <t>Open posting</t>
        </is>
      </c>
      <c r="K1010" s="8" t="inlineStr">
        <is>
          <t>filtered by keyword pre-scan</t>
        </is>
      </c>
      <c r="L1010" s="17" t="inlineStr">
        <is>
          <t>new</t>
        </is>
      </c>
      <c r="M1010" s="18" t="inlineStr"/>
      <c r="N1010" s="7" t="inlineStr">
        <is>
          <t>5ef511d995b23cf86db6480496aa5004e367e98a</t>
        </is>
      </c>
      <c r="O1010" s="14" t="n">
        <v>46171</v>
      </c>
      <c r="P1010" s="7" t="inlineStr">
        <is>
          <t>jobspy</t>
        </is>
      </c>
      <c r="Q1010" s="8" t="inlineStr">
        <is>
          <t>python</t>
        </is>
      </c>
      <c r="R1010" s="8" t="inlineStr">
        <is>
          <t>junior/graduate Junior Python Developer</t>
        </is>
      </c>
      <c r="S1010" s="19" t="n"/>
      <c r="T1010" s="19" t="n"/>
      <c r="U1010" s="14" t="n">
        <v>46191</v>
      </c>
      <c r="V1010" s="7" t="inlineStr">
        <is>
          <t>v2-cv-accuracy-13b988b18da8ea7d</t>
        </is>
      </c>
    </row>
    <row r="1011" ht="28" customHeight="1">
      <c r="A1011" s="12">
        <f>IF($L1011="applied","Applied",IF($L1011="interview","Interview",IF($L1011="offer","Offer",IF($L1011="rejected","Rejected",IF($L1011="ignore","Ignore",IF($L1011="archive","Archive",IF($L1011="closed","Closed",IF($B1011="","Unscored",IF(AND($B1011&gt;=8,OR($H1011="",$H1011-TODAY()&lt;=14)),"P1 Apply",IF($B1011&gt;=7,"P2 Strong",IF($B1011&gt;=5,"P3 Maybe","P4 Low")))))))))))</f>
        <v/>
      </c>
      <c r="B1011" s="13" t="n">
        <v>1.02</v>
      </c>
      <c r="C1011" s="12" t="inlineStr">
        <is>
          <t>Senior/Lead</t>
        </is>
      </c>
      <c r="D1011" s="8" t="inlineStr">
        <is>
          <t>Python Engineer - B2B SaaS Fintech</t>
        </is>
      </c>
      <c r="E1011" s="7" t="inlineStr">
        <is>
          <t>Landytech</t>
        </is>
      </c>
      <c r="F1011" s="8" t="inlineStr">
        <is>
          <t>London, England, UK</t>
        </is>
      </c>
      <c r="G1011" s="8" t="n"/>
      <c r="H1011" s="14" t="n"/>
      <c r="I1011" s="15">
        <f>IF($H1011="","",$H1011-TODAY())</f>
        <v/>
      </c>
      <c r="J1011" s="16" t="inlineStr">
        <is>
          <t>Open posting</t>
        </is>
      </c>
      <c r="K1011" s="8" t="inlineStr">
        <is>
          <t>filtered by keyword pre-scan</t>
        </is>
      </c>
      <c r="L1011" s="17" t="inlineStr">
        <is>
          <t>new</t>
        </is>
      </c>
      <c r="M1011" s="18" t="inlineStr"/>
      <c r="N1011" s="7" t="inlineStr">
        <is>
          <t>d90b9afc4654aa4b647e6cbf5b7f92937e9223ff</t>
        </is>
      </c>
      <c r="O1011" s="14" t="n"/>
      <c r="P1011" s="7" t="inlineStr">
        <is>
          <t>jobspy</t>
        </is>
      </c>
      <c r="Q1011" s="8" t="inlineStr">
        <is>
          <t>python</t>
        </is>
      </c>
      <c r="R1011" s="8" t="inlineStr">
        <is>
          <t>junior/graduate Junior Python Developer</t>
        </is>
      </c>
      <c r="S1011" s="19" t="n"/>
      <c r="T1011" s="19" t="n"/>
      <c r="U1011" s="14" t="n">
        <v>46191</v>
      </c>
      <c r="V1011" s="7" t="inlineStr">
        <is>
          <t>v2-cv-accuracy-13b988b18da8ea7d</t>
        </is>
      </c>
    </row>
    <row r="1012" ht="28" customHeight="1">
      <c r="A1012" s="12">
        <f>IF($L1012="applied","Applied",IF($L1012="interview","Interview",IF($L1012="offer","Offer",IF($L1012="rejected","Rejected",IF($L1012="ignore","Ignore",IF($L1012="archive","Archive",IF($L1012="closed","Closed",IF($B1012="","Unscored",IF(AND($B1012&gt;=8,OR($H1012="",$H1012-TODAY()&lt;=14)),"P1 Apply",IF($B1012&gt;=7,"P2 Strong",IF($B1012&gt;=5,"P3 Maybe","P4 Low")))))))))))</f>
        <v/>
      </c>
      <c r="B1012" s="13" t="n">
        <v>1.02</v>
      </c>
      <c r="C1012" s="12" t="inlineStr">
        <is>
          <t>Unspecified</t>
        </is>
      </c>
      <c r="D1012" s="8" t="inlineStr">
        <is>
          <t>Full Stack Developer</t>
        </is>
      </c>
      <c r="E1012" s="7" t="inlineStr">
        <is>
          <t>Insignis</t>
        </is>
      </c>
      <c r="F1012" s="8" t="inlineStr">
        <is>
          <t>London, England, UK</t>
        </is>
      </c>
      <c r="G1012" s="8" t="n"/>
      <c r="H1012" s="14" t="n"/>
      <c r="I1012" s="15">
        <f>IF($H1012="","",$H1012-TODAY())</f>
        <v/>
      </c>
      <c r="J1012" s="16" t="inlineStr">
        <is>
          <t>Open posting</t>
        </is>
      </c>
      <c r="K1012" s="8" t="inlineStr">
        <is>
          <t>filtered by keyword pre-scan</t>
        </is>
      </c>
      <c r="L1012" s="17" t="inlineStr">
        <is>
          <t>new</t>
        </is>
      </c>
      <c r="M1012" s="18" t="inlineStr"/>
      <c r="N1012" s="7" t="inlineStr">
        <is>
          <t>0ed153622bd6ac3f3ba257ec74c37c52cd3b54fd</t>
        </is>
      </c>
      <c r="O1012" s="14" t="n">
        <v>46164</v>
      </c>
      <c r="P1012" s="7" t="inlineStr">
        <is>
          <t>jobspy</t>
        </is>
      </c>
      <c r="Q1012" s="8" t="inlineStr">
        <is>
          <t>sql</t>
        </is>
      </c>
      <c r="R1012" s="8" t="inlineStr">
        <is>
          <t>Junior Python Developer remote</t>
        </is>
      </c>
      <c r="S1012" s="19" t="n"/>
      <c r="T1012" s="19" t="n"/>
      <c r="U1012" s="14" t="n">
        <v>46191</v>
      </c>
      <c r="V1012" s="7" t="inlineStr">
        <is>
          <t>v2-cv-accuracy-13b988b18da8ea7d</t>
        </is>
      </c>
    </row>
    <row r="1013" ht="28" customHeight="1">
      <c r="A1013" s="12">
        <f>IF($L1013="applied","Applied",IF($L1013="interview","Interview",IF($L1013="offer","Offer",IF($L1013="rejected","Rejected",IF($L1013="ignore","Ignore",IF($L1013="archive","Archive",IF($L1013="closed","Closed",IF($B1013="","Unscored",IF(AND($B1013&gt;=8,OR($H1013="",$H1013-TODAY()&lt;=14)),"P1 Apply",IF($B1013&gt;=7,"P2 Strong",IF($B1013&gt;=5,"P3 Maybe","P4 Low")))))))))))</f>
        <v/>
      </c>
      <c r="B1013" s="13" t="n">
        <v>1.02</v>
      </c>
      <c r="C1013" s="12" t="inlineStr">
        <is>
          <t>Junior</t>
        </is>
      </c>
      <c r="D1013" s="8" t="inlineStr">
        <is>
          <t>JavaScript Developer</t>
        </is>
      </c>
      <c r="E1013" s="7" t="inlineStr">
        <is>
          <t>Cambridge Intelligence</t>
        </is>
      </c>
      <c r="F1013" s="8" t="inlineStr">
        <is>
          <t>Cambridge, England, UK</t>
        </is>
      </c>
      <c r="G1013" s="8" t="n"/>
      <c r="H1013" s="14" t="n"/>
      <c r="I1013" s="15">
        <f>IF($H1013="","",$H1013-TODAY())</f>
        <v/>
      </c>
      <c r="J1013" s="16" t="inlineStr">
        <is>
          <t>Open posting</t>
        </is>
      </c>
      <c r="K1013" s="8" t="inlineStr">
        <is>
          <t>filtered by keyword pre-scan</t>
        </is>
      </c>
      <c r="L1013" s="17" t="inlineStr">
        <is>
          <t>new</t>
        </is>
      </c>
      <c r="M1013" s="18" t="inlineStr"/>
      <c r="N1013" s="7" t="inlineStr">
        <is>
          <t>2281730072d915bb135c68127607708d270bf507</t>
        </is>
      </c>
      <c r="O1013" s="14" t="n"/>
      <c r="P1013" s="7" t="inlineStr">
        <is>
          <t>jobspy</t>
        </is>
      </c>
      <c r="Q1013" s="8" t="inlineStr">
        <is>
          <t>javascript</t>
        </is>
      </c>
      <c r="R1013" s="8" t="inlineStr">
        <is>
          <t>junior Full Stack Developer</t>
        </is>
      </c>
      <c r="S1013" s="19" t="n"/>
      <c r="T1013" s="19" t="n"/>
      <c r="U1013" s="14" t="n">
        <v>46191</v>
      </c>
      <c r="V1013" s="7" t="inlineStr">
        <is>
          <t>v2-cv-accuracy-13b988b18da8ea7d</t>
        </is>
      </c>
    </row>
    <row r="1014" ht="28" customHeight="1">
      <c r="A1014" s="12">
        <f>IF($L1014="applied","Applied",IF($L1014="interview","Interview",IF($L1014="offer","Offer",IF($L1014="rejected","Rejected",IF($L1014="ignore","Ignore",IF($L1014="archive","Archive",IF($L1014="closed","Closed",IF($B1014="","Unscored",IF(AND($B1014&gt;=8,OR($H1014="",$H1014-TODAY()&lt;=14)),"P1 Apply",IF($B1014&gt;=7,"P2 Strong",IF($B1014&gt;=5,"P3 Maybe","P4 Low")))))))))))</f>
        <v/>
      </c>
      <c r="B1014" s="13" t="n">
        <v>1.02</v>
      </c>
      <c r="C1014" s="12" t="inlineStr">
        <is>
          <t>Graduate/Entry</t>
        </is>
      </c>
      <c r="D1014" s="8" t="inlineStr">
        <is>
          <t>Graduate Software Developer</t>
        </is>
      </c>
      <c r="E1014" s="7" t="inlineStr">
        <is>
          <t>TPP</t>
        </is>
      </c>
      <c r="F1014" s="8" t="inlineStr">
        <is>
          <t>Horsforth, England, UK</t>
        </is>
      </c>
      <c r="G1014" s="8" t="n"/>
      <c r="H1014" s="14" t="n"/>
      <c r="I1014" s="15">
        <f>IF($H1014="","",$H1014-TODAY())</f>
        <v/>
      </c>
      <c r="J1014" s="16" t="inlineStr">
        <is>
          <t>Open posting</t>
        </is>
      </c>
      <c r="K1014" s="8" t="inlineStr">
        <is>
          <t>filtered by keyword pre-scan</t>
        </is>
      </c>
      <c r="L1014" s="17" t="inlineStr">
        <is>
          <t>new</t>
        </is>
      </c>
      <c r="M1014" s="18" t="inlineStr"/>
      <c r="N1014" s="7" t="inlineStr">
        <is>
          <t>b26cd29c7f01175d29933228f6185e8aa0980ab9</t>
        </is>
      </c>
      <c r="O1014" s="14" t="n"/>
      <c r="P1014" s="7" t="inlineStr">
        <is>
          <t>jobspy</t>
        </is>
      </c>
      <c r="Q1014" s="8" t="inlineStr">
        <is>
          <t>git</t>
        </is>
      </c>
      <c r="R1014" s="8" t="inlineStr">
        <is>
          <t>graduate Graduate Software Developer</t>
        </is>
      </c>
      <c r="S1014" s="19" t="n"/>
      <c r="T1014" s="19" t="n"/>
      <c r="U1014" s="14" t="n">
        <v>46191</v>
      </c>
      <c r="V1014" s="7" t="inlineStr">
        <is>
          <t>v2-cv-accuracy-13b988b18da8ea7d</t>
        </is>
      </c>
    </row>
    <row r="1015" ht="28" customHeight="1">
      <c r="A1015" s="12">
        <f>IF($L1015="applied","Applied",IF($L1015="interview","Interview",IF($L1015="offer","Offer",IF($L1015="rejected","Rejected",IF($L1015="ignore","Ignore",IF($L1015="archive","Archive",IF($L1015="closed","Closed",IF($B1015="","Unscored",IF(AND($B1015&gt;=8,OR($H1015="",$H1015-TODAY()&lt;=14)),"P1 Apply",IF($B1015&gt;=7,"P2 Strong",IF($B1015&gt;=5,"P3 Maybe","P4 Low")))))))))))</f>
        <v/>
      </c>
      <c r="B1015" s="13" t="n">
        <v>1</v>
      </c>
      <c r="C1015" s="12" t="inlineStr">
        <is>
          <t>Junior</t>
        </is>
      </c>
      <c r="D1015" s="8" t="inlineStr">
        <is>
          <t>AWS Cloud Full Stack Engineer - eSC or eDV Clearance required</t>
        </is>
      </c>
      <c r="E1015" s="7" t="inlineStr">
        <is>
          <t>IBM</t>
        </is>
      </c>
      <c r="F1015" s="8" t="inlineStr">
        <is>
          <t>Leicester, England, UK</t>
        </is>
      </c>
      <c r="G1015" s="8" t="n"/>
      <c r="H1015" s="14" t="n"/>
      <c r="I1015" s="15">
        <f>IF($H1015="","",$H1015-TODAY())</f>
        <v/>
      </c>
      <c r="J1015" s="16" t="inlineStr">
        <is>
          <t>Open posting</t>
        </is>
      </c>
      <c r="K1015" s="8" t="inlineStr">
        <is>
          <t>Requires active eSC or eDV clearance which is an explicit description_excludes trigger; candidate cannot meet this hard requirement.</t>
        </is>
      </c>
      <c r="L1015" s="17" t="inlineStr">
        <is>
          <t>new</t>
        </is>
      </c>
      <c r="M1015" s="18" t="inlineStr"/>
      <c r="N1015" s="7" t="inlineStr">
        <is>
          <t>00c6ec4df5794cdc9e5a4c15a1c2dc3c701a17c2</t>
        </is>
      </c>
      <c r="O1015" s="14" t="n">
        <v>46191</v>
      </c>
      <c r="P1015" s="7" t="inlineStr">
        <is>
          <t>jobspy</t>
        </is>
      </c>
      <c r="Q1015" s="8" t="inlineStr">
        <is>
          <t>Docker, Kubernetes, Python</t>
        </is>
      </c>
      <c r="R1015" s="8" t="inlineStr">
        <is>
          <t>Junior Python Developer backend Docker Kubernetes</t>
        </is>
      </c>
      <c r="S1015" s="19" t="n"/>
      <c r="T1015" s="19" t="n"/>
      <c r="U1015" s="14" t="n">
        <v>46197</v>
      </c>
      <c r="V1015" s="7" t="inlineStr">
        <is>
          <t>v2-cv-accuracy-13b988b18da8ea7d</t>
        </is>
      </c>
    </row>
    <row r="1016" ht="28" customHeight="1">
      <c r="A1016" s="12">
        <f>IF($L1016="applied","Applied",IF($L1016="interview","Interview",IF($L1016="offer","Offer",IF($L1016="rejected","Rejected",IF($L1016="ignore","Ignore",IF($L1016="archive","Archive",IF($L1016="closed","Closed",IF($B1016="","Unscored",IF(AND($B1016&gt;=8,OR($H1016="",$H1016-TODAY()&lt;=14)),"P1 Apply",IF($B1016&gt;=7,"P2 Strong",IF($B1016&gt;=5,"P3 Maybe","P4 Low")))))))))))</f>
        <v/>
      </c>
      <c r="B1016" s="13" t="n">
        <v>1</v>
      </c>
      <c r="C1016" s="12" t="inlineStr">
        <is>
          <t>Junior</t>
        </is>
      </c>
      <c r="D1016" s="8" t="inlineStr">
        <is>
          <t>Back End Developer</t>
        </is>
      </c>
      <c r="E1016" s="7" t="inlineStr">
        <is>
          <t>Allegis Global Solutions</t>
        </is>
      </c>
      <c r="F1016" s="8" t="inlineStr">
        <is>
          <t>London Area, United Kingdom</t>
        </is>
      </c>
      <c r="G1016" s="8" t="n"/>
      <c r="H1016" s="14" t="n"/>
      <c r="I1016" s="15">
        <f>IF($H1016="","",$H1016-TODAY())</f>
        <v/>
      </c>
      <c r="J1016" s="16" t="inlineStr">
        <is>
          <t>Open posting</t>
        </is>
      </c>
      <c r="K1016" s="8" t="inlineStr">
        <is>
          <t>Requires 7+ years, Java expertise, and financial markets domain; none present in profile and title is Senior.</t>
        </is>
      </c>
      <c r="L1016" s="17" t="inlineStr">
        <is>
          <t>new</t>
        </is>
      </c>
      <c r="M1016" s="18" t="inlineStr"/>
      <c r="N1016" s="7" t="inlineStr">
        <is>
          <t>3295575c0e9effcc9352846fcb28e41744ed8bb4</t>
        </is>
      </c>
      <c r="O1016" s="14" t="n">
        <v>46175</v>
      </c>
      <c r="P1016" s="7" t="inlineStr">
        <is>
          <t>jobspy</t>
        </is>
      </c>
      <c r="Q1016" s="8" t="inlineStr">
        <is>
          <t>Docker, Kubernetes</t>
        </is>
      </c>
      <c r="R1016" s="8" t="inlineStr">
        <is>
          <t>Junior Python Developer backend Docker Kubernetes</t>
        </is>
      </c>
      <c r="S1016" s="19" t="n"/>
      <c r="T1016" s="19" t="n"/>
      <c r="U1016" s="14" t="n">
        <v>46196</v>
      </c>
      <c r="V1016" s="7" t="inlineStr">
        <is>
          <t>v2-cv-accuracy-13b988b18da8ea7d</t>
        </is>
      </c>
    </row>
    <row r="1017" ht="28" customHeight="1">
      <c r="A1017" s="12">
        <f>IF($L1017="applied","Applied",IF($L1017="interview","Interview",IF($L1017="offer","Offer",IF($L1017="rejected","Rejected",IF($L1017="ignore","Ignore",IF($L1017="archive","Archive",IF($L1017="closed","Closed",IF($B1017="","Unscored",IF(AND($B1017&gt;=8,OR($H1017="",$H1017-TODAY()&lt;=14)),"P1 Apply",IF($B1017&gt;=7,"P2 Strong",IF($B1017&gt;=5,"P3 Maybe","P4 Low")))))))))))</f>
        <v/>
      </c>
      <c r="B1017" s="13" t="n">
        <v>1</v>
      </c>
      <c r="C1017" s="12" t="inlineStr">
        <is>
          <t>Junior</t>
        </is>
      </c>
      <c r="D1017" s="8" t="inlineStr">
        <is>
          <t>DevOps Engineer</t>
        </is>
      </c>
      <c r="E1017" s="7" t="inlineStr">
        <is>
          <t>Gemba Advantage</t>
        </is>
      </c>
      <c r="F1017" s="8" t="inlineStr">
        <is>
          <t>Cheltenham, England, UK</t>
        </is>
      </c>
      <c r="G1017" s="8" t="n"/>
      <c r="H1017" s="14" t="n"/>
      <c r="I1017" s="15">
        <f>IF($H1017="","",$H1017-TODAY())</f>
        <v/>
      </c>
      <c r="J1017" s="16" t="inlineStr">
        <is>
          <t>Open posting</t>
        </is>
      </c>
      <c r="K1017" s="8" t="inlineStr">
        <is>
          <t>JD explicitly requires active SC or DV clearance, a hard description_excludes trigger; candidate has no clearance.</t>
        </is>
      </c>
      <c r="L1017" s="17" t="inlineStr">
        <is>
          <t>new</t>
        </is>
      </c>
      <c r="M1017" s="18" t="inlineStr"/>
      <c r="N1017" s="7" t="inlineStr">
        <is>
          <t>a01acb4addceeeb6dcb3734eb2378d95aaeb39ff</t>
        </is>
      </c>
      <c r="O1017" s="14" t="n">
        <v>46191</v>
      </c>
      <c r="P1017" s="7" t="inlineStr">
        <is>
          <t>jobspy</t>
        </is>
      </c>
      <c r="Q1017" s="8" t="inlineStr">
        <is>
          <t>Docker, Kubernetes, Git, Python, CI/CD</t>
        </is>
      </c>
      <c r="R1017" s="8" t="inlineStr">
        <is>
          <t>Graduate DevOps Engineer Docker Kubernetes Python</t>
        </is>
      </c>
      <c r="S1017" s="19" t="n"/>
      <c r="T1017" s="19" t="n"/>
      <c r="U1017" s="14" t="n">
        <v>46192</v>
      </c>
      <c r="V1017" s="7" t="inlineStr">
        <is>
          <t>v2-cv-accuracy-13b988b18da8ea7d</t>
        </is>
      </c>
    </row>
    <row r="1018" ht="28" customHeight="1">
      <c r="A1018" s="12">
        <f>IF($L1018="applied","Applied",IF($L1018="interview","Interview",IF($L1018="offer","Offer",IF($L1018="rejected","Rejected",IF($L1018="ignore","Ignore",IF($L1018="archive","Archive",IF($L1018="closed","Closed",IF($B1018="","Unscored",IF(AND($B1018&gt;=8,OR($H1018="",$H1018-TODAY()&lt;=14)),"P1 Apply",IF($B1018&gt;=7,"P2 Strong",IF($B1018&gt;=5,"P3 Maybe","P4 Low")))))))))))</f>
        <v/>
      </c>
      <c r="B1018" s="13" t="n">
        <v>1</v>
      </c>
      <c r="C1018" s="12" t="inlineStr">
        <is>
          <t>Junior</t>
        </is>
      </c>
      <c r="D1018" s="8" t="inlineStr">
        <is>
          <t>DevOps Engineer</t>
        </is>
      </c>
      <c r="E1018" s="7" t="inlineStr">
        <is>
          <t>Gemba Advantage</t>
        </is>
      </c>
      <c r="F1018" s="8" t="inlineStr">
        <is>
          <t>Manchester, England, UK</t>
        </is>
      </c>
      <c r="G1018" s="8" t="n"/>
      <c r="H1018" s="14" t="n"/>
      <c r="I1018" s="15">
        <f>IF($H1018="","",$H1018-TODAY())</f>
        <v/>
      </c>
      <c r="J1018" s="16" t="inlineStr">
        <is>
          <t>Open posting</t>
        </is>
      </c>
      <c r="K1018" s="8" t="inlineStr">
        <is>
          <t>JD explicitly requires active SC or DV clearance, a hard description_excludes trigger; candidate has no clearance.</t>
        </is>
      </c>
      <c r="L1018" s="17" t="inlineStr">
        <is>
          <t>new</t>
        </is>
      </c>
      <c r="M1018" s="18" t="inlineStr"/>
      <c r="N1018" s="7" t="inlineStr">
        <is>
          <t>501a914e9057757dc924f68bf215ba8e0366fc41</t>
        </is>
      </c>
      <c r="O1018" s="14" t="n">
        <v>46164</v>
      </c>
      <c r="P1018" s="7" t="inlineStr">
        <is>
          <t>jobspy</t>
        </is>
      </c>
      <c r="Q1018" s="8" t="inlineStr">
        <is>
          <t>Docker, Kubernetes, Git, Python, CI/CD</t>
        </is>
      </c>
      <c r="R1018" s="8" t="inlineStr">
        <is>
          <t>Graduate DevOps Engineer Docker Kubernetes Python</t>
        </is>
      </c>
      <c r="S1018" s="19" t="n"/>
      <c r="T1018" s="19" t="n"/>
      <c r="U1018" s="14" t="n">
        <v>46192</v>
      </c>
      <c r="V1018" s="7" t="inlineStr">
        <is>
          <t>v2-cv-accuracy-13b988b18da8ea7d</t>
        </is>
      </c>
    </row>
    <row r="1019" ht="28" customHeight="1">
      <c r="A1019" s="12">
        <f>IF($L1019="applied","Applied",IF($L1019="interview","Interview",IF($L1019="offer","Offer",IF($L1019="rejected","Rejected",IF($L1019="ignore","Ignore",IF($L1019="archive","Archive",IF($L1019="closed","Closed",IF($B1019="","Unscored",IF(AND($B1019&gt;=8,OR($H1019="",$H1019-TODAY()&lt;=14)),"P1 Apply",IF($B1019&gt;=7,"P2 Strong",IF($B1019&gt;=5,"P3 Maybe","P4 Low")))))))))))</f>
        <v/>
      </c>
      <c r="B1019" s="13" t="n">
        <v>1</v>
      </c>
      <c r="C1019" s="12" t="inlineStr">
        <is>
          <t>Junior</t>
        </is>
      </c>
      <c r="D1019" s="8" t="inlineStr">
        <is>
          <t>DevOps Engineer</t>
        </is>
      </c>
      <c r="E1019" s="7" t="inlineStr">
        <is>
          <t>Capgemini</t>
        </is>
      </c>
      <c r="F1019" s="8" t="inlineStr">
        <is>
          <t>Manchester Area, United Kingdom</t>
        </is>
      </c>
      <c r="G1019" s="8" t="n"/>
      <c r="H1019" s="14" t="n"/>
      <c r="I1019" s="15">
        <f>IF($H1019="","",$H1019-TODAY())</f>
        <v/>
      </c>
      <c r="J1019" s="16" t="inlineStr">
        <is>
          <t>Open posting</t>
        </is>
      </c>
      <c r="K1019" s="8" t="inlineStr">
        <is>
          <t>Role explicitly requires 8+ years and senior/lead responsibilities, both hard disqualifications against the candidate's profile.</t>
        </is>
      </c>
      <c r="L1019" s="17" t="inlineStr">
        <is>
          <t>new</t>
        </is>
      </c>
      <c r="M1019" s="18" t="inlineStr"/>
      <c r="N1019" s="7" t="inlineStr">
        <is>
          <t>96db199b0d246831e1b8c067a4462e62ae46b1b0</t>
        </is>
      </c>
      <c r="O1019" s="14" t="n">
        <v>46175</v>
      </c>
      <c r="P1019" s="7" t="inlineStr">
        <is>
          <t>jobspy</t>
        </is>
      </c>
      <c r="Q1019" s="8" t="inlineStr">
        <is>
          <t>Docker, Kubernetes, Python</t>
        </is>
      </c>
      <c r="R1019" s="8" t="inlineStr">
        <is>
          <t>Graduate DevOps Engineer Docker Kubernetes Git</t>
        </is>
      </c>
      <c r="S1019" s="19" t="n"/>
      <c r="T1019" s="19" t="n"/>
      <c r="U1019" s="14" t="n">
        <v>46192</v>
      </c>
      <c r="V1019" s="7" t="inlineStr">
        <is>
          <t>v2-cv-accuracy-13b988b18da8ea7d</t>
        </is>
      </c>
    </row>
    <row r="1020" ht="28" customHeight="1">
      <c r="A1020" s="12">
        <f>IF($L1020="applied","Applied",IF($L1020="interview","Interview",IF($L1020="offer","Offer",IF($L1020="rejected","Rejected",IF($L1020="ignore","Ignore",IF($L1020="archive","Archive",IF($L1020="closed","Closed",IF($B1020="","Unscored",IF(AND($B1020&gt;=8,OR($H1020="",$H1020-TODAY()&lt;=14)),"P1 Apply",IF($B1020&gt;=7,"P2 Strong",IF($B1020&gt;=5,"P3 Maybe","P4 Low")))))))))))</f>
        <v/>
      </c>
      <c r="B1020" s="13" t="n">
        <v>1</v>
      </c>
      <c r="C1020" s="12" t="inlineStr">
        <is>
          <t>Senior/Lead</t>
        </is>
      </c>
      <c r="D1020" s="8" t="inlineStr">
        <is>
          <t>Senior DDR &amp; Execution Validation Engineer</t>
        </is>
      </c>
      <c r="E1020" s="7" t="inlineStr">
        <is>
          <t>Graphcore</t>
        </is>
      </c>
      <c r="F1020" s="8" t="inlineStr">
        <is>
          <t>Bengaluru, India</t>
        </is>
      </c>
      <c r="G1020" s="8" t="n"/>
      <c r="H1020" s="14" t="n"/>
      <c r="I1020" s="15">
        <f>IF($H1020="","",$H1020-TODAY())</f>
        <v/>
      </c>
      <c r="J1020" s="16" t="inlineStr">
        <is>
          <t>Open posting</t>
        </is>
      </c>
      <c r="K1020" s="8" t="inlineStr">
        <is>
          <t>filtered by keyword pre-scan</t>
        </is>
      </c>
      <c r="L1020" s="17" t="inlineStr">
        <is>
          <t>new</t>
        </is>
      </c>
      <c r="M1020" s="18" t="inlineStr"/>
      <c r="N1020" s="7" t="inlineStr">
        <is>
          <t>3d0d2023ba1e7ab40ba9dfe7fca42e356e173a85</t>
        </is>
      </c>
      <c r="O1020" s="14" t="n">
        <v>46190</v>
      </c>
      <c r="P1020" s="7" t="inlineStr">
        <is>
          <t>greenhouse:graphcore</t>
        </is>
      </c>
      <c r="Q1020" s="8" t="inlineStr"/>
      <c r="R1020" s="8" t="n"/>
      <c r="S1020" s="19" t="n"/>
      <c r="T1020" s="19" t="n"/>
      <c r="U1020" s="14" t="n">
        <v>46190</v>
      </c>
      <c r="V1020" s="7" t="inlineStr">
        <is>
          <t>v1-db41edab064373dd</t>
        </is>
      </c>
    </row>
    <row r="1021" ht="28" customHeight="1">
      <c r="A1021" s="12">
        <f>IF($L1021="applied","Applied",IF($L1021="interview","Interview",IF($L1021="offer","Offer",IF($L1021="rejected","Rejected",IF($L1021="ignore","Ignore",IF($L1021="archive","Archive",IF($L1021="closed","Closed",IF($B1021="","Unscored",IF(AND($B1021&gt;=8,OR($H1021="",$H1021-TODAY()&lt;=14)),"P1 Apply",IF($B1021&gt;=7,"P2 Strong",IF($B1021&gt;=5,"P3 Maybe","P4 Low")))))))))))</f>
        <v/>
      </c>
      <c r="B1021" s="13" t="n">
        <v>1</v>
      </c>
      <c r="C1021" s="12" t="inlineStr">
        <is>
          <t>Senior/Lead</t>
        </is>
      </c>
      <c r="D1021" s="8" t="inlineStr">
        <is>
          <t>Senior Debug Validation Engineer</t>
        </is>
      </c>
      <c r="E1021" s="7" t="inlineStr">
        <is>
          <t>Graphcore</t>
        </is>
      </c>
      <c r="F1021" s="8" t="inlineStr">
        <is>
          <t>Bengaluru, India</t>
        </is>
      </c>
      <c r="G1021" s="8" t="n"/>
      <c r="H1021" s="14" t="n"/>
      <c r="I1021" s="15">
        <f>IF($H1021="","",$H1021-TODAY())</f>
        <v/>
      </c>
      <c r="J1021" s="16" t="inlineStr">
        <is>
          <t>Open posting</t>
        </is>
      </c>
      <c r="K1021" s="8" t="inlineStr">
        <is>
          <t>filtered by keyword pre-scan</t>
        </is>
      </c>
      <c r="L1021" s="17" t="inlineStr">
        <is>
          <t>new</t>
        </is>
      </c>
      <c r="M1021" s="18" t="inlineStr"/>
      <c r="N1021" s="7" t="inlineStr">
        <is>
          <t>72252c1c6c1b45a1093528cb941f5309d3c88fb0</t>
        </is>
      </c>
      <c r="O1021" s="14" t="n">
        <v>46190</v>
      </c>
      <c r="P1021" s="7" t="inlineStr">
        <is>
          <t>greenhouse:graphcore</t>
        </is>
      </c>
      <c r="Q1021" s="8" t="inlineStr"/>
      <c r="R1021" s="8" t="n"/>
      <c r="S1021" s="19" t="n"/>
      <c r="T1021" s="19" t="n"/>
      <c r="U1021" s="14" t="n">
        <v>46190</v>
      </c>
      <c r="V1021" s="7" t="inlineStr">
        <is>
          <t>v1-db41edab064373dd</t>
        </is>
      </c>
    </row>
    <row r="1022" ht="28" customHeight="1">
      <c r="A1022" s="12">
        <f>IF($L1022="applied","Applied",IF($L1022="interview","Interview",IF($L1022="offer","Offer",IF($L1022="rejected","Rejected",IF($L1022="ignore","Ignore",IF($L1022="archive","Archive",IF($L1022="closed","Closed",IF($B1022="","Unscored",IF(AND($B1022&gt;=8,OR($H1022="",$H1022-TODAY()&lt;=14)),"P1 Apply",IF($B1022&gt;=7,"P2 Strong",IF($B1022&gt;=5,"P3 Maybe","P4 Low")))))))))))</f>
        <v/>
      </c>
      <c r="B1022" s="13" t="n">
        <v>1</v>
      </c>
      <c r="C1022" s="12" t="inlineStr">
        <is>
          <t>Senior/Lead</t>
        </is>
      </c>
      <c r="D1022" s="8" t="inlineStr">
        <is>
          <t>Senior ALU Design Engineer</t>
        </is>
      </c>
      <c r="E1022" s="7" t="inlineStr">
        <is>
          <t>SiFive</t>
        </is>
      </c>
      <c r="F1022" s="8" t="inlineStr">
        <is>
          <t>Cambridge, England, United Kingdom</t>
        </is>
      </c>
      <c r="G1022" s="8" t="n"/>
      <c r="H1022" s="14" t="n"/>
      <c r="I1022" s="15">
        <f>IF($H1022="","",$H1022-TODAY())</f>
        <v/>
      </c>
      <c r="J1022" s="16" t="inlineStr">
        <is>
          <t>Open posting</t>
        </is>
      </c>
      <c r="K1022" s="8" t="inlineStr">
        <is>
          <t>filtered by keyword pre-scan</t>
        </is>
      </c>
      <c r="L1022" s="17" t="inlineStr">
        <is>
          <t>new</t>
        </is>
      </c>
      <c r="M1022" s="18" t="inlineStr"/>
      <c r="N1022" s="7" t="inlineStr">
        <is>
          <t>30e4b7aa43f91a55a2eb2a46591193cbfc2aa587</t>
        </is>
      </c>
      <c r="O1022" s="14" t="n"/>
      <c r="P1022" s="7" t="inlineStr">
        <is>
          <t>workday</t>
        </is>
      </c>
      <c r="Q1022" s="8" t="inlineStr"/>
      <c r="R1022" s="8" t="n"/>
      <c r="S1022" s="19" t="n"/>
      <c r="T1022" s="19" t="n"/>
      <c r="U1022" s="14" t="n">
        <v>46190</v>
      </c>
      <c r="V1022" s="7" t="inlineStr">
        <is>
          <t>v1-db41edab064373dd</t>
        </is>
      </c>
    </row>
    <row r="1023" ht="28" customHeight="1">
      <c r="A1023" s="12">
        <f>IF($L1023="applied","Applied",IF($L1023="interview","Interview",IF($L1023="offer","Offer",IF($L1023="rejected","Rejected",IF($L1023="ignore","Ignore",IF($L1023="archive","Archive",IF($L1023="closed","Closed",IF($B1023="","Unscored",IF(AND($B1023&gt;=8,OR($H1023="",$H1023-TODAY()&lt;=14)),"P1 Apply",IF($B1023&gt;=7,"P2 Strong",IF($B1023&gt;=5,"P3 Maybe","P4 Low")))))))))))</f>
        <v/>
      </c>
      <c r="B1023" s="13" t="n">
        <v>1</v>
      </c>
      <c r="C1023" s="12" t="inlineStr">
        <is>
          <t>Unspecified</t>
        </is>
      </c>
      <c r="D1023" s="8" t="inlineStr">
        <is>
          <t>Store Leader</t>
        </is>
      </c>
      <c r="E1023" s="7" t="inlineStr">
        <is>
          <t>Dyson</t>
        </is>
      </c>
      <c r="F1023" s="8" t="inlineStr">
        <is>
          <t>Germany - Hamburg Mönckeberg Strasse Demo Store</t>
        </is>
      </c>
      <c r="G1023" s="8" t="n"/>
      <c r="H1023" s="14" t="n"/>
      <c r="I1023" s="15">
        <f>IF($H1023="","",$H1023-TODAY())</f>
        <v/>
      </c>
      <c r="J1023" s="16" t="inlineStr">
        <is>
          <t>Open posting</t>
        </is>
      </c>
      <c r="K1023" s="8" t="inlineStr">
        <is>
          <t>filtered by keyword pre-scan</t>
        </is>
      </c>
      <c r="L1023" s="17" t="inlineStr">
        <is>
          <t>new</t>
        </is>
      </c>
      <c r="M1023" s="18" t="inlineStr"/>
      <c r="N1023" s="7" t="inlineStr">
        <is>
          <t>0387c793a4d955a949287bebaa107f3829044652</t>
        </is>
      </c>
      <c r="O1023" s="14" t="n"/>
      <c r="P1023" s="7" t="inlineStr">
        <is>
          <t>workday</t>
        </is>
      </c>
      <c r="Q1023" s="8" t="inlineStr"/>
      <c r="R1023" s="8" t="n"/>
      <c r="S1023" s="19" t="n"/>
      <c r="T1023" s="19" t="n"/>
      <c r="U1023" s="14" t="n">
        <v>46190</v>
      </c>
      <c r="V1023" s="7" t="inlineStr">
        <is>
          <t>v1-db41edab064373dd</t>
        </is>
      </c>
    </row>
    <row r="1024" ht="28" customHeight="1">
      <c r="A1024" s="12">
        <f>IF($L1024="applied","Applied",IF($L1024="interview","Interview",IF($L1024="offer","Offer",IF($L1024="rejected","Rejected",IF($L1024="ignore","Ignore",IF($L1024="archive","Archive",IF($L1024="closed","Closed",IF($B1024="","Unscored",IF(AND($B1024&gt;=8,OR($H1024="",$H1024-TODAY()&lt;=14)),"P1 Apply",IF($B1024&gt;=7,"P2 Strong",IF($B1024&gt;=5,"P3 Maybe","P4 Low")))))))))))</f>
        <v/>
      </c>
      <c r="B1024" s="13" t="n">
        <v>1</v>
      </c>
      <c r="C1024" s="12" t="inlineStr">
        <is>
          <t>Senior/Lead</t>
        </is>
      </c>
      <c r="D1024" s="8" t="inlineStr">
        <is>
          <t>Head of HR , Philippines</t>
        </is>
      </c>
      <c r="E1024" s="7" t="inlineStr">
        <is>
          <t>Dyson</t>
        </is>
      </c>
      <c r="F1024" s="8" t="inlineStr">
        <is>
          <t>Philippines - Advanced Manufacturing Office</t>
        </is>
      </c>
      <c r="G1024" s="8" t="n"/>
      <c r="H1024" s="14" t="n"/>
      <c r="I1024" s="15">
        <f>IF($H1024="","",$H1024-TODAY())</f>
        <v/>
      </c>
      <c r="J1024" s="16" t="inlineStr">
        <is>
          <t>Open posting</t>
        </is>
      </c>
      <c r="K1024" s="8" t="inlineStr">
        <is>
          <t>filtered by keyword pre-scan</t>
        </is>
      </c>
      <c r="L1024" s="17" t="inlineStr">
        <is>
          <t>new</t>
        </is>
      </c>
      <c r="M1024" s="18" t="inlineStr"/>
      <c r="N1024" s="7" t="inlineStr">
        <is>
          <t>f4a55f5296fe46bc5b94c14b03938f7e7118a47a</t>
        </is>
      </c>
      <c r="O1024" s="14" t="n"/>
      <c r="P1024" s="7" t="inlineStr">
        <is>
          <t>workday</t>
        </is>
      </c>
      <c r="Q1024" s="8" t="inlineStr"/>
      <c r="R1024" s="8" t="n"/>
      <c r="S1024" s="19" t="n"/>
      <c r="T1024" s="19" t="n"/>
      <c r="U1024" s="14" t="n">
        <v>46190</v>
      </c>
      <c r="V1024" s="7" t="inlineStr">
        <is>
          <t>v1-db41edab064373dd</t>
        </is>
      </c>
    </row>
    <row r="1025" ht="28" customHeight="1">
      <c r="A1025" s="12">
        <f>IF($L1025="applied","Applied",IF($L1025="interview","Interview",IF($L1025="offer","Offer",IF($L1025="rejected","Rejected",IF($L1025="ignore","Ignore",IF($L1025="archive","Archive",IF($L1025="closed","Closed",IF($B1025="","Unscored",IF(AND($B1025&gt;=8,OR($H1025="",$H1025-TODAY()&lt;=14)),"P1 Apply",IF($B1025&gt;=7,"P2 Strong",IF($B1025&gt;=5,"P3 Maybe","P4 Low")))))))))))</f>
        <v/>
      </c>
      <c r="B1025" s="13" t="n">
        <v>1</v>
      </c>
      <c r="C1025" s="12" t="inlineStr">
        <is>
          <t>Senior/Lead</t>
        </is>
      </c>
      <c r="D1025" s="8" t="inlineStr">
        <is>
          <t>Senior Security Officer-2</t>
        </is>
      </c>
      <c r="E1025" s="7" t="inlineStr">
        <is>
          <t>Dyson</t>
        </is>
      </c>
      <c r="F1025" s="8" t="inlineStr">
        <is>
          <t>Singapore - St James Power Station Headquarters</t>
        </is>
      </c>
      <c r="G1025" s="8" t="n"/>
      <c r="H1025" s="14" t="n"/>
      <c r="I1025" s="15">
        <f>IF($H1025="","",$H1025-TODAY())</f>
        <v/>
      </c>
      <c r="J1025" s="16" t="inlineStr">
        <is>
          <t>Open posting</t>
        </is>
      </c>
      <c r="K1025" s="8" t="inlineStr">
        <is>
          <t>filtered by keyword pre-scan</t>
        </is>
      </c>
      <c r="L1025" s="17" t="inlineStr">
        <is>
          <t>new</t>
        </is>
      </c>
      <c r="M1025" s="18" t="inlineStr"/>
      <c r="N1025" s="7" t="inlineStr">
        <is>
          <t>d6ed2165278b68d5ecd771adb6ba67179cde127b</t>
        </is>
      </c>
      <c r="O1025" s="14" t="n"/>
      <c r="P1025" s="7" t="inlineStr">
        <is>
          <t>workday</t>
        </is>
      </c>
      <c r="Q1025" s="8" t="inlineStr"/>
      <c r="R1025" s="8" t="n"/>
      <c r="S1025" s="19" t="n"/>
      <c r="T1025" s="19" t="n"/>
      <c r="U1025" s="14" t="n">
        <v>46190</v>
      </c>
      <c r="V1025" s="7" t="inlineStr">
        <is>
          <t>v1-db41edab064373dd</t>
        </is>
      </c>
    </row>
    <row r="1026" ht="28" customHeight="1">
      <c r="A1026" s="12">
        <f>IF($L1026="applied","Applied",IF($L1026="interview","Interview",IF($L1026="offer","Offer",IF($L1026="rejected","Rejected",IF($L1026="ignore","Ignore",IF($L1026="archive","Archive",IF($L1026="closed","Closed",IF($B1026="","Unscored",IF(AND($B1026&gt;=8,OR($H1026="",$H1026-TODAY()&lt;=14)),"P1 Apply",IF($B1026&gt;=7,"P2 Strong",IF($B1026&gt;=5,"P3 Maybe","P4 Low")))))))))))</f>
        <v/>
      </c>
      <c r="B1026" s="13" t="n">
        <v>1</v>
      </c>
      <c r="C1026" s="12" t="inlineStr">
        <is>
          <t>Senior/Lead</t>
        </is>
      </c>
      <c r="D1026" s="8" t="inlineStr">
        <is>
          <t>Senior Amazon Manager</t>
        </is>
      </c>
      <c r="E1026" s="7" t="inlineStr">
        <is>
          <t>Dyson</t>
        </is>
      </c>
      <c r="F1026" s="8" t="inlineStr">
        <is>
          <t>Netherlands - Amsterdam Office</t>
        </is>
      </c>
      <c r="G1026" s="8" t="n"/>
      <c r="H1026" s="14" t="n"/>
      <c r="I1026" s="15">
        <f>IF($H1026="","",$H1026-TODAY())</f>
        <v/>
      </c>
      <c r="J1026" s="16" t="inlineStr">
        <is>
          <t>Open posting</t>
        </is>
      </c>
      <c r="K1026" s="8" t="inlineStr">
        <is>
          <t>filtered by keyword pre-scan</t>
        </is>
      </c>
      <c r="L1026" s="17" t="inlineStr">
        <is>
          <t>new</t>
        </is>
      </c>
      <c r="M1026" s="18" t="inlineStr"/>
      <c r="N1026" s="7" t="inlineStr">
        <is>
          <t>c6acfeae28b0c20188d011643f88baef913d5023</t>
        </is>
      </c>
      <c r="O1026" s="14" t="n"/>
      <c r="P1026" s="7" t="inlineStr">
        <is>
          <t>workday</t>
        </is>
      </c>
      <c r="Q1026" s="8" t="inlineStr"/>
      <c r="R1026" s="8" t="n"/>
      <c r="S1026" s="19" t="n"/>
      <c r="T1026" s="19" t="n"/>
      <c r="U1026" s="14" t="n">
        <v>46190</v>
      </c>
      <c r="V1026" s="7" t="inlineStr">
        <is>
          <t>v1-db41edab064373dd</t>
        </is>
      </c>
    </row>
    <row r="1027" ht="28" customHeight="1">
      <c r="A1027" s="12">
        <f>IF($L1027="applied","Applied",IF($L1027="interview","Interview",IF($L1027="offer","Offer",IF($L1027="rejected","Rejected",IF($L1027="ignore","Ignore",IF($L1027="archive","Archive",IF($L1027="closed","Closed",IF($B1027="","Unscored",IF(AND($B1027&gt;=8,OR($H1027="",$H1027-TODAY()&lt;=14)),"P1 Apply",IF($B1027&gt;=7,"P2 Strong",IF($B1027&gt;=5,"P3 Maybe","P4 Low")))))))))))</f>
        <v/>
      </c>
      <c r="B1027" s="13" t="n">
        <v>1</v>
      </c>
      <c r="C1027" s="12" t="inlineStr">
        <is>
          <t>Senior/Lead</t>
        </is>
      </c>
      <c r="D1027" s="8" t="inlineStr">
        <is>
          <t>AI SoC Validation / Bring-up Lead</t>
        </is>
      </c>
      <c r="E1027" s="7" t="inlineStr">
        <is>
          <t>Graphcore</t>
        </is>
      </c>
      <c r="F1027" s="8" t="inlineStr">
        <is>
          <t>Bristol, UK; Cambridge, UK</t>
        </is>
      </c>
      <c r="G1027" s="8" t="n"/>
      <c r="H1027" s="14" t="n"/>
      <c r="I1027" s="15">
        <f>IF($H1027="","",$H1027-TODAY())</f>
        <v/>
      </c>
      <c r="J1027" s="16" t="inlineStr">
        <is>
          <t>Open posting</t>
        </is>
      </c>
      <c r="K1027" s="8" t="inlineStr">
        <is>
          <t>filtered by keyword pre-scan</t>
        </is>
      </c>
      <c r="L1027" s="17" t="inlineStr">
        <is>
          <t>new</t>
        </is>
      </c>
      <c r="M1027" s="18" t="inlineStr"/>
      <c r="N1027" s="7" t="inlineStr">
        <is>
          <t>3f1b171f43b8b6487545873fed0d5fb06ea329b7</t>
        </is>
      </c>
      <c r="O1027" s="14" t="n">
        <v>46189</v>
      </c>
      <c r="P1027" s="7" t="inlineStr">
        <is>
          <t>greenhouse:graphcore</t>
        </is>
      </c>
      <c r="Q1027" s="8" t="inlineStr"/>
      <c r="R1027" s="8" t="n"/>
      <c r="S1027" s="19" t="n"/>
      <c r="T1027" s="19" t="n"/>
      <c r="U1027" s="14" t="n">
        <v>46189</v>
      </c>
      <c r="V1027" s="7" t="inlineStr">
        <is>
          <t>v1-db41edab064373dd</t>
        </is>
      </c>
    </row>
    <row r="1028" ht="28" customHeight="1">
      <c r="A1028" s="12">
        <f>IF($L1028="applied","Applied",IF($L1028="interview","Interview",IF($L1028="offer","Offer",IF($L1028="rejected","Rejected",IF($L1028="ignore","Ignore",IF($L1028="archive","Archive",IF($L1028="closed","Closed",IF($B1028="","Unscored",IF(AND($B1028&gt;=8,OR($H1028="",$H1028-TODAY()&lt;=14)),"P1 Apply",IF($B1028&gt;=7,"P2 Strong",IF($B1028&gt;=5,"P3 Maybe","P4 Low")))))))))))</f>
        <v/>
      </c>
      <c r="B1028" s="13" t="n">
        <v>1</v>
      </c>
      <c r="C1028" s="12" t="inlineStr">
        <is>
          <t>Senior/Lead</t>
        </is>
      </c>
      <c r="D1028" s="8" t="inlineStr">
        <is>
          <t>Business Transformation Lead</t>
        </is>
      </c>
      <c r="E1028" s="7" t="inlineStr">
        <is>
          <t>Graphcore</t>
        </is>
      </c>
      <c r="F1028" s="8" t="inlineStr">
        <is>
          <t>Bristol, UK; Cambridge, UK; London, UK</t>
        </is>
      </c>
      <c r="G1028" s="8" t="n"/>
      <c r="H1028" s="14" t="n"/>
      <c r="I1028" s="15">
        <f>IF($H1028="","",$H1028-TODAY())</f>
        <v/>
      </c>
      <c r="J1028" s="16" t="inlineStr">
        <is>
          <t>Open posting</t>
        </is>
      </c>
      <c r="K1028" s="8" t="inlineStr">
        <is>
          <t>filtered by keyword pre-scan</t>
        </is>
      </c>
      <c r="L1028" s="17" t="inlineStr">
        <is>
          <t>new</t>
        </is>
      </c>
      <c r="M1028" s="18" t="inlineStr"/>
      <c r="N1028" s="7" t="inlineStr">
        <is>
          <t>01da1481d0b7692074d45202fed09c98279560e1</t>
        </is>
      </c>
      <c r="O1028" s="14" t="n">
        <v>46189</v>
      </c>
      <c r="P1028" s="7" t="inlineStr">
        <is>
          <t>greenhouse:graphcore</t>
        </is>
      </c>
      <c r="Q1028" s="8" t="inlineStr"/>
      <c r="R1028" s="8" t="n"/>
      <c r="S1028" s="19" t="n"/>
      <c r="T1028" s="19" t="n"/>
      <c r="U1028" s="14" t="n">
        <v>46189</v>
      </c>
      <c r="V1028" s="7" t="inlineStr">
        <is>
          <t>v1-db41edab064373dd</t>
        </is>
      </c>
    </row>
    <row r="1029" ht="28" customHeight="1">
      <c r="A1029" s="12">
        <f>IF($L1029="applied","Applied",IF($L1029="interview","Interview",IF($L1029="offer","Offer",IF($L1029="rejected","Rejected",IF($L1029="ignore","Ignore",IF($L1029="archive","Archive",IF($L1029="closed","Closed",IF($B1029="","Unscored",IF(AND($B1029&gt;=8,OR($H1029="",$H1029-TODAY()&lt;=14)),"P1 Apply",IF($B1029&gt;=7,"P2 Strong",IF($B1029&gt;=5,"P3 Maybe","P4 Low")))))))))))</f>
        <v/>
      </c>
      <c r="B1029" s="13" t="n">
        <v>1</v>
      </c>
      <c r="C1029" s="12" t="inlineStr">
        <is>
          <t>Senior/Lead</t>
        </is>
      </c>
      <c r="D1029" s="8" t="inlineStr">
        <is>
          <t>Director Of Product Engineering</t>
        </is>
      </c>
      <c r="E1029" s="7" t="inlineStr">
        <is>
          <t>Graphcore</t>
        </is>
      </c>
      <c r="F1029" s="8" t="inlineStr">
        <is>
          <t>Bristol, UK</t>
        </is>
      </c>
      <c r="G1029" s="8" t="n"/>
      <c r="H1029" s="14" t="n"/>
      <c r="I1029" s="15">
        <f>IF($H1029="","",$H1029-TODAY())</f>
        <v/>
      </c>
      <c r="J1029" s="16" t="inlineStr">
        <is>
          <t>Open posting</t>
        </is>
      </c>
      <c r="K1029" s="8" t="inlineStr">
        <is>
          <t>filtered by keyword pre-scan</t>
        </is>
      </c>
      <c r="L1029" s="17" t="inlineStr">
        <is>
          <t>new</t>
        </is>
      </c>
      <c r="M1029" s="18" t="inlineStr"/>
      <c r="N1029" s="7" t="inlineStr">
        <is>
          <t>fd1a6370c022a08063d71655ce5f726ba87d40ea</t>
        </is>
      </c>
      <c r="O1029" s="14" t="n">
        <v>46189</v>
      </c>
      <c r="P1029" s="7" t="inlineStr">
        <is>
          <t>greenhouse:graphcore</t>
        </is>
      </c>
      <c r="Q1029" s="8" t="inlineStr"/>
      <c r="R1029" s="8" t="n"/>
      <c r="S1029" s="19" t="n"/>
      <c r="T1029" s="19" t="n"/>
      <c r="U1029" s="14" t="n">
        <v>46189</v>
      </c>
      <c r="V1029" s="7" t="inlineStr">
        <is>
          <t>v1-db41edab064373dd</t>
        </is>
      </c>
    </row>
    <row r="1030" ht="28" customHeight="1">
      <c r="A1030" s="12">
        <f>IF($L1030="applied","Applied",IF($L1030="interview","Interview",IF($L1030="offer","Offer",IF($L1030="rejected","Rejected",IF($L1030="ignore","Ignore",IF($L1030="archive","Archive",IF($L1030="closed","Closed",IF($B1030="","Unscored",IF(AND($B1030&gt;=8,OR($H1030="",$H1030-TODAY()&lt;=14)),"P1 Apply",IF($B1030&gt;=7,"P2 Strong",IF($B1030&gt;=5,"P3 Maybe","P4 Low")))))))))))</f>
        <v/>
      </c>
      <c r="B1030" s="13" t="n">
        <v>1</v>
      </c>
      <c r="C1030" s="12" t="inlineStr">
        <is>
          <t>Senior/Lead</t>
        </is>
      </c>
      <c r="D1030" s="8" t="inlineStr">
        <is>
          <t>Director of Software Architecture</t>
        </is>
      </c>
      <c r="E1030" s="7" t="inlineStr">
        <is>
          <t>Graphcore</t>
        </is>
      </c>
      <c r="F1030" s="8" t="inlineStr">
        <is>
          <t>Bristol, UK</t>
        </is>
      </c>
      <c r="G1030" s="8" t="n"/>
      <c r="H1030" s="14" t="n"/>
      <c r="I1030" s="15">
        <f>IF($H1030="","",$H1030-TODAY())</f>
        <v/>
      </c>
      <c r="J1030" s="16" t="inlineStr">
        <is>
          <t>Open posting</t>
        </is>
      </c>
      <c r="K1030" s="8" t="inlineStr">
        <is>
          <t>filtered by keyword pre-scan</t>
        </is>
      </c>
      <c r="L1030" s="17" t="inlineStr">
        <is>
          <t>new</t>
        </is>
      </c>
      <c r="M1030" s="18" t="inlineStr"/>
      <c r="N1030" s="7" t="inlineStr">
        <is>
          <t>59ae0b25c4eb1edab5588e7170ea788b2d19cfd7</t>
        </is>
      </c>
      <c r="O1030" s="14" t="n">
        <v>46189</v>
      </c>
      <c r="P1030" s="7" t="inlineStr">
        <is>
          <t>greenhouse:graphcore</t>
        </is>
      </c>
      <c r="Q1030" s="8" t="inlineStr"/>
      <c r="R1030" s="8" t="n"/>
      <c r="S1030" s="19" t="n"/>
      <c r="T1030" s="19" t="n"/>
      <c r="U1030" s="14" t="n">
        <v>46189</v>
      </c>
      <c r="V1030" s="7" t="inlineStr">
        <is>
          <t>v1-db41edab064373dd</t>
        </is>
      </c>
    </row>
    <row r="1031" ht="28" customHeight="1">
      <c r="A1031" s="12">
        <f>IF($L1031="applied","Applied",IF($L1031="interview","Interview",IF($L1031="offer","Offer",IF($L1031="rejected","Rejected",IF($L1031="ignore","Ignore",IF($L1031="archive","Archive",IF($L1031="closed","Closed",IF($B1031="","Unscored",IF(AND($B1031&gt;=8,OR($H1031="",$H1031-TODAY()&lt;=14)),"P1 Apply",IF($B1031&gt;=7,"P2 Strong",IF($B1031&gt;=5,"P3 Maybe","P4 Low")))))))))))</f>
        <v/>
      </c>
      <c r="B1031" s="13" t="n">
        <v>1</v>
      </c>
      <c r="C1031" s="12" t="inlineStr">
        <is>
          <t>Senior/Lead</t>
        </is>
      </c>
      <c r="D1031" s="8" t="inlineStr">
        <is>
          <t>Director / Senior Principal AI SoC Validation (Bring-up lead)</t>
        </is>
      </c>
      <c r="E1031" s="7" t="inlineStr">
        <is>
          <t>Graphcore</t>
        </is>
      </c>
      <c r="F1031" s="8" t="inlineStr">
        <is>
          <t>Bengaluru, India</t>
        </is>
      </c>
      <c r="G1031" s="8" t="n"/>
      <c r="H1031" s="14" t="n"/>
      <c r="I1031" s="15">
        <f>IF($H1031="","",$H1031-TODAY())</f>
        <v/>
      </c>
      <c r="J1031" s="16" t="inlineStr">
        <is>
          <t>Open posting</t>
        </is>
      </c>
      <c r="K1031" s="8" t="inlineStr">
        <is>
          <t>filtered by keyword pre-scan</t>
        </is>
      </c>
      <c r="L1031" s="17" t="inlineStr">
        <is>
          <t>new</t>
        </is>
      </c>
      <c r="M1031" s="18" t="inlineStr"/>
      <c r="N1031" s="7" t="inlineStr">
        <is>
          <t>8e94644ca96c983e6b1c28b5c9d2457eaf9181bb</t>
        </is>
      </c>
      <c r="O1031" s="14" t="n">
        <v>46189</v>
      </c>
      <c r="P1031" s="7" t="inlineStr">
        <is>
          <t>greenhouse:graphcore</t>
        </is>
      </c>
      <c r="Q1031" s="8" t="inlineStr"/>
      <c r="R1031" s="8" t="n"/>
      <c r="S1031" s="19" t="n"/>
      <c r="T1031" s="19" t="n"/>
      <c r="U1031" s="14" t="n">
        <v>46189</v>
      </c>
      <c r="V1031" s="7" t="inlineStr">
        <is>
          <t>v1-db41edab064373dd</t>
        </is>
      </c>
    </row>
    <row r="1032" ht="28" customHeight="1">
      <c r="A1032" s="12">
        <f>IF($L1032="applied","Applied",IF($L1032="interview","Interview",IF($L1032="offer","Offer",IF($L1032="rejected","Rejected",IF($L1032="ignore","Ignore",IF($L1032="archive","Archive",IF($L1032="closed","Closed",IF($B1032="","Unscored",IF(AND($B1032&gt;=8,OR($H1032="",$H1032-TODAY()&lt;=14)),"P1 Apply",IF($B1032&gt;=7,"P2 Strong",IF($B1032&gt;=5,"P3 Maybe","P4 Low")))))))))))</f>
        <v/>
      </c>
      <c r="B1032" s="13" t="n">
        <v>1</v>
      </c>
      <c r="C1032" s="12" t="inlineStr">
        <is>
          <t>Senior/Lead</t>
        </is>
      </c>
      <c r="D1032" s="8" t="inlineStr">
        <is>
          <t>Director, Silicon Logical Design</t>
        </is>
      </c>
      <c r="E1032" s="7" t="inlineStr">
        <is>
          <t>Graphcore</t>
        </is>
      </c>
      <c r="F1032" s="8" t="inlineStr">
        <is>
          <t>Bristol, UK; Cambridge, UK</t>
        </is>
      </c>
      <c r="G1032" s="8" t="n"/>
      <c r="H1032" s="14" t="n"/>
      <c r="I1032" s="15">
        <f>IF($H1032="","",$H1032-TODAY())</f>
        <v/>
      </c>
      <c r="J1032" s="16" t="inlineStr">
        <is>
          <t>Open posting</t>
        </is>
      </c>
      <c r="K1032" s="8" t="inlineStr">
        <is>
          <t>filtered by keyword pre-scan</t>
        </is>
      </c>
      <c r="L1032" s="17" t="inlineStr">
        <is>
          <t>new</t>
        </is>
      </c>
      <c r="M1032" s="18" t="inlineStr"/>
      <c r="N1032" s="7" t="inlineStr">
        <is>
          <t>c340f555c1ecb1077fd43471622eee84cdf7162d</t>
        </is>
      </c>
      <c r="O1032" s="14" t="n">
        <v>46189</v>
      </c>
      <c r="P1032" s="7" t="inlineStr">
        <is>
          <t>greenhouse:graphcore</t>
        </is>
      </c>
      <c r="Q1032" s="8" t="inlineStr"/>
      <c r="R1032" s="8" t="n"/>
      <c r="S1032" s="19" t="n"/>
      <c r="T1032" s="19" t="n"/>
      <c r="U1032" s="14" t="n">
        <v>46189</v>
      </c>
      <c r="V1032" s="7" t="inlineStr">
        <is>
          <t>v1-db41edab064373dd</t>
        </is>
      </c>
    </row>
    <row r="1033" ht="28" customHeight="1">
      <c r="A1033" s="12">
        <f>IF($L1033="applied","Applied",IF($L1033="interview","Interview",IF($L1033="offer","Offer",IF($L1033="rejected","Rejected",IF($L1033="ignore","Ignore",IF($L1033="archive","Archive",IF($L1033="closed","Closed",IF($B1033="","Unscored",IF(AND($B1033&gt;=8,OR($H1033="",$H1033-TODAY()&lt;=14)),"P1 Apply",IF($B1033&gt;=7,"P2 Strong",IF($B1033&gt;=5,"P3 Maybe","P4 Low")))))))))))</f>
        <v/>
      </c>
      <c r="B1033" s="13" t="n">
        <v>1</v>
      </c>
      <c r="C1033" s="12" t="inlineStr">
        <is>
          <t>Senior/Lead</t>
        </is>
      </c>
      <c r="D1033" s="8" t="inlineStr">
        <is>
          <t>Director, Silicon Verification</t>
        </is>
      </c>
      <c r="E1033" s="7" t="inlineStr">
        <is>
          <t>Graphcore</t>
        </is>
      </c>
      <c r="F1033" s="8" t="inlineStr">
        <is>
          <t>Bristol, UK</t>
        </is>
      </c>
      <c r="G1033" s="8" t="n"/>
      <c r="H1033" s="14" t="n"/>
      <c r="I1033" s="15">
        <f>IF($H1033="","",$H1033-TODAY())</f>
        <v/>
      </c>
      <c r="J1033" s="16" t="inlineStr">
        <is>
          <t>Open posting</t>
        </is>
      </c>
      <c r="K1033" s="8" t="inlineStr">
        <is>
          <t>filtered by keyword pre-scan</t>
        </is>
      </c>
      <c r="L1033" s="17" t="inlineStr">
        <is>
          <t>new</t>
        </is>
      </c>
      <c r="M1033" s="18" t="inlineStr"/>
      <c r="N1033" s="7" t="inlineStr">
        <is>
          <t>b2846fa7f571c6fd8baa7d5876264294bb61a452</t>
        </is>
      </c>
      <c r="O1033" s="14" t="n">
        <v>46189</v>
      </c>
      <c r="P1033" s="7" t="inlineStr">
        <is>
          <t>greenhouse:graphcore</t>
        </is>
      </c>
      <c r="Q1033" s="8" t="inlineStr"/>
      <c r="R1033" s="8" t="n"/>
      <c r="S1033" s="19" t="n"/>
      <c r="T1033" s="19" t="n"/>
      <c r="U1033" s="14" t="n">
        <v>46189</v>
      </c>
      <c r="V1033" s="7" t="inlineStr">
        <is>
          <t>v1-db41edab064373dd</t>
        </is>
      </c>
    </row>
    <row r="1034" ht="28" customHeight="1">
      <c r="A1034" s="12">
        <f>IF($L1034="applied","Applied",IF($L1034="interview","Interview",IF($L1034="offer","Offer",IF($L1034="rejected","Rejected",IF($L1034="ignore","Ignore",IF($L1034="archive","Archive",IF($L1034="closed","Closed",IF($B1034="","Unscored",IF(AND($B1034&gt;=8,OR($H1034="",$H1034-TODAY()&lt;=14)),"P1 Apply",IF($B1034&gt;=7,"P2 Strong",IF($B1034&gt;=5,"P3 Maybe","P4 Low")))))))))))</f>
        <v/>
      </c>
      <c r="B1034" s="13" t="n">
        <v>1</v>
      </c>
      <c r="C1034" s="12" t="inlineStr">
        <is>
          <t>Senior/Lead</t>
        </is>
      </c>
      <c r="D1034" s="8" t="inlineStr">
        <is>
          <t>Electronics Laboratory Lead</t>
        </is>
      </c>
      <c r="E1034" s="7" t="inlineStr">
        <is>
          <t>Graphcore</t>
        </is>
      </c>
      <c r="F1034" s="8" t="inlineStr">
        <is>
          <t>Bristol, UK</t>
        </is>
      </c>
      <c r="G1034" s="8" t="n"/>
      <c r="H1034" s="14" t="n"/>
      <c r="I1034" s="15">
        <f>IF($H1034="","",$H1034-TODAY())</f>
        <v/>
      </c>
      <c r="J1034" s="16" t="inlineStr">
        <is>
          <t>Open posting</t>
        </is>
      </c>
      <c r="K1034" s="8" t="inlineStr">
        <is>
          <t>filtered by keyword pre-scan</t>
        </is>
      </c>
      <c r="L1034" s="17" t="inlineStr">
        <is>
          <t>new</t>
        </is>
      </c>
      <c r="M1034" s="18" t="inlineStr"/>
      <c r="N1034" s="7" t="inlineStr">
        <is>
          <t>40810c0afd39edbbb8c3111271a903b5101ff7b5</t>
        </is>
      </c>
      <c r="O1034" s="14" t="n">
        <v>46189</v>
      </c>
      <c r="P1034" s="7" t="inlineStr">
        <is>
          <t>greenhouse:graphcore</t>
        </is>
      </c>
      <c r="Q1034" s="8" t="inlineStr"/>
      <c r="R1034" s="8" t="n"/>
      <c r="S1034" s="19" t="n"/>
      <c r="T1034" s="19" t="n"/>
      <c r="U1034" s="14" t="n">
        <v>46189</v>
      </c>
      <c r="V1034" s="7" t="inlineStr">
        <is>
          <t>v1-db41edab064373dd</t>
        </is>
      </c>
    </row>
    <row r="1035" ht="28" customHeight="1">
      <c r="A1035" s="12">
        <f>IF($L1035="applied","Applied",IF($L1035="interview","Interview",IF($L1035="offer","Offer",IF($L1035="rejected","Rejected",IF($L1035="ignore","Ignore",IF($L1035="archive","Archive",IF($L1035="closed","Closed",IF($B1035="","Unscored",IF(AND($B1035&gt;=8,OR($H1035="",$H1035-TODAY()&lt;=14)),"P1 Apply",IF($B1035&gt;=7,"P2 Strong",IF($B1035&gt;=5,"P3 Maybe","P4 Low")))))))))))</f>
        <v/>
      </c>
      <c r="B1035" s="13" t="n">
        <v>1</v>
      </c>
      <c r="C1035" s="12" t="inlineStr">
        <is>
          <t>Senior/Lead</t>
        </is>
      </c>
      <c r="D1035" s="8" t="inlineStr">
        <is>
          <t>Electronics Laboratory Lead</t>
        </is>
      </c>
      <c r="E1035" s="7" t="inlineStr">
        <is>
          <t>Graphcore</t>
        </is>
      </c>
      <c r="F1035" s="8" t="inlineStr">
        <is>
          <t>Hsinchu City, Hsinchu City, Taiwan</t>
        </is>
      </c>
      <c r="G1035" s="8" t="n"/>
      <c r="H1035" s="14" t="n"/>
      <c r="I1035" s="15">
        <f>IF($H1035="","",$H1035-TODAY())</f>
        <v/>
      </c>
      <c r="J1035" s="16" t="inlineStr">
        <is>
          <t>Open posting</t>
        </is>
      </c>
      <c r="K1035" s="8" t="inlineStr">
        <is>
          <t>filtered by keyword pre-scan</t>
        </is>
      </c>
      <c r="L1035" s="17" t="inlineStr">
        <is>
          <t>new</t>
        </is>
      </c>
      <c r="M1035" s="18" t="inlineStr"/>
      <c r="N1035" s="7" t="inlineStr">
        <is>
          <t>bd4086a72de45df82eb5528d2c501e59b3cd43c2</t>
        </is>
      </c>
      <c r="O1035" s="14" t="n">
        <v>46189</v>
      </c>
      <c r="P1035" s="7" t="inlineStr">
        <is>
          <t>greenhouse:graphcore</t>
        </is>
      </c>
      <c r="Q1035" s="8" t="inlineStr"/>
      <c r="R1035" s="8" t="n"/>
      <c r="S1035" s="19" t="n"/>
      <c r="T1035" s="19" t="n"/>
      <c r="U1035" s="14" t="n">
        <v>46189</v>
      </c>
      <c r="V1035" s="7" t="inlineStr">
        <is>
          <t>v1-db41edab064373dd</t>
        </is>
      </c>
    </row>
    <row r="1036" ht="28" customHeight="1">
      <c r="A1036" s="12">
        <f>IF($L1036="applied","Applied",IF($L1036="interview","Interview",IF($L1036="offer","Offer",IF($L1036="rejected","Rejected",IF($L1036="ignore","Ignore",IF($L1036="archive","Archive",IF($L1036="closed","Closed",IF($B1036="","Unscored",IF(AND($B1036&gt;=8,OR($H1036="",$H1036-TODAY()&lt;=14)),"P1 Apply",IF($B1036&gt;=7,"P2 Strong",IF($B1036&gt;=5,"P3 Maybe","P4 Low")))))))))))</f>
        <v/>
      </c>
      <c r="B1036" s="13" t="n">
        <v>1</v>
      </c>
      <c r="C1036" s="12" t="inlineStr">
        <is>
          <t>Senior/Lead</t>
        </is>
      </c>
      <c r="D1036" s="8" t="inlineStr">
        <is>
          <t>Head of Accounting Operations</t>
        </is>
      </c>
      <c r="E1036" s="7" t="inlineStr">
        <is>
          <t>Graphcore</t>
        </is>
      </c>
      <c r="F1036" s="8" t="inlineStr">
        <is>
          <t>Bristol, UK</t>
        </is>
      </c>
      <c r="G1036" s="8" t="n"/>
      <c r="H1036" s="14" t="n"/>
      <c r="I1036" s="15">
        <f>IF($H1036="","",$H1036-TODAY())</f>
        <v/>
      </c>
      <c r="J1036" s="16" t="inlineStr">
        <is>
          <t>Open posting</t>
        </is>
      </c>
      <c r="K1036" s="8" t="inlineStr">
        <is>
          <t>filtered by keyword pre-scan</t>
        </is>
      </c>
      <c r="L1036" s="17" t="inlineStr">
        <is>
          <t>new</t>
        </is>
      </c>
      <c r="M1036" s="18" t="inlineStr"/>
      <c r="N1036" s="7" t="inlineStr">
        <is>
          <t>ccc2255a37cc987490090ec2ea85b5f19c23fae0</t>
        </is>
      </c>
      <c r="O1036" s="14" t="n">
        <v>46189</v>
      </c>
      <c r="P1036" s="7" t="inlineStr">
        <is>
          <t>greenhouse:graphcore</t>
        </is>
      </c>
      <c r="Q1036" s="8" t="inlineStr"/>
      <c r="R1036" s="8" t="n"/>
      <c r="S1036" s="19" t="n"/>
      <c r="T1036" s="19" t="n"/>
      <c r="U1036" s="14" t="n">
        <v>46189</v>
      </c>
      <c r="V1036" s="7" t="inlineStr">
        <is>
          <t>v1-db41edab064373dd</t>
        </is>
      </c>
    </row>
    <row r="1037" ht="28" customHeight="1">
      <c r="A1037" s="12">
        <f>IF($L1037="applied","Applied",IF($L1037="interview","Interview",IF($L1037="offer","Offer",IF($L1037="rejected","Rejected",IF($L1037="ignore","Ignore",IF($L1037="archive","Archive",IF($L1037="closed","Closed",IF($B1037="","Unscored",IF(AND($B1037&gt;=8,OR($H1037="",$H1037-TODAY()&lt;=14)),"P1 Apply",IF($B1037&gt;=7,"P2 Strong",IF($B1037&gt;=5,"P3 Maybe","P4 Low")))))))))))</f>
        <v/>
      </c>
      <c r="B1037" s="13" t="n">
        <v>1</v>
      </c>
      <c r="C1037" s="12" t="inlineStr">
        <is>
          <t>Senior/Lead</t>
        </is>
      </c>
      <c r="D1037" s="8" t="inlineStr">
        <is>
          <t>Head of Financial Planning &amp; Analysis (FP&amp;A)</t>
        </is>
      </c>
      <c r="E1037" s="7" t="inlineStr">
        <is>
          <t>Graphcore</t>
        </is>
      </c>
      <c r="F1037" s="8" t="inlineStr">
        <is>
          <t>Austin, Texas, United States</t>
        </is>
      </c>
      <c r="G1037" s="8" t="n"/>
      <c r="H1037" s="14" t="n"/>
      <c r="I1037" s="15">
        <f>IF($H1037="","",$H1037-TODAY())</f>
        <v/>
      </c>
      <c r="J1037" s="16" t="inlineStr">
        <is>
          <t>Open posting</t>
        </is>
      </c>
      <c r="K1037" s="8" t="inlineStr">
        <is>
          <t>filtered by keyword pre-scan</t>
        </is>
      </c>
      <c r="L1037" s="17" t="inlineStr">
        <is>
          <t>new</t>
        </is>
      </c>
      <c r="M1037" s="18" t="inlineStr"/>
      <c r="N1037" s="7" t="inlineStr">
        <is>
          <t>8dde59e3c75042141ce313aa8abad63c545e62aa</t>
        </is>
      </c>
      <c r="O1037" s="14" t="n">
        <v>46189</v>
      </c>
      <c r="P1037" s="7" t="inlineStr">
        <is>
          <t>greenhouse:graphcore</t>
        </is>
      </c>
      <c r="Q1037" s="8" t="inlineStr"/>
      <c r="R1037" s="8" t="n"/>
      <c r="S1037" s="19" t="n"/>
      <c r="T1037" s="19" t="n"/>
      <c r="U1037" s="14" t="n">
        <v>46189</v>
      </c>
      <c r="V1037" s="7" t="inlineStr">
        <is>
          <t>v1-db41edab064373dd</t>
        </is>
      </c>
    </row>
    <row r="1038" ht="28" customHeight="1">
      <c r="A1038" s="12">
        <f>IF($L1038="applied","Applied",IF($L1038="interview","Interview",IF($L1038="offer","Offer",IF($L1038="rejected","Rejected",IF($L1038="ignore","Ignore",IF($L1038="archive","Archive",IF($L1038="closed","Closed",IF($B1038="","Unscored",IF(AND($B1038&gt;=8,OR($H1038="",$H1038-TODAY()&lt;=14)),"P1 Apply",IF($B1038&gt;=7,"P2 Strong",IF($B1038&gt;=5,"P3 Maybe","P4 Low")))))))))))</f>
        <v/>
      </c>
      <c r="B1038" s="13" t="n">
        <v>1</v>
      </c>
      <c r="C1038" s="12" t="inlineStr">
        <is>
          <t>Senior/Lead</t>
        </is>
      </c>
      <c r="D1038" s="8" t="inlineStr">
        <is>
          <t>IT Director</t>
        </is>
      </c>
      <c r="E1038" s="7" t="inlineStr">
        <is>
          <t>Graphcore</t>
        </is>
      </c>
      <c r="F1038" s="8" t="inlineStr">
        <is>
          <t>Austin, Texas, United States</t>
        </is>
      </c>
      <c r="G1038" s="8" t="n"/>
      <c r="H1038" s="14" t="n"/>
      <c r="I1038" s="15">
        <f>IF($H1038="","",$H1038-TODAY())</f>
        <v/>
      </c>
      <c r="J1038" s="16" t="inlineStr">
        <is>
          <t>Open posting</t>
        </is>
      </c>
      <c r="K1038" s="8" t="inlineStr">
        <is>
          <t>filtered by keyword pre-scan</t>
        </is>
      </c>
      <c r="L1038" s="17" t="inlineStr">
        <is>
          <t>new</t>
        </is>
      </c>
      <c r="M1038" s="18" t="inlineStr"/>
      <c r="N1038" s="7" t="inlineStr">
        <is>
          <t>887eb9ffe9b8c9e0ac34c0cabc0014bdf67408f8</t>
        </is>
      </c>
      <c r="O1038" s="14" t="n">
        <v>46189</v>
      </c>
      <c r="P1038" s="7" t="inlineStr">
        <is>
          <t>greenhouse:graphcore</t>
        </is>
      </c>
      <c r="Q1038" s="8" t="inlineStr"/>
      <c r="R1038" s="8" t="n"/>
      <c r="S1038" s="19" t="n"/>
      <c r="T1038" s="19" t="n"/>
      <c r="U1038" s="14" t="n">
        <v>46189</v>
      </c>
      <c r="V1038" s="7" t="inlineStr">
        <is>
          <t>v1-db41edab064373dd</t>
        </is>
      </c>
    </row>
    <row r="1039" ht="28" customHeight="1">
      <c r="A1039" s="12">
        <f>IF($L1039="applied","Applied",IF($L1039="interview","Interview",IF($L1039="offer","Offer",IF($L1039="rejected","Rejected",IF($L1039="ignore","Ignore",IF($L1039="archive","Archive",IF($L1039="closed","Closed",IF($B1039="","Unscored",IF(AND($B1039&gt;=8,OR($H1039="",$H1039-TODAY()&lt;=14)),"P1 Apply",IF($B1039&gt;=7,"P2 Strong",IF($B1039&gt;=5,"P3 Maybe","P4 Low")))))))))))</f>
        <v/>
      </c>
      <c r="B1039" s="13" t="n">
        <v>1</v>
      </c>
      <c r="C1039" s="12" t="inlineStr">
        <is>
          <t>Senior/Lead</t>
        </is>
      </c>
      <c r="D1039" s="8" t="inlineStr">
        <is>
          <t>Lead Analytics Engineer</t>
        </is>
      </c>
      <c r="E1039" s="7" t="inlineStr">
        <is>
          <t>Graphcore</t>
        </is>
      </c>
      <c r="F1039" s="8" t="inlineStr">
        <is>
          <t>Bristol, UK; Cambridge, UK; London, UK</t>
        </is>
      </c>
      <c r="G1039" s="8" t="n"/>
      <c r="H1039" s="14" t="n"/>
      <c r="I1039" s="15">
        <f>IF($H1039="","",$H1039-TODAY())</f>
        <v/>
      </c>
      <c r="J1039" s="16" t="inlineStr">
        <is>
          <t>Open posting</t>
        </is>
      </c>
      <c r="K1039" s="8" t="inlineStr">
        <is>
          <t>filtered by keyword pre-scan</t>
        </is>
      </c>
      <c r="L1039" s="17" t="inlineStr">
        <is>
          <t>new</t>
        </is>
      </c>
      <c r="M1039" s="18" t="inlineStr"/>
      <c r="N1039" s="7" t="inlineStr">
        <is>
          <t>5f1f0018305ecff4959f813ef3867b338e8d5ef6</t>
        </is>
      </c>
      <c r="O1039" s="14" t="n">
        <v>46189</v>
      </c>
      <c r="P1039" s="7" t="inlineStr">
        <is>
          <t>greenhouse:graphcore</t>
        </is>
      </c>
      <c r="Q1039" s="8" t="inlineStr"/>
      <c r="R1039" s="8" t="n"/>
      <c r="S1039" s="19" t="n"/>
      <c r="T1039" s="19" t="n"/>
      <c r="U1039" s="14" t="n">
        <v>46189</v>
      </c>
      <c r="V1039" s="7" t="inlineStr">
        <is>
          <t>v1-db41edab064373dd</t>
        </is>
      </c>
    </row>
    <row r="1040" ht="28" customHeight="1">
      <c r="A1040" s="12">
        <f>IF($L1040="applied","Applied",IF($L1040="interview","Interview",IF($L1040="offer","Offer",IF($L1040="rejected","Rejected",IF($L1040="ignore","Ignore",IF($L1040="archive","Archive",IF($L1040="closed","Closed",IF($B1040="","Unscored",IF(AND($B1040&gt;=8,OR($H1040="",$H1040-TODAY()&lt;=14)),"P1 Apply",IF($B1040&gt;=7,"P2 Strong",IF($B1040&gt;=5,"P3 Maybe","P4 Low")))))))))))</f>
        <v/>
      </c>
      <c r="B1040" s="13" t="n">
        <v>1</v>
      </c>
      <c r="C1040" s="12" t="inlineStr">
        <is>
          <t>Senior/Lead</t>
        </is>
      </c>
      <c r="D1040" s="8" t="inlineStr">
        <is>
          <t>Lead Atlassian Cloud Platform Engineer</t>
        </is>
      </c>
      <c r="E1040" s="7" t="inlineStr">
        <is>
          <t>Graphcore</t>
        </is>
      </c>
      <c r="F1040" s="8" t="inlineStr">
        <is>
          <t>Bristol, UK</t>
        </is>
      </c>
      <c r="G1040" s="8" t="n"/>
      <c r="H1040" s="14" t="n"/>
      <c r="I1040" s="15">
        <f>IF($H1040="","",$H1040-TODAY())</f>
        <v/>
      </c>
      <c r="J1040" s="16" t="inlineStr">
        <is>
          <t>Open posting</t>
        </is>
      </c>
      <c r="K1040" s="8" t="inlineStr">
        <is>
          <t>filtered by keyword pre-scan</t>
        </is>
      </c>
      <c r="L1040" s="17" t="inlineStr">
        <is>
          <t>new</t>
        </is>
      </c>
      <c r="M1040" s="18" t="inlineStr"/>
      <c r="N1040" s="7" t="inlineStr">
        <is>
          <t>6bbad0d62c26b0a913e89d99aaa07c02c769c192</t>
        </is>
      </c>
      <c r="O1040" s="14" t="n">
        <v>46189</v>
      </c>
      <c r="P1040" s="7" t="inlineStr">
        <is>
          <t>greenhouse:graphcore</t>
        </is>
      </c>
      <c r="Q1040" s="8" t="inlineStr"/>
      <c r="R1040" s="8" t="n"/>
      <c r="S1040" s="19" t="n"/>
      <c r="T1040" s="19" t="n"/>
      <c r="U1040" s="14" t="n">
        <v>46189</v>
      </c>
      <c r="V1040" s="7" t="inlineStr">
        <is>
          <t>v1-db41edab064373dd</t>
        </is>
      </c>
    </row>
    <row r="1041" ht="28" customHeight="1">
      <c r="A1041" s="12">
        <f>IF($L1041="applied","Applied",IF($L1041="interview","Interview",IF($L1041="offer","Offer",IF($L1041="rejected","Rejected",IF($L1041="ignore","Ignore",IF($L1041="archive","Archive",IF($L1041="closed","Closed",IF($B1041="","Unscored",IF(AND($B1041&gt;=8,OR($H1041="",$H1041-TODAY()&lt;=14)),"P1 Apply",IF($B1041&gt;=7,"P2 Strong",IF($B1041&gt;=5,"P3 Maybe","P4 Low")))))))))))</f>
        <v/>
      </c>
      <c r="B1041" s="13" t="n">
        <v>1</v>
      </c>
      <c r="C1041" s="12" t="inlineStr">
        <is>
          <t>Senior/Lead</t>
        </is>
      </c>
      <c r="D1041" s="8" t="inlineStr">
        <is>
          <t>Lead Business Analyst</t>
        </is>
      </c>
      <c r="E1041" s="7" t="inlineStr">
        <is>
          <t>Graphcore</t>
        </is>
      </c>
      <c r="F1041" s="8" t="inlineStr">
        <is>
          <t>Bristol, UK; Cambridge, UK; London, UK</t>
        </is>
      </c>
      <c r="G1041" s="8" t="n"/>
      <c r="H1041" s="14" t="n"/>
      <c r="I1041" s="15">
        <f>IF($H1041="","",$H1041-TODAY())</f>
        <v/>
      </c>
      <c r="J1041" s="16" t="inlineStr">
        <is>
          <t>Open posting</t>
        </is>
      </c>
      <c r="K1041" s="8" t="inlineStr">
        <is>
          <t>filtered by keyword pre-scan</t>
        </is>
      </c>
      <c r="L1041" s="17" t="inlineStr">
        <is>
          <t>new</t>
        </is>
      </c>
      <c r="M1041" s="18" t="inlineStr"/>
      <c r="N1041" s="7" t="inlineStr">
        <is>
          <t>c811a226f61ed408b369da9d114db6680b1d7599</t>
        </is>
      </c>
      <c r="O1041" s="14" t="n">
        <v>46189</v>
      </c>
      <c r="P1041" s="7" t="inlineStr">
        <is>
          <t>greenhouse:graphcore</t>
        </is>
      </c>
      <c r="Q1041" s="8" t="inlineStr"/>
      <c r="R1041" s="8" t="n"/>
      <c r="S1041" s="19" t="n"/>
      <c r="T1041" s="19" t="n"/>
      <c r="U1041" s="14" t="n">
        <v>46189</v>
      </c>
      <c r="V1041" s="7" t="inlineStr">
        <is>
          <t>v1-db41edab064373dd</t>
        </is>
      </c>
    </row>
    <row r="1042" ht="28" customHeight="1">
      <c r="A1042" s="12">
        <f>IF($L1042="applied","Applied",IF($L1042="interview","Interview",IF($L1042="offer","Offer",IF($L1042="rejected","Rejected",IF($L1042="ignore","Ignore",IF($L1042="archive","Archive",IF($L1042="closed","Closed",IF($B1042="","Unscored",IF(AND($B1042&gt;=8,OR($H1042="",$H1042-TODAY()&lt;=14)),"P1 Apply",IF($B1042&gt;=7,"P2 Strong",IF($B1042&gt;=5,"P3 Maybe","P4 Low")))))))))))</f>
        <v/>
      </c>
      <c r="B1042" s="13" t="n">
        <v>1</v>
      </c>
      <c r="C1042" s="12" t="inlineStr">
        <is>
          <t>Senior/Lead</t>
        </is>
      </c>
      <c r="D1042" s="8" t="inlineStr">
        <is>
          <t>Lead Engineering Support Linux Engineer - Bengaluru</t>
        </is>
      </c>
      <c r="E1042" s="7" t="inlineStr">
        <is>
          <t>Graphcore</t>
        </is>
      </c>
      <c r="F1042" s="8" t="inlineStr">
        <is>
          <t>Bengaluru, India</t>
        </is>
      </c>
      <c r="G1042" s="8" t="n"/>
      <c r="H1042" s="14" t="n"/>
      <c r="I1042" s="15">
        <f>IF($H1042="","",$H1042-TODAY())</f>
        <v/>
      </c>
      <c r="J1042" s="16" t="inlineStr">
        <is>
          <t>Open posting</t>
        </is>
      </c>
      <c r="K1042" s="8" t="inlineStr">
        <is>
          <t>filtered by keyword pre-scan</t>
        </is>
      </c>
      <c r="L1042" s="17" t="inlineStr">
        <is>
          <t>new</t>
        </is>
      </c>
      <c r="M1042" s="18" t="inlineStr"/>
      <c r="N1042" s="7" t="inlineStr">
        <is>
          <t>979b937db3fa13d5d51986840f7bc43b87929dea</t>
        </is>
      </c>
      <c r="O1042" s="14" t="n">
        <v>46189</v>
      </c>
      <c r="P1042" s="7" t="inlineStr">
        <is>
          <t>greenhouse:graphcore</t>
        </is>
      </c>
      <c r="Q1042" s="8" t="inlineStr"/>
      <c r="R1042" s="8" t="n"/>
      <c r="S1042" s="19" t="n"/>
      <c r="T1042" s="19" t="n"/>
      <c r="U1042" s="14" t="n">
        <v>46189</v>
      </c>
      <c r="V1042" s="7" t="inlineStr">
        <is>
          <t>v1-db41edab064373dd</t>
        </is>
      </c>
    </row>
    <row r="1043" ht="28" customHeight="1">
      <c r="A1043" s="12">
        <f>IF($L1043="applied","Applied",IF($L1043="interview","Interview",IF($L1043="offer","Offer",IF($L1043="rejected","Rejected",IF($L1043="ignore","Ignore",IF($L1043="archive","Archive",IF($L1043="closed","Closed",IF($B1043="","Unscored",IF(AND($B1043&gt;=8,OR($H1043="",$H1043-TODAY()&lt;=14)),"P1 Apply",IF($B1043&gt;=7,"P2 Strong",IF($B1043&gt;=5,"P3 Maybe","P4 Low")))))))))))</f>
        <v/>
      </c>
      <c r="B1043" s="13" t="n">
        <v>1</v>
      </c>
      <c r="C1043" s="12" t="inlineStr">
        <is>
          <t>Senior/Lead</t>
        </is>
      </c>
      <c r="D1043" s="8" t="inlineStr">
        <is>
          <t>Lead Engineer Support Linux Engineer</t>
        </is>
      </c>
      <c r="E1043" s="7" t="inlineStr">
        <is>
          <t>Graphcore</t>
        </is>
      </c>
      <c r="F1043" s="8" t="inlineStr">
        <is>
          <t>Bristol, UK</t>
        </is>
      </c>
      <c r="G1043" s="8" t="n"/>
      <c r="H1043" s="14" t="n"/>
      <c r="I1043" s="15">
        <f>IF($H1043="","",$H1043-TODAY())</f>
        <v/>
      </c>
      <c r="J1043" s="16" t="inlineStr">
        <is>
          <t>Open posting</t>
        </is>
      </c>
      <c r="K1043" s="8" t="inlineStr">
        <is>
          <t>filtered by keyword pre-scan</t>
        </is>
      </c>
      <c r="L1043" s="17" t="inlineStr">
        <is>
          <t>new</t>
        </is>
      </c>
      <c r="M1043" s="18" t="inlineStr"/>
      <c r="N1043" s="7" t="inlineStr">
        <is>
          <t>3ab598fec61d05df24c5c5ff70e68ee19c91ea4a</t>
        </is>
      </c>
      <c r="O1043" s="14" t="n">
        <v>46189</v>
      </c>
      <c r="P1043" s="7" t="inlineStr">
        <is>
          <t>greenhouse:graphcore</t>
        </is>
      </c>
      <c r="Q1043" s="8" t="inlineStr"/>
      <c r="R1043" s="8" t="n"/>
      <c r="S1043" s="19" t="n"/>
      <c r="T1043" s="19" t="n"/>
      <c r="U1043" s="14" t="n">
        <v>46189</v>
      </c>
      <c r="V1043" s="7" t="inlineStr">
        <is>
          <t>v1-db41edab064373dd</t>
        </is>
      </c>
    </row>
    <row r="1044" ht="28" customHeight="1">
      <c r="A1044" s="12">
        <f>IF($L1044="applied","Applied",IF($L1044="interview","Interview",IF($L1044="offer","Offer",IF($L1044="rejected","Rejected",IF($L1044="ignore","Ignore",IF($L1044="archive","Archive",IF($L1044="closed","Closed",IF($B1044="","Unscored",IF(AND($B1044&gt;=8,OR($H1044="",$H1044-TODAY()&lt;=14)),"P1 Apply",IF($B1044&gt;=7,"P2 Strong",IF($B1044&gt;=5,"P3 Maybe","P4 Low")))))))))))</f>
        <v/>
      </c>
      <c r="B1044" s="13" t="n">
        <v>1</v>
      </c>
      <c r="C1044" s="12" t="inlineStr">
        <is>
          <t>Senior/Lead</t>
        </is>
      </c>
      <c r="D1044" s="8" t="inlineStr">
        <is>
          <t>Lead Lab Support Engineer</t>
        </is>
      </c>
      <c r="E1044" s="7" t="inlineStr">
        <is>
          <t>Graphcore</t>
        </is>
      </c>
      <c r="F1044" s="8" t="inlineStr">
        <is>
          <t>Bristol, UK</t>
        </is>
      </c>
      <c r="G1044" s="8" t="n"/>
      <c r="H1044" s="14" t="n"/>
      <c r="I1044" s="15">
        <f>IF($H1044="","",$H1044-TODAY())</f>
        <v/>
      </c>
      <c r="J1044" s="16" t="inlineStr">
        <is>
          <t>Open posting</t>
        </is>
      </c>
      <c r="K1044" s="8" t="inlineStr">
        <is>
          <t>filtered by keyword pre-scan</t>
        </is>
      </c>
      <c r="L1044" s="17" t="inlineStr">
        <is>
          <t>new</t>
        </is>
      </c>
      <c r="M1044" s="18" t="inlineStr"/>
      <c r="N1044" s="7" t="inlineStr">
        <is>
          <t>20fa31488611dad7fcbacd13621926277a66f292</t>
        </is>
      </c>
      <c r="O1044" s="14" t="n">
        <v>46189</v>
      </c>
      <c r="P1044" s="7" t="inlineStr">
        <is>
          <t>greenhouse:graphcore</t>
        </is>
      </c>
      <c r="Q1044" s="8" t="inlineStr"/>
      <c r="R1044" s="8" t="n"/>
      <c r="S1044" s="19" t="n"/>
      <c r="T1044" s="19" t="n"/>
      <c r="U1044" s="14" t="n">
        <v>46189</v>
      </c>
      <c r="V1044" s="7" t="inlineStr">
        <is>
          <t>v1-db41edab064373dd</t>
        </is>
      </c>
    </row>
    <row r="1045" ht="28" customHeight="1">
      <c r="A1045" s="12">
        <f>IF($L1045="applied","Applied",IF($L1045="interview","Interview",IF($L1045="offer","Offer",IF($L1045="rejected","Rejected",IF($L1045="ignore","Ignore",IF($L1045="archive","Archive",IF($L1045="closed","Closed",IF($B1045="","Unscored",IF(AND($B1045&gt;=8,OR($H1045="",$H1045-TODAY()&lt;=14)),"P1 Apply",IF($B1045&gt;=7,"P2 Strong",IF($B1045&gt;=5,"P3 Maybe","P4 Low")))))))))))</f>
        <v/>
      </c>
      <c r="B1045" s="13" t="n">
        <v>1</v>
      </c>
      <c r="C1045" s="12" t="inlineStr">
        <is>
          <t>Senior/Lead</t>
        </is>
      </c>
      <c r="D1045" s="8" t="inlineStr">
        <is>
          <t>Observability, Staff  Infrastructure Engineer</t>
        </is>
      </c>
      <c r="E1045" s="7" t="inlineStr">
        <is>
          <t>Graphcore</t>
        </is>
      </c>
      <c r="F1045" s="8" t="inlineStr">
        <is>
          <t>Gdańsk, Pomeranian Voivodeship, Poland</t>
        </is>
      </c>
      <c r="G1045" s="8" t="n"/>
      <c r="H1045" s="14" t="n"/>
      <c r="I1045" s="15">
        <f>IF($H1045="","",$H1045-TODAY())</f>
        <v/>
      </c>
      <c r="J1045" s="16" t="inlineStr">
        <is>
          <t>Open posting</t>
        </is>
      </c>
      <c r="K1045" s="8" t="inlineStr">
        <is>
          <t>filtered by keyword pre-scan</t>
        </is>
      </c>
      <c r="L1045" s="17" t="inlineStr">
        <is>
          <t>new</t>
        </is>
      </c>
      <c r="M1045" s="18" t="inlineStr"/>
      <c r="N1045" s="7" t="inlineStr">
        <is>
          <t>d6d863c131327aaeb762941caf5d0c24994a70c0</t>
        </is>
      </c>
      <c r="O1045" s="14" t="n">
        <v>46189</v>
      </c>
      <c r="P1045" s="7" t="inlineStr">
        <is>
          <t>greenhouse:graphcore</t>
        </is>
      </c>
      <c r="Q1045" s="8" t="inlineStr"/>
      <c r="R1045" s="8" t="n"/>
      <c r="S1045" s="19" t="n"/>
      <c r="T1045" s="19" t="n"/>
      <c r="U1045" s="14" t="n">
        <v>46189</v>
      </c>
      <c r="V1045" s="7" t="inlineStr">
        <is>
          <t>v1-db41edab064373dd</t>
        </is>
      </c>
    </row>
    <row r="1046" ht="28" customHeight="1">
      <c r="A1046" s="12">
        <f>IF($L1046="applied","Applied",IF($L1046="interview","Interview",IF($L1046="offer","Offer",IF($L1046="rejected","Rejected",IF($L1046="ignore","Ignore",IF($L1046="archive","Archive",IF($L1046="closed","Closed",IF($B1046="","Unscored",IF(AND($B1046&gt;=8,OR($H1046="",$H1046-TODAY()&lt;=14)),"P1 Apply",IF($B1046&gt;=7,"P2 Strong",IF($B1046&gt;=5,"P3 Maybe","P4 Low")))))))))))</f>
        <v/>
      </c>
      <c r="B1046" s="13" t="n">
        <v>1</v>
      </c>
      <c r="C1046" s="12" t="inlineStr">
        <is>
          <t>Senior/Lead</t>
        </is>
      </c>
      <c r="D1046" s="8" t="inlineStr">
        <is>
          <t>Observability, Staff Telemetry Engineer</t>
        </is>
      </c>
      <c r="E1046" s="7" t="inlineStr">
        <is>
          <t>Graphcore</t>
        </is>
      </c>
      <c r="F1046" s="8" t="inlineStr">
        <is>
          <t>Gdańsk, Pomeranian Voivodeship, Poland</t>
        </is>
      </c>
      <c r="G1046" s="8" t="n"/>
      <c r="H1046" s="14" t="n"/>
      <c r="I1046" s="15">
        <f>IF($H1046="","",$H1046-TODAY())</f>
        <v/>
      </c>
      <c r="J1046" s="16" t="inlineStr">
        <is>
          <t>Open posting</t>
        </is>
      </c>
      <c r="K1046" s="8" t="inlineStr">
        <is>
          <t>filtered by keyword pre-scan</t>
        </is>
      </c>
      <c r="L1046" s="17" t="inlineStr">
        <is>
          <t>new</t>
        </is>
      </c>
      <c r="M1046" s="18" t="inlineStr"/>
      <c r="N1046" s="7" t="inlineStr">
        <is>
          <t>dce394e2e94a732d92c3e8f1ad7411409ec0fd27</t>
        </is>
      </c>
      <c r="O1046" s="14" t="n">
        <v>46189</v>
      </c>
      <c r="P1046" s="7" t="inlineStr">
        <is>
          <t>greenhouse:graphcore</t>
        </is>
      </c>
      <c r="Q1046" s="8" t="inlineStr"/>
      <c r="R1046" s="8" t="n"/>
      <c r="S1046" s="19" t="n"/>
      <c r="T1046" s="19" t="n"/>
      <c r="U1046" s="14" t="n">
        <v>46189</v>
      </c>
      <c r="V1046" s="7" t="inlineStr">
        <is>
          <t>v1-db41edab064373dd</t>
        </is>
      </c>
    </row>
    <row r="1047" ht="28" customHeight="1">
      <c r="A1047" s="12">
        <f>IF($L1047="applied","Applied",IF($L1047="interview","Interview",IF($L1047="offer","Offer",IF($L1047="rejected","Rejected",IF($L1047="ignore","Ignore",IF($L1047="archive","Archive",IF($L1047="closed","Closed",IF($B1047="","Unscored",IF(AND($B1047&gt;=8,OR($H1047="",$H1047-TODAY()&lt;=14)),"P1 Apply",IF($B1047&gt;=7,"P2 Strong",IF($B1047&gt;=5,"P3 Maybe","P4 Low")))))))))))</f>
        <v/>
      </c>
      <c r="B1047" s="13" t="n">
        <v>1</v>
      </c>
      <c r="C1047" s="12" t="inlineStr">
        <is>
          <t>Senior/Lead</t>
        </is>
      </c>
      <c r="D1047" s="8" t="inlineStr">
        <is>
          <t>Principal BMC Firmware Design Engineer</t>
        </is>
      </c>
      <c r="E1047" s="7" t="inlineStr">
        <is>
          <t>Graphcore</t>
        </is>
      </c>
      <c r="F1047" s="8" t="inlineStr">
        <is>
          <t>Austin, Texas, United States</t>
        </is>
      </c>
      <c r="G1047" s="8" t="n"/>
      <c r="H1047" s="14" t="n"/>
      <c r="I1047" s="15">
        <f>IF($H1047="","",$H1047-TODAY())</f>
        <v/>
      </c>
      <c r="J1047" s="16" t="inlineStr">
        <is>
          <t>Open posting</t>
        </is>
      </c>
      <c r="K1047" s="8" t="inlineStr">
        <is>
          <t>filtered by keyword pre-scan</t>
        </is>
      </c>
      <c r="L1047" s="17" t="inlineStr">
        <is>
          <t>new</t>
        </is>
      </c>
      <c r="M1047" s="18" t="inlineStr"/>
      <c r="N1047" s="7" t="inlineStr">
        <is>
          <t>0b92e5903845ea35ac30143fdd7665a3b4ce2f54</t>
        </is>
      </c>
      <c r="O1047" s="14" t="n">
        <v>46189</v>
      </c>
      <c r="P1047" s="7" t="inlineStr">
        <is>
          <t>greenhouse:graphcore</t>
        </is>
      </c>
      <c r="Q1047" s="8" t="inlineStr"/>
      <c r="R1047" s="8" t="n"/>
      <c r="S1047" s="19" t="n"/>
      <c r="T1047" s="19" t="n"/>
      <c r="U1047" s="14" t="n">
        <v>46189</v>
      </c>
      <c r="V1047" s="7" t="inlineStr">
        <is>
          <t>v1-db41edab064373dd</t>
        </is>
      </c>
    </row>
    <row r="1048" ht="28" customHeight="1">
      <c r="A1048" s="12">
        <f>IF($L1048="applied","Applied",IF($L1048="interview","Interview",IF($L1048="offer","Offer",IF($L1048="rejected","Rejected",IF($L1048="ignore","Ignore",IF($L1048="archive","Archive",IF($L1048="closed","Closed",IF($B1048="","Unscored",IF(AND($B1048&gt;=8,OR($H1048="",$H1048-TODAY()&lt;=14)),"P1 Apply",IF($B1048&gt;=7,"P2 Strong",IF($B1048&gt;=5,"P3 Maybe","P4 Low")))))))))))</f>
        <v/>
      </c>
      <c r="B1048" s="13" t="n">
        <v>1</v>
      </c>
      <c r="C1048" s="12" t="inlineStr">
        <is>
          <t>Senior/Lead</t>
        </is>
      </c>
      <c r="D1048" s="8" t="inlineStr">
        <is>
          <t>Principal BMC Firmware Developer</t>
        </is>
      </c>
      <c r="E1048" s="7" t="inlineStr">
        <is>
          <t>Graphcore</t>
        </is>
      </c>
      <c r="F1048" s="8" t="inlineStr">
        <is>
          <t>Austin, Texas, United States</t>
        </is>
      </c>
      <c r="G1048" s="8" t="n"/>
      <c r="H1048" s="14" t="n"/>
      <c r="I1048" s="15">
        <f>IF($H1048="","",$H1048-TODAY())</f>
        <v/>
      </c>
      <c r="J1048" s="16" t="inlineStr">
        <is>
          <t>Open posting</t>
        </is>
      </c>
      <c r="K1048" s="8" t="inlineStr">
        <is>
          <t>filtered by keyword pre-scan</t>
        </is>
      </c>
      <c r="L1048" s="17" t="inlineStr">
        <is>
          <t>new</t>
        </is>
      </c>
      <c r="M1048" s="18" t="inlineStr"/>
      <c r="N1048" s="7" t="inlineStr">
        <is>
          <t>1841fb7e36d727dc9e31bbd826faba917b049ec1</t>
        </is>
      </c>
      <c r="O1048" s="14" t="n">
        <v>46189</v>
      </c>
      <c r="P1048" s="7" t="inlineStr">
        <is>
          <t>greenhouse:graphcore</t>
        </is>
      </c>
      <c r="Q1048" s="8" t="inlineStr"/>
      <c r="R1048" s="8" t="n"/>
      <c r="S1048" s="19" t="n"/>
      <c r="T1048" s="19" t="n"/>
      <c r="U1048" s="14" t="n">
        <v>46189</v>
      </c>
      <c r="V1048" s="7" t="inlineStr">
        <is>
          <t>v1-db41edab064373dd</t>
        </is>
      </c>
    </row>
    <row r="1049" ht="28" customHeight="1">
      <c r="A1049" s="12">
        <f>IF($L1049="applied","Applied",IF($L1049="interview","Interview",IF($L1049="offer","Offer",IF($L1049="rejected","Rejected",IF($L1049="ignore","Ignore",IF($L1049="archive","Archive",IF($L1049="closed","Closed",IF($B1049="","Unscored",IF(AND($B1049&gt;=8,OR($H1049="",$H1049-TODAY()&lt;=14)),"P1 Apply",IF($B1049&gt;=7,"P2 Strong",IF($B1049&gt;=5,"P3 Maybe","P4 Low")))))))))))</f>
        <v/>
      </c>
      <c r="B1049" s="13" t="n">
        <v>1</v>
      </c>
      <c r="C1049" s="12" t="inlineStr">
        <is>
          <t>Senior/Lead</t>
        </is>
      </c>
      <c r="D1049" s="8" t="inlineStr">
        <is>
          <t>Principal Data Engineer</t>
        </is>
      </c>
      <c r="E1049" s="7" t="inlineStr">
        <is>
          <t>Graphcore</t>
        </is>
      </c>
      <c r="F1049" s="8" t="inlineStr">
        <is>
          <t>Bristol, UK; Cambridge, UK; London, UK</t>
        </is>
      </c>
      <c r="G1049" s="8" t="n"/>
      <c r="H1049" s="14" t="n"/>
      <c r="I1049" s="15">
        <f>IF($H1049="","",$H1049-TODAY())</f>
        <v/>
      </c>
      <c r="J1049" s="16" t="inlineStr">
        <is>
          <t>Open posting</t>
        </is>
      </c>
      <c r="K1049" s="8" t="inlineStr">
        <is>
          <t>filtered by keyword pre-scan</t>
        </is>
      </c>
      <c r="L1049" s="17" t="inlineStr">
        <is>
          <t>new</t>
        </is>
      </c>
      <c r="M1049" s="18" t="inlineStr"/>
      <c r="N1049" s="7" t="inlineStr">
        <is>
          <t>a4d358c540a2dba19c3ec36937bec4d0185cc4b0</t>
        </is>
      </c>
      <c r="O1049" s="14" t="n">
        <v>46189</v>
      </c>
      <c r="P1049" s="7" t="inlineStr">
        <is>
          <t>greenhouse:graphcore</t>
        </is>
      </c>
      <c r="Q1049" s="8" t="inlineStr"/>
      <c r="R1049" s="8" t="n"/>
      <c r="S1049" s="19" t="n"/>
      <c r="T1049" s="19" t="n"/>
      <c r="U1049" s="14" t="n">
        <v>46189</v>
      </c>
      <c r="V1049" s="7" t="inlineStr">
        <is>
          <t>v1-db41edab064373dd</t>
        </is>
      </c>
    </row>
    <row r="1050" ht="28" customHeight="1">
      <c r="A1050" s="12">
        <f>IF($L1050="applied","Applied",IF($L1050="interview","Interview",IF($L1050="offer","Offer",IF($L1050="rejected","Rejected",IF($L1050="ignore","Ignore",IF($L1050="archive","Archive",IF($L1050="closed","Closed",IF($B1050="","Unscored",IF(AND($B1050&gt;=8,OR($H1050="",$H1050-TODAY()&lt;=14)),"P1 Apply",IF($B1050&gt;=7,"P2 Strong",IF($B1050&gt;=5,"P3 Maybe","P4 Low")))))))))))</f>
        <v/>
      </c>
      <c r="B1050" s="13" t="n">
        <v>1</v>
      </c>
      <c r="C1050" s="12" t="inlineStr">
        <is>
          <t>Senior/Lead</t>
        </is>
      </c>
      <c r="D1050" s="8" t="inlineStr">
        <is>
          <t>Principal Debug Validation Engineer</t>
        </is>
      </c>
      <c r="E1050" s="7" t="inlineStr">
        <is>
          <t>Graphcore</t>
        </is>
      </c>
      <c r="F1050" s="8" t="inlineStr">
        <is>
          <t>Bengaluru, India</t>
        </is>
      </c>
      <c r="G1050" s="8" t="n"/>
      <c r="H1050" s="14" t="n"/>
      <c r="I1050" s="15">
        <f>IF($H1050="","",$H1050-TODAY())</f>
        <v/>
      </c>
      <c r="J1050" s="16" t="inlineStr">
        <is>
          <t>Open posting</t>
        </is>
      </c>
      <c r="K1050" s="8" t="inlineStr">
        <is>
          <t>filtered by keyword pre-scan</t>
        </is>
      </c>
      <c r="L1050" s="17" t="inlineStr">
        <is>
          <t>new</t>
        </is>
      </c>
      <c r="M1050" s="18" t="inlineStr"/>
      <c r="N1050" s="7" t="inlineStr">
        <is>
          <t>0f44b82f099b3c6fd84f99af428891de6e31f8d8</t>
        </is>
      </c>
      <c r="O1050" s="14" t="n">
        <v>46189</v>
      </c>
      <c r="P1050" s="7" t="inlineStr">
        <is>
          <t>greenhouse:graphcore</t>
        </is>
      </c>
      <c r="Q1050" s="8" t="inlineStr"/>
      <c r="R1050" s="8" t="n"/>
      <c r="S1050" s="19" t="n"/>
      <c r="T1050" s="19" t="n"/>
      <c r="U1050" s="14" t="n">
        <v>46189</v>
      </c>
      <c r="V1050" s="7" t="inlineStr">
        <is>
          <t>v1-db41edab064373dd</t>
        </is>
      </c>
    </row>
    <row r="1051" ht="28" customHeight="1">
      <c r="A1051" s="12">
        <f>IF($L1051="applied","Applied",IF($L1051="interview","Interview",IF($L1051="offer","Offer",IF($L1051="rejected","Rejected",IF($L1051="ignore","Ignore",IF($L1051="archive","Archive",IF($L1051="closed","Closed",IF($B1051="","Unscored",IF(AND($B1051&gt;=8,OR($H1051="",$H1051-TODAY()&lt;=14)),"P1 Apply",IF($B1051&gt;=7,"P2 Strong",IF($B1051&gt;=5,"P3 Maybe","P4 Low")))))))))))</f>
        <v/>
      </c>
      <c r="B1051" s="13" t="n">
        <v>1</v>
      </c>
      <c r="C1051" s="12" t="inlineStr">
        <is>
          <t>Senior/Lead</t>
        </is>
      </c>
      <c r="D1051" s="8" t="inlineStr">
        <is>
          <t>Principal Embedded SW/FW Engineer (Bringup) - Bengaluru, multiple vacancies</t>
        </is>
      </c>
      <c r="E1051" s="7" t="inlineStr">
        <is>
          <t>Graphcore</t>
        </is>
      </c>
      <c r="F1051" s="8" t="inlineStr">
        <is>
          <t>Bengaluru, India</t>
        </is>
      </c>
      <c r="G1051" s="8" t="n"/>
      <c r="H1051" s="14" t="n"/>
      <c r="I1051" s="15">
        <f>IF($H1051="","",$H1051-TODAY())</f>
        <v/>
      </c>
      <c r="J1051" s="16" t="inlineStr">
        <is>
          <t>Open posting</t>
        </is>
      </c>
      <c r="K1051" s="8" t="inlineStr">
        <is>
          <t>filtered by keyword pre-scan</t>
        </is>
      </c>
      <c r="L1051" s="17" t="inlineStr">
        <is>
          <t>new</t>
        </is>
      </c>
      <c r="M1051" s="18" t="inlineStr"/>
      <c r="N1051" s="7" t="inlineStr">
        <is>
          <t>635309ec2d8f96c5981ba7887174257015ba7abe</t>
        </is>
      </c>
      <c r="O1051" s="14" t="n">
        <v>46189</v>
      </c>
      <c r="P1051" s="7" t="inlineStr">
        <is>
          <t>greenhouse:graphcore</t>
        </is>
      </c>
      <c r="Q1051" s="8" t="inlineStr"/>
      <c r="R1051" s="8" t="n"/>
      <c r="S1051" s="19" t="n"/>
      <c r="T1051" s="19" t="n"/>
      <c r="U1051" s="14" t="n">
        <v>46189</v>
      </c>
      <c r="V1051" s="7" t="inlineStr">
        <is>
          <t>v1-db41edab064373dd</t>
        </is>
      </c>
    </row>
    <row r="1052" ht="28" customHeight="1">
      <c r="A1052" s="12">
        <f>IF($L1052="applied","Applied",IF($L1052="interview","Interview",IF($L1052="offer","Offer",IF($L1052="rejected","Rejected",IF($L1052="ignore","Ignore",IF($L1052="archive","Archive",IF($L1052="closed","Closed",IF($B1052="","Unscored",IF(AND($B1052&gt;=8,OR($H1052="",$H1052-TODAY()&lt;=14)),"P1 Apply",IF($B1052&gt;=7,"P2 Strong",IF($B1052&gt;=5,"P3 Maybe","P4 Low")))))))))))</f>
        <v/>
      </c>
      <c r="B1052" s="13" t="n">
        <v>1</v>
      </c>
      <c r="C1052" s="12" t="inlineStr">
        <is>
          <t>Senior/Lead</t>
        </is>
      </c>
      <c r="D1052" s="8" t="inlineStr">
        <is>
          <t>Principal Engineer, Power Electronics</t>
        </is>
      </c>
      <c r="E1052" s="7" t="inlineStr">
        <is>
          <t>Graphcore</t>
        </is>
      </c>
      <c r="F1052" s="8" t="inlineStr">
        <is>
          <t>US - Milpitas</t>
        </is>
      </c>
      <c r="G1052" s="8" t="n"/>
      <c r="H1052" s="14" t="n"/>
      <c r="I1052" s="15">
        <f>IF($H1052="","",$H1052-TODAY())</f>
        <v/>
      </c>
      <c r="J1052" s="16" t="inlineStr">
        <is>
          <t>Open posting</t>
        </is>
      </c>
      <c r="K1052" s="8" t="inlineStr">
        <is>
          <t>filtered by keyword pre-scan</t>
        </is>
      </c>
      <c r="L1052" s="17" t="inlineStr">
        <is>
          <t>new</t>
        </is>
      </c>
      <c r="M1052" s="18" t="inlineStr"/>
      <c r="N1052" s="7" t="inlineStr">
        <is>
          <t>8985f9c10b61345715ff178f8b2ff289ce57ea96</t>
        </is>
      </c>
      <c r="O1052" s="14" t="n">
        <v>46189</v>
      </c>
      <c r="P1052" s="7" t="inlineStr">
        <is>
          <t>greenhouse:graphcore</t>
        </is>
      </c>
      <c r="Q1052" s="8" t="inlineStr"/>
      <c r="R1052" s="8" t="n"/>
      <c r="S1052" s="19" t="n"/>
      <c r="T1052" s="19" t="n"/>
      <c r="U1052" s="14" t="n">
        <v>46189</v>
      </c>
      <c r="V1052" s="7" t="inlineStr">
        <is>
          <t>v1-db41edab064373dd</t>
        </is>
      </c>
    </row>
    <row r="1053" ht="28" customHeight="1">
      <c r="A1053" s="12">
        <f>IF($L1053="applied","Applied",IF($L1053="interview","Interview",IF($L1053="offer","Offer",IF($L1053="rejected","Rejected",IF($L1053="ignore","Ignore",IF($L1053="archive","Archive",IF($L1053="closed","Closed",IF($B1053="","Unscored",IF(AND($B1053&gt;=8,OR($H1053="",$H1053-TODAY()&lt;=14)),"P1 Apply",IF($B1053&gt;=7,"P2 Strong",IF($B1053&gt;=5,"P3 Maybe","P4 Low")))))))))))</f>
        <v/>
      </c>
      <c r="B1053" s="13" t="n">
        <v>1</v>
      </c>
      <c r="C1053" s="12" t="inlineStr">
        <is>
          <t>Senior/Lead</t>
        </is>
      </c>
      <c r="D1053" s="8" t="inlineStr">
        <is>
          <t>Principal Execution &amp; QA Validation Engineer</t>
        </is>
      </c>
      <c r="E1053" s="7" t="inlineStr">
        <is>
          <t>Graphcore</t>
        </is>
      </c>
      <c r="F1053" s="8" t="inlineStr">
        <is>
          <t>Bengaluru, India</t>
        </is>
      </c>
      <c r="G1053" s="8" t="n"/>
      <c r="H1053" s="14" t="n"/>
      <c r="I1053" s="15">
        <f>IF($H1053="","",$H1053-TODAY())</f>
        <v/>
      </c>
      <c r="J1053" s="16" t="inlineStr">
        <is>
          <t>Open posting</t>
        </is>
      </c>
      <c r="K1053" s="8" t="inlineStr">
        <is>
          <t>filtered by keyword pre-scan</t>
        </is>
      </c>
      <c r="L1053" s="17" t="inlineStr">
        <is>
          <t>new</t>
        </is>
      </c>
      <c r="M1053" s="18" t="inlineStr"/>
      <c r="N1053" s="7" t="inlineStr">
        <is>
          <t>d56f7c6fafe922f0a7fcab564381cd31d687cde6</t>
        </is>
      </c>
      <c r="O1053" s="14" t="n">
        <v>46189</v>
      </c>
      <c r="P1053" s="7" t="inlineStr">
        <is>
          <t>greenhouse:graphcore</t>
        </is>
      </c>
      <c r="Q1053" s="8" t="inlineStr"/>
      <c r="R1053" s="8" t="n"/>
      <c r="S1053" s="19" t="n"/>
      <c r="T1053" s="19" t="n"/>
      <c r="U1053" s="14" t="n">
        <v>46189</v>
      </c>
      <c r="V1053" s="7" t="inlineStr">
        <is>
          <t>v1-db41edab064373dd</t>
        </is>
      </c>
    </row>
    <row r="1054" ht="28" customHeight="1">
      <c r="A1054" s="12">
        <f>IF($L1054="applied","Applied",IF($L1054="interview","Interview",IF($L1054="offer","Offer",IF($L1054="rejected","Rejected",IF($L1054="ignore","Ignore",IF($L1054="archive","Archive",IF($L1054="closed","Closed",IF($B1054="","Unscored",IF(AND($B1054&gt;=8,OR($H1054="",$H1054-TODAY()&lt;=14)),"P1 Apply",IF($B1054&gt;=7,"P2 Strong",IF($B1054&gt;=5,"P3 Maybe","P4 Low")))))))))))</f>
        <v/>
      </c>
      <c r="B1054" s="13" t="n">
        <v>1</v>
      </c>
      <c r="C1054" s="12" t="inlineStr">
        <is>
          <t>Senior/Lead</t>
        </is>
      </c>
      <c r="D1054" s="8" t="inlineStr">
        <is>
          <t>Principal Firmware Design Engineer</t>
        </is>
      </c>
      <c r="E1054" s="7" t="inlineStr">
        <is>
          <t>Graphcore</t>
        </is>
      </c>
      <c r="F1054" s="8" t="inlineStr">
        <is>
          <t>Austin, Texas, United States</t>
        </is>
      </c>
      <c r="G1054" s="8" t="n"/>
      <c r="H1054" s="14" t="n"/>
      <c r="I1054" s="15">
        <f>IF($H1054="","",$H1054-TODAY())</f>
        <v/>
      </c>
      <c r="J1054" s="16" t="inlineStr">
        <is>
          <t>Open posting</t>
        </is>
      </c>
      <c r="K1054" s="8" t="inlineStr">
        <is>
          <t>filtered by keyword pre-scan</t>
        </is>
      </c>
      <c r="L1054" s="17" t="inlineStr">
        <is>
          <t>new</t>
        </is>
      </c>
      <c r="M1054" s="18" t="inlineStr"/>
      <c r="N1054" s="7" t="inlineStr">
        <is>
          <t>b1189d0005ad17a86a1a1271279eee0f86580a1a</t>
        </is>
      </c>
      <c r="O1054" s="14" t="n">
        <v>46189</v>
      </c>
      <c r="P1054" s="7" t="inlineStr">
        <is>
          <t>greenhouse:graphcore</t>
        </is>
      </c>
      <c r="Q1054" s="8" t="inlineStr"/>
      <c r="R1054" s="8" t="n"/>
      <c r="S1054" s="19" t="n"/>
      <c r="T1054" s="19" t="n"/>
      <c r="U1054" s="14" t="n">
        <v>46189</v>
      </c>
      <c r="V1054" s="7" t="inlineStr">
        <is>
          <t>v1-db41edab064373dd</t>
        </is>
      </c>
    </row>
    <row r="1055" ht="28" customHeight="1">
      <c r="A1055" s="12">
        <f>IF($L1055="applied","Applied",IF($L1055="interview","Interview",IF($L1055="offer","Offer",IF($L1055="rejected","Rejected",IF($L1055="ignore","Ignore",IF($L1055="archive","Archive",IF($L1055="closed","Closed",IF($B1055="","Unscored",IF(AND($B1055&gt;=8,OR($H1055="",$H1055-TODAY()&lt;=14)),"P1 Apply",IF($B1055&gt;=7,"P2 Strong",IF($B1055&gt;=5,"P3 Maybe","P4 Low")))))))))))</f>
        <v/>
      </c>
      <c r="B1055" s="13" t="n">
        <v>1</v>
      </c>
      <c r="C1055" s="12" t="inlineStr">
        <is>
          <t>Senior/Lead</t>
        </is>
      </c>
      <c r="D1055" s="8" t="inlineStr">
        <is>
          <t>Principal Hardware Diagnostics Engineer</t>
        </is>
      </c>
      <c r="E1055" s="7" t="inlineStr">
        <is>
          <t>Graphcore</t>
        </is>
      </c>
      <c r="F1055" s="8" t="inlineStr">
        <is>
          <t>Austin, Texas, United States; US - Milpitas</t>
        </is>
      </c>
      <c r="G1055" s="8" t="n"/>
      <c r="H1055" s="14" t="n"/>
      <c r="I1055" s="15">
        <f>IF($H1055="","",$H1055-TODAY())</f>
        <v/>
      </c>
      <c r="J1055" s="16" t="inlineStr">
        <is>
          <t>Open posting</t>
        </is>
      </c>
      <c r="K1055" s="8" t="inlineStr">
        <is>
          <t>filtered by keyword pre-scan</t>
        </is>
      </c>
      <c r="L1055" s="17" t="inlineStr">
        <is>
          <t>new</t>
        </is>
      </c>
      <c r="M1055" s="18" t="inlineStr"/>
      <c r="N1055" s="7" t="inlineStr">
        <is>
          <t>23603bef6b9fdbb7af07a804032c99c50c549dfe</t>
        </is>
      </c>
      <c r="O1055" s="14" t="n">
        <v>46189</v>
      </c>
      <c r="P1055" s="7" t="inlineStr">
        <is>
          <t>greenhouse:graphcore</t>
        </is>
      </c>
      <c r="Q1055" s="8" t="inlineStr"/>
      <c r="R1055" s="8" t="n"/>
      <c r="S1055" s="19" t="n"/>
      <c r="T1055" s="19" t="n"/>
      <c r="U1055" s="14" t="n">
        <v>46189</v>
      </c>
      <c r="V1055" s="7" t="inlineStr">
        <is>
          <t>v1-db41edab064373dd</t>
        </is>
      </c>
    </row>
    <row r="1056" ht="28" customHeight="1">
      <c r="A1056" s="12">
        <f>IF($L1056="applied","Applied",IF($L1056="interview","Interview",IF($L1056="offer","Offer",IF($L1056="rejected","Rejected",IF($L1056="ignore","Ignore",IF($L1056="archive","Archive",IF($L1056="closed","Closed",IF($B1056="","Unscored",IF(AND($B1056&gt;=8,OR($H1056="",$H1056-TODAY()&lt;=14)),"P1 Apply",IF($B1056&gt;=7,"P2 Strong",IF($B1056&gt;=5,"P3 Maybe","P4 Low")))))))))))</f>
        <v/>
      </c>
      <c r="B1056" s="13" t="n">
        <v>1</v>
      </c>
      <c r="C1056" s="12" t="inlineStr">
        <is>
          <t>Senior/Lead</t>
        </is>
      </c>
      <c r="D1056" s="8" t="inlineStr">
        <is>
          <t>Principal Hardware Diagnostics Engineer</t>
        </is>
      </c>
      <c r="E1056" s="7" t="inlineStr">
        <is>
          <t>Graphcore</t>
        </is>
      </c>
      <c r="F1056" s="8" t="inlineStr">
        <is>
          <t>Austin, Texas, United States; US - Milpitas</t>
        </is>
      </c>
      <c r="G1056" s="8" t="n"/>
      <c r="H1056" s="14" t="n"/>
      <c r="I1056" s="15">
        <f>IF($H1056="","",$H1056-TODAY())</f>
        <v/>
      </c>
      <c r="J1056" s="16" t="inlineStr">
        <is>
          <t>Open posting</t>
        </is>
      </c>
      <c r="K1056" s="8" t="inlineStr">
        <is>
          <t>filtered by keyword pre-scan</t>
        </is>
      </c>
      <c r="L1056" s="17" t="inlineStr">
        <is>
          <t>new</t>
        </is>
      </c>
      <c r="M1056" s="18" t="inlineStr"/>
      <c r="N1056" s="7" t="inlineStr">
        <is>
          <t>e6bb72b40c05ce731e74f1f7ba0211031c9db4f2</t>
        </is>
      </c>
      <c r="O1056" s="14" t="n">
        <v>46189</v>
      </c>
      <c r="P1056" s="7" t="inlineStr">
        <is>
          <t>greenhouse:graphcore</t>
        </is>
      </c>
      <c r="Q1056" s="8" t="inlineStr"/>
      <c r="R1056" s="8" t="n"/>
      <c r="S1056" s="19" t="n"/>
      <c r="T1056" s="19" t="n"/>
      <c r="U1056" s="14" t="n">
        <v>46189</v>
      </c>
      <c r="V1056" s="7" t="inlineStr">
        <is>
          <t>v1-db41edab064373dd</t>
        </is>
      </c>
    </row>
    <row r="1057" ht="28" customHeight="1">
      <c r="A1057" s="12">
        <f>IF($L1057="applied","Applied",IF($L1057="interview","Interview",IF($L1057="offer","Offer",IF($L1057="rejected","Rejected",IF($L1057="ignore","Ignore",IF($L1057="archive","Archive",IF($L1057="closed","Closed",IF($B1057="","Unscored",IF(AND($B1057&gt;=8,OR($H1057="",$H1057-TODAY()&lt;=14)),"P1 Apply",IF($B1057&gt;=7,"P2 Strong",IF($B1057&gt;=5,"P3 Maybe","P4 Low")))))))))))</f>
        <v/>
      </c>
      <c r="B1057" s="13" t="n">
        <v>1</v>
      </c>
      <c r="C1057" s="12" t="inlineStr">
        <is>
          <t>Senior/Lead</t>
        </is>
      </c>
      <c r="D1057" s="8" t="inlineStr">
        <is>
          <t>Principal Network Engineer</t>
        </is>
      </c>
      <c r="E1057" s="7" t="inlineStr">
        <is>
          <t>Graphcore</t>
        </is>
      </c>
      <c r="F1057" s="8" t="inlineStr">
        <is>
          <t>US - Milpitas</t>
        </is>
      </c>
      <c r="G1057" s="8" t="n"/>
      <c r="H1057" s="14" t="n"/>
      <c r="I1057" s="15">
        <f>IF($H1057="","",$H1057-TODAY())</f>
        <v/>
      </c>
      <c r="J1057" s="16" t="inlineStr">
        <is>
          <t>Open posting</t>
        </is>
      </c>
      <c r="K1057" s="8" t="inlineStr">
        <is>
          <t>filtered by keyword pre-scan</t>
        </is>
      </c>
      <c r="L1057" s="17" t="inlineStr">
        <is>
          <t>new</t>
        </is>
      </c>
      <c r="M1057" s="18" t="inlineStr"/>
      <c r="N1057" s="7" t="inlineStr">
        <is>
          <t>f2b2e6d096747c4d91fc50af0a35727b1bc675f8</t>
        </is>
      </c>
      <c r="O1057" s="14" t="n">
        <v>46189</v>
      </c>
      <c r="P1057" s="7" t="inlineStr">
        <is>
          <t>greenhouse:graphcore</t>
        </is>
      </c>
      <c r="Q1057" s="8" t="inlineStr"/>
      <c r="R1057" s="8" t="n"/>
      <c r="S1057" s="19" t="n"/>
      <c r="T1057" s="19" t="n"/>
      <c r="U1057" s="14" t="n">
        <v>46189</v>
      </c>
      <c r="V1057" s="7" t="inlineStr">
        <is>
          <t>v1-db41edab064373dd</t>
        </is>
      </c>
    </row>
    <row r="1058" ht="28" customHeight="1">
      <c r="A1058" s="12">
        <f>IF($L1058="applied","Applied",IF($L1058="interview","Interview",IF($L1058="offer","Offer",IF($L1058="rejected","Rejected",IF($L1058="ignore","Ignore",IF($L1058="archive","Archive",IF($L1058="closed","Closed",IF($B1058="","Unscored",IF(AND($B1058&gt;=8,OR($H1058="",$H1058-TODAY()&lt;=14)),"P1 Apply",IF($B1058&gt;=7,"P2 Strong",IF($B1058&gt;=5,"P3 Maybe","P4 Low")))))))))))</f>
        <v/>
      </c>
      <c r="B1058" s="13" t="n">
        <v>1</v>
      </c>
      <c r="C1058" s="12" t="inlineStr">
        <is>
          <t>Senior/Lead</t>
        </is>
      </c>
      <c r="D1058" s="8" t="inlineStr">
        <is>
          <t>Principal Post Silicon Validation Engineer (Bringup)</t>
        </is>
      </c>
      <c r="E1058" s="7" t="inlineStr">
        <is>
          <t>Graphcore</t>
        </is>
      </c>
      <c r="F1058" s="8" t="inlineStr">
        <is>
          <t>Austin, Texas, United States</t>
        </is>
      </c>
      <c r="G1058" s="8" t="n"/>
      <c r="H1058" s="14" t="n"/>
      <c r="I1058" s="15">
        <f>IF($H1058="","",$H1058-TODAY())</f>
        <v/>
      </c>
      <c r="J1058" s="16" t="inlineStr">
        <is>
          <t>Open posting</t>
        </is>
      </c>
      <c r="K1058" s="8" t="inlineStr">
        <is>
          <t>filtered by keyword pre-scan</t>
        </is>
      </c>
      <c r="L1058" s="17" t="inlineStr">
        <is>
          <t>new</t>
        </is>
      </c>
      <c r="M1058" s="18" t="inlineStr"/>
      <c r="N1058" s="7" t="inlineStr">
        <is>
          <t>28cf882c4e6b2399a2b2bffe6e62accc4e11bd83</t>
        </is>
      </c>
      <c r="O1058" s="14" t="n">
        <v>46189</v>
      </c>
      <c r="P1058" s="7" t="inlineStr">
        <is>
          <t>greenhouse:graphcore</t>
        </is>
      </c>
      <c r="Q1058" s="8" t="inlineStr"/>
      <c r="R1058" s="8" t="n"/>
      <c r="S1058" s="19" t="n"/>
      <c r="T1058" s="19" t="n"/>
      <c r="U1058" s="14" t="n">
        <v>46189</v>
      </c>
      <c r="V1058" s="7" t="inlineStr">
        <is>
          <t>v1-db41edab064373dd</t>
        </is>
      </c>
    </row>
    <row r="1059" ht="28" customHeight="1">
      <c r="A1059" s="12">
        <f>IF($L1059="applied","Applied",IF($L1059="interview","Interview",IF($L1059="offer","Offer",IF($L1059="rejected","Rejected",IF($L1059="ignore","Ignore",IF($L1059="archive","Archive",IF($L1059="closed","Closed",IF($B1059="","Unscored",IF(AND($B1059&gt;=8,OR($H1059="",$H1059-TODAY()&lt;=14)),"P1 Apply",IF($B1059&gt;=7,"P2 Strong",IF($B1059&gt;=5,"P3 Maybe","P4 Low")))))))))))</f>
        <v/>
      </c>
      <c r="B1059" s="13" t="n">
        <v>1</v>
      </c>
      <c r="C1059" s="12" t="inlineStr">
        <is>
          <t>Senior/Lead</t>
        </is>
      </c>
      <c r="D1059" s="8" t="inlineStr">
        <is>
          <t>Principal Post Silicon Validation Engineer (Bringup)</t>
        </is>
      </c>
      <c r="E1059" s="7" t="inlineStr">
        <is>
          <t>Graphcore</t>
        </is>
      </c>
      <c r="F1059" s="8" t="inlineStr">
        <is>
          <t>Austin, Texas, United States</t>
        </is>
      </c>
      <c r="G1059" s="8" t="n"/>
      <c r="H1059" s="14" t="n"/>
      <c r="I1059" s="15">
        <f>IF($H1059="","",$H1059-TODAY())</f>
        <v/>
      </c>
      <c r="J1059" s="16" t="inlineStr">
        <is>
          <t>Open posting</t>
        </is>
      </c>
      <c r="K1059" s="8" t="inlineStr">
        <is>
          <t>filtered by keyword pre-scan</t>
        </is>
      </c>
      <c r="L1059" s="17" t="inlineStr">
        <is>
          <t>new</t>
        </is>
      </c>
      <c r="M1059" s="18" t="inlineStr"/>
      <c r="N1059" s="7" t="inlineStr">
        <is>
          <t>2e82852cf4dc7ad7e0c2e54f186aa595cd3d7dda</t>
        </is>
      </c>
      <c r="O1059" s="14" t="n">
        <v>46189</v>
      </c>
      <c r="P1059" s="7" t="inlineStr">
        <is>
          <t>greenhouse:graphcore</t>
        </is>
      </c>
      <c r="Q1059" s="8" t="inlineStr"/>
      <c r="R1059" s="8" t="n"/>
      <c r="S1059" s="19" t="n"/>
      <c r="T1059" s="19" t="n"/>
      <c r="U1059" s="14" t="n">
        <v>46189</v>
      </c>
      <c r="V1059" s="7" t="inlineStr">
        <is>
          <t>v1-db41edab064373dd</t>
        </is>
      </c>
    </row>
    <row r="1060" ht="28" customHeight="1">
      <c r="A1060" s="12">
        <f>IF($L1060="applied","Applied",IF($L1060="interview","Interview",IF($L1060="offer","Offer",IF($L1060="rejected","Rejected",IF($L1060="ignore","Ignore",IF($L1060="archive","Archive",IF($L1060="closed","Closed",IF($B1060="","Unscored",IF(AND($B1060&gt;=8,OR($H1060="",$H1060-TODAY()&lt;=14)),"P1 Apply",IF($B1060&gt;=7,"P2 Strong",IF($B1060&gt;=5,"P3 Maybe","P4 Low")))))))))))</f>
        <v/>
      </c>
      <c r="B1060" s="13" t="n">
        <v>1</v>
      </c>
      <c r="C1060" s="12" t="inlineStr">
        <is>
          <t>Senior/Lead</t>
        </is>
      </c>
      <c r="D1060" s="8" t="inlineStr">
        <is>
          <t>Principal Power &amp; Performance Validation Engineer</t>
        </is>
      </c>
      <c r="E1060" s="7" t="inlineStr">
        <is>
          <t>Graphcore</t>
        </is>
      </c>
      <c r="F1060" s="8" t="inlineStr">
        <is>
          <t>Bengaluru, India</t>
        </is>
      </c>
      <c r="G1060" s="8" t="n"/>
      <c r="H1060" s="14" t="n"/>
      <c r="I1060" s="15">
        <f>IF($H1060="","",$H1060-TODAY())</f>
        <v/>
      </c>
      <c r="J1060" s="16" t="inlineStr">
        <is>
          <t>Open posting</t>
        </is>
      </c>
      <c r="K1060" s="8" t="inlineStr">
        <is>
          <t>filtered by keyword pre-scan</t>
        </is>
      </c>
      <c r="L1060" s="17" t="inlineStr">
        <is>
          <t>new</t>
        </is>
      </c>
      <c r="M1060" s="18" t="inlineStr"/>
      <c r="N1060" s="7" t="inlineStr">
        <is>
          <t>a19a0a1fd705d424e738a20452c7cbeab0b7f3c1</t>
        </is>
      </c>
      <c r="O1060" s="14" t="n">
        <v>46189</v>
      </c>
      <c r="P1060" s="7" t="inlineStr">
        <is>
          <t>greenhouse:graphcore</t>
        </is>
      </c>
      <c r="Q1060" s="8" t="inlineStr"/>
      <c r="R1060" s="8" t="n"/>
      <c r="S1060" s="19" t="n"/>
      <c r="T1060" s="19" t="n"/>
      <c r="U1060" s="14" t="n">
        <v>46189</v>
      </c>
      <c r="V1060" s="7" t="inlineStr">
        <is>
          <t>v1-db41edab064373dd</t>
        </is>
      </c>
    </row>
    <row r="1061" ht="28" customHeight="1">
      <c r="A1061" s="12">
        <f>IF($L1061="applied","Applied",IF($L1061="interview","Interview",IF($L1061="offer","Offer",IF($L1061="rejected","Rejected",IF($L1061="ignore","Ignore",IF($L1061="archive","Archive",IF($L1061="closed","Closed",IF($B1061="","Unscored",IF(AND($B1061&gt;=8,OR($H1061="",$H1061-TODAY()&lt;=14)),"P1 Apply",IF($B1061&gt;=7,"P2 Strong",IF($B1061&gt;=5,"P3 Maybe","P4 Low")))))))))))</f>
        <v/>
      </c>
      <c r="B1061" s="13" t="n">
        <v>1</v>
      </c>
      <c r="C1061" s="12" t="inlineStr">
        <is>
          <t>Senior/Lead</t>
        </is>
      </c>
      <c r="D1061" s="8" t="inlineStr">
        <is>
          <t>Principal Product Engineer</t>
        </is>
      </c>
      <c r="E1061" s="7" t="inlineStr">
        <is>
          <t>Graphcore</t>
        </is>
      </c>
      <c r="F1061" s="8" t="inlineStr">
        <is>
          <t>Bristol, UK</t>
        </is>
      </c>
      <c r="G1061" s="8" t="n"/>
      <c r="H1061" s="14" t="n"/>
      <c r="I1061" s="15">
        <f>IF($H1061="","",$H1061-TODAY())</f>
        <v/>
      </c>
      <c r="J1061" s="16" t="inlineStr">
        <is>
          <t>Open posting</t>
        </is>
      </c>
      <c r="K1061" s="8" t="inlineStr">
        <is>
          <t>filtered by keyword pre-scan</t>
        </is>
      </c>
      <c r="L1061" s="17" t="inlineStr">
        <is>
          <t>new</t>
        </is>
      </c>
      <c r="M1061" s="18" t="inlineStr"/>
      <c r="N1061" s="7" t="inlineStr">
        <is>
          <t>1f540b1ea32d4a8e2cb256b06448bb185c8894f1</t>
        </is>
      </c>
      <c r="O1061" s="14" t="n">
        <v>46189</v>
      </c>
      <c r="P1061" s="7" t="inlineStr">
        <is>
          <t>greenhouse:graphcore</t>
        </is>
      </c>
      <c r="Q1061" s="8" t="inlineStr"/>
      <c r="R1061" s="8" t="n"/>
      <c r="S1061" s="19" t="n"/>
      <c r="T1061" s="19" t="n"/>
      <c r="U1061" s="14" t="n">
        <v>46189</v>
      </c>
      <c r="V1061" s="7" t="inlineStr">
        <is>
          <t>v1-db41edab064373dd</t>
        </is>
      </c>
    </row>
    <row r="1062" ht="28" customHeight="1">
      <c r="A1062" s="12">
        <f>IF($L1062="applied","Applied",IF($L1062="interview","Interview",IF($L1062="offer","Offer",IF($L1062="rejected","Rejected",IF($L1062="ignore","Ignore",IF($L1062="archive","Archive",IF($L1062="closed","Closed",IF($B1062="","Unscored",IF(AND($B1062&gt;=8,OR($H1062="",$H1062-TODAY()&lt;=14)),"P1 Apply",IF($B1062&gt;=7,"P2 Strong",IF($B1062&gt;=5,"P3 Maybe","P4 Low")))))))))))</f>
        <v/>
      </c>
      <c r="B1062" s="13" t="n">
        <v>1</v>
      </c>
      <c r="C1062" s="12" t="inlineStr">
        <is>
          <t>Senior/Lead</t>
        </is>
      </c>
      <c r="D1062" s="8" t="inlineStr">
        <is>
          <t>Principal Reliability Scientist</t>
        </is>
      </c>
      <c r="E1062" s="7" t="inlineStr">
        <is>
          <t>Graphcore</t>
        </is>
      </c>
      <c r="F1062" s="8" t="inlineStr">
        <is>
          <t>Austin, Texas, United States; Hsinchu City, Hsinchu City, Taiwan; US - Milpitas; 臺北市, Taipei, Taiwan</t>
        </is>
      </c>
      <c r="G1062" s="8" t="n"/>
      <c r="H1062" s="14" t="n"/>
      <c r="I1062" s="15">
        <f>IF($H1062="","",$H1062-TODAY())</f>
        <v/>
      </c>
      <c r="J1062" s="16" t="inlineStr">
        <is>
          <t>Open posting</t>
        </is>
      </c>
      <c r="K1062" s="8" t="inlineStr">
        <is>
          <t>filtered by keyword pre-scan</t>
        </is>
      </c>
      <c r="L1062" s="17" t="inlineStr">
        <is>
          <t>new</t>
        </is>
      </c>
      <c r="M1062" s="18" t="inlineStr"/>
      <c r="N1062" s="7" t="inlineStr">
        <is>
          <t>6efa645031225a73938e33e5f4248f479e8879bb</t>
        </is>
      </c>
      <c r="O1062" s="14" t="n">
        <v>46189</v>
      </c>
      <c r="P1062" s="7" t="inlineStr">
        <is>
          <t>greenhouse:graphcore</t>
        </is>
      </c>
      <c r="Q1062" s="8" t="inlineStr"/>
      <c r="R1062" s="8" t="n"/>
      <c r="S1062" s="19" t="n"/>
      <c r="T1062" s="19" t="n"/>
      <c r="U1062" s="14" t="n">
        <v>46189</v>
      </c>
      <c r="V1062" s="7" t="inlineStr">
        <is>
          <t>v1-db41edab064373dd</t>
        </is>
      </c>
    </row>
    <row r="1063" ht="28" customHeight="1">
      <c r="A1063" s="12">
        <f>IF($L1063="applied","Applied",IF($L1063="interview","Interview",IF($L1063="offer","Offer",IF($L1063="rejected","Rejected",IF($L1063="ignore","Ignore",IF($L1063="archive","Archive",IF($L1063="closed","Closed",IF($B1063="","Unscored",IF(AND($B1063&gt;=8,OR($H1063="",$H1063-TODAY()&lt;=14)),"P1 Apply",IF($B1063&gt;=7,"P2 Strong",IF($B1063&gt;=5,"P3 Maybe","P4 Low")))))))))))</f>
        <v/>
      </c>
      <c r="B1063" s="13" t="n">
        <v>1</v>
      </c>
      <c r="C1063" s="12" t="inlineStr">
        <is>
          <t>Senior/Lead</t>
        </is>
      </c>
      <c r="D1063" s="8" t="inlineStr">
        <is>
          <t>Principal Silicon Verification Engineer - Bengaluru</t>
        </is>
      </c>
      <c r="E1063" s="7" t="inlineStr">
        <is>
          <t>Graphcore</t>
        </is>
      </c>
      <c r="F1063" s="8" t="inlineStr">
        <is>
          <t>Bengaluru, India</t>
        </is>
      </c>
      <c r="G1063" s="8" t="n"/>
      <c r="H1063" s="14" t="n"/>
      <c r="I1063" s="15">
        <f>IF($H1063="","",$H1063-TODAY())</f>
        <v/>
      </c>
      <c r="J1063" s="16" t="inlineStr">
        <is>
          <t>Open posting</t>
        </is>
      </c>
      <c r="K1063" s="8" t="inlineStr">
        <is>
          <t>filtered by keyword pre-scan</t>
        </is>
      </c>
      <c r="L1063" s="17" t="inlineStr">
        <is>
          <t>new</t>
        </is>
      </c>
      <c r="M1063" s="18" t="inlineStr"/>
      <c r="N1063" s="7" t="inlineStr">
        <is>
          <t>417bdef1fab014824603c2533b9737628f43ad85</t>
        </is>
      </c>
      <c r="O1063" s="14" t="n">
        <v>46189</v>
      </c>
      <c r="P1063" s="7" t="inlineStr">
        <is>
          <t>greenhouse:graphcore</t>
        </is>
      </c>
      <c r="Q1063" s="8" t="inlineStr"/>
      <c r="R1063" s="8" t="n"/>
      <c r="S1063" s="19" t="n"/>
      <c r="T1063" s="19" t="n"/>
      <c r="U1063" s="14" t="n">
        <v>46189</v>
      </c>
      <c r="V1063" s="7" t="inlineStr">
        <is>
          <t>v1-db41edab064373dd</t>
        </is>
      </c>
    </row>
    <row r="1064" ht="28" customHeight="1">
      <c r="A1064" s="12">
        <f>IF($L1064="applied","Applied",IF($L1064="interview","Interview",IF($L1064="offer","Offer",IF($L1064="rejected","Rejected",IF($L1064="ignore","Ignore",IF($L1064="archive","Archive",IF($L1064="closed","Closed",IF($B1064="","Unscored",IF(AND($B1064&gt;=8,OR($H1064="",$H1064-TODAY()&lt;=14)),"P1 Apply",IF($B1064&gt;=7,"P2 Strong",IF($B1064&gt;=5,"P3 Maybe","P4 Low")))))))))))</f>
        <v/>
      </c>
      <c r="B1064" s="13" t="n">
        <v>1</v>
      </c>
      <c r="C1064" s="12" t="inlineStr">
        <is>
          <t>Senior/Lead</t>
        </is>
      </c>
      <c r="D1064" s="8" t="inlineStr">
        <is>
          <t>Principal SoC Architect</t>
        </is>
      </c>
      <c r="E1064" s="7" t="inlineStr">
        <is>
          <t>Graphcore</t>
        </is>
      </c>
      <c r="F1064" s="8" t="inlineStr">
        <is>
          <t>Bristol, UK</t>
        </is>
      </c>
      <c r="G1064" s="8" t="n"/>
      <c r="H1064" s="14" t="n"/>
      <c r="I1064" s="15">
        <f>IF($H1064="","",$H1064-TODAY())</f>
        <v/>
      </c>
      <c r="J1064" s="16" t="inlineStr">
        <is>
          <t>Open posting</t>
        </is>
      </c>
      <c r="K1064" s="8" t="inlineStr">
        <is>
          <t>filtered by keyword pre-scan</t>
        </is>
      </c>
      <c r="L1064" s="17" t="inlineStr">
        <is>
          <t>new</t>
        </is>
      </c>
      <c r="M1064" s="18" t="inlineStr"/>
      <c r="N1064" s="7" t="inlineStr">
        <is>
          <t>ff97823dace49f48a54c2a84624c97dff0c8bbea</t>
        </is>
      </c>
      <c r="O1064" s="14" t="n">
        <v>46189</v>
      </c>
      <c r="P1064" s="7" t="inlineStr">
        <is>
          <t>greenhouse:graphcore</t>
        </is>
      </c>
      <c r="Q1064" s="8" t="inlineStr"/>
      <c r="R1064" s="8" t="n"/>
      <c r="S1064" s="19" t="n"/>
      <c r="T1064" s="19" t="n"/>
      <c r="U1064" s="14" t="n">
        <v>46189</v>
      </c>
      <c r="V1064" s="7" t="inlineStr">
        <is>
          <t>v1-db41edab064373dd</t>
        </is>
      </c>
    </row>
    <row r="1065" ht="28" customHeight="1">
      <c r="A1065" s="12">
        <f>IF($L1065="applied","Applied",IF($L1065="interview","Interview",IF($L1065="offer","Offer",IF($L1065="rejected","Rejected",IF($L1065="ignore","Ignore",IF($L1065="archive","Archive",IF($L1065="closed","Closed",IF($B1065="","Unscored",IF(AND($B1065&gt;=8,OR($H1065="",$H1065-TODAY()&lt;=14)),"P1 Apply",IF($B1065&gt;=7,"P2 Strong",IF($B1065&gt;=5,"P3 Maybe","P4 Low")))))))))))</f>
        <v/>
      </c>
      <c r="B1065" s="13" t="n">
        <v>1</v>
      </c>
      <c r="C1065" s="12" t="inlineStr">
        <is>
          <t>Senior/Lead</t>
        </is>
      </c>
      <c r="D1065" s="8" t="inlineStr">
        <is>
          <t>Principal Software Architect</t>
        </is>
      </c>
      <c r="E1065" s="7" t="inlineStr">
        <is>
          <t>Graphcore</t>
        </is>
      </c>
      <c r="F1065" s="8" t="inlineStr">
        <is>
          <t>Bristol, UK; Cambridge, UK</t>
        </is>
      </c>
      <c r="G1065" s="8" t="n"/>
      <c r="H1065" s="14" t="n"/>
      <c r="I1065" s="15">
        <f>IF($H1065="","",$H1065-TODAY())</f>
        <v/>
      </c>
      <c r="J1065" s="16" t="inlineStr">
        <is>
          <t>Open posting</t>
        </is>
      </c>
      <c r="K1065" s="8" t="inlineStr">
        <is>
          <t>filtered by keyword pre-scan</t>
        </is>
      </c>
      <c r="L1065" s="17" t="inlineStr">
        <is>
          <t>new</t>
        </is>
      </c>
      <c r="M1065" s="18" t="inlineStr"/>
      <c r="N1065" s="7" t="inlineStr">
        <is>
          <t>c73859207541dd9e25135dc69930e5babd17e8ee</t>
        </is>
      </c>
      <c r="O1065" s="14" t="n">
        <v>46189</v>
      </c>
      <c r="P1065" s="7" t="inlineStr">
        <is>
          <t>greenhouse:graphcore</t>
        </is>
      </c>
      <c r="Q1065" s="8" t="inlineStr"/>
      <c r="R1065" s="8" t="n"/>
      <c r="S1065" s="19" t="n"/>
      <c r="T1065" s="19" t="n"/>
      <c r="U1065" s="14" t="n">
        <v>46189</v>
      </c>
      <c r="V1065" s="7" t="inlineStr">
        <is>
          <t>v1-db41edab064373dd</t>
        </is>
      </c>
    </row>
    <row r="1066" ht="28" customHeight="1">
      <c r="A1066" s="12">
        <f>IF($L1066="applied","Applied",IF($L1066="interview","Interview",IF($L1066="offer","Offer",IF($L1066="rejected","Rejected",IF($L1066="ignore","Ignore",IF($L1066="archive","Archive",IF($L1066="closed","Closed",IF($B1066="","Unscored",IF(AND($B1066&gt;=8,OR($H1066="",$H1066-TODAY()&lt;=14)),"P1 Apply",IF($B1066&gt;=7,"P2 Strong",IF($B1066&gt;=5,"P3 Maybe","P4 Low")))))))))))</f>
        <v/>
      </c>
      <c r="B1066" s="13" t="n">
        <v>1</v>
      </c>
      <c r="C1066" s="12" t="inlineStr">
        <is>
          <t>Senior/Lead</t>
        </is>
      </c>
      <c r="D1066" s="8" t="inlineStr">
        <is>
          <t>Principal System Debug Engineer</t>
        </is>
      </c>
      <c r="E1066" s="7" t="inlineStr">
        <is>
          <t>Graphcore</t>
        </is>
      </c>
      <c r="F1066" s="8" t="inlineStr">
        <is>
          <t>Austin, Texas, United States; US - Milpitas</t>
        </is>
      </c>
      <c r="G1066" s="8" t="n"/>
      <c r="H1066" s="14" t="n"/>
      <c r="I1066" s="15">
        <f>IF($H1066="","",$H1066-TODAY())</f>
        <v/>
      </c>
      <c r="J1066" s="16" t="inlineStr">
        <is>
          <t>Open posting</t>
        </is>
      </c>
      <c r="K1066" s="8" t="inlineStr">
        <is>
          <t>filtered by keyword pre-scan</t>
        </is>
      </c>
      <c r="L1066" s="17" t="inlineStr">
        <is>
          <t>new</t>
        </is>
      </c>
      <c r="M1066" s="18" t="inlineStr"/>
      <c r="N1066" s="7" t="inlineStr">
        <is>
          <t>06c3142ac6cf3abd0032e1b5b6d6af97b2052be3</t>
        </is>
      </c>
      <c r="O1066" s="14" t="n">
        <v>46189</v>
      </c>
      <c r="P1066" s="7" t="inlineStr">
        <is>
          <t>greenhouse:graphcore</t>
        </is>
      </c>
      <c r="Q1066" s="8" t="inlineStr"/>
      <c r="R1066" s="8" t="n"/>
      <c r="S1066" s="19" t="n"/>
      <c r="T1066" s="19" t="n"/>
      <c r="U1066" s="14" t="n">
        <v>46189</v>
      </c>
      <c r="V1066" s="7" t="inlineStr">
        <is>
          <t>v1-db41edab064373dd</t>
        </is>
      </c>
    </row>
    <row r="1067" ht="28" customHeight="1">
      <c r="A1067" s="12">
        <f>IF($L1067="applied","Applied",IF($L1067="interview","Interview",IF($L1067="offer","Offer",IF($L1067="rejected","Rejected",IF($L1067="ignore","Ignore",IF($L1067="archive","Archive",IF($L1067="closed","Closed",IF($B1067="","Unscored",IF(AND($B1067&gt;=8,OR($H1067="",$H1067-TODAY()&lt;=14)),"P1 Apply",IF($B1067&gt;=7,"P2 Strong",IF($B1067&gt;=5,"P3 Maybe","P4 Low")))))))))))</f>
        <v/>
      </c>
      <c r="B1067" s="13" t="n">
        <v>1</v>
      </c>
      <c r="C1067" s="12" t="inlineStr">
        <is>
          <t>Senior/Lead</t>
        </is>
      </c>
      <c r="D1067" s="8" t="inlineStr">
        <is>
          <t>Principal Test Framework Software Engineer</t>
        </is>
      </c>
      <c r="E1067" s="7" t="inlineStr">
        <is>
          <t>Graphcore</t>
        </is>
      </c>
      <c r="F1067" s="8" t="inlineStr">
        <is>
          <t>Austin, Texas, United States; US - Milpitas</t>
        </is>
      </c>
      <c r="G1067" s="8" t="n"/>
      <c r="H1067" s="14" t="n"/>
      <c r="I1067" s="15">
        <f>IF($H1067="","",$H1067-TODAY())</f>
        <v/>
      </c>
      <c r="J1067" s="16" t="inlineStr">
        <is>
          <t>Open posting</t>
        </is>
      </c>
      <c r="K1067" s="8" t="inlineStr">
        <is>
          <t>filtered by keyword pre-scan</t>
        </is>
      </c>
      <c r="L1067" s="17" t="inlineStr">
        <is>
          <t>new</t>
        </is>
      </c>
      <c r="M1067" s="18" t="inlineStr"/>
      <c r="N1067" s="7" t="inlineStr">
        <is>
          <t>489e07a0e5e5f00ea1b952a53d804eb637755fe2</t>
        </is>
      </c>
      <c r="O1067" s="14" t="n">
        <v>46189</v>
      </c>
      <c r="P1067" s="7" t="inlineStr">
        <is>
          <t>greenhouse:graphcore</t>
        </is>
      </c>
      <c r="Q1067" s="8" t="inlineStr"/>
      <c r="R1067" s="8" t="n"/>
      <c r="S1067" s="19" t="n"/>
      <c r="T1067" s="19" t="n"/>
      <c r="U1067" s="14" t="n">
        <v>46189</v>
      </c>
      <c r="V1067" s="7" t="inlineStr">
        <is>
          <t>v1-db41edab064373dd</t>
        </is>
      </c>
    </row>
    <row r="1068" ht="28" customHeight="1">
      <c r="A1068" s="12">
        <f>IF($L1068="applied","Applied",IF($L1068="interview","Interview",IF($L1068="offer","Offer",IF($L1068="rejected","Rejected",IF($L1068="ignore","Ignore",IF($L1068="archive","Archive",IF($L1068="closed","Closed",IF($B1068="","Unscored",IF(AND($B1068&gt;=8,OR($H1068="",$H1068-TODAY()&lt;=14)),"P1 Apply",IF($B1068&gt;=7,"P2 Strong",IF($B1068&gt;=5,"P3 Maybe","P4 Low")))))))))))</f>
        <v/>
      </c>
      <c r="B1068" s="13" t="n">
        <v>1</v>
      </c>
      <c r="C1068" s="12" t="inlineStr">
        <is>
          <t>Senior/Lead</t>
        </is>
      </c>
      <c r="D1068" s="8" t="inlineStr">
        <is>
          <t>Principal Thermal Engineer</t>
        </is>
      </c>
      <c r="E1068" s="7" t="inlineStr">
        <is>
          <t>Graphcore</t>
        </is>
      </c>
      <c r="F1068" s="8" t="inlineStr">
        <is>
          <t>Austin, Texas, United States</t>
        </is>
      </c>
      <c r="G1068" s="8" t="n"/>
      <c r="H1068" s="14" t="n"/>
      <c r="I1068" s="15">
        <f>IF($H1068="","",$H1068-TODAY())</f>
        <v/>
      </c>
      <c r="J1068" s="16" t="inlineStr">
        <is>
          <t>Open posting</t>
        </is>
      </c>
      <c r="K1068" s="8" t="inlineStr">
        <is>
          <t>filtered by keyword pre-scan</t>
        </is>
      </c>
      <c r="L1068" s="17" t="inlineStr">
        <is>
          <t>new</t>
        </is>
      </c>
      <c r="M1068" s="18" t="inlineStr"/>
      <c r="N1068" s="7" t="inlineStr">
        <is>
          <t>ded6fb88235b2c6c3f66ecbd6d2c6eba506ead65</t>
        </is>
      </c>
      <c r="O1068" s="14" t="n">
        <v>46189</v>
      </c>
      <c r="P1068" s="7" t="inlineStr">
        <is>
          <t>greenhouse:graphcore</t>
        </is>
      </c>
      <c r="Q1068" s="8" t="inlineStr"/>
      <c r="R1068" s="8" t="n"/>
      <c r="S1068" s="19" t="n"/>
      <c r="T1068" s="19" t="n"/>
      <c r="U1068" s="14" t="n">
        <v>46189</v>
      </c>
      <c r="V1068" s="7" t="inlineStr">
        <is>
          <t>v1-db41edab064373dd</t>
        </is>
      </c>
    </row>
    <row r="1069" ht="28" customHeight="1">
      <c r="A1069" s="12">
        <f>IF($L1069="applied","Applied",IF($L1069="interview","Interview",IF($L1069="offer","Offer",IF($L1069="rejected","Rejected",IF($L1069="ignore","Ignore",IF($L1069="archive","Archive",IF($L1069="closed","Closed",IF($B1069="","Unscored",IF(AND($B1069&gt;=8,OR($H1069="",$H1069-TODAY()&lt;=14)),"P1 Apply",IF($B1069&gt;=7,"P2 Strong",IF($B1069&gt;=5,"P3 Maybe","P4 Low")))))))))))</f>
        <v/>
      </c>
      <c r="B1069" s="13" t="n">
        <v>1</v>
      </c>
      <c r="C1069" s="12" t="inlineStr">
        <is>
          <t>Senior/Lead</t>
        </is>
      </c>
      <c r="D1069" s="8" t="inlineStr">
        <is>
          <t>Senior BMC Engineer</t>
        </is>
      </c>
      <c r="E1069" s="7" t="inlineStr">
        <is>
          <t>Graphcore</t>
        </is>
      </c>
      <c r="F1069" s="8" t="inlineStr">
        <is>
          <t>Gdańsk, Pomeranian Voivodeship, Poland</t>
        </is>
      </c>
      <c r="G1069" s="8" t="n"/>
      <c r="H1069" s="14" t="n"/>
      <c r="I1069" s="15">
        <f>IF($H1069="","",$H1069-TODAY())</f>
        <v/>
      </c>
      <c r="J1069" s="16" t="inlineStr">
        <is>
          <t>Open posting</t>
        </is>
      </c>
      <c r="K1069" s="8" t="inlineStr">
        <is>
          <t>filtered by keyword pre-scan</t>
        </is>
      </c>
      <c r="L1069" s="17" t="inlineStr">
        <is>
          <t>new</t>
        </is>
      </c>
      <c r="M1069" s="18" t="inlineStr"/>
      <c r="N1069" s="7" t="inlineStr">
        <is>
          <t>d64f887b67835444dd29f22c1c31c00094b4d8b6</t>
        </is>
      </c>
      <c r="O1069" s="14" t="n">
        <v>46189</v>
      </c>
      <c r="P1069" s="7" t="inlineStr">
        <is>
          <t>greenhouse:graphcore</t>
        </is>
      </c>
      <c r="Q1069" s="8" t="inlineStr"/>
      <c r="R1069" s="8" t="n"/>
      <c r="S1069" s="19" t="n"/>
      <c r="T1069" s="19" t="n"/>
      <c r="U1069" s="14" t="n">
        <v>46189</v>
      </c>
      <c r="V1069" s="7" t="inlineStr">
        <is>
          <t>v1-db41edab064373dd</t>
        </is>
      </c>
    </row>
    <row r="1070" ht="28" customHeight="1">
      <c r="A1070" s="12">
        <f>IF($L1070="applied","Applied",IF($L1070="interview","Interview",IF($L1070="offer","Offer",IF($L1070="rejected","Rejected",IF($L1070="ignore","Ignore",IF($L1070="archive","Archive",IF($L1070="closed","Closed",IF($B1070="","Unscored",IF(AND($B1070&gt;=8,OR($H1070="",$H1070-TODAY()&lt;=14)),"P1 Apply",IF($B1070&gt;=7,"P2 Strong",IF($B1070&gt;=5,"P3 Maybe","P4 Low")))))))))))</f>
        <v/>
      </c>
      <c r="B1070" s="13" t="n">
        <v>1</v>
      </c>
      <c r="C1070" s="12" t="inlineStr">
        <is>
          <t>Senior/Lead</t>
        </is>
      </c>
      <c r="D1070" s="8" t="inlineStr">
        <is>
          <t>Senior Bring-Up and Characterisation Engineer</t>
        </is>
      </c>
      <c r="E1070" s="7" t="inlineStr">
        <is>
          <t>Graphcore</t>
        </is>
      </c>
      <c r="F1070" s="8" t="inlineStr">
        <is>
          <t>Austin, Texas, United States</t>
        </is>
      </c>
      <c r="G1070" s="8" t="n"/>
      <c r="H1070" s="14" t="n"/>
      <c r="I1070" s="15">
        <f>IF($H1070="","",$H1070-TODAY())</f>
        <v/>
      </c>
      <c r="J1070" s="16" t="inlineStr">
        <is>
          <t>Open posting</t>
        </is>
      </c>
      <c r="K1070" s="8" t="inlineStr">
        <is>
          <t>filtered by keyword pre-scan</t>
        </is>
      </c>
      <c r="L1070" s="17" t="inlineStr">
        <is>
          <t>new</t>
        </is>
      </c>
      <c r="M1070" s="18" t="inlineStr"/>
      <c r="N1070" s="7" t="inlineStr">
        <is>
          <t>eb22638648f7d76224be8463345f9299444163a6</t>
        </is>
      </c>
      <c r="O1070" s="14" t="n">
        <v>46189</v>
      </c>
      <c r="P1070" s="7" t="inlineStr">
        <is>
          <t>greenhouse:graphcore</t>
        </is>
      </c>
      <c r="Q1070" s="8" t="inlineStr"/>
      <c r="R1070" s="8" t="n"/>
      <c r="S1070" s="19" t="n"/>
      <c r="T1070" s="19" t="n"/>
      <c r="U1070" s="14" t="n">
        <v>46189</v>
      </c>
      <c r="V1070" s="7" t="inlineStr">
        <is>
          <t>v1-db41edab064373dd</t>
        </is>
      </c>
    </row>
    <row r="1071" ht="28" customHeight="1">
      <c r="A1071" s="12">
        <f>IF($L1071="applied","Applied",IF($L1071="interview","Interview",IF($L1071="offer","Offer",IF($L1071="rejected","Rejected",IF($L1071="ignore","Ignore",IF($L1071="archive","Archive",IF($L1071="closed","Closed",IF($B1071="","Unscored",IF(AND($B1071&gt;=8,OR($H1071="",$H1071-TODAY()&lt;=14)),"P1 Apply",IF($B1071&gt;=7,"P2 Strong",IF($B1071&gt;=5,"P3 Maybe","P4 Low")))))))))))</f>
        <v/>
      </c>
      <c r="B1071" s="13" t="n">
        <v>1</v>
      </c>
      <c r="C1071" s="12" t="inlineStr">
        <is>
          <t>Senior/Lead</t>
        </is>
      </c>
      <c r="D1071" s="8" t="inlineStr">
        <is>
          <t>Senior Bring-Up and Characterisation Engineer</t>
        </is>
      </c>
      <c r="E1071" s="7" t="inlineStr">
        <is>
          <t>Graphcore</t>
        </is>
      </c>
      <c r="F1071" s="8" t="inlineStr">
        <is>
          <t>Austin, Texas, United States</t>
        </is>
      </c>
      <c r="G1071" s="8" t="n"/>
      <c r="H1071" s="14" t="n"/>
      <c r="I1071" s="15">
        <f>IF($H1071="","",$H1071-TODAY())</f>
        <v/>
      </c>
      <c r="J1071" s="16" t="inlineStr">
        <is>
          <t>Open posting</t>
        </is>
      </c>
      <c r="K1071" s="8" t="inlineStr">
        <is>
          <t>filtered by keyword pre-scan</t>
        </is>
      </c>
      <c r="L1071" s="17" t="inlineStr">
        <is>
          <t>new</t>
        </is>
      </c>
      <c r="M1071" s="18" t="inlineStr"/>
      <c r="N1071" s="7" t="inlineStr">
        <is>
          <t>730e34b038d33fa76c72ea28dc58eb86f86b007c</t>
        </is>
      </c>
      <c r="O1071" s="14" t="n">
        <v>46189</v>
      </c>
      <c r="P1071" s="7" t="inlineStr">
        <is>
          <t>greenhouse:graphcore</t>
        </is>
      </c>
      <c r="Q1071" s="8" t="inlineStr"/>
      <c r="R1071" s="8" t="n"/>
      <c r="S1071" s="19" t="n"/>
      <c r="T1071" s="19" t="n"/>
      <c r="U1071" s="14" t="n">
        <v>46189</v>
      </c>
      <c r="V1071" s="7" t="inlineStr">
        <is>
          <t>v1-db41edab064373dd</t>
        </is>
      </c>
    </row>
    <row r="1072" ht="28" customHeight="1">
      <c r="A1072" s="12">
        <f>IF($L1072="applied","Applied",IF($L1072="interview","Interview",IF($L1072="offer","Offer",IF($L1072="rejected","Rejected",IF($L1072="ignore","Ignore",IF($L1072="archive","Archive",IF($L1072="closed","Closed",IF($B1072="","Unscored",IF(AND($B1072&gt;=8,OR($H1072="",$H1072-TODAY()&lt;=14)),"P1 Apply",IF($B1072&gt;=7,"P2 Strong",IF($B1072&gt;=5,"P3 Maybe","P4 Low")))))))))))</f>
        <v/>
      </c>
      <c r="B1072" s="13" t="n">
        <v>1</v>
      </c>
      <c r="C1072" s="12" t="inlineStr">
        <is>
          <t>Senior/Lead</t>
        </is>
      </c>
      <c r="D1072" s="8" t="inlineStr">
        <is>
          <t>Senior Cloud Engineer (K8S)</t>
        </is>
      </c>
      <c r="E1072" s="7" t="inlineStr">
        <is>
          <t>Graphcore</t>
        </is>
      </c>
      <c r="F1072" s="8" t="inlineStr">
        <is>
          <t>Bristol, UK</t>
        </is>
      </c>
      <c r="G1072" s="8" t="n"/>
      <c r="H1072" s="14" t="n"/>
      <c r="I1072" s="15">
        <f>IF($H1072="","",$H1072-TODAY())</f>
        <v/>
      </c>
      <c r="J1072" s="16" t="inlineStr">
        <is>
          <t>Open posting</t>
        </is>
      </c>
      <c r="K1072" s="8" t="inlineStr">
        <is>
          <t>filtered by keyword pre-scan</t>
        </is>
      </c>
      <c r="L1072" s="17" t="inlineStr">
        <is>
          <t>new</t>
        </is>
      </c>
      <c r="M1072" s="18" t="inlineStr"/>
      <c r="N1072" s="7" t="inlineStr">
        <is>
          <t>27ce00e9f3a4098bc063774dedd17541737c25c6</t>
        </is>
      </c>
      <c r="O1072" s="14" t="n">
        <v>46189</v>
      </c>
      <c r="P1072" s="7" t="inlineStr">
        <is>
          <t>greenhouse:graphcore</t>
        </is>
      </c>
      <c r="Q1072" s="8" t="inlineStr"/>
      <c r="R1072" s="8" t="n"/>
      <c r="S1072" s="19" t="n"/>
      <c r="T1072" s="19" t="n"/>
      <c r="U1072" s="14" t="n">
        <v>46189</v>
      </c>
      <c r="V1072" s="7" t="inlineStr">
        <is>
          <t>v1-db41edab064373dd</t>
        </is>
      </c>
    </row>
    <row r="1073" ht="28" customHeight="1">
      <c r="A1073" s="12">
        <f>IF($L1073="applied","Applied",IF($L1073="interview","Interview",IF($L1073="offer","Offer",IF($L1073="rejected","Rejected",IF($L1073="ignore","Ignore",IF($L1073="archive","Archive",IF($L1073="closed","Closed",IF($B1073="","Unscored",IF(AND($B1073&gt;=8,OR($H1073="",$H1073-TODAY()&lt;=14)),"P1 Apply",IF($B1073&gt;=7,"P2 Strong",IF($B1073&gt;=5,"P3 Maybe","P4 Low")))))))))))</f>
        <v/>
      </c>
      <c r="B1073" s="13" t="n">
        <v>1</v>
      </c>
      <c r="C1073" s="12" t="inlineStr">
        <is>
          <t>Senior/Lead</t>
        </is>
      </c>
      <c r="D1073" s="8" t="inlineStr">
        <is>
          <t>Senior Cloud Engineer (K8S)</t>
        </is>
      </c>
      <c r="E1073" s="7" t="inlineStr">
        <is>
          <t>Graphcore</t>
        </is>
      </c>
      <c r="F1073" s="8" t="inlineStr">
        <is>
          <t>London, UK</t>
        </is>
      </c>
      <c r="G1073" s="8" t="n"/>
      <c r="H1073" s="14" t="n"/>
      <c r="I1073" s="15">
        <f>IF($H1073="","",$H1073-TODAY())</f>
        <v/>
      </c>
      <c r="J1073" s="16" t="inlineStr">
        <is>
          <t>Open posting</t>
        </is>
      </c>
      <c r="K1073" s="8" t="inlineStr">
        <is>
          <t>filtered by keyword pre-scan</t>
        </is>
      </c>
      <c r="L1073" s="17" t="inlineStr">
        <is>
          <t>new</t>
        </is>
      </c>
      <c r="M1073" s="18" t="inlineStr"/>
      <c r="N1073" s="7" t="inlineStr">
        <is>
          <t>1f67f824bf0743e1d67c86ccb72121a5f0fd8052</t>
        </is>
      </c>
      <c r="O1073" s="14" t="n">
        <v>46189</v>
      </c>
      <c r="P1073" s="7" t="inlineStr">
        <is>
          <t>greenhouse:graphcore</t>
        </is>
      </c>
      <c r="Q1073" s="8" t="inlineStr"/>
      <c r="R1073" s="8" t="n"/>
      <c r="S1073" s="19" t="n"/>
      <c r="T1073" s="19" t="n"/>
      <c r="U1073" s="14" t="n">
        <v>46189</v>
      </c>
      <c r="V1073" s="7" t="inlineStr">
        <is>
          <t>v1-db41edab064373dd</t>
        </is>
      </c>
    </row>
    <row r="1074" ht="28" customHeight="1">
      <c r="A1074" s="12">
        <f>IF($L1074="applied","Applied",IF($L1074="interview","Interview",IF($L1074="offer","Offer",IF($L1074="rejected","Rejected",IF($L1074="ignore","Ignore",IF($L1074="archive","Archive",IF($L1074="closed","Closed",IF($B1074="","Unscored",IF(AND($B1074&gt;=8,OR($H1074="",$H1074-TODAY()&lt;=14)),"P1 Apply",IF($B1074&gt;=7,"P2 Strong",IF($B1074&gt;=5,"P3 Maybe","P4 Low")))))))))))</f>
        <v/>
      </c>
      <c r="B1074" s="13" t="n">
        <v>1</v>
      </c>
      <c r="C1074" s="12" t="inlineStr">
        <is>
          <t>Senior/Lead</t>
        </is>
      </c>
      <c r="D1074" s="8" t="inlineStr">
        <is>
          <t>Senior Cloud Engineer (K8S)</t>
        </is>
      </c>
      <c r="E1074" s="7" t="inlineStr">
        <is>
          <t>Graphcore</t>
        </is>
      </c>
      <c r="F1074" s="8" t="inlineStr">
        <is>
          <t>Bristol, UK</t>
        </is>
      </c>
      <c r="G1074" s="8" t="n"/>
      <c r="H1074" s="14" t="n"/>
      <c r="I1074" s="15">
        <f>IF($H1074="","",$H1074-TODAY())</f>
        <v/>
      </c>
      <c r="J1074" s="16" t="inlineStr">
        <is>
          <t>Open posting</t>
        </is>
      </c>
      <c r="K1074" s="8" t="inlineStr">
        <is>
          <t>filtered by keyword pre-scan</t>
        </is>
      </c>
      <c r="L1074" s="17" t="inlineStr">
        <is>
          <t>new</t>
        </is>
      </c>
      <c r="M1074" s="18" t="inlineStr"/>
      <c r="N1074" s="7" t="inlineStr">
        <is>
          <t>141df0ce33b14b0098d921a46aa8d0ded1a68e0d</t>
        </is>
      </c>
      <c r="O1074" s="14" t="n">
        <v>46189</v>
      </c>
      <c r="P1074" s="7" t="inlineStr">
        <is>
          <t>greenhouse:graphcore</t>
        </is>
      </c>
      <c r="Q1074" s="8" t="inlineStr"/>
      <c r="R1074" s="8" t="n"/>
      <c r="S1074" s="19" t="n"/>
      <c r="T1074" s="19" t="n"/>
      <c r="U1074" s="14" t="n">
        <v>46189</v>
      </c>
      <c r="V1074" s="7" t="inlineStr">
        <is>
          <t>v1-db41edab064373dd</t>
        </is>
      </c>
    </row>
    <row r="1075" ht="28" customHeight="1">
      <c r="A1075" s="12">
        <f>IF($L1075="applied","Applied",IF($L1075="interview","Interview",IF($L1075="offer","Offer",IF($L1075="rejected","Rejected",IF($L1075="ignore","Ignore",IF($L1075="archive","Archive",IF($L1075="closed","Closed",IF($B1075="","Unscored",IF(AND($B1075&gt;=8,OR($H1075="",$H1075-TODAY()&lt;=14)),"P1 Apply",IF($B1075&gt;=7,"P2 Strong",IF($B1075&gt;=5,"P3 Maybe","P4 Low")))))))))))</f>
        <v/>
      </c>
      <c r="B1075" s="13" t="n">
        <v>1</v>
      </c>
      <c r="C1075" s="12" t="inlineStr">
        <is>
          <t>Senior/Lead</t>
        </is>
      </c>
      <c r="D1075" s="8" t="inlineStr">
        <is>
          <t>Senior Cloud Network Engineer</t>
        </is>
      </c>
      <c r="E1075" s="7" t="inlineStr">
        <is>
          <t>Graphcore</t>
        </is>
      </c>
      <c r="F1075" s="8" t="inlineStr">
        <is>
          <t>Bristol, UK</t>
        </is>
      </c>
      <c r="G1075" s="8" t="n"/>
      <c r="H1075" s="14" t="n"/>
      <c r="I1075" s="15">
        <f>IF($H1075="","",$H1075-TODAY())</f>
        <v/>
      </c>
      <c r="J1075" s="16" t="inlineStr">
        <is>
          <t>Open posting</t>
        </is>
      </c>
      <c r="K1075" s="8" t="inlineStr">
        <is>
          <t>filtered by keyword pre-scan</t>
        </is>
      </c>
      <c r="L1075" s="17" t="inlineStr">
        <is>
          <t>new</t>
        </is>
      </c>
      <c r="M1075" s="18" t="inlineStr"/>
      <c r="N1075" s="7" t="inlineStr">
        <is>
          <t>de6e3b268438c40e365c4f9989a118c39bd8a4a6</t>
        </is>
      </c>
      <c r="O1075" s="14" t="n">
        <v>46189</v>
      </c>
      <c r="P1075" s="7" t="inlineStr">
        <is>
          <t>greenhouse:graphcore</t>
        </is>
      </c>
      <c r="Q1075" s="8" t="inlineStr"/>
      <c r="R1075" s="8" t="n"/>
      <c r="S1075" s="19" t="n"/>
      <c r="T1075" s="19" t="n"/>
      <c r="U1075" s="14" t="n">
        <v>46189</v>
      </c>
      <c r="V1075" s="7" t="inlineStr">
        <is>
          <t>v1-db41edab064373dd</t>
        </is>
      </c>
    </row>
    <row r="1076" ht="28" customHeight="1">
      <c r="A1076" s="12">
        <f>IF($L1076="applied","Applied",IF($L1076="interview","Interview",IF($L1076="offer","Offer",IF($L1076="rejected","Rejected",IF($L1076="ignore","Ignore",IF($L1076="archive","Archive",IF($L1076="closed","Closed",IF($B1076="","Unscored",IF(AND($B1076&gt;=8,OR($H1076="",$H1076-TODAY()&lt;=14)),"P1 Apply",IF($B1076&gt;=7,"P2 Strong",IF($B1076&gt;=5,"P3 Maybe","P4 Low")))))))))))</f>
        <v/>
      </c>
      <c r="B1076" s="13" t="n">
        <v>1</v>
      </c>
      <c r="C1076" s="12" t="inlineStr">
        <is>
          <t>Senior/Lead</t>
        </is>
      </c>
      <c r="D1076" s="8" t="inlineStr">
        <is>
          <t>Senior Cloud Network Engineer</t>
        </is>
      </c>
      <c r="E1076" s="7" t="inlineStr">
        <is>
          <t>Graphcore</t>
        </is>
      </c>
      <c r="F1076" s="8" t="inlineStr">
        <is>
          <t>Bristol, UK</t>
        </is>
      </c>
      <c r="G1076" s="8" t="n"/>
      <c r="H1076" s="14" t="n"/>
      <c r="I1076" s="15">
        <f>IF($H1076="","",$H1076-TODAY())</f>
        <v/>
      </c>
      <c r="J1076" s="16" t="inlineStr">
        <is>
          <t>Open posting</t>
        </is>
      </c>
      <c r="K1076" s="8" t="inlineStr">
        <is>
          <t>filtered by keyword pre-scan</t>
        </is>
      </c>
      <c r="L1076" s="17" t="inlineStr">
        <is>
          <t>new</t>
        </is>
      </c>
      <c r="M1076" s="18" t="inlineStr"/>
      <c r="N1076" s="7" t="inlineStr">
        <is>
          <t>3879465bf3993b8c9621390b5ccf8f5881a10a52</t>
        </is>
      </c>
      <c r="O1076" s="14" t="n">
        <v>46189</v>
      </c>
      <c r="P1076" s="7" t="inlineStr">
        <is>
          <t>greenhouse:graphcore</t>
        </is>
      </c>
      <c r="Q1076" s="8" t="inlineStr"/>
      <c r="R1076" s="8" t="n"/>
      <c r="S1076" s="19" t="n"/>
      <c r="T1076" s="19" t="n"/>
      <c r="U1076" s="14" t="n">
        <v>46189</v>
      </c>
      <c r="V1076" s="7" t="inlineStr">
        <is>
          <t>v1-db41edab064373dd</t>
        </is>
      </c>
    </row>
    <row r="1077" ht="28" customHeight="1">
      <c r="A1077" s="12">
        <f>IF($L1077="applied","Applied",IF($L1077="interview","Interview",IF($L1077="offer","Offer",IF($L1077="rejected","Rejected",IF($L1077="ignore","Ignore",IF($L1077="archive","Archive",IF($L1077="closed","Closed",IF($B1077="","Unscored",IF(AND($B1077&gt;=8,OR($H1077="",$H1077-TODAY()&lt;=14)),"P1 Apply",IF($B1077&gt;=7,"P2 Strong",IF($B1077&gt;=5,"P3 Maybe","P4 Low")))))))))))</f>
        <v/>
      </c>
      <c r="B1077" s="13" t="n">
        <v>1</v>
      </c>
      <c r="C1077" s="12" t="inlineStr">
        <is>
          <t>Senior/Lead</t>
        </is>
      </c>
      <c r="D1077" s="8" t="inlineStr">
        <is>
          <t>Senior Cloud Network Engineer</t>
        </is>
      </c>
      <c r="E1077" s="7" t="inlineStr">
        <is>
          <t>Graphcore</t>
        </is>
      </c>
      <c r="F1077" s="8" t="inlineStr">
        <is>
          <t>London, UK</t>
        </is>
      </c>
      <c r="G1077" s="8" t="n"/>
      <c r="H1077" s="14" t="n"/>
      <c r="I1077" s="15">
        <f>IF($H1077="","",$H1077-TODAY())</f>
        <v/>
      </c>
      <c r="J1077" s="16" t="inlineStr">
        <is>
          <t>Open posting</t>
        </is>
      </c>
      <c r="K1077" s="8" t="inlineStr">
        <is>
          <t>filtered by keyword pre-scan</t>
        </is>
      </c>
      <c r="L1077" s="17" t="inlineStr">
        <is>
          <t>new</t>
        </is>
      </c>
      <c r="M1077" s="18" t="inlineStr"/>
      <c r="N1077" s="7" t="inlineStr">
        <is>
          <t>1b9a05cf169f3d55a20a621e766913d0a08c7e38</t>
        </is>
      </c>
      <c r="O1077" s="14" t="n">
        <v>46189</v>
      </c>
      <c r="P1077" s="7" t="inlineStr">
        <is>
          <t>greenhouse:graphcore</t>
        </is>
      </c>
      <c r="Q1077" s="8" t="inlineStr"/>
      <c r="R1077" s="8" t="n"/>
      <c r="S1077" s="19" t="n"/>
      <c r="T1077" s="19" t="n"/>
      <c r="U1077" s="14" t="n">
        <v>46189</v>
      </c>
      <c r="V1077" s="7" t="inlineStr">
        <is>
          <t>v1-db41edab064373dd</t>
        </is>
      </c>
    </row>
    <row r="1078" ht="28" customHeight="1">
      <c r="A1078" s="12">
        <f>IF($L1078="applied","Applied",IF($L1078="interview","Interview",IF($L1078="offer","Offer",IF($L1078="rejected","Rejected",IF($L1078="ignore","Ignore",IF($L1078="archive","Archive",IF($L1078="closed","Closed",IF($B1078="","Unscored",IF(AND($B1078&gt;=8,OR($H1078="",$H1078-TODAY()&lt;=14)),"P1 Apply",IF($B1078&gt;=7,"P2 Strong",IF($B1078&gt;=5,"P3 Maybe","P4 Low")))))))))))</f>
        <v/>
      </c>
      <c r="B1078" s="13" t="n">
        <v>1</v>
      </c>
      <c r="C1078" s="12" t="inlineStr">
        <is>
          <t>Senior/Lead</t>
        </is>
      </c>
      <c r="D1078" s="8" t="inlineStr">
        <is>
          <t>Senior Cloud Platform Engineer</t>
        </is>
      </c>
      <c r="E1078" s="7" t="inlineStr">
        <is>
          <t>Graphcore</t>
        </is>
      </c>
      <c r="F1078" s="8" t="inlineStr">
        <is>
          <t>Bristol, UK</t>
        </is>
      </c>
      <c r="G1078" s="8" t="n"/>
      <c r="H1078" s="14" t="n"/>
      <c r="I1078" s="15">
        <f>IF($H1078="","",$H1078-TODAY())</f>
        <v/>
      </c>
      <c r="J1078" s="16" t="inlineStr">
        <is>
          <t>Open posting</t>
        </is>
      </c>
      <c r="K1078" s="8" t="inlineStr">
        <is>
          <t>filtered by keyword pre-scan</t>
        </is>
      </c>
      <c r="L1078" s="17" t="inlineStr">
        <is>
          <t>new</t>
        </is>
      </c>
      <c r="M1078" s="18" t="inlineStr"/>
      <c r="N1078" s="7" t="inlineStr">
        <is>
          <t>3e64eead35f5b361f1335bc0a0d975bab87661e5</t>
        </is>
      </c>
      <c r="O1078" s="14" t="n">
        <v>46189</v>
      </c>
      <c r="P1078" s="7" t="inlineStr">
        <is>
          <t>greenhouse:graphcore</t>
        </is>
      </c>
      <c r="Q1078" s="8" t="inlineStr"/>
      <c r="R1078" s="8" t="n"/>
      <c r="S1078" s="19" t="n"/>
      <c r="T1078" s="19" t="n"/>
      <c r="U1078" s="14" t="n">
        <v>46189</v>
      </c>
      <c r="V1078" s="7" t="inlineStr">
        <is>
          <t>v1-db41edab064373dd</t>
        </is>
      </c>
    </row>
    <row r="1079" ht="28" customHeight="1">
      <c r="A1079" s="12">
        <f>IF($L1079="applied","Applied",IF($L1079="interview","Interview",IF($L1079="offer","Offer",IF($L1079="rejected","Rejected",IF($L1079="ignore","Ignore",IF($L1079="archive","Archive",IF($L1079="closed","Closed",IF($B1079="","Unscored",IF(AND($B1079&gt;=8,OR($H1079="",$H1079-TODAY()&lt;=14)),"P1 Apply",IF($B1079&gt;=7,"P2 Strong",IF($B1079&gt;=5,"P3 Maybe","P4 Low")))))))))))</f>
        <v/>
      </c>
      <c r="B1079" s="13" t="n">
        <v>1</v>
      </c>
      <c r="C1079" s="12" t="inlineStr">
        <is>
          <t>Senior/Lead</t>
        </is>
      </c>
      <c r="D1079" s="8" t="inlineStr">
        <is>
          <t>Senior Cloud Platform Engineer</t>
        </is>
      </c>
      <c r="E1079" s="7" t="inlineStr">
        <is>
          <t>Graphcore</t>
        </is>
      </c>
      <c r="F1079" s="8" t="inlineStr">
        <is>
          <t>Bristol, UK</t>
        </is>
      </c>
      <c r="G1079" s="8" t="n"/>
      <c r="H1079" s="14" t="n"/>
      <c r="I1079" s="15">
        <f>IF($H1079="","",$H1079-TODAY())</f>
        <v/>
      </c>
      <c r="J1079" s="16" t="inlineStr">
        <is>
          <t>Open posting</t>
        </is>
      </c>
      <c r="K1079" s="8" t="inlineStr">
        <is>
          <t>filtered by keyword pre-scan</t>
        </is>
      </c>
      <c r="L1079" s="17" t="inlineStr">
        <is>
          <t>new</t>
        </is>
      </c>
      <c r="M1079" s="18" t="inlineStr"/>
      <c r="N1079" s="7" t="inlineStr">
        <is>
          <t>9fdb4bdb11b5f9ca99eeee30a2bfe8078a99df52</t>
        </is>
      </c>
      <c r="O1079" s="14" t="n">
        <v>46189</v>
      </c>
      <c r="P1079" s="7" t="inlineStr">
        <is>
          <t>greenhouse:graphcore</t>
        </is>
      </c>
      <c r="Q1079" s="8" t="inlineStr"/>
      <c r="R1079" s="8" t="n"/>
      <c r="S1079" s="19" t="n"/>
      <c r="T1079" s="19" t="n"/>
      <c r="U1079" s="14" t="n">
        <v>46189</v>
      </c>
      <c r="V1079" s="7" t="inlineStr">
        <is>
          <t>v1-db41edab064373dd</t>
        </is>
      </c>
    </row>
    <row r="1080" ht="28" customHeight="1">
      <c r="A1080" s="12">
        <f>IF($L1080="applied","Applied",IF($L1080="interview","Interview",IF($L1080="offer","Offer",IF($L1080="rejected","Rejected",IF($L1080="ignore","Ignore",IF($L1080="archive","Archive",IF($L1080="closed","Closed",IF($B1080="","Unscored",IF(AND($B1080&gt;=8,OR($H1080="",$H1080-TODAY()&lt;=14)),"P1 Apply",IF($B1080&gt;=7,"P2 Strong",IF($B1080&gt;=5,"P3 Maybe","P4 Low")))))))))))</f>
        <v/>
      </c>
      <c r="B1080" s="13" t="n">
        <v>1</v>
      </c>
      <c r="C1080" s="12" t="inlineStr">
        <is>
          <t>Senior/Lead</t>
        </is>
      </c>
      <c r="D1080" s="8" t="inlineStr">
        <is>
          <t>Senior Cloud Platform Engineer</t>
        </is>
      </c>
      <c r="E1080" s="7" t="inlineStr">
        <is>
          <t>Graphcore</t>
        </is>
      </c>
      <c r="F1080" s="8" t="inlineStr">
        <is>
          <t>London, UK</t>
        </is>
      </c>
      <c r="G1080" s="8" t="n"/>
      <c r="H1080" s="14" t="n"/>
      <c r="I1080" s="15">
        <f>IF($H1080="","",$H1080-TODAY())</f>
        <v/>
      </c>
      <c r="J1080" s="16" t="inlineStr">
        <is>
          <t>Open posting</t>
        </is>
      </c>
      <c r="K1080" s="8" t="inlineStr">
        <is>
          <t>filtered by keyword pre-scan</t>
        </is>
      </c>
      <c r="L1080" s="17" t="inlineStr">
        <is>
          <t>new</t>
        </is>
      </c>
      <c r="M1080" s="18" t="inlineStr"/>
      <c r="N1080" s="7" t="inlineStr">
        <is>
          <t>55ea3d84d69a9660283cfc90a729ad52067fc667</t>
        </is>
      </c>
      <c r="O1080" s="14" t="n">
        <v>46189</v>
      </c>
      <c r="P1080" s="7" t="inlineStr">
        <is>
          <t>greenhouse:graphcore</t>
        </is>
      </c>
      <c r="Q1080" s="8" t="inlineStr"/>
      <c r="R1080" s="8" t="n"/>
      <c r="S1080" s="19" t="n"/>
      <c r="T1080" s="19" t="n"/>
      <c r="U1080" s="14" t="n">
        <v>46189</v>
      </c>
      <c r="V1080" s="7" t="inlineStr">
        <is>
          <t>v1-db41edab064373dd</t>
        </is>
      </c>
    </row>
    <row r="1081" ht="28" customHeight="1">
      <c r="A1081" s="12">
        <f>IF($L1081="applied","Applied",IF($L1081="interview","Interview",IF($L1081="offer","Offer",IF($L1081="rejected","Rejected",IF($L1081="ignore","Ignore",IF($L1081="archive","Archive",IF($L1081="closed","Closed",IF($B1081="","Unscored",IF(AND($B1081&gt;=8,OR($H1081="",$H1081-TODAY()&lt;=14)),"P1 Apply",IF($B1081&gt;=7,"P2 Strong",IF($B1081&gt;=5,"P3 Maybe","P4 Low")))))))))))</f>
        <v/>
      </c>
      <c r="B1081" s="13" t="n">
        <v>1</v>
      </c>
      <c r="C1081" s="12" t="inlineStr">
        <is>
          <t>Senior/Lead</t>
        </is>
      </c>
      <c r="D1081" s="8" t="inlineStr">
        <is>
          <t>Senior Cloud Software Engineer</t>
        </is>
      </c>
      <c r="E1081" s="7" t="inlineStr">
        <is>
          <t>Graphcore</t>
        </is>
      </c>
      <c r="F1081" s="8" t="inlineStr">
        <is>
          <t>Gdańsk, Pomeranian Voivodeship, Poland</t>
        </is>
      </c>
      <c r="G1081" s="8" t="n"/>
      <c r="H1081" s="14" t="n"/>
      <c r="I1081" s="15">
        <f>IF($H1081="","",$H1081-TODAY())</f>
        <v/>
      </c>
      <c r="J1081" s="16" t="inlineStr">
        <is>
          <t>Open posting</t>
        </is>
      </c>
      <c r="K1081" s="8" t="inlineStr">
        <is>
          <t>filtered by keyword pre-scan</t>
        </is>
      </c>
      <c r="L1081" s="17" t="inlineStr">
        <is>
          <t>new</t>
        </is>
      </c>
      <c r="M1081" s="18" t="inlineStr"/>
      <c r="N1081" s="7" t="inlineStr">
        <is>
          <t>2361e91536d7ee00e548eac01b211d6272886f45</t>
        </is>
      </c>
      <c r="O1081" s="14" t="n">
        <v>46189</v>
      </c>
      <c r="P1081" s="7" t="inlineStr">
        <is>
          <t>greenhouse:graphcore</t>
        </is>
      </c>
      <c r="Q1081" s="8" t="inlineStr"/>
      <c r="R1081" s="8" t="n"/>
      <c r="S1081" s="19" t="n"/>
      <c r="T1081" s="19" t="n"/>
      <c r="U1081" s="14" t="n">
        <v>46189</v>
      </c>
      <c r="V1081" s="7" t="inlineStr">
        <is>
          <t>v1-db41edab064373dd</t>
        </is>
      </c>
    </row>
    <row r="1082" ht="28" customHeight="1">
      <c r="A1082" s="12">
        <f>IF($L1082="applied","Applied",IF($L1082="interview","Interview",IF($L1082="offer","Offer",IF($L1082="rejected","Rejected",IF($L1082="ignore","Ignore",IF($L1082="archive","Archive",IF($L1082="closed","Closed",IF($B1082="","Unscored",IF(AND($B1082&gt;=8,OR($H1082="",$H1082-TODAY()&lt;=14)),"P1 Apply",IF($B1082&gt;=7,"P2 Strong",IF($B1082&gt;=5,"P3 Maybe","P4 Low")))))))))))</f>
        <v/>
      </c>
      <c r="B1082" s="13" t="n">
        <v>1</v>
      </c>
      <c r="C1082" s="12" t="inlineStr">
        <is>
          <t>Senior/Lead</t>
        </is>
      </c>
      <c r="D1082" s="8" t="inlineStr">
        <is>
          <t>Senior Component Engineer</t>
        </is>
      </c>
      <c r="E1082" s="7" t="inlineStr">
        <is>
          <t>Graphcore</t>
        </is>
      </c>
      <c r="F1082" s="8" t="inlineStr">
        <is>
          <t>Bristol, UK</t>
        </is>
      </c>
      <c r="G1082" s="8" t="n"/>
      <c r="H1082" s="14" t="n"/>
      <c r="I1082" s="15">
        <f>IF($H1082="","",$H1082-TODAY())</f>
        <v/>
      </c>
      <c r="J1082" s="16" t="inlineStr">
        <is>
          <t>Open posting</t>
        </is>
      </c>
      <c r="K1082" s="8" t="inlineStr">
        <is>
          <t>filtered by keyword pre-scan</t>
        </is>
      </c>
      <c r="L1082" s="17" t="inlineStr">
        <is>
          <t>new</t>
        </is>
      </c>
      <c r="M1082" s="18" t="inlineStr"/>
      <c r="N1082" s="7" t="inlineStr">
        <is>
          <t>3e9a1dc0ccce7f92b617c64cbf302bb712bef2b3</t>
        </is>
      </c>
      <c r="O1082" s="14" t="n">
        <v>46189</v>
      </c>
      <c r="P1082" s="7" t="inlineStr">
        <is>
          <t>greenhouse:graphcore</t>
        </is>
      </c>
      <c r="Q1082" s="8" t="inlineStr"/>
      <c r="R1082" s="8" t="n"/>
      <c r="S1082" s="19" t="n"/>
      <c r="T1082" s="19" t="n"/>
      <c r="U1082" s="14" t="n">
        <v>46189</v>
      </c>
      <c r="V1082" s="7" t="inlineStr">
        <is>
          <t>v1-db41edab064373dd</t>
        </is>
      </c>
    </row>
    <row r="1083" ht="28" customHeight="1">
      <c r="A1083" s="12">
        <f>IF($L1083="applied","Applied",IF($L1083="interview","Interview",IF($L1083="offer","Offer",IF($L1083="rejected","Rejected",IF($L1083="ignore","Ignore",IF($L1083="archive","Archive",IF($L1083="closed","Closed",IF($B1083="","Unscored",IF(AND($B1083&gt;=8,OR($H1083="",$H1083-TODAY()&lt;=14)),"P1 Apply",IF($B1083&gt;=7,"P2 Strong",IF($B1083&gt;=5,"P3 Maybe","P4 Low")))))))))))</f>
        <v/>
      </c>
      <c r="B1083" s="13" t="n">
        <v>1</v>
      </c>
      <c r="C1083" s="12" t="inlineStr">
        <is>
          <t>Senior/Lead</t>
        </is>
      </c>
      <c r="D1083" s="8" t="inlineStr">
        <is>
          <t>Senior Engineer (ML Engineer)</t>
        </is>
      </c>
      <c r="E1083" s="7" t="inlineStr">
        <is>
          <t>Graphcore</t>
        </is>
      </c>
      <c r="F1083" s="8" t="inlineStr">
        <is>
          <t>London, UK</t>
        </is>
      </c>
      <c r="G1083" s="8" t="n"/>
      <c r="H1083" s="14" t="n"/>
      <c r="I1083" s="15">
        <f>IF($H1083="","",$H1083-TODAY())</f>
        <v/>
      </c>
      <c r="J1083" s="16" t="inlineStr">
        <is>
          <t>Open posting</t>
        </is>
      </c>
      <c r="K1083" s="8" t="inlineStr">
        <is>
          <t>filtered by keyword pre-scan</t>
        </is>
      </c>
      <c r="L1083" s="17" t="inlineStr">
        <is>
          <t>new</t>
        </is>
      </c>
      <c r="M1083" s="18" t="inlineStr"/>
      <c r="N1083" s="7" t="inlineStr">
        <is>
          <t>c1a5f8d5e9aa49f06dcfb77932f861fc590eabf4</t>
        </is>
      </c>
      <c r="O1083" s="14" t="n">
        <v>46189</v>
      </c>
      <c r="P1083" s="7" t="inlineStr">
        <is>
          <t>greenhouse:graphcore</t>
        </is>
      </c>
      <c r="Q1083" s="8" t="inlineStr"/>
      <c r="R1083" s="8" t="n"/>
      <c r="S1083" s="19" t="n"/>
      <c r="T1083" s="19" t="n"/>
      <c r="U1083" s="14" t="n">
        <v>46189</v>
      </c>
      <c r="V1083" s="7" t="inlineStr">
        <is>
          <t>v1-db41edab064373dd</t>
        </is>
      </c>
    </row>
    <row r="1084" ht="28" customHeight="1">
      <c r="A1084" s="12">
        <f>IF($L1084="applied","Applied",IF($L1084="interview","Interview",IF($L1084="offer","Offer",IF($L1084="rejected","Rejected",IF($L1084="ignore","Ignore",IF($L1084="archive","Archive",IF($L1084="closed","Closed",IF($B1084="","Unscored",IF(AND($B1084&gt;=8,OR($H1084="",$H1084-TODAY()&lt;=14)),"P1 Apply",IF($B1084&gt;=7,"P2 Strong",IF($B1084&gt;=5,"P3 Maybe","P4 Low")))))))))))</f>
        <v/>
      </c>
      <c r="B1084" s="13" t="n">
        <v>1</v>
      </c>
      <c r="C1084" s="12" t="inlineStr">
        <is>
          <t>Senior/Lead</t>
        </is>
      </c>
      <c r="D1084" s="8" t="inlineStr">
        <is>
          <t>Senior Engineer (ML Engineer)</t>
        </is>
      </c>
      <c r="E1084" s="7" t="inlineStr">
        <is>
          <t>Graphcore</t>
        </is>
      </c>
      <c r="F1084" s="8" t="inlineStr">
        <is>
          <t>Cambridge, UK</t>
        </is>
      </c>
      <c r="G1084" s="8" t="n"/>
      <c r="H1084" s="14" t="n"/>
      <c r="I1084" s="15">
        <f>IF($H1084="","",$H1084-TODAY())</f>
        <v/>
      </c>
      <c r="J1084" s="16" t="inlineStr">
        <is>
          <t>Open posting</t>
        </is>
      </c>
      <c r="K1084" s="8" t="inlineStr">
        <is>
          <t>filtered by keyword pre-scan</t>
        </is>
      </c>
      <c r="L1084" s="17" t="inlineStr">
        <is>
          <t>new</t>
        </is>
      </c>
      <c r="M1084" s="18" t="inlineStr"/>
      <c r="N1084" s="7" t="inlineStr">
        <is>
          <t>b0e442308f93faede470106045ec678ef598bd17</t>
        </is>
      </c>
      <c r="O1084" s="14" t="n">
        <v>46189</v>
      </c>
      <c r="P1084" s="7" t="inlineStr">
        <is>
          <t>greenhouse:graphcore</t>
        </is>
      </c>
      <c r="Q1084" s="8" t="inlineStr"/>
      <c r="R1084" s="8" t="n"/>
      <c r="S1084" s="19" t="n"/>
      <c r="T1084" s="19" t="n"/>
      <c r="U1084" s="14" t="n">
        <v>46189</v>
      </c>
      <c r="V1084" s="7" t="inlineStr">
        <is>
          <t>v1-db41edab064373dd</t>
        </is>
      </c>
    </row>
    <row r="1085" ht="28" customHeight="1">
      <c r="A1085" s="12">
        <f>IF($L1085="applied","Applied",IF($L1085="interview","Interview",IF($L1085="offer","Offer",IF($L1085="rejected","Rejected",IF($L1085="ignore","Ignore",IF($L1085="archive","Archive",IF($L1085="closed","Closed",IF($B1085="","Unscored",IF(AND($B1085&gt;=8,OR($H1085="",$H1085-TODAY()&lt;=14)),"P1 Apply",IF($B1085&gt;=7,"P2 Strong",IF($B1085&gt;=5,"P3 Maybe","P4 Low")))))))))))</f>
        <v/>
      </c>
      <c r="B1085" s="13" t="n">
        <v>1</v>
      </c>
      <c r="C1085" s="12" t="inlineStr">
        <is>
          <t>Senior/Lead</t>
        </is>
      </c>
      <c r="D1085" s="8" t="inlineStr">
        <is>
          <t>Senior Engineer (ML Engineer)</t>
        </is>
      </c>
      <c r="E1085" s="7" t="inlineStr">
        <is>
          <t>Graphcore</t>
        </is>
      </c>
      <c r="F1085" s="8" t="inlineStr">
        <is>
          <t>Bristol, UK</t>
        </is>
      </c>
      <c r="G1085" s="8" t="n"/>
      <c r="H1085" s="14" t="n"/>
      <c r="I1085" s="15">
        <f>IF($H1085="","",$H1085-TODAY())</f>
        <v/>
      </c>
      <c r="J1085" s="16" t="inlineStr">
        <is>
          <t>Open posting</t>
        </is>
      </c>
      <c r="K1085" s="8" t="inlineStr">
        <is>
          <t>filtered by keyword pre-scan</t>
        </is>
      </c>
      <c r="L1085" s="17" t="inlineStr">
        <is>
          <t>new</t>
        </is>
      </c>
      <c r="M1085" s="18" t="inlineStr"/>
      <c r="N1085" s="7" t="inlineStr">
        <is>
          <t>5ecde877e4e189f75c9638b578dfadea8d81517e</t>
        </is>
      </c>
      <c r="O1085" s="14" t="n">
        <v>46189</v>
      </c>
      <c r="P1085" s="7" t="inlineStr">
        <is>
          <t>greenhouse:graphcore</t>
        </is>
      </c>
      <c r="Q1085" s="8" t="inlineStr"/>
      <c r="R1085" s="8" t="n"/>
      <c r="S1085" s="19" t="n"/>
      <c r="T1085" s="19" t="n"/>
      <c r="U1085" s="14" t="n">
        <v>46189</v>
      </c>
      <c r="V1085" s="7" t="inlineStr">
        <is>
          <t>v1-db41edab064373dd</t>
        </is>
      </c>
    </row>
    <row r="1086" ht="28" customHeight="1">
      <c r="A1086" s="12">
        <f>IF($L1086="applied","Applied",IF($L1086="interview","Interview",IF($L1086="offer","Offer",IF($L1086="rejected","Rejected",IF($L1086="ignore","Ignore",IF($L1086="archive","Archive",IF($L1086="closed","Closed",IF($B1086="","Unscored",IF(AND($B1086&gt;=8,OR($H1086="",$H1086-TODAY()&lt;=14)),"P1 Apply",IF($B1086&gt;=7,"P2 Strong",IF($B1086&gt;=5,"P3 Maybe","P4 Low")))))))))))</f>
        <v/>
      </c>
      <c r="B1086" s="13" t="n">
        <v>1</v>
      </c>
      <c r="C1086" s="12" t="inlineStr">
        <is>
          <t>Senior/Lead</t>
        </is>
      </c>
      <c r="D1086" s="8" t="inlineStr">
        <is>
          <t>Senior Firmware Validation Engineer</t>
        </is>
      </c>
      <c r="E1086" s="7" t="inlineStr">
        <is>
          <t>Graphcore</t>
        </is>
      </c>
      <c r="F1086" s="8" t="inlineStr">
        <is>
          <t>Austin, Texas, United States</t>
        </is>
      </c>
      <c r="G1086" s="8" t="n"/>
      <c r="H1086" s="14" t="n"/>
      <c r="I1086" s="15">
        <f>IF($H1086="","",$H1086-TODAY())</f>
        <v/>
      </c>
      <c r="J1086" s="16" t="inlineStr">
        <is>
          <t>Open posting</t>
        </is>
      </c>
      <c r="K1086" s="8" t="inlineStr">
        <is>
          <t>filtered by keyword pre-scan</t>
        </is>
      </c>
      <c r="L1086" s="17" t="inlineStr">
        <is>
          <t>new</t>
        </is>
      </c>
      <c r="M1086" s="18" t="inlineStr"/>
      <c r="N1086" s="7" t="inlineStr">
        <is>
          <t>282a16aac0a71e67cc63676ab73b9ec7b9a49b73</t>
        </is>
      </c>
      <c r="O1086" s="14" t="n">
        <v>46189</v>
      </c>
      <c r="P1086" s="7" t="inlineStr">
        <is>
          <t>greenhouse:graphcore</t>
        </is>
      </c>
      <c r="Q1086" s="8" t="inlineStr"/>
      <c r="R1086" s="8" t="n"/>
      <c r="S1086" s="19" t="n"/>
      <c r="T1086" s="19" t="n"/>
      <c r="U1086" s="14" t="n">
        <v>46189</v>
      </c>
      <c r="V1086" s="7" t="inlineStr">
        <is>
          <t>v1-db41edab064373dd</t>
        </is>
      </c>
    </row>
    <row r="1087" ht="28" customHeight="1">
      <c r="A1087" s="12">
        <f>IF($L1087="applied","Applied",IF($L1087="interview","Interview",IF($L1087="offer","Offer",IF($L1087="rejected","Rejected",IF($L1087="ignore","Ignore",IF($L1087="archive","Archive",IF($L1087="closed","Closed",IF($B1087="","Unscored",IF(AND($B1087&gt;=8,OR($H1087="",$H1087-TODAY()&lt;=14)),"P1 Apply",IF($B1087&gt;=7,"P2 Strong",IF($B1087&gt;=5,"P3 Maybe","P4 Low")))))))))))</f>
        <v/>
      </c>
      <c r="B1087" s="13" t="n">
        <v>1</v>
      </c>
      <c r="C1087" s="12" t="inlineStr">
        <is>
          <t>Senior/Lead</t>
        </is>
      </c>
      <c r="D1087" s="8" t="inlineStr">
        <is>
          <t>Senior ISO Auditor</t>
        </is>
      </c>
      <c r="E1087" s="7" t="inlineStr">
        <is>
          <t>Graphcore</t>
        </is>
      </c>
      <c r="F1087" s="8" t="inlineStr">
        <is>
          <t>Bristol, UK</t>
        </is>
      </c>
      <c r="G1087" s="8" t="n"/>
      <c r="H1087" s="14" t="n"/>
      <c r="I1087" s="15">
        <f>IF($H1087="","",$H1087-TODAY())</f>
        <v/>
      </c>
      <c r="J1087" s="16" t="inlineStr">
        <is>
          <t>Open posting</t>
        </is>
      </c>
      <c r="K1087" s="8" t="inlineStr">
        <is>
          <t>filtered by keyword pre-scan</t>
        </is>
      </c>
      <c r="L1087" s="17" t="inlineStr">
        <is>
          <t>new</t>
        </is>
      </c>
      <c r="M1087" s="18" t="inlineStr"/>
      <c r="N1087" s="7" t="inlineStr">
        <is>
          <t>248f85b29b2e626f71ef201ff7d689b6410cda9f</t>
        </is>
      </c>
      <c r="O1087" s="14" t="n">
        <v>46189</v>
      </c>
      <c r="P1087" s="7" t="inlineStr">
        <is>
          <t>greenhouse:graphcore</t>
        </is>
      </c>
      <c r="Q1087" s="8" t="inlineStr"/>
      <c r="R1087" s="8" t="n"/>
      <c r="S1087" s="19" t="n"/>
      <c r="T1087" s="19" t="n"/>
      <c r="U1087" s="14" t="n">
        <v>46189</v>
      </c>
      <c r="V1087" s="7" t="inlineStr">
        <is>
          <t>v1-db41edab064373dd</t>
        </is>
      </c>
    </row>
    <row r="1088" ht="28" customHeight="1">
      <c r="A1088" s="12">
        <f>IF($L1088="applied","Applied",IF($L1088="interview","Interview",IF($L1088="offer","Offer",IF($L1088="rejected","Rejected",IF($L1088="ignore","Ignore",IF($L1088="archive","Archive",IF($L1088="closed","Closed",IF($B1088="","Unscored",IF(AND($B1088&gt;=8,OR($H1088="",$H1088-TODAY()&lt;=14)),"P1 Apply",IF($B1088&gt;=7,"P2 Strong",IF($B1088&gt;=5,"P3 Maybe","P4 Low")))))))))))</f>
        <v/>
      </c>
      <c r="B1088" s="13" t="n">
        <v>1</v>
      </c>
      <c r="C1088" s="12" t="inlineStr">
        <is>
          <t>Senior/Lead</t>
        </is>
      </c>
      <c r="D1088" s="8" t="inlineStr">
        <is>
          <t>Senior Kubernetes Software Engineer (Go)</t>
        </is>
      </c>
      <c r="E1088" s="7" t="inlineStr">
        <is>
          <t>Graphcore</t>
        </is>
      </c>
      <c r="F1088" s="8" t="inlineStr">
        <is>
          <t>Gdańsk, Pomeranian Voivodeship, Poland</t>
        </is>
      </c>
      <c r="G1088" s="8" t="n"/>
      <c r="H1088" s="14" t="n"/>
      <c r="I1088" s="15">
        <f>IF($H1088="","",$H1088-TODAY())</f>
        <v/>
      </c>
      <c r="J1088" s="16" t="inlineStr">
        <is>
          <t>Open posting</t>
        </is>
      </c>
      <c r="K1088" s="8" t="inlineStr">
        <is>
          <t>filtered by keyword pre-scan</t>
        </is>
      </c>
      <c r="L1088" s="17" t="inlineStr">
        <is>
          <t>new</t>
        </is>
      </c>
      <c r="M1088" s="18" t="inlineStr"/>
      <c r="N1088" s="7" t="inlineStr">
        <is>
          <t>00493adf31bea59bd419144d4d81f03952898cf4</t>
        </is>
      </c>
      <c r="O1088" s="14" t="n">
        <v>46189</v>
      </c>
      <c r="P1088" s="7" t="inlineStr">
        <is>
          <t>greenhouse:graphcore</t>
        </is>
      </c>
      <c r="Q1088" s="8" t="inlineStr"/>
      <c r="R1088" s="8" t="n"/>
      <c r="S1088" s="19" t="n"/>
      <c r="T1088" s="19" t="n"/>
      <c r="U1088" s="14" t="n">
        <v>46189</v>
      </c>
      <c r="V1088" s="7" t="inlineStr">
        <is>
          <t>v1-db41edab064373dd</t>
        </is>
      </c>
    </row>
    <row r="1089" ht="28" customHeight="1">
      <c r="A1089" s="12">
        <f>IF($L1089="applied","Applied",IF($L1089="interview","Interview",IF($L1089="offer","Offer",IF($L1089="rejected","Rejected",IF($L1089="ignore","Ignore",IF($L1089="archive","Archive",IF($L1089="closed","Closed",IF($B1089="","Unscored",IF(AND($B1089&gt;=8,OR($H1089="",$H1089-TODAY()&lt;=14)),"P1 Apply",IF($B1089&gt;=7,"P2 Strong",IF($B1089&gt;=5,"P3 Maybe","P4 Low")))))))))))</f>
        <v/>
      </c>
      <c r="B1089" s="13" t="n">
        <v>1</v>
      </c>
      <c r="C1089" s="12" t="inlineStr">
        <is>
          <t>Senior/Lead</t>
        </is>
      </c>
      <c r="D1089" s="8" t="inlineStr">
        <is>
          <t>Senior Lab Technician</t>
        </is>
      </c>
      <c r="E1089" s="7" t="inlineStr">
        <is>
          <t>Graphcore</t>
        </is>
      </c>
      <c r="F1089" s="8" t="inlineStr">
        <is>
          <t>Austin, Texas, United States</t>
        </is>
      </c>
      <c r="G1089" s="8" t="n"/>
      <c r="H1089" s="14" t="n"/>
      <c r="I1089" s="15">
        <f>IF($H1089="","",$H1089-TODAY())</f>
        <v/>
      </c>
      <c r="J1089" s="16" t="inlineStr">
        <is>
          <t>Open posting</t>
        </is>
      </c>
      <c r="K1089" s="8" t="inlineStr">
        <is>
          <t>filtered by keyword pre-scan</t>
        </is>
      </c>
      <c r="L1089" s="17" t="inlineStr">
        <is>
          <t>new</t>
        </is>
      </c>
      <c r="M1089" s="18" t="inlineStr"/>
      <c r="N1089" s="7" t="inlineStr">
        <is>
          <t>44efcecdf292bf3c6278e5efd7599abafb1e59e0</t>
        </is>
      </c>
      <c r="O1089" s="14" t="n">
        <v>46189</v>
      </c>
      <c r="P1089" s="7" t="inlineStr">
        <is>
          <t>greenhouse:graphcore</t>
        </is>
      </c>
      <c r="Q1089" s="8" t="inlineStr"/>
      <c r="R1089" s="8" t="n"/>
      <c r="S1089" s="19" t="n"/>
      <c r="T1089" s="19" t="n"/>
      <c r="U1089" s="14" t="n">
        <v>46189</v>
      </c>
      <c r="V1089" s="7" t="inlineStr">
        <is>
          <t>v1-db41edab064373dd</t>
        </is>
      </c>
    </row>
    <row r="1090" ht="28" customHeight="1">
      <c r="A1090" s="12">
        <f>IF($L1090="applied","Applied",IF($L1090="interview","Interview",IF($L1090="offer","Offer",IF($L1090="rejected","Rejected",IF($L1090="ignore","Ignore",IF($L1090="archive","Archive",IF($L1090="closed","Closed",IF($B1090="","Unscored",IF(AND($B1090&gt;=8,OR($H1090="",$H1090-TODAY()&lt;=14)),"P1 Apply",IF($B1090&gt;=7,"P2 Strong",IF($B1090&gt;=5,"P3 Maybe","P4 Low")))))))))))</f>
        <v/>
      </c>
      <c r="B1090" s="13" t="n">
        <v>1</v>
      </c>
      <c r="C1090" s="12" t="inlineStr">
        <is>
          <t>Senior/Lead</t>
        </is>
      </c>
      <c r="D1090" s="8" t="inlineStr">
        <is>
          <t>Senior Machine Learning Engineer (Large Systems)</t>
        </is>
      </c>
      <c r="E1090" s="7" t="inlineStr">
        <is>
          <t>Graphcore</t>
        </is>
      </c>
      <c r="F1090" s="8" t="inlineStr">
        <is>
          <t>Gdańsk, Pomeranian Voivodeship, Poland</t>
        </is>
      </c>
      <c r="G1090" s="8" t="n"/>
      <c r="H1090" s="14" t="n"/>
      <c r="I1090" s="15">
        <f>IF($H1090="","",$H1090-TODAY())</f>
        <v/>
      </c>
      <c r="J1090" s="16" t="inlineStr">
        <is>
          <t>Open posting</t>
        </is>
      </c>
      <c r="K1090" s="8" t="inlineStr">
        <is>
          <t>filtered by keyword pre-scan</t>
        </is>
      </c>
      <c r="L1090" s="17" t="inlineStr">
        <is>
          <t>new</t>
        </is>
      </c>
      <c r="M1090" s="18" t="inlineStr"/>
      <c r="N1090" s="7" t="inlineStr">
        <is>
          <t>a9d80956c8e96541cde433f4bda9f990bd4728ce</t>
        </is>
      </c>
      <c r="O1090" s="14" t="n">
        <v>46189</v>
      </c>
      <c r="P1090" s="7" t="inlineStr">
        <is>
          <t>greenhouse:graphcore</t>
        </is>
      </c>
      <c r="Q1090" s="8" t="inlineStr"/>
      <c r="R1090" s="8" t="n"/>
      <c r="S1090" s="19" t="n"/>
      <c r="T1090" s="19" t="n"/>
      <c r="U1090" s="14" t="n">
        <v>46189</v>
      </c>
      <c r="V1090" s="7" t="inlineStr">
        <is>
          <t>v1-db41edab064373dd</t>
        </is>
      </c>
    </row>
    <row r="1091" ht="28" customHeight="1">
      <c r="A1091" s="12">
        <f>IF($L1091="applied","Applied",IF($L1091="interview","Interview",IF($L1091="offer","Offer",IF($L1091="rejected","Rejected",IF($L1091="ignore","Ignore",IF($L1091="archive","Archive",IF($L1091="closed","Closed",IF($B1091="","Unscored",IF(AND($B1091&gt;=8,OR($H1091="",$H1091-TODAY()&lt;=14)),"P1 Apply",IF($B1091&gt;=7,"P2 Strong",IF($B1091&gt;=5,"P3 Maybe","P4 Low")))))))))))</f>
        <v/>
      </c>
      <c r="B1091" s="13" t="n">
        <v>1</v>
      </c>
      <c r="C1091" s="12" t="inlineStr">
        <is>
          <t>Senior/Lead</t>
        </is>
      </c>
      <c r="D1091" s="8" t="inlineStr">
        <is>
          <t>Senior Machine Learning Engineer (Large Systems)</t>
        </is>
      </c>
      <c r="E1091" s="7" t="inlineStr">
        <is>
          <t>Graphcore</t>
        </is>
      </c>
      <c r="F1091" s="8" t="inlineStr">
        <is>
          <t>Bristol, UK; Cambridge, UK; London, UK</t>
        </is>
      </c>
      <c r="G1091" s="8" t="n"/>
      <c r="H1091" s="14" t="n"/>
      <c r="I1091" s="15">
        <f>IF($H1091="","",$H1091-TODAY())</f>
        <v/>
      </c>
      <c r="J1091" s="16" t="inlineStr">
        <is>
          <t>Open posting</t>
        </is>
      </c>
      <c r="K1091" s="8" t="inlineStr">
        <is>
          <t>filtered by keyword pre-scan</t>
        </is>
      </c>
      <c r="L1091" s="17" t="inlineStr">
        <is>
          <t>new</t>
        </is>
      </c>
      <c r="M1091" s="18" t="inlineStr"/>
      <c r="N1091" s="7" t="inlineStr">
        <is>
          <t>15eb1af4841d1ed0a49d48cc7f13a9dc363a3675</t>
        </is>
      </c>
      <c r="O1091" s="14" t="n">
        <v>46189</v>
      </c>
      <c r="P1091" s="7" t="inlineStr">
        <is>
          <t>greenhouse:graphcore</t>
        </is>
      </c>
      <c r="Q1091" s="8" t="inlineStr"/>
      <c r="R1091" s="8" t="n"/>
      <c r="S1091" s="19" t="n"/>
      <c r="T1091" s="19" t="n"/>
      <c r="U1091" s="14" t="n">
        <v>46189</v>
      </c>
      <c r="V1091" s="7" t="inlineStr">
        <is>
          <t>v1-db41edab064373dd</t>
        </is>
      </c>
    </row>
    <row r="1092" ht="28" customHeight="1">
      <c r="A1092" s="12">
        <f>IF($L1092="applied","Applied",IF($L1092="interview","Interview",IF($L1092="offer","Offer",IF($L1092="rejected","Rejected",IF($L1092="ignore","Ignore",IF($L1092="archive","Archive",IF($L1092="closed","Closed",IF($B1092="","Unscored",IF(AND($B1092&gt;=8,OR($H1092="",$H1092-TODAY()&lt;=14)),"P1 Apply",IF($B1092&gt;=7,"P2 Strong",IF($B1092&gt;=5,"P3 Maybe","P4 Low")))))))))))</f>
        <v/>
      </c>
      <c r="B1092" s="13" t="n">
        <v>1</v>
      </c>
      <c r="C1092" s="12" t="inlineStr">
        <is>
          <t>Senior/Lead</t>
        </is>
      </c>
      <c r="D1092" s="8" t="inlineStr">
        <is>
          <t>Senior Machine Learning Engineer (Large Systems)</t>
        </is>
      </c>
      <c r="E1092" s="7" t="inlineStr">
        <is>
          <t>Graphcore</t>
        </is>
      </c>
      <c r="F1092" s="8" t="inlineStr">
        <is>
          <t>Bristol, UK; Cambridge, UK; London, UK</t>
        </is>
      </c>
      <c r="G1092" s="8" t="n"/>
      <c r="H1092" s="14" t="n"/>
      <c r="I1092" s="15">
        <f>IF($H1092="","",$H1092-TODAY())</f>
        <v/>
      </c>
      <c r="J1092" s="16" t="inlineStr">
        <is>
          <t>Open posting</t>
        </is>
      </c>
      <c r="K1092" s="8" t="inlineStr">
        <is>
          <t>filtered by keyword pre-scan</t>
        </is>
      </c>
      <c r="L1092" s="17" t="inlineStr">
        <is>
          <t>new</t>
        </is>
      </c>
      <c r="M1092" s="18" t="inlineStr"/>
      <c r="N1092" s="7" t="inlineStr">
        <is>
          <t>d33343027d9ef19e587554898ecfef942ea94627</t>
        </is>
      </c>
      <c r="O1092" s="14" t="n">
        <v>46189</v>
      </c>
      <c r="P1092" s="7" t="inlineStr">
        <is>
          <t>greenhouse:graphcore</t>
        </is>
      </c>
      <c r="Q1092" s="8" t="inlineStr"/>
      <c r="R1092" s="8" t="n"/>
      <c r="S1092" s="19" t="n"/>
      <c r="T1092" s="19" t="n"/>
      <c r="U1092" s="14" t="n">
        <v>46189</v>
      </c>
      <c r="V1092" s="7" t="inlineStr">
        <is>
          <t>v1-db41edab064373dd</t>
        </is>
      </c>
    </row>
    <row r="1093" ht="28" customHeight="1">
      <c r="A1093" s="12">
        <f>IF($L1093="applied","Applied",IF($L1093="interview","Interview",IF($L1093="offer","Offer",IF($L1093="rejected","Rejected",IF($L1093="ignore","Ignore",IF($L1093="archive","Archive",IF($L1093="closed","Closed",IF($B1093="","Unscored",IF(AND($B1093&gt;=8,OR($H1093="",$H1093-TODAY()&lt;=14)),"P1 Apply",IF($B1093&gt;=7,"P2 Strong",IF($B1093&gt;=5,"P3 Maybe","P4 Low")))))))))))</f>
        <v/>
      </c>
      <c r="B1093" s="13" t="n">
        <v>1</v>
      </c>
      <c r="C1093" s="12" t="inlineStr">
        <is>
          <t>Senior/Lead</t>
        </is>
      </c>
      <c r="D1093" s="8" t="inlineStr">
        <is>
          <t>Senior Post Silicon Validation Engineer (Bringup)</t>
        </is>
      </c>
      <c r="E1093" s="7" t="inlineStr">
        <is>
          <t>Graphcore</t>
        </is>
      </c>
      <c r="F1093" s="8" t="inlineStr">
        <is>
          <t>Austin, Texas, United States</t>
        </is>
      </c>
      <c r="G1093" s="8" t="n"/>
      <c r="H1093" s="14" t="n"/>
      <c r="I1093" s="15">
        <f>IF($H1093="","",$H1093-TODAY())</f>
        <v/>
      </c>
      <c r="J1093" s="16" t="inlineStr">
        <is>
          <t>Open posting</t>
        </is>
      </c>
      <c r="K1093" s="8" t="inlineStr">
        <is>
          <t>filtered by keyword pre-scan</t>
        </is>
      </c>
      <c r="L1093" s="17" t="inlineStr">
        <is>
          <t>new</t>
        </is>
      </c>
      <c r="M1093" s="18" t="inlineStr"/>
      <c r="N1093" s="7" t="inlineStr">
        <is>
          <t>e15eaf75c513388b223321cefca822a41eb9a2e6</t>
        </is>
      </c>
      <c r="O1093" s="14" t="n">
        <v>46189</v>
      </c>
      <c r="P1093" s="7" t="inlineStr">
        <is>
          <t>greenhouse:graphcore</t>
        </is>
      </c>
      <c r="Q1093" s="8" t="inlineStr"/>
      <c r="R1093" s="8" t="n"/>
      <c r="S1093" s="19" t="n"/>
      <c r="T1093" s="19" t="n"/>
      <c r="U1093" s="14" t="n">
        <v>46189</v>
      </c>
      <c r="V1093" s="7" t="inlineStr">
        <is>
          <t>v1-db41edab064373dd</t>
        </is>
      </c>
    </row>
    <row r="1094" ht="28" customHeight="1">
      <c r="A1094" s="12">
        <f>IF($L1094="applied","Applied",IF($L1094="interview","Interview",IF($L1094="offer","Offer",IF($L1094="rejected","Rejected",IF($L1094="ignore","Ignore",IF($L1094="archive","Archive",IF($L1094="closed","Closed",IF($B1094="","Unscored",IF(AND($B1094&gt;=8,OR($H1094="",$H1094-TODAY()&lt;=14)),"P1 Apply",IF($B1094&gt;=7,"P2 Strong",IF($B1094&gt;=5,"P3 Maybe","P4 Low")))))))))))</f>
        <v/>
      </c>
      <c r="B1094" s="13" t="n">
        <v>1</v>
      </c>
      <c r="C1094" s="12" t="inlineStr">
        <is>
          <t>Senior/Lead</t>
        </is>
      </c>
      <c r="D1094" s="8" t="inlineStr">
        <is>
          <t>Senior Post Silicon Validation Engineer (Bringup)</t>
        </is>
      </c>
      <c r="E1094" s="7" t="inlineStr">
        <is>
          <t>Graphcore</t>
        </is>
      </c>
      <c r="F1094" s="8" t="inlineStr">
        <is>
          <t>Austin, Texas, United States</t>
        </is>
      </c>
      <c r="G1094" s="8" t="n"/>
      <c r="H1094" s="14" t="n"/>
      <c r="I1094" s="15">
        <f>IF($H1094="","",$H1094-TODAY())</f>
        <v/>
      </c>
      <c r="J1094" s="16" t="inlineStr">
        <is>
          <t>Open posting</t>
        </is>
      </c>
      <c r="K1094" s="8" t="inlineStr">
        <is>
          <t>filtered by keyword pre-scan</t>
        </is>
      </c>
      <c r="L1094" s="17" t="inlineStr">
        <is>
          <t>new</t>
        </is>
      </c>
      <c r="M1094" s="18" t="inlineStr"/>
      <c r="N1094" s="7" t="inlineStr">
        <is>
          <t>ede2f8482d20293c77f15eea70b2ec3106c8c928</t>
        </is>
      </c>
      <c r="O1094" s="14" t="n">
        <v>46189</v>
      </c>
      <c r="P1094" s="7" t="inlineStr">
        <is>
          <t>greenhouse:graphcore</t>
        </is>
      </c>
      <c r="Q1094" s="8" t="inlineStr"/>
      <c r="R1094" s="8" t="n"/>
      <c r="S1094" s="19" t="n"/>
      <c r="T1094" s="19" t="n"/>
      <c r="U1094" s="14" t="n">
        <v>46189</v>
      </c>
      <c r="V1094" s="7" t="inlineStr">
        <is>
          <t>v1-db41edab064373dd</t>
        </is>
      </c>
    </row>
    <row r="1095" ht="28" customHeight="1">
      <c r="A1095" s="12">
        <f>IF($L1095="applied","Applied",IF($L1095="interview","Interview",IF($L1095="offer","Offer",IF($L1095="rejected","Rejected",IF($L1095="ignore","Ignore",IF($L1095="archive","Archive",IF($L1095="closed","Closed",IF($B1095="","Unscored",IF(AND($B1095&gt;=8,OR($H1095="",$H1095-TODAY()&lt;=14)),"P1 Apply",IF($B1095&gt;=7,"P2 Strong",IF($B1095&gt;=5,"P3 Maybe","P4 Low")))))))))))</f>
        <v/>
      </c>
      <c r="B1095" s="13" t="n">
        <v>1</v>
      </c>
      <c r="C1095" s="12" t="inlineStr">
        <is>
          <t>Senior/Lead</t>
        </is>
      </c>
      <c r="D1095" s="8" t="inlineStr">
        <is>
          <t>Senior Power &amp; Performance Validation Engineer</t>
        </is>
      </c>
      <c r="E1095" s="7" t="inlineStr">
        <is>
          <t>Graphcore</t>
        </is>
      </c>
      <c r="F1095" s="8" t="inlineStr">
        <is>
          <t>Bengaluru, India</t>
        </is>
      </c>
      <c r="G1095" s="8" t="n"/>
      <c r="H1095" s="14" t="n"/>
      <c r="I1095" s="15">
        <f>IF($H1095="","",$H1095-TODAY())</f>
        <v/>
      </c>
      <c r="J1095" s="16" t="inlineStr">
        <is>
          <t>Open posting</t>
        </is>
      </c>
      <c r="K1095" s="8" t="inlineStr">
        <is>
          <t>filtered by keyword pre-scan</t>
        </is>
      </c>
      <c r="L1095" s="17" t="inlineStr">
        <is>
          <t>new</t>
        </is>
      </c>
      <c r="M1095" s="18" t="inlineStr"/>
      <c r="N1095" s="7" t="inlineStr">
        <is>
          <t>e3b5e2e6e0d423b6bdac49d5df635b79f64d7dd3</t>
        </is>
      </c>
      <c r="O1095" s="14" t="n">
        <v>46189</v>
      </c>
      <c r="P1095" s="7" t="inlineStr">
        <is>
          <t>greenhouse:graphcore</t>
        </is>
      </c>
      <c r="Q1095" s="8" t="inlineStr"/>
      <c r="R1095" s="8" t="n"/>
      <c r="S1095" s="19" t="n"/>
      <c r="T1095" s="19" t="n"/>
      <c r="U1095" s="14" t="n">
        <v>46189</v>
      </c>
      <c r="V1095" s="7" t="inlineStr">
        <is>
          <t>v1-db41edab064373dd</t>
        </is>
      </c>
    </row>
    <row r="1096" ht="28" customHeight="1">
      <c r="A1096" s="12">
        <f>IF($L1096="applied","Applied",IF($L1096="interview","Interview",IF($L1096="offer","Offer",IF($L1096="rejected","Rejected",IF($L1096="ignore","Ignore",IF($L1096="archive","Archive",IF($L1096="closed","Closed",IF($B1096="","Unscored",IF(AND($B1096&gt;=8,OR($H1096="",$H1096-TODAY()&lt;=14)),"P1 Apply",IF($B1096&gt;=7,"P2 Strong",IF($B1096&gt;=5,"P3 Maybe","P4 Low")))))))))))</f>
        <v/>
      </c>
      <c r="B1096" s="13" t="n">
        <v>1</v>
      </c>
      <c r="C1096" s="12" t="inlineStr">
        <is>
          <t>Senior/Lead</t>
        </is>
      </c>
      <c r="D1096" s="8" t="inlineStr">
        <is>
          <t>Senior Principal Network Engineer</t>
        </is>
      </c>
      <c r="E1096" s="7" t="inlineStr">
        <is>
          <t>Graphcore</t>
        </is>
      </c>
      <c r="F1096" s="8" t="inlineStr">
        <is>
          <t>Austin, Texas, United States</t>
        </is>
      </c>
      <c r="G1096" s="8" t="n"/>
      <c r="H1096" s="14" t="n"/>
      <c r="I1096" s="15">
        <f>IF($H1096="","",$H1096-TODAY())</f>
        <v/>
      </c>
      <c r="J1096" s="16" t="inlineStr">
        <is>
          <t>Open posting</t>
        </is>
      </c>
      <c r="K1096" s="8" t="inlineStr">
        <is>
          <t>filtered by keyword pre-scan</t>
        </is>
      </c>
      <c r="L1096" s="17" t="inlineStr">
        <is>
          <t>new</t>
        </is>
      </c>
      <c r="M1096" s="18" t="inlineStr"/>
      <c r="N1096" s="7" t="inlineStr">
        <is>
          <t>3f46cc53b85ccea4d42ced87be34419f50054630</t>
        </is>
      </c>
      <c r="O1096" s="14" t="n">
        <v>46189</v>
      </c>
      <c r="P1096" s="7" t="inlineStr">
        <is>
          <t>greenhouse:graphcore</t>
        </is>
      </c>
      <c r="Q1096" s="8" t="inlineStr"/>
      <c r="R1096" s="8" t="n"/>
      <c r="S1096" s="19" t="n"/>
      <c r="T1096" s="19" t="n"/>
      <c r="U1096" s="14" t="n">
        <v>46189</v>
      </c>
      <c r="V1096" s="7" t="inlineStr">
        <is>
          <t>v1-db41edab064373dd</t>
        </is>
      </c>
    </row>
    <row r="1097" ht="28" customHeight="1">
      <c r="A1097" s="12">
        <f>IF($L1097="applied","Applied",IF($L1097="interview","Interview",IF($L1097="offer","Offer",IF($L1097="rejected","Rejected",IF($L1097="ignore","Ignore",IF($L1097="archive","Archive",IF($L1097="closed","Closed",IF($B1097="","Unscored",IF(AND($B1097&gt;=8,OR($H1097="",$H1097-TODAY()&lt;=14)),"P1 Apply",IF($B1097&gt;=7,"P2 Strong",IF($B1097&gt;=5,"P3 Maybe","P4 Low")))))))))))</f>
        <v/>
      </c>
      <c r="B1097" s="13" t="n">
        <v>1</v>
      </c>
      <c r="C1097" s="12" t="inlineStr">
        <is>
          <t>Senior/Lead</t>
        </is>
      </c>
      <c r="D1097" s="8" t="inlineStr">
        <is>
          <t>Senior/Principal Silicon Verification Engineer</t>
        </is>
      </c>
      <c r="E1097" s="7" t="inlineStr">
        <is>
          <t>Graphcore</t>
        </is>
      </c>
      <c r="F1097" s="8" t="inlineStr">
        <is>
          <t>Bristol, UK; Cambridge, UK</t>
        </is>
      </c>
      <c r="G1097" s="8" t="n"/>
      <c r="H1097" s="14" t="n"/>
      <c r="I1097" s="15">
        <f>IF($H1097="","",$H1097-TODAY())</f>
        <v/>
      </c>
      <c r="J1097" s="16" t="inlineStr">
        <is>
          <t>Open posting</t>
        </is>
      </c>
      <c r="K1097" s="8" t="inlineStr">
        <is>
          <t>filtered by keyword pre-scan</t>
        </is>
      </c>
      <c r="L1097" s="17" t="inlineStr">
        <is>
          <t>new</t>
        </is>
      </c>
      <c r="M1097" s="18" t="inlineStr"/>
      <c r="N1097" s="7" t="inlineStr">
        <is>
          <t>be3bfccf0507aa2011ce3661b6a6d82363f7fa78</t>
        </is>
      </c>
      <c r="O1097" s="14" t="n">
        <v>46189</v>
      </c>
      <c r="P1097" s="7" t="inlineStr">
        <is>
          <t>greenhouse:graphcore</t>
        </is>
      </c>
      <c r="Q1097" s="8" t="inlineStr"/>
      <c r="R1097" s="8" t="n"/>
      <c r="S1097" s="19" t="n"/>
      <c r="T1097" s="19" t="n"/>
      <c r="U1097" s="14" t="n">
        <v>46189</v>
      </c>
      <c r="V1097" s="7" t="inlineStr">
        <is>
          <t>v1-db41edab064373dd</t>
        </is>
      </c>
    </row>
    <row r="1098" ht="28" customHeight="1">
      <c r="A1098" s="12">
        <f>IF($L1098="applied","Applied",IF($L1098="interview","Interview",IF($L1098="offer","Offer",IF($L1098="rejected","Rejected",IF($L1098="ignore","Ignore",IF($L1098="archive","Archive",IF($L1098="closed","Closed",IF($B1098="","Unscored",IF(AND($B1098&gt;=8,OR($H1098="",$H1098-TODAY()&lt;=14)),"P1 Apply",IF($B1098&gt;=7,"P2 Strong",IF($B1098&gt;=5,"P3 Maybe","P4 Low")))))))))))</f>
        <v/>
      </c>
      <c r="B1098" s="13" t="n">
        <v>1</v>
      </c>
      <c r="C1098" s="12" t="inlineStr">
        <is>
          <t>Senior/Lead</t>
        </is>
      </c>
      <c r="D1098" s="8" t="inlineStr">
        <is>
          <t>Senior Principal Test Framework Software Engineer</t>
        </is>
      </c>
      <c r="E1098" s="7" t="inlineStr">
        <is>
          <t>Graphcore</t>
        </is>
      </c>
      <c r="F1098" s="8" t="inlineStr">
        <is>
          <t>Austin, Texas, United States</t>
        </is>
      </c>
      <c r="G1098" s="8" t="n"/>
      <c r="H1098" s="14" t="n"/>
      <c r="I1098" s="15">
        <f>IF($H1098="","",$H1098-TODAY())</f>
        <v/>
      </c>
      <c r="J1098" s="16" t="inlineStr">
        <is>
          <t>Open posting</t>
        </is>
      </c>
      <c r="K1098" s="8" t="inlineStr">
        <is>
          <t>filtered by keyword pre-scan</t>
        </is>
      </c>
      <c r="L1098" s="17" t="inlineStr">
        <is>
          <t>new</t>
        </is>
      </c>
      <c r="M1098" s="18" t="inlineStr"/>
      <c r="N1098" s="7" t="inlineStr">
        <is>
          <t>f695cfd2f444a1c5b9d31f4fcdfaf49efac24cd0</t>
        </is>
      </c>
      <c r="O1098" s="14" t="n">
        <v>46189</v>
      </c>
      <c r="P1098" s="7" t="inlineStr">
        <is>
          <t>greenhouse:graphcore</t>
        </is>
      </c>
      <c r="Q1098" s="8" t="inlineStr"/>
      <c r="R1098" s="8" t="n"/>
      <c r="S1098" s="19" t="n"/>
      <c r="T1098" s="19" t="n"/>
      <c r="U1098" s="14" t="n">
        <v>46189</v>
      </c>
      <c r="V1098" s="7" t="inlineStr">
        <is>
          <t>v1-db41edab064373dd</t>
        </is>
      </c>
    </row>
    <row r="1099" ht="28" customHeight="1">
      <c r="A1099" s="12">
        <f>IF($L1099="applied","Applied",IF($L1099="interview","Interview",IF($L1099="offer","Offer",IF($L1099="rejected","Rejected",IF($L1099="ignore","Ignore",IF($L1099="archive","Archive",IF($L1099="closed","Closed",IF($B1099="","Unscored",IF(AND($B1099&gt;=8,OR($H1099="",$H1099-TODAY()&lt;=14)),"P1 Apply",IF($B1099&gt;=7,"P2 Strong",IF($B1099&gt;=5,"P3 Maybe","P4 Low")))))))))))</f>
        <v/>
      </c>
      <c r="B1099" s="13" t="n">
        <v>1</v>
      </c>
      <c r="C1099" s="12" t="inlineStr">
        <is>
          <t>Senior/Lead</t>
        </is>
      </c>
      <c r="D1099" s="8" t="inlineStr">
        <is>
          <t>Senior QA Engineer - Workload Management</t>
        </is>
      </c>
      <c r="E1099" s="7" t="inlineStr">
        <is>
          <t>Graphcore</t>
        </is>
      </c>
      <c r="F1099" s="8" t="inlineStr">
        <is>
          <t>Gdańsk, Pomeranian Voivodeship, Poland</t>
        </is>
      </c>
      <c r="G1099" s="8" t="n"/>
      <c r="H1099" s="14" t="n"/>
      <c r="I1099" s="15">
        <f>IF($H1099="","",$H1099-TODAY())</f>
        <v/>
      </c>
      <c r="J1099" s="16" t="inlineStr">
        <is>
          <t>Open posting</t>
        </is>
      </c>
      <c r="K1099" s="8" t="inlineStr">
        <is>
          <t>filtered by keyword pre-scan</t>
        </is>
      </c>
      <c r="L1099" s="17" t="inlineStr">
        <is>
          <t>new</t>
        </is>
      </c>
      <c r="M1099" s="18" t="inlineStr"/>
      <c r="N1099" s="7" t="inlineStr">
        <is>
          <t>3346906f151a53104d470de6fb15aed39a53fc55</t>
        </is>
      </c>
      <c r="O1099" s="14" t="n">
        <v>46189</v>
      </c>
      <c r="P1099" s="7" t="inlineStr">
        <is>
          <t>greenhouse:graphcore</t>
        </is>
      </c>
      <c r="Q1099" s="8" t="inlineStr"/>
      <c r="R1099" s="8" t="n"/>
      <c r="S1099" s="19" t="n"/>
      <c r="T1099" s="19" t="n"/>
      <c r="U1099" s="14" t="n">
        <v>46189</v>
      </c>
      <c r="V1099" s="7" t="inlineStr">
        <is>
          <t>v1-db41edab064373dd</t>
        </is>
      </c>
    </row>
    <row r="1100" ht="28" customHeight="1">
      <c r="A1100" s="12">
        <f>IF($L1100="applied","Applied",IF($L1100="interview","Interview",IF($L1100="offer","Offer",IF($L1100="rejected","Rejected",IF($L1100="ignore","Ignore",IF($L1100="archive","Archive",IF($L1100="closed","Closed",IF($B1100="","Unscored",IF(AND($B1100&gt;=8,OR($H1100="",$H1100-TODAY()&lt;=14)),"P1 Apply",IF($B1100&gt;=7,"P2 Strong",IF($B1100&gt;=5,"P3 Maybe","P4 Low")))))))))))</f>
        <v/>
      </c>
      <c r="B1100" s="13" t="n">
        <v>1</v>
      </c>
      <c r="C1100" s="12" t="inlineStr">
        <is>
          <t>Senior/Lead</t>
        </is>
      </c>
      <c r="D1100" s="8" t="inlineStr">
        <is>
          <t>Senior Scrum Master</t>
        </is>
      </c>
      <c r="E1100" s="7" t="inlineStr">
        <is>
          <t>Graphcore</t>
        </is>
      </c>
      <c r="F1100" s="8" t="inlineStr">
        <is>
          <t>Bristol, UK</t>
        </is>
      </c>
      <c r="G1100" s="8" t="n"/>
      <c r="H1100" s="14" t="n"/>
      <c r="I1100" s="15">
        <f>IF($H1100="","",$H1100-TODAY())</f>
        <v/>
      </c>
      <c r="J1100" s="16" t="inlineStr">
        <is>
          <t>Open posting</t>
        </is>
      </c>
      <c r="K1100" s="8" t="inlineStr">
        <is>
          <t>filtered by keyword pre-scan</t>
        </is>
      </c>
      <c r="L1100" s="17" t="inlineStr">
        <is>
          <t>new</t>
        </is>
      </c>
      <c r="M1100" s="18" t="inlineStr"/>
      <c r="N1100" s="7" t="inlineStr">
        <is>
          <t>e87844a0d370a7e1242f8ba85f386cfc26be75c6</t>
        </is>
      </c>
      <c r="O1100" s="14" t="n">
        <v>46189</v>
      </c>
      <c r="P1100" s="7" t="inlineStr">
        <is>
          <t>greenhouse:graphcore</t>
        </is>
      </c>
      <c r="Q1100" s="8" t="inlineStr"/>
      <c r="R1100" s="8" t="n"/>
      <c r="S1100" s="19" t="n"/>
      <c r="T1100" s="19" t="n"/>
      <c r="U1100" s="14" t="n">
        <v>46189</v>
      </c>
      <c r="V1100" s="7" t="inlineStr">
        <is>
          <t>v1-db41edab064373dd</t>
        </is>
      </c>
    </row>
    <row r="1101" ht="28" customHeight="1">
      <c r="A1101" s="12">
        <f>IF($L1101="applied","Applied",IF($L1101="interview","Interview",IF($L1101="offer","Offer",IF($L1101="rejected","Rejected",IF($L1101="ignore","Ignore",IF($L1101="archive","Archive",IF($L1101="closed","Closed",IF($B1101="","Unscored",IF(AND($B1101&gt;=8,OR($H1101="",$H1101-TODAY()&lt;=14)),"P1 Apply",IF($B1101&gt;=7,"P2 Strong",IF($B1101&gt;=5,"P3 Maybe","P4 Low")))))))))))</f>
        <v/>
      </c>
      <c r="B1101" s="13" t="n">
        <v>1</v>
      </c>
      <c r="C1101" s="12" t="inlineStr">
        <is>
          <t>Senior/Lead</t>
        </is>
      </c>
      <c r="D1101" s="8" t="inlineStr">
        <is>
          <t>Senior Semiconductor Reliability Engineer – Advanced Silicon &amp; Packaging</t>
        </is>
      </c>
      <c r="E1101" s="7" t="inlineStr">
        <is>
          <t>Graphcore</t>
        </is>
      </c>
      <c r="F1101" s="8" t="inlineStr">
        <is>
          <t>Bristol, UK</t>
        </is>
      </c>
      <c r="G1101" s="8" t="n"/>
      <c r="H1101" s="14" t="n"/>
      <c r="I1101" s="15">
        <f>IF($H1101="","",$H1101-TODAY())</f>
        <v/>
      </c>
      <c r="J1101" s="16" t="inlineStr">
        <is>
          <t>Open posting</t>
        </is>
      </c>
      <c r="K1101" s="8" t="inlineStr">
        <is>
          <t>filtered by keyword pre-scan</t>
        </is>
      </c>
      <c r="L1101" s="17" t="inlineStr">
        <is>
          <t>new</t>
        </is>
      </c>
      <c r="M1101" s="18" t="inlineStr"/>
      <c r="N1101" s="7" t="inlineStr">
        <is>
          <t>29b0288df45a3217a2688aa2988b7e045f114555</t>
        </is>
      </c>
      <c r="O1101" s="14" t="n">
        <v>46189</v>
      </c>
      <c r="P1101" s="7" t="inlineStr">
        <is>
          <t>greenhouse:graphcore</t>
        </is>
      </c>
      <c r="Q1101" s="8" t="inlineStr"/>
      <c r="R1101" s="8" t="n"/>
      <c r="S1101" s="19" t="n"/>
      <c r="T1101" s="19" t="n"/>
      <c r="U1101" s="14" t="n">
        <v>46189</v>
      </c>
      <c r="V1101" s="7" t="inlineStr">
        <is>
          <t>v1-db41edab064373dd</t>
        </is>
      </c>
    </row>
    <row r="1102" ht="28" customHeight="1">
      <c r="A1102" s="12">
        <f>IF($L1102="applied","Applied",IF($L1102="interview","Interview",IF($L1102="offer","Offer",IF($L1102="rejected","Rejected",IF($L1102="ignore","Ignore",IF($L1102="archive","Archive",IF($L1102="closed","Closed",IF($B1102="","Unscored",IF(AND($B1102&gt;=8,OR($H1102="",$H1102-TODAY()&lt;=14)),"P1 Apply",IF($B1102&gt;=7,"P2 Strong",IF($B1102&gt;=5,"P3 Maybe","P4 Low")))))))))))</f>
        <v/>
      </c>
      <c r="B1102" s="13" t="n">
        <v>1</v>
      </c>
      <c r="C1102" s="12" t="inlineStr">
        <is>
          <t>Senior/Lead</t>
        </is>
      </c>
      <c r="D1102" s="8" t="inlineStr">
        <is>
          <t>Senior Signal Integrity Engineer</t>
        </is>
      </c>
      <c r="E1102" s="7" t="inlineStr">
        <is>
          <t>Graphcore</t>
        </is>
      </c>
      <c r="F1102" s="8" t="inlineStr">
        <is>
          <t>Austin, Texas, United States</t>
        </is>
      </c>
      <c r="G1102" s="8" t="n"/>
      <c r="H1102" s="14" t="n"/>
      <c r="I1102" s="15">
        <f>IF($H1102="","",$H1102-TODAY())</f>
        <v/>
      </c>
      <c r="J1102" s="16" t="inlineStr">
        <is>
          <t>Open posting</t>
        </is>
      </c>
      <c r="K1102" s="8" t="inlineStr">
        <is>
          <t>filtered by keyword pre-scan</t>
        </is>
      </c>
      <c r="L1102" s="17" t="inlineStr">
        <is>
          <t>new</t>
        </is>
      </c>
      <c r="M1102" s="18" t="inlineStr"/>
      <c r="N1102" s="7" t="inlineStr">
        <is>
          <t>7e0faeed54a474a734319df84907590a1385ca2e</t>
        </is>
      </c>
      <c r="O1102" s="14" t="n">
        <v>46189</v>
      </c>
      <c r="P1102" s="7" t="inlineStr">
        <is>
          <t>greenhouse:graphcore</t>
        </is>
      </c>
      <c r="Q1102" s="8" t="inlineStr"/>
      <c r="R1102" s="8" t="n"/>
      <c r="S1102" s="19" t="n"/>
      <c r="T1102" s="19" t="n"/>
      <c r="U1102" s="14" t="n">
        <v>46189</v>
      </c>
      <c r="V1102" s="7" t="inlineStr">
        <is>
          <t>v1-db41edab064373dd</t>
        </is>
      </c>
    </row>
    <row r="1103" ht="28" customHeight="1">
      <c r="A1103" s="12">
        <f>IF($L1103="applied","Applied",IF($L1103="interview","Interview",IF($L1103="offer","Offer",IF($L1103="rejected","Rejected",IF($L1103="ignore","Ignore",IF($L1103="archive","Archive",IF($L1103="closed","Closed",IF($B1103="","Unscored",IF(AND($B1103&gt;=8,OR($H1103="",$H1103-TODAY()&lt;=14)),"P1 Apply",IF($B1103&gt;=7,"P2 Strong",IF($B1103&gt;=5,"P3 Maybe","P4 Low")))))))))))</f>
        <v/>
      </c>
      <c r="B1103" s="13" t="n">
        <v>1</v>
      </c>
      <c r="C1103" s="12" t="inlineStr">
        <is>
          <t>Senior/Lead</t>
        </is>
      </c>
      <c r="D1103" s="8" t="inlineStr">
        <is>
          <t>Senior Silicon Logical Design Engineer - Bengaluru</t>
        </is>
      </c>
      <c r="E1103" s="7" t="inlineStr">
        <is>
          <t>Graphcore</t>
        </is>
      </c>
      <c r="F1103" s="8" t="inlineStr">
        <is>
          <t>Bengaluru, India</t>
        </is>
      </c>
      <c r="G1103" s="8" t="n"/>
      <c r="H1103" s="14" t="n"/>
      <c r="I1103" s="15">
        <f>IF($H1103="","",$H1103-TODAY())</f>
        <v/>
      </c>
      <c r="J1103" s="16" t="inlineStr">
        <is>
          <t>Open posting</t>
        </is>
      </c>
      <c r="K1103" s="8" t="inlineStr">
        <is>
          <t>filtered by keyword pre-scan</t>
        </is>
      </c>
      <c r="L1103" s="17" t="inlineStr">
        <is>
          <t>new</t>
        </is>
      </c>
      <c r="M1103" s="18" t="inlineStr"/>
      <c r="N1103" s="7" t="inlineStr">
        <is>
          <t>0fabdf41290ecd10a48201812fd2cbe31ae8c78a</t>
        </is>
      </c>
      <c r="O1103" s="14" t="n">
        <v>46189</v>
      </c>
      <c r="P1103" s="7" t="inlineStr">
        <is>
          <t>greenhouse:graphcore</t>
        </is>
      </c>
      <c r="Q1103" s="8" t="inlineStr"/>
      <c r="R1103" s="8" t="n"/>
      <c r="S1103" s="19" t="n"/>
      <c r="T1103" s="19" t="n"/>
      <c r="U1103" s="14" t="n">
        <v>46189</v>
      </c>
      <c r="V1103" s="7" t="inlineStr">
        <is>
          <t>v1-db41edab064373dd</t>
        </is>
      </c>
    </row>
    <row r="1104" ht="28" customHeight="1">
      <c r="A1104" s="12">
        <f>IF($L1104="applied","Applied",IF($L1104="interview","Interview",IF($L1104="offer","Offer",IF($L1104="rejected","Rejected",IF($L1104="ignore","Ignore",IF($L1104="archive","Archive",IF($L1104="closed","Closed",IF($B1104="","Unscored",IF(AND($B1104&gt;=8,OR($H1104="",$H1104-TODAY()&lt;=14)),"P1 Apply",IF($B1104&gt;=7,"P2 Strong",IF($B1104&gt;=5,"P3 Maybe","P4 Low")))))))))))</f>
        <v/>
      </c>
      <c r="B1104" s="13" t="n">
        <v>1</v>
      </c>
      <c r="C1104" s="12" t="inlineStr">
        <is>
          <t>Senior/Lead</t>
        </is>
      </c>
      <c r="D1104" s="8" t="inlineStr">
        <is>
          <t>Senior SoC Architect</t>
        </is>
      </c>
      <c r="E1104" s="7" t="inlineStr">
        <is>
          <t>Graphcore</t>
        </is>
      </c>
      <c r="F1104" s="8" t="inlineStr">
        <is>
          <t>Bristol, UK</t>
        </is>
      </c>
      <c r="G1104" s="8" t="n"/>
      <c r="H1104" s="14" t="n"/>
      <c r="I1104" s="15">
        <f>IF($H1104="","",$H1104-TODAY())</f>
        <v/>
      </c>
      <c r="J1104" s="16" t="inlineStr">
        <is>
          <t>Open posting</t>
        </is>
      </c>
      <c r="K1104" s="8" t="inlineStr">
        <is>
          <t>filtered by keyword pre-scan</t>
        </is>
      </c>
      <c r="L1104" s="17" t="inlineStr">
        <is>
          <t>new</t>
        </is>
      </c>
      <c r="M1104" s="18" t="inlineStr"/>
      <c r="N1104" s="7" t="inlineStr">
        <is>
          <t>d43344ea34d453b91fe2197dff7544c5eb927d53</t>
        </is>
      </c>
      <c r="O1104" s="14" t="n">
        <v>46189</v>
      </c>
      <c r="P1104" s="7" t="inlineStr">
        <is>
          <t>greenhouse:graphcore</t>
        </is>
      </c>
      <c r="Q1104" s="8" t="inlineStr"/>
      <c r="R1104" s="8" t="n"/>
      <c r="S1104" s="19" t="n"/>
      <c r="T1104" s="19" t="n"/>
      <c r="U1104" s="14" t="n">
        <v>46189</v>
      </c>
      <c r="V1104" s="7" t="inlineStr">
        <is>
          <t>v1-db41edab064373dd</t>
        </is>
      </c>
    </row>
    <row r="1105" ht="28" customHeight="1">
      <c r="A1105" s="12">
        <f>IF($L1105="applied","Applied",IF($L1105="interview","Interview",IF($L1105="offer","Offer",IF($L1105="rejected","Rejected",IF($L1105="ignore","Ignore",IF($L1105="archive","Archive",IF($L1105="closed","Closed",IF($B1105="","Unscored",IF(AND($B1105&gt;=8,OR($H1105="",$H1105-TODAY()&lt;=14)),"P1 Apply",IF($B1105&gt;=7,"P2 Strong",IF($B1105&gt;=5,"P3 Maybe","P4 Low")))))))))))</f>
        <v/>
      </c>
      <c r="B1105" s="13" t="n">
        <v>1</v>
      </c>
      <c r="C1105" s="12" t="inlineStr">
        <is>
          <t>Senior/Lead</t>
        </is>
      </c>
      <c r="D1105" s="8" t="inlineStr">
        <is>
          <t>Senior Software Engineer</t>
        </is>
      </c>
      <c r="E1105" s="7" t="inlineStr">
        <is>
          <t>Graphcore</t>
        </is>
      </c>
      <c r="F1105" s="8" t="inlineStr">
        <is>
          <t>Gdańsk, Pomeranian Voivodeship, Poland</t>
        </is>
      </c>
      <c r="G1105" s="8" t="n"/>
      <c r="H1105" s="14" t="n"/>
      <c r="I1105" s="15">
        <f>IF($H1105="","",$H1105-TODAY())</f>
        <v/>
      </c>
      <c r="J1105" s="16" t="inlineStr">
        <is>
          <t>Open posting</t>
        </is>
      </c>
      <c r="K1105" s="8" t="inlineStr">
        <is>
          <t>filtered by keyword pre-scan</t>
        </is>
      </c>
      <c r="L1105" s="17" t="inlineStr">
        <is>
          <t>new</t>
        </is>
      </c>
      <c r="M1105" s="18" t="inlineStr"/>
      <c r="N1105" s="7" t="inlineStr">
        <is>
          <t>b1f396efcf9d74d7c0102067084d748142cf2bd8</t>
        </is>
      </c>
      <c r="O1105" s="14" t="n">
        <v>46189</v>
      </c>
      <c r="P1105" s="7" t="inlineStr">
        <is>
          <t>greenhouse:graphcore</t>
        </is>
      </c>
      <c r="Q1105" s="8" t="inlineStr"/>
      <c r="R1105" s="8" t="n"/>
      <c r="S1105" s="19" t="n"/>
      <c r="T1105" s="19" t="n"/>
      <c r="U1105" s="14" t="n">
        <v>46189</v>
      </c>
      <c r="V1105" s="7" t="inlineStr">
        <is>
          <t>v1-db41edab064373dd</t>
        </is>
      </c>
    </row>
    <row r="1106" ht="28" customHeight="1">
      <c r="A1106" s="12">
        <f>IF($L1106="applied","Applied",IF($L1106="interview","Interview",IF($L1106="offer","Offer",IF($L1106="rejected","Rejected",IF($L1106="ignore","Ignore",IF($L1106="archive","Archive",IF($L1106="closed","Closed",IF($B1106="","Unscored",IF(AND($B1106&gt;=8,OR($H1106="",$H1106-TODAY()&lt;=14)),"P1 Apply",IF($B1106&gt;=7,"P2 Strong",IF($B1106&gt;=5,"P3 Maybe","P4 Low")))))))))))</f>
        <v/>
      </c>
      <c r="B1106" s="13" t="n">
        <v>1</v>
      </c>
      <c r="C1106" s="12" t="inlineStr">
        <is>
          <t>Senior/Lead</t>
        </is>
      </c>
      <c r="D1106" s="8" t="inlineStr">
        <is>
          <t>Senior Software Engineer</t>
        </is>
      </c>
      <c r="E1106" s="7" t="inlineStr">
        <is>
          <t>Graphcore</t>
        </is>
      </c>
      <c r="F1106" s="8" t="inlineStr">
        <is>
          <t>Gdańsk, Pomeranian Voivodeship, Poland</t>
        </is>
      </c>
      <c r="G1106" s="8" t="n"/>
      <c r="H1106" s="14" t="n"/>
      <c r="I1106" s="15">
        <f>IF($H1106="","",$H1106-TODAY())</f>
        <v/>
      </c>
      <c r="J1106" s="16" t="inlineStr">
        <is>
          <t>Open posting</t>
        </is>
      </c>
      <c r="K1106" s="8" t="inlineStr">
        <is>
          <t>filtered by keyword pre-scan</t>
        </is>
      </c>
      <c r="L1106" s="17" t="inlineStr">
        <is>
          <t>new</t>
        </is>
      </c>
      <c r="M1106" s="18" t="inlineStr"/>
      <c r="N1106" s="7" t="inlineStr">
        <is>
          <t>eb117188b95693fa013be8366eaf98933174913e</t>
        </is>
      </c>
      <c r="O1106" s="14" t="n">
        <v>46189</v>
      </c>
      <c r="P1106" s="7" t="inlineStr">
        <is>
          <t>greenhouse:graphcore</t>
        </is>
      </c>
      <c r="Q1106" s="8" t="inlineStr"/>
      <c r="R1106" s="8" t="n"/>
      <c r="S1106" s="19" t="n"/>
      <c r="T1106" s="19" t="n"/>
      <c r="U1106" s="14" t="n">
        <v>46189</v>
      </c>
      <c r="V1106" s="7" t="inlineStr">
        <is>
          <t>v1-db41edab064373dd</t>
        </is>
      </c>
    </row>
    <row r="1107" ht="28" customHeight="1">
      <c r="A1107" s="12">
        <f>IF($L1107="applied","Applied",IF($L1107="interview","Interview",IF($L1107="offer","Offer",IF($L1107="rejected","Rejected",IF($L1107="ignore","Ignore",IF($L1107="archive","Archive",IF($L1107="closed","Closed",IF($B1107="","Unscored",IF(AND($B1107&gt;=8,OR($H1107="",$H1107-TODAY()&lt;=14)),"P1 Apply",IF($B1107&gt;=7,"P2 Strong",IF($B1107&gt;=5,"P3 Maybe","P4 Low")))))))))))</f>
        <v/>
      </c>
      <c r="B1107" s="13" t="n">
        <v>1</v>
      </c>
      <c r="C1107" s="12" t="inlineStr">
        <is>
          <t>Senior/Lead</t>
        </is>
      </c>
      <c r="D1107" s="8" t="inlineStr">
        <is>
          <t>Senior Software Engineer</t>
        </is>
      </c>
      <c r="E1107" s="7" t="inlineStr">
        <is>
          <t>Graphcore</t>
        </is>
      </c>
      <c r="F1107" s="8" t="inlineStr">
        <is>
          <t>Gdańsk, Pomeranian Voivodeship, Poland</t>
        </is>
      </c>
      <c r="G1107" s="8" t="n"/>
      <c r="H1107" s="14" t="n"/>
      <c r="I1107" s="15">
        <f>IF($H1107="","",$H1107-TODAY())</f>
        <v/>
      </c>
      <c r="J1107" s="16" t="inlineStr">
        <is>
          <t>Open posting</t>
        </is>
      </c>
      <c r="K1107" s="8" t="inlineStr">
        <is>
          <t>filtered by keyword pre-scan</t>
        </is>
      </c>
      <c r="L1107" s="17" t="inlineStr">
        <is>
          <t>new</t>
        </is>
      </c>
      <c r="M1107" s="18" t="inlineStr"/>
      <c r="N1107" s="7" t="inlineStr">
        <is>
          <t>495d9cc423f7bc3240182e3bcaf9c940b3464ca0</t>
        </is>
      </c>
      <c r="O1107" s="14" t="n">
        <v>46189</v>
      </c>
      <c r="P1107" s="7" t="inlineStr">
        <is>
          <t>greenhouse:graphcore</t>
        </is>
      </c>
      <c r="Q1107" s="8" t="inlineStr"/>
      <c r="R1107" s="8" t="n"/>
      <c r="S1107" s="19" t="n"/>
      <c r="T1107" s="19" t="n"/>
      <c r="U1107" s="14" t="n">
        <v>46189</v>
      </c>
      <c r="V1107" s="7" t="inlineStr">
        <is>
          <t>v1-db41edab064373dd</t>
        </is>
      </c>
    </row>
    <row r="1108" ht="28" customHeight="1">
      <c r="A1108" s="12">
        <f>IF($L1108="applied","Applied",IF($L1108="interview","Interview",IF($L1108="offer","Offer",IF($L1108="rejected","Rejected",IF($L1108="ignore","Ignore",IF($L1108="archive","Archive",IF($L1108="closed","Closed",IF($B1108="","Unscored",IF(AND($B1108&gt;=8,OR($H1108="",$H1108-TODAY()&lt;=14)),"P1 Apply",IF($B1108&gt;=7,"P2 Strong",IF($B1108&gt;=5,"P3 Maybe","P4 Low")))))))))))</f>
        <v/>
      </c>
      <c r="B1108" s="13" t="n">
        <v>1</v>
      </c>
      <c r="C1108" s="12" t="inlineStr">
        <is>
          <t>Senior/Lead</t>
        </is>
      </c>
      <c r="D1108" s="8" t="inlineStr">
        <is>
          <t>Senior Software Engineer</t>
        </is>
      </c>
      <c r="E1108" s="7" t="inlineStr">
        <is>
          <t>Graphcore</t>
        </is>
      </c>
      <c r="F1108" s="8" t="inlineStr">
        <is>
          <t>Bristol, UK; Cambridge, UK</t>
        </is>
      </c>
      <c r="G1108" s="8" t="n"/>
      <c r="H1108" s="14" t="n"/>
      <c r="I1108" s="15">
        <f>IF($H1108="","",$H1108-TODAY())</f>
        <v/>
      </c>
      <c r="J1108" s="16" t="inlineStr">
        <is>
          <t>Open posting</t>
        </is>
      </c>
      <c r="K1108" s="8" t="inlineStr">
        <is>
          <t>filtered by keyword pre-scan</t>
        </is>
      </c>
      <c r="L1108" s="17" t="inlineStr">
        <is>
          <t>new</t>
        </is>
      </c>
      <c r="M1108" s="18" t="inlineStr"/>
      <c r="N1108" s="7" t="inlineStr">
        <is>
          <t>065517f65bd166cd8e09436dbc76a6f900ef88d2</t>
        </is>
      </c>
      <c r="O1108" s="14" t="n">
        <v>46189</v>
      </c>
      <c r="P1108" s="7" t="inlineStr">
        <is>
          <t>greenhouse:graphcore</t>
        </is>
      </c>
      <c r="Q1108" s="8" t="inlineStr"/>
      <c r="R1108" s="8" t="n"/>
      <c r="S1108" s="19" t="n"/>
      <c r="T1108" s="19" t="n"/>
      <c r="U1108" s="14" t="n">
        <v>46189</v>
      </c>
      <c r="V1108" s="7" t="inlineStr">
        <is>
          <t>v1-db41edab064373dd</t>
        </is>
      </c>
    </row>
    <row r="1109" ht="28" customHeight="1">
      <c r="A1109" s="12">
        <f>IF($L1109="applied","Applied",IF($L1109="interview","Interview",IF($L1109="offer","Offer",IF($L1109="rejected","Rejected",IF($L1109="ignore","Ignore",IF($L1109="archive","Archive",IF($L1109="closed","Closed",IF($B1109="","Unscored",IF(AND($B1109&gt;=8,OR($H1109="",$H1109-TODAY()&lt;=14)),"P1 Apply",IF($B1109&gt;=7,"P2 Strong",IF($B1109&gt;=5,"P3 Maybe","P4 Low")))))))))))</f>
        <v/>
      </c>
      <c r="B1109" s="13" t="n">
        <v>1</v>
      </c>
      <c r="C1109" s="12" t="inlineStr">
        <is>
          <t>Senior/Lead</t>
        </is>
      </c>
      <c r="D1109" s="8" t="inlineStr">
        <is>
          <t>Senior Software Engineer</t>
        </is>
      </c>
      <c r="E1109" s="7" t="inlineStr">
        <is>
          <t>Graphcore</t>
        </is>
      </c>
      <c r="F1109" s="8" t="inlineStr">
        <is>
          <t>Bristol, UK</t>
        </is>
      </c>
      <c r="G1109" s="8" t="n"/>
      <c r="H1109" s="14" t="n"/>
      <c r="I1109" s="15">
        <f>IF($H1109="","",$H1109-TODAY())</f>
        <v/>
      </c>
      <c r="J1109" s="16" t="inlineStr">
        <is>
          <t>Open posting</t>
        </is>
      </c>
      <c r="K1109" s="8" t="inlineStr">
        <is>
          <t>filtered by keyword pre-scan</t>
        </is>
      </c>
      <c r="L1109" s="17" t="inlineStr">
        <is>
          <t>new</t>
        </is>
      </c>
      <c r="M1109" s="18" t="inlineStr"/>
      <c r="N1109" s="7" t="inlineStr">
        <is>
          <t>a7f01afe887b776c935321d554f56b26a8b013d0</t>
        </is>
      </c>
      <c r="O1109" s="14" t="n">
        <v>46189</v>
      </c>
      <c r="P1109" s="7" t="inlineStr">
        <is>
          <t>greenhouse:graphcore</t>
        </is>
      </c>
      <c r="Q1109" s="8" t="inlineStr"/>
      <c r="R1109" s="8" t="n"/>
      <c r="S1109" s="19" t="n"/>
      <c r="T1109" s="19" t="n"/>
      <c r="U1109" s="14" t="n">
        <v>46189</v>
      </c>
      <c r="V1109" s="7" t="inlineStr">
        <is>
          <t>v1-db41edab064373dd</t>
        </is>
      </c>
    </row>
    <row r="1110" ht="28" customHeight="1">
      <c r="A1110" s="12">
        <f>IF($L1110="applied","Applied",IF($L1110="interview","Interview",IF($L1110="offer","Offer",IF($L1110="rejected","Rejected",IF($L1110="ignore","Ignore",IF($L1110="archive","Archive",IF($L1110="closed","Closed",IF($B1110="","Unscored",IF(AND($B1110&gt;=8,OR($H1110="",$H1110-TODAY()&lt;=14)),"P1 Apply",IF($B1110&gt;=7,"P2 Strong",IF($B1110&gt;=5,"P3 Maybe","P4 Low")))))))))))</f>
        <v/>
      </c>
      <c r="B1110" s="13" t="n">
        <v>1</v>
      </c>
      <c r="C1110" s="12" t="inlineStr">
        <is>
          <t>Senior/Lead</t>
        </is>
      </c>
      <c r="D1110" s="8" t="inlineStr">
        <is>
          <t>Senior Software Engineer - ML Kernels &amp; Runtime</t>
        </is>
      </c>
      <c r="E1110" s="7" t="inlineStr">
        <is>
          <t>Graphcore</t>
        </is>
      </c>
      <c r="F1110" s="8" t="inlineStr">
        <is>
          <t>Gdańsk, Pomeranian Voivodeship, Poland</t>
        </is>
      </c>
      <c r="G1110" s="8" t="n"/>
      <c r="H1110" s="14" t="n"/>
      <c r="I1110" s="15">
        <f>IF($H1110="","",$H1110-TODAY())</f>
        <v/>
      </c>
      <c r="J1110" s="16" t="inlineStr">
        <is>
          <t>Open posting</t>
        </is>
      </c>
      <c r="K1110" s="8" t="inlineStr">
        <is>
          <t>filtered by keyword pre-scan</t>
        </is>
      </c>
      <c r="L1110" s="17" t="inlineStr">
        <is>
          <t>new</t>
        </is>
      </c>
      <c r="M1110" s="18" t="inlineStr"/>
      <c r="N1110" s="7" t="inlineStr">
        <is>
          <t>d7a669c55e32af51547564039425e06d9e5c0b5c</t>
        </is>
      </c>
      <c r="O1110" s="14" t="n">
        <v>46189</v>
      </c>
      <c r="P1110" s="7" t="inlineStr">
        <is>
          <t>greenhouse:graphcore</t>
        </is>
      </c>
      <c r="Q1110" s="8" t="inlineStr"/>
      <c r="R1110" s="8" t="n"/>
      <c r="S1110" s="19" t="n"/>
      <c r="T1110" s="19" t="n"/>
      <c r="U1110" s="14" t="n">
        <v>46189</v>
      </c>
      <c r="V1110" s="7" t="inlineStr">
        <is>
          <t>v1-db41edab064373dd</t>
        </is>
      </c>
    </row>
    <row r="1111" ht="28" customHeight="1">
      <c r="A1111" s="12">
        <f>IF($L1111="applied","Applied",IF($L1111="interview","Interview",IF($L1111="offer","Offer",IF($L1111="rejected","Rejected",IF($L1111="ignore","Ignore",IF($L1111="archive","Archive",IF($L1111="closed","Closed",IF($B1111="","Unscored",IF(AND($B1111&gt;=8,OR($H1111="",$H1111-TODAY()&lt;=14)),"P1 Apply",IF($B1111&gt;=7,"P2 Strong",IF($B1111&gt;=5,"P3 Maybe","P4 Low")))))))))))</f>
        <v/>
      </c>
      <c r="B1111" s="13" t="n">
        <v>1</v>
      </c>
      <c r="C1111" s="12" t="inlineStr">
        <is>
          <t>Senior/Lead</t>
        </is>
      </c>
      <c r="D1111" s="8" t="inlineStr">
        <is>
          <t>Senior Software Engineer (ML QA)</t>
        </is>
      </c>
      <c r="E1111" s="7" t="inlineStr">
        <is>
          <t>Graphcore</t>
        </is>
      </c>
      <c r="F1111" s="8" t="inlineStr">
        <is>
          <t>Bristol, UK</t>
        </is>
      </c>
      <c r="G1111" s="8" t="n"/>
      <c r="H1111" s="14" t="n"/>
      <c r="I1111" s="15">
        <f>IF($H1111="","",$H1111-TODAY())</f>
        <v/>
      </c>
      <c r="J1111" s="16" t="inlineStr">
        <is>
          <t>Open posting</t>
        </is>
      </c>
      <c r="K1111" s="8" t="inlineStr">
        <is>
          <t>filtered by keyword pre-scan</t>
        </is>
      </c>
      <c r="L1111" s="17" t="inlineStr">
        <is>
          <t>new</t>
        </is>
      </c>
      <c r="M1111" s="18" t="inlineStr"/>
      <c r="N1111" s="7" t="inlineStr">
        <is>
          <t>b92c65b85d6e47bd1dad1ee636b5d273a3ca16cd</t>
        </is>
      </c>
      <c r="O1111" s="14" t="n">
        <v>46189</v>
      </c>
      <c r="P1111" s="7" t="inlineStr">
        <is>
          <t>greenhouse:graphcore</t>
        </is>
      </c>
      <c r="Q1111" s="8" t="inlineStr"/>
      <c r="R1111" s="8" t="n"/>
      <c r="S1111" s="19" t="n"/>
      <c r="T1111" s="19" t="n"/>
      <c r="U1111" s="14" t="n">
        <v>46189</v>
      </c>
      <c r="V1111" s="7" t="inlineStr">
        <is>
          <t>v1-db41edab064373dd</t>
        </is>
      </c>
    </row>
    <row r="1112" ht="28" customHeight="1">
      <c r="A1112" s="12">
        <f>IF($L1112="applied","Applied",IF($L1112="interview","Interview",IF($L1112="offer","Offer",IF($L1112="rejected","Rejected",IF($L1112="ignore","Ignore",IF($L1112="archive","Archive",IF($L1112="closed","Closed",IF($B1112="","Unscored",IF(AND($B1112&gt;=8,OR($H1112="",$H1112-TODAY()&lt;=14)),"P1 Apply",IF($B1112&gt;=7,"P2 Strong",IF($B1112&gt;=5,"P3 Maybe","P4 Low")))))))))))</f>
        <v/>
      </c>
      <c r="B1112" s="13" t="n">
        <v>1</v>
      </c>
      <c r="C1112" s="12" t="inlineStr">
        <is>
          <t>Senior/Lead</t>
        </is>
      </c>
      <c r="D1112" s="8" t="inlineStr">
        <is>
          <t>Senior Software Engineer (ML QA)</t>
        </is>
      </c>
      <c r="E1112" s="7" t="inlineStr">
        <is>
          <t>Graphcore</t>
        </is>
      </c>
      <c r="F1112" s="8" t="inlineStr">
        <is>
          <t>London, UK</t>
        </is>
      </c>
      <c r="G1112" s="8" t="n"/>
      <c r="H1112" s="14" t="n"/>
      <c r="I1112" s="15">
        <f>IF($H1112="","",$H1112-TODAY())</f>
        <v/>
      </c>
      <c r="J1112" s="16" t="inlineStr">
        <is>
          <t>Open posting</t>
        </is>
      </c>
      <c r="K1112" s="8" t="inlineStr">
        <is>
          <t>filtered by keyword pre-scan</t>
        </is>
      </c>
      <c r="L1112" s="17" t="inlineStr">
        <is>
          <t>new</t>
        </is>
      </c>
      <c r="M1112" s="18" t="inlineStr"/>
      <c r="N1112" s="7" t="inlineStr">
        <is>
          <t>1712477829f6b282fe0b0dbc3d61d7ef5dbab889</t>
        </is>
      </c>
      <c r="O1112" s="14" t="n">
        <v>46189</v>
      </c>
      <c r="P1112" s="7" t="inlineStr">
        <is>
          <t>greenhouse:graphcore</t>
        </is>
      </c>
      <c r="Q1112" s="8" t="inlineStr"/>
      <c r="R1112" s="8" t="n"/>
      <c r="S1112" s="19" t="n"/>
      <c r="T1112" s="19" t="n"/>
      <c r="U1112" s="14" t="n">
        <v>46189</v>
      </c>
      <c r="V1112" s="7" t="inlineStr">
        <is>
          <t>v1-db41edab064373dd</t>
        </is>
      </c>
    </row>
    <row r="1113" ht="28" customHeight="1">
      <c r="A1113" s="12">
        <f>IF($L1113="applied","Applied",IF($L1113="interview","Interview",IF($L1113="offer","Offer",IF($L1113="rejected","Rejected",IF($L1113="ignore","Ignore",IF($L1113="archive","Archive",IF($L1113="closed","Closed",IF($B1113="","Unscored",IF(AND($B1113&gt;=8,OR($H1113="",$H1113-TODAY()&lt;=14)),"P1 Apply",IF($B1113&gt;=7,"P2 Strong",IF($B1113&gt;=5,"P3 Maybe","P4 Low")))))))))))</f>
        <v/>
      </c>
      <c r="B1113" s="13" t="n">
        <v>1</v>
      </c>
      <c r="C1113" s="12" t="inlineStr">
        <is>
          <t>Senior/Lead</t>
        </is>
      </c>
      <c r="D1113" s="8" t="inlineStr">
        <is>
          <t>Senior Software Engineer (ML QA)</t>
        </is>
      </c>
      <c r="E1113" s="7" t="inlineStr">
        <is>
          <t>Graphcore</t>
        </is>
      </c>
      <c r="F1113" s="8" t="inlineStr">
        <is>
          <t>Cambridge, UK</t>
        </is>
      </c>
      <c r="G1113" s="8" t="n"/>
      <c r="H1113" s="14" t="n"/>
      <c r="I1113" s="15">
        <f>IF($H1113="","",$H1113-TODAY())</f>
        <v/>
      </c>
      <c r="J1113" s="16" t="inlineStr">
        <is>
          <t>Open posting</t>
        </is>
      </c>
      <c r="K1113" s="8" t="inlineStr">
        <is>
          <t>filtered by keyword pre-scan</t>
        </is>
      </c>
      <c r="L1113" s="17" t="inlineStr">
        <is>
          <t>new</t>
        </is>
      </c>
      <c r="M1113" s="18" t="inlineStr"/>
      <c r="N1113" s="7" t="inlineStr">
        <is>
          <t>caee4f2820a50e0bc91f3c40ec323d93bb8b0d01</t>
        </is>
      </c>
      <c r="O1113" s="14" t="n">
        <v>46189</v>
      </c>
      <c r="P1113" s="7" t="inlineStr">
        <is>
          <t>greenhouse:graphcore</t>
        </is>
      </c>
      <c r="Q1113" s="8" t="inlineStr"/>
      <c r="R1113" s="8" t="n"/>
      <c r="S1113" s="19" t="n"/>
      <c r="T1113" s="19" t="n"/>
      <c r="U1113" s="14" t="n">
        <v>46189</v>
      </c>
      <c r="V1113" s="7" t="inlineStr">
        <is>
          <t>v1-db41edab064373dd</t>
        </is>
      </c>
    </row>
    <row r="1114" ht="28" customHeight="1">
      <c r="A1114" s="12">
        <f>IF($L1114="applied","Applied",IF($L1114="interview","Interview",IF($L1114="offer","Offer",IF($L1114="rejected","Rejected",IF($L1114="ignore","Ignore",IF($L1114="archive","Archive",IF($L1114="closed","Closed",IF($B1114="","Unscored",IF(AND($B1114&gt;=8,OR($H1114="",$H1114-TODAY()&lt;=14)),"P1 Apply",IF($B1114&gt;=7,"P2 Strong",IF($B1114&gt;=5,"P3 Maybe","P4 Low")))))))))))</f>
        <v/>
      </c>
      <c r="B1114" s="13" t="n">
        <v>1</v>
      </c>
      <c r="C1114" s="12" t="inlineStr">
        <is>
          <t>Senior/Lead</t>
        </is>
      </c>
      <c r="D1114" s="8" t="inlineStr">
        <is>
          <t>Senior Software Infrastructure Engineer</t>
        </is>
      </c>
      <c r="E1114" s="7" t="inlineStr">
        <is>
          <t>Graphcore</t>
        </is>
      </c>
      <c r="F1114" s="8" t="inlineStr">
        <is>
          <t>Bristol, UK; Cambridge, UK; Gdańsk, Pomeranian Voivodeship, Poland</t>
        </is>
      </c>
      <c r="G1114" s="8" t="n"/>
      <c r="H1114" s="14" t="n"/>
      <c r="I1114" s="15">
        <f>IF($H1114="","",$H1114-TODAY())</f>
        <v/>
      </c>
      <c r="J1114" s="16" t="inlineStr">
        <is>
          <t>Open posting</t>
        </is>
      </c>
      <c r="K1114" s="8" t="inlineStr">
        <is>
          <t>filtered by keyword pre-scan</t>
        </is>
      </c>
      <c r="L1114" s="17" t="inlineStr">
        <is>
          <t>new</t>
        </is>
      </c>
      <c r="M1114" s="18" t="inlineStr"/>
      <c r="N1114" s="7" t="inlineStr">
        <is>
          <t>15364b57d57eb97831b52ebeb01347c1d050fe8f</t>
        </is>
      </c>
      <c r="O1114" s="14" t="n">
        <v>46189</v>
      </c>
      <c r="P1114" s="7" t="inlineStr">
        <is>
          <t>greenhouse:graphcore</t>
        </is>
      </c>
      <c r="Q1114" s="8" t="inlineStr"/>
      <c r="R1114" s="8" t="n"/>
      <c r="S1114" s="19" t="n"/>
      <c r="T1114" s="19" t="n"/>
      <c r="U1114" s="14" t="n">
        <v>46189</v>
      </c>
      <c r="V1114" s="7" t="inlineStr">
        <is>
          <t>v1-db41edab064373dd</t>
        </is>
      </c>
    </row>
    <row r="1115" ht="28" customHeight="1">
      <c r="A1115" s="12">
        <f>IF($L1115="applied","Applied",IF($L1115="interview","Interview",IF($L1115="offer","Offer",IF($L1115="rejected","Rejected",IF($L1115="ignore","Ignore",IF($L1115="archive","Archive",IF($L1115="closed","Closed",IF($B1115="","Unscored",IF(AND($B1115&gt;=8,OR($H1115="",$H1115-TODAY()&lt;=14)),"P1 Apply",IF($B1115&gt;=7,"P2 Strong",IF($B1115&gt;=5,"P3 Maybe","P4 Low")))))))))))</f>
        <v/>
      </c>
      <c r="B1115" s="13" t="n">
        <v>1</v>
      </c>
      <c r="C1115" s="12" t="inlineStr">
        <is>
          <t>Senior/Lead</t>
        </is>
      </c>
      <c r="D1115" s="8" t="inlineStr">
        <is>
          <t>Senior Systems Engineer</t>
        </is>
      </c>
      <c r="E1115" s="7" t="inlineStr">
        <is>
          <t>Graphcore</t>
        </is>
      </c>
      <c r="F1115" s="8" t="inlineStr">
        <is>
          <t>US - Milpitas</t>
        </is>
      </c>
      <c r="G1115" s="8" t="n"/>
      <c r="H1115" s="14" t="n"/>
      <c r="I1115" s="15">
        <f>IF($H1115="","",$H1115-TODAY())</f>
        <v/>
      </c>
      <c r="J1115" s="16" t="inlineStr">
        <is>
          <t>Open posting</t>
        </is>
      </c>
      <c r="K1115" s="8" t="inlineStr">
        <is>
          <t>filtered by keyword pre-scan</t>
        </is>
      </c>
      <c r="L1115" s="17" t="inlineStr">
        <is>
          <t>new</t>
        </is>
      </c>
      <c r="M1115" s="18" t="inlineStr"/>
      <c r="N1115" s="7" t="inlineStr">
        <is>
          <t>92676bd6c67720493a62e15b7c179c5d4b5040ef</t>
        </is>
      </c>
      <c r="O1115" s="14" t="n">
        <v>46189</v>
      </c>
      <c r="P1115" s="7" t="inlineStr">
        <is>
          <t>greenhouse:graphcore</t>
        </is>
      </c>
      <c r="Q1115" s="8" t="inlineStr"/>
      <c r="R1115" s="8" t="n"/>
      <c r="S1115" s="19" t="n"/>
      <c r="T1115" s="19" t="n"/>
      <c r="U1115" s="14" t="n">
        <v>46189</v>
      </c>
      <c r="V1115" s="7" t="inlineStr">
        <is>
          <t>v1-db41edab064373dd</t>
        </is>
      </c>
    </row>
    <row r="1116" ht="28" customHeight="1">
      <c r="A1116" s="12">
        <f>IF($L1116="applied","Applied",IF($L1116="interview","Interview",IF($L1116="offer","Offer",IF($L1116="rejected","Rejected",IF($L1116="ignore","Ignore",IF($L1116="archive","Archive",IF($L1116="closed","Closed",IF($B1116="","Unscored",IF(AND($B1116&gt;=8,OR($H1116="",$H1116-TODAY()&lt;=14)),"P1 Apply",IF($B1116&gt;=7,"P2 Strong",IF($B1116&gt;=5,"P3 Maybe","P4 Low")))))))))))</f>
        <v/>
      </c>
      <c r="B1116" s="13" t="n">
        <v>1</v>
      </c>
      <c r="C1116" s="12" t="inlineStr">
        <is>
          <t>Senior/Lead</t>
        </is>
      </c>
      <c r="D1116" s="8" t="inlineStr">
        <is>
          <t>Senior Systems Engineer – Performance &amp; Reliability</t>
        </is>
      </c>
      <c r="E1116" s="7" t="inlineStr">
        <is>
          <t>Graphcore</t>
        </is>
      </c>
      <c r="F1116" s="8" t="inlineStr">
        <is>
          <t>Bristol, UK</t>
        </is>
      </c>
      <c r="G1116" s="8" t="n"/>
      <c r="H1116" s="14" t="n"/>
      <c r="I1116" s="15">
        <f>IF($H1116="","",$H1116-TODAY())</f>
        <v/>
      </c>
      <c r="J1116" s="16" t="inlineStr">
        <is>
          <t>Open posting</t>
        </is>
      </c>
      <c r="K1116" s="8" t="inlineStr">
        <is>
          <t>filtered by keyword pre-scan</t>
        </is>
      </c>
      <c r="L1116" s="17" t="inlineStr">
        <is>
          <t>new</t>
        </is>
      </c>
      <c r="M1116" s="18" t="inlineStr"/>
      <c r="N1116" s="7" t="inlineStr">
        <is>
          <t>b3be0299d08f3adf7bb8b1e0463b7df08c9ee0f8</t>
        </is>
      </c>
      <c r="O1116" s="14" t="n">
        <v>46189</v>
      </c>
      <c r="P1116" s="7" t="inlineStr">
        <is>
          <t>greenhouse:graphcore</t>
        </is>
      </c>
      <c r="Q1116" s="8" t="inlineStr"/>
      <c r="R1116" s="8" t="n"/>
      <c r="S1116" s="19" t="n"/>
      <c r="T1116" s="19" t="n"/>
      <c r="U1116" s="14" t="n">
        <v>46189</v>
      </c>
      <c r="V1116" s="7" t="inlineStr">
        <is>
          <t>v1-db41edab064373dd</t>
        </is>
      </c>
    </row>
    <row r="1117" ht="28" customHeight="1">
      <c r="A1117" s="12">
        <f>IF($L1117="applied","Applied",IF($L1117="interview","Interview",IF($L1117="offer","Offer",IF($L1117="rejected","Rejected",IF($L1117="ignore","Ignore",IF($L1117="archive","Archive",IF($L1117="closed","Closed",IF($B1117="","Unscored",IF(AND($B1117&gt;=8,OR($H1117="",$H1117-TODAY()&lt;=14)),"P1 Apply",IF($B1117&gt;=7,"P2 Strong",IF($B1117&gt;=5,"P3 Maybe","P4 Low")))))))))))</f>
        <v/>
      </c>
      <c r="B1117" s="13" t="n">
        <v>1</v>
      </c>
      <c r="C1117" s="12" t="inlineStr">
        <is>
          <t>Senior/Lead</t>
        </is>
      </c>
      <c r="D1117" s="8" t="inlineStr">
        <is>
          <t>Senior Systems Engineer – Performance &amp; Reliability</t>
        </is>
      </c>
      <c r="E1117" s="7" t="inlineStr">
        <is>
          <t>Graphcore</t>
        </is>
      </c>
      <c r="F1117" s="8" t="inlineStr">
        <is>
          <t>London, UK</t>
        </is>
      </c>
      <c r="G1117" s="8" t="n"/>
      <c r="H1117" s="14" t="n"/>
      <c r="I1117" s="15">
        <f>IF($H1117="","",$H1117-TODAY())</f>
        <v/>
      </c>
      <c r="J1117" s="16" t="inlineStr">
        <is>
          <t>Open posting</t>
        </is>
      </c>
      <c r="K1117" s="8" t="inlineStr">
        <is>
          <t>filtered by keyword pre-scan</t>
        </is>
      </c>
      <c r="L1117" s="17" t="inlineStr">
        <is>
          <t>new</t>
        </is>
      </c>
      <c r="M1117" s="18" t="inlineStr"/>
      <c r="N1117" s="7" t="inlineStr">
        <is>
          <t>42dfaa8161758886c37a0e2fab39a65b2c7167d7</t>
        </is>
      </c>
      <c r="O1117" s="14" t="n">
        <v>46189</v>
      </c>
      <c r="P1117" s="7" t="inlineStr">
        <is>
          <t>greenhouse:graphcore</t>
        </is>
      </c>
      <c r="Q1117" s="8" t="inlineStr"/>
      <c r="R1117" s="8" t="n"/>
      <c r="S1117" s="19" t="n"/>
      <c r="T1117" s="19" t="n"/>
      <c r="U1117" s="14" t="n">
        <v>46189</v>
      </c>
      <c r="V1117" s="7" t="inlineStr">
        <is>
          <t>v1-db41edab064373dd</t>
        </is>
      </c>
    </row>
    <row r="1118" ht="28" customHeight="1">
      <c r="A1118" s="12">
        <f>IF($L1118="applied","Applied",IF($L1118="interview","Interview",IF($L1118="offer","Offer",IF($L1118="rejected","Rejected",IF($L1118="ignore","Ignore",IF($L1118="archive","Archive",IF($L1118="closed","Closed",IF($B1118="","Unscored",IF(AND($B1118&gt;=8,OR($H1118="",$H1118-TODAY()&lt;=14)),"P1 Apply",IF($B1118&gt;=7,"P2 Strong",IF($B1118&gt;=5,"P3 Maybe","P4 Low")))))))))))</f>
        <v/>
      </c>
      <c r="B1118" s="13" t="n">
        <v>1</v>
      </c>
      <c r="C1118" s="12" t="inlineStr">
        <is>
          <t>Senior/Lead</t>
        </is>
      </c>
      <c r="D1118" s="8" t="inlineStr">
        <is>
          <t>Senior Systems Engineer – Performance &amp; Reliability</t>
        </is>
      </c>
      <c r="E1118" s="7" t="inlineStr">
        <is>
          <t>Graphcore</t>
        </is>
      </c>
      <c r="F1118" s="8" t="inlineStr">
        <is>
          <t>Gdańsk, Pomeranian Voivodeship, Poland</t>
        </is>
      </c>
      <c r="G1118" s="8" t="n"/>
      <c r="H1118" s="14" t="n"/>
      <c r="I1118" s="15">
        <f>IF($H1118="","",$H1118-TODAY())</f>
        <v/>
      </c>
      <c r="J1118" s="16" t="inlineStr">
        <is>
          <t>Open posting</t>
        </is>
      </c>
      <c r="K1118" s="8" t="inlineStr">
        <is>
          <t>filtered by keyword pre-scan</t>
        </is>
      </c>
      <c r="L1118" s="17" t="inlineStr">
        <is>
          <t>new</t>
        </is>
      </c>
      <c r="M1118" s="18" t="inlineStr"/>
      <c r="N1118" s="7" t="inlineStr">
        <is>
          <t>3a557e888a7406851ef6d9bcf686f41ef8e059fe</t>
        </is>
      </c>
      <c r="O1118" s="14" t="n">
        <v>46189</v>
      </c>
      <c r="P1118" s="7" t="inlineStr">
        <is>
          <t>greenhouse:graphcore</t>
        </is>
      </c>
      <c r="Q1118" s="8" t="inlineStr"/>
      <c r="R1118" s="8" t="n"/>
      <c r="S1118" s="19" t="n"/>
      <c r="T1118" s="19" t="n"/>
      <c r="U1118" s="14" t="n">
        <v>46189</v>
      </c>
      <c r="V1118" s="7" t="inlineStr">
        <is>
          <t>v1-db41edab064373dd</t>
        </is>
      </c>
    </row>
    <row r="1119" ht="28" customHeight="1">
      <c r="A1119" s="12">
        <f>IF($L1119="applied","Applied",IF($L1119="interview","Interview",IF($L1119="offer","Offer",IF($L1119="rejected","Rejected",IF($L1119="ignore","Ignore",IF($L1119="archive","Archive",IF($L1119="closed","Closed",IF($B1119="","Unscored",IF(AND($B1119&gt;=8,OR($H1119="",$H1119-TODAY()&lt;=14)),"P1 Apply",IF($B1119&gt;=7,"P2 Strong",IF($B1119&gt;=5,"P3 Maybe","P4 Low")))))))))))</f>
        <v/>
      </c>
      <c r="B1119" s="13" t="n">
        <v>1</v>
      </c>
      <c r="C1119" s="12" t="inlineStr">
        <is>
          <t>Senior/Lead</t>
        </is>
      </c>
      <c r="D1119" s="8" t="inlineStr">
        <is>
          <t>Senior Systems Engineer – Performance &amp; Reliability (Analysis)</t>
        </is>
      </c>
      <c r="E1119" s="7" t="inlineStr">
        <is>
          <t>Graphcore</t>
        </is>
      </c>
      <c r="F1119" s="8" t="inlineStr">
        <is>
          <t>Gdańsk, Pomeranian Voivodeship, Poland</t>
        </is>
      </c>
      <c r="G1119" s="8" t="n"/>
      <c r="H1119" s="14" t="n"/>
      <c r="I1119" s="15">
        <f>IF($H1119="","",$H1119-TODAY())</f>
        <v/>
      </c>
      <c r="J1119" s="16" t="inlineStr">
        <is>
          <t>Open posting</t>
        </is>
      </c>
      <c r="K1119" s="8" t="inlineStr">
        <is>
          <t>filtered by keyword pre-scan</t>
        </is>
      </c>
      <c r="L1119" s="17" t="inlineStr">
        <is>
          <t>new</t>
        </is>
      </c>
      <c r="M1119" s="18" t="inlineStr"/>
      <c r="N1119" s="7" t="inlineStr">
        <is>
          <t>5629bc40c9e3d1023263602215919416483b23bc</t>
        </is>
      </c>
      <c r="O1119" s="14" t="n">
        <v>46189</v>
      </c>
      <c r="P1119" s="7" t="inlineStr">
        <is>
          <t>greenhouse:graphcore</t>
        </is>
      </c>
      <c r="Q1119" s="8" t="inlineStr"/>
      <c r="R1119" s="8" t="n"/>
      <c r="S1119" s="19" t="n"/>
      <c r="T1119" s="19" t="n"/>
      <c r="U1119" s="14" t="n">
        <v>46189</v>
      </c>
      <c r="V1119" s="7" t="inlineStr">
        <is>
          <t>v1-db41edab064373dd</t>
        </is>
      </c>
    </row>
    <row r="1120" ht="28" customHeight="1">
      <c r="A1120" s="12">
        <f>IF($L1120="applied","Applied",IF($L1120="interview","Interview",IF($L1120="offer","Offer",IF($L1120="rejected","Rejected",IF($L1120="ignore","Ignore",IF($L1120="archive","Archive",IF($L1120="closed","Closed",IF($B1120="","Unscored",IF(AND($B1120&gt;=8,OR($H1120="",$H1120-TODAY()&lt;=14)),"P1 Apply",IF($B1120&gt;=7,"P2 Strong",IF($B1120&gt;=5,"P3 Maybe","P4 Low")))))))))))</f>
        <v/>
      </c>
      <c r="B1120" s="13" t="n">
        <v>1</v>
      </c>
      <c r="C1120" s="12" t="inlineStr">
        <is>
          <t>Senior/Lead</t>
        </is>
      </c>
      <c r="D1120" s="8" t="inlineStr">
        <is>
          <t>Senior Systems Engineer – Performance &amp; Reliability (Analysis)</t>
        </is>
      </c>
      <c r="E1120" s="7" t="inlineStr">
        <is>
          <t>Graphcore</t>
        </is>
      </c>
      <c r="F1120" s="8" t="inlineStr">
        <is>
          <t>London, UK</t>
        </is>
      </c>
      <c r="G1120" s="8" t="n"/>
      <c r="H1120" s="14" t="n"/>
      <c r="I1120" s="15">
        <f>IF($H1120="","",$H1120-TODAY())</f>
        <v/>
      </c>
      <c r="J1120" s="16" t="inlineStr">
        <is>
          <t>Open posting</t>
        </is>
      </c>
      <c r="K1120" s="8" t="inlineStr">
        <is>
          <t>filtered by keyword pre-scan</t>
        </is>
      </c>
      <c r="L1120" s="17" t="inlineStr">
        <is>
          <t>new</t>
        </is>
      </c>
      <c r="M1120" s="18" t="inlineStr"/>
      <c r="N1120" s="7" t="inlineStr">
        <is>
          <t>2a40d29fcf73737e2d0ec1a1bf0336adfd5778f8</t>
        </is>
      </c>
      <c r="O1120" s="14" t="n">
        <v>46189</v>
      </c>
      <c r="P1120" s="7" t="inlineStr">
        <is>
          <t>greenhouse:graphcore</t>
        </is>
      </c>
      <c r="Q1120" s="8" t="inlineStr"/>
      <c r="R1120" s="8" t="n"/>
      <c r="S1120" s="19" t="n"/>
      <c r="T1120" s="19" t="n"/>
      <c r="U1120" s="14" t="n">
        <v>46189</v>
      </c>
      <c r="V1120" s="7" t="inlineStr">
        <is>
          <t>v1-db41edab064373dd</t>
        </is>
      </c>
    </row>
    <row r="1121" ht="28" customHeight="1">
      <c r="A1121" s="12">
        <f>IF($L1121="applied","Applied",IF($L1121="interview","Interview",IF($L1121="offer","Offer",IF($L1121="rejected","Rejected",IF($L1121="ignore","Ignore",IF($L1121="archive","Archive",IF($L1121="closed","Closed",IF($B1121="","Unscored",IF(AND($B1121&gt;=8,OR($H1121="",$H1121-TODAY()&lt;=14)),"P1 Apply",IF($B1121&gt;=7,"P2 Strong",IF($B1121&gt;=5,"P3 Maybe","P4 Low")))))))))))</f>
        <v/>
      </c>
      <c r="B1121" s="13" t="n">
        <v>1</v>
      </c>
      <c r="C1121" s="12" t="inlineStr">
        <is>
          <t>Senior/Lead</t>
        </is>
      </c>
      <c r="D1121" s="8" t="inlineStr">
        <is>
          <t>Senior Systems Engineer – Performance &amp; Reliability (Analysis)</t>
        </is>
      </c>
      <c r="E1121" s="7" t="inlineStr">
        <is>
          <t>Graphcore</t>
        </is>
      </c>
      <c r="F1121" s="8" t="inlineStr">
        <is>
          <t>Bristol, UK</t>
        </is>
      </c>
      <c r="G1121" s="8" t="n"/>
      <c r="H1121" s="14" t="n"/>
      <c r="I1121" s="15">
        <f>IF($H1121="","",$H1121-TODAY())</f>
        <v/>
      </c>
      <c r="J1121" s="16" t="inlineStr">
        <is>
          <t>Open posting</t>
        </is>
      </c>
      <c r="K1121" s="8" t="inlineStr">
        <is>
          <t>filtered by keyword pre-scan</t>
        </is>
      </c>
      <c r="L1121" s="17" t="inlineStr">
        <is>
          <t>new</t>
        </is>
      </c>
      <c r="M1121" s="18" t="inlineStr"/>
      <c r="N1121" s="7" t="inlineStr">
        <is>
          <t>d78dc08e0103b83d078e236eba07327a6abe6c0d</t>
        </is>
      </c>
      <c r="O1121" s="14" t="n">
        <v>46189</v>
      </c>
      <c r="P1121" s="7" t="inlineStr">
        <is>
          <t>greenhouse:graphcore</t>
        </is>
      </c>
      <c r="Q1121" s="8" t="inlineStr"/>
      <c r="R1121" s="8" t="n"/>
      <c r="S1121" s="19" t="n"/>
      <c r="T1121" s="19" t="n"/>
      <c r="U1121" s="14" t="n">
        <v>46189</v>
      </c>
      <c r="V1121" s="7" t="inlineStr">
        <is>
          <t>v1-db41edab064373dd</t>
        </is>
      </c>
    </row>
    <row r="1122" ht="28" customHeight="1">
      <c r="A1122" s="12">
        <f>IF($L1122="applied","Applied",IF($L1122="interview","Interview",IF($L1122="offer","Offer",IF($L1122="rejected","Rejected",IF($L1122="ignore","Ignore",IF($L1122="archive","Archive",IF($L1122="closed","Closed",IF($B1122="","Unscored",IF(AND($B1122&gt;=8,OR($H1122="",$H1122-TODAY()&lt;=14)),"P1 Apply",IF($B1122&gt;=7,"P2 Strong",IF($B1122&gt;=5,"P3 Maybe","P4 Low")))))))))))</f>
        <v/>
      </c>
      <c r="B1122" s="13" t="n">
        <v>1</v>
      </c>
      <c r="C1122" s="12" t="inlineStr">
        <is>
          <t>Senior/Lead</t>
        </is>
      </c>
      <c r="D1122" s="8" t="inlineStr">
        <is>
          <t>Senior System Validation Engineer</t>
        </is>
      </c>
      <c r="E1122" s="7" t="inlineStr">
        <is>
          <t>Graphcore</t>
        </is>
      </c>
      <c r="F1122" s="8" t="inlineStr">
        <is>
          <t>Austin, Texas, United States</t>
        </is>
      </c>
      <c r="G1122" s="8" t="n"/>
      <c r="H1122" s="14" t="n"/>
      <c r="I1122" s="15">
        <f>IF($H1122="","",$H1122-TODAY())</f>
        <v/>
      </c>
      <c r="J1122" s="16" t="inlineStr">
        <is>
          <t>Open posting</t>
        </is>
      </c>
      <c r="K1122" s="8" t="inlineStr">
        <is>
          <t>filtered by keyword pre-scan</t>
        </is>
      </c>
      <c r="L1122" s="17" t="inlineStr">
        <is>
          <t>new</t>
        </is>
      </c>
      <c r="M1122" s="18" t="inlineStr"/>
      <c r="N1122" s="7" t="inlineStr">
        <is>
          <t>fde045d8d11b49750c7c03c0330f3a0b8ef3aa0c</t>
        </is>
      </c>
      <c r="O1122" s="14" t="n">
        <v>46189</v>
      </c>
      <c r="P1122" s="7" t="inlineStr">
        <is>
          <t>greenhouse:graphcore</t>
        </is>
      </c>
      <c r="Q1122" s="8" t="inlineStr"/>
      <c r="R1122" s="8" t="n"/>
      <c r="S1122" s="19" t="n"/>
      <c r="T1122" s="19" t="n"/>
      <c r="U1122" s="14" t="n">
        <v>46189</v>
      </c>
      <c r="V1122" s="7" t="inlineStr">
        <is>
          <t>v1-db41edab064373dd</t>
        </is>
      </c>
    </row>
    <row r="1123" ht="28" customHeight="1">
      <c r="A1123" s="12">
        <f>IF($L1123="applied","Applied",IF($L1123="interview","Interview",IF($L1123="offer","Offer",IF($L1123="rejected","Rejected",IF($L1123="ignore","Ignore",IF($L1123="archive","Archive",IF($L1123="closed","Closed",IF($B1123="","Unscored",IF(AND($B1123&gt;=8,OR($H1123="",$H1123-TODAY()&lt;=14)),"P1 Apply",IF($B1123&gt;=7,"P2 Strong",IF($B1123&gt;=5,"P3 Maybe","P4 Low")))))))))))</f>
        <v/>
      </c>
      <c r="B1123" s="13" t="n">
        <v>1</v>
      </c>
      <c r="C1123" s="12" t="inlineStr">
        <is>
          <t>Senior/Lead</t>
        </is>
      </c>
      <c r="D1123" s="8" t="inlineStr">
        <is>
          <t>Senior Technical Program Manager</t>
        </is>
      </c>
      <c r="E1123" s="7" t="inlineStr">
        <is>
          <t>Graphcore</t>
        </is>
      </c>
      <c r="F1123" s="8" t="inlineStr">
        <is>
          <t>Bristol, UK; Cambridge, UK; London, UK</t>
        </is>
      </c>
      <c r="G1123" s="8" t="n"/>
      <c r="H1123" s="14" t="n"/>
      <c r="I1123" s="15">
        <f>IF($H1123="","",$H1123-TODAY())</f>
        <v/>
      </c>
      <c r="J1123" s="16" t="inlineStr">
        <is>
          <t>Open posting</t>
        </is>
      </c>
      <c r="K1123" s="8" t="inlineStr">
        <is>
          <t>filtered by keyword pre-scan</t>
        </is>
      </c>
      <c r="L1123" s="17" t="inlineStr">
        <is>
          <t>new</t>
        </is>
      </c>
      <c r="M1123" s="18" t="inlineStr"/>
      <c r="N1123" s="7" t="inlineStr">
        <is>
          <t>2edd1e2b5d24bccbefd30765d4c8731fde56f429</t>
        </is>
      </c>
      <c r="O1123" s="14" t="n">
        <v>46189</v>
      </c>
      <c r="P1123" s="7" t="inlineStr">
        <is>
          <t>greenhouse:graphcore</t>
        </is>
      </c>
      <c r="Q1123" s="8" t="inlineStr"/>
      <c r="R1123" s="8" t="n"/>
      <c r="S1123" s="19" t="n"/>
      <c r="T1123" s="19" t="n"/>
      <c r="U1123" s="14" t="n">
        <v>46189</v>
      </c>
      <c r="V1123" s="7" t="inlineStr">
        <is>
          <t>v1-db41edab064373dd</t>
        </is>
      </c>
    </row>
    <row r="1124" ht="28" customHeight="1">
      <c r="A1124" s="12">
        <f>IF($L1124="applied","Applied",IF($L1124="interview","Interview",IF($L1124="offer","Offer",IF($L1124="rejected","Rejected",IF($L1124="ignore","Ignore",IF($L1124="archive","Archive",IF($L1124="closed","Closed",IF($B1124="","Unscored",IF(AND($B1124&gt;=8,OR($H1124="",$H1124-TODAY()&lt;=14)),"P1 Apply",IF($B1124&gt;=7,"P2 Strong",IF($B1124&gt;=5,"P3 Maybe","P4 Low")))))))))))</f>
        <v/>
      </c>
      <c r="B1124" s="13" t="n">
        <v>1</v>
      </c>
      <c r="C1124" s="12" t="inlineStr">
        <is>
          <t>Senior/Lead</t>
        </is>
      </c>
      <c r="D1124" s="8" t="inlineStr">
        <is>
          <t>Senior UEFI Firmware Engineer</t>
        </is>
      </c>
      <c r="E1124" s="7" t="inlineStr">
        <is>
          <t>Graphcore</t>
        </is>
      </c>
      <c r="F1124" s="8" t="inlineStr">
        <is>
          <t>Austin, Texas, United States</t>
        </is>
      </c>
      <c r="G1124" s="8" t="n"/>
      <c r="H1124" s="14" t="n"/>
      <c r="I1124" s="15">
        <f>IF($H1124="","",$H1124-TODAY())</f>
        <v/>
      </c>
      <c r="J1124" s="16" t="inlineStr">
        <is>
          <t>Open posting</t>
        </is>
      </c>
      <c r="K1124" s="8" t="inlineStr">
        <is>
          <t>filtered by keyword pre-scan</t>
        </is>
      </c>
      <c r="L1124" s="17" t="inlineStr">
        <is>
          <t>new</t>
        </is>
      </c>
      <c r="M1124" s="18" t="inlineStr"/>
      <c r="N1124" s="7" t="inlineStr">
        <is>
          <t>d055d3853399088e150c1ea73f4cde0d33138ff3</t>
        </is>
      </c>
      <c r="O1124" s="14" t="n">
        <v>46189</v>
      </c>
      <c r="P1124" s="7" t="inlineStr">
        <is>
          <t>greenhouse:graphcore</t>
        </is>
      </c>
      <c r="Q1124" s="8" t="inlineStr"/>
      <c r="R1124" s="8" t="n"/>
      <c r="S1124" s="19" t="n"/>
      <c r="T1124" s="19" t="n"/>
      <c r="U1124" s="14" t="n">
        <v>46189</v>
      </c>
      <c r="V1124" s="7" t="inlineStr">
        <is>
          <t>v1-db41edab064373dd</t>
        </is>
      </c>
    </row>
    <row r="1125" ht="28" customHeight="1">
      <c r="A1125" s="12">
        <f>IF($L1125="applied","Applied",IF($L1125="interview","Interview",IF($L1125="offer","Offer",IF($L1125="rejected","Rejected",IF($L1125="ignore","Ignore",IF($L1125="archive","Archive",IF($L1125="closed","Closed",IF($B1125="","Unscored",IF(AND($B1125&gt;=8,OR($H1125="",$H1125-TODAY()&lt;=14)),"P1 Apply",IF($B1125&gt;=7,"P2 Strong",IF($B1125&gt;=5,"P3 Maybe","P4 Low")))))))))))</f>
        <v/>
      </c>
      <c r="B1125" s="13" t="n">
        <v>1</v>
      </c>
      <c r="C1125" s="12" t="inlineStr">
        <is>
          <t>Senior/Lead</t>
        </is>
      </c>
      <c r="D1125" s="8" t="inlineStr">
        <is>
          <t>Silicon Verification Lead</t>
        </is>
      </c>
      <c r="E1125" s="7" t="inlineStr">
        <is>
          <t>Graphcore</t>
        </is>
      </c>
      <c r="F1125" s="8" t="inlineStr">
        <is>
          <t>Bristol, UK; Cambridge, UK</t>
        </is>
      </c>
      <c r="G1125" s="8" t="n"/>
      <c r="H1125" s="14" t="n"/>
      <c r="I1125" s="15">
        <f>IF($H1125="","",$H1125-TODAY())</f>
        <v/>
      </c>
      <c r="J1125" s="16" t="inlineStr">
        <is>
          <t>Open posting</t>
        </is>
      </c>
      <c r="K1125" s="8" t="inlineStr">
        <is>
          <t>filtered by keyword pre-scan</t>
        </is>
      </c>
      <c r="L1125" s="17" t="inlineStr">
        <is>
          <t>new</t>
        </is>
      </c>
      <c r="M1125" s="18" t="inlineStr"/>
      <c r="N1125" s="7" t="inlineStr">
        <is>
          <t>b5c323f4eb49bc9763e218ab0773f2421190a551</t>
        </is>
      </c>
      <c r="O1125" s="14" t="n">
        <v>46189</v>
      </c>
      <c r="P1125" s="7" t="inlineStr">
        <is>
          <t>greenhouse:graphcore</t>
        </is>
      </c>
      <c r="Q1125" s="8" t="inlineStr"/>
      <c r="R1125" s="8" t="n"/>
      <c r="S1125" s="19" t="n"/>
      <c r="T1125" s="19" t="n"/>
      <c r="U1125" s="14" t="n">
        <v>46189</v>
      </c>
      <c r="V1125" s="7" t="inlineStr">
        <is>
          <t>v1-db41edab064373dd</t>
        </is>
      </c>
    </row>
    <row r="1126" ht="28" customHeight="1">
      <c r="A1126" s="12">
        <f>IF($L1126="applied","Applied",IF($L1126="interview","Interview",IF($L1126="offer","Offer",IF($L1126="rejected","Rejected",IF($L1126="ignore","Ignore",IF($L1126="archive","Archive",IF($L1126="closed","Closed",IF($B1126="","Unscored",IF(AND($B1126&gt;=8,OR($H1126="",$H1126-TODAY()&lt;=14)),"P1 Apply",IF($B1126&gt;=7,"P2 Strong",IF($B1126&gt;=5,"P3 Maybe","P4 Low")))))))))))</f>
        <v/>
      </c>
      <c r="B1126" s="13" t="n">
        <v>1</v>
      </c>
      <c r="C1126" s="12" t="inlineStr">
        <is>
          <t>Senior/Lead</t>
        </is>
      </c>
      <c r="D1126" s="8" t="inlineStr">
        <is>
          <t>Staff AI Performance Engineer</t>
        </is>
      </c>
      <c r="E1126" s="7" t="inlineStr">
        <is>
          <t>Graphcore</t>
        </is>
      </c>
      <c r="F1126" s="8" t="inlineStr">
        <is>
          <t>Austin, Texas, United States</t>
        </is>
      </c>
      <c r="G1126" s="8" t="n"/>
      <c r="H1126" s="14" t="n"/>
      <c r="I1126" s="15">
        <f>IF($H1126="","",$H1126-TODAY())</f>
        <v/>
      </c>
      <c r="J1126" s="16" t="inlineStr">
        <is>
          <t>Open posting</t>
        </is>
      </c>
      <c r="K1126" s="8" t="inlineStr">
        <is>
          <t>filtered by keyword pre-scan</t>
        </is>
      </c>
      <c r="L1126" s="17" t="inlineStr">
        <is>
          <t>new</t>
        </is>
      </c>
      <c r="M1126" s="18" t="inlineStr"/>
      <c r="N1126" s="7" t="inlineStr">
        <is>
          <t>bcff13cbae67adda5b43b94fc275c58f7a635f08</t>
        </is>
      </c>
      <c r="O1126" s="14" t="n">
        <v>46189</v>
      </c>
      <c r="P1126" s="7" t="inlineStr">
        <is>
          <t>greenhouse:graphcore</t>
        </is>
      </c>
      <c r="Q1126" s="8" t="inlineStr"/>
      <c r="R1126" s="8" t="n"/>
      <c r="S1126" s="19" t="n"/>
      <c r="T1126" s="19" t="n"/>
      <c r="U1126" s="14" t="n">
        <v>46189</v>
      </c>
      <c r="V1126" s="7" t="inlineStr">
        <is>
          <t>v1-db41edab064373dd</t>
        </is>
      </c>
    </row>
    <row r="1127" ht="28" customHeight="1">
      <c r="A1127" s="12">
        <f>IF($L1127="applied","Applied",IF($L1127="interview","Interview",IF($L1127="offer","Offer",IF($L1127="rejected","Rejected",IF($L1127="ignore","Ignore",IF($L1127="archive","Archive",IF($L1127="closed","Closed",IF($B1127="","Unscored",IF(AND($B1127&gt;=8,OR($H1127="",$H1127-TODAY()&lt;=14)),"P1 Apply",IF($B1127&gt;=7,"P2 Strong",IF($B1127&gt;=5,"P3 Maybe","P4 Low")))))))))))</f>
        <v/>
      </c>
      <c r="B1127" s="13" t="n">
        <v>1</v>
      </c>
      <c r="C1127" s="12" t="inlineStr">
        <is>
          <t>Senior/Lead</t>
        </is>
      </c>
      <c r="D1127" s="8" t="inlineStr">
        <is>
          <t>Staff BMC Engineer</t>
        </is>
      </c>
      <c r="E1127" s="7" t="inlineStr">
        <is>
          <t>Graphcore</t>
        </is>
      </c>
      <c r="F1127" s="8" t="inlineStr">
        <is>
          <t>Gdańsk, Pomeranian Voivodeship, Poland</t>
        </is>
      </c>
      <c r="G1127" s="8" t="n"/>
      <c r="H1127" s="14" t="n"/>
      <c r="I1127" s="15">
        <f>IF($H1127="","",$H1127-TODAY())</f>
        <v/>
      </c>
      <c r="J1127" s="16" t="inlineStr">
        <is>
          <t>Open posting</t>
        </is>
      </c>
      <c r="K1127" s="8" t="inlineStr">
        <is>
          <t>filtered by keyword pre-scan</t>
        </is>
      </c>
      <c r="L1127" s="17" t="inlineStr">
        <is>
          <t>new</t>
        </is>
      </c>
      <c r="M1127" s="18" t="inlineStr"/>
      <c r="N1127" s="7" t="inlineStr">
        <is>
          <t>d818d10fe1c31e54ea27dd293a54329289e33db8</t>
        </is>
      </c>
      <c r="O1127" s="14" t="n">
        <v>46189</v>
      </c>
      <c r="P1127" s="7" t="inlineStr">
        <is>
          <t>greenhouse:graphcore</t>
        </is>
      </c>
      <c r="Q1127" s="8" t="inlineStr"/>
      <c r="R1127" s="8" t="n"/>
      <c r="S1127" s="19" t="n"/>
      <c r="T1127" s="19" t="n"/>
      <c r="U1127" s="14" t="n">
        <v>46189</v>
      </c>
      <c r="V1127" s="7" t="inlineStr">
        <is>
          <t>v1-db41edab064373dd</t>
        </is>
      </c>
    </row>
    <row r="1128" ht="28" customHeight="1">
      <c r="A1128" s="12">
        <f>IF($L1128="applied","Applied",IF($L1128="interview","Interview",IF($L1128="offer","Offer",IF($L1128="rejected","Rejected",IF($L1128="ignore","Ignore",IF($L1128="archive","Archive",IF($L1128="closed","Closed",IF($B1128="","Unscored",IF(AND($B1128&gt;=8,OR($H1128="",$H1128-TODAY()&lt;=14)),"P1 Apply",IF($B1128&gt;=7,"P2 Strong",IF($B1128&gt;=5,"P3 Maybe","P4 Low")))))))))))</f>
        <v/>
      </c>
      <c r="B1128" s="13" t="n">
        <v>1</v>
      </c>
      <c r="C1128" s="12" t="inlineStr">
        <is>
          <t>Senior/Lead</t>
        </is>
      </c>
      <c r="D1128" s="8" t="inlineStr">
        <is>
          <t>Staff Bring-Up and Characterisation Engineer</t>
        </is>
      </c>
      <c r="E1128" s="7" t="inlineStr">
        <is>
          <t>Graphcore</t>
        </is>
      </c>
      <c r="F1128" s="8" t="inlineStr">
        <is>
          <t>Austin, Texas, United States</t>
        </is>
      </c>
      <c r="G1128" s="8" t="n"/>
      <c r="H1128" s="14" t="n"/>
      <c r="I1128" s="15">
        <f>IF($H1128="","",$H1128-TODAY())</f>
        <v/>
      </c>
      <c r="J1128" s="16" t="inlineStr">
        <is>
          <t>Open posting</t>
        </is>
      </c>
      <c r="K1128" s="8" t="inlineStr">
        <is>
          <t>filtered by keyword pre-scan</t>
        </is>
      </c>
      <c r="L1128" s="17" t="inlineStr">
        <is>
          <t>new</t>
        </is>
      </c>
      <c r="M1128" s="18" t="inlineStr"/>
      <c r="N1128" s="7" t="inlineStr">
        <is>
          <t>3920606f52476634acce53e0b6a573092f44428c</t>
        </is>
      </c>
      <c r="O1128" s="14" t="n">
        <v>46189</v>
      </c>
      <c r="P1128" s="7" t="inlineStr">
        <is>
          <t>greenhouse:graphcore</t>
        </is>
      </c>
      <c r="Q1128" s="8" t="inlineStr"/>
      <c r="R1128" s="8" t="n"/>
      <c r="S1128" s="19" t="n"/>
      <c r="T1128" s="19" t="n"/>
      <c r="U1128" s="14" t="n">
        <v>46189</v>
      </c>
      <c r="V1128" s="7" t="inlineStr">
        <is>
          <t>v1-db41edab064373dd</t>
        </is>
      </c>
    </row>
    <row r="1129" ht="28" customHeight="1">
      <c r="A1129" s="12">
        <f>IF($L1129="applied","Applied",IF($L1129="interview","Interview",IF($L1129="offer","Offer",IF($L1129="rejected","Rejected",IF($L1129="ignore","Ignore",IF($L1129="archive","Archive",IF($L1129="closed","Closed",IF($B1129="","Unscored",IF(AND($B1129&gt;=8,OR($H1129="",$H1129-TODAY()&lt;=14)),"P1 Apply",IF($B1129&gt;=7,"P2 Strong",IF($B1129&gt;=5,"P3 Maybe","P4 Low")))))))))))</f>
        <v/>
      </c>
      <c r="B1129" s="13" t="n">
        <v>1</v>
      </c>
      <c r="C1129" s="12" t="inlineStr">
        <is>
          <t>Senior/Lead</t>
        </is>
      </c>
      <c r="D1129" s="8" t="inlineStr">
        <is>
          <t>Staff Bring-Up and Characterisation Engineer</t>
        </is>
      </c>
      <c r="E1129" s="7" t="inlineStr">
        <is>
          <t>Graphcore</t>
        </is>
      </c>
      <c r="F1129" s="8" t="inlineStr">
        <is>
          <t>Austin, Texas, United States</t>
        </is>
      </c>
      <c r="G1129" s="8" t="n"/>
      <c r="H1129" s="14" t="n"/>
      <c r="I1129" s="15">
        <f>IF($H1129="","",$H1129-TODAY())</f>
        <v/>
      </c>
      <c r="J1129" s="16" t="inlineStr">
        <is>
          <t>Open posting</t>
        </is>
      </c>
      <c r="K1129" s="8" t="inlineStr">
        <is>
          <t>filtered by keyword pre-scan</t>
        </is>
      </c>
      <c r="L1129" s="17" t="inlineStr">
        <is>
          <t>new</t>
        </is>
      </c>
      <c r="M1129" s="18" t="inlineStr"/>
      <c r="N1129" s="7" t="inlineStr">
        <is>
          <t>11b7f5a6baa967b383edf6e83bdb85f4ee8c821b</t>
        </is>
      </c>
      <c r="O1129" s="14" t="n">
        <v>46189</v>
      </c>
      <c r="P1129" s="7" t="inlineStr">
        <is>
          <t>greenhouse:graphcore</t>
        </is>
      </c>
      <c r="Q1129" s="8" t="inlineStr"/>
      <c r="R1129" s="8" t="n"/>
      <c r="S1129" s="19" t="n"/>
      <c r="T1129" s="19" t="n"/>
      <c r="U1129" s="14" t="n">
        <v>46189</v>
      </c>
      <c r="V1129" s="7" t="inlineStr">
        <is>
          <t>v1-db41edab064373dd</t>
        </is>
      </c>
    </row>
    <row r="1130" ht="28" customHeight="1">
      <c r="A1130" s="12">
        <f>IF($L1130="applied","Applied",IF($L1130="interview","Interview",IF($L1130="offer","Offer",IF($L1130="rejected","Rejected",IF($L1130="ignore","Ignore",IF($L1130="archive","Archive",IF($L1130="closed","Closed",IF($B1130="","Unscored",IF(AND($B1130&gt;=8,OR($H1130="",$H1130-TODAY()&lt;=14)),"P1 Apply",IF($B1130&gt;=7,"P2 Strong",IF($B1130&gt;=5,"P3 Maybe","P4 Low")))))))))))</f>
        <v/>
      </c>
      <c r="B1130" s="13" t="n">
        <v>1</v>
      </c>
      <c r="C1130" s="12" t="inlineStr">
        <is>
          <t>Senior/Lead</t>
        </is>
      </c>
      <c r="D1130" s="8" t="inlineStr">
        <is>
          <t>Staff Cloud Engineer</t>
        </is>
      </c>
      <c r="E1130" s="7" t="inlineStr">
        <is>
          <t>Graphcore</t>
        </is>
      </c>
      <c r="F1130" s="8" t="inlineStr">
        <is>
          <t>Bristol, UK</t>
        </is>
      </c>
      <c r="G1130" s="8" t="n"/>
      <c r="H1130" s="14" t="n"/>
      <c r="I1130" s="15">
        <f>IF($H1130="","",$H1130-TODAY())</f>
        <v/>
      </c>
      <c r="J1130" s="16" t="inlineStr">
        <is>
          <t>Open posting</t>
        </is>
      </c>
      <c r="K1130" s="8" t="inlineStr">
        <is>
          <t>filtered by keyword pre-scan</t>
        </is>
      </c>
      <c r="L1130" s="17" t="inlineStr">
        <is>
          <t>new</t>
        </is>
      </c>
      <c r="M1130" s="18" t="inlineStr"/>
      <c r="N1130" s="7" t="inlineStr">
        <is>
          <t>c69189b5dff74e1990381ac3bee1a62247f071ec</t>
        </is>
      </c>
      <c r="O1130" s="14" t="n">
        <v>46189</v>
      </c>
      <c r="P1130" s="7" t="inlineStr">
        <is>
          <t>greenhouse:graphcore</t>
        </is>
      </c>
      <c r="Q1130" s="8" t="inlineStr"/>
      <c r="R1130" s="8" t="n"/>
      <c r="S1130" s="19" t="n"/>
      <c r="T1130" s="19" t="n"/>
      <c r="U1130" s="14" t="n">
        <v>46189</v>
      </c>
      <c r="V1130" s="7" t="inlineStr">
        <is>
          <t>v1-db41edab064373dd</t>
        </is>
      </c>
    </row>
    <row r="1131" ht="28" customHeight="1">
      <c r="A1131" s="12">
        <f>IF($L1131="applied","Applied",IF($L1131="interview","Interview",IF($L1131="offer","Offer",IF($L1131="rejected","Rejected",IF($L1131="ignore","Ignore",IF($L1131="archive","Archive",IF($L1131="closed","Closed",IF($B1131="","Unscored",IF(AND($B1131&gt;=8,OR($H1131="",$H1131-TODAY()&lt;=14)),"P1 Apply",IF($B1131&gt;=7,"P2 Strong",IF($B1131&gt;=5,"P3 Maybe","P4 Low")))))))))))</f>
        <v/>
      </c>
      <c r="B1131" s="13" t="n">
        <v>1</v>
      </c>
      <c r="C1131" s="12" t="inlineStr">
        <is>
          <t>Senior/Lead</t>
        </is>
      </c>
      <c r="D1131" s="8" t="inlineStr">
        <is>
          <t>Staff Cloud Engineer</t>
        </is>
      </c>
      <c r="E1131" s="7" t="inlineStr">
        <is>
          <t>Graphcore</t>
        </is>
      </c>
      <c r="F1131" s="8" t="inlineStr">
        <is>
          <t>London, UK</t>
        </is>
      </c>
      <c r="G1131" s="8" t="n"/>
      <c r="H1131" s="14" t="n"/>
      <c r="I1131" s="15">
        <f>IF($H1131="","",$H1131-TODAY())</f>
        <v/>
      </c>
      <c r="J1131" s="16" t="inlineStr">
        <is>
          <t>Open posting</t>
        </is>
      </c>
      <c r="K1131" s="8" t="inlineStr">
        <is>
          <t>filtered by keyword pre-scan</t>
        </is>
      </c>
      <c r="L1131" s="17" t="inlineStr">
        <is>
          <t>new</t>
        </is>
      </c>
      <c r="M1131" s="18" t="inlineStr"/>
      <c r="N1131" s="7" t="inlineStr">
        <is>
          <t>6afbbd31e93490c4d702722a229f3f06e56ea5fe</t>
        </is>
      </c>
      <c r="O1131" s="14" t="n">
        <v>46189</v>
      </c>
      <c r="P1131" s="7" t="inlineStr">
        <is>
          <t>greenhouse:graphcore</t>
        </is>
      </c>
      <c r="Q1131" s="8" t="inlineStr"/>
      <c r="R1131" s="8" t="n"/>
      <c r="S1131" s="19" t="n"/>
      <c r="T1131" s="19" t="n"/>
      <c r="U1131" s="14" t="n">
        <v>46189</v>
      </c>
      <c r="V1131" s="7" t="inlineStr">
        <is>
          <t>v1-db41edab064373dd</t>
        </is>
      </c>
    </row>
    <row r="1132" ht="28" customHeight="1">
      <c r="A1132" s="12">
        <f>IF($L1132="applied","Applied",IF($L1132="interview","Interview",IF($L1132="offer","Offer",IF($L1132="rejected","Rejected",IF($L1132="ignore","Ignore",IF($L1132="archive","Archive",IF($L1132="closed","Closed",IF($B1132="","Unscored",IF(AND($B1132&gt;=8,OR($H1132="",$H1132-TODAY()&lt;=14)),"P1 Apply",IF($B1132&gt;=7,"P2 Strong",IF($B1132&gt;=5,"P3 Maybe","P4 Low")))))))))))</f>
        <v/>
      </c>
      <c r="B1132" s="13" t="n">
        <v>1</v>
      </c>
      <c r="C1132" s="12" t="inlineStr">
        <is>
          <t>Senior/Lead</t>
        </is>
      </c>
      <c r="D1132" s="8" t="inlineStr">
        <is>
          <t>Staff Digital Twin Engineer</t>
        </is>
      </c>
      <c r="E1132" s="7" t="inlineStr">
        <is>
          <t>Graphcore</t>
        </is>
      </c>
      <c r="F1132" s="8" t="inlineStr">
        <is>
          <t>Austin, Texas, United States</t>
        </is>
      </c>
      <c r="G1132" s="8" t="n"/>
      <c r="H1132" s="14" t="n"/>
      <c r="I1132" s="15">
        <f>IF($H1132="","",$H1132-TODAY())</f>
        <v/>
      </c>
      <c r="J1132" s="16" t="inlineStr">
        <is>
          <t>Open posting</t>
        </is>
      </c>
      <c r="K1132" s="8" t="inlineStr">
        <is>
          <t>filtered by keyword pre-scan</t>
        </is>
      </c>
      <c r="L1132" s="17" t="inlineStr">
        <is>
          <t>new</t>
        </is>
      </c>
      <c r="M1132" s="18" t="inlineStr"/>
      <c r="N1132" s="7" t="inlineStr">
        <is>
          <t>f915ffea26a323c9d47a642dc1436a65e9b5dd13</t>
        </is>
      </c>
      <c r="O1132" s="14" t="n">
        <v>46189</v>
      </c>
      <c r="P1132" s="7" t="inlineStr">
        <is>
          <t>greenhouse:graphcore</t>
        </is>
      </c>
      <c r="Q1132" s="8" t="inlineStr"/>
      <c r="R1132" s="8" t="n"/>
      <c r="S1132" s="19" t="n"/>
      <c r="T1132" s="19" t="n"/>
      <c r="U1132" s="14" t="n">
        <v>46189</v>
      </c>
      <c r="V1132" s="7" t="inlineStr">
        <is>
          <t>v1-db41edab064373dd</t>
        </is>
      </c>
    </row>
    <row r="1133" ht="28" customHeight="1">
      <c r="A1133" s="12">
        <f>IF($L1133="applied","Applied",IF($L1133="interview","Interview",IF($L1133="offer","Offer",IF($L1133="rejected","Rejected",IF($L1133="ignore","Ignore",IF($L1133="archive","Archive",IF($L1133="closed","Closed",IF($B1133="","Unscored",IF(AND($B1133&gt;=8,OR($H1133="",$H1133-TODAY()&lt;=14)),"P1 Apply",IF($B1133&gt;=7,"P2 Strong",IF($B1133&gt;=5,"P3 Maybe","P4 Low")))))))))))</f>
        <v/>
      </c>
      <c r="B1133" s="13" t="n">
        <v>1</v>
      </c>
      <c r="C1133" s="12" t="inlineStr">
        <is>
          <t>Senior/Lead</t>
        </is>
      </c>
      <c r="D1133" s="8" t="inlineStr">
        <is>
          <t>Staff Embedded SW/FW Engineer (Bringup) - Bengaluru</t>
        </is>
      </c>
      <c r="E1133" s="7" t="inlineStr">
        <is>
          <t>Graphcore</t>
        </is>
      </c>
      <c r="F1133" s="8" t="inlineStr">
        <is>
          <t>Bengaluru, India</t>
        </is>
      </c>
      <c r="G1133" s="8" t="n"/>
      <c r="H1133" s="14" t="n"/>
      <c r="I1133" s="15">
        <f>IF($H1133="","",$H1133-TODAY())</f>
        <v/>
      </c>
      <c r="J1133" s="16" t="inlineStr">
        <is>
          <t>Open posting</t>
        </is>
      </c>
      <c r="K1133" s="8" t="inlineStr">
        <is>
          <t>filtered by keyword pre-scan</t>
        </is>
      </c>
      <c r="L1133" s="17" t="inlineStr">
        <is>
          <t>new</t>
        </is>
      </c>
      <c r="M1133" s="18" t="inlineStr"/>
      <c r="N1133" s="7" t="inlineStr">
        <is>
          <t>e8570c1f71e95d38412391de4a9fa5824bc058ee</t>
        </is>
      </c>
      <c r="O1133" s="14" t="n">
        <v>46189</v>
      </c>
      <c r="P1133" s="7" t="inlineStr">
        <is>
          <t>greenhouse:graphcore</t>
        </is>
      </c>
      <c r="Q1133" s="8" t="inlineStr"/>
      <c r="R1133" s="8" t="n"/>
      <c r="S1133" s="19" t="n"/>
      <c r="T1133" s="19" t="n"/>
      <c r="U1133" s="14" t="n">
        <v>46189</v>
      </c>
      <c r="V1133" s="7" t="inlineStr">
        <is>
          <t>v1-db41edab064373dd</t>
        </is>
      </c>
    </row>
    <row r="1134" ht="28" customHeight="1">
      <c r="A1134" s="12">
        <f>IF($L1134="applied","Applied",IF($L1134="interview","Interview",IF($L1134="offer","Offer",IF($L1134="rejected","Rejected",IF($L1134="ignore","Ignore",IF($L1134="archive","Archive",IF($L1134="closed","Closed",IF($B1134="","Unscored",IF(AND($B1134&gt;=8,OR($H1134="",$H1134-TODAY()&lt;=14)),"P1 Apply",IF($B1134&gt;=7,"P2 Strong",IF($B1134&gt;=5,"P3 Maybe","P4 Low")))))))))))</f>
        <v/>
      </c>
      <c r="B1134" s="13" t="n">
        <v>1</v>
      </c>
      <c r="C1134" s="12" t="inlineStr">
        <is>
          <t>Senior/Lead</t>
        </is>
      </c>
      <c r="D1134" s="8" t="inlineStr">
        <is>
          <t>Staff Engineer</t>
        </is>
      </c>
      <c r="E1134" s="7" t="inlineStr">
        <is>
          <t>Graphcore</t>
        </is>
      </c>
      <c r="F1134" s="8" t="inlineStr">
        <is>
          <t>Austin, Texas, United States; US - Milpitas</t>
        </is>
      </c>
      <c r="G1134" s="8" t="n"/>
      <c r="H1134" s="14" t="n"/>
      <c r="I1134" s="15">
        <f>IF($H1134="","",$H1134-TODAY())</f>
        <v/>
      </c>
      <c r="J1134" s="16" t="inlineStr">
        <is>
          <t>Open posting</t>
        </is>
      </c>
      <c r="K1134" s="8" t="inlineStr">
        <is>
          <t>filtered by keyword pre-scan</t>
        </is>
      </c>
      <c r="L1134" s="17" t="inlineStr">
        <is>
          <t>new</t>
        </is>
      </c>
      <c r="M1134" s="18" t="inlineStr"/>
      <c r="N1134" s="7" t="inlineStr">
        <is>
          <t>0b03fb2727fed9b90170b6216fe705d65e8798ce</t>
        </is>
      </c>
      <c r="O1134" s="14" t="n">
        <v>46189</v>
      </c>
      <c r="P1134" s="7" t="inlineStr">
        <is>
          <t>greenhouse:graphcore</t>
        </is>
      </c>
      <c r="Q1134" s="8" t="inlineStr"/>
      <c r="R1134" s="8" t="n"/>
      <c r="S1134" s="19" t="n"/>
      <c r="T1134" s="19" t="n"/>
      <c r="U1134" s="14" t="n">
        <v>46189</v>
      </c>
      <c r="V1134" s="7" t="inlineStr">
        <is>
          <t>v1-db41edab064373dd</t>
        </is>
      </c>
    </row>
    <row r="1135" ht="28" customHeight="1">
      <c r="A1135" s="12">
        <f>IF($L1135="applied","Applied",IF($L1135="interview","Interview",IF($L1135="offer","Offer",IF($L1135="rejected","Rejected",IF($L1135="ignore","Ignore",IF($L1135="archive","Archive",IF($L1135="closed","Closed",IF($B1135="","Unscored",IF(AND($B1135&gt;=8,OR($H1135="",$H1135-TODAY()&lt;=14)),"P1 Apply",IF($B1135&gt;=7,"P2 Strong",IF($B1135&gt;=5,"P3 Maybe","P4 Low")))))))))))</f>
        <v/>
      </c>
      <c r="B1135" s="13" t="n">
        <v>1</v>
      </c>
      <c r="C1135" s="12" t="inlineStr">
        <is>
          <t>Senior/Lead</t>
        </is>
      </c>
      <c r="D1135" s="8" t="inlineStr">
        <is>
          <t>Staff Engineer</t>
        </is>
      </c>
      <c r="E1135" s="7" t="inlineStr">
        <is>
          <t>Graphcore</t>
        </is>
      </c>
      <c r="F1135" s="8" t="inlineStr">
        <is>
          <t>Austin, Texas, United States; US - Milpitas</t>
        </is>
      </c>
      <c r="G1135" s="8" t="n"/>
      <c r="H1135" s="14" t="n"/>
      <c r="I1135" s="15">
        <f>IF($H1135="","",$H1135-TODAY())</f>
        <v/>
      </c>
      <c r="J1135" s="16" t="inlineStr">
        <is>
          <t>Open posting</t>
        </is>
      </c>
      <c r="K1135" s="8" t="inlineStr">
        <is>
          <t>filtered by keyword pre-scan</t>
        </is>
      </c>
      <c r="L1135" s="17" t="inlineStr">
        <is>
          <t>new</t>
        </is>
      </c>
      <c r="M1135" s="18" t="inlineStr"/>
      <c r="N1135" s="7" t="inlineStr">
        <is>
          <t>248b44341a08df26f65ad33cba401319107a8358</t>
        </is>
      </c>
      <c r="O1135" s="14" t="n">
        <v>46189</v>
      </c>
      <c r="P1135" s="7" t="inlineStr">
        <is>
          <t>greenhouse:graphcore</t>
        </is>
      </c>
      <c r="Q1135" s="8" t="inlineStr"/>
      <c r="R1135" s="8" t="n"/>
      <c r="S1135" s="19" t="n"/>
      <c r="T1135" s="19" t="n"/>
      <c r="U1135" s="14" t="n">
        <v>46189</v>
      </c>
      <c r="V1135" s="7" t="inlineStr">
        <is>
          <t>v1-db41edab064373dd</t>
        </is>
      </c>
    </row>
    <row r="1136" ht="28" customHeight="1">
      <c r="A1136" s="12">
        <f>IF($L1136="applied","Applied",IF($L1136="interview","Interview",IF($L1136="offer","Offer",IF($L1136="rejected","Rejected",IF($L1136="ignore","Ignore",IF($L1136="archive","Archive",IF($L1136="closed","Closed",IF($B1136="","Unscored",IF(AND($B1136&gt;=8,OR($H1136="",$H1136-TODAY()&lt;=14)),"P1 Apply",IF($B1136&gt;=7,"P2 Strong",IF($B1136&gt;=5,"P3 Maybe","P4 Low")))))))))))</f>
        <v/>
      </c>
      <c r="B1136" s="13" t="n">
        <v>1</v>
      </c>
      <c r="C1136" s="12" t="inlineStr">
        <is>
          <t>Senior/Lead</t>
        </is>
      </c>
      <c r="D1136" s="8" t="inlineStr">
        <is>
          <t>Staff Engineer (ML Engineer)</t>
        </is>
      </c>
      <c r="E1136" s="7" t="inlineStr">
        <is>
          <t>Graphcore</t>
        </is>
      </c>
      <c r="F1136" s="8" t="inlineStr">
        <is>
          <t>London, UK</t>
        </is>
      </c>
      <c r="G1136" s="8" t="n"/>
      <c r="H1136" s="14" t="n"/>
      <c r="I1136" s="15">
        <f>IF($H1136="","",$H1136-TODAY())</f>
        <v/>
      </c>
      <c r="J1136" s="16" t="inlineStr">
        <is>
          <t>Open posting</t>
        </is>
      </c>
      <c r="K1136" s="8" t="inlineStr">
        <is>
          <t>filtered by keyword pre-scan</t>
        </is>
      </c>
      <c r="L1136" s="17" t="inlineStr">
        <is>
          <t>new</t>
        </is>
      </c>
      <c r="M1136" s="18" t="inlineStr"/>
      <c r="N1136" s="7" t="inlineStr">
        <is>
          <t>0db9a7054119521da644251c1ff4303006fdb418</t>
        </is>
      </c>
      <c r="O1136" s="14" t="n">
        <v>46189</v>
      </c>
      <c r="P1136" s="7" t="inlineStr">
        <is>
          <t>greenhouse:graphcore</t>
        </is>
      </c>
      <c r="Q1136" s="8" t="inlineStr"/>
      <c r="R1136" s="8" t="n"/>
      <c r="S1136" s="19" t="n"/>
      <c r="T1136" s="19" t="n"/>
      <c r="U1136" s="14" t="n">
        <v>46189</v>
      </c>
      <c r="V1136" s="7" t="inlineStr">
        <is>
          <t>v1-db41edab064373dd</t>
        </is>
      </c>
    </row>
    <row r="1137" ht="28" customHeight="1">
      <c r="A1137" s="12">
        <f>IF($L1137="applied","Applied",IF($L1137="interview","Interview",IF($L1137="offer","Offer",IF($L1137="rejected","Rejected",IF($L1137="ignore","Ignore",IF($L1137="archive","Archive",IF($L1137="closed","Closed",IF($B1137="","Unscored",IF(AND($B1137&gt;=8,OR($H1137="",$H1137-TODAY()&lt;=14)),"P1 Apply",IF($B1137&gt;=7,"P2 Strong",IF($B1137&gt;=5,"P3 Maybe","P4 Low")))))))))))</f>
        <v/>
      </c>
      <c r="B1137" s="13" t="n">
        <v>1</v>
      </c>
      <c r="C1137" s="12" t="inlineStr">
        <is>
          <t>Senior/Lead</t>
        </is>
      </c>
      <c r="D1137" s="8" t="inlineStr">
        <is>
          <t>Staff Engineer (ML Engineer)</t>
        </is>
      </c>
      <c r="E1137" s="7" t="inlineStr">
        <is>
          <t>Graphcore</t>
        </is>
      </c>
      <c r="F1137" s="8" t="inlineStr">
        <is>
          <t>Bristol, UK</t>
        </is>
      </c>
      <c r="G1137" s="8" t="n"/>
      <c r="H1137" s="14" t="n"/>
      <c r="I1137" s="15">
        <f>IF($H1137="","",$H1137-TODAY())</f>
        <v/>
      </c>
      <c r="J1137" s="16" t="inlineStr">
        <is>
          <t>Open posting</t>
        </is>
      </c>
      <c r="K1137" s="8" t="inlineStr">
        <is>
          <t>filtered by keyword pre-scan</t>
        </is>
      </c>
      <c r="L1137" s="17" t="inlineStr">
        <is>
          <t>new</t>
        </is>
      </c>
      <c r="M1137" s="18" t="inlineStr"/>
      <c r="N1137" s="7" t="inlineStr">
        <is>
          <t>ac73aa436aff8a80a3f33ddff9e18537b5d1ddf2</t>
        </is>
      </c>
      <c r="O1137" s="14" t="n">
        <v>46189</v>
      </c>
      <c r="P1137" s="7" t="inlineStr">
        <is>
          <t>greenhouse:graphcore</t>
        </is>
      </c>
      <c r="Q1137" s="8" t="inlineStr"/>
      <c r="R1137" s="8" t="n"/>
      <c r="S1137" s="19" t="n"/>
      <c r="T1137" s="19" t="n"/>
      <c r="U1137" s="14" t="n">
        <v>46189</v>
      </c>
      <c r="V1137" s="7" t="inlineStr">
        <is>
          <t>v1-db41edab064373dd</t>
        </is>
      </c>
    </row>
    <row r="1138" ht="28" customHeight="1">
      <c r="A1138" s="12">
        <f>IF($L1138="applied","Applied",IF($L1138="interview","Interview",IF($L1138="offer","Offer",IF($L1138="rejected","Rejected",IF($L1138="ignore","Ignore",IF($L1138="archive","Archive",IF($L1138="closed","Closed",IF($B1138="","Unscored",IF(AND($B1138&gt;=8,OR($H1138="",$H1138-TODAY()&lt;=14)),"P1 Apply",IF($B1138&gt;=7,"P2 Strong",IF($B1138&gt;=5,"P3 Maybe","P4 Low")))))))))))</f>
        <v/>
      </c>
      <c r="B1138" s="13" t="n">
        <v>1</v>
      </c>
      <c r="C1138" s="12" t="inlineStr">
        <is>
          <t>Senior/Lead</t>
        </is>
      </c>
      <c r="D1138" s="8" t="inlineStr">
        <is>
          <t>Staff Engineer (ML Engineer)</t>
        </is>
      </c>
      <c r="E1138" s="7" t="inlineStr">
        <is>
          <t>Graphcore</t>
        </is>
      </c>
      <c r="F1138" s="8" t="inlineStr">
        <is>
          <t>Cambridge, UK</t>
        </is>
      </c>
      <c r="G1138" s="8" t="n"/>
      <c r="H1138" s="14" t="n"/>
      <c r="I1138" s="15">
        <f>IF($H1138="","",$H1138-TODAY())</f>
        <v/>
      </c>
      <c r="J1138" s="16" t="inlineStr">
        <is>
          <t>Open posting</t>
        </is>
      </c>
      <c r="K1138" s="8" t="inlineStr">
        <is>
          <t>filtered by keyword pre-scan</t>
        </is>
      </c>
      <c r="L1138" s="17" t="inlineStr">
        <is>
          <t>new</t>
        </is>
      </c>
      <c r="M1138" s="18" t="inlineStr"/>
      <c r="N1138" s="7" t="inlineStr">
        <is>
          <t>70c6feb609703b24c0165509dc2e94e50b892d28</t>
        </is>
      </c>
      <c r="O1138" s="14" t="n">
        <v>46189</v>
      </c>
      <c r="P1138" s="7" t="inlineStr">
        <is>
          <t>greenhouse:graphcore</t>
        </is>
      </c>
      <c r="Q1138" s="8" t="inlineStr"/>
      <c r="R1138" s="8" t="n"/>
      <c r="S1138" s="19" t="n"/>
      <c r="T1138" s="19" t="n"/>
      <c r="U1138" s="14" t="n">
        <v>46189</v>
      </c>
      <c r="V1138" s="7" t="inlineStr">
        <is>
          <t>v1-db41edab064373dd</t>
        </is>
      </c>
    </row>
    <row r="1139" ht="28" customHeight="1">
      <c r="A1139" s="12">
        <f>IF($L1139="applied","Applied",IF($L1139="interview","Interview",IF($L1139="offer","Offer",IF($L1139="rejected","Rejected",IF($L1139="ignore","Ignore",IF($L1139="archive","Archive",IF($L1139="closed","Closed",IF($B1139="","Unscored",IF(AND($B1139&gt;=8,OR($H1139="",$H1139-TODAY()&lt;=14)),"P1 Apply",IF($B1139&gt;=7,"P2 Strong",IF($B1139&gt;=5,"P3 Maybe","P4 Low")))))))))))</f>
        <v/>
      </c>
      <c r="B1139" s="13" t="n">
        <v>1</v>
      </c>
      <c r="C1139" s="12" t="inlineStr">
        <is>
          <t>Senior/Lead</t>
        </is>
      </c>
      <c r="D1139" s="8" t="inlineStr">
        <is>
          <t>Staff Engineer - Platform Bring-up and Validation</t>
        </is>
      </c>
      <c r="E1139" s="7" t="inlineStr">
        <is>
          <t>Graphcore</t>
        </is>
      </c>
      <c r="F1139" s="8" t="inlineStr">
        <is>
          <t>Austin, Texas, United States</t>
        </is>
      </c>
      <c r="G1139" s="8" t="n"/>
      <c r="H1139" s="14" t="n"/>
      <c r="I1139" s="15">
        <f>IF($H1139="","",$H1139-TODAY())</f>
        <v/>
      </c>
      <c r="J1139" s="16" t="inlineStr">
        <is>
          <t>Open posting</t>
        </is>
      </c>
      <c r="K1139" s="8" t="inlineStr">
        <is>
          <t>filtered by keyword pre-scan</t>
        </is>
      </c>
      <c r="L1139" s="17" t="inlineStr">
        <is>
          <t>new</t>
        </is>
      </c>
      <c r="M1139" s="18" t="inlineStr"/>
      <c r="N1139" s="7" t="inlineStr">
        <is>
          <t>eca3b5f0a781ff208f865fb5c0c2c6ec30b4465b</t>
        </is>
      </c>
      <c r="O1139" s="14" t="n">
        <v>46189</v>
      </c>
      <c r="P1139" s="7" t="inlineStr">
        <is>
          <t>greenhouse:graphcore</t>
        </is>
      </c>
      <c r="Q1139" s="8" t="inlineStr"/>
      <c r="R1139" s="8" t="n"/>
      <c r="S1139" s="19" t="n"/>
      <c r="T1139" s="19" t="n"/>
      <c r="U1139" s="14" t="n">
        <v>46189</v>
      </c>
      <c r="V1139" s="7" t="inlineStr">
        <is>
          <t>v1-db41edab064373dd</t>
        </is>
      </c>
    </row>
    <row r="1140" ht="28" customHeight="1">
      <c r="A1140" s="12">
        <f>IF($L1140="applied","Applied",IF($L1140="interview","Interview",IF($L1140="offer","Offer",IF($L1140="rejected","Rejected",IF($L1140="ignore","Ignore",IF($L1140="archive","Archive",IF($L1140="closed","Closed",IF($B1140="","Unscored",IF(AND($B1140&gt;=8,OR($H1140="",$H1140-TODAY()&lt;=14)),"P1 Apply",IF($B1140&gt;=7,"P2 Strong",IF($B1140&gt;=5,"P3 Maybe","P4 Low")))))))))))</f>
        <v/>
      </c>
      <c r="B1140" s="13" t="n">
        <v>1</v>
      </c>
      <c r="C1140" s="12" t="inlineStr">
        <is>
          <t>Senior/Lead</t>
        </is>
      </c>
      <c r="D1140" s="8" t="inlineStr">
        <is>
          <t>Staff Engineer, Power Electronics</t>
        </is>
      </c>
      <c r="E1140" s="7" t="inlineStr">
        <is>
          <t>Graphcore</t>
        </is>
      </c>
      <c r="F1140" s="8" t="inlineStr">
        <is>
          <t>US - Milpitas</t>
        </is>
      </c>
      <c r="G1140" s="8" t="n"/>
      <c r="H1140" s="14" t="n"/>
      <c r="I1140" s="15">
        <f>IF($H1140="","",$H1140-TODAY())</f>
        <v/>
      </c>
      <c r="J1140" s="16" t="inlineStr">
        <is>
          <t>Open posting</t>
        </is>
      </c>
      <c r="K1140" s="8" t="inlineStr">
        <is>
          <t>filtered by keyword pre-scan</t>
        </is>
      </c>
      <c r="L1140" s="17" t="inlineStr">
        <is>
          <t>new</t>
        </is>
      </c>
      <c r="M1140" s="18" t="inlineStr"/>
      <c r="N1140" s="7" t="inlineStr">
        <is>
          <t>1dc65ab598c63cc28efeb3746f1993aa66a1a691</t>
        </is>
      </c>
      <c r="O1140" s="14" t="n">
        <v>46189</v>
      </c>
      <c r="P1140" s="7" t="inlineStr">
        <is>
          <t>greenhouse:graphcore</t>
        </is>
      </c>
      <c r="Q1140" s="8" t="inlineStr"/>
      <c r="R1140" s="8" t="n"/>
      <c r="S1140" s="19" t="n"/>
      <c r="T1140" s="19" t="n"/>
      <c r="U1140" s="14" t="n">
        <v>46189</v>
      </c>
      <c r="V1140" s="7" t="inlineStr">
        <is>
          <t>v1-db41edab064373dd</t>
        </is>
      </c>
    </row>
    <row r="1141" ht="28" customHeight="1">
      <c r="A1141" s="12">
        <f>IF($L1141="applied","Applied",IF($L1141="interview","Interview",IF($L1141="offer","Offer",IF($L1141="rejected","Rejected",IF($L1141="ignore","Ignore",IF($L1141="archive","Archive",IF($L1141="closed","Closed",IF($B1141="","Unscored",IF(AND($B1141&gt;=8,OR($H1141="",$H1141-TODAY()&lt;=14)),"P1 Apply",IF($B1141&gt;=7,"P2 Strong",IF($B1141&gt;=5,"P3 Maybe","P4 Low")))))))))))</f>
        <v/>
      </c>
      <c r="B1141" s="13" t="n">
        <v>1</v>
      </c>
      <c r="C1141" s="12" t="inlineStr">
        <is>
          <t>Senior/Lead</t>
        </is>
      </c>
      <c r="D1141" s="8" t="inlineStr">
        <is>
          <t>Staff Engineer - Server Hardware Compute Blade and Rack Validation Lead</t>
        </is>
      </c>
      <c r="E1141" s="7" t="inlineStr">
        <is>
          <t>Graphcore</t>
        </is>
      </c>
      <c r="F1141" s="8" t="inlineStr">
        <is>
          <t>Austin, Texas, United States</t>
        </is>
      </c>
      <c r="G1141" s="8" t="n"/>
      <c r="H1141" s="14" t="n"/>
      <c r="I1141" s="15">
        <f>IF($H1141="","",$H1141-TODAY())</f>
        <v/>
      </c>
      <c r="J1141" s="16" t="inlineStr">
        <is>
          <t>Open posting</t>
        </is>
      </c>
      <c r="K1141" s="8" t="inlineStr">
        <is>
          <t>filtered by keyword pre-scan</t>
        </is>
      </c>
      <c r="L1141" s="17" t="inlineStr">
        <is>
          <t>new</t>
        </is>
      </c>
      <c r="M1141" s="18" t="inlineStr"/>
      <c r="N1141" s="7" t="inlineStr">
        <is>
          <t>a0fa617fb4ca247cc061c3f669d9bcd31c85df70</t>
        </is>
      </c>
      <c r="O1141" s="14" t="n">
        <v>46189</v>
      </c>
      <c r="P1141" s="7" t="inlineStr">
        <is>
          <t>greenhouse:graphcore</t>
        </is>
      </c>
      <c r="Q1141" s="8" t="inlineStr"/>
      <c r="R1141" s="8" t="n"/>
      <c r="S1141" s="19" t="n"/>
      <c r="T1141" s="19" t="n"/>
      <c r="U1141" s="14" t="n">
        <v>46189</v>
      </c>
      <c r="V1141" s="7" t="inlineStr">
        <is>
          <t>v1-db41edab064373dd</t>
        </is>
      </c>
    </row>
    <row r="1142" ht="28" customHeight="1">
      <c r="A1142" s="12">
        <f>IF($L1142="applied","Applied",IF($L1142="interview","Interview",IF($L1142="offer","Offer",IF($L1142="rejected","Rejected",IF($L1142="ignore","Ignore",IF($L1142="archive","Archive",IF($L1142="closed","Closed",IF($B1142="","Unscored",IF(AND($B1142&gt;=8,OR($H1142="",$H1142-TODAY()&lt;=14)),"P1 Apply",IF($B1142&gt;=7,"P2 Strong",IF($B1142&gt;=5,"P3 Maybe","P4 Low")))))))))))</f>
        <v/>
      </c>
      <c r="B1142" s="13" t="n">
        <v>1</v>
      </c>
      <c r="C1142" s="12" t="inlineStr">
        <is>
          <t>Senior/Lead</t>
        </is>
      </c>
      <c r="D1142" s="8" t="inlineStr">
        <is>
          <t>Staff Firmware Engineer</t>
        </is>
      </c>
      <c r="E1142" s="7" t="inlineStr">
        <is>
          <t>Graphcore</t>
        </is>
      </c>
      <c r="F1142" s="8" t="inlineStr">
        <is>
          <t>Bristol, UK</t>
        </is>
      </c>
      <c r="G1142" s="8" t="n"/>
      <c r="H1142" s="14" t="n"/>
      <c r="I1142" s="15">
        <f>IF($H1142="","",$H1142-TODAY())</f>
        <v/>
      </c>
      <c r="J1142" s="16" t="inlineStr">
        <is>
          <t>Open posting</t>
        </is>
      </c>
      <c r="K1142" s="8" t="inlineStr">
        <is>
          <t>filtered by keyword pre-scan</t>
        </is>
      </c>
      <c r="L1142" s="17" t="inlineStr">
        <is>
          <t>new</t>
        </is>
      </c>
      <c r="M1142" s="18" t="inlineStr"/>
      <c r="N1142" s="7" t="inlineStr">
        <is>
          <t>ea1f48e7b2c9aed5fb33c0b7bac51aea14fd099b</t>
        </is>
      </c>
      <c r="O1142" s="14" t="n">
        <v>46189</v>
      </c>
      <c r="P1142" s="7" t="inlineStr">
        <is>
          <t>greenhouse:graphcore</t>
        </is>
      </c>
      <c r="Q1142" s="8" t="inlineStr"/>
      <c r="R1142" s="8" t="n"/>
      <c r="S1142" s="19" t="n"/>
      <c r="T1142" s="19" t="n"/>
      <c r="U1142" s="14" t="n">
        <v>46189</v>
      </c>
      <c r="V1142" s="7" t="inlineStr">
        <is>
          <t>v1-db41edab064373dd</t>
        </is>
      </c>
    </row>
    <row r="1143" ht="28" customHeight="1">
      <c r="A1143" s="12">
        <f>IF($L1143="applied","Applied",IF($L1143="interview","Interview",IF($L1143="offer","Offer",IF($L1143="rejected","Rejected",IF($L1143="ignore","Ignore",IF($L1143="archive","Archive",IF($L1143="closed","Closed",IF($B1143="","Unscored",IF(AND($B1143&gt;=8,OR($H1143="",$H1143-TODAY()&lt;=14)),"P1 Apply",IF($B1143&gt;=7,"P2 Strong",IF($B1143&gt;=5,"P3 Maybe","P4 Low")))))))))))</f>
        <v/>
      </c>
      <c r="B1143" s="13" t="n">
        <v>1</v>
      </c>
      <c r="C1143" s="12" t="inlineStr">
        <is>
          <t>Senior/Lead</t>
        </is>
      </c>
      <c r="D1143" s="8" t="inlineStr">
        <is>
          <t>Staff Manufacturing Product Engineer</t>
        </is>
      </c>
      <c r="E1143" s="7" t="inlineStr">
        <is>
          <t>Graphcore</t>
        </is>
      </c>
      <c r="F1143" s="8" t="inlineStr">
        <is>
          <t>Bristol, UK</t>
        </is>
      </c>
      <c r="G1143" s="8" t="n"/>
      <c r="H1143" s="14" t="n"/>
      <c r="I1143" s="15">
        <f>IF($H1143="","",$H1143-TODAY())</f>
        <v/>
      </c>
      <c r="J1143" s="16" t="inlineStr">
        <is>
          <t>Open posting</t>
        </is>
      </c>
      <c r="K1143" s="8" t="inlineStr">
        <is>
          <t>filtered by keyword pre-scan</t>
        </is>
      </c>
      <c r="L1143" s="17" t="inlineStr">
        <is>
          <t>new</t>
        </is>
      </c>
      <c r="M1143" s="18" t="inlineStr"/>
      <c r="N1143" s="7" t="inlineStr">
        <is>
          <t>c206a6df38cdd414fb95a878d3112f0210d78819</t>
        </is>
      </c>
      <c r="O1143" s="14" t="n">
        <v>46189</v>
      </c>
      <c r="P1143" s="7" t="inlineStr">
        <is>
          <t>greenhouse:graphcore</t>
        </is>
      </c>
      <c r="Q1143" s="8" t="inlineStr"/>
      <c r="R1143" s="8" t="n"/>
      <c r="S1143" s="19" t="n"/>
      <c r="T1143" s="19" t="n"/>
      <c r="U1143" s="14" t="n">
        <v>46189</v>
      </c>
      <c r="V1143" s="7" t="inlineStr">
        <is>
          <t>v1-db41edab064373dd</t>
        </is>
      </c>
    </row>
    <row r="1144" ht="28" customHeight="1">
      <c r="A1144" s="12">
        <f>IF($L1144="applied","Applied",IF($L1144="interview","Interview",IF($L1144="offer","Offer",IF($L1144="rejected","Rejected",IF($L1144="ignore","Ignore",IF($L1144="archive","Archive",IF($L1144="closed","Closed",IF($B1144="","Unscored",IF(AND($B1144&gt;=8,OR($H1144="",$H1144-TODAY()&lt;=14)),"P1 Apply",IF($B1144&gt;=7,"P2 Strong",IF($B1144&gt;=5,"P3 Maybe","P4 Low")))))))))))</f>
        <v/>
      </c>
      <c r="B1144" s="13" t="n">
        <v>1</v>
      </c>
      <c r="C1144" s="12" t="inlineStr">
        <is>
          <t>Senior/Lead</t>
        </is>
      </c>
      <c r="D1144" s="8" t="inlineStr">
        <is>
          <t>Staff Manufacturing Test Engineer</t>
        </is>
      </c>
      <c r="E1144" s="7" t="inlineStr">
        <is>
          <t>Graphcore</t>
        </is>
      </c>
      <c r="F1144" s="8" t="inlineStr">
        <is>
          <t>Austin, Texas, United States</t>
        </is>
      </c>
      <c r="G1144" s="8" t="n"/>
      <c r="H1144" s="14" t="n"/>
      <c r="I1144" s="15">
        <f>IF($H1144="","",$H1144-TODAY())</f>
        <v/>
      </c>
      <c r="J1144" s="16" t="inlineStr">
        <is>
          <t>Open posting</t>
        </is>
      </c>
      <c r="K1144" s="8" t="inlineStr">
        <is>
          <t>filtered by keyword pre-scan</t>
        </is>
      </c>
      <c r="L1144" s="17" t="inlineStr">
        <is>
          <t>new</t>
        </is>
      </c>
      <c r="M1144" s="18" t="inlineStr"/>
      <c r="N1144" s="7" t="inlineStr">
        <is>
          <t>47b452b25d29e2490bc3d8173beaff0b014ee0e8</t>
        </is>
      </c>
      <c r="O1144" s="14" t="n">
        <v>46189</v>
      </c>
      <c r="P1144" s="7" t="inlineStr">
        <is>
          <t>greenhouse:graphcore</t>
        </is>
      </c>
      <c r="Q1144" s="8" t="inlineStr"/>
      <c r="R1144" s="8" t="n"/>
      <c r="S1144" s="19" t="n"/>
      <c r="T1144" s="19" t="n"/>
      <c r="U1144" s="14" t="n">
        <v>46189</v>
      </c>
      <c r="V1144" s="7" t="inlineStr">
        <is>
          <t>v1-db41edab064373dd</t>
        </is>
      </c>
    </row>
    <row r="1145" ht="28" customHeight="1">
      <c r="A1145" s="12">
        <f>IF($L1145="applied","Applied",IF($L1145="interview","Interview",IF($L1145="offer","Offer",IF($L1145="rejected","Rejected",IF($L1145="ignore","Ignore",IF($L1145="archive","Archive",IF($L1145="closed","Closed",IF($B1145="","Unscored",IF(AND($B1145&gt;=8,OR($H1145="",$H1145-TODAY()&lt;=14)),"P1 Apply",IF($B1145&gt;=7,"P2 Strong",IF($B1145&gt;=5,"P3 Maybe","P4 Low")))))))))))</f>
        <v/>
      </c>
      <c r="B1145" s="13" t="n">
        <v>1</v>
      </c>
      <c r="C1145" s="12" t="inlineStr">
        <is>
          <t>Senior/Lead</t>
        </is>
      </c>
      <c r="D1145" s="8" t="inlineStr">
        <is>
          <t>Staff Mechanical HVAC Engineer</t>
        </is>
      </c>
      <c r="E1145" s="7" t="inlineStr">
        <is>
          <t>Graphcore</t>
        </is>
      </c>
      <c r="F1145" s="8" t="inlineStr">
        <is>
          <t>America, United States; Austin, Texas, United States</t>
        </is>
      </c>
      <c r="G1145" s="8" t="n"/>
      <c r="H1145" s="14" t="n"/>
      <c r="I1145" s="15">
        <f>IF($H1145="","",$H1145-TODAY())</f>
        <v/>
      </c>
      <c r="J1145" s="16" t="inlineStr">
        <is>
          <t>Open posting</t>
        </is>
      </c>
      <c r="K1145" s="8" t="inlineStr">
        <is>
          <t>filtered by keyword pre-scan</t>
        </is>
      </c>
      <c r="L1145" s="17" t="inlineStr">
        <is>
          <t>new</t>
        </is>
      </c>
      <c r="M1145" s="18" t="inlineStr"/>
      <c r="N1145" s="7" t="inlineStr">
        <is>
          <t>84dce29c409d7a7403aba565e7049a197753f5e1</t>
        </is>
      </c>
      <c r="O1145" s="14" t="n">
        <v>46189</v>
      </c>
      <c r="P1145" s="7" t="inlineStr">
        <is>
          <t>greenhouse:graphcore</t>
        </is>
      </c>
      <c r="Q1145" s="8" t="inlineStr"/>
      <c r="R1145" s="8" t="n"/>
      <c r="S1145" s="19" t="n"/>
      <c r="T1145" s="19" t="n"/>
      <c r="U1145" s="14" t="n">
        <v>46189</v>
      </c>
      <c r="V1145" s="7" t="inlineStr">
        <is>
          <t>v1-db41edab064373dd</t>
        </is>
      </c>
    </row>
    <row r="1146" ht="28" customHeight="1">
      <c r="A1146" s="12">
        <f>IF($L1146="applied","Applied",IF($L1146="interview","Interview",IF($L1146="offer","Offer",IF($L1146="rejected","Rejected",IF($L1146="ignore","Ignore",IF($L1146="archive","Archive",IF($L1146="closed","Closed",IF($B1146="","Unscored",IF(AND($B1146&gt;=8,OR($H1146="",$H1146-TODAY()&lt;=14)),"P1 Apply",IF($B1146&gt;=7,"P2 Strong",IF($B1146&gt;=5,"P3 Maybe","P4 Low")))))))))))</f>
        <v/>
      </c>
      <c r="B1146" s="13" t="n">
        <v>1</v>
      </c>
      <c r="C1146" s="12" t="inlineStr">
        <is>
          <t>Senior/Lead</t>
        </is>
      </c>
      <c r="D1146" s="8" t="inlineStr">
        <is>
          <t>Staff -Power and Performance Validation Engineer</t>
        </is>
      </c>
      <c r="E1146" s="7" t="inlineStr">
        <is>
          <t>Graphcore</t>
        </is>
      </c>
      <c r="F1146" s="8" t="inlineStr">
        <is>
          <t>Bengaluru, India</t>
        </is>
      </c>
      <c r="G1146" s="8" t="n"/>
      <c r="H1146" s="14" t="n"/>
      <c r="I1146" s="15">
        <f>IF($H1146="","",$H1146-TODAY())</f>
        <v/>
      </c>
      <c r="J1146" s="16" t="inlineStr">
        <is>
          <t>Open posting</t>
        </is>
      </c>
      <c r="K1146" s="8" t="inlineStr">
        <is>
          <t>filtered by keyword pre-scan</t>
        </is>
      </c>
      <c r="L1146" s="17" t="inlineStr">
        <is>
          <t>new</t>
        </is>
      </c>
      <c r="M1146" s="18" t="inlineStr"/>
      <c r="N1146" s="7" t="inlineStr">
        <is>
          <t>040ebd420c5b1d9d971e8410979531916e0f791a</t>
        </is>
      </c>
      <c r="O1146" s="14" t="n">
        <v>46189</v>
      </c>
      <c r="P1146" s="7" t="inlineStr">
        <is>
          <t>greenhouse:graphcore</t>
        </is>
      </c>
      <c r="Q1146" s="8" t="inlineStr"/>
      <c r="R1146" s="8" t="n"/>
      <c r="S1146" s="19" t="n"/>
      <c r="T1146" s="19" t="n"/>
      <c r="U1146" s="14" t="n">
        <v>46189</v>
      </c>
      <c r="V1146" s="7" t="inlineStr">
        <is>
          <t>v1-db41edab064373dd</t>
        </is>
      </c>
    </row>
    <row r="1147" ht="28" customHeight="1">
      <c r="A1147" s="12">
        <f>IF($L1147="applied","Applied",IF($L1147="interview","Interview",IF($L1147="offer","Offer",IF($L1147="rejected","Rejected",IF($L1147="ignore","Ignore",IF($L1147="archive","Archive",IF($L1147="closed","Closed",IF($B1147="","Unscored",IF(AND($B1147&gt;=8,OR($H1147="",$H1147-TODAY()&lt;=14)),"P1 Apply",IF($B1147&gt;=7,"P2 Strong",IF($B1147&gt;=5,"P3 Maybe","P4 Low")))))))))))</f>
        <v/>
      </c>
      <c r="B1147" s="13" t="n">
        <v>1</v>
      </c>
      <c r="C1147" s="12" t="inlineStr">
        <is>
          <t>Senior/Lead</t>
        </is>
      </c>
      <c r="D1147" s="8" t="inlineStr">
        <is>
          <t>Staff Programme Manager</t>
        </is>
      </c>
      <c r="E1147" s="7" t="inlineStr">
        <is>
          <t>Graphcore</t>
        </is>
      </c>
      <c r="F1147" s="8" t="inlineStr">
        <is>
          <t>Bristol, UK</t>
        </is>
      </c>
      <c r="G1147" s="8" t="n"/>
      <c r="H1147" s="14" t="n"/>
      <c r="I1147" s="15">
        <f>IF($H1147="","",$H1147-TODAY())</f>
        <v/>
      </c>
      <c r="J1147" s="16" t="inlineStr">
        <is>
          <t>Open posting</t>
        </is>
      </c>
      <c r="K1147" s="8" t="inlineStr">
        <is>
          <t>filtered by keyword pre-scan</t>
        </is>
      </c>
      <c r="L1147" s="17" t="inlineStr">
        <is>
          <t>new</t>
        </is>
      </c>
      <c r="M1147" s="18" t="inlineStr"/>
      <c r="N1147" s="7" t="inlineStr">
        <is>
          <t>e68c8746ad383288e758b4219a525a583102083d</t>
        </is>
      </c>
      <c r="O1147" s="14" t="n">
        <v>46189</v>
      </c>
      <c r="P1147" s="7" t="inlineStr">
        <is>
          <t>greenhouse:graphcore</t>
        </is>
      </c>
      <c r="Q1147" s="8" t="inlineStr"/>
      <c r="R1147" s="8" t="n"/>
      <c r="S1147" s="19" t="n"/>
      <c r="T1147" s="19" t="n"/>
      <c r="U1147" s="14" t="n">
        <v>46189</v>
      </c>
      <c r="V1147" s="7" t="inlineStr">
        <is>
          <t>v1-db41edab064373dd</t>
        </is>
      </c>
    </row>
    <row r="1148" ht="28" customHeight="1">
      <c r="A1148" s="12">
        <f>IF($L1148="applied","Applied",IF($L1148="interview","Interview",IF($L1148="offer","Offer",IF($L1148="rejected","Rejected",IF($L1148="ignore","Ignore",IF($L1148="archive","Archive",IF($L1148="closed","Closed",IF($B1148="","Unscored",IF(AND($B1148&gt;=8,OR($H1148="",$H1148-TODAY()&lt;=14)),"P1 Apply",IF($B1148&gt;=7,"P2 Strong",IF($B1148&gt;=5,"P3 Maybe","P4 Low")))))))))))</f>
        <v/>
      </c>
      <c r="B1148" s="13" t="n">
        <v>1</v>
      </c>
      <c r="C1148" s="12" t="inlineStr">
        <is>
          <t>Senior/Lead</t>
        </is>
      </c>
      <c r="D1148" s="8" t="inlineStr">
        <is>
          <t>Staff QA Engineer - Workload Management</t>
        </is>
      </c>
      <c r="E1148" s="7" t="inlineStr">
        <is>
          <t>Graphcore</t>
        </is>
      </c>
      <c r="F1148" s="8" t="inlineStr">
        <is>
          <t>Gdańsk, Pomeranian Voivodeship, Poland</t>
        </is>
      </c>
      <c r="G1148" s="8" t="n"/>
      <c r="H1148" s="14" t="n"/>
      <c r="I1148" s="15">
        <f>IF($H1148="","",$H1148-TODAY())</f>
        <v/>
      </c>
      <c r="J1148" s="16" t="inlineStr">
        <is>
          <t>Open posting</t>
        </is>
      </c>
      <c r="K1148" s="8" t="inlineStr">
        <is>
          <t>filtered by keyword pre-scan</t>
        </is>
      </c>
      <c r="L1148" s="17" t="inlineStr">
        <is>
          <t>new</t>
        </is>
      </c>
      <c r="M1148" s="18" t="inlineStr"/>
      <c r="N1148" s="7" t="inlineStr">
        <is>
          <t>c0955b8c2537a1b7ac5a8894b0f0b1aab41c9292</t>
        </is>
      </c>
      <c r="O1148" s="14" t="n">
        <v>46189</v>
      </c>
      <c r="P1148" s="7" t="inlineStr">
        <is>
          <t>greenhouse:graphcore</t>
        </is>
      </c>
      <c r="Q1148" s="8" t="inlineStr"/>
      <c r="R1148" s="8" t="n"/>
      <c r="S1148" s="19" t="n"/>
      <c r="T1148" s="19" t="n"/>
      <c r="U1148" s="14" t="n">
        <v>46189</v>
      </c>
      <c r="V1148" s="7" t="inlineStr">
        <is>
          <t>v1-db41edab064373dd</t>
        </is>
      </c>
    </row>
    <row r="1149" ht="28" customHeight="1">
      <c r="A1149" s="12">
        <f>IF($L1149="applied","Applied",IF($L1149="interview","Interview",IF($L1149="offer","Offer",IF($L1149="rejected","Rejected",IF($L1149="ignore","Ignore",IF($L1149="archive","Archive",IF($L1149="closed","Closed",IF($B1149="","Unscored",IF(AND($B1149&gt;=8,OR($H1149="",$H1149-TODAY()&lt;=14)),"P1 Apply",IF($B1149&gt;=7,"P2 Strong",IF($B1149&gt;=5,"P3 Maybe","P4 Low")))))))))))</f>
        <v/>
      </c>
      <c r="B1149" s="13" t="n">
        <v>1</v>
      </c>
      <c r="C1149" s="12" t="inlineStr">
        <is>
          <t>Senior/Lead</t>
        </is>
      </c>
      <c r="D1149" s="8" t="inlineStr">
        <is>
          <t>Staff Robotics Engineer</t>
        </is>
      </c>
      <c r="E1149" s="7" t="inlineStr">
        <is>
          <t>Graphcore</t>
        </is>
      </c>
      <c r="F1149" s="8" t="inlineStr">
        <is>
          <t>Austin, Texas, United States</t>
        </is>
      </c>
      <c r="G1149" s="8" t="n"/>
      <c r="H1149" s="14" t="n"/>
      <c r="I1149" s="15">
        <f>IF($H1149="","",$H1149-TODAY())</f>
        <v/>
      </c>
      <c r="J1149" s="16" t="inlineStr">
        <is>
          <t>Open posting</t>
        </is>
      </c>
      <c r="K1149" s="8" t="inlineStr">
        <is>
          <t>filtered by keyword pre-scan</t>
        </is>
      </c>
      <c r="L1149" s="17" t="inlineStr">
        <is>
          <t>new</t>
        </is>
      </c>
      <c r="M1149" s="18" t="inlineStr"/>
      <c r="N1149" s="7" t="inlineStr">
        <is>
          <t>40631c66da056b7161ea14004d9b8e8ffbff1941</t>
        </is>
      </c>
      <c r="O1149" s="14" t="n">
        <v>46189</v>
      </c>
      <c r="P1149" s="7" t="inlineStr">
        <is>
          <t>greenhouse:graphcore</t>
        </is>
      </c>
      <c r="Q1149" s="8" t="inlineStr"/>
      <c r="R1149" s="8" t="n"/>
      <c r="S1149" s="19" t="n"/>
      <c r="T1149" s="19" t="n"/>
      <c r="U1149" s="14" t="n">
        <v>46189</v>
      </c>
      <c r="V1149" s="7" t="inlineStr">
        <is>
          <t>v1-db41edab064373dd</t>
        </is>
      </c>
    </row>
    <row r="1150" ht="28" customHeight="1">
      <c r="A1150" s="12">
        <f>IF($L1150="applied","Applied",IF($L1150="interview","Interview",IF($L1150="offer","Offer",IF($L1150="rejected","Rejected",IF($L1150="ignore","Ignore",IF($L1150="archive","Archive",IF($L1150="closed","Closed",IF($B1150="","Unscored",IF(AND($B1150&gt;=8,OR($H1150="",$H1150-TODAY()&lt;=14)),"P1 Apply",IF($B1150&gt;=7,"P2 Strong",IF($B1150&gt;=5,"P3 Maybe","P4 Low")))))))))))</f>
        <v/>
      </c>
      <c r="B1150" s="13" t="n">
        <v>1</v>
      </c>
      <c r="C1150" s="12" t="inlineStr">
        <is>
          <t>Senior/Lead</t>
        </is>
      </c>
      <c r="D1150" s="8" t="inlineStr">
        <is>
          <t>Staff Silicon Physical Design Engineer - Bengaluru</t>
        </is>
      </c>
      <c r="E1150" s="7" t="inlineStr">
        <is>
          <t>Graphcore</t>
        </is>
      </c>
      <c r="F1150" s="8" t="inlineStr">
        <is>
          <t>Bengaluru, India</t>
        </is>
      </c>
      <c r="G1150" s="8" t="n"/>
      <c r="H1150" s="14" t="n"/>
      <c r="I1150" s="15">
        <f>IF($H1150="","",$H1150-TODAY())</f>
        <v/>
      </c>
      <c r="J1150" s="16" t="inlineStr">
        <is>
          <t>Open posting</t>
        </is>
      </c>
      <c r="K1150" s="8" t="inlineStr">
        <is>
          <t>filtered by keyword pre-scan</t>
        </is>
      </c>
      <c r="L1150" s="17" t="inlineStr">
        <is>
          <t>new</t>
        </is>
      </c>
      <c r="M1150" s="18" t="inlineStr"/>
      <c r="N1150" s="7" t="inlineStr">
        <is>
          <t>405261d90f71b94ad7e370f1c0eb0fa605f0dbd1</t>
        </is>
      </c>
      <c r="O1150" s="14" t="n">
        <v>46189</v>
      </c>
      <c r="P1150" s="7" t="inlineStr">
        <is>
          <t>greenhouse:graphcore</t>
        </is>
      </c>
      <c r="Q1150" s="8" t="inlineStr"/>
      <c r="R1150" s="8" t="n"/>
      <c r="S1150" s="19" t="n"/>
      <c r="T1150" s="19" t="n"/>
      <c r="U1150" s="14" t="n">
        <v>46189</v>
      </c>
      <c r="V1150" s="7" t="inlineStr">
        <is>
          <t>v1-db41edab064373dd</t>
        </is>
      </c>
    </row>
    <row r="1151" ht="28" customHeight="1">
      <c r="A1151" s="12">
        <f>IF($L1151="applied","Applied",IF($L1151="interview","Interview",IF($L1151="offer","Offer",IF($L1151="rejected","Rejected",IF($L1151="ignore","Ignore",IF($L1151="archive","Archive",IF($L1151="closed","Closed",IF($B1151="","Unscored",IF(AND($B1151&gt;=8,OR($H1151="",$H1151-TODAY()&lt;=14)),"P1 Apply",IF($B1151&gt;=7,"P2 Strong",IF($B1151&gt;=5,"P3 Maybe","P4 Low")))))))))))</f>
        <v/>
      </c>
      <c r="B1151" s="13" t="n">
        <v>1</v>
      </c>
      <c r="C1151" s="12" t="inlineStr">
        <is>
          <t>Senior/Lead</t>
        </is>
      </c>
      <c r="D1151" s="8" t="inlineStr">
        <is>
          <t>Staff Silicon Verification Engineer - Bengaluru, Multiple Vacancies</t>
        </is>
      </c>
      <c r="E1151" s="7" t="inlineStr">
        <is>
          <t>Graphcore</t>
        </is>
      </c>
      <c r="F1151" s="8" t="inlineStr">
        <is>
          <t>Bengaluru, India</t>
        </is>
      </c>
      <c r="G1151" s="8" t="n"/>
      <c r="H1151" s="14" t="n"/>
      <c r="I1151" s="15">
        <f>IF($H1151="","",$H1151-TODAY())</f>
        <v/>
      </c>
      <c r="J1151" s="16" t="inlineStr">
        <is>
          <t>Open posting</t>
        </is>
      </c>
      <c r="K1151" s="8" t="inlineStr">
        <is>
          <t>filtered by keyword pre-scan</t>
        </is>
      </c>
      <c r="L1151" s="17" t="inlineStr">
        <is>
          <t>new</t>
        </is>
      </c>
      <c r="M1151" s="18" t="inlineStr"/>
      <c r="N1151" s="7" t="inlineStr">
        <is>
          <t>e62573a7bd7090d16050b6f5a50adcdbb135be2c</t>
        </is>
      </c>
      <c r="O1151" s="14" t="n">
        <v>46189</v>
      </c>
      <c r="P1151" s="7" t="inlineStr">
        <is>
          <t>greenhouse:graphcore</t>
        </is>
      </c>
      <c r="Q1151" s="8" t="inlineStr"/>
      <c r="R1151" s="8" t="n"/>
      <c r="S1151" s="19" t="n"/>
      <c r="T1151" s="19" t="n"/>
      <c r="U1151" s="14" t="n">
        <v>46189</v>
      </c>
      <c r="V1151" s="7" t="inlineStr">
        <is>
          <t>v1-db41edab064373dd</t>
        </is>
      </c>
    </row>
    <row r="1152" ht="28" customHeight="1">
      <c r="A1152" s="12">
        <f>IF($L1152="applied","Applied",IF($L1152="interview","Interview",IF($L1152="offer","Offer",IF($L1152="rejected","Rejected",IF($L1152="ignore","Ignore",IF($L1152="archive","Archive",IF($L1152="closed","Closed",IF($B1152="","Unscored",IF(AND($B1152&gt;=8,OR($H1152="",$H1152-TODAY()&lt;=14)),"P1 Apply",IF($B1152&gt;=7,"P2 Strong",IF($B1152&gt;=5,"P3 Maybe","P4 Low")))))))))))</f>
        <v/>
      </c>
      <c r="B1152" s="13" t="n">
        <v>1</v>
      </c>
      <c r="C1152" s="12" t="inlineStr">
        <is>
          <t>Senior/Lead</t>
        </is>
      </c>
      <c r="D1152" s="8" t="inlineStr">
        <is>
          <t>Staff SoC Architect</t>
        </is>
      </c>
      <c r="E1152" s="7" t="inlineStr">
        <is>
          <t>Graphcore</t>
        </is>
      </c>
      <c r="F1152" s="8" t="inlineStr">
        <is>
          <t>Bristol, UK</t>
        </is>
      </c>
      <c r="G1152" s="8" t="n"/>
      <c r="H1152" s="14" t="n"/>
      <c r="I1152" s="15">
        <f>IF($H1152="","",$H1152-TODAY())</f>
        <v/>
      </c>
      <c r="J1152" s="16" t="inlineStr">
        <is>
          <t>Open posting</t>
        </is>
      </c>
      <c r="K1152" s="8" t="inlineStr">
        <is>
          <t>filtered by keyword pre-scan</t>
        </is>
      </c>
      <c r="L1152" s="17" t="inlineStr">
        <is>
          <t>new</t>
        </is>
      </c>
      <c r="M1152" s="18" t="inlineStr"/>
      <c r="N1152" s="7" t="inlineStr">
        <is>
          <t>7f90512807b3517d04098ef810f2492bbd0e912d</t>
        </is>
      </c>
      <c r="O1152" s="14" t="n">
        <v>46189</v>
      </c>
      <c r="P1152" s="7" t="inlineStr">
        <is>
          <t>greenhouse:graphcore</t>
        </is>
      </c>
      <c r="Q1152" s="8" t="inlineStr"/>
      <c r="R1152" s="8" t="n"/>
      <c r="S1152" s="19" t="n"/>
      <c r="T1152" s="19" t="n"/>
      <c r="U1152" s="14" t="n">
        <v>46189</v>
      </c>
      <c r="V1152" s="7" t="inlineStr">
        <is>
          <t>v1-db41edab064373dd</t>
        </is>
      </c>
    </row>
    <row r="1153" ht="28" customHeight="1">
      <c r="A1153" s="12">
        <f>IF($L1153="applied","Applied",IF($L1153="interview","Interview",IF($L1153="offer","Offer",IF($L1153="rejected","Rejected",IF($L1153="ignore","Ignore",IF($L1153="archive","Archive",IF($L1153="closed","Closed",IF($B1153="","Unscored",IF(AND($B1153&gt;=8,OR($H1153="",$H1153-TODAY()&lt;=14)),"P1 Apply",IF($B1153&gt;=7,"P2 Strong",IF($B1153&gt;=5,"P3 Maybe","P4 Low")))))))))))</f>
        <v/>
      </c>
      <c r="B1153" s="13" t="n">
        <v>1</v>
      </c>
      <c r="C1153" s="12" t="inlineStr">
        <is>
          <t>Senior/Lead</t>
        </is>
      </c>
      <c r="D1153" s="8" t="inlineStr">
        <is>
          <t>Staff Software Engineer</t>
        </is>
      </c>
      <c r="E1153" s="7" t="inlineStr">
        <is>
          <t>Graphcore</t>
        </is>
      </c>
      <c r="F1153" s="8" t="inlineStr">
        <is>
          <t>Gdańsk, Pomeranian Voivodeship, Poland</t>
        </is>
      </c>
      <c r="G1153" s="8" t="n"/>
      <c r="H1153" s="14" t="n"/>
      <c r="I1153" s="15">
        <f>IF($H1153="","",$H1153-TODAY())</f>
        <v/>
      </c>
      <c r="J1153" s="16" t="inlineStr">
        <is>
          <t>Open posting</t>
        </is>
      </c>
      <c r="K1153" s="8" t="inlineStr">
        <is>
          <t>filtered by keyword pre-scan</t>
        </is>
      </c>
      <c r="L1153" s="17" t="inlineStr">
        <is>
          <t>new</t>
        </is>
      </c>
      <c r="M1153" s="18" t="inlineStr"/>
      <c r="N1153" s="7" t="inlineStr">
        <is>
          <t>fa3f07c11c0dcbc6555e5c4550a30067e86f03b2</t>
        </is>
      </c>
      <c r="O1153" s="14" t="n">
        <v>46189</v>
      </c>
      <c r="P1153" s="7" t="inlineStr">
        <is>
          <t>greenhouse:graphcore</t>
        </is>
      </c>
      <c r="Q1153" s="8" t="inlineStr"/>
      <c r="R1153" s="8" t="n"/>
      <c r="S1153" s="19" t="n"/>
      <c r="T1153" s="19" t="n"/>
      <c r="U1153" s="14" t="n">
        <v>46189</v>
      </c>
      <c r="V1153" s="7" t="inlineStr">
        <is>
          <t>v1-db41edab064373dd</t>
        </is>
      </c>
    </row>
    <row r="1154" ht="28" customHeight="1">
      <c r="A1154" s="12">
        <f>IF($L1154="applied","Applied",IF($L1154="interview","Interview",IF($L1154="offer","Offer",IF($L1154="rejected","Rejected",IF($L1154="ignore","Ignore",IF($L1154="archive","Archive",IF($L1154="closed","Closed",IF($B1154="","Unscored",IF(AND($B1154&gt;=8,OR($H1154="",$H1154-TODAY()&lt;=14)),"P1 Apply",IF($B1154&gt;=7,"P2 Strong",IF($B1154&gt;=5,"P3 Maybe","P4 Low")))))))))))</f>
        <v/>
      </c>
      <c r="B1154" s="13" t="n">
        <v>1</v>
      </c>
      <c r="C1154" s="12" t="inlineStr">
        <is>
          <t>Senior/Lead</t>
        </is>
      </c>
      <c r="D1154" s="8" t="inlineStr">
        <is>
          <t>Staff Software Engineer</t>
        </is>
      </c>
      <c r="E1154" s="7" t="inlineStr">
        <is>
          <t>Graphcore</t>
        </is>
      </c>
      <c r="F1154" s="8" t="inlineStr">
        <is>
          <t>Bristol, UK</t>
        </is>
      </c>
      <c r="G1154" s="8" t="n"/>
      <c r="H1154" s="14" t="n"/>
      <c r="I1154" s="15">
        <f>IF($H1154="","",$H1154-TODAY())</f>
        <v/>
      </c>
      <c r="J1154" s="16" t="inlineStr">
        <is>
          <t>Open posting</t>
        </is>
      </c>
      <c r="K1154" s="8" t="inlineStr">
        <is>
          <t>filtered by keyword pre-scan</t>
        </is>
      </c>
      <c r="L1154" s="17" t="inlineStr">
        <is>
          <t>new</t>
        </is>
      </c>
      <c r="M1154" s="18" t="inlineStr"/>
      <c r="N1154" s="7" t="inlineStr">
        <is>
          <t>a1e8f37350173acf6afd5606192e8ef8c0193292</t>
        </is>
      </c>
      <c r="O1154" s="14" t="n">
        <v>46189</v>
      </c>
      <c r="P1154" s="7" t="inlineStr">
        <is>
          <t>greenhouse:graphcore</t>
        </is>
      </c>
      <c r="Q1154" s="8" t="inlineStr"/>
      <c r="R1154" s="8" t="n"/>
      <c r="S1154" s="19" t="n"/>
      <c r="T1154" s="19" t="n"/>
      <c r="U1154" s="14" t="n">
        <v>46189</v>
      </c>
      <c r="V1154" s="7" t="inlineStr">
        <is>
          <t>v1-db41edab064373dd</t>
        </is>
      </c>
    </row>
    <row r="1155" ht="28" customHeight="1">
      <c r="A1155" s="12">
        <f>IF($L1155="applied","Applied",IF($L1155="interview","Interview",IF($L1155="offer","Offer",IF($L1155="rejected","Rejected",IF($L1155="ignore","Ignore",IF($L1155="archive","Archive",IF($L1155="closed","Closed",IF($B1155="","Unscored",IF(AND($B1155&gt;=8,OR($H1155="",$H1155-TODAY()&lt;=14)),"P1 Apply",IF($B1155&gt;=7,"P2 Strong",IF($B1155&gt;=5,"P3 Maybe","P4 Low")))))))))))</f>
        <v/>
      </c>
      <c r="B1155" s="13" t="n">
        <v>1</v>
      </c>
      <c r="C1155" s="12" t="inlineStr">
        <is>
          <t>Senior/Lead</t>
        </is>
      </c>
      <c r="D1155" s="8" t="inlineStr">
        <is>
          <t>Staff Software Engineer</t>
        </is>
      </c>
      <c r="E1155" s="7" t="inlineStr">
        <is>
          <t>Graphcore</t>
        </is>
      </c>
      <c r="F1155" s="8" t="inlineStr">
        <is>
          <t>Bristol, UK; Cambridge, UK; Gdańsk, Pomeranian Voivodeship, Poland</t>
        </is>
      </c>
      <c r="G1155" s="8" t="n"/>
      <c r="H1155" s="14" t="n"/>
      <c r="I1155" s="15">
        <f>IF($H1155="","",$H1155-TODAY())</f>
        <v/>
      </c>
      <c r="J1155" s="16" t="inlineStr">
        <is>
          <t>Open posting</t>
        </is>
      </c>
      <c r="K1155" s="8" t="inlineStr">
        <is>
          <t>filtered by keyword pre-scan</t>
        </is>
      </c>
      <c r="L1155" s="17" t="inlineStr">
        <is>
          <t>new</t>
        </is>
      </c>
      <c r="M1155" s="18" t="inlineStr"/>
      <c r="N1155" s="7" t="inlineStr">
        <is>
          <t>290f768eb023dca8ddc4eba4d06f1f029a2c67ce</t>
        </is>
      </c>
      <c r="O1155" s="14" t="n">
        <v>46189</v>
      </c>
      <c r="P1155" s="7" t="inlineStr">
        <is>
          <t>greenhouse:graphcore</t>
        </is>
      </c>
      <c r="Q1155" s="8" t="inlineStr"/>
      <c r="R1155" s="8" t="n"/>
      <c r="S1155" s="19" t="n"/>
      <c r="T1155" s="19" t="n"/>
      <c r="U1155" s="14" t="n">
        <v>46189</v>
      </c>
      <c r="V1155" s="7" t="inlineStr">
        <is>
          <t>v1-db41edab064373dd</t>
        </is>
      </c>
    </row>
    <row r="1156" ht="28" customHeight="1">
      <c r="A1156" s="12">
        <f>IF($L1156="applied","Applied",IF($L1156="interview","Interview",IF($L1156="offer","Offer",IF($L1156="rejected","Rejected",IF($L1156="ignore","Ignore",IF($L1156="archive","Archive",IF($L1156="closed","Closed",IF($B1156="","Unscored",IF(AND($B1156&gt;=8,OR($H1156="",$H1156-TODAY()&lt;=14)),"P1 Apply",IF($B1156&gt;=7,"P2 Strong",IF($B1156&gt;=5,"P3 Maybe","P4 Low")))))))))))</f>
        <v/>
      </c>
      <c r="B1156" s="13" t="n">
        <v>1</v>
      </c>
      <c r="C1156" s="12" t="inlineStr">
        <is>
          <t>Senior/Lead</t>
        </is>
      </c>
      <c r="D1156" s="8" t="inlineStr">
        <is>
          <t>Staff Software Engineer - Analysis Tools</t>
        </is>
      </c>
      <c r="E1156" s="7" t="inlineStr">
        <is>
          <t>Graphcore</t>
        </is>
      </c>
      <c r="F1156" s="8" t="inlineStr">
        <is>
          <t>Gdańsk, Pomeranian Voivodeship, Poland</t>
        </is>
      </c>
      <c r="G1156" s="8" t="n"/>
      <c r="H1156" s="14" t="n"/>
      <c r="I1156" s="15">
        <f>IF($H1156="","",$H1156-TODAY())</f>
        <v/>
      </c>
      <c r="J1156" s="16" t="inlineStr">
        <is>
          <t>Open posting</t>
        </is>
      </c>
      <c r="K1156" s="8" t="inlineStr">
        <is>
          <t>filtered by keyword pre-scan</t>
        </is>
      </c>
      <c r="L1156" s="17" t="inlineStr">
        <is>
          <t>new</t>
        </is>
      </c>
      <c r="M1156" s="18" t="inlineStr"/>
      <c r="N1156" s="7" t="inlineStr">
        <is>
          <t>fa6bfe41fae452b7b2ce1f462f88c300b7c8eb5f</t>
        </is>
      </c>
      <c r="O1156" s="14" t="n">
        <v>46189</v>
      </c>
      <c r="P1156" s="7" t="inlineStr">
        <is>
          <t>greenhouse:graphcore</t>
        </is>
      </c>
      <c r="Q1156" s="8" t="inlineStr"/>
      <c r="R1156" s="8" t="n"/>
      <c r="S1156" s="19" t="n"/>
      <c r="T1156" s="19" t="n"/>
      <c r="U1156" s="14" t="n">
        <v>46189</v>
      </c>
      <c r="V1156" s="7" t="inlineStr">
        <is>
          <t>v1-db41edab064373dd</t>
        </is>
      </c>
    </row>
    <row r="1157" ht="28" customHeight="1">
      <c r="A1157" s="12">
        <f>IF($L1157="applied","Applied",IF($L1157="interview","Interview",IF($L1157="offer","Offer",IF($L1157="rejected","Rejected",IF($L1157="ignore","Ignore",IF($L1157="archive","Archive",IF($L1157="closed","Closed",IF($B1157="","Unscored",IF(AND($B1157&gt;=8,OR($H1157="",$H1157-TODAY()&lt;=14)),"P1 Apply",IF($B1157&gt;=7,"P2 Strong",IF($B1157&gt;=5,"P3 Maybe","P4 Low")))))))))))</f>
        <v/>
      </c>
      <c r="B1157" s="13" t="n">
        <v>1</v>
      </c>
      <c r="C1157" s="12" t="inlineStr">
        <is>
          <t>Senior/Lead</t>
        </is>
      </c>
      <c r="D1157" s="8" t="inlineStr">
        <is>
          <t>Staff Software Engineer - Analysis Tools</t>
        </is>
      </c>
      <c r="E1157" s="7" t="inlineStr">
        <is>
          <t>Graphcore</t>
        </is>
      </c>
      <c r="F1157" s="8" t="inlineStr">
        <is>
          <t>Bristol, UK</t>
        </is>
      </c>
      <c r="G1157" s="8" t="n"/>
      <c r="H1157" s="14" t="n"/>
      <c r="I1157" s="15">
        <f>IF($H1157="","",$H1157-TODAY())</f>
        <v/>
      </c>
      <c r="J1157" s="16" t="inlineStr">
        <is>
          <t>Open posting</t>
        </is>
      </c>
      <c r="K1157" s="8" t="inlineStr">
        <is>
          <t>filtered by keyword pre-scan</t>
        </is>
      </c>
      <c r="L1157" s="17" t="inlineStr">
        <is>
          <t>new</t>
        </is>
      </c>
      <c r="M1157" s="18" t="inlineStr"/>
      <c r="N1157" s="7" t="inlineStr">
        <is>
          <t>53a960344ebb37ef71df4b269bc04d96c9225156</t>
        </is>
      </c>
      <c r="O1157" s="14" t="n">
        <v>46189</v>
      </c>
      <c r="P1157" s="7" t="inlineStr">
        <is>
          <t>greenhouse:graphcore</t>
        </is>
      </c>
      <c r="Q1157" s="8" t="inlineStr"/>
      <c r="R1157" s="8" t="n"/>
      <c r="S1157" s="19" t="n"/>
      <c r="T1157" s="19" t="n"/>
      <c r="U1157" s="14" t="n">
        <v>46189</v>
      </c>
      <c r="V1157" s="7" t="inlineStr">
        <is>
          <t>v1-db41edab064373dd</t>
        </is>
      </c>
    </row>
    <row r="1158" ht="28" customHeight="1">
      <c r="A1158" s="12">
        <f>IF($L1158="applied","Applied",IF($L1158="interview","Interview",IF($L1158="offer","Offer",IF($L1158="rejected","Rejected",IF($L1158="ignore","Ignore",IF($L1158="archive","Archive",IF($L1158="closed","Closed",IF($B1158="","Unscored",IF(AND($B1158&gt;=8,OR($H1158="",$H1158-TODAY()&lt;=14)),"P1 Apply",IF($B1158&gt;=7,"P2 Strong",IF($B1158&gt;=5,"P3 Maybe","P4 Low")))))))))))</f>
        <v/>
      </c>
      <c r="B1158" s="13" t="n">
        <v>1</v>
      </c>
      <c r="C1158" s="12" t="inlineStr">
        <is>
          <t>Senior/Lead</t>
        </is>
      </c>
      <c r="D1158" s="8" t="inlineStr">
        <is>
          <t>Staff Software Engineer - ML Kernels &amp; Runtime</t>
        </is>
      </c>
      <c r="E1158" s="7" t="inlineStr">
        <is>
          <t>Graphcore</t>
        </is>
      </c>
      <c r="F1158" s="8" t="inlineStr">
        <is>
          <t>Gdańsk, Pomeranian Voivodeship, Poland</t>
        </is>
      </c>
      <c r="G1158" s="8" t="n"/>
      <c r="H1158" s="14" t="n"/>
      <c r="I1158" s="15">
        <f>IF($H1158="","",$H1158-TODAY())</f>
        <v/>
      </c>
      <c r="J1158" s="16" t="inlineStr">
        <is>
          <t>Open posting</t>
        </is>
      </c>
      <c r="K1158" s="8" t="inlineStr">
        <is>
          <t>filtered by keyword pre-scan</t>
        </is>
      </c>
      <c r="L1158" s="17" t="inlineStr">
        <is>
          <t>new</t>
        </is>
      </c>
      <c r="M1158" s="18" t="inlineStr"/>
      <c r="N1158" s="7" t="inlineStr">
        <is>
          <t>33d5eb9ceefd94899a4307f5126afacc761246da</t>
        </is>
      </c>
      <c r="O1158" s="14" t="n">
        <v>46189</v>
      </c>
      <c r="P1158" s="7" t="inlineStr">
        <is>
          <t>greenhouse:graphcore</t>
        </is>
      </c>
      <c r="Q1158" s="8" t="inlineStr"/>
      <c r="R1158" s="8" t="n"/>
      <c r="S1158" s="19" t="n"/>
      <c r="T1158" s="19" t="n"/>
      <c r="U1158" s="14" t="n">
        <v>46189</v>
      </c>
      <c r="V1158" s="7" t="inlineStr">
        <is>
          <t>v1-db41edab064373dd</t>
        </is>
      </c>
    </row>
    <row r="1159" ht="28" customHeight="1">
      <c r="A1159" s="12">
        <f>IF($L1159="applied","Applied",IF($L1159="interview","Interview",IF($L1159="offer","Offer",IF($L1159="rejected","Rejected",IF($L1159="ignore","Ignore",IF($L1159="archive","Archive",IF($L1159="closed","Closed",IF($B1159="","Unscored",IF(AND($B1159&gt;=8,OR($H1159="",$H1159-TODAY()&lt;=14)),"P1 Apply",IF($B1159&gt;=7,"P2 Strong",IF($B1159&gt;=5,"P3 Maybe","P4 Low")))))))))))</f>
        <v/>
      </c>
      <c r="B1159" s="13" t="n">
        <v>1</v>
      </c>
      <c r="C1159" s="12" t="inlineStr">
        <is>
          <t>Senior/Lead</t>
        </is>
      </c>
      <c r="D1159" s="8" t="inlineStr">
        <is>
          <t>Staff Software Engineer (ML QA)</t>
        </is>
      </c>
      <c r="E1159" s="7" t="inlineStr">
        <is>
          <t>Graphcore</t>
        </is>
      </c>
      <c r="F1159" s="8" t="inlineStr">
        <is>
          <t>Bristol, UK</t>
        </is>
      </c>
      <c r="G1159" s="8" t="n"/>
      <c r="H1159" s="14" t="n"/>
      <c r="I1159" s="15">
        <f>IF($H1159="","",$H1159-TODAY())</f>
        <v/>
      </c>
      <c r="J1159" s="16" t="inlineStr">
        <is>
          <t>Open posting</t>
        </is>
      </c>
      <c r="K1159" s="8" t="inlineStr">
        <is>
          <t>filtered by keyword pre-scan</t>
        </is>
      </c>
      <c r="L1159" s="17" t="inlineStr">
        <is>
          <t>new</t>
        </is>
      </c>
      <c r="M1159" s="18" t="inlineStr"/>
      <c r="N1159" s="7" t="inlineStr">
        <is>
          <t>c6d14b8903f1393d176516662fe349984fe75b47</t>
        </is>
      </c>
      <c r="O1159" s="14" t="n">
        <v>46189</v>
      </c>
      <c r="P1159" s="7" t="inlineStr">
        <is>
          <t>greenhouse:graphcore</t>
        </is>
      </c>
      <c r="Q1159" s="8" t="inlineStr"/>
      <c r="R1159" s="8" t="n"/>
      <c r="S1159" s="19" t="n"/>
      <c r="T1159" s="19" t="n"/>
      <c r="U1159" s="14" t="n">
        <v>46189</v>
      </c>
      <c r="V1159" s="7" t="inlineStr">
        <is>
          <t>v1-db41edab064373dd</t>
        </is>
      </c>
    </row>
    <row r="1160" ht="28" customHeight="1">
      <c r="A1160" s="12">
        <f>IF($L1160="applied","Applied",IF($L1160="interview","Interview",IF($L1160="offer","Offer",IF($L1160="rejected","Rejected",IF($L1160="ignore","Ignore",IF($L1160="archive","Archive",IF($L1160="closed","Closed",IF($B1160="","Unscored",IF(AND($B1160&gt;=8,OR($H1160="",$H1160-TODAY()&lt;=14)),"P1 Apply",IF($B1160&gt;=7,"P2 Strong",IF($B1160&gt;=5,"P3 Maybe","P4 Low")))))))))))</f>
        <v/>
      </c>
      <c r="B1160" s="13" t="n">
        <v>1</v>
      </c>
      <c r="C1160" s="12" t="inlineStr">
        <is>
          <t>Senior/Lead</t>
        </is>
      </c>
      <c r="D1160" s="8" t="inlineStr">
        <is>
          <t>Staff Software Engineer (ML QA)</t>
        </is>
      </c>
      <c r="E1160" s="7" t="inlineStr">
        <is>
          <t>Graphcore</t>
        </is>
      </c>
      <c r="F1160" s="8" t="inlineStr">
        <is>
          <t>Cambridge, UK</t>
        </is>
      </c>
      <c r="G1160" s="8" t="n"/>
      <c r="H1160" s="14" t="n"/>
      <c r="I1160" s="15">
        <f>IF($H1160="","",$H1160-TODAY())</f>
        <v/>
      </c>
      <c r="J1160" s="16" t="inlineStr">
        <is>
          <t>Open posting</t>
        </is>
      </c>
      <c r="K1160" s="8" t="inlineStr">
        <is>
          <t>filtered by keyword pre-scan</t>
        </is>
      </c>
      <c r="L1160" s="17" t="inlineStr">
        <is>
          <t>new</t>
        </is>
      </c>
      <c r="M1160" s="18" t="inlineStr"/>
      <c r="N1160" s="7" t="inlineStr">
        <is>
          <t>d1c50224d6039980ca8330c1e4a9889a5451ae0c</t>
        </is>
      </c>
      <c r="O1160" s="14" t="n">
        <v>46189</v>
      </c>
      <c r="P1160" s="7" t="inlineStr">
        <is>
          <t>greenhouse:graphcore</t>
        </is>
      </c>
      <c r="Q1160" s="8" t="inlineStr"/>
      <c r="R1160" s="8" t="n"/>
      <c r="S1160" s="19" t="n"/>
      <c r="T1160" s="19" t="n"/>
      <c r="U1160" s="14" t="n">
        <v>46189</v>
      </c>
      <c r="V1160" s="7" t="inlineStr">
        <is>
          <t>v1-db41edab064373dd</t>
        </is>
      </c>
    </row>
    <row r="1161" ht="28" customHeight="1">
      <c r="A1161" s="12">
        <f>IF($L1161="applied","Applied",IF($L1161="interview","Interview",IF($L1161="offer","Offer",IF($L1161="rejected","Rejected",IF($L1161="ignore","Ignore",IF($L1161="archive","Archive",IF($L1161="closed","Closed",IF($B1161="","Unscored",IF(AND($B1161&gt;=8,OR($H1161="",$H1161-TODAY()&lt;=14)),"P1 Apply",IF($B1161&gt;=7,"P2 Strong",IF($B1161&gt;=5,"P3 Maybe","P4 Low")))))))))))</f>
        <v/>
      </c>
      <c r="B1161" s="13" t="n">
        <v>1</v>
      </c>
      <c r="C1161" s="12" t="inlineStr">
        <is>
          <t>Senior/Lead</t>
        </is>
      </c>
      <c r="D1161" s="8" t="inlineStr">
        <is>
          <t>Staff Software Engineer (ML QA)</t>
        </is>
      </c>
      <c r="E1161" s="7" t="inlineStr">
        <is>
          <t>Graphcore</t>
        </is>
      </c>
      <c r="F1161" s="8" t="inlineStr">
        <is>
          <t>London, UK</t>
        </is>
      </c>
      <c r="G1161" s="8" t="n"/>
      <c r="H1161" s="14" t="n"/>
      <c r="I1161" s="15">
        <f>IF($H1161="","",$H1161-TODAY())</f>
        <v/>
      </c>
      <c r="J1161" s="16" t="inlineStr">
        <is>
          <t>Open posting</t>
        </is>
      </c>
      <c r="K1161" s="8" t="inlineStr">
        <is>
          <t>filtered by keyword pre-scan</t>
        </is>
      </c>
      <c r="L1161" s="17" t="inlineStr">
        <is>
          <t>new</t>
        </is>
      </c>
      <c r="M1161" s="18" t="inlineStr"/>
      <c r="N1161" s="7" t="inlineStr">
        <is>
          <t>2fd6ddd91142597c3177d9bf7a9d1ef267db6517</t>
        </is>
      </c>
      <c r="O1161" s="14" t="n">
        <v>46189</v>
      </c>
      <c r="P1161" s="7" t="inlineStr">
        <is>
          <t>greenhouse:graphcore</t>
        </is>
      </c>
      <c r="Q1161" s="8" t="inlineStr"/>
      <c r="R1161" s="8" t="n"/>
      <c r="S1161" s="19" t="n"/>
      <c r="T1161" s="19" t="n"/>
      <c r="U1161" s="14" t="n">
        <v>46189</v>
      </c>
      <c r="V1161" s="7" t="inlineStr">
        <is>
          <t>v1-db41edab064373dd</t>
        </is>
      </c>
    </row>
    <row r="1162" ht="28" customHeight="1">
      <c r="A1162" s="12">
        <f>IF($L1162="applied","Applied",IF($L1162="interview","Interview",IF($L1162="offer","Offer",IF($L1162="rejected","Rejected",IF($L1162="ignore","Ignore",IF($L1162="archive","Archive",IF($L1162="closed","Closed",IF($B1162="","Unscored",IF(AND($B1162&gt;=8,OR($H1162="",$H1162-TODAY()&lt;=14)),"P1 Apply",IF($B1162&gt;=7,"P2 Strong",IF($B1162&gt;=5,"P3 Maybe","P4 Low")))))))))))</f>
        <v/>
      </c>
      <c r="B1162" s="13" t="n">
        <v>1</v>
      </c>
      <c r="C1162" s="12" t="inlineStr">
        <is>
          <t>Senior/Lead</t>
        </is>
      </c>
      <c r="D1162" s="8" t="inlineStr">
        <is>
          <t>Staff Systems Engineer</t>
        </is>
      </c>
      <c r="E1162" s="7" t="inlineStr">
        <is>
          <t>Graphcore</t>
        </is>
      </c>
      <c r="F1162" s="8" t="inlineStr">
        <is>
          <t>US - Milpitas</t>
        </is>
      </c>
      <c r="G1162" s="8" t="n"/>
      <c r="H1162" s="14" t="n"/>
      <c r="I1162" s="15">
        <f>IF($H1162="","",$H1162-TODAY())</f>
        <v/>
      </c>
      <c r="J1162" s="16" t="inlineStr">
        <is>
          <t>Open posting</t>
        </is>
      </c>
      <c r="K1162" s="8" t="inlineStr">
        <is>
          <t>filtered by keyword pre-scan</t>
        </is>
      </c>
      <c r="L1162" s="17" t="inlineStr">
        <is>
          <t>new</t>
        </is>
      </c>
      <c r="M1162" s="18" t="inlineStr"/>
      <c r="N1162" s="7" t="inlineStr">
        <is>
          <t>77304a7ee62bf29891a61a50513b6fe23dc26d88</t>
        </is>
      </c>
      <c r="O1162" s="14" t="n">
        <v>46189</v>
      </c>
      <c r="P1162" s="7" t="inlineStr">
        <is>
          <t>greenhouse:graphcore</t>
        </is>
      </c>
      <c r="Q1162" s="8" t="inlineStr"/>
      <c r="R1162" s="8" t="n"/>
      <c r="S1162" s="19" t="n"/>
      <c r="T1162" s="19" t="n"/>
      <c r="U1162" s="14" t="n">
        <v>46189</v>
      </c>
      <c r="V1162" s="7" t="inlineStr">
        <is>
          <t>v1-db41edab064373dd</t>
        </is>
      </c>
    </row>
    <row r="1163" ht="28" customHeight="1">
      <c r="A1163" s="12">
        <f>IF($L1163="applied","Applied",IF($L1163="interview","Interview",IF($L1163="offer","Offer",IF($L1163="rejected","Rejected",IF($L1163="ignore","Ignore",IF($L1163="archive","Archive",IF($L1163="closed","Closed",IF($B1163="","Unscored",IF(AND($B1163&gt;=8,OR($H1163="",$H1163-TODAY()&lt;=14)),"P1 Apply",IF($B1163&gt;=7,"P2 Strong",IF($B1163&gt;=5,"P3 Maybe","P4 Low")))))))))))</f>
        <v/>
      </c>
      <c r="B1163" s="13" t="n">
        <v>1</v>
      </c>
      <c r="C1163" s="12" t="inlineStr">
        <is>
          <t>Senior/Lead</t>
        </is>
      </c>
      <c r="D1163" s="8" t="inlineStr">
        <is>
          <t>Staff Systems Engineer</t>
        </is>
      </c>
      <c r="E1163" s="7" t="inlineStr">
        <is>
          <t>Graphcore</t>
        </is>
      </c>
      <c r="F1163" s="8" t="inlineStr">
        <is>
          <t>Austin, Texas, United States</t>
        </is>
      </c>
      <c r="G1163" s="8" t="n"/>
      <c r="H1163" s="14" t="n"/>
      <c r="I1163" s="15">
        <f>IF($H1163="","",$H1163-TODAY())</f>
        <v/>
      </c>
      <c r="J1163" s="16" t="inlineStr">
        <is>
          <t>Open posting</t>
        </is>
      </c>
      <c r="K1163" s="8" t="inlineStr">
        <is>
          <t>filtered by keyword pre-scan</t>
        </is>
      </c>
      <c r="L1163" s="17" t="inlineStr">
        <is>
          <t>new</t>
        </is>
      </c>
      <c r="M1163" s="18" t="inlineStr"/>
      <c r="N1163" s="7" t="inlineStr">
        <is>
          <t>f2658d043ce40dae604f8950da3a936ab4a78c1c</t>
        </is>
      </c>
      <c r="O1163" s="14" t="n">
        <v>46189</v>
      </c>
      <c r="P1163" s="7" t="inlineStr">
        <is>
          <t>greenhouse:graphcore</t>
        </is>
      </c>
      <c r="Q1163" s="8" t="inlineStr"/>
      <c r="R1163" s="8" t="n"/>
      <c r="S1163" s="19" t="n"/>
      <c r="T1163" s="19" t="n"/>
      <c r="U1163" s="14" t="n">
        <v>46189</v>
      </c>
      <c r="V1163" s="7" t="inlineStr">
        <is>
          <t>v1-db41edab064373dd</t>
        </is>
      </c>
    </row>
    <row r="1164" ht="28" customHeight="1">
      <c r="A1164" s="12">
        <f>IF($L1164="applied","Applied",IF($L1164="interview","Interview",IF($L1164="offer","Offer",IF($L1164="rejected","Rejected",IF($L1164="ignore","Ignore",IF($L1164="archive","Archive",IF($L1164="closed","Closed",IF($B1164="","Unscored",IF(AND($B1164&gt;=8,OR($H1164="",$H1164-TODAY()&lt;=14)),"P1 Apply",IF($B1164&gt;=7,"P2 Strong",IF($B1164&gt;=5,"P3 Maybe","P4 Low")))))))))))</f>
        <v/>
      </c>
      <c r="B1164" s="13" t="n">
        <v>1</v>
      </c>
      <c r="C1164" s="12" t="inlineStr">
        <is>
          <t>Senior/Lead</t>
        </is>
      </c>
      <c r="D1164" s="8" t="inlineStr">
        <is>
          <t>Staff System Software Engineer</t>
        </is>
      </c>
      <c r="E1164" s="7" t="inlineStr">
        <is>
          <t>Graphcore</t>
        </is>
      </c>
      <c r="F1164" s="8" t="inlineStr">
        <is>
          <t>Gdańsk, Pomeranian Voivodeship, Poland</t>
        </is>
      </c>
      <c r="G1164" s="8" t="n"/>
      <c r="H1164" s="14" t="n"/>
      <c r="I1164" s="15">
        <f>IF($H1164="","",$H1164-TODAY())</f>
        <v/>
      </c>
      <c r="J1164" s="16" t="inlineStr">
        <is>
          <t>Open posting</t>
        </is>
      </c>
      <c r="K1164" s="8" t="inlineStr">
        <is>
          <t>filtered by keyword pre-scan</t>
        </is>
      </c>
      <c r="L1164" s="17" t="inlineStr">
        <is>
          <t>new</t>
        </is>
      </c>
      <c r="M1164" s="18" t="inlineStr"/>
      <c r="N1164" s="7" t="inlineStr">
        <is>
          <t>e9cae52f93db09b46a46c666c3f0502a1c212634</t>
        </is>
      </c>
      <c r="O1164" s="14" t="n">
        <v>46189</v>
      </c>
      <c r="P1164" s="7" t="inlineStr">
        <is>
          <t>greenhouse:graphcore</t>
        </is>
      </c>
      <c r="Q1164" s="8" t="inlineStr"/>
      <c r="R1164" s="8" t="n"/>
      <c r="S1164" s="19" t="n"/>
      <c r="T1164" s="19" t="n"/>
      <c r="U1164" s="14" t="n">
        <v>46189</v>
      </c>
      <c r="V1164" s="7" t="inlineStr">
        <is>
          <t>v1-db41edab064373dd</t>
        </is>
      </c>
    </row>
    <row r="1165" ht="28" customHeight="1">
      <c r="A1165" s="12">
        <f>IF($L1165="applied","Applied",IF($L1165="interview","Interview",IF($L1165="offer","Offer",IF($L1165="rejected","Rejected",IF($L1165="ignore","Ignore",IF($L1165="archive","Archive",IF($L1165="closed","Closed",IF($B1165="","Unscored",IF(AND($B1165&gt;=8,OR($H1165="",$H1165-TODAY()&lt;=14)),"P1 Apply",IF($B1165&gt;=7,"P2 Strong",IF($B1165&gt;=5,"P3 Maybe","P4 Low")))))))))))</f>
        <v/>
      </c>
      <c r="B1165" s="13" t="n">
        <v>1</v>
      </c>
      <c r="C1165" s="12" t="inlineStr">
        <is>
          <t>Senior/Lead</t>
        </is>
      </c>
      <c r="D1165" s="8" t="inlineStr">
        <is>
          <t>Staff System Software Engineer</t>
        </is>
      </c>
      <c r="E1165" s="7" t="inlineStr">
        <is>
          <t>Graphcore</t>
        </is>
      </c>
      <c r="F1165" s="8" t="inlineStr">
        <is>
          <t>Bristol, UK</t>
        </is>
      </c>
      <c r="G1165" s="8" t="n"/>
      <c r="H1165" s="14" t="n"/>
      <c r="I1165" s="15">
        <f>IF($H1165="","",$H1165-TODAY())</f>
        <v/>
      </c>
      <c r="J1165" s="16" t="inlineStr">
        <is>
          <t>Open posting</t>
        </is>
      </c>
      <c r="K1165" s="8" t="inlineStr">
        <is>
          <t>filtered by keyword pre-scan</t>
        </is>
      </c>
      <c r="L1165" s="17" t="inlineStr">
        <is>
          <t>new</t>
        </is>
      </c>
      <c r="M1165" s="18" t="inlineStr"/>
      <c r="N1165" s="7" t="inlineStr">
        <is>
          <t>a2029d6dd51be196b4303f39f90f3361e68a27c7</t>
        </is>
      </c>
      <c r="O1165" s="14" t="n">
        <v>46189</v>
      </c>
      <c r="P1165" s="7" t="inlineStr">
        <is>
          <t>greenhouse:graphcore</t>
        </is>
      </c>
      <c r="Q1165" s="8" t="inlineStr"/>
      <c r="R1165" s="8" t="n"/>
      <c r="S1165" s="19" t="n"/>
      <c r="T1165" s="19" t="n"/>
      <c r="U1165" s="14" t="n">
        <v>46189</v>
      </c>
      <c r="V1165" s="7" t="inlineStr">
        <is>
          <t>v1-db41edab064373dd</t>
        </is>
      </c>
    </row>
    <row r="1166" ht="28" customHeight="1">
      <c r="A1166" s="12">
        <f>IF($L1166="applied","Applied",IF($L1166="interview","Interview",IF($L1166="offer","Offer",IF($L1166="rejected","Rejected",IF($L1166="ignore","Ignore",IF($L1166="archive","Archive",IF($L1166="closed","Closed",IF($B1166="","Unscored",IF(AND($B1166&gt;=8,OR($H1166="",$H1166-TODAY()&lt;=14)),"P1 Apply",IF($B1166&gt;=7,"P2 Strong",IF($B1166&gt;=5,"P3 Maybe","P4 Low")))))))))))</f>
        <v/>
      </c>
      <c r="B1166" s="13" t="n">
        <v>1</v>
      </c>
      <c r="C1166" s="12" t="inlineStr">
        <is>
          <t>Senior/Lead</t>
        </is>
      </c>
      <c r="D1166" s="8" t="inlineStr">
        <is>
          <t>Staff System Software Engineer</t>
        </is>
      </c>
      <c r="E1166" s="7" t="inlineStr">
        <is>
          <t>Graphcore</t>
        </is>
      </c>
      <c r="F1166" s="8" t="inlineStr">
        <is>
          <t>Cambridge, UK</t>
        </is>
      </c>
      <c r="G1166" s="8" t="n"/>
      <c r="H1166" s="14" t="n"/>
      <c r="I1166" s="15">
        <f>IF($H1166="","",$H1166-TODAY())</f>
        <v/>
      </c>
      <c r="J1166" s="16" t="inlineStr">
        <is>
          <t>Open posting</t>
        </is>
      </c>
      <c r="K1166" s="8" t="inlineStr">
        <is>
          <t>filtered by keyword pre-scan</t>
        </is>
      </c>
      <c r="L1166" s="17" t="inlineStr">
        <is>
          <t>new</t>
        </is>
      </c>
      <c r="M1166" s="18" t="inlineStr"/>
      <c r="N1166" s="7" t="inlineStr">
        <is>
          <t>f01df082f9b28107cea0ceec23fcaef1b79c037b</t>
        </is>
      </c>
      <c r="O1166" s="14" t="n">
        <v>46189</v>
      </c>
      <c r="P1166" s="7" t="inlineStr">
        <is>
          <t>greenhouse:graphcore</t>
        </is>
      </c>
      <c r="Q1166" s="8" t="inlineStr"/>
      <c r="R1166" s="8" t="n"/>
      <c r="S1166" s="19" t="n"/>
      <c r="T1166" s="19" t="n"/>
      <c r="U1166" s="14" t="n">
        <v>46189</v>
      </c>
      <c r="V1166" s="7" t="inlineStr">
        <is>
          <t>v1-db41edab064373dd</t>
        </is>
      </c>
    </row>
    <row r="1167" ht="28" customHeight="1">
      <c r="A1167" s="12">
        <f>IF($L1167="applied","Applied",IF($L1167="interview","Interview",IF($L1167="offer","Offer",IF($L1167="rejected","Rejected",IF($L1167="ignore","Ignore",IF($L1167="archive","Archive",IF($L1167="closed","Closed",IF($B1167="","Unscored",IF(AND($B1167&gt;=8,OR($H1167="",$H1167-TODAY()&lt;=14)),"P1 Apply",IF($B1167&gt;=7,"P2 Strong",IF($B1167&gt;=5,"P3 Maybe","P4 Low")))))))))))</f>
        <v/>
      </c>
      <c r="B1167" s="13" t="n">
        <v>1</v>
      </c>
      <c r="C1167" s="12" t="inlineStr">
        <is>
          <t>Senior/Lead</t>
        </is>
      </c>
      <c r="D1167" s="8" t="inlineStr">
        <is>
          <t>Staff System Software Engineer - Bengaluru, multiple vacancies</t>
        </is>
      </c>
      <c r="E1167" s="7" t="inlineStr">
        <is>
          <t>Graphcore</t>
        </is>
      </c>
      <c r="F1167" s="8" t="inlineStr">
        <is>
          <t>Bengaluru, India</t>
        </is>
      </c>
      <c r="G1167" s="8" t="n"/>
      <c r="H1167" s="14" t="n"/>
      <c r="I1167" s="15">
        <f>IF($H1167="","",$H1167-TODAY())</f>
        <v/>
      </c>
      <c r="J1167" s="16" t="inlineStr">
        <is>
          <t>Open posting</t>
        </is>
      </c>
      <c r="K1167" s="8" t="inlineStr">
        <is>
          <t>filtered by keyword pre-scan</t>
        </is>
      </c>
      <c r="L1167" s="17" t="inlineStr">
        <is>
          <t>new</t>
        </is>
      </c>
      <c r="M1167" s="18" t="inlineStr"/>
      <c r="N1167" s="7" t="inlineStr">
        <is>
          <t>dbefe9d960ab379c447d40c379002d3d45de31a9</t>
        </is>
      </c>
      <c r="O1167" s="14" t="n">
        <v>46189</v>
      </c>
      <c r="P1167" s="7" t="inlineStr">
        <is>
          <t>greenhouse:graphcore</t>
        </is>
      </c>
      <c r="Q1167" s="8" t="inlineStr"/>
      <c r="R1167" s="8" t="n"/>
      <c r="S1167" s="19" t="n"/>
      <c r="T1167" s="19" t="n"/>
      <c r="U1167" s="14" t="n">
        <v>46189</v>
      </c>
      <c r="V1167" s="7" t="inlineStr">
        <is>
          <t>v1-db41edab064373dd</t>
        </is>
      </c>
    </row>
    <row r="1168" ht="28" customHeight="1">
      <c r="A1168" s="12">
        <f>IF($L1168="applied","Applied",IF($L1168="interview","Interview",IF($L1168="offer","Offer",IF($L1168="rejected","Rejected",IF($L1168="ignore","Ignore",IF($L1168="archive","Archive",IF($L1168="closed","Closed",IF($B1168="","Unscored",IF(AND($B1168&gt;=8,OR($H1168="",$H1168-TODAY()&lt;=14)),"P1 Apply",IF($B1168&gt;=7,"P2 Strong",IF($B1168&gt;=5,"P3 Maybe","P4 Low")))))))))))</f>
        <v/>
      </c>
      <c r="B1168" s="13" t="n">
        <v>1</v>
      </c>
      <c r="C1168" s="12" t="inlineStr">
        <is>
          <t>Senior/Lead</t>
        </is>
      </c>
      <c r="D1168" s="8" t="inlineStr">
        <is>
          <t>Staff System Validation Engineer</t>
        </is>
      </c>
      <c r="E1168" s="7" t="inlineStr">
        <is>
          <t>Graphcore</t>
        </is>
      </c>
      <c r="F1168" s="8" t="inlineStr">
        <is>
          <t>Austin, Texas, United States</t>
        </is>
      </c>
      <c r="G1168" s="8" t="n"/>
      <c r="H1168" s="14" t="n"/>
      <c r="I1168" s="15">
        <f>IF($H1168="","",$H1168-TODAY())</f>
        <v/>
      </c>
      <c r="J1168" s="16" t="inlineStr">
        <is>
          <t>Open posting</t>
        </is>
      </c>
      <c r="K1168" s="8" t="inlineStr">
        <is>
          <t>filtered by keyword pre-scan</t>
        </is>
      </c>
      <c r="L1168" s="17" t="inlineStr">
        <is>
          <t>new</t>
        </is>
      </c>
      <c r="M1168" s="18" t="inlineStr"/>
      <c r="N1168" s="7" t="inlineStr">
        <is>
          <t>7aaa8acd207a5d653da1c1ce363dbc8f3297dcf5</t>
        </is>
      </c>
      <c r="O1168" s="14" t="n">
        <v>46189</v>
      </c>
      <c r="P1168" s="7" t="inlineStr">
        <is>
          <t>greenhouse:graphcore</t>
        </is>
      </c>
      <c r="Q1168" s="8" t="inlineStr"/>
      <c r="R1168" s="8" t="n"/>
      <c r="S1168" s="19" t="n"/>
      <c r="T1168" s="19" t="n"/>
      <c r="U1168" s="14" t="n">
        <v>46189</v>
      </c>
      <c r="V1168" s="7" t="inlineStr">
        <is>
          <t>v1-db41edab064373dd</t>
        </is>
      </c>
    </row>
    <row r="1169" ht="28" customHeight="1">
      <c r="A1169" s="12">
        <f>IF($L1169="applied","Applied",IF($L1169="interview","Interview",IF($L1169="offer","Offer",IF($L1169="rejected","Rejected",IF($L1169="ignore","Ignore",IF($L1169="archive","Archive",IF($L1169="closed","Closed",IF($B1169="","Unscored",IF(AND($B1169&gt;=8,OR($H1169="",$H1169-TODAY()&lt;=14)),"P1 Apply",IF($B1169&gt;=7,"P2 Strong",IF($B1169&gt;=5,"P3 Maybe","P4 Low")))))))))))</f>
        <v/>
      </c>
      <c r="B1169" s="13" t="n">
        <v>1</v>
      </c>
      <c r="C1169" s="12" t="inlineStr">
        <is>
          <t>Senior/Lead</t>
        </is>
      </c>
      <c r="D1169" s="8" t="inlineStr">
        <is>
          <t>Staff Technical Program Manager, Lab /Data Center</t>
        </is>
      </c>
      <c r="E1169" s="7" t="inlineStr">
        <is>
          <t>Graphcore</t>
        </is>
      </c>
      <c r="F1169" s="8" t="inlineStr">
        <is>
          <t>Austin, Texas, United States</t>
        </is>
      </c>
      <c r="G1169" s="8" t="n"/>
      <c r="H1169" s="14" t="n"/>
      <c r="I1169" s="15">
        <f>IF($H1169="","",$H1169-TODAY())</f>
        <v/>
      </c>
      <c r="J1169" s="16" t="inlineStr">
        <is>
          <t>Open posting</t>
        </is>
      </c>
      <c r="K1169" s="8" t="inlineStr">
        <is>
          <t>filtered by keyword pre-scan</t>
        </is>
      </c>
      <c r="L1169" s="17" t="inlineStr">
        <is>
          <t>new</t>
        </is>
      </c>
      <c r="M1169" s="18" t="inlineStr"/>
      <c r="N1169" s="7" t="inlineStr">
        <is>
          <t>1d976f4d2a1651099fade724a206e0ee856797ad</t>
        </is>
      </c>
      <c r="O1169" s="14" t="n">
        <v>46189</v>
      </c>
      <c r="P1169" s="7" t="inlineStr">
        <is>
          <t>greenhouse:graphcore</t>
        </is>
      </c>
      <c r="Q1169" s="8" t="inlineStr"/>
      <c r="R1169" s="8" t="n"/>
      <c r="S1169" s="19" t="n"/>
      <c r="T1169" s="19" t="n"/>
      <c r="U1169" s="14" t="n">
        <v>46189</v>
      </c>
      <c r="V1169" s="7" t="inlineStr">
        <is>
          <t>v1-db41edab064373dd</t>
        </is>
      </c>
    </row>
    <row r="1170" ht="28" customHeight="1">
      <c r="A1170" s="12">
        <f>IF($L1170="applied","Applied",IF($L1170="interview","Interview",IF($L1170="offer","Offer",IF($L1170="rejected","Rejected",IF($L1170="ignore","Ignore",IF($L1170="archive","Archive",IF($L1170="closed","Closed",IF($B1170="","Unscored",IF(AND($B1170&gt;=8,OR($H1170="",$H1170-TODAY()&lt;=14)),"P1 Apply",IF($B1170&gt;=7,"P2 Strong",IF($B1170&gt;=5,"P3 Maybe","P4 Low")))))))))))</f>
        <v/>
      </c>
      <c r="B1170" s="13" t="n">
        <v>1</v>
      </c>
      <c r="C1170" s="12" t="inlineStr">
        <is>
          <t>Senior/Lead</t>
        </is>
      </c>
      <c r="D1170" s="8" t="inlineStr">
        <is>
          <t>Staff UEFI Firmware Engineer</t>
        </is>
      </c>
      <c r="E1170" s="7" t="inlineStr">
        <is>
          <t>Graphcore</t>
        </is>
      </c>
      <c r="F1170" s="8" t="inlineStr">
        <is>
          <t>Austin, Texas, United States</t>
        </is>
      </c>
      <c r="G1170" s="8" t="n"/>
      <c r="H1170" s="14" t="n"/>
      <c r="I1170" s="15">
        <f>IF($H1170="","",$H1170-TODAY())</f>
        <v/>
      </c>
      <c r="J1170" s="16" t="inlineStr">
        <is>
          <t>Open posting</t>
        </is>
      </c>
      <c r="K1170" s="8" t="inlineStr">
        <is>
          <t>filtered by keyword pre-scan</t>
        </is>
      </c>
      <c r="L1170" s="17" t="inlineStr">
        <is>
          <t>new</t>
        </is>
      </c>
      <c r="M1170" s="18" t="inlineStr"/>
      <c r="N1170" s="7" t="inlineStr">
        <is>
          <t>01a3cbf858f368bbdf069ba6265caa289de23817</t>
        </is>
      </c>
      <c r="O1170" s="14" t="n">
        <v>46189</v>
      </c>
      <c r="P1170" s="7" t="inlineStr">
        <is>
          <t>greenhouse:graphcore</t>
        </is>
      </c>
      <c r="Q1170" s="8" t="inlineStr"/>
      <c r="R1170" s="8" t="n"/>
      <c r="S1170" s="19" t="n"/>
      <c r="T1170" s="19" t="n"/>
      <c r="U1170" s="14" t="n">
        <v>46189</v>
      </c>
      <c r="V1170" s="7" t="inlineStr">
        <is>
          <t>v1-db41edab064373dd</t>
        </is>
      </c>
    </row>
    <row r="1171" ht="28" customHeight="1">
      <c r="A1171" s="12">
        <f>IF($L1171="applied","Applied",IF($L1171="interview","Interview",IF($L1171="offer","Offer",IF($L1171="rejected","Rejected",IF($L1171="ignore","Ignore",IF($L1171="archive","Archive",IF($L1171="closed","Closed",IF($B1171="","Unscored",IF(AND($B1171&gt;=8,OR($H1171="",$H1171-TODAY()&lt;=14)),"P1 Apply",IF($B1171&gt;=7,"P2 Strong",IF($B1171&gt;=5,"P3 Maybe","P4 Low")))))))))))</f>
        <v/>
      </c>
      <c r="B1171" s="13" t="n">
        <v>1</v>
      </c>
      <c r="C1171" s="12" t="inlineStr">
        <is>
          <t>Senior/Lead</t>
        </is>
      </c>
      <c r="D1171" s="8" t="inlineStr">
        <is>
          <t>Tech Director, Post Silicon Validation</t>
        </is>
      </c>
      <c r="E1171" s="7" t="inlineStr">
        <is>
          <t>Graphcore</t>
        </is>
      </c>
      <c r="F1171" s="8" t="inlineStr">
        <is>
          <t>Bristol, UK</t>
        </is>
      </c>
      <c r="G1171" s="8" t="n"/>
      <c r="H1171" s="14" t="n"/>
      <c r="I1171" s="15">
        <f>IF($H1171="","",$H1171-TODAY())</f>
        <v/>
      </c>
      <c r="J1171" s="16" t="inlineStr">
        <is>
          <t>Open posting</t>
        </is>
      </c>
      <c r="K1171" s="8" t="inlineStr">
        <is>
          <t>filtered by keyword pre-scan</t>
        </is>
      </c>
      <c r="L1171" s="17" t="inlineStr">
        <is>
          <t>new</t>
        </is>
      </c>
      <c r="M1171" s="18" t="inlineStr"/>
      <c r="N1171" s="7" t="inlineStr">
        <is>
          <t>e26cbf5b958c5d067e621ba4d11542e1af47290d</t>
        </is>
      </c>
      <c r="O1171" s="14" t="n">
        <v>46189</v>
      </c>
      <c r="P1171" s="7" t="inlineStr">
        <is>
          <t>greenhouse:graphcore</t>
        </is>
      </c>
      <c r="Q1171" s="8" t="inlineStr"/>
      <c r="R1171" s="8" t="n"/>
      <c r="S1171" s="19" t="n"/>
      <c r="T1171" s="19" t="n"/>
      <c r="U1171" s="14" t="n">
        <v>46189</v>
      </c>
      <c r="V1171" s="7" t="inlineStr">
        <is>
          <t>v1-db41edab064373dd</t>
        </is>
      </c>
    </row>
    <row r="1172" ht="28" customHeight="1">
      <c r="A1172" s="12">
        <f>IF($L1172="applied","Applied",IF($L1172="interview","Interview",IF($L1172="offer","Offer",IF($L1172="rejected","Rejected",IF($L1172="ignore","Ignore",IF($L1172="archive","Archive",IF($L1172="closed","Closed",IF($B1172="","Unscored",IF(AND($B1172&gt;=8,OR($H1172="",$H1172-TODAY()&lt;=14)),"P1 Apply",IF($B1172&gt;=7,"P2 Strong",IF($B1172&gt;=5,"P3 Maybe","P4 Low")))))))))))</f>
        <v/>
      </c>
      <c r="B1172" s="13" t="n">
        <v>1</v>
      </c>
      <c r="C1172" s="12" t="inlineStr">
        <is>
          <t>Senior/Lead</t>
        </is>
      </c>
      <c r="D1172" s="8" t="inlineStr">
        <is>
          <t>Technical Lead - System Validation Architect</t>
        </is>
      </c>
      <c r="E1172" s="7" t="inlineStr">
        <is>
          <t>Graphcore</t>
        </is>
      </c>
      <c r="F1172" s="8" t="inlineStr">
        <is>
          <t>Austin, Texas, United States</t>
        </is>
      </c>
      <c r="G1172" s="8" t="n"/>
      <c r="H1172" s="14" t="n"/>
      <c r="I1172" s="15">
        <f>IF($H1172="","",$H1172-TODAY())</f>
        <v/>
      </c>
      <c r="J1172" s="16" t="inlineStr">
        <is>
          <t>Open posting</t>
        </is>
      </c>
      <c r="K1172" s="8" t="inlineStr">
        <is>
          <t>filtered by keyword pre-scan</t>
        </is>
      </c>
      <c r="L1172" s="17" t="inlineStr">
        <is>
          <t>new</t>
        </is>
      </c>
      <c r="M1172" s="18" t="inlineStr"/>
      <c r="N1172" s="7" t="inlineStr">
        <is>
          <t>87e0d7305c9a98267217a958d9ae577cde6851a8</t>
        </is>
      </c>
      <c r="O1172" s="14" t="n">
        <v>46189</v>
      </c>
      <c r="P1172" s="7" t="inlineStr">
        <is>
          <t>greenhouse:graphcore</t>
        </is>
      </c>
      <c r="Q1172" s="8" t="inlineStr"/>
      <c r="R1172" s="8" t="n"/>
      <c r="S1172" s="19" t="n"/>
      <c r="T1172" s="19" t="n"/>
      <c r="U1172" s="14" t="n">
        <v>46189</v>
      </c>
      <c r="V1172" s="7" t="inlineStr">
        <is>
          <t>v1-db41edab064373dd</t>
        </is>
      </c>
    </row>
    <row r="1173" ht="28" customHeight="1">
      <c r="A1173" s="12">
        <f>IF($L1173="applied","Applied",IF($L1173="interview","Interview",IF($L1173="offer","Offer",IF($L1173="rejected","Rejected",IF($L1173="ignore","Ignore",IF($L1173="archive","Archive",IF($L1173="closed","Closed",IF($B1173="","Unscored",IF(AND($B1173&gt;=8,OR($H1173="",$H1173-TODAY()&lt;=14)),"P1 Apply",IF($B1173&gt;=7,"P2 Strong",IF($B1173&gt;=5,"P3 Maybe","P4 Low")))))))))))</f>
        <v/>
      </c>
      <c r="B1173" s="13" t="n">
        <v>1</v>
      </c>
      <c r="C1173" s="12" t="inlineStr">
        <is>
          <t>Senior/Lead</t>
        </is>
      </c>
      <c r="D1173" s="8" t="inlineStr">
        <is>
          <t>Business Operations Lead, Datacenters</t>
        </is>
      </c>
      <c r="E1173" s="7" t="inlineStr">
        <is>
          <t>Cerebras</t>
        </is>
      </c>
      <c r="F1173" s="8" t="inlineStr">
        <is>
          <t>Sunnyvale, CA</t>
        </is>
      </c>
      <c r="G1173" s="8" t="n"/>
      <c r="H1173" s="14" t="n"/>
      <c r="I1173" s="15">
        <f>IF($H1173="","",$H1173-TODAY())</f>
        <v/>
      </c>
      <c r="J1173" s="16" t="inlineStr">
        <is>
          <t>Open posting</t>
        </is>
      </c>
      <c r="K1173" s="8" t="inlineStr">
        <is>
          <t>filtered by keyword pre-scan</t>
        </is>
      </c>
      <c r="L1173" s="17" t="inlineStr">
        <is>
          <t>new</t>
        </is>
      </c>
      <c r="M1173" s="18" t="inlineStr"/>
      <c r="N1173" s="7" t="inlineStr">
        <is>
          <t>13e03f325082b44624a9dad76069469edfe0651e</t>
        </is>
      </c>
      <c r="O1173" s="14" t="n">
        <v>46177</v>
      </c>
      <c r="P1173" s="7" t="inlineStr">
        <is>
          <t>greenhouse:cerebrassystems</t>
        </is>
      </c>
      <c r="Q1173" s="8" t="inlineStr"/>
      <c r="R1173" s="8" t="n"/>
      <c r="S1173" s="19" t="n"/>
      <c r="T1173" s="19" t="n"/>
      <c r="U1173" s="14" t="n">
        <v>46189</v>
      </c>
      <c r="V1173" s="7" t="inlineStr">
        <is>
          <t>v1-db41edab064373dd</t>
        </is>
      </c>
    </row>
    <row r="1174" ht="28" customHeight="1">
      <c r="A1174" s="12">
        <f>IF($L1174="applied","Applied",IF($L1174="interview","Interview",IF($L1174="offer","Offer",IF($L1174="rejected","Rejected",IF($L1174="ignore","Ignore",IF($L1174="archive","Archive",IF($L1174="closed","Closed",IF($B1174="","Unscored",IF(AND($B1174&gt;=8,OR($H1174="",$H1174-TODAY()&lt;=14)),"P1 Apply",IF($B1174&gt;=7,"P2 Strong",IF($B1174&gt;=5,"P3 Maybe","P4 Low")))))))))))</f>
        <v/>
      </c>
      <c r="B1174" s="13" t="n">
        <v>1</v>
      </c>
      <c r="C1174" s="12" t="inlineStr">
        <is>
          <t>Senior/Lead</t>
        </is>
      </c>
      <c r="D1174" s="8" t="inlineStr">
        <is>
          <t>Cluster UI Full Stack, Engineering Lead</t>
        </is>
      </c>
      <c r="E1174" s="7" t="inlineStr">
        <is>
          <t>Cerebras</t>
        </is>
      </c>
      <c r="F1174" s="8" t="inlineStr">
        <is>
          <t>Bengaluru, Karnataka, India; Toronto, Ontario, Canada</t>
        </is>
      </c>
      <c r="G1174" s="8" t="n"/>
      <c r="H1174" s="14" t="n"/>
      <c r="I1174" s="15">
        <f>IF($H1174="","",$H1174-TODAY())</f>
        <v/>
      </c>
      <c r="J1174" s="16" t="inlineStr">
        <is>
          <t>Open posting</t>
        </is>
      </c>
      <c r="K1174" s="8" t="inlineStr">
        <is>
          <t>filtered by keyword pre-scan</t>
        </is>
      </c>
      <c r="L1174" s="17" t="inlineStr">
        <is>
          <t>new</t>
        </is>
      </c>
      <c r="M1174" s="18" t="inlineStr"/>
      <c r="N1174" s="7" t="inlineStr">
        <is>
          <t>28a57d389df6bd820b659cbc44e64c8c7c186420</t>
        </is>
      </c>
      <c r="O1174" s="14" t="n">
        <v>46175</v>
      </c>
      <c r="P1174" s="7" t="inlineStr">
        <is>
          <t>greenhouse:cerebrassystems</t>
        </is>
      </c>
      <c r="Q1174" s="8" t="inlineStr"/>
      <c r="R1174" s="8" t="n"/>
      <c r="S1174" s="19" t="n"/>
      <c r="T1174" s="19" t="n"/>
      <c r="U1174" s="14" t="n">
        <v>46189</v>
      </c>
      <c r="V1174" s="7" t="inlineStr">
        <is>
          <t>v1-db41edab064373dd</t>
        </is>
      </c>
    </row>
    <row r="1175" ht="28" customHeight="1">
      <c r="A1175" s="12">
        <f>IF($L1175="applied","Applied",IF($L1175="interview","Interview",IF($L1175="offer","Offer",IF($L1175="rejected","Rejected",IF($L1175="ignore","Ignore",IF($L1175="archive","Archive",IF($L1175="closed","Closed",IF($B1175="","Unscored",IF(AND($B1175&gt;=8,OR($H1175="",$H1175-TODAY()&lt;=14)),"P1 Apply",IF($B1175&gt;=7,"P2 Strong",IF($B1175&gt;=5,"P3 Maybe","P4 Low")))))))))))</f>
        <v/>
      </c>
      <c r="B1175" s="13" t="n">
        <v>1</v>
      </c>
      <c r="C1175" s="12" t="inlineStr">
        <is>
          <t>Senior/Lead</t>
        </is>
      </c>
      <c r="D1175" s="8" t="inlineStr">
        <is>
          <t>Design Validation Test - Lead/Principal Engineer</t>
        </is>
      </c>
      <c r="E1175" s="7" t="inlineStr">
        <is>
          <t>Cerebras</t>
        </is>
      </c>
      <c r="F1175" s="8" t="inlineStr">
        <is>
          <t>Sunnyvale, CA</t>
        </is>
      </c>
      <c r="G1175" s="8" t="n"/>
      <c r="H1175" s="14" t="n"/>
      <c r="I1175" s="15">
        <f>IF($H1175="","",$H1175-TODAY())</f>
        <v/>
      </c>
      <c r="J1175" s="16" t="inlineStr">
        <is>
          <t>Open posting</t>
        </is>
      </c>
      <c r="K1175" s="8" t="inlineStr">
        <is>
          <t>filtered by keyword pre-scan</t>
        </is>
      </c>
      <c r="L1175" s="17" t="inlineStr">
        <is>
          <t>new</t>
        </is>
      </c>
      <c r="M1175" s="18" t="inlineStr"/>
      <c r="N1175" s="7" t="inlineStr">
        <is>
          <t>70566cb06b3d2dbeeb5b7ac145400868e2dedf83</t>
        </is>
      </c>
      <c r="O1175" s="14" t="n">
        <v>46175</v>
      </c>
      <c r="P1175" s="7" t="inlineStr">
        <is>
          <t>greenhouse:cerebrassystems</t>
        </is>
      </c>
      <c r="Q1175" s="8" t="inlineStr"/>
      <c r="R1175" s="8" t="n"/>
      <c r="S1175" s="19" t="n"/>
      <c r="T1175" s="19" t="n"/>
      <c r="U1175" s="14" t="n">
        <v>46189</v>
      </c>
      <c r="V1175" s="7" t="inlineStr">
        <is>
          <t>v1-db41edab064373dd</t>
        </is>
      </c>
    </row>
    <row r="1176" ht="28" customHeight="1">
      <c r="A1176" s="12">
        <f>IF($L1176="applied","Applied",IF($L1176="interview","Interview",IF($L1176="offer","Offer",IF($L1176="rejected","Rejected",IF($L1176="ignore","Ignore",IF($L1176="archive","Archive",IF($L1176="closed","Closed",IF($B1176="","Unscored",IF(AND($B1176&gt;=8,OR($H1176="",$H1176-TODAY()&lt;=14)),"P1 Apply",IF($B1176&gt;=7,"P2 Strong",IF($B1176&gt;=5,"P3 Maybe","P4 Low")))))))))))</f>
        <v/>
      </c>
      <c r="B1176" s="13" t="n">
        <v>1</v>
      </c>
      <c r="C1176" s="12" t="inlineStr">
        <is>
          <t>Senior/Lead</t>
        </is>
      </c>
      <c r="D1176" s="8" t="inlineStr">
        <is>
          <t>Director of Costing Accounting</t>
        </is>
      </c>
      <c r="E1176" s="7" t="inlineStr">
        <is>
          <t>Cerebras</t>
        </is>
      </c>
      <c r="F1176" s="8" t="inlineStr">
        <is>
          <t>Sunnyvale, CA</t>
        </is>
      </c>
      <c r="G1176" s="8" t="n"/>
      <c r="H1176" s="14" t="n"/>
      <c r="I1176" s="15">
        <f>IF($H1176="","",$H1176-TODAY())</f>
        <v/>
      </c>
      <c r="J1176" s="16" t="inlineStr">
        <is>
          <t>Open posting</t>
        </is>
      </c>
      <c r="K1176" s="8" t="inlineStr">
        <is>
          <t>filtered by keyword pre-scan</t>
        </is>
      </c>
      <c r="L1176" s="17" t="inlineStr">
        <is>
          <t>new</t>
        </is>
      </c>
      <c r="M1176" s="18" t="inlineStr"/>
      <c r="N1176" s="7" t="inlineStr">
        <is>
          <t>1280eeb33d983cad39832d93916a242ad56ddca9</t>
        </is>
      </c>
      <c r="O1176" s="14" t="n">
        <v>46175</v>
      </c>
      <c r="P1176" s="7" t="inlineStr">
        <is>
          <t>greenhouse:cerebrassystems</t>
        </is>
      </c>
      <c r="Q1176" s="8" t="inlineStr"/>
      <c r="R1176" s="8" t="n"/>
      <c r="S1176" s="19" t="n"/>
      <c r="T1176" s="19" t="n"/>
      <c r="U1176" s="14" t="n">
        <v>46189</v>
      </c>
      <c r="V1176" s="7" t="inlineStr">
        <is>
          <t>v1-db41edab064373dd</t>
        </is>
      </c>
    </row>
    <row r="1177" ht="28" customHeight="1">
      <c r="A1177" s="12">
        <f>IF($L1177="applied","Applied",IF($L1177="interview","Interview",IF($L1177="offer","Offer",IF($L1177="rejected","Rejected",IF($L1177="ignore","Ignore",IF($L1177="archive","Archive",IF($L1177="closed","Closed",IF($B1177="","Unscored",IF(AND($B1177&gt;=8,OR($H1177="",$H1177-TODAY()&lt;=14)),"P1 Apply",IF($B1177&gt;=7,"P2 Strong",IF($B1177&gt;=5,"P3 Maybe","P4 Low")))))))))))</f>
        <v/>
      </c>
      <c r="B1177" s="13" t="n">
        <v>1</v>
      </c>
      <c r="C1177" s="12" t="inlineStr">
        <is>
          <t>Senior/Lead</t>
        </is>
      </c>
      <c r="D1177" s="8" t="inlineStr">
        <is>
          <t>Director / Senior Director, Critical Facility Operations</t>
        </is>
      </c>
      <c r="E1177" s="7" t="inlineStr">
        <is>
          <t>Cerebras</t>
        </is>
      </c>
      <c r="F1177" s="8" t="inlineStr">
        <is>
          <t>Sunnyvale, CA</t>
        </is>
      </c>
      <c r="G1177" s="8" t="n"/>
      <c r="H1177" s="14" t="n"/>
      <c r="I1177" s="15">
        <f>IF($H1177="","",$H1177-TODAY())</f>
        <v/>
      </c>
      <c r="J1177" s="16" t="inlineStr">
        <is>
          <t>Open posting</t>
        </is>
      </c>
      <c r="K1177" s="8" t="inlineStr">
        <is>
          <t>filtered by keyword pre-scan</t>
        </is>
      </c>
      <c r="L1177" s="17" t="inlineStr">
        <is>
          <t>new</t>
        </is>
      </c>
      <c r="M1177" s="18" t="inlineStr"/>
      <c r="N1177" s="7" t="inlineStr">
        <is>
          <t>de01ec1bf463d59271fa0b51315ff258144fd48b</t>
        </is>
      </c>
      <c r="O1177" s="14" t="n">
        <v>46175</v>
      </c>
      <c r="P1177" s="7" t="inlineStr">
        <is>
          <t>greenhouse:cerebrassystems</t>
        </is>
      </c>
      <c r="Q1177" s="8" t="inlineStr"/>
      <c r="R1177" s="8" t="n"/>
      <c r="S1177" s="19" t="n"/>
      <c r="T1177" s="19" t="n"/>
      <c r="U1177" s="14" t="n">
        <v>46189</v>
      </c>
      <c r="V1177" s="7" t="inlineStr">
        <is>
          <t>v1-db41edab064373dd</t>
        </is>
      </c>
    </row>
    <row r="1178" ht="28" customHeight="1">
      <c r="A1178" s="12">
        <f>IF($L1178="applied","Applied",IF($L1178="interview","Interview",IF($L1178="offer","Offer",IF($L1178="rejected","Rejected",IF($L1178="ignore","Ignore",IF($L1178="archive","Archive",IF($L1178="closed","Closed",IF($B1178="","Unscored",IF(AND($B1178&gt;=8,OR($H1178="",$H1178-TODAY()&lt;=14)),"P1 Apply",IF($B1178&gt;=7,"P2 Strong",IF($B1178&gt;=5,"P3 Maybe","P4 Low")))))))))))</f>
        <v/>
      </c>
      <c r="B1178" s="13" t="n">
        <v>1</v>
      </c>
      <c r="C1178" s="12" t="inlineStr">
        <is>
          <t>Senior/Lead</t>
        </is>
      </c>
      <c r="D1178" s="8" t="inlineStr">
        <is>
          <t>Director, Strategic Finance - Corporate FP&amp;A</t>
        </is>
      </c>
      <c r="E1178" s="7" t="inlineStr">
        <is>
          <t>Cerebras</t>
        </is>
      </c>
      <c r="F1178" s="8" t="inlineStr">
        <is>
          <t>Sunnyvale, CA</t>
        </is>
      </c>
      <c r="G1178" s="8" t="n"/>
      <c r="H1178" s="14" t="n"/>
      <c r="I1178" s="15">
        <f>IF($H1178="","",$H1178-TODAY())</f>
        <v/>
      </c>
      <c r="J1178" s="16" t="inlineStr">
        <is>
          <t>Open posting</t>
        </is>
      </c>
      <c r="K1178" s="8" t="inlineStr">
        <is>
          <t>filtered by keyword pre-scan</t>
        </is>
      </c>
      <c r="L1178" s="17" t="inlineStr">
        <is>
          <t>new</t>
        </is>
      </c>
      <c r="M1178" s="18" t="inlineStr"/>
      <c r="N1178" s="7" t="inlineStr">
        <is>
          <t>36a4264cda10aff9abf1e94a496cbaaf7868a80b</t>
        </is>
      </c>
      <c r="O1178" s="14" t="n">
        <v>46175</v>
      </c>
      <c r="P1178" s="7" t="inlineStr">
        <is>
          <t>greenhouse:cerebrassystems</t>
        </is>
      </c>
      <c r="Q1178" s="8" t="inlineStr"/>
      <c r="R1178" s="8" t="n"/>
      <c r="S1178" s="19" t="n"/>
      <c r="T1178" s="19" t="n"/>
      <c r="U1178" s="14" t="n">
        <v>46189</v>
      </c>
      <c r="V1178" s="7" t="inlineStr">
        <is>
          <t>v1-db41edab064373dd</t>
        </is>
      </c>
    </row>
    <row r="1179" ht="28" customHeight="1">
      <c r="A1179" s="12">
        <f>IF($L1179="applied","Applied",IF($L1179="interview","Interview",IF($L1179="offer","Offer",IF($L1179="rejected","Rejected",IF($L1179="ignore","Ignore",IF($L1179="archive","Archive",IF($L1179="closed","Closed",IF($B1179="","Unscored",IF(AND($B1179&gt;=8,OR($H1179="",$H1179-TODAY()&lt;=14)),"P1 Apply",IF($B1179&gt;=7,"P2 Strong",IF($B1179&gt;=5,"P3 Maybe","P4 Low")))))))))))</f>
        <v/>
      </c>
      <c r="B1179" s="13" t="n">
        <v>1</v>
      </c>
      <c r="C1179" s="12" t="inlineStr">
        <is>
          <t>Senior/Lead</t>
        </is>
      </c>
      <c r="D1179" s="8" t="inlineStr">
        <is>
          <t>Distributed Systems Cluster Security Software – Engineering Lead</t>
        </is>
      </c>
      <c r="E1179" s="7" t="inlineStr">
        <is>
          <t>Cerebras</t>
        </is>
      </c>
      <c r="F1179" s="8" t="inlineStr">
        <is>
          <t>Sunnyvale, CA</t>
        </is>
      </c>
      <c r="G1179" s="8" t="n"/>
      <c r="H1179" s="14" t="n"/>
      <c r="I1179" s="15">
        <f>IF($H1179="","",$H1179-TODAY())</f>
        <v/>
      </c>
      <c r="J1179" s="16" t="inlineStr">
        <is>
          <t>Open posting</t>
        </is>
      </c>
      <c r="K1179" s="8" t="inlineStr">
        <is>
          <t>filtered by keyword pre-scan</t>
        </is>
      </c>
      <c r="L1179" s="17" t="inlineStr">
        <is>
          <t>new</t>
        </is>
      </c>
      <c r="M1179" s="18" t="inlineStr"/>
      <c r="N1179" s="7" t="inlineStr">
        <is>
          <t>7e8c0d3c9209998f92576984a0e4571991e1031d</t>
        </is>
      </c>
      <c r="O1179" s="14" t="n">
        <v>46175</v>
      </c>
      <c r="P1179" s="7" t="inlineStr">
        <is>
          <t>greenhouse:cerebrassystems</t>
        </is>
      </c>
      <c r="Q1179" s="8" t="inlineStr"/>
      <c r="R1179" s="8" t="n"/>
      <c r="S1179" s="19" t="n"/>
      <c r="T1179" s="19" t="n"/>
      <c r="U1179" s="14" t="n">
        <v>46189</v>
      </c>
      <c r="V1179" s="7" t="inlineStr">
        <is>
          <t>v1-db41edab064373dd</t>
        </is>
      </c>
    </row>
    <row r="1180" ht="28" customHeight="1">
      <c r="A1180" s="12">
        <f>IF($L1180="applied","Applied",IF($L1180="interview","Interview",IF($L1180="offer","Offer",IF($L1180="rejected","Rejected",IF($L1180="ignore","Ignore",IF($L1180="archive","Archive",IF($L1180="closed","Closed",IF($B1180="","Unscored",IF(AND($B1180&gt;=8,OR($H1180="",$H1180-TODAY()&lt;=14)),"P1 Apply",IF($B1180&gt;=7,"P2 Strong",IF($B1180&gt;=5,"P3 Maybe","P4 Low")))))))))))</f>
        <v/>
      </c>
      <c r="B1180" s="13" t="n">
        <v>1</v>
      </c>
      <c r="C1180" s="12" t="inlineStr">
        <is>
          <t>Senior/Lead</t>
        </is>
      </c>
      <c r="D1180" s="8" t="inlineStr">
        <is>
          <t>Head of IT</t>
        </is>
      </c>
      <c r="E1180" s="7" t="inlineStr">
        <is>
          <t>Cerebras</t>
        </is>
      </c>
      <c r="F1180" s="8" t="inlineStr">
        <is>
          <t>Sunnyvale, CA</t>
        </is>
      </c>
      <c r="G1180" s="8" t="n"/>
      <c r="H1180" s="14" t="n"/>
      <c r="I1180" s="15">
        <f>IF($H1180="","",$H1180-TODAY())</f>
        <v/>
      </c>
      <c r="J1180" s="16" t="inlineStr">
        <is>
          <t>Open posting</t>
        </is>
      </c>
      <c r="K1180" s="8" t="inlineStr">
        <is>
          <t>filtered by keyword pre-scan</t>
        </is>
      </c>
      <c r="L1180" s="17" t="inlineStr">
        <is>
          <t>new</t>
        </is>
      </c>
      <c r="M1180" s="18" t="inlineStr"/>
      <c r="N1180" s="7" t="inlineStr">
        <is>
          <t>84bc707039c49770491273ebfc9fde898bd09839</t>
        </is>
      </c>
      <c r="O1180" s="14" t="n">
        <v>46175</v>
      </c>
      <c r="P1180" s="7" t="inlineStr">
        <is>
          <t>greenhouse:cerebrassystems</t>
        </is>
      </c>
      <c r="Q1180" s="8" t="inlineStr"/>
      <c r="R1180" s="8" t="n"/>
      <c r="S1180" s="19" t="n"/>
      <c r="T1180" s="19" t="n"/>
      <c r="U1180" s="14" t="n">
        <v>46189</v>
      </c>
      <c r="V1180" s="7" t="inlineStr">
        <is>
          <t>v1-db41edab064373dd</t>
        </is>
      </c>
    </row>
    <row r="1181" ht="28" customHeight="1">
      <c r="A1181" s="12">
        <f>IF($L1181="applied","Applied",IF($L1181="interview","Interview",IF($L1181="offer","Offer",IF($L1181="rejected","Rejected",IF($L1181="ignore","Ignore",IF($L1181="archive","Archive",IF($L1181="closed","Closed",IF($B1181="","Unscored",IF(AND($B1181&gt;=8,OR($H1181="",$H1181-TODAY()&lt;=14)),"P1 Apply",IF($B1181&gt;=7,"P2 Strong",IF($B1181&gt;=5,"P3 Maybe","P4 Low")))))))))))</f>
        <v/>
      </c>
      <c r="B1181" s="13" t="n">
        <v>1</v>
      </c>
      <c r="C1181" s="12" t="inlineStr">
        <is>
          <t>Senior/Lead</t>
        </is>
      </c>
      <c r="D1181" s="8" t="inlineStr">
        <is>
          <t>IT SRE Team Lead</t>
        </is>
      </c>
      <c r="E1181" s="7" t="inlineStr">
        <is>
          <t>Cerebras</t>
        </is>
      </c>
      <c r="F1181" s="8" t="inlineStr">
        <is>
          <t>Sunnyvale, CA</t>
        </is>
      </c>
      <c r="G1181" s="8" t="n"/>
      <c r="H1181" s="14" t="n"/>
      <c r="I1181" s="15">
        <f>IF($H1181="","",$H1181-TODAY())</f>
        <v/>
      </c>
      <c r="J1181" s="16" t="inlineStr">
        <is>
          <t>Open posting</t>
        </is>
      </c>
      <c r="K1181" s="8" t="inlineStr">
        <is>
          <t>filtered by keyword pre-scan</t>
        </is>
      </c>
      <c r="L1181" s="17" t="inlineStr">
        <is>
          <t>new</t>
        </is>
      </c>
      <c r="M1181" s="18" t="inlineStr"/>
      <c r="N1181" s="7" t="inlineStr">
        <is>
          <t>c4e928ed94957e7bd407a64d213024bd3070a0a7</t>
        </is>
      </c>
      <c r="O1181" s="14" t="n">
        <v>46175</v>
      </c>
      <c r="P1181" s="7" t="inlineStr">
        <is>
          <t>greenhouse:cerebrassystems</t>
        </is>
      </c>
      <c r="Q1181" s="8" t="inlineStr"/>
      <c r="R1181" s="8" t="n"/>
      <c r="S1181" s="19" t="n"/>
      <c r="T1181" s="19" t="n"/>
      <c r="U1181" s="14" t="n">
        <v>46189</v>
      </c>
      <c r="V1181" s="7" t="inlineStr">
        <is>
          <t>v1-db41edab064373dd</t>
        </is>
      </c>
    </row>
    <row r="1182" ht="28" customHeight="1">
      <c r="A1182" s="12">
        <f>IF($L1182="applied","Applied",IF($L1182="interview","Interview",IF($L1182="offer","Offer",IF($L1182="rejected","Rejected",IF($L1182="ignore","Ignore",IF($L1182="archive","Archive",IF($L1182="closed","Closed",IF($B1182="","Unscored",IF(AND($B1182&gt;=8,OR($H1182="",$H1182-TODAY()&lt;=14)),"P1 Apply",IF($B1182&gt;=7,"P2 Strong",IF($B1182&gt;=5,"P3 Maybe","P4 Low")))))))))))</f>
        <v/>
      </c>
      <c r="B1182" s="13" t="n">
        <v>1</v>
      </c>
      <c r="C1182" s="12" t="inlineStr">
        <is>
          <t>Senior/Lead</t>
        </is>
      </c>
      <c r="D1182" s="8" t="inlineStr">
        <is>
          <t>Lead Full Stack Machine Learning Engineer</t>
        </is>
      </c>
      <c r="E1182" s="7" t="inlineStr">
        <is>
          <t>Cerebras</t>
        </is>
      </c>
      <c r="F1182" s="8" t="inlineStr">
        <is>
          <t>Bengaluru, Karnataka, India</t>
        </is>
      </c>
      <c r="G1182" s="8" t="n"/>
      <c r="H1182" s="14" t="n"/>
      <c r="I1182" s="15">
        <f>IF($H1182="","",$H1182-TODAY())</f>
        <v/>
      </c>
      <c r="J1182" s="16" t="inlineStr">
        <is>
          <t>Open posting</t>
        </is>
      </c>
      <c r="K1182" s="8" t="inlineStr">
        <is>
          <t>filtered by keyword pre-scan</t>
        </is>
      </c>
      <c r="L1182" s="17" t="inlineStr">
        <is>
          <t>new</t>
        </is>
      </c>
      <c r="M1182" s="18" t="inlineStr"/>
      <c r="N1182" s="7" t="inlineStr">
        <is>
          <t>61534f523e3f8f2182d3f57bdcc47e8d8cf97a59</t>
        </is>
      </c>
      <c r="O1182" s="14" t="n">
        <v>46183</v>
      </c>
      <c r="P1182" s="7" t="inlineStr">
        <is>
          <t>greenhouse:cerebrassystems</t>
        </is>
      </c>
      <c r="Q1182" s="8" t="inlineStr"/>
      <c r="R1182" s="8" t="n"/>
      <c r="S1182" s="19" t="n"/>
      <c r="T1182" s="19" t="n"/>
      <c r="U1182" s="14" t="n">
        <v>46189</v>
      </c>
      <c r="V1182" s="7" t="inlineStr">
        <is>
          <t>v1-db41edab064373dd</t>
        </is>
      </c>
    </row>
    <row r="1183" ht="28" customHeight="1">
      <c r="A1183" s="12">
        <f>IF($L1183="applied","Applied",IF($L1183="interview","Interview",IF($L1183="offer","Offer",IF($L1183="rejected","Rejected",IF($L1183="ignore","Ignore",IF($L1183="archive","Archive",IF($L1183="closed","Closed",IF($B1183="","Unscored",IF(AND($B1183&gt;=8,OR($H1183="",$H1183-TODAY()&lt;=14)),"P1 Apply",IF($B1183&gt;=7,"P2 Strong",IF($B1183&gt;=5,"P3 Maybe","P4 Low")))))))))))</f>
        <v/>
      </c>
      <c r="B1183" s="13" t="n">
        <v>1</v>
      </c>
      <c r="C1183" s="12" t="inlineStr">
        <is>
          <t>Senior/Lead</t>
        </is>
      </c>
      <c r="D1183" s="8" t="inlineStr">
        <is>
          <t>Lead RTL Design Engineer</t>
        </is>
      </c>
      <c r="E1183" s="7" t="inlineStr">
        <is>
          <t>Cerebras</t>
        </is>
      </c>
      <c r="F1183" s="8" t="inlineStr">
        <is>
          <t>Sunnyvale, CA</t>
        </is>
      </c>
      <c r="G1183" s="8" t="n"/>
      <c r="H1183" s="14" t="n"/>
      <c r="I1183" s="15">
        <f>IF($H1183="","",$H1183-TODAY())</f>
        <v/>
      </c>
      <c r="J1183" s="16" t="inlineStr">
        <is>
          <t>Open posting</t>
        </is>
      </c>
      <c r="K1183" s="8" t="inlineStr">
        <is>
          <t>filtered by keyword pre-scan</t>
        </is>
      </c>
      <c r="L1183" s="17" t="inlineStr">
        <is>
          <t>new</t>
        </is>
      </c>
      <c r="M1183" s="18" t="inlineStr"/>
      <c r="N1183" s="7" t="inlineStr">
        <is>
          <t>d653b516e5f2360e6de3bea44282d98ebc582a71</t>
        </is>
      </c>
      <c r="O1183" s="14" t="n">
        <v>46175</v>
      </c>
      <c r="P1183" s="7" t="inlineStr">
        <is>
          <t>greenhouse:cerebrassystems</t>
        </is>
      </c>
      <c r="Q1183" s="8" t="inlineStr"/>
      <c r="R1183" s="8" t="n"/>
      <c r="S1183" s="19" t="n"/>
      <c r="T1183" s="19" t="n"/>
      <c r="U1183" s="14" t="n">
        <v>46189</v>
      </c>
      <c r="V1183" s="7" t="inlineStr">
        <is>
          <t>v1-db41edab064373dd</t>
        </is>
      </c>
    </row>
    <row r="1184" ht="28" customHeight="1">
      <c r="A1184" s="12">
        <f>IF($L1184="applied","Applied",IF($L1184="interview","Interview",IF($L1184="offer","Offer",IF($L1184="rejected","Rejected",IF($L1184="ignore","Ignore",IF($L1184="archive","Archive",IF($L1184="closed","Closed",IF($B1184="","Unscored",IF(AND($B1184&gt;=8,OR($H1184="",$H1184-TODAY()&lt;=14)),"P1 Apply",IF($B1184&gt;=7,"P2 Strong",IF($B1184&gt;=5,"P3 Maybe","P4 Low")))))))))))</f>
        <v/>
      </c>
      <c r="B1184" s="13" t="n">
        <v>1</v>
      </c>
      <c r="C1184" s="12" t="inlineStr">
        <is>
          <t>Senior/Lead</t>
        </is>
      </c>
      <c r="D1184" s="8" t="inlineStr">
        <is>
          <t>Member of Technical Staff (Software Engineer)</t>
        </is>
      </c>
      <c r="E1184" s="7" t="inlineStr">
        <is>
          <t>Cerebras</t>
        </is>
      </c>
      <c r="F1184" s="8" t="inlineStr">
        <is>
          <t>Sunnyvale, CA</t>
        </is>
      </c>
      <c r="G1184" s="8" t="n"/>
      <c r="H1184" s="14" t="n"/>
      <c r="I1184" s="15">
        <f>IF($H1184="","",$H1184-TODAY())</f>
        <v/>
      </c>
      <c r="J1184" s="16" t="inlineStr">
        <is>
          <t>Open posting</t>
        </is>
      </c>
      <c r="K1184" s="8" t="inlineStr">
        <is>
          <t>filtered by keyword pre-scan</t>
        </is>
      </c>
      <c r="L1184" s="17" t="inlineStr">
        <is>
          <t>new</t>
        </is>
      </c>
      <c r="M1184" s="18" t="inlineStr"/>
      <c r="N1184" s="7" t="inlineStr">
        <is>
          <t>bba5d99b9c2bcba753ef3eacd5db2ab5c7e29ba9</t>
        </is>
      </c>
      <c r="O1184" s="14" t="n">
        <v>46175</v>
      </c>
      <c r="P1184" s="7" t="inlineStr">
        <is>
          <t>greenhouse:cerebrassystems</t>
        </is>
      </c>
      <c r="Q1184" s="8" t="inlineStr"/>
      <c r="R1184" s="8" t="n"/>
      <c r="S1184" s="19" t="n"/>
      <c r="T1184" s="19" t="n"/>
      <c r="U1184" s="14" t="n">
        <v>46189</v>
      </c>
      <c r="V1184" s="7" t="inlineStr">
        <is>
          <t>v1-db41edab064373dd</t>
        </is>
      </c>
    </row>
    <row r="1185" ht="28" customHeight="1">
      <c r="A1185" s="12">
        <f>IF($L1185="applied","Applied",IF($L1185="interview","Interview",IF($L1185="offer","Offer",IF($L1185="rejected","Rejected",IF($L1185="ignore","Ignore",IF($L1185="archive","Archive",IF($L1185="closed","Closed",IF($B1185="","Unscored",IF(AND($B1185&gt;=8,OR($H1185="",$H1185-TODAY()&lt;=14)),"P1 Apply",IF($B1185&gt;=7,"P2 Strong",IF($B1185&gt;=5,"P3 Maybe","P4 Low")))))))))))</f>
        <v/>
      </c>
      <c r="B1185" s="13" t="n">
        <v>1</v>
      </c>
      <c r="C1185" s="12" t="inlineStr">
        <is>
          <t>Senior/Lead</t>
        </is>
      </c>
      <c r="D1185" s="8" t="inlineStr">
        <is>
          <t>Principal Engineer, AI Inference Reliability</t>
        </is>
      </c>
      <c r="E1185" s="7" t="inlineStr">
        <is>
          <t>Cerebras</t>
        </is>
      </c>
      <c r="F1185" s="8" t="inlineStr">
        <is>
          <t>Remote, California, United States; Sunnyvale CA or Toronto Canada</t>
        </is>
      </c>
      <c r="G1185" s="8" t="n"/>
      <c r="H1185" s="14" t="n"/>
      <c r="I1185" s="15">
        <f>IF($H1185="","",$H1185-TODAY())</f>
        <v/>
      </c>
      <c r="J1185" s="16" t="inlineStr">
        <is>
          <t>Open posting</t>
        </is>
      </c>
      <c r="K1185" s="8" t="inlineStr">
        <is>
          <t>filtered by keyword pre-scan</t>
        </is>
      </c>
      <c r="L1185" s="17" t="inlineStr">
        <is>
          <t>new</t>
        </is>
      </c>
      <c r="M1185" s="18" t="inlineStr"/>
      <c r="N1185" s="7" t="inlineStr">
        <is>
          <t>d9eeeedb7c9eaacb6c1b2ab91551a2520e9b4644</t>
        </is>
      </c>
      <c r="O1185" s="14" t="n">
        <v>46175</v>
      </c>
      <c r="P1185" s="7" t="inlineStr">
        <is>
          <t>greenhouse:cerebrassystems</t>
        </is>
      </c>
      <c r="Q1185" s="8" t="inlineStr"/>
      <c r="R1185" s="8" t="n"/>
      <c r="S1185" s="19" t="n"/>
      <c r="T1185" s="19" t="n"/>
      <c r="U1185" s="14" t="n">
        <v>46189</v>
      </c>
      <c r="V1185" s="7" t="inlineStr">
        <is>
          <t>v1-db41edab064373dd</t>
        </is>
      </c>
    </row>
    <row r="1186" ht="28" customHeight="1">
      <c r="A1186" s="12">
        <f>IF($L1186="applied","Applied",IF($L1186="interview","Interview",IF($L1186="offer","Offer",IF($L1186="rejected","Rejected",IF($L1186="ignore","Ignore",IF($L1186="archive","Archive",IF($L1186="closed","Closed",IF($B1186="","Unscored",IF(AND($B1186&gt;=8,OR($H1186="",$H1186-TODAY()&lt;=14)),"P1 Apply",IF($B1186&gt;=7,"P2 Strong",IF($B1186&gt;=5,"P3 Maybe","P4 Low")))))))))))</f>
        <v/>
      </c>
      <c r="B1186" s="13" t="n">
        <v>1</v>
      </c>
      <c r="C1186" s="12" t="inlineStr">
        <is>
          <t>Senior/Lead</t>
        </is>
      </c>
      <c r="D1186" s="8" t="inlineStr">
        <is>
          <t>Principal Engineer, Inference Cloud</t>
        </is>
      </c>
      <c r="E1186" s="7" t="inlineStr">
        <is>
          <t>Cerebras</t>
        </is>
      </c>
      <c r="F1186" s="8" t="inlineStr">
        <is>
          <t>Sunnyvale, CA</t>
        </is>
      </c>
      <c r="G1186" s="8" t="n"/>
      <c r="H1186" s="14" t="n"/>
      <c r="I1186" s="15">
        <f>IF($H1186="","",$H1186-TODAY())</f>
        <v/>
      </c>
      <c r="J1186" s="16" t="inlineStr">
        <is>
          <t>Open posting</t>
        </is>
      </c>
      <c r="K1186" s="8" t="inlineStr">
        <is>
          <t>filtered by keyword pre-scan</t>
        </is>
      </c>
      <c r="L1186" s="17" t="inlineStr">
        <is>
          <t>new</t>
        </is>
      </c>
      <c r="M1186" s="18" t="inlineStr"/>
      <c r="N1186" s="7" t="inlineStr">
        <is>
          <t>770d3b2834a9c897a6246d20b22d0253244133e9</t>
        </is>
      </c>
      <c r="O1186" s="14" t="n">
        <v>46175</v>
      </c>
      <c r="P1186" s="7" t="inlineStr">
        <is>
          <t>greenhouse:cerebrassystems</t>
        </is>
      </c>
      <c r="Q1186" s="8" t="inlineStr"/>
      <c r="R1186" s="8" t="n"/>
      <c r="S1186" s="19" t="n"/>
      <c r="T1186" s="19" t="n"/>
      <c r="U1186" s="14" t="n">
        <v>46189</v>
      </c>
      <c r="V1186" s="7" t="inlineStr">
        <is>
          <t>v1-db41edab064373dd</t>
        </is>
      </c>
    </row>
    <row r="1187" ht="28" customHeight="1">
      <c r="A1187" s="12">
        <f>IF($L1187="applied","Applied",IF($L1187="interview","Interview",IF($L1187="offer","Offer",IF($L1187="rejected","Rejected",IF($L1187="ignore","Ignore",IF($L1187="archive","Archive",IF($L1187="closed","Closed",IF($B1187="","Unscored",IF(AND($B1187&gt;=8,OR($H1187="",$H1187-TODAY()&lt;=14)),"P1 Apply",IF($B1187&gt;=7,"P2 Strong",IF($B1187&gt;=5,"P3 Maybe","P4 Low")))))))))))</f>
        <v/>
      </c>
      <c r="B1187" s="13" t="n">
        <v>1</v>
      </c>
      <c r="C1187" s="12" t="inlineStr">
        <is>
          <t>Senior/Lead</t>
        </is>
      </c>
      <c r="D1187" s="8" t="inlineStr">
        <is>
          <t>Principal ML Investigator</t>
        </is>
      </c>
      <c r="E1187" s="7" t="inlineStr">
        <is>
          <t>Cerebras</t>
        </is>
      </c>
      <c r="F1187" s="8" t="inlineStr">
        <is>
          <t>Sunnyvale, CA</t>
        </is>
      </c>
      <c r="G1187" s="8" t="n"/>
      <c r="H1187" s="14" t="n"/>
      <c r="I1187" s="15">
        <f>IF($H1187="","",$H1187-TODAY())</f>
        <v/>
      </c>
      <c r="J1187" s="16" t="inlineStr">
        <is>
          <t>Open posting</t>
        </is>
      </c>
      <c r="K1187" s="8" t="inlineStr">
        <is>
          <t>filtered by keyword pre-scan</t>
        </is>
      </c>
      <c r="L1187" s="17" t="inlineStr">
        <is>
          <t>new</t>
        </is>
      </c>
      <c r="M1187" s="18" t="inlineStr"/>
      <c r="N1187" s="7" t="inlineStr">
        <is>
          <t>6caacc80c6987d62423d0a32630c980b551184c8</t>
        </is>
      </c>
      <c r="O1187" s="14" t="n">
        <v>46175</v>
      </c>
      <c r="P1187" s="7" t="inlineStr">
        <is>
          <t>greenhouse:cerebrassystems</t>
        </is>
      </c>
      <c r="Q1187" s="8" t="inlineStr"/>
      <c r="R1187" s="8" t="n"/>
      <c r="S1187" s="19" t="n"/>
      <c r="T1187" s="19" t="n"/>
      <c r="U1187" s="14" t="n">
        <v>46189</v>
      </c>
      <c r="V1187" s="7" t="inlineStr">
        <is>
          <t>v1-db41edab064373dd</t>
        </is>
      </c>
    </row>
    <row r="1188" ht="28" customHeight="1">
      <c r="A1188" s="12">
        <f>IF($L1188="applied","Applied",IF($L1188="interview","Interview",IF($L1188="offer","Offer",IF($L1188="rejected","Rejected",IF($L1188="ignore","Ignore",IF($L1188="archive","Archive",IF($L1188="closed","Closed",IF($B1188="","Unscored",IF(AND($B1188&gt;=8,OR($H1188="",$H1188-TODAY()&lt;=14)),"P1 Apply",IF($B1188&gt;=7,"P2 Strong",IF($B1188&gt;=5,"P3 Maybe","P4 Low")))))))))))</f>
        <v/>
      </c>
      <c r="B1188" s="13" t="n">
        <v>1</v>
      </c>
      <c r="C1188" s="12" t="inlineStr">
        <is>
          <t>Senior/Lead</t>
        </is>
      </c>
      <c r="D1188" s="8" t="inlineStr">
        <is>
          <t>QA Lead (ML Integration and Quality)</t>
        </is>
      </c>
      <c r="E1188" s="7" t="inlineStr">
        <is>
          <t>Cerebras</t>
        </is>
      </c>
      <c r="F1188" s="8" t="inlineStr">
        <is>
          <t>Bengaluru, Karnataka, India</t>
        </is>
      </c>
      <c r="G1188" s="8" t="n"/>
      <c r="H1188" s="14" t="n"/>
      <c r="I1188" s="15">
        <f>IF($H1188="","",$H1188-TODAY())</f>
        <v/>
      </c>
      <c r="J1188" s="16" t="inlineStr">
        <is>
          <t>Open posting</t>
        </is>
      </c>
      <c r="K1188" s="8" t="inlineStr">
        <is>
          <t>filtered by keyword pre-scan</t>
        </is>
      </c>
      <c r="L1188" s="17" t="inlineStr">
        <is>
          <t>new</t>
        </is>
      </c>
      <c r="M1188" s="18" t="inlineStr"/>
      <c r="N1188" s="7" t="inlineStr">
        <is>
          <t>14694b3edbf7bb73adb3d4497d480037d8f2101a</t>
        </is>
      </c>
      <c r="O1188" s="14" t="n">
        <v>46175</v>
      </c>
      <c r="P1188" s="7" t="inlineStr">
        <is>
          <t>greenhouse:cerebrassystems</t>
        </is>
      </c>
      <c r="Q1188" s="8" t="inlineStr"/>
      <c r="R1188" s="8" t="n"/>
      <c r="S1188" s="19" t="n"/>
      <c r="T1188" s="19" t="n"/>
      <c r="U1188" s="14" t="n">
        <v>46189</v>
      </c>
      <c r="V1188" s="7" t="inlineStr">
        <is>
          <t>v1-db41edab064373dd</t>
        </is>
      </c>
    </row>
    <row r="1189" ht="28" customHeight="1">
      <c r="A1189" s="12">
        <f>IF($L1189="applied","Applied",IF($L1189="interview","Interview",IF($L1189="offer","Offer",IF($L1189="rejected","Rejected",IF($L1189="ignore","Ignore",IF($L1189="archive","Archive",IF($L1189="closed","Closed",IF($B1189="","Unscored",IF(AND($B1189&gt;=8,OR($H1189="",$H1189-TODAY()&lt;=14)),"P1 Apply",IF($B1189&gt;=7,"P2 Strong",IF($B1189&gt;=5,"P3 Maybe","P4 Low")))))))))))</f>
        <v/>
      </c>
      <c r="B1189" s="13" t="n">
        <v>1</v>
      </c>
      <c r="C1189" s="12" t="inlineStr">
        <is>
          <t>Senior/Lead</t>
        </is>
      </c>
      <c r="D1189" s="8" t="inlineStr">
        <is>
          <t>Senior Accountant</t>
        </is>
      </c>
      <c r="E1189" s="7" t="inlineStr">
        <is>
          <t>Cerebras</t>
        </is>
      </c>
      <c r="F1189" s="8" t="inlineStr">
        <is>
          <t>Sunnyvale, CA</t>
        </is>
      </c>
      <c r="G1189" s="8" t="n"/>
      <c r="H1189" s="14" t="n"/>
      <c r="I1189" s="15">
        <f>IF($H1189="","",$H1189-TODAY())</f>
        <v/>
      </c>
      <c r="J1189" s="16" t="inlineStr">
        <is>
          <t>Open posting</t>
        </is>
      </c>
      <c r="K1189" s="8" t="inlineStr">
        <is>
          <t>filtered by keyword pre-scan</t>
        </is>
      </c>
      <c r="L1189" s="17" t="inlineStr">
        <is>
          <t>new</t>
        </is>
      </c>
      <c r="M1189" s="18" t="inlineStr"/>
      <c r="N1189" s="7" t="inlineStr">
        <is>
          <t>d59654c0b7d38c7f1bb985050eeb988b5f1532ca</t>
        </is>
      </c>
      <c r="O1189" s="14" t="n">
        <v>46175</v>
      </c>
      <c r="P1189" s="7" t="inlineStr">
        <is>
          <t>greenhouse:cerebrassystems</t>
        </is>
      </c>
      <c r="Q1189" s="8" t="inlineStr"/>
      <c r="R1189" s="8" t="n"/>
      <c r="S1189" s="19" t="n"/>
      <c r="T1189" s="19" t="n"/>
      <c r="U1189" s="14" t="n">
        <v>46189</v>
      </c>
      <c r="V1189" s="7" t="inlineStr">
        <is>
          <t>v1-db41edab064373dd</t>
        </is>
      </c>
    </row>
    <row r="1190" ht="28" customHeight="1">
      <c r="A1190" s="12">
        <f>IF($L1190="applied","Applied",IF($L1190="interview","Interview",IF($L1190="offer","Offer",IF($L1190="rejected","Rejected",IF($L1190="ignore","Ignore",IF($L1190="archive","Archive",IF($L1190="closed","Closed",IF($B1190="","Unscored",IF(AND($B1190&gt;=8,OR($H1190="",$H1190-TODAY()&lt;=14)),"P1 Apply",IF($B1190&gt;=7,"P2 Strong",IF($B1190&gt;=5,"P3 Maybe","P4 Low")))))))))))</f>
        <v/>
      </c>
      <c r="B1190" s="13" t="n">
        <v>1</v>
      </c>
      <c r="C1190" s="12" t="inlineStr">
        <is>
          <t>Senior/Lead</t>
        </is>
      </c>
      <c r="D1190" s="8" t="inlineStr">
        <is>
          <t>Senior Cost Accounting Manager</t>
        </is>
      </c>
      <c r="E1190" s="7" t="inlineStr">
        <is>
          <t>Cerebras</t>
        </is>
      </c>
      <c r="F1190" s="8" t="inlineStr">
        <is>
          <t>Sunnyvale, CA</t>
        </is>
      </c>
      <c r="G1190" s="8" t="n"/>
      <c r="H1190" s="14" t="n"/>
      <c r="I1190" s="15">
        <f>IF($H1190="","",$H1190-TODAY())</f>
        <v/>
      </c>
      <c r="J1190" s="16" t="inlineStr">
        <is>
          <t>Open posting</t>
        </is>
      </c>
      <c r="K1190" s="8" t="inlineStr">
        <is>
          <t>filtered by keyword pre-scan</t>
        </is>
      </c>
      <c r="L1190" s="17" t="inlineStr">
        <is>
          <t>new</t>
        </is>
      </c>
      <c r="M1190" s="18" t="inlineStr"/>
      <c r="N1190" s="7" t="inlineStr">
        <is>
          <t>61e0c2edb92713d2ec603e32c779c2fead449a7a</t>
        </is>
      </c>
      <c r="O1190" s="14" t="n">
        <v>46175</v>
      </c>
      <c r="P1190" s="7" t="inlineStr">
        <is>
          <t>greenhouse:cerebrassystems</t>
        </is>
      </c>
      <c r="Q1190" s="8" t="inlineStr"/>
      <c r="R1190" s="8" t="n"/>
      <c r="S1190" s="19" t="n"/>
      <c r="T1190" s="19" t="n"/>
      <c r="U1190" s="14" t="n">
        <v>46189</v>
      </c>
      <c r="V1190" s="7" t="inlineStr">
        <is>
          <t>v1-db41edab064373dd</t>
        </is>
      </c>
    </row>
    <row r="1191" ht="28" customHeight="1">
      <c r="A1191" s="12">
        <f>IF($L1191="applied","Applied",IF($L1191="interview","Interview",IF($L1191="offer","Offer",IF($L1191="rejected","Rejected",IF($L1191="ignore","Ignore",IF($L1191="archive","Archive",IF($L1191="closed","Closed",IF($B1191="","Unscored",IF(AND($B1191&gt;=8,OR($H1191="",$H1191-TODAY()&lt;=14)),"P1 Apply",IF($B1191&gt;=7,"P2 Strong",IF($B1191&gt;=5,"P3 Maybe","P4 Low")))))))))))</f>
        <v/>
      </c>
      <c r="B1191" s="13" t="n">
        <v>1</v>
      </c>
      <c r="C1191" s="12" t="inlineStr">
        <is>
          <t>Senior/Lead</t>
        </is>
      </c>
      <c r="D1191" s="8" t="inlineStr">
        <is>
          <t>Senior Front End Design Engineer (Microarchitecture)</t>
        </is>
      </c>
      <c r="E1191" s="7" t="inlineStr">
        <is>
          <t>Cerebras</t>
        </is>
      </c>
      <c r="F1191" s="8" t="inlineStr">
        <is>
          <t>Sunnyvale, CA</t>
        </is>
      </c>
      <c r="G1191" s="8" t="n"/>
      <c r="H1191" s="14" t="n"/>
      <c r="I1191" s="15">
        <f>IF($H1191="","",$H1191-TODAY())</f>
        <v/>
      </c>
      <c r="J1191" s="16" t="inlineStr">
        <is>
          <t>Open posting</t>
        </is>
      </c>
      <c r="K1191" s="8" t="inlineStr">
        <is>
          <t>filtered by keyword pre-scan</t>
        </is>
      </c>
      <c r="L1191" s="17" t="inlineStr">
        <is>
          <t>new</t>
        </is>
      </c>
      <c r="M1191" s="18" t="inlineStr"/>
      <c r="N1191" s="7" t="inlineStr">
        <is>
          <t>bb974f3a0ac9876632b9e27a014ff9a07cbaafa1</t>
        </is>
      </c>
      <c r="O1191" s="14" t="n">
        <v>46181</v>
      </c>
      <c r="P1191" s="7" t="inlineStr">
        <is>
          <t>greenhouse:cerebrassystems</t>
        </is>
      </c>
      <c r="Q1191" s="8" t="inlineStr"/>
      <c r="R1191" s="8" t="n"/>
      <c r="S1191" s="19" t="n"/>
      <c r="T1191" s="19" t="n"/>
      <c r="U1191" s="14" t="n">
        <v>46189</v>
      </c>
      <c r="V1191" s="7" t="inlineStr">
        <is>
          <t>v1-db41edab064373dd</t>
        </is>
      </c>
    </row>
    <row r="1192" ht="28" customHeight="1">
      <c r="A1192" s="12">
        <f>IF($L1192="applied","Applied",IF($L1192="interview","Interview",IF($L1192="offer","Offer",IF($L1192="rejected","Rejected",IF($L1192="ignore","Ignore",IF($L1192="archive","Archive",IF($L1192="closed","Closed",IF($B1192="","Unscored",IF(AND($B1192&gt;=8,OR($H1192="",$H1192-TODAY()&lt;=14)),"P1 Apply",IF($B1192&gt;=7,"P2 Strong",IF($B1192&gt;=5,"P3 Maybe","P4 Low")))))))))))</f>
        <v/>
      </c>
      <c r="B1192" s="13" t="n">
        <v>1</v>
      </c>
      <c r="C1192" s="12" t="inlineStr">
        <is>
          <t>Senior/Lead</t>
        </is>
      </c>
      <c r="D1192" s="8" t="inlineStr">
        <is>
          <t>Senior GL Accountant</t>
        </is>
      </c>
      <c r="E1192" s="7" t="inlineStr">
        <is>
          <t>Cerebras</t>
        </is>
      </c>
      <c r="F1192" s="8" t="inlineStr">
        <is>
          <t>Sunnyvale, CA</t>
        </is>
      </c>
      <c r="G1192" s="8" t="n"/>
      <c r="H1192" s="14" t="n"/>
      <c r="I1192" s="15">
        <f>IF($H1192="","",$H1192-TODAY())</f>
        <v/>
      </c>
      <c r="J1192" s="16" t="inlineStr">
        <is>
          <t>Open posting</t>
        </is>
      </c>
      <c r="K1192" s="8" t="inlineStr">
        <is>
          <t>filtered by keyword pre-scan</t>
        </is>
      </c>
      <c r="L1192" s="17" t="inlineStr">
        <is>
          <t>new</t>
        </is>
      </c>
      <c r="M1192" s="18" t="inlineStr"/>
      <c r="N1192" s="7" t="inlineStr">
        <is>
          <t>032f69ded5eb530ac9681781cfb89053ad7b8e29</t>
        </is>
      </c>
      <c r="O1192" s="14" t="n">
        <v>46175</v>
      </c>
      <c r="P1192" s="7" t="inlineStr">
        <is>
          <t>greenhouse:cerebrassystems</t>
        </is>
      </c>
      <c r="Q1192" s="8" t="inlineStr"/>
      <c r="R1192" s="8" t="n"/>
      <c r="S1192" s="19" t="n"/>
      <c r="T1192" s="19" t="n"/>
      <c r="U1192" s="14" t="n">
        <v>46189</v>
      </c>
      <c r="V1192" s="7" t="inlineStr">
        <is>
          <t>v1-db41edab064373dd</t>
        </is>
      </c>
    </row>
    <row r="1193" ht="28" customHeight="1">
      <c r="A1193" s="12">
        <f>IF($L1193="applied","Applied",IF($L1193="interview","Interview",IF($L1193="offer","Offer",IF($L1193="rejected","Rejected",IF($L1193="ignore","Ignore",IF($L1193="archive","Archive",IF($L1193="closed","Closed",IF($B1193="","Unscored",IF(AND($B1193&gt;=8,OR($H1193="",$H1193-TODAY()&lt;=14)),"P1 Apply",IF($B1193&gt;=7,"P2 Strong",IF($B1193&gt;=5,"P3 Maybe","P4 Low")))))))))))</f>
        <v/>
      </c>
      <c r="B1193" s="13" t="n">
        <v>1</v>
      </c>
      <c r="C1193" s="12" t="inlineStr">
        <is>
          <t>Senior/Lead</t>
        </is>
      </c>
      <c r="D1193" s="8" t="inlineStr">
        <is>
          <t>Senior Hardware Technical Program Manager</t>
        </is>
      </c>
      <c r="E1193" s="7" t="inlineStr">
        <is>
          <t>Cerebras</t>
        </is>
      </c>
      <c r="F1193" s="8" t="inlineStr">
        <is>
          <t>Sunnyvale, CA</t>
        </is>
      </c>
      <c r="G1193" s="8" t="n"/>
      <c r="H1193" s="14" t="n"/>
      <c r="I1193" s="15">
        <f>IF($H1193="","",$H1193-TODAY())</f>
        <v/>
      </c>
      <c r="J1193" s="16" t="inlineStr">
        <is>
          <t>Open posting</t>
        </is>
      </c>
      <c r="K1193" s="8" t="inlineStr">
        <is>
          <t>filtered by keyword pre-scan</t>
        </is>
      </c>
      <c r="L1193" s="17" t="inlineStr">
        <is>
          <t>new</t>
        </is>
      </c>
      <c r="M1193" s="18" t="inlineStr"/>
      <c r="N1193" s="7" t="inlineStr">
        <is>
          <t>c9305d416ebd4d1642cec898a24a3da88115341e</t>
        </is>
      </c>
      <c r="O1193" s="14" t="n">
        <v>46175</v>
      </c>
      <c r="P1193" s="7" t="inlineStr">
        <is>
          <t>greenhouse:cerebrassystems</t>
        </is>
      </c>
      <c r="Q1193" s="8" t="inlineStr"/>
      <c r="R1193" s="8" t="n"/>
      <c r="S1193" s="19" t="n"/>
      <c r="T1193" s="19" t="n"/>
      <c r="U1193" s="14" t="n">
        <v>46189</v>
      </c>
      <c r="V1193" s="7" t="inlineStr">
        <is>
          <t>v1-db41edab064373dd</t>
        </is>
      </c>
    </row>
    <row r="1194" ht="28" customHeight="1">
      <c r="A1194" s="12">
        <f>IF($L1194="applied","Applied",IF($L1194="interview","Interview",IF($L1194="offer","Offer",IF($L1194="rejected","Rejected",IF($L1194="ignore","Ignore",IF($L1194="archive","Archive",IF($L1194="closed","Closed",IF($B1194="","Unscored",IF(AND($B1194&gt;=8,OR($H1194="",$H1194-TODAY()&lt;=14)),"P1 Apply",IF($B1194&gt;=7,"P2 Strong",IF($B1194&gt;=5,"P3 Maybe","P4 Low")))))))))))</f>
        <v/>
      </c>
      <c r="B1194" s="13" t="n">
        <v>1</v>
      </c>
      <c r="C1194" s="12" t="inlineStr">
        <is>
          <t>Senior/Lead</t>
        </is>
      </c>
      <c r="D1194" s="8" t="inlineStr">
        <is>
          <t>Senior Mechanical Engineer</t>
        </is>
      </c>
      <c r="E1194" s="7" t="inlineStr">
        <is>
          <t>Cerebras</t>
        </is>
      </c>
      <c r="F1194" s="8" t="inlineStr">
        <is>
          <t>Sunnyvale, CA</t>
        </is>
      </c>
      <c r="G1194" s="8" t="n"/>
      <c r="H1194" s="14" t="n"/>
      <c r="I1194" s="15">
        <f>IF($H1194="","",$H1194-TODAY())</f>
        <v/>
      </c>
      <c r="J1194" s="16" t="inlineStr">
        <is>
          <t>Open posting</t>
        </is>
      </c>
      <c r="K1194" s="8" t="inlineStr">
        <is>
          <t>filtered by keyword pre-scan</t>
        </is>
      </c>
      <c r="L1194" s="17" t="inlineStr">
        <is>
          <t>new</t>
        </is>
      </c>
      <c r="M1194" s="18" t="inlineStr"/>
      <c r="N1194" s="7" t="inlineStr">
        <is>
          <t>3a38591cb2be5608d088335d7556a876b0a482bf</t>
        </is>
      </c>
      <c r="O1194" s="14" t="n">
        <v>46175</v>
      </c>
      <c r="P1194" s="7" t="inlineStr">
        <is>
          <t>greenhouse:cerebrassystems</t>
        </is>
      </c>
      <c r="Q1194" s="8" t="inlineStr"/>
      <c r="R1194" s="8" t="n"/>
      <c r="S1194" s="19" t="n"/>
      <c r="T1194" s="19" t="n"/>
      <c r="U1194" s="14" t="n">
        <v>46189</v>
      </c>
      <c r="V1194" s="7" t="inlineStr">
        <is>
          <t>v1-db41edab064373dd</t>
        </is>
      </c>
    </row>
    <row r="1195" ht="28" customHeight="1">
      <c r="A1195" s="12">
        <f>IF($L1195="applied","Applied",IF($L1195="interview","Interview",IF($L1195="offer","Offer",IF($L1195="rejected","Rejected",IF($L1195="ignore","Ignore",IF($L1195="archive","Archive",IF($L1195="closed","Closed",IF($B1195="","Unscored",IF(AND($B1195&gt;=8,OR($H1195="",$H1195-TODAY()&lt;=14)),"P1 Apply",IF($B1195&gt;=7,"P2 Strong",IF($B1195&gt;=5,"P3 Maybe","P4 Low")))))))))))</f>
        <v/>
      </c>
      <c r="B1195" s="13" t="n">
        <v>1</v>
      </c>
      <c r="C1195" s="12" t="inlineStr">
        <is>
          <t>Senior/Lead</t>
        </is>
      </c>
      <c r="D1195" s="8" t="inlineStr">
        <is>
          <t>Senior ML Software Engineer - Integration &amp; Quality</t>
        </is>
      </c>
      <c r="E1195" s="7" t="inlineStr">
        <is>
          <t>Cerebras</t>
        </is>
      </c>
      <c r="F1195" s="8" t="inlineStr">
        <is>
          <t>Sunnyvale CA or Toronto Canada</t>
        </is>
      </c>
      <c r="G1195" s="8" t="n"/>
      <c r="H1195" s="14" t="n"/>
      <c r="I1195" s="15">
        <f>IF($H1195="","",$H1195-TODAY())</f>
        <v/>
      </c>
      <c r="J1195" s="16" t="inlineStr">
        <is>
          <t>Open posting</t>
        </is>
      </c>
      <c r="K1195" s="8" t="inlineStr">
        <is>
          <t>filtered by keyword pre-scan</t>
        </is>
      </c>
      <c r="L1195" s="17" t="inlineStr">
        <is>
          <t>new</t>
        </is>
      </c>
      <c r="M1195" s="18" t="inlineStr"/>
      <c r="N1195" s="7" t="inlineStr">
        <is>
          <t>9dde4274cd3434b0019d976768f8b855b4d10d19</t>
        </is>
      </c>
      <c r="O1195" s="14" t="n">
        <v>46175</v>
      </c>
      <c r="P1195" s="7" t="inlineStr">
        <is>
          <t>greenhouse:cerebrassystems</t>
        </is>
      </c>
      <c r="Q1195" s="8" t="inlineStr"/>
      <c r="R1195" s="8" t="n"/>
      <c r="S1195" s="19" t="n"/>
      <c r="T1195" s="19" t="n"/>
      <c r="U1195" s="14" t="n">
        <v>46189</v>
      </c>
      <c r="V1195" s="7" t="inlineStr">
        <is>
          <t>v1-db41edab064373dd</t>
        </is>
      </c>
    </row>
    <row r="1196" ht="28" customHeight="1">
      <c r="A1196" s="12">
        <f>IF($L1196="applied","Applied",IF($L1196="interview","Interview",IF($L1196="offer","Offer",IF($L1196="rejected","Rejected",IF($L1196="ignore","Ignore",IF($L1196="archive","Archive",IF($L1196="closed","Closed",IF($B1196="","Unscored",IF(AND($B1196&gt;=8,OR($H1196="",$H1196-TODAY()&lt;=14)),"P1 Apply",IF($B1196&gt;=7,"P2 Strong",IF($B1196&gt;=5,"P3 Maybe","P4 Low")))))))))))</f>
        <v/>
      </c>
      <c r="B1196" s="13" t="n">
        <v>1</v>
      </c>
      <c r="C1196" s="12" t="inlineStr">
        <is>
          <t>Senior/Lead</t>
        </is>
      </c>
      <c r="D1196" s="8" t="inlineStr">
        <is>
          <t>Senior ML Systems Engineer</t>
        </is>
      </c>
      <c r="E1196" s="7" t="inlineStr">
        <is>
          <t>Cerebras</t>
        </is>
      </c>
      <c r="F1196" s="8" t="inlineStr">
        <is>
          <t>Sunnyvale CA or Toronto Canada</t>
        </is>
      </c>
      <c r="G1196" s="8" t="n"/>
      <c r="H1196" s="14" t="n"/>
      <c r="I1196" s="15">
        <f>IF($H1196="","",$H1196-TODAY())</f>
        <v/>
      </c>
      <c r="J1196" s="16" t="inlineStr">
        <is>
          <t>Open posting</t>
        </is>
      </c>
      <c r="K1196" s="8" t="inlineStr">
        <is>
          <t>filtered by keyword pre-scan</t>
        </is>
      </c>
      <c r="L1196" s="17" t="inlineStr">
        <is>
          <t>new</t>
        </is>
      </c>
      <c r="M1196" s="18" t="inlineStr"/>
      <c r="N1196" s="7" t="inlineStr">
        <is>
          <t>4bec3822c2ec8b870b78d8d47084b521ce353a97</t>
        </is>
      </c>
      <c r="O1196" s="14" t="n">
        <v>46175</v>
      </c>
      <c r="P1196" s="7" t="inlineStr">
        <is>
          <t>greenhouse:cerebrassystems</t>
        </is>
      </c>
      <c r="Q1196" s="8" t="inlineStr"/>
      <c r="R1196" s="8" t="n"/>
      <c r="S1196" s="19" t="n"/>
      <c r="T1196" s="19" t="n"/>
      <c r="U1196" s="14" t="n">
        <v>46189</v>
      </c>
      <c r="V1196" s="7" t="inlineStr">
        <is>
          <t>v1-db41edab064373dd</t>
        </is>
      </c>
    </row>
    <row r="1197" ht="28" customHeight="1">
      <c r="A1197" s="12">
        <f>IF($L1197="applied","Applied",IF($L1197="interview","Interview",IF($L1197="offer","Offer",IF($L1197="rejected","Rejected",IF($L1197="ignore","Ignore",IF($L1197="archive","Archive",IF($L1197="closed","Closed",IF($B1197="","Unscored",IF(AND($B1197&gt;=8,OR($H1197="",$H1197-TODAY()&lt;=14)),"P1 Apply",IF($B1197&gt;=7,"P2 Strong",IF($B1197&gt;=5,"P3 Maybe","P4 Low")))))))))))</f>
        <v/>
      </c>
      <c r="B1197" s="13" t="n">
        <v>1</v>
      </c>
      <c r="C1197" s="12" t="inlineStr">
        <is>
          <t>Senior/Lead</t>
        </is>
      </c>
      <c r="D1197" s="8" t="inlineStr">
        <is>
          <t>Senior Performance Engineer, Inference</t>
        </is>
      </c>
      <c r="E1197" s="7" t="inlineStr">
        <is>
          <t>Cerebras</t>
        </is>
      </c>
      <c r="F1197" s="8" t="inlineStr">
        <is>
          <t>Sunnyvale, CA</t>
        </is>
      </c>
      <c r="G1197" s="8" t="n"/>
      <c r="H1197" s="14" t="n"/>
      <c r="I1197" s="15">
        <f>IF($H1197="","",$H1197-TODAY())</f>
        <v/>
      </c>
      <c r="J1197" s="16" t="inlineStr">
        <is>
          <t>Open posting</t>
        </is>
      </c>
      <c r="K1197" s="8" t="inlineStr">
        <is>
          <t>filtered by keyword pre-scan</t>
        </is>
      </c>
      <c r="L1197" s="17" t="inlineStr">
        <is>
          <t>new</t>
        </is>
      </c>
      <c r="M1197" s="18" t="inlineStr"/>
      <c r="N1197" s="7" t="inlineStr">
        <is>
          <t>c15cce2a42125a3d7be1cc2abc1bd331c3b9dacf</t>
        </is>
      </c>
      <c r="O1197" s="14" t="n">
        <v>46175</v>
      </c>
      <c r="P1197" s="7" t="inlineStr">
        <is>
          <t>greenhouse:cerebrassystems</t>
        </is>
      </c>
      <c r="Q1197" s="8" t="inlineStr"/>
      <c r="R1197" s="8" t="n"/>
      <c r="S1197" s="19" t="n"/>
      <c r="T1197" s="19" t="n"/>
      <c r="U1197" s="14" t="n">
        <v>46189</v>
      </c>
      <c r="V1197" s="7" t="inlineStr">
        <is>
          <t>v1-db41edab064373dd</t>
        </is>
      </c>
    </row>
    <row r="1198" ht="28" customHeight="1">
      <c r="A1198" s="12">
        <f>IF($L1198="applied","Applied",IF($L1198="interview","Interview",IF($L1198="offer","Offer",IF($L1198="rejected","Rejected",IF($L1198="ignore","Ignore",IF($L1198="archive","Archive",IF($L1198="closed","Closed",IF($B1198="","Unscored",IF(AND($B1198&gt;=8,OR($H1198="",$H1198-TODAY()&lt;=14)),"P1 Apply",IF($B1198&gt;=7,"P2 Strong",IF($B1198&gt;=5,"P3 Maybe","P4 Low")))))))))))</f>
        <v/>
      </c>
      <c r="B1198" s="13" t="n">
        <v>1</v>
      </c>
      <c r="C1198" s="12" t="inlineStr">
        <is>
          <t>Senior/Lead</t>
        </is>
      </c>
      <c r="D1198" s="8" t="inlineStr">
        <is>
          <t>Senior Product Marketing Manager, AI Inference</t>
        </is>
      </c>
      <c r="E1198" s="7" t="inlineStr">
        <is>
          <t>Cerebras</t>
        </is>
      </c>
      <c r="F1198" s="8" t="inlineStr">
        <is>
          <t>Sunnyvale, CA</t>
        </is>
      </c>
      <c r="G1198" s="8" t="n"/>
      <c r="H1198" s="14" t="n"/>
      <c r="I1198" s="15">
        <f>IF($H1198="","",$H1198-TODAY())</f>
        <v/>
      </c>
      <c r="J1198" s="16" t="inlineStr">
        <is>
          <t>Open posting</t>
        </is>
      </c>
      <c r="K1198" s="8" t="inlineStr">
        <is>
          <t>filtered by keyword pre-scan</t>
        </is>
      </c>
      <c r="L1198" s="17" t="inlineStr">
        <is>
          <t>new</t>
        </is>
      </c>
      <c r="M1198" s="18" t="inlineStr"/>
      <c r="N1198" s="7" t="inlineStr">
        <is>
          <t>302556154c050de7206b83f0c3227b2f93ef73b3</t>
        </is>
      </c>
      <c r="O1198" s="14" t="n">
        <v>46175</v>
      </c>
      <c r="P1198" s="7" t="inlineStr">
        <is>
          <t>greenhouse:cerebrassystems</t>
        </is>
      </c>
      <c r="Q1198" s="8" t="inlineStr"/>
      <c r="R1198" s="8" t="n"/>
      <c r="S1198" s="19" t="n"/>
      <c r="T1198" s="19" t="n"/>
      <c r="U1198" s="14" t="n">
        <v>46189</v>
      </c>
      <c r="V1198" s="7" t="inlineStr">
        <is>
          <t>v1-db41edab064373dd</t>
        </is>
      </c>
    </row>
    <row r="1199" ht="28" customHeight="1">
      <c r="A1199" s="12">
        <f>IF($L1199="applied","Applied",IF($L1199="interview","Interview",IF($L1199="offer","Offer",IF($L1199="rejected","Rejected",IF($L1199="ignore","Ignore",IF($L1199="archive","Archive",IF($L1199="closed","Closed",IF($B1199="","Unscored",IF(AND($B1199&gt;=8,OR($H1199="",$H1199-TODAY()&lt;=14)),"P1 Apply",IF($B1199&gt;=7,"P2 Strong",IF($B1199&gt;=5,"P3 Maybe","P4 Low")))))))))))</f>
        <v/>
      </c>
      <c r="B1199" s="13" t="n">
        <v>1</v>
      </c>
      <c r="C1199" s="12" t="inlineStr">
        <is>
          <t>Senior/Lead</t>
        </is>
      </c>
      <c r="D1199" s="8" t="inlineStr">
        <is>
          <t>Senior Quality Engineer</t>
        </is>
      </c>
      <c r="E1199" s="7" t="inlineStr">
        <is>
          <t>Cerebras</t>
        </is>
      </c>
      <c r="F1199" s="8" t="inlineStr">
        <is>
          <t>Sunnyvale, CA</t>
        </is>
      </c>
      <c r="G1199" s="8" t="n"/>
      <c r="H1199" s="14" t="n"/>
      <c r="I1199" s="15">
        <f>IF($H1199="","",$H1199-TODAY())</f>
        <v/>
      </c>
      <c r="J1199" s="16" t="inlineStr">
        <is>
          <t>Open posting</t>
        </is>
      </c>
      <c r="K1199" s="8" t="inlineStr">
        <is>
          <t>filtered by keyword pre-scan</t>
        </is>
      </c>
      <c r="L1199" s="17" t="inlineStr">
        <is>
          <t>new</t>
        </is>
      </c>
      <c r="M1199" s="18" t="inlineStr"/>
      <c r="N1199" s="7" t="inlineStr">
        <is>
          <t>059416b9e1356349ad79b72536a53bdd6c56a92d</t>
        </is>
      </c>
      <c r="O1199" s="14" t="n">
        <v>46176</v>
      </c>
      <c r="P1199" s="7" t="inlineStr">
        <is>
          <t>greenhouse:cerebrassystems</t>
        </is>
      </c>
      <c r="Q1199" s="8" t="inlineStr"/>
      <c r="R1199" s="8" t="n"/>
      <c r="S1199" s="19" t="n"/>
      <c r="T1199" s="19" t="n"/>
      <c r="U1199" s="14" t="n">
        <v>46189</v>
      </c>
      <c r="V1199" s="7" t="inlineStr">
        <is>
          <t>v1-db41edab064373dd</t>
        </is>
      </c>
    </row>
    <row r="1200" ht="28" customHeight="1">
      <c r="A1200" s="12">
        <f>IF($L1200="applied","Applied",IF($L1200="interview","Interview",IF($L1200="offer","Offer",IF($L1200="rejected","Rejected",IF($L1200="ignore","Ignore",IF($L1200="archive","Archive",IF($L1200="closed","Closed",IF($B1200="","Unscored",IF(AND($B1200&gt;=8,OR($H1200="",$H1200-TODAY()&lt;=14)),"P1 Apply",IF($B1200&gt;=7,"P2 Strong",IF($B1200&gt;=5,"P3 Maybe","P4 Low")))))))))))</f>
        <v/>
      </c>
      <c r="B1200" s="13" t="n">
        <v>1</v>
      </c>
      <c r="C1200" s="12" t="inlineStr">
        <is>
          <t>Senior/Lead</t>
        </is>
      </c>
      <c r="D1200" s="8" t="inlineStr">
        <is>
          <t>Senior Runtime Engineer</t>
        </is>
      </c>
      <c r="E1200" s="7" t="inlineStr">
        <is>
          <t>Cerebras</t>
        </is>
      </c>
      <c r="F1200" s="8" t="inlineStr">
        <is>
          <t>Sunnyvale CA or Toronto Canada</t>
        </is>
      </c>
      <c r="G1200" s="8" t="n"/>
      <c r="H1200" s="14" t="n"/>
      <c r="I1200" s="15">
        <f>IF($H1200="","",$H1200-TODAY())</f>
        <v/>
      </c>
      <c r="J1200" s="16" t="inlineStr">
        <is>
          <t>Open posting</t>
        </is>
      </c>
      <c r="K1200" s="8" t="inlineStr">
        <is>
          <t>filtered by keyword pre-scan</t>
        </is>
      </c>
      <c r="L1200" s="17" t="inlineStr">
        <is>
          <t>new</t>
        </is>
      </c>
      <c r="M1200" s="18" t="inlineStr"/>
      <c r="N1200" s="7" t="inlineStr">
        <is>
          <t>7891decbaed962bc30837d576eeda674004f12e2</t>
        </is>
      </c>
      <c r="O1200" s="14" t="n">
        <v>46175</v>
      </c>
      <c r="P1200" s="7" t="inlineStr">
        <is>
          <t>greenhouse:cerebrassystems</t>
        </is>
      </c>
      <c r="Q1200" s="8" t="inlineStr"/>
      <c r="R1200" s="8" t="n"/>
      <c r="S1200" s="19" t="n"/>
      <c r="T1200" s="19" t="n"/>
      <c r="U1200" s="14" t="n">
        <v>46189</v>
      </c>
      <c r="V1200" s="7" t="inlineStr">
        <is>
          <t>v1-db41edab064373dd</t>
        </is>
      </c>
    </row>
    <row r="1201" ht="28" customHeight="1">
      <c r="A1201" s="12">
        <f>IF($L1201="applied","Applied",IF($L1201="interview","Interview",IF($L1201="offer","Offer",IF($L1201="rejected","Rejected",IF($L1201="ignore","Ignore",IF($L1201="archive","Archive",IF($L1201="closed","Closed",IF($B1201="","Unscored",IF(AND($B1201&gt;=8,OR($H1201="",$H1201-TODAY()&lt;=14)),"P1 Apply",IF($B1201&gt;=7,"P2 Strong",IF($B1201&gt;=5,"P3 Maybe","P4 Low")))))))))))</f>
        <v/>
      </c>
      <c r="B1201" s="13" t="n">
        <v>1</v>
      </c>
      <c r="C1201" s="12" t="inlineStr">
        <is>
          <t>Senior/Lead</t>
        </is>
      </c>
      <c r="D1201" s="8" t="inlineStr">
        <is>
          <t>Senior/Staff Engineer : Post Silicon- Bring Up</t>
        </is>
      </c>
      <c r="E1201" s="7" t="inlineStr">
        <is>
          <t>Cerebras</t>
        </is>
      </c>
      <c r="F1201" s="8" t="inlineStr">
        <is>
          <t>Bengaluru, Karnataka, India; Sunnyvale, CA; Toronto, Ontario, Canada</t>
        </is>
      </c>
      <c r="G1201" s="8" t="n"/>
      <c r="H1201" s="14" t="n"/>
      <c r="I1201" s="15">
        <f>IF($H1201="","",$H1201-TODAY())</f>
        <v/>
      </c>
      <c r="J1201" s="16" t="inlineStr">
        <is>
          <t>Open posting</t>
        </is>
      </c>
      <c r="K1201" s="8" t="inlineStr">
        <is>
          <t>filtered by keyword pre-scan</t>
        </is>
      </c>
      <c r="L1201" s="17" t="inlineStr">
        <is>
          <t>new</t>
        </is>
      </c>
      <c r="M1201" s="18" t="inlineStr"/>
      <c r="N1201" s="7" t="inlineStr">
        <is>
          <t>0df7ad7cfadf7118d51e52a8123fe58f19594a21</t>
        </is>
      </c>
      <c r="O1201" s="14" t="n">
        <v>46175</v>
      </c>
      <c r="P1201" s="7" t="inlineStr">
        <is>
          <t>greenhouse:cerebrassystems</t>
        </is>
      </c>
      <c r="Q1201" s="8" t="inlineStr"/>
      <c r="R1201" s="8" t="n"/>
      <c r="S1201" s="19" t="n"/>
      <c r="T1201" s="19" t="n"/>
      <c r="U1201" s="14" t="n">
        <v>46189</v>
      </c>
      <c r="V1201" s="7" t="inlineStr">
        <is>
          <t>v1-db41edab064373dd</t>
        </is>
      </c>
    </row>
    <row r="1202" ht="28" customHeight="1">
      <c r="A1202" s="12">
        <f>IF($L1202="applied","Applied",IF($L1202="interview","Interview",IF($L1202="offer","Offer",IF($L1202="rejected","Rejected",IF($L1202="ignore","Ignore",IF($L1202="archive","Archive",IF($L1202="closed","Closed",IF($B1202="","Unscored",IF(AND($B1202&gt;=8,OR($H1202="",$H1202-TODAY()&lt;=14)),"P1 Apply",IF($B1202&gt;=7,"P2 Strong",IF($B1202&gt;=5,"P3 Maybe","P4 Low")))))))))))</f>
        <v/>
      </c>
      <c r="B1202" s="13" t="n">
        <v>1</v>
      </c>
      <c r="C1202" s="12" t="inlineStr">
        <is>
          <t>Senior/Lead</t>
        </is>
      </c>
      <c r="D1202" s="8" t="inlineStr">
        <is>
          <t>Senior/Staff- Engineer: Post Silicon- Bring Up</t>
        </is>
      </c>
      <c r="E1202" s="7" t="inlineStr">
        <is>
          <t>Cerebras</t>
        </is>
      </c>
      <c r="F1202" s="8" t="inlineStr">
        <is>
          <t>Bengaluru, Karnataka, India; Sunnyvale, CA; Toronto, Ontario, Canada</t>
        </is>
      </c>
      <c r="G1202" s="8" t="n"/>
      <c r="H1202" s="14" t="n"/>
      <c r="I1202" s="15">
        <f>IF($H1202="","",$H1202-TODAY())</f>
        <v/>
      </c>
      <c r="J1202" s="16" t="inlineStr">
        <is>
          <t>Open posting</t>
        </is>
      </c>
      <c r="K1202" s="8" t="inlineStr">
        <is>
          <t>filtered by keyword pre-scan</t>
        </is>
      </c>
      <c r="L1202" s="17" t="inlineStr">
        <is>
          <t>new</t>
        </is>
      </c>
      <c r="M1202" s="18" t="inlineStr"/>
      <c r="N1202" s="7" t="inlineStr">
        <is>
          <t>0b0c2f6ceec7604ac276735527385ce8e4cdd1f9</t>
        </is>
      </c>
      <c r="O1202" s="14" t="n">
        <v>46175</v>
      </c>
      <c r="P1202" s="7" t="inlineStr">
        <is>
          <t>greenhouse:cerebrassystems</t>
        </is>
      </c>
      <c r="Q1202" s="8" t="inlineStr"/>
      <c r="R1202" s="8" t="n"/>
      <c r="S1202" s="19" t="n"/>
      <c r="T1202" s="19" t="n"/>
      <c r="U1202" s="14" t="n">
        <v>46189</v>
      </c>
      <c r="V1202" s="7" t="inlineStr">
        <is>
          <t>v1-db41edab064373dd</t>
        </is>
      </c>
    </row>
    <row r="1203" ht="28" customHeight="1">
      <c r="A1203" s="12">
        <f>IF($L1203="applied","Applied",IF($L1203="interview","Interview",IF($L1203="offer","Offer",IF($L1203="rejected","Rejected",IF($L1203="ignore","Ignore",IF($L1203="archive","Archive",IF($L1203="closed","Closed",IF($B1203="","Unscored",IF(AND($B1203&gt;=8,OR($H1203="",$H1203-TODAY()&lt;=14)),"P1 Apply",IF($B1203&gt;=7,"P2 Strong",IF($B1203&gt;=5,"P3 Maybe","P4 Low")))))))))))</f>
        <v/>
      </c>
      <c r="B1203" s="13" t="n">
        <v>1</v>
      </c>
      <c r="C1203" s="12" t="inlineStr">
        <is>
          <t>Senior/Lead</t>
        </is>
      </c>
      <c r="D1203" s="8" t="inlineStr">
        <is>
          <t>Senior / Staff Technical Program Manager - Datacenter Capacity Delivery (E2E)</t>
        </is>
      </c>
      <c r="E1203" s="7" t="inlineStr">
        <is>
          <t>Cerebras</t>
        </is>
      </c>
      <c r="F1203" s="8" t="inlineStr">
        <is>
          <t>Europe; Remote, California, United States; Sunnyvale, CA; Toronto, Ontario, Canada</t>
        </is>
      </c>
      <c r="G1203" s="8" t="n"/>
      <c r="H1203" s="14" t="n"/>
      <c r="I1203" s="15">
        <f>IF($H1203="","",$H1203-TODAY())</f>
        <v/>
      </c>
      <c r="J1203" s="16" t="inlineStr">
        <is>
          <t>Open posting</t>
        </is>
      </c>
      <c r="K1203" s="8" t="inlineStr">
        <is>
          <t>filtered by keyword pre-scan</t>
        </is>
      </c>
      <c r="L1203" s="17" t="inlineStr">
        <is>
          <t>new</t>
        </is>
      </c>
      <c r="M1203" s="18" t="inlineStr"/>
      <c r="N1203" s="7" t="inlineStr">
        <is>
          <t>36f4e3ad6fe7083f8351efd2f68b1a0c46d164ac</t>
        </is>
      </c>
      <c r="O1203" s="14" t="n">
        <v>46181</v>
      </c>
      <c r="P1203" s="7" t="inlineStr">
        <is>
          <t>greenhouse:cerebrassystems</t>
        </is>
      </c>
      <c r="Q1203" s="8" t="inlineStr"/>
      <c r="R1203" s="8" t="n"/>
      <c r="S1203" s="19" t="n"/>
      <c r="T1203" s="19" t="n"/>
      <c r="U1203" s="14" t="n">
        <v>46189</v>
      </c>
      <c r="V1203" s="7" t="inlineStr">
        <is>
          <t>v1-db41edab064373dd</t>
        </is>
      </c>
    </row>
    <row r="1204" ht="28" customHeight="1">
      <c r="A1204" s="12">
        <f>IF($L1204="applied","Applied",IF($L1204="interview","Interview",IF($L1204="offer","Offer",IF($L1204="rejected","Rejected",IF($L1204="ignore","Ignore",IF($L1204="archive","Archive",IF($L1204="closed","Closed",IF($B1204="","Unscored",IF(AND($B1204&gt;=8,OR($H1204="",$H1204-TODAY()&lt;=14)),"P1 Apply",IF($B1204&gt;=7,"P2 Strong",IF($B1204&gt;=5,"P3 Maybe","P4 Low")))))))))))</f>
        <v/>
      </c>
      <c r="B1204" s="13" t="n">
        <v>1</v>
      </c>
      <c r="C1204" s="12" t="inlineStr">
        <is>
          <t>Senior/Lead</t>
        </is>
      </c>
      <c r="D1204" s="8" t="inlineStr">
        <is>
          <t>Senior Technical Program Manager – AI Infrastructure, Site Operations</t>
        </is>
      </c>
      <c r="E1204" s="7" t="inlineStr">
        <is>
          <t>Cerebras</t>
        </is>
      </c>
      <c r="F1204" s="8" t="inlineStr">
        <is>
          <t>Sunnyvale, CA</t>
        </is>
      </c>
      <c r="G1204" s="8" t="n"/>
      <c r="H1204" s="14" t="n"/>
      <c r="I1204" s="15">
        <f>IF($H1204="","",$H1204-TODAY())</f>
        <v/>
      </c>
      <c r="J1204" s="16" t="inlineStr">
        <is>
          <t>Open posting</t>
        </is>
      </c>
      <c r="K1204" s="8" t="inlineStr">
        <is>
          <t>filtered by keyword pre-scan</t>
        </is>
      </c>
      <c r="L1204" s="17" t="inlineStr">
        <is>
          <t>new</t>
        </is>
      </c>
      <c r="M1204" s="18" t="inlineStr"/>
      <c r="N1204" s="7" t="inlineStr">
        <is>
          <t>080287c5f60ce77759d1769af69af0c451819844</t>
        </is>
      </c>
      <c r="O1204" s="14" t="n">
        <v>46175</v>
      </c>
      <c r="P1204" s="7" t="inlineStr">
        <is>
          <t>greenhouse:cerebrassystems</t>
        </is>
      </c>
      <c r="Q1204" s="8" t="inlineStr"/>
      <c r="R1204" s="8" t="n"/>
      <c r="S1204" s="19" t="n"/>
      <c r="T1204" s="19" t="n"/>
      <c r="U1204" s="14" t="n">
        <v>46189</v>
      </c>
      <c r="V1204" s="7" t="inlineStr">
        <is>
          <t>v1-db41edab064373dd</t>
        </is>
      </c>
    </row>
    <row r="1205" ht="28" customHeight="1">
      <c r="A1205" s="12">
        <f>IF($L1205="applied","Applied",IF($L1205="interview","Interview",IF($L1205="offer","Offer",IF($L1205="rejected","Rejected",IF($L1205="ignore","Ignore",IF($L1205="archive","Archive",IF($L1205="closed","Closed",IF($B1205="","Unscored",IF(AND($B1205&gt;=8,OR($H1205="",$H1205-TODAY()&lt;=14)),"P1 Apply",IF($B1205&gt;=7,"P2 Strong",IF($B1205&gt;=5,"P3 Maybe","P4 Low")))))))))))</f>
        <v/>
      </c>
      <c r="B1205" s="13" t="n">
        <v>1</v>
      </c>
      <c r="C1205" s="12" t="inlineStr">
        <is>
          <t>Senior/Lead</t>
        </is>
      </c>
      <c r="D1205" s="8" t="inlineStr">
        <is>
          <t>Senior WAN Network Engineer</t>
        </is>
      </c>
      <c r="E1205" s="7" t="inlineStr">
        <is>
          <t>Cerebras</t>
        </is>
      </c>
      <c r="F1205" s="8" t="inlineStr">
        <is>
          <t>Sunnyvale, CA</t>
        </is>
      </c>
      <c r="G1205" s="8" t="n"/>
      <c r="H1205" s="14" t="n"/>
      <c r="I1205" s="15">
        <f>IF($H1205="","",$H1205-TODAY())</f>
        <v/>
      </c>
      <c r="J1205" s="16" t="inlineStr">
        <is>
          <t>Open posting</t>
        </is>
      </c>
      <c r="K1205" s="8" t="inlineStr">
        <is>
          <t>filtered by keyword pre-scan</t>
        </is>
      </c>
      <c r="L1205" s="17" t="inlineStr">
        <is>
          <t>new</t>
        </is>
      </c>
      <c r="M1205" s="18" t="inlineStr"/>
      <c r="N1205" s="7" t="inlineStr">
        <is>
          <t>989b21da8ffea176cd337817d75c5fbfb74084a9</t>
        </is>
      </c>
      <c r="O1205" s="14" t="n">
        <v>46175</v>
      </c>
      <c r="P1205" s="7" t="inlineStr">
        <is>
          <t>greenhouse:cerebrassystems</t>
        </is>
      </c>
      <c r="Q1205" s="8" t="inlineStr"/>
      <c r="R1205" s="8" t="n"/>
      <c r="S1205" s="19" t="n"/>
      <c r="T1205" s="19" t="n"/>
      <c r="U1205" s="14" t="n">
        <v>46189</v>
      </c>
      <c r="V1205" s="7" t="inlineStr">
        <is>
          <t>v1-db41edab064373dd</t>
        </is>
      </c>
    </row>
    <row r="1206" ht="28" customHeight="1">
      <c r="A1206" s="12">
        <f>IF($L1206="applied","Applied",IF($L1206="interview","Interview",IF($L1206="offer","Offer",IF($L1206="rejected","Rejected",IF($L1206="ignore","Ignore",IF($L1206="archive","Archive",IF($L1206="closed","Closed",IF($B1206="","Unscored",IF(AND($B1206&gt;=8,OR($H1206="",$H1206-TODAY()&lt;=14)),"P1 Apply",IF($B1206&gt;=7,"P2 Strong",IF($B1206&gt;=5,"P3 Maybe","P4 Low")))))))))))</f>
        <v/>
      </c>
      <c r="B1206" s="13" t="n">
        <v>1</v>
      </c>
      <c r="C1206" s="12" t="inlineStr">
        <is>
          <t>Senior/Lead</t>
        </is>
      </c>
      <c r="D1206" s="8" t="inlineStr">
        <is>
          <t>Senior Yield Enhancement Engineer</t>
        </is>
      </c>
      <c r="E1206" s="7" t="inlineStr">
        <is>
          <t>Cerebras</t>
        </is>
      </c>
      <c r="F1206" s="8" t="inlineStr">
        <is>
          <t>Sunnyvale, CA</t>
        </is>
      </c>
      <c r="G1206" s="8" t="n"/>
      <c r="H1206" s="14" t="n"/>
      <c r="I1206" s="15">
        <f>IF($H1206="","",$H1206-TODAY())</f>
        <v/>
      </c>
      <c r="J1206" s="16" t="inlineStr">
        <is>
          <t>Open posting</t>
        </is>
      </c>
      <c r="K1206" s="8" t="inlineStr">
        <is>
          <t>filtered by keyword pre-scan</t>
        </is>
      </c>
      <c r="L1206" s="17" t="inlineStr">
        <is>
          <t>new</t>
        </is>
      </c>
      <c r="M1206" s="18" t="inlineStr"/>
      <c r="N1206" s="7" t="inlineStr">
        <is>
          <t>91bf27cdcc212c8c4554b79e6b69b61cc8ec0c02</t>
        </is>
      </c>
      <c r="O1206" s="14" t="n">
        <v>46175</v>
      </c>
      <c r="P1206" s="7" t="inlineStr">
        <is>
          <t>greenhouse:cerebrassystems</t>
        </is>
      </c>
      <c r="Q1206" s="8" t="inlineStr"/>
      <c r="R1206" s="8" t="n"/>
      <c r="S1206" s="19" t="n"/>
      <c r="T1206" s="19" t="n"/>
      <c r="U1206" s="14" t="n">
        <v>46189</v>
      </c>
      <c r="V1206" s="7" t="inlineStr">
        <is>
          <t>v1-db41edab064373dd</t>
        </is>
      </c>
    </row>
    <row r="1207" ht="28" customHeight="1">
      <c r="A1207" s="12">
        <f>IF($L1207="applied","Applied",IF($L1207="interview","Interview",IF($L1207="offer","Offer",IF($L1207="rejected","Rejected",IF($L1207="ignore","Ignore",IF($L1207="archive","Archive",IF($L1207="closed","Closed",IF($B1207="","Unscored",IF(AND($B1207&gt;=8,OR($H1207="",$H1207-TODAY()&lt;=14)),"P1 Apply",IF($B1207&gt;=7,"P2 Strong",IF($B1207&gt;=5,"P3 Maybe","P4 Low")))))))))))</f>
        <v/>
      </c>
      <c r="B1207" s="13" t="n">
        <v>1</v>
      </c>
      <c r="C1207" s="12" t="inlineStr">
        <is>
          <t>Senior/Lead</t>
        </is>
      </c>
      <c r="D1207" s="8" t="inlineStr">
        <is>
          <t>Sr. Member of Technical Staff</t>
        </is>
      </c>
      <c r="E1207" s="7" t="inlineStr">
        <is>
          <t>Cerebras</t>
        </is>
      </c>
      <c r="F1207" s="8" t="inlineStr">
        <is>
          <t>Sunnyvale, CA</t>
        </is>
      </c>
      <c r="G1207" s="8" t="n"/>
      <c r="H1207" s="14" t="n"/>
      <c r="I1207" s="15">
        <f>IF($H1207="","",$H1207-TODAY())</f>
        <v/>
      </c>
      <c r="J1207" s="16" t="inlineStr">
        <is>
          <t>Open posting</t>
        </is>
      </c>
      <c r="K1207" s="8" t="inlineStr">
        <is>
          <t>filtered by keyword pre-scan</t>
        </is>
      </c>
      <c r="L1207" s="17" t="inlineStr">
        <is>
          <t>new</t>
        </is>
      </c>
      <c r="M1207" s="18" t="inlineStr"/>
      <c r="N1207" s="7" t="inlineStr">
        <is>
          <t>19c392f3ef55254dfe8cf4341ec3146083a0405a</t>
        </is>
      </c>
      <c r="O1207" s="14" t="n">
        <v>46175</v>
      </c>
      <c r="P1207" s="7" t="inlineStr">
        <is>
          <t>greenhouse:cerebrassystems</t>
        </is>
      </c>
      <c r="Q1207" s="8" t="inlineStr"/>
      <c r="R1207" s="8" t="n"/>
      <c r="S1207" s="19" t="n"/>
      <c r="T1207" s="19" t="n"/>
      <c r="U1207" s="14" t="n">
        <v>46189</v>
      </c>
      <c r="V1207" s="7" t="inlineStr">
        <is>
          <t>v1-db41edab064373dd</t>
        </is>
      </c>
    </row>
    <row r="1208" ht="28" customHeight="1">
      <c r="A1208" s="12">
        <f>IF($L1208="applied","Applied",IF($L1208="interview","Interview",IF($L1208="offer","Offer",IF($L1208="rejected","Rejected",IF($L1208="ignore","Ignore",IF($L1208="archive","Archive",IF($L1208="closed","Closed",IF($B1208="","Unscored",IF(AND($B1208&gt;=8,OR($H1208="",$H1208-TODAY()&lt;=14)),"P1 Apply",IF($B1208&gt;=7,"P2 Strong",IF($B1208&gt;=5,"P3 Maybe","P4 Low")))))))))))</f>
        <v/>
      </c>
      <c r="B1208" s="13" t="n">
        <v>1</v>
      </c>
      <c r="C1208" s="12" t="inlineStr">
        <is>
          <t>Senior/Lead</t>
        </is>
      </c>
      <c r="D1208" s="8" t="inlineStr">
        <is>
          <t>Sr. Staff/Staff Design Verification Engineer</t>
        </is>
      </c>
      <c r="E1208" s="7" t="inlineStr">
        <is>
          <t>Cerebras</t>
        </is>
      </c>
      <c r="F1208" s="8" t="inlineStr">
        <is>
          <t>Sunnyvale, CA</t>
        </is>
      </c>
      <c r="G1208" s="8" t="n"/>
      <c r="H1208" s="14" t="n"/>
      <c r="I1208" s="15">
        <f>IF($H1208="","",$H1208-TODAY())</f>
        <v/>
      </c>
      <c r="J1208" s="16" t="inlineStr">
        <is>
          <t>Open posting</t>
        </is>
      </c>
      <c r="K1208" s="8" t="inlineStr">
        <is>
          <t>filtered by keyword pre-scan</t>
        </is>
      </c>
      <c r="L1208" s="17" t="inlineStr">
        <is>
          <t>new</t>
        </is>
      </c>
      <c r="M1208" s="18" t="inlineStr"/>
      <c r="N1208" s="7" t="inlineStr">
        <is>
          <t>8b32348921c2d7ab9e15658e9c2e5644897a03b7</t>
        </is>
      </c>
      <c r="O1208" s="14" t="n">
        <v>46177</v>
      </c>
      <c r="P1208" s="7" t="inlineStr">
        <is>
          <t>greenhouse:cerebrassystems</t>
        </is>
      </c>
      <c r="Q1208" s="8" t="inlineStr"/>
      <c r="R1208" s="8" t="n"/>
      <c r="S1208" s="19" t="n"/>
      <c r="T1208" s="19" t="n"/>
      <c r="U1208" s="14" t="n">
        <v>46189</v>
      </c>
      <c r="V1208" s="7" t="inlineStr">
        <is>
          <t>v1-db41edab064373dd</t>
        </is>
      </c>
    </row>
    <row r="1209" ht="28" customHeight="1">
      <c r="A1209" s="12">
        <f>IF($L1209="applied","Applied",IF($L1209="interview","Interview",IF($L1209="offer","Offer",IF($L1209="rejected","Rejected",IF($L1209="ignore","Ignore",IF($L1209="archive","Archive",IF($L1209="closed","Closed",IF($B1209="","Unscored",IF(AND($B1209&gt;=8,OR($H1209="",$H1209-TODAY()&lt;=14)),"P1 Apply",IF($B1209&gt;=7,"P2 Strong",IF($B1209&gt;=5,"P3 Maybe","P4 Low")))))))))))</f>
        <v/>
      </c>
      <c r="B1209" s="13" t="n">
        <v>1</v>
      </c>
      <c r="C1209" s="12" t="inlineStr">
        <is>
          <t>Senior/Lead</t>
        </is>
      </c>
      <c r="D1209" s="8" t="inlineStr">
        <is>
          <t>Sr. Technical Staff</t>
        </is>
      </c>
      <c r="E1209" s="7" t="inlineStr">
        <is>
          <t>Cerebras</t>
        </is>
      </c>
      <c r="F1209" s="8" t="inlineStr">
        <is>
          <t>Sunnyvale, CA</t>
        </is>
      </c>
      <c r="G1209" s="8" t="n"/>
      <c r="H1209" s="14" t="n"/>
      <c r="I1209" s="15">
        <f>IF($H1209="","",$H1209-TODAY())</f>
        <v/>
      </c>
      <c r="J1209" s="16" t="inlineStr">
        <is>
          <t>Open posting</t>
        </is>
      </c>
      <c r="K1209" s="8" t="inlineStr">
        <is>
          <t>filtered by keyword pre-scan</t>
        </is>
      </c>
      <c r="L1209" s="17" t="inlineStr">
        <is>
          <t>new</t>
        </is>
      </c>
      <c r="M1209" s="18" t="inlineStr"/>
      <c r="N1209" s="7" t="inlineStr">
        <is>
          <t>d01dd220456e49f28eb9dd01a7766beecb0e3eee</t>
        </is>
      </c>
      <c r="O1209" s="14" t="n">
        <v>46175</v>
      </c>
      <c r="P1209" s="7" t="inlineStr">
        <is>
          <t>greenhouse:cerebrassystems</t>
        </is>
      </c>
      <c r="Q1209" s="8" t="inlineStr"/>
      <c r="R1209" s="8" t="n"/>
      <c r="S1209" s="19" t="n"/>
      <c r="T1209" s="19" t="n"/>
      <c r="U1209" s="14" t="n">
        <v>46189</v>
      </c>
      <c r="V1209" s="7" t="inlineStr">
        <is>
          <t>v1-db41edab064373dd</t>
        </is>
      </c>
    </row>
    <row r="1210" ht="28" customHeight="1">
      <c r="A1210" s="12">
        <f>IF($L1210="applied","Applied",IF($L1210="interview","Interview",IF($L1210="offer","Offer",IF($L1210="rejected","Rejected",IF($L1210="ignore","Ignore",IF($L1210="archive","Archive",IF($L1210="closed","Closed",IF($B1210="","Unscored",IF(AND($B1210&gt;=8,OR($H1210="",$H1210-TODAY()&lt;=14)),"P1 Apply",IF($B1210&gt;=7,"P2 Strong",IF($B1210&gt;=5,"P3 Maybe","P4 Low")))))))))))</f>
        <v/>
      </c>
      <c r="B1210" s="13" t="n">
        <v>1</v>
      </c>
      <c r="C1210" s="12" t="inlineStr">
        <is>
          <t>Senior/Lead</t>
        </is>
      </c>
      <c r="D1210" s="8" t="inlineStr">
        <is>
          <t>Staff Inference ML Runtime Engineer</t>
        </is>
      </c>
      <c r="E1210" s="7" t="inlineStr">
        <is>
          <t>Cerebras</t>
        </is>
      </c>
      <c r="F1210" s="8" t="inlineStr">
        <is>
          <t>Sunnyvale CA or Toronto Canada</t>
        </is>
      </c>
      <c r="G1210" s="8" t="n"/>
      <c r="H1210" s="14" t="n"/>
      <c r="I1210" s="15">
        <f>IF($H1210="","",$H1210-TODAY())</f>
        <v/>
      </c>
      <c r="J1210" s="16" t="inlineStr">
        <is>
          <t>Open posting</t>
        </is>
      </c>
      <c r="K1210" s="8" t="inlineStr">
        <is>
          <t>filtered by keyword pre-scan</t>
        </is>
      </c>
      <c r="L1210" s="17" t="inlineStr">
        <is>
          <t>new</t>
        </is>
      </c>
      <c r="M1210" s="18" t="inlineStr"/>
      <c r="N1210" s="7" t="inlineStr">
        <is>
          <t>1a1984b4e7766d996dc8cbfe489121589513d510</t>
        </is>
      </c>
      <c r="O1210" s="14" t="n">
        <v>46175</v>
      </c>
      <c r="P1210" s="7" t="inlineStr">
        <is>
          <t>greenhouse:cerebrassystems</t>
        </is>
      </c>
      <c r="Q1210" s="8" t="inlineStr"/>
      <c r="R1210" s="8" t="n"/>
      <c r="S1210" s="19" t="n"/>
      <c r="T1210" s="19" t="n"/>
      <c r="U1210" s="14" t="n">
        <v>46189</v>
      </c>
      <c r="V1210" s="7" t="inlineStr">
        <is>
          <t>v1-db41edab064373dd</t>
        </is>
      </c>
    </row>
    <row r="1211" ht="28" customHeight="1">
      <c r="A1211" s="12">
        <f>IF($L1211="applied","Applied",IF($L1211="interview","Interview",IF($L1211="offer","Offer",IF($L1211="rejected","Rejected",IF($L1211="ignore","Ignore",IF($L1211="archive","Archive",IF($L1211="closed","Closed",IF($B1211="","Unscored",IF(AND($B1211&gt;=8,OR($H1211="",$H1211-TODAY()&lt;=14)),"P1 Apply",IF($B1211&gt;=7,"P2 Strong",IF($B1211&gt;=5,"P3 Maybe","P4 Low")))))))))))</f>
        <v/>
      </c>
      <c r="B1211" s="13" t="n">
        <v>1</v>
      </c>
      <c r="C1211" s="12" t="inlineStr">
        <is>
          <t>Senior/Lead</t>
        </is>
      </c>
      <c r="D1211" s="8" t="inlineStr">
        <is>
          <t>Staff Kernel Optimzation Engineer</t>
        </is>
      </c>
      <c r="E1211" s="7" t="inlineStr">
        <is>
          <t>Cerebras</t>
        </is>
      </c>
      <c r="F1211" s="8" t="inlineStr">
        <is>
          <t>Remote, California, United States</t>
        </is>
      </c>
      <c r="G1211" s="8" t="n"/>
      <c r="H1211" s="14" t="n"/>
      <c r="I1211" s="15">
        <f>IF($H1211="","",$H1211-TODAY())</f>
        <v/>
      </c>
      <c r="J1211" s="16" t="inlineStr">
        <is>
          <t>Open posting</t>
        </is>
      </c>
      <c r="K1211" s="8" t="inlineStr">
        <is>
          <t>filtered by keyword pre-scan</t>
        </is>
      </c>
      <c r="L1211" s="17" t="inlineStr">
        <is>
          <t>new</t>
        </is>
      </c>
      <c r="M1211" s="18" t="inlineStr"/>
      <c r="N1211" s="7" t="inlineStr">
        <is>
          <t>1928cf66ea8d503fb648ca26da405e0823da60ef</t>
        </is>
      </c>
      <c r="O1211" s="14" t="n">
        <v>46175</v>
      </c>
      <c r="P1211" s="7" t="inlineStr">
        <is>
          <t>greenhouse:cerebrassystems</t>
        </is>
      </c>
      <c r="Q1211" s="8" t="inlineStr"/>
      <c r="R1211" s="8" t="n"/>
      <c r="S1211" s="19" t="n"/>
      <c r="T1211" s="19" t="n"/>
      <c r="U1211" s="14" t="n">
        <v>46189</v>
      </c>
      <c r="V1211" s="7" t="inlineStr">
        <is>
          <t>v1-db41edab064373dd</t>
        </is>
      </c>
    </row>
    <row r="1212" ht="28" customHeight="1">
      <c r="A1212" s="12">
        <f>IF($L1212="applied","Applied",IF($L1212="interview","Interview",IF($L1212="offer","Offer",IF($L1212="rejected","Rejected",IF($L1212="ignore","Ignore",IF($L1212="archive","Archive",IF($L1212="closed","Closed",IF($B1212="","Unscored",IF(AND($B1212&gt;=8,OR($H1212="",$H1212-TODAY()&lt;=14)),"P1 Apply",IF($B1212&gt;=7,"P2 Strong",IF($B1212&gt;=5,"P3 Maybe","P4 Low")))))))))))</f>
        <v/>
      </c>
      <c r="B1212" s="13" t="n">
        <v>1</v>
      </c>
      <c r="C1212" s="12" t="inlineStr">
        <is>
          <t>Senior/Lead</t>
        </is>
      </c>
      <c r="D1212" s="8" t="inlineStr">
        <is>
          <t>Staff Python / PyTorch Developer — Frontend Inference Compiler – Dubai</t>
        </is>
      </c>
      <c r="E1212" s="7" t="inlineStr">
        <is>
          <t>Cerebras</t>
        </is>
      </c>
      <c r="F1212" s="8" t="inlineStr">
        <is>
          <t>Europe; Remote, California, United States; UAE</t>
        </is>
      </c>
      <c r="G1212" s="8" t="n"/>
      <c r="H1212" s="14" t="n"/>
      <c r="I1212" s="15">
        <f>IF($H1212="","",$H1212-TODAY())</f>
        <v/>
      </c>
      <c r="J1212" s="16" t="inlineStr">
        <is>
          <t>Open posting</t>
        </is>
      </c>
      <c r="K1212" s="8" t="inlineStr">
        <is>
          <t>filtered by keyword pre-scan</t>
        </is>
      </c>
      <c r="L1212" s="17" t="inlineStr">
        <is>
          <t>new</t>
        </is>
      </c>
      <c r="M1212" s="18" t="inlineStr"/>
      <c r="N1212" s="7" t="inlineStr">
        <is>
          <t>c6012e302ec2aa2e4476a248d0c8873eb38b94cd</t>
        </is>
      </c>
      <c r="O1212" s="14" t="n">
        <v>46175</v>
      </c>
      <c r="P1212" s="7" t="inlineStr">
        <is>
          <t>greenhouse:cerebrassystems</t>
        </is>
      </c>
      <c r="Q1212" s="8" t="inlineStr"/>
      <c r="R1212" s="8" t="n"/>
      <c r="S1212" s="19" t="n"/>
      <c r="T1212" s="19" t="n"/>
      <c r="U1212" s="14" t="n">
        <v>46189</v>
      </c>
      <c r="V1212" s="7" t="inlineStr">
        <is>
          <t>v1-db41edab064373dd</t>
        </is>
      </c>
    </row>
    <row r="1213" ht="28" customHeight="1">
      <c r="A1213" s="12">
        <f>IF($L1213="applied","Applied",IF($L1213="interview","Interview",IF($L1213="offer","Offer",IF($L1213="rejected","Rejected",IF($L1213="ignore","Ignore",IF($L1213="archive","Archive",IF($L1213="closed","Closed",IF($B1213="","Unscored",IF(AND($B1213&gt;=8,OR($H1213="",$H1213-TODAY()&lt;=14)),"P1 Apply",IF($B1213&gt;=7,"P2 Strong",IF($B1213&gt;=5,"P3 Maybe","P4 Low")))))))))))</f>
        <v/>
      </c>
      <c r="B1213" s="13" t="n">
        <v>1</v>
      </c>
      <c r="C1213" s="12" t="inlineStr">
        <is>
          <t>Senior/Lead</t>
        </is>
      </c>
      <c r="D1213" s="8" t="inlineStr">
        <is>
          <t>Staff Site Reliability Engineer – Automation and Platform</t>
        </is>
      </c>
      <c r="E1213" s="7" t="inlineStr">
        <is>
          <t>Cerebras</t>
        </is>
      </c>
      <c r="F1213" s="8" t="inlineStr">
        <is>
          <t>Remote, California, United States; Sunnyvale, CA; Toronto, Ontario, Canada</t>
        </is>
      </c>
      <c r="G1213" s="8" t="n"/>
      <c r="H1213" s="14" t="n"/>
      <c r="I1213" s="15">
        <f>IF($H1213="","",$H1213-TODAY())</f>
        <v/>
      </c>
      <c r="J1213" s="16" t="inlineStr">
        <is>
          <t>Open posting</t>
        </is>
      </c>
      <c r="K1213" s="8" t="inlineStr">
        <is>
          <t>filtered by keyword pre-scan</t>
        </is>
      </c>
      <c r="L1213" s="17" t="inlineStr">
        <is>
          <t>new</t>
        </is>
      </c>
      <c r="M1213" s="18" t="inlineStr"/>
      <c r="N1213" s="7" t="inlineStr">
        <is>
          <t>54fd6f38df15cef2444c3c322a72bb742d3d8122</t>
        </is>
      </c>
      <c r="O1213" s="14" t="n">
        <v>46175</v>
      </c>
      <c r="P1213" s="7" t="inlineStr">
        <is>
          <t>greenhouse:cerebrassystems</t>
        </is>
      </c>
      <c r="Q1213" s="8" t="inlineStr"/>
      <c r="R1213" s="8" t="n"/>
      <c r="S1213" s="19" t="n"/>
      <c r="T1213" s="19" t="n"/>
      <c r="U1213" s="14" t="n">
        <v>46189</v>
      </c>
      <c r="V1213" s="7" t="inlineStr">
        <is>
          <t>v1-db41edab064373dd</t>
        </is>
      </c>
    </row>
    <row r="1214" ht="28" customHeight="1">
      <c r="A1214" s="12">
        <f>IF($L1214="applied","Applied",IF($L1214="interview","Interview",IF($L1214="offer","Offer",IF($L1214="rejected","Rejected",IF($L1214="ignore","Ignore",IF($L1214="archive","Archive",IF($L1214="closed","Closed",IF($B1214="","Unscored",IF(AND($B1214&gt;=8,OR($H1214="",$H1214-TODAY()&lt;=14)),"P1 Apply",IF($B1214&gt;=7,"P2 Strong",IF($B1214&gt;=5,"P3 Maybe","P4 Low")))))))))))</f>
        <v/>
      </c>
      <c r="B1214" s="13" t="n">
        <v>1</v>
      </c>
      <c r="C1214" s="12" t="inlineStr">
        <is>
          <t>Senior/Lead</t>
        </is>
      </c>
      <c r="D1214" s="8" t="inlineStr">
        <is>
          <t>Staff Software Engineer, Inference Cloud</t>
        </is>
      </c>
      <c r="E1214" s="7" t="inlineStr">
        <is>
          <t>Cerebras</t>
        </is>
      </c>
      <c r="F1214" s="8" t="inlineStr">
        <is>
          <t>Sunnyvale, CA</t>
        </is>
      </c>
      <c r="G1214" s="8" t="n"/>
      <c r="H1214" s="14" t="n"/>
      <c r="I1214" s="15">
        <f>IF($H1214="","",$H1214-TODAY())</f>
        <v/>
      </c>
      <c r="J1214" s="16" t="inlineStr">
        <is>
          <t>Open posting</t>
        </is>
      </c>
      <c r="K1214" s="8" t="inlineStr">
        <is>
          <t>filtered by keyword pre-scan</t>
        </is>
      </c>
      <c r="L1214" s="17" t="inlineStr">
        <is>
          <t>new</t>
        </is>
      </c>
      <c r="M1214" s="18" t="inlineStr"/>
      <c r="N1214" s="7" t="inlineStr">
        <is>
          <t>4ba39762eeded629012c8da5336777c4a8255f28</t>
        </is>
      </c>
      <c r="O1214" s="14" t="n">
        <v>46175</v>
      </c>
      <c r="P1214" s="7" t="inlineStr">
        <is>
          <t>greenhouse:cerebrassystems</t>
        </is>
      </c>
      <c r="Q1214" s="8" t="inlineStr"/>
      <c r="R1214" s="8" t="n"/>
      <c r="S1214" s="19" t="n"/>
      <c r="T1214" s="19" t="n"/>
      <c r="U1214" s="14" t="n">
        <v>46189</v>
      </c>
      <c r="V1214" s="7" t="inlineStr">
        <is>
          <t>v1-db41edab064373dd</t>
        </is>
      </c>
    </row>
    <row r="1215" ht="28" customHeight="1">
      <c r="A1215" s="12">
        <f>IF($L1215="applied","Applied",IF($L1215="interview","Interview",IF($L1215="offer","Offer",IF($L1215="rejected","Rejected",IF($L1215="ignore","Ignore",IF($L1215="archive","Archive",IF($L1215="closed","Closed",IF($B1215="","Unscored",IF(AND($B1215&gt;=8,OR($H1215="",$H1215-TODAY()&lt;=14)),"P1 Apply",IF($B1215&gt;=7,"P2 Strong",IF($B1215&gt;=5,"P3 Maybe","P4 Low")))))))))))</f>
        <v/>
      </c>
      <c r="B1215" s="13" t="n">
        <v>1</v>
      </c>
      <c r="C1215" s="12" t="inlineStr">
        <is>
          <t>Senior/Lead</t>
        </is>
      </c>
      <c r="D1215" s="8" t="inlineStr">
        <is>
          <t>Performance benchmarking and Infrastructure Engineer to Senior Engineer</t>
        </is>
      </c>
      <c r="E1215" s="7" t="inlineStr">
        <is>
          <t>SiFive</t>
        </is>
      </c>
      <c r="F1215" s="8" t="inlineStr">
        <is>
          <t>Hsinchu, Taiwan</t>
        </is>
      </c>
      <c r="G1215" s="8" t="n"/>
      <c r="H1215" s="14" t="n"/>
      <c r="I1215" s="15">
        <f>IF($H1215="","",$H1215-TODAY())</f>
        <v/>
      </c>
      <c r="J1215" s="16" t="inlineStr">
        <is>
          <t>Open posting</t>
        </is>
      </c>
      <c r="K1215" s="8" t="inlineStr">
        <is>
          <t>filtered by keyword pre-scan</t>
        </is>
      </c>
      <c r="L1215" s="17" t="inlineStr">
        <is>
          <t>new</t>
        </is>
      </c>
      <c r="M1215" s="18" t="inlineStr"/>
      <c r="N1215" s="7" t="inlineStr">
        <is>
          <t>ce6db45c4c9472645ecb61ee4658150f6bf07372</t>
        </is>
      </c>
      <c r="O1215" s="14" t="n"/>
      <c r="P1215" s="7" t="inlineStr">
        <is>
          <t>workday</t>
        </is>
      </c>
      <c r="Q1215" s="8" t="inlineStr"/>
      <c r="R1215" s="8" t="n"/>
      <c r="S1215" s="19" t="n"/>
      <c r="T1215" s="19" t="n"/>
      <c r="U1215" s="14" t="n">
        <v>46189</v>
      </c>
      <c r="V1215" s="7" t="inlineStr">
        <is>
          <t>v1-db41edab064373dd</t>
        </is>
      </c>
    </row>
    <row r="1216" ht="28" customHeight="1">
      <c r="A1216" s="12">
        <f>IF($L1216="applied","Applied",IF($L1216="interview","Interview",IF($L1216="offer","Offer",IF($L1216="rejected","Rejected",IF($L1216="ignore","Ignore",IF($L1216="archive","Archive",IF($L1216="closed","Closed",IF($B1216="","Unscored",IF(AND($B1216&gt;=8,OR($H1216="",$H1216-TODAY()&lt;=14)),"P1 Apply",IF($B1216&gt;=7,"P2 Strong",IF($B1216&gt;=5,"P3 Maybe","P4 Low")))))))))))</f>
        <v/>
      </c>
      <c r="B1216" s="13" t="n">
        <v>1</v>
      </c>
      <c r="C1216" s="12" t="inlineStr">
        <is>
          <t>Senior/Lead</t>
        </is>
      </c>
      <c r="D1216" s="8" t="inlineStr">
        <is>
          <t>Staff Engineer</t>
        </is>
      </c>
      <c r="E1216" s="7" t="inlineStr">
        <is>
          <t>SiFive</t>
        </is>
      </c>
      <c r="F1216" s="8" t="inlineStr">
        <is>
          <t>Ahmedabad, India</t>
        </is>
      </c>
      <c r="G1216" s="8" t="n"/>
      <c r="H1216" s="14" t="n"/>
      <c r="I1216" s="15">
        <f>IF($H1216="","",$H1216-TODAY())</f>
        <v/>
      </c>
      <c r="J1216" s="16" t="inlineStr">
        <is>
          <t>Open posting</t>
        </is>
      </c>
      <c r="K1216" s="8" t="inlineStr">
        <is>
          <t>filtered by keyword pre-scan</t>
        </is>
      </c>
      <c r="L1216" s="17" t="inlineStr">
        <is>
          <t>new</t>
        </is>
      </c>
      <c r="M1216" s="18" t="inlineStr"/>
      <c r="N1216" s="7" t="inlineStr">
        <is>
          <t>f02d902117875c91a35e68005839ba4ce4fab437</t>
        </is>
      </c>
      <c r="O1216" s="14" t="n"/>
      <c r="P1216" s="7" t="inlineStr">
        <is>
          <t>workday</t>
        </is>
      </c>
      <c r="Q1216" s="8" t="inlineStr"/>
      <c r="R1216" s="8" t="n"/>
      <c r="S1216" s="19" t="n"/>
      <c r="T1216" s="19" t="n"/>
      <c r="U1216" s="14" t="n">
        <v>46189</v>
      </c>
      <c r="V1216" s="7" t="inlineStr">
        <is>
          <t>v1-db41edab064373dd</t>
        </is>
      </c>
    </row>
    <row r="1217" ht="28" customHeight="1">
      <c r="A1217" s="12">
        <f>IF($L1217="applied","Applied",IF($L1217="interview","Interview",IF($L1217="offer","Offer",IF($L1217="rejected","Rejected",IF($L1217="ignore","Ignore",IF($L1217="archive","Archive",IF($L1217="closed","Closed",IF($B1217="","Unscored",IF(AND($B1217&gt;=8,OR($H1217="",$H1217-TODAY()&lt;=14)),"P1 Apply",IF($B1217&gt;=7,"P2 Strong",IF($B1217&gt;=5,"P3 Maybe","P4 Low")))))))))))</f>
        <v/>
      </c>
      <c r="B1217" s="13" t="n">
        <v>1</v>
      </c>
      <c r="C1217" s="12" t="inlineStr">
        <is>
          <t>Senior/Lead</t>
        </is>
      </c>
      <c r="D1217" s="8" t="inlineStr">
        <is>
          <t>Staff System Software Engineer</t>
        </is>
      </c>
      <c r="E1217" s="7" t="inlineStr">
        <is>
          <t>SiFive</t>
        </is>
      </c>
      <c r="F1217" s="8" t="inlineStr">
        <is>
          <t>Hsinchu, Taiwan</t>
        </is>
      </c>
      <c r="G1217" s="8" t="n"/>
      <c r="H1217" s="14" t="n"/>
      <c r="I1217" s="15">
        <f>IF($H1217="","",$H1217-TODAY())</f>
        <v/>
      </c>
      <c r="J1217" s="16" t="inlineStr">
        <is>
          <t>Open posting</t>
        </is>
      </c>
      <c r="K1217" s="8" t="inlineStr">
        <is>
          <t>filtered by keyword pre-scan</t>
        </is>
      </c>
      <c r="L1217" s="17" t="inlineStr">
        <is>
          <t>new</t>
        </is>
      </c>
      <c r="M1217" s="18" t="inlineStr"/>
      <c r="N1217" s="7" t="inlineStr">
        <is>
          <t>1a496848f5fe73ea1df3506440245fd88cb384a8</t>
        </is>
      </c>
      <c r="O1217" s="14" t="n"/>
      <c r="P1217" s="7" t="inlineStr">
        <is>
          <t>workday</t>
        </is>
      </c>
      <c r="Q1217" s="8" t="inlineStr"/>
      <c r="R1217" s="8" t="n"/>
      <c r="S1217" s="19" t="n"/>
      <c r="T1217" s="19" t="n"/>
      <c r="U1217" s="14" t="n">
        <v>46189</v>
      </c>
      <c r="V1217" s="7" t="inlineStr">
        <is>
          <t>v1-db41edab064373dd</t>
        </is>
      </c>
    </row>
    <row r="1218" ht="28" customHeight="1">
      <c r="A1218" s="12">
        <f>IF($L1218="applied","Applied",IF($L1218="interview","Interview",IF($L1218="offer","Offer",IF($L1218="rejected","Rejected",IF($L1218="ignore","Ignore",IF($L1218="archive","Archive",IF($L1218="closed","Closed",IF($B1218="","Unscored",IF(AND($B1218&gt;=8,OR($H1218="",$H1218-TODAY()&lt;=14)),"P1 Apply",IF($B1218&gt;=7,"P2 Strong",IF($B1218&gt;=5,"P3 Maybe","P4 Low")))))))))))</f>
        <v/>
      </c>
      <c r="B1218" s="13" t="n">
        <v>1</v>
      </c>
      <c r="C1218" s="12" t="inlineStr">
        <is>
          <t>Senior/Lead</t>
        </is>
      </c>
      <c r="D1218" s="8" t="inlineStr">
        <is>
          <t>Staff Design Verification Engineer</t>
        </is>
      </c>
      <c r="E1218" s="7" t="inlineStr">
        <is>
          <t>SiFive</t>
        </is>
      </c>
      <c r="F1218" s="8" t="inlineStr">
        <is>
          <t>Hsinchu, Taiwan</t>
        </is>
      </c>
      <c r="G1218" s="8" t="n"/>
      <c r="H1218" s="14" t="n"/>
      <c r="I1218" s="15">
        <f>IF($H1218="","",$H1218-TODAY())</f>
        <v/>
      </c>
      <c r="J1218" s="16" t="inlineStr">
        <is>
          <t>Open posting</t>
        </is>
      </c>
      <c r="K1218" s="8" t="inlineStr">
        <is>
          <t>filtered by keyword pre-scan</t>
        </is>
      </c>
      <c r="L1218" s="17" t="inlineStr">
        <is>
          <t>new</t>
        </is>
      </c>
      <c r="M1218" s="18" t="inlineStr"/>
      <c r="N1218" s="7" t="inlineStr">
        <is>
          <t>d898322c40338c2bd9b618096000343a6e2f1243</t>
        </is>
      </c>
      <c r="O1218" s="14" t="n"/>
      <c r="P1218" s="7" t="inlineStr">
        <is>
          <t>workday</t>
        </is>
      </c>
      <c r="Q1218" s="8" t="inlineStr"/>
      <c r="R1218" s="8" t="n"/>
      <c r="S1218" s="19" t="n"/>
      <c r="T1218" s="19" t="n"/>
      <c r="U1218" s="14" t="n">
        <v>46189</v>
      </c>
      <c r="V1218" s="7" t="inlineStr">
        <is>
          <t>v1-db41edab064373dd</t>
        </is>
      </c>
    </row>
    <row r="1219" ht="28" customHeight="1">
      <c r="A1219" s="12">
        <f>IF($L1219="applied","Applied",IF($L1219="interview","Interview",IF($L1219="offer","Offer",IF($L1219="rejected","Rejected",IF($L1219="ignore","Ignore",IF($L1219="archive","Archive",IF($L1219="closed","Closed",IF($B1219="","Unscored",IF(AND($B1219&gt;=8,OR($H1219="",$H1219-TODAY()&lt;=14)),"P1 Apply",IF($B1219&gt;=7,"P2 Strong",IF($B1219&gt;=5,"P3 Maybe","P4 Low")))))))))))</f>
        <v/>
      </c>
      <c r="B1219" s="13" t="n">
        <v>1</v>
      </c>
      <c r="C1219" s="12" t="inlineStr">
        <is>
          <t>Senior/Lead</t>
        </is>
      </c>
      <c r="D1219" s="8" t="inlineStr">
        <is>
          <t>Director of Licensing</t>
        </is>
      </c>
      <c r="E1219" s="7" t="inlineStr">
        <is>
          <t>SiFive</t>
        </is>
      </c>
      <c r="F1219" s="8" t="inlineStr">
        <is>
          <t>2 Locations</t>
        </is>
      </c>
      <c r="G1219" s="8" t="n"/>
      <c r="H1219" s="14" t="n"/>
      <c r="I1219" s="15">
        <f>IF($H1219="","",$H1219-TODAY())</f>
        <v/>
      </c>
      <c r="J1219" s="16" t="inlineStr">
        <is>
          <t>Open posting</t>
        </is>
      </c>
      <c r="K1219" s="8" t="inlineStr">
        <is>
          <t>filtered by keyword pre-scan</t>
        </is>
      </c>
      <c r="L1219" s="17" t="inlineStr">
        <is>
          <t>new</t>
        </is>
      </c>
      <c r="M1219" s="18" t="inlineStr"/>
      <c r="N1219" s="7" t="inlineStr">
        <is>
          <t>bfe3798e256c66c01e2219edaa83b9107803639f</t>
        </is>
      </c>
      <c r="O1219" s="14" t="n"/>
      <c r="P1219" s="7" t="inlineStr">
        <is>
          <t>workday</t>
        </is>
      </c>
      <c r="Q1219" s="8" t="inlineStr"/>
      <c r="R1219" s="8" t="n"/>
      <c r="S1219" s="19" t="n"/>
      <c r="T1219" s="19" t="n"/>
      <c r="U1219" s="14" t="n">
        <v>46189</v>
      </c>
      <c r="V1219" s="7" t="inlineStr">
        <is>
          <t>v1-db41edab064373dd</t>
        </is>
      </c>
    </row>
    <row r="1220" ht="28" customHeight="1">
      <c r="A1220" s="12">
        <f>IF($L1220="applied","Applied",IF($L1220="interview","Interview",IF($L1220="offer","Offer",IF($L1220="rejected","Rejected",IF($L1220="ignore","Ignore",IF($L1220="archive","Archive",IF($L1220="closed","Closed",IF($B1220="","Unscored",IF(AND($B1220&gt;=8,OR($H1220="",$H1220-TODAY()&lt;=14)),"P1 Apply",IF($B1220&gt;=7,"P2 Strong",IF($B1220&gt;=5,"P3 Maybe","P4 Low")))))))))))</f>
        <v/>
      </c>
      <c r="B1220" s="13" t="n">
        <v>1</v>
      </c>
      <c r="C1220" s="12" t="inlineStr">
        <is>
          <t>Senior/Lead</t>
        </is>
      </c>
      <c r="D1220" s="8" t="inlineStr">
        <is>
          <t>Staff Design Verification Infrastructure Engineer - VIPs and Testbench</t>
        </is>
      </c>
      <c r="E1220" s="7" t="inlineStr">
        <is>
          <t>SiFive</t>
        </is>
      </c>
      <c r="F1220" s="8" t="inlineStr">
        <is>
          <t>Bengaluru, Karnataka, India</t>
        </is>
      </c>
      <c r="G1220" s="8" t="n"/>
      <c r="H1220" s="14" t="n"/>
      <c r="I1220" s="15">
        <f>IF($H1220="","",$H1220-TODAY())</f>
        <v/>
      </c>
      <c r="J1220" s="16" t="inlineStr">
        <is>
          <t>Open posting</t>
        </is>
      </c>
      <c r="K1220" s="8" t="inlineStr">
        <is>
          <t>filtered by keyword pre-scan</t>
        </is>
      </c>
      <c r="L1220" s="17" t="inlineStr">
        <is>
          <t>new</t>
        </is>
      </c>
      <c r="M1220" s="18" t="inlineStr"/>
      <c r="N1220" s="7" t="inlineStr">
        <is>
          <t>f34ed680f8df966a68ad7e8081bcfc38bdc05263</t>
        </is>
      </c>
      <c r="O1220" s="14" t="n"/>
      <c r="P1220" s="7" t="inlineStr">
        <is>
          <t>workday</t>
        </is>
      </c>
      <c r="Q1220" s="8" t="inlineStr"/>
      <c r="R1220" s="8" t="n"/>
      <c r="S1220" s="19" t="n"/>
      <c r="T1220" s="19" t="n"/>
      <c r="U1220" s="14" t="n">
        <v>46189</v>
      </c>
      <c r="V1220" s="7" t="inlineStr">
        <is>
          <t>v1-db41edab064373dd</t>
        </is>
      </c>
    </row>
    <row r="1221" ht="28" customHeight="1">
      <c r="A1221" s="12">
        <f>IF($L1221="applied","Applied",IF($L1221="interview","Interview",IF($L1221="offer","Offer",IF($L1221="rejected","Rejected",IF($L1221="ignore","Ignore",IF($L1221="archive","Archive",IF($L1221="closed","Closed",IF($B1221="","Unscored",IF(AND($B1221&gt;=8,OR($H1221="",$H1221-TODAY()&lt;=14)),"P1 Apply",IF($B1221&gt;=7,"P2 Strong",IF($B1221&gt;=5,"P3 Maybe","P4 Low")))))))))))</f>
        <v/>
      </c>
      <c r="B1221" s="13" t="n">
        <v>1</v>
      </c>
      <c r="C1221" s="12" t="inlineStr">
        <is>
          <t>Senior/Lead</t>
        </is>
      </c>
      <c r="D1221" s="8" t="inlineStr">
        <is>
          <t>Staff Design Verification Infrastructure Engineer - VIPs and Testbench</t>
        </is>
      </c>
      <c r="E1221" s="7" t="inlineStr">
        <is>
          <t>SiFive</t>
        </is>
      </c>
      <c r="F1221" s="8" t="inlineStr">
        <is>
          <t>Bengaluru, Karnataka, India</t>
        </is>
      </c>
      <c r="G1221" s="8" t="n"/>
      <c r="H1221" s="14" t="n"/>
      <c r="I1221" s="15">
        <f>IF($H1221="","",$H1221-TODAY())</f>
        <v/>
      </c>
      <c r="J1221" s="16" t="inlineStr">
        <is>
          <t>Open posting</t>
        </is>
      </c>
      <c r="K1221" s="8" t="inlineStr">
        <is>
          <t>filtered by keyword pre-scan</t>
        </is>
      </c>
      <c r="L1221" s="17" t="inlineStr">
        <is>
          <t>new</t>
        </is>
      </c>
      <c r="M1221" s="18" t="inlineStr"/>
      <c r="N1221" s="7" t="inlineStr">
        <is>
          <t>02fbbb4f2dae02c29778a21cb88776954a289ef8</t>
        </is>
      </c>
      <c r="O1221" s="14" t="n"/>
      <c r="P1221" s="7" t="inlineStr">
        <is>
          <t>workday</t>
        </is>
      </c>
      <c r="Q1221" s="8" t="inlineStr"/>
      <c r="R1221" s="8" t="n"/>
      <c r="S1221" s="19" t="n"/>
      <c r="T1221" s="19" t="n"/>
      <c r="U1221" s="14" t="n">
        <v>46189</v>
      </c>
      <c r="V1221" s="7" t="inlineStr">
        <is>
          <t>v1-db41edab064373dd</t>
        </is>
      </c>
    </row>
    <row r="1222" ht="28" customHeight="1">
      <c r="A1222" s="12">
        <f>IF($L1222="applied","Applied",IF($L1222="interview","Interview",IF($L1222="offer","Offer",IF($L1222="rejected","Rejected",IF($L1222="ignore","Ignore",IF($L1222="archive","Archive",IF($L1222="closed","Closed",IF($B1222="","Unscored",IF(AND($B1222&gt;=8,OR($H1222="",$H1222-TODAY()&lt;=14)),"P1 Apply",IF($B1222&gt;=7,"P2 Strong",IF($B1222&gt;=5,"P3 Maybe","P4 Low")))))))))))</f>
        <v/>
      </c>
      <c r="B1222" s="13" t="n">
        <v>1</v>
      </c>
      <c r="C1222" s="12" t="inlineStr">
        <is>
          <t>Senior/Lead</t>
        </is>
      </c>
      <c r="D1222" s="8" t="inlineStr">
        <is>
          <t>Staff Engineer for RAS</t>
        </is>
      </c>
      <c r="E1222" s="7" t="inlineStr">
        <is>
          <t>SiFive</t>
        </is>
      </c>
      <c r="F1222" s="8" t="inlineStr">
        <is>
          <t>Bengaluru, Karnataka, India</t>
        </is>
      </c>
      <c r="G1222" s="8" t="n"/>
      <c r="H1222" s="14" t="n"/>
      <c r="I1222" s="15">
        <f>IF($H1222="","",$H1222-TODAY())</f>
        <v/>
      </c>
      <c r="J1222" s="16" t="inlineStr">
        <is>
          <t>Open posting</t>
        </is>
      </c>
      <c r="K1222" s="8" t="inlineStr">
        <is>
          <t>filtered by keyword pre-scan</t>
        </is>
      </c>
      <c r="L1222" s="17" t="inlineStr">
        <is>
          <t>new</t>
        </is>
      </c>
      <c r="M1222" s="18" t="inlineStr"/>
      <c r="N1222" s="7" t="inlineStr">
        <is>
          <t>0e04534458c95a7a2aee75c68e4aec3cc5c7c8fd</t>
        </is>
      </c>
      <c r="O1222" s="14" t="n"/>
      <c r="P1222" s="7" t="inlineStr">
        <is>
          <t>workday</t>
        </is>
      </c>
      <c r="Q1222" s="8" t="inlineStr"/>
      <c r="R1222" s="8" t="n"/>
      <c r="S1222" s="19" t="n"/>
      <c r="T1222" s="19" t="n"/>
      <c r="U1222" s="14" t="n">
        <v>46189</v>
      </c>
      <c r="V1222" s="7" t="inlineStr">
        <is>
          <t>v1-db41edab064373dd</t>
        </is>
      </c>
    </row>
    <row r="1223" ht="28" customHeight="1">
      <c r="A1223" s="12">
        <f>IF($L1223="applied","Applied",IF($L1223="interview","Interview",IF($L1223="offer","Offer",IF($L1223="rejected","Rejected",IF($L1223="ignore","Ignore",IF($L1223="archive","Archive",IF($L1223="closed","Closed",IF($B1223="","Unscored",IF(AND($B1223&gt;=8,OR($H1223="",$H1223-TODAY()&lt;=14)),"P1 Apply",IF($B1223&gt;=7,"P2 Strong",IF($B1223&gt;=5,"P3 Maybe","P4 Low")))))))))))</f>
        <v/>
      </c>
      <c r="B1223" s="13" t="n">
        <v>1</v>
      </c>
      <c r="C1223" s="12" t="inlineStr">
        <is>
          <t>Senior/Lead</t>
        </is>
      </c>
      <c r="D1223" s="8" t="inlineStr">
        <is>
          <t>Staff Design Verification Engineer – Coherent Interconnect</t>
        </is>
      </c>
      <c r="E1223" s="7" t="inlineStr">
        <is>
          <t>SiFive</t>
        </is>
      </c>
      <c r="F1223" s="8" t="inlineStr">
        <is>
          <t>2 Locations</t>
        </is>
      </c>
      <c r="G1223" s="8" t="n"/>
      <c r="H1223" s="14" t="n"/>
      <c r="I1223" s="15">
        <f>IF($H1223="","",$H1223-TODAY())</f>
        <v/>
      </c>
      <c r="J1223" s="16" t="inlineStr">
        <is>
          <t>Open posting</t>
        </is>
      </c>
      <c r="K1223" s="8" t="inlineStr">
        <is>
          <t>filtered by keyword pre-scan</t>
        </is>
      </c>
      <c r="L1223" s="17" t="inlineStr">
        <is>
          <t>new</t>
        </is>
      </c>
      <c r="M1223" s="18" t="inlineStr"/>
      <c r="N1223" s="7" t="inlineStr">
        <is>
          <t>72168f7dedee1a203c9657f7e5fbc03ebdcd3a52</t>
        </is>
      </c>
      <c r="O1223" s="14" t="n"/>
      <c r="P1223" s="7" t="inlineStr">
        <is>
          <t>workday</t>
        </is>
      </c>
      <c r="Q1223" s="8" t="inlineStr"/>
      <c r="R1223" s="8" t="n"/>
      <c r="S1223" s="19" t="n"/>
      <c r="T1223" s="19" t="n"/>
      <c r="U1223" s="14" t="n">
        <v>46189</v>
      </c>
      <c r="V1223" s="7" t="inlineStr">
        <is>
          <t>v1-db41edab064373dd</t>
        </is>
      </c>
    </row>
    <row r="1224" ht="28" customHeight="1">
      <c r="A1224" s="12">
        <f>IF($L1224="applied","Applied",IF($L1224="interview","Interview",IF($L1224="offer","Offer",IF($L1224="rejected","Rejected",IF($L1224="ignore","Ignore",IF($L1224="archive","Archive",IF($L1224="closed","Closed",IF($B1224="","Unscored",IF(AND($B1224&gt;=8,OR($H1224="",$H1224-TODAY()&lt;=14)),"P1 Apply",IF($B1224&gt;=7,"P2 Strong",IF($B1224&gt;=5,"P3 Maybe","P4 Low")))))))))))</f>
        <v/>
      </c>
      <c r="B1224" s="13" t="n">
        <v>1</v>
      </c>
      <c r="C1224" s="12" t="inlineStr">
        <is>
          <t>Senior/Lead</t>
        </is>
      </c>
      <c r="D1224" s="8" t="inlineStr">
        <is>
          <t>Senior Engineer, PPA Analytics &amp; CAD</t>
        </is>
      </c>
      <c r="E1224" s="7" t="inlineStr">
        <is>
          <t>SiFive</t>
        </is>
      </c>
      <c r="F1224" s="8" t="inlineStr">
        <is>
          <t>Bengaluru, Karnataka, India</t>
        </is>
      </c>
      <c r="G1224" s="8" t="n"/>
      <c r="H1224" s="14" t="n"/>
      <c r="I1224" s="15">
        <f>IF($H1224="","",$H1224-TODAY())</f>
        <v/>
      </c>
      <c r="J1224" s="16" t="inlineStr">
        <is>
          <t>Open posting</t>
        </is>
      </c>
      <c r="K1224" s="8" t="inlineStr">
        <is>
          <t>filtered by keyword pre-scan</t>
        </is>
      </c>
      <c r="L1224" s="17" t="inlineStr">
        <is>
          <t>new</t>
        </is>
      </c>
      <c r="M1224" s="18" t="inlineStr"/>
      <c r="N1224" s="7" t="inlineStr">
        <is>
          <t>329eef3154db166939281682e9fc540ea301067b</t>
        </is>
      </c>
      <c r="O1224" s="14" t="n"/>
      <c r="P1224" s="7" t="inlineStr">
        <is>
          <t>workday</t>
        </is>
      </c>
      <c r="Q1224" s="8" t="inlineStr"/>
      <c r="R1224" s="8" t="n"/>
      <c r="S1224" s="19" t="n"/>
      <c r="T1224" s="19" t="n"/>
      <c r="U1224" s="14" t="n">
        <v>46189</v>
      </c>
      <c r="V1224" s="7" t="inlineStr">
        <is>
          <t>v1-db41edab064373dd</t>
        </is>
      </c>
    </row>
    <row r="1225" ht="28" customHeight="1">
      <c r="A1225" s="12">
        <f>IF($L1225="applied","Applied",IF($L1225="interview","Interview",IF($L1225="offer","Offer",IF($L1225="rejected","Rejected",IF($L1225="ignore","Ignore",IF($L1225="archive","Archive",IF($L1225="closed","Closed",IF($B1225="","Unscored",IF(AND($B1225&gt;=8,OR($H1225="",$H1225-TODAY()&lt;=14)),"P1 Apply",IF($B1225&gt;=7,"P2 Strong",IF($B1225&gt;=5,"P3 Maybe","P4 Low")))))))))))</f>
        <v/>
      </c>
      <c r="B1225" s="13" t="n">
        <v>1</v>
      </c>
      <c r="C1225" s="12" t="inlineStr">
        <is>
          <t>Senior/Lead</t>
        </is>
      </c>
      <c r="D1225" s="8" t="inlineStr">
        <is>
          <t>Staff Engineer, Low Power Verification &amp; Formal Equivalence</t>
        </is>
      </c>
      <c r="E1225" s="7" t="inlineStr">
        <is>
          <t>SiFive</t>
        </is>
      </c>
      <c r="F1225" s="8" t="inlineStr">
        <is>
          <t>Bengaluru, Karnataka, India</t>
        </is>
      </c>
      <c r="G1225" s="8" t="n"/>
      <c r="H1225" s="14" t="n"/>
      <c r="I1225" s="15">
        <f>IF($H1225="","",$H1225-TODAY())</f>
        <v/>
      </c>
      <c r="J1225" s="16" t="inlineStr">
        <is>
          <t>Open posting</t>
        </is>
      </c>
      <c r="K1225" s="8" t="inlineStr">
        <is>
          <t>filtered by keyword pre-scan</t>
        </is>
      </c>
      <c r="L1225" s="17" t="inlineStr">
        <is>
          <t>new</t>
        </is>
      </c>
      <c r="M1225" s="18" t="inlineStr"/>
      <c r="N1225" s="7" t="inlineStr">
        <is>
          <t>221b68e73dd6ec7d3cb6af998dcc610543acbf08</t>
        </is>
      </c>
      <c r="O1225" s="14" t="n"/>
      <c r="P1225" s="7" t="inlineStr">
        <is>
          <t>workday</t>
        </is>
      </c>
      <c r="Q1225" s="8" t="inlineStr"/>
      <c r="R1225" s="8" t="n"/>
      <c r="S1225" s="19" t="n"/>
      <c r="T1225" s="19" t="n"/>
      <c r="U1225" s="14" t="n">
        <v>46189</v>
      </c>
      <c r="V1225" s="7" t="inlineStr">
        <is>
          <t>v1-db41edab064373dd</t>
        </is>
      </c>
    </row>
    <row r="1226" ht="28" customHeight="1">
      <c r="A1226" s="12">
        <f>IF($L1226="applied","Applied",IF($L1226="interview","Interview",IF($L1226="offer","Offer",IF($L1226="rejected","Rejected",IF($L1226="ignore","Ignore",IF($L1226="archive","Archive",IF($L1226="closed","Closed",IF($B1226="","Unscored",IF(AND($B1226&gt;=8,OR($H1226="",$H1226-TODAY()&lt;=14)),"P1 Apply",IF($B1226&gt;=7,"P2 Strong",IF($B1226&gt;=5,"P3 Maybe","P4 Low")))))))))))</f>
        <v/>
      </c>
      <c r="B1226" s="13" t="n">
        <v>1</v>
      </c>
      <c r="C1226" s="12" t="inlineStr">
        <is>
          <t>Senior/Lead</t>
        </is>
      </c>
      <c r="D1226" s="8" t="inlineStr">
        <is>
          <t>Staff Engineer, Physical Design - Caches</t>
        </is>
      </c>
      <c r="E1226" s="7" t="inlineStr">
        <is>
          <t>SiFive</t>
        </is>
      </c>
      <c r="F1226" s="8" t="inlineStr">
        <is>
          <t>Bengaluru, Karnataka, India</t>
        </is>
      </c>
      <c r="G1226" s="8" t="n"/>
      <c r="H1226" s="14" t="n"/>
      <c r="I1226" s="15">
        <f>IF($H1226="","",$H1226-TODAY())</f>
        <v/>
      </c>
      <c r="J1226" s="16" t="inlineStr">
        <is>
          <t>Open posting</t>
        </is>
      </c>
      <c r="K1226" s="8" t="inlineStr">
        <is>
          <t>filtered by keyword pre-scan</t>
        </is>
      </c>
      <c r="L1226" s="17" t="inlineStr">
        <is>
          <t>new</t>
        </is>
      </c>
      <c r="M1226" s="18" t="inlineStr"/>
      <c r="N1226" s="7" t="inlineStr">
        <is>
          <t>1e4e848c4d96c6e95c7f8e16d1e440eeb67b0760</t>
        </is>
      </c>
      <c r="O1226" s="14" t="n"/>
      <c r="P1226" s="7" t="inlineStr">
        <is>
          <t>workday</t>
        </is>
      </c>
      <c r="Q1226" s="8" t="inlineStr"/>
      <c r="R1226" s="8" t="n"/>
      <c r="S1226" s="19" t="n"/>
      <c r="T1226" s="19" t="n"/>
      <c r="U1226" s="14" t="n">
        <v>46189</v>
      </c>
      <c r="V1226" s="7" t="inlineStr">
        <is>
          <t>v1-db41edab064373dd</t>
        </is>
      </c>
    </row>
    <row r="1227" ht="28" customHeight="1">
      <c r="A1227" s="12">
        <f>IF($L1227="applied","Applied",IF($L1227="interview","Interview",IF($L1227="offer","Offer",IF($L1227="rejected","Rejected",IF($L1227="ignore","Ignore",IF($L1227="archive","Archive",IF($L1227="closed","Closed",IF($B1227="","Unscored",IF(AND($B1227&gt;=8,OR($H1227="",$H1227-TODAY()&lt;=14)),"P1 Apply",IF($B1227&gt;=7,"P2 Strong",IF($B1227&gt;=5,"P3 Maybe","P4 Low")))))))))))</f>
        <v/>
      </c>
      <c r="B1227" s="13" t="n">
        <v>1</v>
      </c>
      <c r="C1227" s="12" t="inlineStr">
        <is>
          <t>Senior/Lead</t>
        </is>
      </c>
      <c r="D1227" s="8" t="inlineStr">
        <is>
          <t>Senior Staff Engineer, Physical Design - NoC</t>
        </is>
      </c>
      <c r="E1227" s="7" t="inlineStr">
        <is>
          <t>SiFive</t>
        </is>
      </c>
      <c r="F1227" s="8" t="inlineStr">
        <is>
          <t>Bengaluru, Karnataka, India</t>
        </is>
      </c>
      <c r="G1227" s="8" t="n"/>
      <c r="H1227" s="14" t="n"/>
      <c r="I1227" s="15">
        <f>IF($H1227="","",$H1227-TODAY())</f>
        <v/>
      </c>
      <c r="J1227" s="16" t="inlineStr">
        <is>
          <t>Open posting</t>
        </is>
      </c>
      <c r="K1227" s="8" t="inlineStr">
        <is>
          <t>filtered by keyword pre-scan</t>
        </is>
      </c>
      <c r="L1227" s="17" t="inlineStr">
        <is>
          <t>new</t>
        </is>
      </c>
      <c r="M1227" s="18" t="inlineStr"/>
      <c r="N1227" s="7" t="inlineStr">
        <is>
          <t>42298c3a2ef616dbbe8d7e16311ee4f6ea53c28e</t>
        </is>
      </c>
      <c r="O1227" s="14" t="n"/>
      <c r="P1227" s="7" t="inlineStr">
        <is>
          <t>workday</t>
        </is>
      </c>
      <c r="Q1227" s="8" t="inlineStr"/>
      <c r="R1227" s="8" t="n"/>
      <c r="S1227" s="19" t="n"/>
      <c r="T1227" s="19" t="n"/>
      <c r="U1227" s="14" t="n">
        <v>46189</v>
      </c>
      <c r="V1227" s="7" t="inlineStr">
        <is>
          <t>v1-db41edab064373dd</t>
        </is>
      </c>
    </row>
    <row r="1228" ht="28" customHeight="1">
      <c r="A1228" s="12">
        <f>IF($L1228="applied","Applied",IF($L1228="interview","Interview",IF($L1228="offer","Offer",IF($L1228="rejected","Rejected",IF($L1228="ignore","Ignore",IF($L1228="archive","Archive",IF($L1228="closed","Closed",IF($B1228="","Unscored",IF(AND($B1228&gt;=8,OR($H1228="",$H1228-TODAY()&lt;=14)),"P1 Apply",IF($B1228&gt;=7,"P2 Strong",IF($B1228&gt;=5,"P3 Maybe","P4 Low")))))))))))</f>
        <v/>
      </c>
      <c r="B1228" s="13" t="n">
        <v>1</v>
      </c>
      <c r="C1228" s="12" t="inlineStr">
        <is>
          <t>Senior/Lead</t>
        </is>
      </c>
      <c r="D1228" s="8" t="inlineStr">
        <is>
          <t>Principal Design Verification Engineer – High Performance CPU Subsystem</t>
        </is>
      </c>
      <c r="E1228" s="7" t="inlineStr">
        <is>
          <t>SiFive</t>
        </is>
      </c>
      <c r="F1228" s="8" t="inlineStr">
        <is>
          <t>2 Locations</t>
        </is>
      </c>
      <c r="G1228" s="8" t="n"/>
      <c r="H1228" s="14" t="n"/>
      <c r="I1228" s="15">
        <f>IF($H1228="","",$H1228-TODAY())</f>
        <v/>
      </c>
      <c r="J1228" s="16" t="inlineStr">
        <is>
          <t>Open posting</t>
        </is>
      </c>
      <c r="K1228" s="8" t="inlineStr">
        <is>
          <t>filtered by keyword pre-scan</t>
        </is>
      </c>
      <c r="L1228" s="17" t="inlineStr">
        <is>
          <t>new</t>
        </is>
      </c>
      <c r="M1228" s="18" t="inlineStr"/>
      <c r="N1228" s="7" t="inlineStr">
        <is>
          <t>c82dfe33391e5fcc92e2e3e9d102156067768030</t>
        </is>
      </c>
      <c r="O1228" s="14" t="n"/>
      <c r="P1228" s="7" t="inlineStr">
        <is>
          <t>workday</t>
        </is>
      </c>
      <c r="Q1228" s="8" t="inlineStr"/>
      <c r="R1228" s="8" t="n"/>
      <c r="S1228" s="19" t="n"/>
      <c r="T1228" s="19" t="n"/>
      <c r="U1228" s="14" t="n">
        <v>46189</v>
      </c>
      <c r="V1228" s="7" t="inlineStr">
        <is>
          <t>v1-db41edab064373dd</t>
        </is>
      </c>
    </row>
    <row r="1229" ht="28" customHeight="1">
      <c r="A1229" s="12">
        <f>IF($L1229="applied","Applied",IF($L1229="interview","Interview",IF($L1229="offer","Offer",IF($L1229="rejected","Rejected",IF($L1229="ignore","Ignore",IF($L1229="archive","Archive",IF($L1229="closed","Closed",IF($B1229="","Unscored",IF(AND($B1229&gt;=8,OR($H1229="",$H1229-TODAY()&lt;=14)),"P1 Apply",IF($B1229&gt;=7,"P2 Strong",IF($B1229&gt;=5,"P3 Maybe","P4 Low")))))))))))</f>
        <v/>
      </c>
      <c r="B1229" s="13" t="n">
        <v>1</v>
      </c>
      <c r="C1229" s="12" t="inlineStr">
        <is>
          <t>Senior/Lead</t>
        </is>
      </c>
      <c r="D1229" s="8" t="inlineStr">
        <is>
          <t>Staff Design Verification Engineer – Coherent Interconnect</t>
        </is>
      </c>
      <c r="E1229" s="7" t="inlineStr">
        <is>
          <t>SiFive</t>
        </is>
      </c>
      <c r="F1229" s="8" t="inlineStr">
        <is>
          <t>2 Locations</t>
        </is>
      </c>
      <c r="G1229" s="8" t="n"/>
      <c r="H1229" s="14" t="n"/>
      <c r="I1229" s="15">
        <f>IF($H1229="","",$H1229-TODAY())</f>
        <v/>
      </c>
      <c r="J1229" s="16" t="inlineStr">
        <is>
          <t>Open posting</t>
        </is>
      </c>
      <c r="K1229" s="8" t="inlineStr">
        <is>
          <t>filtered by keyword pre-scan</t>
        </is>
      </c>
      <c r="L1229" s="17" t="inlineStr">
        <is>
          <t>new</t>
        </is>
      </c>
      <c r="M1229" s="18" t="inlineStr"/>
      <c r="N1229" s="7" t="inlineStr">
        <is>
          <t>540b063eec1b0bec6ca259b602dc420115e633c0</t>
        </is>
      </c>
      <c r="O1229" s="14" t="n"/>
      <c r="P1229" s="7" t="inlineStr">
        <is>
          <t>workday</t>
        </is>
      </c>
      <c r="Q1229" s="8" t="inlineStr"/>
      <c r="R1229" s="8" t="n"/>
      <c r="S1229" s="19" t="n"/>
      <c r="T1229" s="19" t="n"/>
      <c r="U1229" s="14" t="n">
        <v>46189</v>
      </c>
      <c r="V1229" s="7" t="inlineStr">
        <is>
          <t>v1-db41edab064373dd</t>
        </is>
      </c>
    </row>
    <row r="1230" ht="28" customHeight="1">
      <c r="A1230" s="12">
        <f>IF($L1230="applied","Applied",IF($L1230="interview","Interview",IF($L1230="offer","Offer",IF($L1230="rejected","Rejected",IF($L1230="ignore","Ignore",IF($L1230="archive","Archive",IF($L1230="closed","Closed",IF($B1230="","Unscored",IF(AND($B1230&gt;=8,OR($H1230="",$H1230-TODAY()&lt;=14)),"P1 Apply",IF($B1230&gt;=7,"P2 Strong",IF($B1230&gt;=5,"P3 Maybe","P4 Low")))))))))))</f>
        <v/>
      </c>
      <c r="B1230" s="13" t="n">
        <v>1</v>
      </c>
      <c r="C1230" s="12" t="inlineStr">
        <is>
          <t>Senior/Lead</t>
        </is>
      </c>
      <c r="D1230" s="8" t="inlineStr">
        <is>
          <t>Senior / Lead Design Verification Engineer (Formal &amp; Simulation)</t>
        </is>
      </c>
      <c r="E1230" s="7" t="inlineStr">
        <is>
          <t>SiFive</t>
        </is>
      </c>
      <c r="F1230" s="8" t="inlineStr">
        <is>
          <t>Ahmedabad, India</t>
        </is>
      </c>
      <c r="G1230" s="8" t="n"/>
      <c r="H1230" s="14" t="n"/>
      <c r="I1230" s="15">
        <f>IF($H1230="","",$H1230-TODAY())</f>
        <v/>
      </c>
      <c r="J1230" s="16" t="inlineStr">
        <is>
          <t>Open posting</t>
        </is>
      </c>
      <c r="K1230" s="8" t="inlineStr">
        <is>
          <t>filtered by keyword pre-scan</t>
        </is>
      </c>
      <c r="L1230" s="17" t="inlineStr">
        <is>
          <t>new</t>
        </is>
      </c>
      <c r="M1230" s="18" t="inlineStr"/>
      <c r="N1230" s="7" t="inlineStr">
        <is>
          <t>b2c5d5ac798909cdf9411d04783db4b6bc4e1b2d</t>
        </is>
      </c>
      <c r="O1230" s="14" t="n"/>
      <c r="P1230" s="7" t="inlineStr">
        <is>
          <t>workday</t>
        </is>
      </c>
      <c r="Q1230" s="8" t="inlineStr"/>
      <c r="R1230" s="8" t="n"/>
      <c r="S1230" s="19" t="n"/>
      <c r="T1230" s="19" t="n"/>
      <c r="U1230" s="14" t="n">
        <v>46189</v>
      </c>
      <c r="V1230" s="7" t="inlineStr">
        <is>
          <t>v1-db41edab064373dd</t>
        </is>
      </c>
    </row>
    <row r="1231" ht="28" customHeight="1">
      <c r="A1231" s="12">
        <f>IF($L1231="applied","Applied",IF($L1231="interview","Interview",IF($L1231="offer","Offer",IF($L1231="rejected","Rejected",IF($L1231="ignore","Ignore",IF($L1231="archive","Archive",IF($L1231="closed","Closed",IF($B1231="","Unscored",IF(AND($B1231&gt;=8,OR($H1231="",$H1231-TODAY()&lt;=14)),"P1 Apply",IF($B1231&gt;=7,"P2 Strong",IF($B1231&gt;=5,"P3 Maybe","P4 Low")))))))))))</f>
        <v/>
      </c>
      <c r="B1231" s="13" t="n">
        <v>1</v>
      </c>
      <c r="C1231" s="12" t="inlineStr">
        <is>
          <t>Senior/Lead</t>
        </is>
      </c>
      <c r="D1231" s="8" t="inlineStr">
        <is>
          <t>Senior / Staff Design Verification Engineer</t>
        </is>
      </c>
      <c r="E1231" s="7" t="inlineStr">
        <is>
          <t>SiFive</t>
        </is>
      </c>
      <c r="F1231" s="8" t="inlineStr">
        <is>
          <t>Ahmedabad, India</t>
        </is>
      </c>
      <c r="G1231" s="8" t="n"/>
      <c r="H1231" s="14" t="n"/>
      <c r="I1231" s="15">
        <f>IF($H1231="","",$H1231-TODAY())</f>
        <v/>
      </c>
      <c r="J1231" s="16" t="inlineStr">
        <is>
          <t>Open posting</t>
        </is>
      </c>
      <c r="K1231" s="8" t="inlineStr">
        <is>
          <t>filtered by keyword pre-scan</t>
        </is>
      </c>
      <c r="L1231" s="17" t="inlineStr">
        <is>
          <t>new</t>
        </is>
      </c>
      <c r="M1231" s="18" t="inlineStr"/>
      <c r="N1231" s="7" t="inlineStr">
        <is>
          <t>779369648ae714abf0f792fa37b6c84db24e4db4</t>
        </is>
      </c>
      <c r="O1231" s="14" t="n"/>
      <c r="P1231" s="7" t="inlineStr">
        <is>
          <t>workday</t>
        </is>
      </c>
      <c r="Q1231" s="8" t="inlineStr"/>
      <c r="R1231" s="8" t="n"/>
      <c r="S1231" s="19" t="n"/>
      <c r="T1231" s="19" t="n"/>
      <c r="U1231" s="14" t="n">
        <v>46189</v>
      </c>
      <c r="V1231" s="7" t="inlineStr">
        <is>
          <t>v1-db41edab064373dd</t>
        </is>
      </c>
    </row>
    <row r="1232" ht="28" customHeight="1">
      <c r="A1232" s="12">
        <f>IF($L1232="applied","Applied",IF($L1232="interview","Interview",IF($L1232="offer","Offer",IF($L1232="rejected","Rejected",IF($L1232="ignore","Ignore",IF($L1232="archive","Archive",IF($L1232="closed","Closed",IF($B1232="","Unscored",IF(AND($B1232&gt;=8,OR($H1232="",$H1232-TODAY()&lt;=14)),"P1 Apply",IF($B1232&gt;=7,"P2 Strong",IF($B1232&gt;=5,"P3 Maybe","P4 Low")))))))))))</f>
        <v/>
      </c>
      <c r="B1232" s="13" t="n">
        <v>1</v>
      </c>
      <c r="C1232" s="12" t="inlineStr">
        <is>
          <t>Senior/Lead</t>
        </is>
      </c>
      <c r="D1232" s="8" t="inlineStr">
        <is>
          <t>Senior Verification Engineer</t>
        </is>
      </c>
      <c r="E1232" s="7" t="inlineStr">
        <is>
          <t>SiFive</t>
        </is>
      </c>
      <c r="F1232" s="8" t="inlineStr">
        <is>
          <t>Hsinchu, Taiwan</t>
        </is>
      </c>
      <c r="G1232" s="8" t="n"/>
      <c r="H1232" s="14" t="n"/>
      <c r="I1232" s="15">
        <f>IF($H1232="","",$H1232-TODAY())</f>
        <v/>
      </c>
      <c r="J1232" s="16" t="inlineStr">
        <is>
          <t>Open posting</t>
        </is>
      </c>
      <c r="K1232" s="8" t="inlineStr">
        <is>
          <t>filtered by keyword pre-scan</t>
        </is>
      </c>
      <c r="L1232" s="17" t="inlineStr">
        <is>
          <t>new</t>
        </is>
      </c>
      <c r="M1232" s="18" t="inlineStr"/>
      <c r="N1232" s="7" t="inlineStr">
        <is>
          <t>aad384ca633a4db26ec94e63ff547243e17938d0</t>
        </is>
      </c>
      <c r="O1232" s="14" t="n"/>
      <c r="P1232" s="7" t="inlineStr">
        <is>
          <t>workday</t>
        </is>
      </c>
      <c r="Q1232" s="8" t="inlineStr"/>
      <c r="R1232" s="8" t="n"/>
      <c r="S1232" s="19" t="n"/>
      <c r="T1232" s="19" t="n"/>
      <c r="U1232" s="14" t="n">
        <v>46189</v>
      </c>
      <c r="V1232" s="7" t="inlineStr">
        <is>
          <t>v1-db41edab064373dd</t>
        </is>
      </c>
    </row>
    <row r="1233" ht="28" customHeight="1">
      <c r="A1233" s="12">
        <f>IF($L1233="applied","Applied",IF($L1233="interview","Interview",IF($L1233="offer","Offer",IF($L1233="rejected","Rejected",IF($L1233="ignore","Ignore",IF($L1233="archive","Archive",IF($L1233="closed","Closed",IF($B1233="","Unscored",IF(AND($B1233&gt;=8,OR($H1233="",$H1233-TODAY()&lt;=14)),"P1 Apply",IF($B1233&gt;=7,"P2 Strong",IF($B1233&gt;=5,"P3 Maybe","P4 Low")))))))))))</f>
        <v/>
      </c>
      <c r="B1233" s="13" t="n">
        <v>1</v>
      </c>
      <c r="C1233" s="12" t="inlineStr">
        <is>
          <t>Senior/Lead</t>
        </is>
      </c>
      <c r="D1233" s="8" t="inlineStr">
        <is>
          <t>Senior Software Engineer, Algorithms and Libraries of AI/ML/DSP</t>
        </is>
      </c>
      <c r="E1233" s="7" t="inlineStr">
        <is>
          <t>SiFive</t>
        </is>
      </c>
      <c r="F1233" s="8" t="inlineStr">
        <is>
          <t>Hsinchu, Taiwan</t>
        </is>
      </c>
      <c r="G1233" s="8" t="n"/>
      <c r="H1233" s="14" t="n"/>
      <c r="I1233" s="15">
        <f>IF($H1233="","",$H1233-TODAY())</f>
        <v/>
      </c>
      <c r="J1233" s="16" t="inlineStr">
        <is>
          <t>Open posting</t>
        </is>
      </c>
      <c r="K1233" s="8" t="inlineStr">
        <is>
          <t>filtered by keyword pre-scan</t>
        </is>
      </c>
      <c r="L1233" s="17" t="inlineStr">
        <is>
          <t>new</t>
        </is>
      </c>
      <c r="M1233" s="18" t="inlineStr"/>
      <c r="N1233" s="7" t="inlineStr">
        <is>
          <t>e024eb37225e90ec3cb089dbd5b861041cd61a88</t>
        </is>
      </c>
      <c r="O1233" s="14" t="n"/>
      <c r="P1233" s="7" t="inlineStr">
        <is>
          <t>workday</t>
        </is>
      </c>
      <c r="Q1233" s="8" t="inlineStr"/>
      <c r="R1233" s="8" t="n"/>
      <c r="S1233" s="19" t="n"/>
      <c r="T1233" s="19" t="n"/>
      <c r="U1233" s="14" t="n">
        <v>46189</v>
      </c>
      <c r="V1233" s="7" t="inlineStr">
        <is>
          <t>v1-db41edab064373dd</t>
        </is>
      </c>
    </row>
    <row r="1234" ht="28" customHeight="1">
      <c r="A1234" s="12">
        <f>IF($L1234="applied","Applied",IF($L1234="interview","Interview",IF($L1234="offer","Offer",IF($L1234="rejected","Rejected",IF($L1234="ignore","Ignore",IF($L1234="archive","Archive",IF($L1234="closed","Closed",IF($B1234="","Unscored",IF(AND($B1234&gt;=8,OR($H1234="",$H1234-TODAY()&lt;=14)),"P1 Apply",IF($B1234&gt;=7,"P2 Strong",IF($B1234&gt;=5,"P3 Maybe","P4 Low")))))))))))</f>
        <v/>
      </c>
      <c r="B1234" s="13" t="n">
        <v>1</v>
      </c>
      <c r="C1234" s="12" t="inlineStr">
        <is>
          <t>Senior/Lead</t>
        </is>
      </c>
      <c r="D1234" s="8" t="inlineStr">
        <is>
          <t>Staff Software Engineer, AI/ML Heterogeneous Systems</t>
        </is>
      </c>
      <c r="E1234" s="7" t="inlineStr">
        <is>
          <t>SiFive</t>
        </is>
      </c>
      <c r="F1234" s="8" t="inlineStr">
        <is>
          <t>Hsinchu, Taiwan</t>
        </is>
      </c>
      <c r="G1234" s="8" t="n"/>
      <c r="H1234" s="14" t="n"/>
      <c r="I1234" s="15">
        <f>IF($H1234="","",$H1234-TODAY())</f>
        <v/>
      </c>
      <c r="J1234" s="16" t="inlineStr">
        <is>
          <t>Open posting</t>
        </is>
      </c>
      <c r="K1234" s="8" t="inlineStr">
        <is>
          <t>filtered by keyword pre-scan</t>
        </is>
      </c>
      <c r="L1234" s="17" t="inlineStr">
        <is>
          <t>new</t>
        </is>
      </c>
      <c r="M1234" s="18" t="inlineStr"/>
      <c r="N1234" s="7" t="inlineStr">
        <is>
          <t>b4edce3360574b8b3b710b67b0df9f2fc190d9a4</t>
        </is>
      </c>
      <c r="O1234" s="14" t="n"/>
      <c r="P1234" s="7" t="inlineStr">
        <is>
          <t>workday</t>
        </is>
      </c>
      <c r="Q1234" s="8" t="inlineStr"/>
      <c r="R1234" s="8" t="n"/>
      <c r="S1234" s="19" t="n"/>
      <c r="T1234" s="19" t="n"/>
      <c r="U1234" s="14" t="n">
        <v>46189</v>
      </c>
      <c r="V1234" s="7" t="inlineStr">
        <is>
          <t>v1-db41edab064373dd</t>
        </is>
      </c>
    </row>
    <row r="1235" ht="28" customHeight="1">
      <c r="A1235" s="12">
        <f>IF($L1235="applied","Applied",IF($L1235="interview","Interview",IF($L1235="offer","Offer",IF($L1235="rejected","Rejected",IF($L1235="ignore","Ignore",IF($L1235="archive","Archive",IF($L1235="closed","Closed",IF($B1235="","Unscored",IF(AND($B1235&gt;=8,OR($H1235="",$H1235-TODAY()&lt;=14)),"P1 Apply",IF($B1235&gt;=7,"P2 Strong",IF($B1235&gt;=5,"P3 Maybe","P4 Low")))))))))))</f>
        <v/>
      </c>
      <c r="B1235" s="13" t="n">
        <v>1</v>
      </c>
      <c r="C1235" s="12" t="inlineStr">
        <is>
          <t>Senior/Lead</t>
        </is>
      </c>
      <c r="D1235" s="8" t="inlineStr">
        <is>
          <t>Senior Software Quality Assurance Engineer</t>
        </is>
      </c>
      <c r="E1235" s="7" t="inlineStr">
        <is>
          <t>SiFive</t>
        </is>
      </c>
      <c r="F1235" s="8" t="inlineStr">
        <is>
          <t>Hsinchu, Taiwan</t>
        </is>
      </c>
      <c r="G1235" s="8" t="n"/>
      <c r="H1235" s="14" t="n"/>
      <c r="I1235" s="15">
        <f>IF($H1235="","",$H1235-TODAY())</f>
        <v/>
      </c>
      <c r="J1235" s="16" t="inlineStr">
        <is>
          <t>Open posting</t>
        </is>
      </c>
      <c r="K1235" s="8" t="inlineStr">
        <is>
          <t>filtered by keyword pre-scan</t>
        </is>
      </c>
      <c r="L1235" s="17" t="inlineStr">
        <is>
          <t>new</t>
        </is>
      </c>
      <c r="M1235" s="18" t="inlineStr"/>
      <c r="N1235" s="7" t="inlineStr">
        <is>
          <t>0d245b03ca74c88e2ea2179eaa1d8d9cecf61bf6</t>
        </is>
      </c>
      <c r="O1235" s="14" t="n"/>
      <c r="P1235" s="7" t="inlineStr">
        <is>
          <t>workday</t>
        </is>
      </c>
      <c r="Q1235" s="8" t="inlineStr"/>
      <c r="R1235" s="8" t="n"/>
      <c r="S1235" s="19" t="n"/>
      <c r="T1235" s="19" t="n"/>
      <c r="U1235" s="14" t="n">
        <v>46189</v>
      </c>
      <c r="V1235" s="7" t="inlineStr">
        <is>
          <t>v1-db41edab064373dd</t>
        </is>
      </c>
    </row>
    <row r="1236" ht="28" customHeight="1">
      <c r="A1236" s="12">
        <f>IF($L1236="applied","Applied",IF($L1236="interview","Interview",IF($L1236="offer","Offer",IF($L1236="rejected","Rejected",IF($L1236="ignore","Ignore",IF($L1236="archive","Archive",IF($L1236="closed","Closed",IF($B1236="","Unscored",IF(AND($B1236&gt;=8,OR($H1236="",$H1236-TODAY()&lt;=14)),"P1 Apply",IF($B1236&gt;=7,"P2 Strong",IF($B1236&gt;=5,"P3 Maybe","P4 Low")))))))))))</f>
        <v/>
      </c>
      <c r="B1236" s="13" t="n">
        <v>1</v>
      </c>
      <c r="C1236" s="12" t="inlineStr">
        <is>
          <t>Senior/Lead</t>
        </is>
      </c>
      <c r="D1236" s="8" t="inlineStr">
        <is>
          <t>Staff Software Development Engineer in Test</t>
        </is>
      </c>
      <c r="E1236" s="7" t="inlineStr">
        <is>
          <t>SiFive</t>
        </is>
      </c>
      <c r="F1236" s="8" t="inlineStr">
        <is>
          <t>Hsinchu, Taiwan</t>
        </is>
      </c>
      <c r="G1236" s="8" t="n"/>
      <c r="H1236" s="14" t="n"/>
      <c r="I1236" s="15">
        <f>IF($H1236="","",$H1236-TODAY())</f>
        <v/>
      </c>
      <c r="J1236" s="16" t="inlineStr">
        <is>
          <t>Open posting</t>
        </is>
      </c>
      <c r="K1236" s="8" t="inlineStr">
        <is>
          <t>filtered by keyword pre-scan</t>
        </is>
      </c>
      <c r="L1236" s="17" t="inlineStr">
        <is>
          <t>new</t>
        </is>
      </c>
      <c r="M1236" s="18" t="inlineStr"/>
      <c r="N1236" s="7" t="inlineStr">
        <is>
          <t>8ba61d4a99ce4a030db8aa5a749099312a7be932</t>
        </is>
      </c>
      <c r="O1236" s="14" t="n"/>
      <c r="P1236" s="7" t="inlineStr">
        <is>
          <t>workday</t>
        </is>
      </c>
      <c r="Q1236" s="8" t="inlineStr"/>
      <c r="R1236" s="8" t="n"/>
      <c r="S1236" s="19" t="n"/>
      <c r="T1236" s="19" t="n"/>
      <c r="U1236" s="14" t="n">
        <v>46189</v>
      </c>
      <c r="V1236" s="7" t="inlineStr">
        <is>
          <t>v1-db41edab064373dd</t>
        </is>
      </c>
    </row>
    <row r="1237" ht="28" customHeight="1">
      <c r="A1237" s="12">
        <f>IF($L1237="applied","Applied",IF($L1237="interview","Interview",IF($L1237="offer","Offer",IF($L1237="rejected","Rejected",IF($L1237="ignore","Ignore",IF($L1237="archive","Archive",IF($L1237="closed","Closed",IF($B1237="","Unscored",IF(AND($B1237&gt;=8,OR($H1237="",$H1237-TODAY()&lt;=14)),"P1 Apply",IF($B1237&gt;=7,"P2 Strong",IF($B1237&gt;=5,"P3 Maybe","P4 Low")))))))))))</f>
        <v/>
      </c>
      <c r="B1237" s="13" t="n">
        <v>1</v>
      </c>
      <c r="C1237" s="12" t="inlineStr">
        <is>
          <t>Senior/Lead</t>
        </is>
      </c>
      <c r="D1237" s="8" t="inlineStr">
        <is>
          <t>System Validation Engineer to Staff Engineer</t>
        </is>
      </c>
      <c r="E1237" s="7" t="inlineStr">
        <is>
          <t>SiFive</t>
        </is>
      </c>
      <c r="F1237" s="8" t="inlineStr">
        <is>
          <t>Hsinchu, Taiwan</t>
        </is>
      </c>
      <c r="G1237" s="8" t="n"/>
      <c r="H1237" s="14" t="n"/>
      <c r="I1237" s="15">
        <f>IF($H1237="","",$H1237-TODAY())</f>
        <v/>
      </c>
      <c r="J1237" s="16" t="inlineStr">
        <is>
          <t>Open posting</t>
        </is>
      </c>
      <c r="K1237" s="8" t="inlineStr">
        <is>
          <t>filtered by keyword pre-scan</t>
        </is>
      </c>
      <c r="L1237" s="17" t="inlineStr">
        <is>
          <t>new</t>
        </is>
      </c>
      <c r="M1237" s="18" t="inlineStr"/>
      <c r="N1237" s="7" t="inlineStr">
        <is>
          <t>f34f0c48c6758ca227ec9c2eafb43cbacea4616f</t>
        </is>
      </c>
      <c r="O1237" s="14" t="n"/>
      <c r="P1237" s="7" t="inlineStr">
        <is>
          <t>workday</t>
        </is>
      </c>
      <c r="Q1237" s="8" t="inlineStr"/>
      <c r="R1237" s="8" t="n"/>
      <c r="S1237" s="19" t="n"/>
      <c r="T1237" s="19" t="n"/>
      <c r="U1237" s="14" t="n">
        <v>46189</v>
      </c>
      <c r="V1237" s="7" t="inlineStr">
        <is>
          <t>v1-db41edab064373dd</t>
        </is>
      </c>
    </row>
    <row r="1238" ht="28" customHeight="1">
      <c r="A1238" s="12">
        <f>IF($L1238="applied","Applied",IF($L1238="interview","Interview",IF($L1238="offer","Offer",IF($L1238="rejected","Rejected",IF($L1238="ignore","Ignore",IF($L1238="archive","Archive",IF($L1238="closed","Closed",IF($B1238="","Unscored",IF(AND($B1238&gt;=8,OR($H1238="",$H1238-TODAY()&lt;=14)),"P1 Apply",IF($B1238&gt;=7,"P2 Strong",IF($B1238&gt;=5,"P3 Maybe","P4 Low")))))))))))</f>
        <v/>
      </c>
      <c r="B1238" s="13" t="n">
        <v>1</v>
      </c>
      <c r="C1238" s="12" t="inlineStr">
        <is>
          <t>Senior/Lead</t>
        </is>
      </c>
      <c r="D1238" s="8" t="inlineStr">
        <is>
          <t>Principal Verification Engineer</t>
        </is>
      </c>
      <c r="E1238" s="7" t="inlineStr">
        <is>
          <t>SiFive</t>
        </is>
      </c>
      <c r="F1238" s="8" t="inlineStr">
        <is>
          <t>2 Locations</t>
        </is>
      </c>
      <c r="G1238" s="8" t="n"/>
      <c r="H1238" s="14" t="n"/>
      <c r="I1238" s="15">
        <f>IF($H1238="","",$H1238-TODAY())</f>
        <v/>
      </c>
      <c r="J1238" s="16" t="inlineStr">
        <is>
          <t>Open posting</t>
        </is>
      </c>
      <c r="K1238" s="8" t="inlineStr">
        <is>
          <t>filtered by keyword pre-scan</t>
        </is>
      </c>
      <c r="L1238" s="17" t="inlineStr">
        <is>
          <t>new</t>
        </is>
      </c>
      <c r="M1238" s="18" t="inlineStr"/>
      <c r="N1238" s="7" t="inlineStr">
        <is>
          <t>84aa44311f52b135705cc582d0f860e17a6b0767</t>
        </is>
      </c>
      <c r="O1238" s="14" t="n"/>
      <c r="P1238" s="7" t="inlineStr">
        <is>
          <t>workday</t>
        </is>
      </c>
      <c r="Q1238" s="8" t="inlineStr"/>
      <c r="R1238" s="8" t="n"/>
      <c r="S1238" s="19" t="n"/>
      <c r="T1238" s="19" t="n"/>
      <c r="U1238" s="14" t="n">
        <v>46189</v>
      </c>
      <c r="V1238" s="7" t="inlineStr">
        <is>
          <t>v1-db41edab064373dd</t>
        </is>
      </c>
    </row>
    <row r="1239" ht="28" customHeight="1">
      <c r="A1239" s="12">
        <f>IF($L1239="applied","Applied",IF($L1239="interview","Interview",IF($L1239="offer","Offer",IF($L1239="rejected","Rejected",IF($L1239="ignore","Ignore",IF($L1239="archive","Archive",IF($L1239="closed","Closed",IF($B1239="","Unscored",IF(AND($B1239&gt;=8,OR($H1239="",$H1239-TODAY()&lt;=14)),"P1 Apply",IF($B1239&gt;=7,"P2 Strong",IF($B1239&gt;=5,"P3 Maybe","P4 Low")))))))))))</f>
        <v/>
      </c>
      <c r="B1239" s="13" t="n">
        <v>1</v>
      </c>
      <c r="C1239" s="12" t="inlineStr">
        <is>
          <t>Senior/Lead</t>
        </is>
      </c>
      <c r="D1239" s="8" t="inlineStr">
        <is>
          <t>Staff Verification Engineer</t>
        </is>
      </c>
      <c r="E1239" s="7" t="inlineStr">
        <is>
          <t>SiFive</t>
        </is>
      </c>
      <c r="F1239" s="8" t="inlineStr">
        <is>
          <t>2 Locations</t>
        </is>
      </c>
      <c r="G1239" s="8" t="n"/>
      <c r="H1239" s="14" t="n"/>
      <c r="I1239" s="15">
        <f>IF($H1239="","",$H1239-TODAY())</f>
        <v/>
      </c>
      <c r="J1239" s="16" t="inlineStr">
        <is>
          <t>Open posting</t>
        </is>
      </c>
      <c r="K1239" s="8" t="inlineStr">
        <is>
          <t>filtered by keyword pre-scan</t>
        </is>
      </c>
      <c r="L1239" s="17" t="inlineStr">
        <is>
          <t>new</t>
        </is>
      </c>
      <c r="M1239" s="18" t="inlineStr"/>
      <c r="N1239" s="7" t="inlineStr">
        <is>
          <t>a438f1a702c0589367a1534ad1fb8a3ac6000a55</t>
        </is>
      </c>
      <c r="O1239" s="14" t="n"/>
      <c r="P1239" s="7" t="inlineStr">
        <is>
          <t>workday</t>
        </is>
      </c>
      <c r="Q1239" s="8" t="inlineStr"/>
      <c r="R1239" s="8" t="n"/>
      <c r="S1239" s="19" t="n"/>
      <c r="T1239" s="19" t="n"/>
      <c r="U1239" s="14" t="n">
        <v>46189</v>
      </c>
      <c r="V1239" s="7" t="inlineStr">
        <is>
          <t>v1-db41edab064373dd</t>
        </is>
      </c>
    </row>
    <row r="1240" ht="28" customHeight="1">
      <c r="A1240" s="12">
        <f>IF($L1240="applied","Applied",IF($L1240="interview","Interview",IF($L1240="offer","Offer",IF($L1240="rejected","Rejected",IF($L1240="ignore","Ignore",IF($L1240="archive","Archive",IF($L1240="closed","Closed",IF($B1240="","Unscored",IF(AND($B1240&gt;=8,OR($H1240="",$H1240-TODAY()&lt;=14)),"P1 Apply",IF($B1240&gt;=7,"P2 Strong",IF($B1240&gt;=5,"P3 Maybe","P4 Low")))))))))))</f>
        <v/>
      </c>
      <c r="B1240" s="13" t="n">
        <v>1</v>
      </c>
      <c r="C1240" s="12" t="inlineStr">
        <is>
          <t>Senior/Lead</t>
        </is>
      </c>
      <c r="D1240" s="8" t="inlineStr">
        <is>
          <t>Senior Product Manager</t>
        </is>
      </c>
      <c r="E1240" s="7" t="inlineStr">
        <is>
          <t>SiFive</t>
        </is>
      </c>
      <c r="F1240" s="8" t="inlineStr">
        <is>
          <t>Santa Clara, California, United States</t>
        </is>
      </c>
      <c r="G1240" s="8" t="n"/>
      <c r="H1240" s="14" t="n"/>
      <c r="I1240" s="15">
        <f>IF($H1240="","",$H1240-TODAY())</f>
        <v/>
      </c>
      <c r="J1240" s="16" t="inlineStr">
        <is>
          <t>Open posting</t>
        </is>
      </c>
      <c r="K1240" s="8" t="inlineStr">
        <is>
          <t>filtered by keyword pre-scan</t>
        </is>
      </c>
      <c r="L1240" s="17" t="inlineStr">
        <is>
          <t>new</t>
        </is>
      </c>
      <c r="M1240" s="18" t="inlineStr"/>
      <c r="N1240" s="7" t="inlineStr">
        <is>
          <t>e44116563f9fb70bad4a9a9a89afca9dd40ebf4b</t>
        </is>
      </c>
      <c r="O1240" s="14" t="n"/>
      <c r="P1240" s="7" t="inlineStr">
        <is>
          <t>workday</t>
        </is>
      </c>
      <c r="Q1240" s="8" t="inlineStr"/>
      <c r="R1240" s="8" t="n"/>
      <c r="S1240" s="19" t="n"/>
      <c r="T1240" s="19" t="n"/>
      <c r="U1240" s="14" t="n">
        <v>46189</v>
      </c>
      <c r="V1240" s="7" t="inlineStr">
        <is>
          <t>v1-db41edab064373dd</t>
        </is>
      </c>
    </row>
    <row r="1241" ht="28" customHeight="1">
      <c r="A1241" s="12">
        <f>IF($L1241="applied","Applied",IF($L1241="interview","Interview",IF($L1241="offer","Offer",IF($L1241="rejected","Rejected",IF($L1241="ignore","Ignore",IF($L1241="archive","Archive",IF($L1241="closed","Closed",IF($B1241="","Unscored",IF(AND($B1241&gt;=8,OR($H1241="",$H1241-TODAY()&lt;=14)),"P1 Apply",IF($B1241&gt;=7,"P2 Strong",IF($B1241&gt;=5,"P3 Maybe","P4 Low")))))))))))</f>
        <v/>
      </c>
      <c r="B1241" s="13" t="n">
        <v>1</v>
      </c>
      <c r="C1241" s="12" t="inlineStr">
        <is>
          <t>Senior/Lead</t>
        </is>
      </c>
      <c r="D1241" s="8" t="inlineStr">
        <is>
          <t>Linux Platform BSP Lead</t>
        </is>
      </c>
      <c r="E1241" s="7" t="inlineStr">
        <is>
          <t>SiFive</t>
        </is>
      </c>
      <c r="F1241" s="8" t="inlineStr">
        <is>
          <t>2 Locations</t>
        </is>
      </c>
      <c r="G1241" s="8" t="n"/>
      <c r="H1241" s="14" t="n"/>
      <c r="I1241" s="15">
        <f>IF($H1241="","",$H1241-TODAY())</f>
        <v/>
      </c>
      <c r="J1241" s="16" t="inlineStr">
        <is>
          <t>Open posting</t>
        </is>
      </c>
      <c r="K1241" s="8" t="inlineStr">
        <is>
          <t>filtered by keyword pre-scan</t>
        </is>
      </c>
      <c r="L1241" s="17" t="inlineStr">
        <is>
          <t>new</t>
        </is>
      </c>
      <c r="M1241" s="18" t="inlineStr"/>
      <c r="N1241" s="7" t="inlineStr">
        <is>
          <t>9066beb17dd0fcf818cde2ec3a45439ecba6d13b</t>
        </is>
      </c>
      <c r="O1241" s="14" t="n"/>
      <c r="P1241" s="7" t="inlineStr">
        <is>
          <t>workday</t>
        </is>
      </c>
      <c r="Q1241" s="8" t="inlineStr"/>
      <c r="R1241" s="8" t="n"/>
      <c r="S1241" s="19" t="n"/>
      <c r="T1241" s="19" t="n"/>
      <c r="U1241" s="14" t="n">
        <v>46189</v>
      </c>
      <c r="V1241" s="7" t="inlineStr">
        <is>
          <t>v1-db41edab064373dd</t>
        </is>
      </c>
    </row>
    <row r="1242" ht="28" customHeight="1">
      <c r="A1242" s="12">
        <f>IF($L1242="applied","Applied",IF($L1242="interview","Interview",IF($L1242="offer","Offer",IF($L1242="rejected","Rejected",IF($L1242="ignore","Ignore",IF($L1242="archive","Archive",IF($L1242="closed","Closed",IF($B1242="","Unscored",IF(AND($B1242&gt;=8,OR($H1242="",$H1242-TODAY()&lt;=14)),"P1 Apply",IF($B1242&gt;=7,"P2 Strong",IF($B1242&gt;=5,"P3 Maybe","P4 Low")))))))))))</f>
        <v/>
      </c>
      <c r="B1242" s="13" t="n">
        <v>1</v>
      </c>
      <c r="C1242" s="12" t="inlineStr">
        <is>
          <t>Senior/Lead</t>
        </is>
      </c>
      <c r="D1242" s="8" t="inlineStr">
        <is>
          <t>Senior Field &amp; Sales Operations Manager</t>
        </is>
      </c>
      <c r="E1242" s="7" t="inlineStr">
        <is>
          <t>Dyson</t>
        </is>
      </c>
      <c r="F1242" s="8" t="inlineStr">
        <is>
          <t>Mexico - Mexico City Office</t>
        </is>
      </c>
      <c r="G1242" s="8" t="n"/>
      <c r="H1242" s="14" t="n"/>
      <c r="I1242" s="15">
        <f>IF($H1242="","",$H1242-TODAY())</f>
        <v/>
      </c>
      <c r="J1242" s="16" t="inlineStr">
        <is>
          <t>Open posting</t>
        </is>
      </c>
      <c r="K1242" s="8" t="inlineStr">
        <is>
          <t>filtered by keyword pre-scan</t>
        </is>
      </c>
      <c r="L1242" s="17" t="inlineStr">
        <is>
          <t>new</t>
        </is>
      </c>
      <c r="M1242" s="18" t="inlineStr"/>
      <c r="N1242" s="7" t="inlineStr">
        <is>
          <t>0c8364c223cbf6b837f938b3c7ab51b96dd973da</t>
        </is>
      </c>
      <c r="O1242" s="14" t="n"/>
      <c r="P1242" s="7" t="inlineStr">
        <is>
          <t>workday</t>
        </is>
      </c>
      <c r="Q1242" s="8" t="inlineStr"/>
      <c r="R1242" s="8" t="n"/>
      <c r="S1242" s="19" t="n"/>
      <c r="T1242" s="19" t="n"/>
      <c r="U1242" s="14" t="n">
        <v>46189</v>
      </c>
      <c r="V1242" s="7" t="inlineStr">
        <is>
          <t>v1-db41edab064373dd</t>
        </is>
      </c>
    </row>
    <row r="1243" ht="28" customHeight="1">
      <c r="A1243" s="12">
        <f>IF($L1243="applied","Applied",IF($L1243="interview","Interview",IF($L1243="offer","Offer",IF($L1243="rejected","Rejected",IF($L1243="ignore","Ignore",IF($L1243="archive","Archive",IF($L1243="closed","Closed",IF($B1243="","Unscored",IF(AND($B1243&gt;=8,OR($H1243="",$H1243-TODAY()&lt;=14)),"P1 Apply",IF($B1243&gt;=7,"P2 Strong",IF($B1243&gt;=5,"P3 Maybe","P4 Low")))))))))))</f>
        <v/>
      </c>
      <c r="B1243" s="13" t="n">
        <v>1</v>
      </c>
      <c r="C1243" s="12" t="inlineStr">
        <is>
          <t>Senior/Lead</t>
        </is>
      </c>
      <c r="D1243" s="8" t="inlineStr">
        <is>
          <t>Senior E-Commerce Trading Manager</t>
        </is>
      </c>
      <c r="E1243" s="7" t="inlineStr">
        <is>
          <t>Dyson</t>
        </is>
      </c>
      <c r="F1243" s="8" t="inlineStr">
        <is>
          <t>Netherlands - Amsterdam Office</t>
        </is>
      </c>
      <c r="G1243" s="8" t="n"/>
      <c r="H1243" s="14" t="n"/>
      <c r="I1243" s="15">
        <f>IF($H1243="","",$H1243-TODAY())</f>
        <v/>
      </c>
      <c r="J1243" s="16" t="inlineStr">
        <is>
          <t>Open posting</t>
        </is>
      </c>
      <c r="K1243" s="8" t="inlineStr">
        <is>
          <t>filtered by keyword pre-scan</t>
        </is>
      </c>
      <c r="L1243" s="17" t="inlineStr">
        <is>
          <t>new</t>
        </is>
      </c>
      <c r="M1243" s="18" t="inlineStr"/>
      <c r="N1243" s="7" t="inlineStr">
        <is>
          <t>39c6ec5d1c88fa6891ea5a4b46b453b368a94d9e</t>
        </is>
      </c>
      <c r="O1243" s="14" t="n"/>
      <c r="P1243" s="7" t="inlineStr">
        <is>
          <t>workday</t>
        </is>
      </c>
      <c r="Q1243" s="8" t="inlineStr"/>
      <c r="R1243" s="8" t="n"/>
      <c r="S1243" s="19" t="n"/>
      <c r="T1243" s="19" t="n"/>
      <c r="U1243" s="14" t="n">
        <v>46189</v>
      </c>
      <c r="V1243" s="7" t="inlineStr">
        <is>
          <t>v1-db41edab064373dd</t>
        </is>
      </c>
    </row>
    <row r="1244" ht="28" customHeight="1">
      <c r="A1244" s="12">
        <f>IF($L1244="applied","Applied",IF($L1244="interview","Interview",IF($L1244="offer","Offer",IF($L1244="rejected","Rejected",IF($L1244="ignore","Ignore",IF($L1244="archive","Archive",IF($L1244="closed","Closed",IF($B1244="","Unscored",IF(AND($B1244&gt;=8,OR($H1244="",$H1244-TODAY()&lt;=14)),"P1 Apply",IF($B1244&gt;=7,"P2 Strong",IF($B1244&gt;=5,"P3 Maybe","P4 Low")))))))))))</f>
        <v/>
      </c>
      <c r="B1244" s="13" t="n">
        <v>1</v>
      </c>
      <c r="C1244" s="12" t="inlineStr">
        <is>
          <t>Senior/Lead</t>
        </is>
      </c>
      <c r="D1244" s="8" t="inlineStr">
        <is>
          <t>Senior Trading Activation &amp; Affiliation Executive</t>
        </is>
      </c>
      <c r="E1244" s="7" t="inlineStr">
        <is>
          <t>Dyson</t>
        </is>
      </c>
      <c r="F1244" s="8" t="inlineStr">
        <is>
          <t>Portugal - Lisboa Office</t>
        </is>
      </c>
      <c r="G1244" s="8" t="n"/>
      <c r="H1244" s="14" t="n"/>
      <c r="I1244" s="15">
        <f>IF($H1244="","",$H1244-TODAY())</f>
        <v/>
      </c>
      <c r="J1244" s="16" t="inlineStr">
        <is>
          <t>Open posting</t>
        </is>
      </c>
      <c r="K1244" s="8" t="inlineStr">
        <is>
          <t>filtered by keyword pre-scan</t>
        </is>
      </c>
      <c r="L1244" s="17" t="inlineStr">
        <is>
          <t>new</t>
        </is>
      </c>
      <c r="M1244" s="18" t="inlineStr"/>
      <c r="N1244" s="7" t="inlineStr">
        <is>
          <t>86acbad50137f2b1ccec824072c74b0a835d9a37</t>
        </is>
      </c>
      <c r="O1244" s="14" t="n"/>
      <c r="P1244" s="7" t="inlineStr">
        <is>
          <t>workday</t>
        </is>
      </c>
      <c r="Q1244" s="8" t="inlineStr"/>
      <c r="R1244" s="8" t="n"/>
      <c r="S1244" s="19" t="n"/>
      <c r="T1244" s="19" t="n"/>
      <c r="U1244" s="14" t="n">
        <v>46189</v>
      </c>
      <c r="V1244" s="7" t="inlineStr">
        <is>
          <t>v1-db41edab064373dd</t>
        </is>
      </c>
    </row>
    <row r="1245" ht="28" customHeight="1">
      <c r="A1245" s="12">
        <f>IF($L1245="applied","Applied",IF($L1245="interview","Interview",IF($L1245="offer","Offer",IF($L1245="rejected","Rejected",IF($L1245="ignore","Ignore",IF($L1245="archive","Archive",IF($L1245="closed","Closed",IF($B1245="","Unscored",IF(AND($B1245&gt;=8,OR($H1245="",$H1245-TODAY()&lt;=14)),"P1 Apply",IF($B1245&gt;=7,"P2 Strong",IF($B1245&gt;=5,"P3 Maybe","P4 Low")))))))))))</f>
        <v/>
      </c>
      <c r="B1245" s="13" t="n">
        <v>1</v>
      </c>
      <c r="C1245" s="12" t="inlineStr">
        <is>
          <t>Senior/Lead</t>
        </is>
      </c>
      <c r="D1245" s="8" t="inlineStr">
        <is>
          <t>Lead Electronics Project Manager</t>
        </is>
      </c>
      <c r="E1245" s="7" t="inlineStr">
        <is>
          <t>Dyson</t>
        </is>
      </c>
      <c r="F1245" s="8" t="inlineStr">
        <is>
          <t>Philippines - Technology Campus</t>
        </is>
      </c>
      <c r="G1245" s="8" t="n"/>
      <c r="H1245" s="14" t="n"/>
      <c r="I1245" s="15">
        <f>IF($H1245="","",$H1245-TODAY())</f>
        <v/>
      </c>
      <c r="J1245" s="16" t="inlineStr">
        <is>
          <t>Open posting</t>
        </is>
      </c>
      <c r="K1245" s="8" t="inlineStr">
        <is>
          <t>filtered by keyword pre-scan</t>
        </is>
      </c>
      <c r="L1245" s="17" t="inlineStr">
        <is>
          <t>new</t>
        </is>
      </c>
      <c r="M1245" s="18" t="inlineStr"/>
      <c r="N1245" s="7" t="inlineStr">
        <is>
          <t>ae690d5e82508e0315b14780446847886e1f39c6</t>
        </is>
      </c>
      <c r="O1245" s="14" t="n"/>
      <c r="P1245" s="7" t="inlineStr">
        <is>
          <t>workday</t>
        </is>
      </c>
      <c r="Q1245" s="8" t="inlineStr"/>
      <c r="R1245" s="8" t="n"/>
      <c r="S1245" s="19" t="n"/>
      <c r="T1245" s="19" t="n"/>
      <c r="U1245" s="14" t="n">
        <v>46189</v>
      </c>
      <c r="V1245" s="7" t="inlineStr">
        <is>
          <t>v1-db41edab064373dd</t>
        </is>
      </c>
    </row>
    <row r="1246" ht="28" customHeight="1">
      <c r="A1246" s="12">
        <f>IF($L1246="applied","Applied",IF($L1246="interview","Interview",IF($L1246="offer","Offer",IF($L1246="rejected","Rejected",IF($L1246="ignore","Ignore",IF($L1246="archive","Archive",IF($L1246="closed","Closed",IF($B1246="","Unscored",IF(AND($B1246&gt;=8,OR($H1246="",$H1246-TODAY()&lt;=14)),"P1 Apply",IF($B1246&gt;=7,"P2 Strong",IF($B1246&gt;=5,"P3 Maybe","P4 Low")))))))))))</f>
        <v/>
      </c>
      <c r="B1246" s="13" t="n">
        <v>1</v>
      </c>
      <c r="C1246" s="12" t="inlineStr">
        <is>
          <t>Senior/Lead</t>
        </is>
      </c>
      <c r="D1246" s="8" t="inlineStr">
        <is>
          <t>Lead Test Engineer</t>
        </is>
      </c>
      <c r="E1246" s="7" t="inlineStr">
        <is>
          <t>Dyson</t>
        </is>
      </c>
      <c r="F1246" s="8" t="inlineStr">
        <is>
          <t>China - Shenzhen Office</t>
        </is>
      </c>
      <c r="G1246" s="8" t="n"/>
      <c r="H1246" s="14" t="n"/>
      <c r="I1246" s="15">
        <f>IF($H1246="","",$H1246-TODAY())</f>
        <v/>
      </c>
      <c r="J1246" s="16" t="inlineStr">
        <is>
          <t>Open posting</t>
        </is>
      </c>
      <c r="K1246" s="8" t="inlineStr">
        <is>
          <t>filtered by keyword pre-scan</t>
        </is>
      </c>
      <c r="L1246" s="17" t="inlineStr">
        <is>
          <t>new</t>
        </is>
      </c>
      <c r="M1246" s="18" t="inlineStr"/>
      <c r="N1246" s="7" t="inlineStr">
        <is>
          <t>79612006bc3dc6ebd80fd3331007d2a867519e53</t>
        </is>
      </c>
      <c r="O1246" s="14" t="n"/>
      <c r="P1246" s="7" t="inlineStr">
        <is>
          <t>workday</t>
        </is>
      </c>
      <c r="Q1246" s="8" t="inlineStr"/>
      <c r="R1246" s="8" t="n"/>
      <c r="S1246" s="19" t="n"/>
      <c r="T1246" s="19" t="n"/>
      <c r="U1246" s="14" t="n">
        <v>46189</v>
      </c>
      <c r="V1246" s="7" t="inlineStr">
        <is>
          <t>v1-db41edab064373dd</t>
        </is>
      </c>
    </row>
    <row r="1247" ht="28" customHeight="1">
      <c r="A1247" s="12">
        <f>IF($L1247="applied","Applied",IF($L1247="interview","Interview",IF($L1247="offer","Offer",IF($L1247="rejected","Rejected",IF($L1247="ignore","Ignore",IF($L1247="archive","Archive",IF($L1247="closed","Closed",IF($B1247="","Unscored",IF(AND($B1247&gt;=8,OR($H1247="",$H1247-TODAY()&lt;=14)),"P1 Apply",IF($B1247&gt;=7,"P2 Strong",IF($B1247&gt;=5,"P3 Maybe","P4 Low")))))))))))</f>
        <v/>
      </c>
      <c r="B1247" s="13" t="n">
        <v>1</v>
      </c>
      <c r="C1247" s="12" t="inlineStr">
        <is>
          <t>Senior/Lead</t>
        </is>
      </c>
      <c r="D1247" s="8" t="inlineStr">
        <is>
          <t>Lead Analyst FBI - Reporting and Data Engineering</t>
        </is>
      </c>
      <c r="E1247" s="7" t="inlineStr">
        <is>
          <t>Dyson</t>
        </is>
      </c>
      <c r="F1247" s="8" t="inlineStr">
        <is>
          <t>Singapore - Technology Centre</t>
        </is>
      </c>
      <c r="G1247" s="8" t="n"/>
      <c r="H1247" s="14" t="n"/>
      <c r="I1247" s="15">
        <f>IF($H1247="","",$H1247-TODAY())</f>
        <v/>
      </c>
      <c r="J1247" s="16" t="inlineStr">
        <is>
          <t>Open posting</t>
        </is>
      </c>
      <c r="K1247" s="8" t="inlineStr">
        <is>
          <t>filtered by keyword pre-scan</t>
        </is>
      </c>
      <c r="L1247" s="17" t="inlineStr">
        <is>
          <t>new</t>
        </is>
      </c>
      <c r="M1247" s="18" t="inlineStr"/>
      <c r="N1247" s="7" t="inlineStr">
        <is>
          <t>9882a793ef46b893b3f8e6320c3ecff2d0731821</t>
        </is>
      </c>
      <c r="O1247" s="14" t="n"/>
      <c r="P1247" s="7" t="inlineStr">
        <is>
          <t>workday</t>
        </is>
      </c>
      <c r="Q1247" s="8" t="inlineStr"/>
      <c r="R1247" s="8" t="n"/>
      <c r="S1247" s="19" t="n"/>
      <c r="T1247" s="19" t="n"/>
      <c r="U1247" s="14" t="n">
        <v>46189</v>
      </c>
      <c r="V1247" s="7" t="inlineStr">
        <is>
          <t>v1-db41edab064373dd</t>
        </is>
      </c>
    </row>
    <row r="1248" ht="28" customHeight="1">
      <c r="A1248" s="12">
        <f>IF($L1248="applied","Applied",IF($L1248="interview","Interview",IF($L1248="offer","Offer",IF($L1248="rejected","Rejected",IF($L1248="ignore","Ignore",IF($L1248="archive","Archive",IF($L1248="closed","Closed",IF($B1248="","Unscored",IF(AND($B1248&gt;=8,OR($H1248="",$H1248-TODAY()&lt;=14)),"P1 Apply",IF($B1248&gt;=7,"P2 Strong",IF($B1248&gt;=5,"P3 Maybe","P4 Low")))))))))))</f>
        <v/>
      </c>
      <c r="B1248" s="13" t="n">
        <v>1</v>
      </c>
      <c r="C1248" s="12" t="inlineStr">
        <is>
          <t>Senior/Lead</t>
        </is>
      </c>
      <c r="D1248" s="8" t="inlineStr">
        <is>
          <t>Lead Power Electronics Engineer</t>
        </is>
      </c>
      <c r="E1248" s="7" t="inlineStr">
        <is>
          <t>Dyson</t>
        </is>
      </c>
      <c r="F1248" s="8" t="inlineStr">
        <is>
          <t>Philippines - Technology Campus</t>
        </is>
      </c>
      <c r="G1248" s="8" t="n"/>
      <c r="H1248" s="14" t="n"/>
      <c r="I1248" s="15">
        <f>IF($H1248="","",$H1248-TODAY())</f>
        <v/>
      </c>
      <c r="J1248" s="16" t="inlineStr">
        <is>
          <t>Open posting</t>
        </is>
      </c>
      <c r="K1248" s="8" t="inlineStr">
        <is>
          <t>filtered by keyword pre-scan</t>
        </is>
      </c>
      <c r="L1248" s="17" t="inlineStr">
        <is>
          <t>new</t>
        </is>
      </c>
      <c r="M1248" s="18" t="inlineStr"/>
      <c r="N1248" s="7" t="inlineStr">
        <is>
          <t>4e037caa77de1b957ed91e3cf00e7832c7a2d669</t>
        </is>
      </c>
      <c r="O1248" s="14" t="n"/>
      <c r="P1248" s="7" t="inlineStr">
        <is>
          <t>workday</t>
        </is>
      </c>
      <c r="Q1248" s="8" t="inlineStr"/>
      <c r="R1248" s="8" t="n"/>
      <c r="S1248" s="19" t="n"/>
      <c r="T1248" s="19" t="n"/>
      <c r="U1248" s="14" t="n">
        <v>46189</v>
      </c>
      <c r="V1248" s="7" t="inlineStr">
        <is>
          <t>v1-db41edab064373dd</t>
        </is>
      </c>
    </row>
    <row r="1249" ht="28" customHeight="1">
      <c r="A1249" s="12">
        <f>IF($L1249="applied","Applied",IF($L1249="interview","Interview",IF($L1249="offer","Offer",IF($L1249="rejected","Rejected",IF($L1249="ignore","Ignore",IF($L1249="archive","Archive",IF($L1249="closed","Closed",IF($B1249="","Unscored",IF(AND($B1249&gt;=8,OR($H1249="",$H1249-TODAY()&lt;=14)),"P1 Apply",IF($B1249&gt;=7,"P2 Strong",IF($B1249&gt;=5,"P3 Maybe","P4 Low")))))))))))</f>
        <v/>
      </c>
      <c r="B1249" s="13" t="n">
        <v>1</v>
      </c>
      <c r="C1249" s="12" t="inlineStr">
        <is>
          <t>Senior/Lead</t>
        </is>
      </c>
      <c r="D1249" s="8" t="inlineStr">
        <is>
          <t>Global Senior Manager, B2B Product</t>
        </is>
      </c>
      <c r="E1249" s="7" t="inlineStr">
        <is>
          <t>Dyson</t>
        </is>
      </c>
      <c r="F1249" s="8" t="inlineStr">
        <is>
          <t>Singapore - St James Power Station Headquarters</t>
        </is>
      </c>
      <c r="G1249" s="8" t="n"/>
      <c r="H1249" s="14" t="n"/>
      <c r="I1249" s="15">
        <f>IF($H1249="","",$H1249-TODAY())</f>
        <v/>
      </c>
      <c r="J1249" s="16" t="inlineStr">
        <is>
          <t>Open posting</t>
        </is>
      </c>
      <c r="K1249" s="8" t="inlineStr">
        <is>
          <t>filtered by keyword pre-scan</t>
        </is>
      </c>
      <c r="L1249" s="17" t="inlineStr">
        <is>
          <t>new</t>
        </is>
      </c>
      <c r="M1249" s="18" t="inlineStr"/>
      <c r="N1249" s="7" t="inlineStr">
        <is>
          <t>094ffad524afb5ababb3c787541e5abd00fe2256</t>
        </is>
      </c>
      <c r="O1249" s="14" t="n"/>
      <c r="P1249" s="7" t="inlineStr">
        <is>
          <t>workday</t>
        </is>
      </c>
      <c r="Q1249" s="8" t="inlineStr"/>
      <c r="R1249" s="8" t="n"/>
      <c r="S1249" s="19" t="n"/>
      <c r="T1249" s="19" t="n"/>
      <c r="U1249" s="14" t="n">
        <v>46189</v>
      </c>
      <c r="V1249" s="7" t="inlineStr">
        <is>
          <t>v1-db41edab064373dd</t>
        </is>
      </c>
    </row>
    <row r="1250" ht="28" customHeight="1">
      <c r="A1250" s="12">
        <f>IF($L1250="applied","Applied",IF($L1250="interview","Interview",IF($L1250="offer","Offer",IF($L1250="rejected","Rejected",IF($L1250="ignore","Ignore",IF($L1250="archive","Archive",IF($L1250="closed","Closed",IF($B1250="","Unscored",IF(AND($B1250&gt;=8,OR($H1250="",$H1250-TODAY()&lt;=14)),"P1 Apply",IF($B1250&gt;=7,"P2 Strong",IF($B1250&gt;=5,"P3 Maybe","P4 Low")))))))))))</f>
        <v/>
      </c>
      <c r="B1250" s="13" t="n">
        <v>1</v>
      </c>
      <c r="C1250" s="12" t="inlineStr">
        <is>
          <t>Senior/Lead</t>
        </is>
      </c>
      <c r="D1250" s="8" t="inlineStr">
        <is>
          <t>Lead Electronics Engineer</t>
        </is>
      </c>
      <c r="E1250" s="7" t="inlineStr">
        <is>
          <t>Dyson</t>
        </is>
      </c>
      <c r="F1250" s="8" t="inlineStr">
        <is>
          <t>Philippines - Technology Campus</t>
        </is>
      </c>
      <c r="G1250" s="8" t="n"/>
      <c r="H1250" s="14" t="n"/>
      <c r="I1250" s="15">
        <f>IF($H1250="","",$H1250-TODAY())</f>
        <v/>
      </c>
      <c r="J1250" s="16" t="inlineStr">
        <is>
          <t>Open posting</t>
        </is>
      </c>
      <c r="K1250" s="8" t="inlineStr">
        <is>
          <t>filtered by keyword pre-scan</t>
        </is>
      </c>
      <c r="L1250" s="17" t="inlineStr">
        <is>
          <t>new</t>
        </is>
      </c>
      <c r="M1250" s="18" t="inlineStr"/>
      <c r="N1250" s="7" t="inlineStr">
        <is>
          <t>2de9828a559522c71db8b8e4a440a4a12da4ea6b</t>
        </is>
      </c>
      <c r="O1250" s="14" t="n"/>
      <c r="P1250" s="7" t="inlineStr">
        <is>
          <t>workday</t>
        </is>
      </c>
      <c r="Q1250" s="8" t="inlineStr"/>
      <c r="R1250" s="8" t="n"/>
      <c r="S1250" s="19" t="n"/>
      <c r="T1250" s="19" t="n"/>
      <c r="U1250" s="14" t="n">
        <v>46189</v>
      </c>
      <c r="V1250" s="7" t="inlineStr">
        <is>
          <t>v1-db41edab064373dd</t>
        </is>
      </c>
    </row>
    <row r="1251" ht="28" customHeight="1">
      <c r="A1251" s="12">
        <f>IF($L1251="applied","Applied",IF($L1251="interview","Interview",IF($L1251="offer","Offer",IF($L1251="rejected","Rejected",IF($L1251="ignore","Ignore",IF($L1251="archive","Archive",IF($L1251="closed","Closed",IF($B1251="","Unscored",IF(AND($B1251&gt;=8,OR($H1251="",$H1251-TODAY()&lt;=14)),"P1 Apply",IF($B1251&gt;=7,"P2 Strong",IF($B1251&gt;=5,"P3 Maybe","P4 Low")))))))))))</f>
        <v/>
      </c>
      <c r="B1251" s="13" t="n">
        <v>1</v>
      </c>
      <c r="C1251" s="12" t="inlineStr">
        <is>
          <t>Senior/Lead</t>
        </is>
      </c>
      <c r="D1251" s="8" t="inlineStr">
        <is>
          <t>Lead Design Engineer</t>
        </is>
      </c>
      <c r="E1251" s="7" t="inlineStr">
        <is>
          <t>Dyson</t>
        </is>
      </c>
      <c r="F1251" s="8" t="inlineStr">
        <is>
          <t>Philippines - Technology Campus</t>
        </is>
      </c>
      <c r="G1251" s="8" t="n"/>
      <c r="H1251" s="14" t="n"/>
      <c r="I1251" s="15">
        <f>IF($H1251="","",$H1251-TODAY())</f>
        <v/>
      </c>
      <c r="J1251" s="16" t="inlineStr">
        <is>
          <t>Open posting</t>
        </is>
      </c>
      <c r="K1251" s="8" t="inlineStr">
        <is>
          <t>filtered by keyword pre-scan</t>
        </is>
      </c>
      <c r="L1251" s="17" t="inlineStr">
        <is>
          <t>new</t>
        </is>
      </c>
      <c r="M1251" s="18" t="inlineStr"/>
      <c r="N1251" s="7" t="inlineStr">
        <is>
          <t>d39bebc3f89449bdc700bfd23cc37d8c6023b024</t>
        </is>
      </c>
      <c r="O1251" s="14" t="n"/>
      <c r="P1251" s="7" t="inlineStr">
        <is>
          <t>workday</t>
        </is>
      </c>
      <c r="Q1251" s="8" t="inlineStr"/>
      <c r="R1251" s="8" t="n"/>
      <c r="S1251" s="19" t="n"/>
      <c r="T1251" s="19" t="n"/>
      <c r="U1251" s="14" t="n">
        <v>46189</v>
      </c>
      <c r="V1251" s="7" t="inlineStr">
        <is>
          <t>v1-db41edab064373dd</t>
        </is>
      </c>
    </row>
    <row r="1252" ht="28" customHeight="1">
      <c r="A1252" s="12">
        <f>IF($L1252="applied","Applied",IF($L1252="interview","Interview",IF($L1252="offer","Offer",IF($L1252="rejected","Rejected",IF($L1252="ignore","Ignore",IF($L1252="archive","Archive",IF($L1252="closed","Closed",IF($B1252="","Unscored",IF(AND($B1252&gt;=8,OR($H1252="",$H1252-TODAY()&lt;=14)),"P1 Apply",IF($B1252&gt;=7,"P2 Strong",IF($B1252&gt;=5,"P3 Maybe","P4 Low")))))))))))</f>
        <v/>
      </c>
      <c r="B1252" s="13" t="n">
        <v>1</v>
      </c>
      <c r="C1252" s="12" t="inlineStr">
        <is>
          <t>Senior/Lead</t>
        </is>
      </c>
      <c r="D1252" s="8" t="inlineStr">
        <is>
          <t>Senior Manufacturing Operations Manager, Outsourced Operations</t>
        </is>
      </c>
      <c r="E1252" s="7" t="inlineStr">
        <is>
          <t>Dyson</t>
        </is>
      </c>
      <c r="F1252" s="8" t="inlineStr">
        <is>
          <t>Philippines - Technology Campus</t>
        </is>
      </c>
      <c r="G1252" s="8" t="n"/>
      <c r="H1252" s="14" t="n"/>
      <c r="I1252" s="15">
        <f>IF($H1252="","",$H1252-TODAY())</f>
        <v/>
      </c>
      <c r="J1252" s="16" t="inlineStr">
        <is>
          <t>Open posting</t>
        </is>
      </c>
      <c r="K1252" s="8" t="inlineStr">
        <is>
          <t>filtered by keyword pre-scan</t>
        </is>
      </c>
      <c r="L1252" s="17" t="inlineStr">
        <is>
          <t>new</t>
        </is>
      </c>
      <c r="M1252" s="18" t="inlineStr"/>
      <c r="N1252" s="7" t="inlineStr">
        <is>
          <t>eabc0d3b162710061dade027ee84aa593c06688a</t>
        </is>
      </c>
      <c r="O1252" s="14" t="n"/>
      <c r="P1252" s="7" t="inlineStr">
        <is>
          <t>workday</t>
        </is>
      </c>
      <c r="Q1252" s="8" t="inlineStr"/>
      <c r="R1252" s="8" t="n"/>
      <c r="S1252" s="19" t="n"/>
      <c r="T1252" s="19" t="n"/>
      <c r="U1252" s="14" t="n">
        <v>46189</v>
      </c>
      <c r="V1252" s="7" t="inlineStr">
        <is>
          <t>v1-db41edab064373dd</t>
        </is>
      </c>
    </row>
    <row r="1253" ht="28" customHeight="1">
      <c r="A1253" s="12">
        <f>IF($L1253="applied","Applied",IF($L1253="interview","Interview",IF($L1253="offer","Offer",IF($L1253="rejected","Rejected",IF($L1253="ignore","Ignore",IF($L1253="archive","Archive",IF($L1253="closed","Closed",IF($B1253="","Unscored",IF(AND($B1253&gt;=8,OR($H1253="",$H1253-TODAY()&lt;=14)),"P1 Apply",IF($B1253&gt;=7,"P2 Strong",IF($B1253&gt;=5,"P3 Maybe","P4 Low")))))))))))</f>
        <v/>
      </c>
      <c r="B1253" s="13" t="n">
        <v>0.97</v>
      </c>
      <c r="C1253" s="12" t="inlineStr">
        <is>
          <t>Senior/Lead</t>
        </is>
      </c>
      <c r="D1253" s="8" t="inlineStr">
        <is>
          <t>Applications / Software Engineer in Roznov or Ostrava</t>
        </is>
      </c>
      <c r="E1253" s="7" t="inlineStr">
        <is>
          <t>NXP Semiconductors</t>
        </is>
      </c>
      <c r="F1253" s="8" t="inlineStr">
        <is>
          <t>Glasgow, Scotland, UK</t>
        </is>
      </c>
      <c r="G1253" s="8" t="n"/>
      <c r="H1253" s="14" t="n"/>
      <c r="I1253" s="15">
        <f>IF($H1253="","",$H1253-TODAY())</f>
        <v/>
      </c>
      <c r="J1253" s="16" t="inlineStr">
        <is>
          <t>Open posting</t>
        </is>
      </c>
      <c r="K1253" s="8" t="inlineStr">
        <is>
          <t>filtered by keyword pre-scan</t>
        </is>
      </c>
      <c r="L1253" s="17" t="inlineStr">
        <is>
          <t>new</t>
        </is>
      </c>
      <c r="M1253" s="18" t="inlineStr"/>
      <c r="N1253" s="7" t="inlineStr">
        <is>
          <t>197ea98933ad39e013767d0f8ac88956caed69bc</t>
        </is>
      </c>
      <c r="O1253" s="14" t="n">
        <v>46193</v>
      </c>
      <c r="P1253" s="7" t="inlineStr">
        <is>
          <t>jobspy</t>
        </is>
      </c>
      <c r="Q1253" s="8" t="inlineStr">
        <is>
          <t>python, c</t>
        </is>
      </c>
      <c r="R1253" s="8" t="inlineStr">
        <is>
          <t>Graduate Software Engineer Python embedded Linux</t>
        </is>
      </c>
      <c r="S1253" s="19" t="n"/>
      <c r="T1253" s="19" t="n"/>
      <c r="U1253" s="14" t="n">
        <v>46198</v>
      </c>
      <c r="V1253" s="7" t="inlineStr">
        <is>
          <t>v2-cv-accuracy-13b988b18da8ea7d</t>
        </is>
      </c>
    </row>
    <row r="1254" ht="28" customHeight="1">
      <c r="A1254" s="12">
        <f>IF($L1254="applied","Applied",IF($L1254="interview","Interview",IF($L1254="offer","Offer",IF($L1254="rejected","Rejected",IF($L1254="ignore","Ignore",IF($L1254="archive","Archive",IF($L1254="closed","Closed",IF($B1254="","Unscored",IF(AND($B1254&gt;=8,OR($H1254="",$H1254-TODAY()&lt;=14)),"P1 Apply",IF($B1254&gt;=7,"P2 Strong",IF($B1254&gt;=5,"P3 Maybe","P4 Low")))))))))))</f>
        <v/>
      </c>
      <c r="B1254" s="13" t="n">
        <v>0.97</v>
      </c>
      <c r="C1254" s="12" t="inlineStr">
        <is>
          <t>Graduate/Entry</t>
        </is>
      </c>
      <c r="D1254" s="8" t="inlineStr">
        <is>
          <t>Graduate Software Engineer (Liverpool)</t>
        </is>
      </c>
      <c r="E1254" s="7" t="inlineStr">
        <is>
          <t>targetjobs UK</t>
        </is>
      </c>
      <c r="F1254" s="8" t="inlineStr">
        <is>
          <t>Liverpool, England, UK</t>
        </is>
      </c>
      <c r="G1254" s="8" t="n"/>
      <c r="H1254" s="14" t="n"/>
      <c r="I1254" s="15">
        <f>IF($H1254="","",$H1254-TODAY())</f>
        <v/>
      </c>
      <c r="J1254" s="16" t="inlineStr">
        <is>
          <t>Open posting</t>
        </is>
      </c>
      <c r="K1254" s="8" t="inlineStr">
        <is>
          <t>filtered by keyword pre-scan</t>
        </is>
      </c>
      <c r="L1254" s="17" t="inlineStr">
        <is>
          <t>new</t>
        </is>
      </c>
      <c r="M1254" s="18" t="inlineStr"/>
      <c r="N1254" s="7" t="inlineStr">
        <is>
          <t>92f71d153e0ebca1c040b32fec1306e1688dcb25</t>
        </is>
      </c>
      <c r="O1254" s="14" t="n">
        <v>46183</v>
      </c>
      <c r="P1254" s="7" t="inlineStr">
        <is>
          <t>jobspy</t>
        </is>
      </c>
      <c r="Q1254" s="8" t="inlineStr">
        <is>
          <t>git, c</t>
        </is>
      </c>
      <c r="R1254" s="8" t="inlineStr">
        <is>
          <t>Graduate Software Engineer Python SQL backend</t>
        </is>
      </c>
      <c r="S1254" s="19" t="n"/>
      <c r="T1254" s="19" t="n"/>
      <c r="U1254" s="14" t="n">
        <v>46198</v>
      </c>
      <c r="V1254" s="7" t="inlineStr">
        <is>
          <t>v2-cv-accuracy-13b988b18da8ea7d</t>
        </is>
      </c>
    </row>
    <row r="1255" ht="28" customHeight="1">
      <c r="A1255" s="12">
        <f>IF($L1255="applied","Applied",IF($L1255="interview","Interview",IF($L1255="offer","Offer",IF($L1255="rejected","Rejected",IF($L1255="ignore","Ignore",IF($L1255="archive","Archive",IF($L1255="closed","Closed",IF($B1255="","Unscored",IF(AND($B1255&gt;=8,OR($H1255="",$H1255-TODAY()&lt;=14)),"P1 Apply",IF($B1255&gt;=7,"P2 Strong",IF($B1255&gt;=5,"P3 Maybe","P4 Low")))))))))))</f>
        <v/>
      </c>
      <c r="B1255" s="13" t="n">
        <v>0.97</v>
      </c>
      <c r="C1255" s="12" t="inlineStr">
        <is>
          <t>Unspecified</t>
        </is>
      </c>
      <c r="D1255" s="8" t="inlineStr">
        <is>
          <t>Software Engineer</t>
        </is>
      </c>
      <c r="E1255" s="7" t="inlineStr">
        <is>
          <t>TRS Staffing Solutions</t>
        </is>
      </c>
      <c r="F1255" s="8" t="inlineStr">
        <is>
          <t>Leicestershire, England, UK</t>
        </is>
      </c>
      <c r="G1255" s="8" t="n"/>
      <c r="H1255" s="14" t="n"/>
      <c r="I1255" s="15">
        <f>IF($H1255="","",$H1255-TODAY())</f>
        <v/>
      </c>
      <c r="J1255" s="16" t="inlineStr">
        <is>
          <t>Open posting</t>
        </is>
      </c>
      <c r="K1255" s="8" t="inlineStr">
        <is>
          <t>filtered by keyword pre-scan</t>
        </is>
      </c>
      <c r="L1255" s="17" t="inlineStr">
        <is>
          <t>new</t>
        </is>
      </c>
      <c r="M1255" s="18" t="inlineStr"/>
      <c r="N1255" s="7" t="inlineStr">
        <is>
          <t>e8c19b2827d1c63656467723de88b4166a26b2c5</t>
        </is>
      </c>
      <c r="O1255" s="14" t="n">
        <v>46174</v>
      </c>
      <c r="P1255" s="7" t="inlineStr">
        <is>
          <t>jobspy</t>
        </is>
      </c>
      <c r="Q1255" s="8" t="inlineStr">
        <is>
          <t>c, embedded systems</t>
        </is>
      </c>
      <c r="R1255" s="8" t="inlineStr">
        <is>
          <t>EngD Research Engineer electronics embedded systems</t>
        </is>
      </c>
      <c r="S1255" s="19" t="n"/>
      <c r="T1255" s="19" t="n"/>
      <c r="U1255" s="14" t="n">
        <v>46196</v>
      </c>
      <c r="V1255" s="7" t="inlineStr">
        <is>
          <t>v2-cv-accuracy-13b988b18da8ea7d</t>
        </is>
      </c>
    </row>
    <row r="1256" ht="28" customHeight="1">
      <c r="A1256" s="12">
        <f>IF($L1256="applied","Applied",IF($L1256="interview","Interview",IF($L1256="offer","Offer",IF($L1256="rejected","Rejected",IF($L1256="ignore","Ignore",IF($L1256="archive","Archive",IF($L1256="closed","Closed",IF($B1256="","Unscored",IF(AND($B1256&gt;=8,OR($H1256="",$H1256-TODAY()&lt;=14)),"P1 Apply",IF($B1256&gt;=7,"P2 Strong",IF($B1256&gt;=5,"P3 Maybe","P4 Low")))))))))))</f>
        <v/>
      </c>
      <c r="B1256" s="13" t="n">
        <v>0.97</v>
      </c>
      <c r="C1256" s="12" t="inlineStr">
        <is>
          <t>Unspecified</t>
        </is>
      </c>
      <c r="D1256" s="8" t="inlineStr">
        <is>
          <t>Signal Processing Engineer</t>
        </is>
      </c>
      <c r="E1256" s="7" t="inlineStr">
        <is>
          <t>Cure Talent</t>
        </is>
      </c>
      <c r="F1256" s="8" t="inlineStr">
        <is>
          <t>Leicestershire, England, UK</t>
        </is>
      </c>
      <c r="G1256" s="8" t="n"/>
      <c r="H1256" s="14" t="n"/>
      <c r="I1256" s="15">
        <f>IF($H1256="","",$H1256-TODAY())</f>
        <v/>
      </c>
      <c r="J1256" s="16" t="inlineStr">
        <is>
          <t>Open posting</t>
        </is>
      </c>
      <c r="K1256" s="8" t="inlineStr">
        <is>
          <t>filtered by keyword pre-scan</t>
        </is>
      </c>
      <c r="L1256" s="17" t="inlineStr">
        <is>
          <t>new</t>
        </is>
      </c>
      <c r="M1256" s="18" t="inlineStr"/>
      <c r="N1256" s="7" t="inlineStr">
        <is>
          <t>c6a7dff85f5b9e598877e0237e39cdaf6357c4ff</t>
        </is>
      </c>
      <c r="O1256" s="14" t="n"/>
      <c r="P1256" s="7" t="inlineStr">
        <is>
          <t>jobspy</t>
        </is>
      </c>
      <c r="Q1256" s="8" t="inlineStr">
        <is>
          <t>python, c</t>
        </is>
      </c>
      <c r="R1256" s="8" t="inlineStr">
        <is>
          <t>Signal Processing Engineer DSP graduate Sheffield</t>
        </is>
      </c>
      <c r="S1256" s="19" t="n"/>
      <c r="T1256" s="19" t="n"/>
      <c r="U1256" s="14" t="n">
        <v>46195</v>
      </c>
      <c r="V1256" s="7" t="inlineStr">
        <is>
          <t>v2-cv-accuracy-13b988b18da8ea7d</t>
        </is>
      </c>
    </row>
    <row r="1257" ht="28" customHeight="1">
      <c r="A1257" s="12">
        <f>IF($L1257="applied","Applied",IF($L1257="interview","Interview",IF($L1257="offer","Offer",IF($L1257="rejected","Rejected",IF($L1257="ignore","Ignore",IF($L1257="archive","Archive",IF($L1257="closed","Closed",IF($B1257="","Unscored",IF(AND($B1257&gt;=8,OR($H1257="",$H1257-TODAY()&lt;=14)),"P1 Apply",IF($B1257&gt;=7,"P2 Strong",IF($B1257&gt;=5,"P3 Maybe","P4 Low")))))))))))</f>
        <v/>
      </c>
      <c r="B1257" s="13" t="n">
        <v>0.97</v>
      </c>
      <c r="C1257" s="12" t="inlineStr">
        <is>
          <t>Unspecified</t>
        </is>
      </c>
      <c r="D1257" s="8" t="inlineStr">
        <is>
          <t>Data Engineer (12 month FTC) 199050</t>
        </is>
      </c>
      <c r="E1257" s="7" t="inlineStr">
        <is>
          <t>Harnham</t>
        </is>
      </c>
      <c r="F1257" s="8" t="inlineStr">
        <is>
          <t>England, United Kingdom</t>
        </is>
      </c>
      <c r="G1257" s="8" t="n"/>
      <c r="H1257" s="14" t="n"/>
      <c r="I1257" s="15">
        <f>IF($H1257="","",$H1257-TODAY())</f>
        <v/>
      </c>
      <c r="J1257" s="16" t="inlineStr">
        <is>
          <t>Open posting</t>
        </is>
      </c>
      <c r="K1257" s="8" t="inlineStr">
        <is>
          <t>filtered by keyword pre-scan</t>
        </is>
      </c>
      <c r="L1257" s="17" t="inlineStr">
        <is>
          <t>new</t>
        </is>
      </c>
      <c r="M1257" s="18" t="inlineStr"/>
      <c r="N1257" s="7" t="inlineStr">
        <is>
          <t>b9e513622d70601fe1d64a7c40f805774a14c5e4</t>
        </is>
      </c>
      <c r="O1257" s="14" t="n">
        <v>46189</v>
      </c>
      <c r="P1257" s="7" t="inlineStr">
        <is>
          <t>jobspy</t>
        </is>
      </c>
      <c r="Q1257" s="8" t="inlineStr">
        <is>
          <t>python, c</t>
        </is>
      </c>
      <c r="R1257" s="8" t="inlineStr">
        <is>
          <t>Junior Data Engineer Python SQL MySQL remote</t>
        </is>
      </c>
      <c r="S1257" s="19" t="n"/>
      <c r="T1257" s="19" t="n"/>
      <c r="U1257" s="14" t="n">
        <v>46195</v>
      </c>
      <c r="V1257" s="7" t="inlineStr">
        <is>
          <t>v2-cv-accuracy-13b988b18da8ea7d</t>
        </is>
      </c>
    </row>
    <row r="1258" ht="28" customHeight="1">
      <c r="A1258" s="12">
        <f>IF($L1258="applied","Applied",IF($L1258="interview","Interview",IF($L1258="offer","Offer",IF($L1258="rejected","Rejected",IF($L1258="ignore","Ignore",IF($L1258="archive","Archive",IF($L1258="closed","Closed",IF($B1258="","Unscored",IF(AND($B1258&gt;=8,OR($H1258="",$H1258-TODAY()&lt;=14)),"P1 Apply",IF($B1258&gt;=7,"P2 Strong",IF($B1258&gt;=5,"P3 Maybe","P4 Low")))))))))))</f>
        <v/>
      </c>
      <c r="B1258" s="13" t="n">
        <v>0.97</v>
      </c>
      <c r="C1258" s="12" t="inlineStr">
        <is>
          <t>Unspecified</t>
        </is>
      </c>
      <c r="D1258" s="8" t="inlineStr">
        <is>
          <t>Performance Engineer</t>
        </is>
      </c>
      <c r="E1258" s="7" t="inlineStr">
        <is>
          <t>CommonAI CIC</t>
        </is>
      </c>
      <c r="F1258" s="8" t="inlineStr">
        <is>
          <t>Cambridge, England, UK</t>
        </is>
      </c>
      <c r="G1258" s="8" t="n"/>
      <c r="H1258" s="14" t="n"/>
      <c r="I1258" s="15">
        <f>IF($H1258="","",$H1258-TODAY())</f>
        <v/>
      </c>
      <c r="J1258" s="16" t="inlineStr">
        <is>
          <t>Open posting</t>
        </is>
      </c>
      <c r="K1258" s="8" t="inlineStr">
        <is>
          <t>filtered by keyword pre-scan</t>
        </is>
      </c>
      <c r="L1258" s="17" t="inlineStr">
        <is>
          <t>new</t>
        </is>
      </c>
      <c r="M1258" s="18" t="inlineStr"/>
      <c r="N1258" s="7" t="inlineStr">
        <is>
          <t>56daa3a93013d5b8a00d32ef2ab138a8249d1e33</t>
        </is>
      </c>
      <c r="O1258" s="14" t="n">
        <v>46182</v>
      </c>
      <c r="P1258" s="7" t="inlineStr">
        <is>
          <t>jobspy</t>
        </is>
      </c>
      <c r="Q1258" s="8" t="inlineStr">
        <is>
          <t>python, c</t>
        </is>
      </c>
      <c r="R1258" s="8" t="inlineStr">
        <is>
          <t>Graduate Embedded Engineer Python FPGA</t>
        </is>
      </c>
      <c r="S1258" s="19" t="n"/>
      <c r="T1258" s="19" t="n"/>
      <c r="U1258" s="14" t="n">
        <v>46195</v>
      </c>
      <c r="V1258" s="7" t="inlineStr">
        <is>
          <t>v2-cv-accuracy-13b988b18da8ea7d</t>
        </is>
      </c>
    </row>
    <row r="1259" ht="28" customHeight="1">
      <c r="A1259" s="12">
        <f>IF($L1259="applied","Applied",IF($L1259="interview","Interview",IF($L1259="offer","Offer",IF($L1259="rejected","Rejected",IF($L1259="ignore","Ignore",IF($L1259="archive","Archive",IF($L1259="closed","Closed",IF($B1259="","Unscored",IF(AND($B1259&gt;=8,OR($H1259="",$H1259-TODAY()&lt;=14)),"P1 Apply",IF($B1259&gt;=7,"P2 Strong",IF($B1259&gt;=5,"P3 Maybe","P4 Low")))))))))))</f>
        <v/>
      </c>
      <c r="B1259" s="13" t="n">
        <v>0.97</v>
      </c>
      <c r="C1259" s="12" t="inlineStr">
        <is>
          <t>Mid-level</t>
        </is>
      </c>
      <c r="D1259" s="8" t="inlineStr">
        <is>
          <t>IoT Engineer</t>
        </is>
      </c>
      <c r="E1259" s="7" t="inlineStr">
        <is>
          <t>Wabtec Corporation</t>
        </is>
      </c>
      <c r="F1259" s="8" t="inlineStr">
        <is>
          <t>Derby, England, UK</t>
        </is>
      </c>
      <c r="G1259" s="8" t="n"/>
      <c r="H1259" s="14" t="n"/>
      <c r="I1259" s="15">
        <f>IF($H1259="","",$H1259-TODAY())</f>
        <v/>
      </c>
      <c r="J1259" s="16" t="inlineStr">
        <is>
          <t>Open posting</t>
        </is>
      </c>
      <c r="K1259" s="8" t="inlineStr">
        <is>
          <t>filtered by keyword pre-scan</t>
        </is>
      </c>
      <c r="L1259" s="17" t="inlineStr">
        <is>
          <t>new</t>
        </is>
      </c>
      <c r="M1259" s="18" t="inlineStr"/>
      <c r="N1259" s="7" t="inlineStr">
        <is>
          <t>c119fac9a9ee925235aca434e88d4ea195427452</t>
        </is>
      </c>
      <c r="O1259" s="14" t="n">
        <v>46175</v>
      </c>
      <c r="P1259" s="7" t="inlineStr">
        <is>
          <t>jobspy</t>
        </is>
      </c>
      <c r="Q1259" s="8" t="inlineStr">
        <is>
          <t>git, c</t>
        </is>
      </c>
      <c r="R1259" s="8" t="inlineStr">
        <is>
          <t>Graduate IoT Engineer LoRaWAN embedded</t>
        </is>
      </c>
      <c r="S1259" s="19" t="n"/>
      <c r="T1259" s="19" t="n"/>
      <c r="U1259" s="14" t="n">
        <v>46195</v>
      </c>
      <c r="V1259" s="7" t="inlineStr">
        <is>
          <t>v2-cv-accuracy-13b988b18da8ea7d</t>
        </is>
      </c>
    </row>
    <row r="1260" ht="28" customHeight="1">
      <c r="A1260" s="12">
        <f>IF($L1260="applied","Applied",IF($L1260="interview","Interview",IF($L1260="offer","Offer",IF($L1260="rejected","Rejected",IF($L1260="ignore","Ignore",IF($L1260="archive","Archive",IF($L1260="closed","Closed",IF($B1260="","Unscored",IF(AND($B1260&gt;=8,OR($H1260="",$H1260-TODAY()&lt;=14)),"P1 Apply",IF($B1260&gt;=7,"P2 Strong",IF($B1260&gt;=5,"P3 Maybe","P4 Low")))))))))))</f>
        <v/>
      </c>
      <c r="B1260" s="13" t="n">
        <v>0.97</v>
      </c>
      <c r="C1260" s="12" t="inlineStr">
        <is>
          <t>Graduate/Entry</t>
        </is>
      </c>
      <c r="D1260" s="8" t="inlineStr">
        <is>
          <t>Graduate Forward Deployed Engineer | High Growth Start Up</t>
        </is>
      </c>
      <c r="E1260" s="7" t="inlineStr">
        <is>
          <t>Oho Group</t>
        </is>
      </c>
      <c r="F1260" s="8" t="inlineStr">
        <is>
          <t>London Area, United Kingdom</t>
        </is>
      </c>
      <c r="G1260" s="8" t="n"/>
      <c r="H1260" s="14" t="n"/>
      <c r="I1260" s="15">
        <f>IF($H1260="","",$H1260-TODAY())</f>
        <v/>
      </c>
      <c r="J1260" s="16" t="inlineStr">
        <is>
          <t>Open posting</t>
        </is>
      </c>
      <c r="K1260" s="8" t="inlineStr">
        <is>
          <t>filtered by keyword pre-scan</t>
        </is>
      </c>
      <c r="L1260" s="17" t="inlineStr">
        <is>
          <t>new</t>
        </is>
      </c>
      <c r="M1260" s="18" t="inlineStr"/>
      <c r="N1260" s="7" t="inlineStr">
        <is>
          <t>8ca22a084bd04c9979f42e34927259d66d225ee9</t>
        </is>
      </c>
      <c r="O1260" s="14" t="n"/>
      <c r="P1260" s="7" t="inlineStr">
        <is>
          <t>jobspy</t>
        </is>
      </c>
      <c r="Q1260" s="8" t="inlineStr">
        <is>
          <t>python, c</t>
        </is>
      </c>
      <c r="R1260" s="8" t="inlineStr">
        <is>
          <t>Graduate IoT Engineer LoRaWAN embedded</t>
        </is>
      </c>
      <c r="S1260" s="19" t="n"/>
      <c r="T1260" s="19" t="n"/>
      <c r="U1260" s="14" t="n">
        <v>46195</v>
      </c>
      <c r="V1260" s="7" t="inlineStr">
        <is>
          <t>v2-cv-accuracy-13b988b18da8ea7d</t>
        </is>
      </c>
    </row>
    <row r="1261" ht="28" customHeight="1">
      <c r="A1261" s="12">
        <f>IF($L1261="applied","Applied",IF($L1261="interview","Interview",IF($L1261="offer","Offer",IF($L1261="rejected","Rejected",IF($L1261="ignore","Ignore",IF($L1261="archive","Archive",IF($L1261="closed","Closed",IF($B1261="","Unscored",IF(AND($B1261&gt;=8,OR($H1261="",$H1261-TODAY()&lt;=14)),"P1 Apply",IF($B1261&gt;=7,"P2 Strong",IF($B1261&gt;=5,"P3 Maybe","P4 Low")))))))))))</f>
        <v/>
      </c>
      <c r="B1261" s="13" t="n">
        <v>0.97</v>
      </c>
      <c r="C1261" s="12" t="inlineStr">
        <is>
          <t>Unspecified</t>
        </is>
      </c>
      <c r="D1261" s="8" t="inlineStr">
        <is>
          <t>Audio Consultant Engineer</t>
        </is>
      </c>
      <c r="E1261" s="7" t="inlineStr">
        <is>
          <t>microTECH Global LTD</t>
        </is>
      </c>
      <c r="F1261" s="8" t="inlineStr">
        <is>
          <t>England, United Kingdom</t>
        </is>
      </c>
      <c r="G1261" s="8" t="n"/>
      <c r="H1261" s="14" t="n"/>
      <c r="I1261" s="15">
        <f>IF($H1261="","",$H1261-TODAY())</f>
        <v/>
      </c>
      <c r="J1261" s="16" t="inlineStr">
        <is>
          <t>Open posting</t>
        </is>
      </c>
      <c r="K1261" s="8" t="inlineStr">
        <is>
          <t>filtered by keyword pre-scan</t>
        </is>
      </c>
      <c r="L1261" s="17" t="inlineStr">
        <is>
          <t>new</t>
        </is>
      </c>
      <c r="M1261" s="18" t="inlineStr"/>
      <c r="N1261" s="7" t="inlineStr">
        <is>
          <t>47baec6aede25f8d6f03cd118f5e065f7ec044a7</t>
        </is>
      </c>
      <c r="O1261" s="14" t="n">
        <v>46183</v>
      </c>
      <c r="P1261" s="7" t="inlineStr">
        <is>
          <t>jobspy</t>
        </is>
      </c>
      <c r="Q1261" s="8" t="inlineStr">
        <is>
          <t>c, dsp</t>
        </is>
      </c>
      <c r="R1261" s="8" t="inlineStr">
        <is>
          <t>Signal Processing Engineer graduate DSP</t>
        </is>
      </c>
      <c r="S1261" s="19" t="n"/>
      <c r="T1261" s="19" t="n"/>
      <c r="U1261" s="14" t="n">
        <v>46195</v>
      </c>
      <c r="V1261" s="7" t="inlineStr">
        <is>
          <t>v2-cv-accuracy-13b988b18da8ea7d</t>
        </is>
      </c>
    </row>
    <row r="1262" ht="28" customHeight="1">
      <c r="A1262" s="12">
        <f>IF($L1262="applied","Applied",IF($L1262="interview","Interview",IF($L1262="offer","Offer",IF($L1262="rejected","Rejected",IF($L1262="ignore","Ignore",IF($L1262="archive","Archive",IF($L1262="closed","Closed",IF($B1262="","Unscored",IF(AND($B1262&gt;=8,OR($H1262="",$H1262-TODAY()&lt;=14)),"P1 Apply",IF($B1262&gt;=7,"P2 Strong",IF($B1262&gt;=5,"P3 Maybe","P4 Low")))))))))))</f>
        <v/>
      </c>
      <c r="B1262" s="13" t="n">
        <v>0.97</v>
      </c>
      <c r="C1262" s="12" t="inlineStr">
        <is>
          <t>Senior/Lead</t>
        </is>
      </c>
      <c r="D1262" s="8" t="inlineStr">
        <is>
          <t>Power and Performance Validation Engineer</t>
        </is>
      </c>
      <c r="E1262" s="7" t="inlineStr">
        <is>
          <t>Graphcore</t>
        </is>
      </c>
      <c r="F1262" s="8" t="inlineStr">
        <is>
          <t>Austin, Texas, United States</t>
        </is>
      </c>
      <c r="G1262" s="8" t="n"/>
      <c r="H1262" s="14" t="n"/>
      <c r="I1262" s="15">
        <f>IF($H1262="","",$H1262-TODAY())</f>
        <v/>
      </c>
      <c r="J1262" s="16" t="inlineStr">
        <is>
          <t>Open posting</t>
        </is>
      </c>
      <c r="K1262" s="8" t="inlineStr">
        <is>
          <t>filtered by keyword pre-scan</t>
        </is>
      </c>
      <c r="L1262" s="17" t="inlineStr">
        <is>
          <t>new</t>
        </is>
      </c>
      <c r="M1262" s="18" t="inlineStr"/>
      <c r="N1262" s="7" t="inlineStr">
        <is>
          <t>703057159fd795a0d6883f2746f5624de1972c46</t>
        </is>
      </c>
      <c r="O1262" s="14" t="n">
        <v>46195</v>
      </c>
      <c r="P1262" s="7" t="inlineStr">
        <is>
          <t>greenhouse:graphcore</t>
        </is>
      </c>
      <c r="Q1262" s="8" t="inlineStr">
        <is>
          <t>python, c</t>
        </is>
      </c>
      <c r="R1262" s="8" t="n"/>
      <c r="S1262" s="19" t="n"/>
      <c r="T1262" s="19" t="n"/>
      <c r="U1262" s="14" t="n">
        <v>46195</v>
      </c>
      <c r="V1262" s="7" t="inlineStr">
        <is>
          <t>v2-cv-accuracy-13b988b18da8ea7d</t>
        </is>
      </c>
    </row>
    <row r="1263" ht="28" customHeight="1">
      <c r="A1263" s="12">
        <f>IF($L1263="applied","Applied",IF($L1263="interview","Interview",IF($L1263="offer","Offer",IF($L1263="rejected","Rejected",IF($L1263="ignore","Ignore",IF($L1263="archive","Archive",IF($L1263="closed","Closed",IF($B1263="","Unscored",IF(AND($B1263&gt;=8,OR($H1263="",$H1263-TODAY()&lt;=14)),"P1 Apply",IF($B1263&gt;=7,"P2 Strong",IF($B1263&gt;=5,"P3 Maybe","P4 Low")))))))))))</f>
        <v/>
      </c>
      <c r="B1263" s="13" t="n">
        <v>0.97</v>
      </c>
      <c r="C1263" s="12" t="inlineStr">
        <is>
          <t>Unspecified</t>
        </is>
      </c>
      <c r="D1263" s="8" t="inlineStr">
        <is>
          <t>Software Engineer</t>
        </is>
      </c>
      <c r="E1263" s="7" t="inlineStr">
        <is>
          <t>Cierti</t>
        </is>
      </c>
      <c r="F1263" s="8" t="inlineStr">
        <is>
          <t>Kent, England, UK</t>
        </is>
      </c>
      <c r="G1263" s="8" t="n"/>
      <c r="H1263" s="14" t="n"/>
      <c r="I1263" s="15">
        <f>IF($H1263="","",$H1263-TODAY())</f>
        <v/>
      </c>
      <c r="J1263" s="16" t="inlineStr">
        <is>
          <t>Open posting</t>
        </is>
      </c>
      <c r="K1263" s="8" t="inlineStr">
        <is>
          <t>filtered by keyword pre-scan</t>
        </is>
      </c>
      <c r="L1263" s="17" t="inlineStr">
        <is>
          <t>new</t>
        </is>
      </c>
      <c r="M1263" s="18" t="inlineStr"/>
      <c r="N1263" s="7" t="inlineStr">
        <is>
          <t>ef1b3103f9e66c344de02c2d014c4896a97d004e</t>
        </is>
      </c>
      <c r="O1263" s="14" t="n">
        <v>46177</v>
      </c>
      <c r="P1263" s="7" t="inlineStr">
        <is>
          <t>jobspy</t>
        </is>
      </c>
      <c r="Q1263" s="8" t="inlineStr">
        <is>
          <t>c, embedded systems</t>
        </is>
      </c>
      <c r="R1263" s="8" t="inlineStr">
        <is>
          <t>Graduate Software Engineer embedded systems</t>
        </is>
      </c>
      <c r="S1263" s="19" t="n"/>
      <c r="T1263" s="19" t="n"/>
      <c r="U1263" s="14" t="n">
        <v>46194</v>
      </c>
      <c r="V1263" s="7" t="inlineStr">
        <is>
          <t>v2-cv-accuracy-13b988b18da8ea7d</t>
        </is>
      </c>
    </row>
    <row r="1264" ht="28" customHeight="1">
      <c r="A1264" s="12">
        <f>IF($L1264="applied","Applied",IF($L1264="interview","Interview",IF($L1264="offer","Offer",IF($L1264="rejected","Rejected",IF($L1264="ignore","Ignore",IF($L1264="archive","Archive",IF($L1264="closed","Closed",IF($B1264="","Unscored",IF(AND($B1264&gt;=8,OR($H1264="",$H1264-TODAY()&lt;=14)),"P1 Apply",IF($B1264&gt;=7,"P2 Strong",IF($B1264&gt;=5,"P3 Maybe","P4 Low")))))))))))</f>
        <v/>
      </c>
      <c r="B1264" s="13" t="n">
        <v>0.97</v>
      </c>
      <c r="C1264" s="12" t="inlineStr">
        <is>
          <t>Mid-level</t>
        </is>
      </c>
      <c r="D1264" s="8" t="inlineStr">
        <is>
          <t>Pricing Data Engineer</t>
        </is>
      </c>
      <c r="E1264" s="7" t="inlineStr">
        <is>
          <t>Sellick Partnership</t>
        </is>
      </c>
      <c r="F1264" s="8" t="inlineStr"/>
      <c r="G1264" s="8" t="n"/>
      <c r="H1264" s="14" t="n"/>
      <c r="I1264" s="15">
        <f>IF($H1264="","",$H1264-TODAY())</f>
        <v/>
      </c>
      <c r="J1264" s="16" t="inlineStr">
        <is>
          <t>Open posting</t>
        </is>
      </c>
      <c r="K1264" s="8" t="inlineStr">
        <is>
          <t>filtered by keyword pre-scan</t>
        </is>
      </c>
      <c r="L1264" s="17" t="inlineStr">
        <is>
          <t>new</t>
        </is>
      </c>
      <c r="M1264" s="18" t="inlineStr"/>
      <c r="N1264" s="7" t="inlineStr">
        <is>
          <t>22b2f7f0964d2f70fa04510a4de2ee2848c88bb0</t>
        </is>
      </c>
      <c r="O1264" s="14" t="n">
        <v>46191</v>
      </c>
      <c r="P1264" s="7" t="inlineStr">
        <is>
          <t>jobspy</t>
        </is>
      </c>
      <c r="Q1264" s="8" t="inlineStr">
        <is>
          <t>sql, git, c</t>
        </is>
      </c>
      <c r="R1264" s="8" t="inlineStr">
        <is>
          <t>Graduate Data Engineer Python SQL pipeline</t>
        </is>
      </c>
      <c r="S1264" s="19" t="n"/>
      <c r="T1264" s="19" t="n"/>
      <c r="U1264" s="14" t="n">
        <v>46194</v>
      </c>
      <c r="V1264" s="7" t="inlineStr">
        <is>
          <t>v2-cv-accuracy-13b988b18da8ea7d</t>
        </is>
      </c>
    </row>
    <row r="1265" ht="28" customHeight="1">
      <c r="A1265" s="12">
        <f>IF($L1265="applied","Applied",IF($L1265="interview","Interview",IF($L1265="offer","Offer",IF($L1265="rejected","Rejected",IF($L1265="ignore","Ignore",IF($L1265="archive","Archive",IF($L1265="closed","Closed",IF($B1265="","Unscored",IF(AND($B1265&gt;=8,OR($H1265="",$H1265-TODAY()&lt;=14)),"P1 Apply",IF($B1265&gt;=7,"P2 Strong",IF($B1265&gt;=5,"P3 Maybe","P4 Low")))))))))))</f>
        <v/>
      </c>
      <c r="B1265" s="13" t="n">
        <v>0.97</v>
      </c>
      <c r="C1265" s="12" t="inlineStr">
        <is>
          <t>Senior/Lead</t>
        </is>
      </c>
      <c r="D1265" s="8" t="inlineStr">
        <is>
          <t>AI Data Engineer - (Trading Analytics)</t>
        </is>
      </c>
      <c r="E1265" s="7" t="inlineStr">
        <is>
          <t>La Fosse</t>
        </is>
      </c>
      <c r="F1265" s="8" t="inlineStr">
        <is>
          <t>London Area, United Kingdom</t>
        </is>
      </c>
      <c r="G1265" s="8" t="n"/>
      <c r="H1265" s="14" t="n"/>
      <c r="I1265" s="15">
        <f>IF($H1265="","",$H1265-TODAY())</f>
        <v/>
      </c>
      <c r="J1265" s="16" t="inlineStr">
        <is>
          <t>Open posting</t>
        </is>
      </c>
      <c r="K1265" s="8" t="inlineStr">
        <is>
          <t>filtered by keyword pre-scan</t>
        </is>
      </c>
      <c r="L1265" s="17" t="inlineStr">
        <is>
          <t>new</t>
        </is>
      </c>
      <c r="M1265" s="18" t="inlineStr"/>
      <c r="N1265" s="7" t="inlineStr">
        <is>
          <t>bf35a153cadc8f8cf646e0f857741cf01d39a316</t>
        </is>
      </c>
      <c r="O1265" s="14" t="n">
        <v>46169</v>
      </c>
      <c r="P1265" s="7" t="inlineStr">
        <is>
          <t>jobspy</t>
        </is>
      </c>
      <c r="Q1265" s="8" t="inlineStr">
        <is>
          <t>sql, c</t>
        </is>
      </c>
      <c r="R1265" s="8" t="inlineStr">
        <is>
          <t>Graduate Data Engineer Python SQL pipeline</t>
        </is>
      </c>
      <c r="S1265" s="19" t="n"/>
      <c r="T1265" s="19" t="n"/>
      <c r="U1265" s="14" t="n">
        <v>46194</v>
      </c>
      <c r="V1265" s="7" t="inlineStr">
        <is>
          <t>v2-cv-accuracy-13b988b18da8ea7d</t>
        </is>
      </c>
    </row>
    <row r="1266" ht="28" customHeight="1">
      <c r="A1266" s="12">
        <f>IF($L1266="applied","Applied",IF($L1266="interview","Interview",IF($L1266="offer","Offer",IF($L1266="rejected","Rejected",IF($L1266="ignore","Ignore",IF($L1266="archive","Archive",IF($L1266="closed","Closed",IF($B1266="","Unscored",IF(AND($B1266&gt;=8,OR($H1266="",$H1266-TODAY()&lt;=14)),"P1 Apply",IF($B1266&gt;=7,"P2 Strong",IF($B1266&gt;=5,"P3 Maybe","P4 Low")))))))))))</f>
        <v/>
      </c>
      <c r="B1266" s="13" t="n">
        <v>0.97</v>
      </c>
      <c r="C1266" s="12" t="inlineStr">
        <is>
          <t>Unspecified</t>
        </is>
      </c>
      <c r="D1266" s="8" t="inlineStr">
        <is>
          <t>Configuration Engineer</t>
        </is>
      </c>
      <c r="E1266" s="7" t="inlineStr">
        <is>
          <t>STS Defence</t>
        </is>
      </c>
      <c r="F1266" s="8" t="inlineStr">
        <is>
          <t>Gosport, England, UK</t>
        </is>
      </c>
      <c r="G1266" s="8" t="n"/>
      <c r="H1266" s="14" t="n"/>
      <c r="I1266" s="15">
        <f>IF($H1266="","",$H1266-TODAY())</f>
        <v/>
      </c>
      <c r="J1266" s="16" t="inlineStr">
        <is>
          <t>Open posting</t>
        </is>
      </c>
      <c r="K1266" s="8" t="inlineStr">
        <is>
          <t>filtered by keyword pre-scan</t>
        </is>
      </c>
      <c r="L1266" s="17" t="inlineStr">
        <is>
          <t>new</t>
        </is>
      </c>
      <c r="M1266" s="18" t="inlineStr"/>
      <c r="N1266" s="7" t="inlineStr">
        <is>
          <t>9440b250d4f79606f34e3fa1b48e9bd40b515724</t>
        </is>
      </c>
      <c r="O1266" s="14" t="n">
        <v>46189</v>
      </c>
      <c r="P1266" s="7" t="inlineStr">
        <is>
          <t>jobspy</t>
        </is>
      </c>
      <c r="Q1266" s="8" t="inlineStr">
        <is>
          <t>git, c</t>
        </is>
      </c>
      <c r="R1266" s="8" t="inlineStr">
        <is>
          <t>Graduate Verification Engineer digital design</t>
        </is>
      </c>
      <c r="S1266" s="19" t="n"/>
      <c r="T1266" s="19" t="n"/>
      <c r="U1266" s="14" t="n">
        <v>46194</v>
      </c>
      <c r="V1266" s="7" t="inlineStr">
        <is>
          <t>v2-cv-accuracy-13b988b18da8ea7d</t>
        </is>
      </c>
    </row>
    <row r="1267" ht="28" customHeight="1">
      <c r="A1267" s="12">
        <f>IF($L1267="applied","Applied",IF($L1267="interview","Interview",IF($L1267="offer","Offer",IF($L1267="rejected","Rejected",IF($L1267="ignore","Ignore",IF($L1267="archive","Archive",IF($L1267="closed","Closed",IF($B1267="","Unscored",IF(AND($B1267&gt;=8,OR($H1267="",$H1267-TODAY()&lt;=14)),"P1 Apply",IF($B1267&gt;=7,"P2 Strong",IF($B1267&gt;=5,"P3 Maybe","P4 Low")))))))))))</f>
        <v/>
      </c>
      <c r="B1267" s="13" t="n">
        <v>0.97</v>
      </c>
      <c r="C1267" s="12" t="inlineStr">
        <is>
          <t>Unspecified</t>
        </is>
      </c>
      <c r="D1267" s="8" t="inlineStr">
        <is>
          <t>Moodle (PHP) Developer</t>
        </is>
      </c>
      <c r="E1267" s="7" t="inlineStr">
        <is>
          <t>Arden University</t>
        </is>
      </c>
      <c r="F1267" s="8" t="inlineStr">
        <is>
          <t>London, England, UK</t>
        </is>
      </c>
      <c r="G1267" s="8" t="n"/>
      <c r="H1267" s="14" t="n"/>
      <c r="I1267" s="15">
        <f>IF($H1267="","",$H1267-TODAY())</f>
        <v/>
      </c>
      <c r="J1267" s="16" t="inlineStr">
        <is>
          <t>Open posting</t>
        </is>
      </c>
      <c r="K1267" s="8" t="inlineStr">
        <is>
          <t>filtered by keyword pre-scan</t>
        </is>
      </c>
      <c r="L1267" s="17" t="inlineStr">
        <is>
          <t>new</t>
        </is>
      </c>
      <c r="M1267" s="18" t="inlineStr"/>
      <c r="N1267" s="7" t="inlineStr">
        <is>
          <t>cb9ac3946be79dfc3f4ba1d4712b76a765ba119a</t>
        </is>
      </c>
      <c r="O1267" s="14" t="n">
        <v>46188</v>
      </c>
      <c r="P1267" s="7" t="inlineStr">
        <is>
          <t>jobspy</t>
        </is>
      </c>
      <c r="Q1267" s="8" t="inlineStr">
        <is>
          <t>git, c</t>
        </is>
      </c>
      <c r="R1267" s="8" t="inlineStr">
        <is>
          <t>Graduate Verification Engineer digital design</t>
        </is>
      </c>
      <c r="S1267" s="19" t="n"/>
      <c r="T1267" s="19" t="n"/>
      <c r="U1267" s="14" t="n">
        <v>46194</v>
      </c>
      <c r="V1267" s="7" t="inlineStr">
        <is>
          <t>v2-cv-accuracy-13b988b18da8ea7d</t>
        </is>
      </c>
    </row>
    <row r="1268" ht="28" customHeight="1">
      <c r="A1268" s="12">
        <f>IF($L1268="applied","Applied",IF($L1268="interview","Interview",IF($L1268="offer","Offer",IF($L1268="rejected","Rejected",IF($L1268="ignore","Ignore",IF($L1268="archive","Archive",IF($L1268="closed","Closed",IF($B1268="","Unscored",IF(AND($B1268&gt;=8,OR($H1268="",$H1268-TODAY()&lt;=14)),"P1 Apply",IF($B1268&gt;=7,"P2 Strong",IF($B1268&gt;=5,"P3 Maybe","P4 Low")))))))))))</f>
        <v/>
      </c>
      <c r="B1268" s="13" t="n">
        <v>0.97</v>
      </c>
      <c r="C1268" s="12" t="inlineStr">
        <is>
          <t>Unspecified</t>
        </is>
      </c>
      <c r="D1268" s="8" t="inlineStr">
        <is>
          <t>Moodle (PHP) Developer</t>
        </is>
      </c>
      <c r="E1268" s="7" t="inlineStr">
        <is>
          <t>Arden University</t>
        </is>
      </c>
      <c r="F1268" s="8" t="inlineStr">
        <is>
          <t>Manchester, England, UK</t>
        </is>
      </c>
      <c r="G1268" s="8" t="n"/>
      <c r="H1268" s="14" t="n"/>
      <c r="I1268" s="15">
        <f>IF($H1268="","",$H1268-TODAY())</f>
        <v/>
      </c>
      <c r="J1268" s="16" t="inlineStr">
        <is>
          <t>Open posting</t>
        </is>
      </c>
      <c r="K1268" s="8" t="inlineStr">
        <is>
          <t>filtered by keyword pre-scan</t>
        </is>
      </c>
      <c r="L1268" s="17" t="inlineStr">
        <is>
          <t>new</t>
        </is>
      </c>
      <c r="M1268" s="18" t="inlineStr"/>
      <c r="N1268" s="7" t="inlineStr">
        <is>
          <t>5411e02bf17060126e0c8a3a7aac069b156e266b</t>
        </is>
      </c>
      <c r="O1268" s="14" t="n">
        <v>46188</v>
      </c>
      <c r="P1268" s="7" t="inlineStr">
        <is>
          <t>jobspy</t>
        </is>
      </c>
      <c r="Q1268" s="8" t="inlineStr">
        <is>
          <t>git, c</t>
        </is>
      </c>
      <c r="R1268" s="8" t="inlineStr">
        <is>
          <t>Graduate Verification Engineer digital design</t>
        </is>
      </c>
      <c r="S1268" s="19" t="n"/>
      <c r="T1268" s="19" t="n"/>
      <c r="U1268" s="14" t="n">
        <v>46194</v>
      </c>
      <c r="V1268" s="7" t="inlineStr">
        <is>
          <t>v2-cv-accuracy-13b988b18da8ea7d</t>
        </is>
      </c>
    </row>
    <row r="1269" ht="28" customHeight="1">
      <c r="A1269" s="12">
        <f>IF($L1269="applied","Applied",IF($L1269="interview","Interview",IF($L1269="offer","Offer",IF($L1269="rejected","Rejected",IF($L1269="ignore","Ignore",IF($L1269="archive","Archive",IF($L1269="closed","Closed",IF($B1269="","Unscored",IF(AND($B1269&gt;=8,OR($H1269="",$H1269-TODAY()&lt;=14)),"P1 Apply",IF($B1269&gt;=7,"P2 Strong",IF($B1269&gt;=5,"P3 Maybe","P4 Low")))))))))))</f>
        <v/>
      </c>
      <c r="B1269" s="13" t="n">
        <v>0.97</v>
      </c>
      <c r="C1269" s="12" t="inlineStr">
        <is>
          <t>Unspecified</t>
        </is>
      </c>
      <c r="D1269" s="8" t="inlineStr">
        <is>
          <t>Moodle (PHP) Developer</t>
        </is>
      </c>
      <c r="E1269" s="7" t="inlineStr">
        <is>
          <t>Arden University</t>
        </is>
      </c>
      <c r="F1269" s="8" t="inlineStr">
        <is>
          <t>Birmingham, England, UK</t>
        </is>
      </c>
      <c r="G1269" s="8" t="n"/>
      <c r="H1269" s="14" t="n"/>
      <c r="I1269" s="15">
        <f>IF($H1269="","",$H1269-TODAY())</f>
        <v/>
      </c>
      <c r="J1269" s="16" t="inlineStr">
        <is>
          <t>Open posting</t>
        </is>
      </c>
      <c r="K1269" s="8" t="inlineStr">
        <is>
          <t>filtered by keyword pre-scan</t>
        </is>
      </c>
      <c r="L1269" s="17" t="inlineStr">
        <is>
          <t>new</t>
        </is>
      </c>
      <c r="M1269" s="18" t="inlineStr"/>
      <c r="N1269" s="7" t="inlineStr">
        <is>
          <t>cdee0ac44ec151a5b013b2f2222be7434a3c462a</t>
        </is>
      </c>
      <c r="O1269" s="14" t="n">
        <v>46188</v>
      </c>
      <c r="P1269" s="7" t="inlineStr">
        <is>
          <t>jobspy</t>
        </is>
      </c>
      <c r="Q1269" s="8" t="inlineStr">
        <is>
          <t>git, c</t>
        </is>
      </c>
      <c r="R1269" s="8" t="inlineStr">
        <is>
          <t>Graduate Verification Engineer digital design</t>
        </is>
      </c>
      <c r="S1269" s="19" t="n"/>
      <c r="T1269" s="19" t="n"/>
      <c r="U1269" s="14" t="n">
        <v>46194</v>
      </c>
      <c r="V1269" s="7" t="inlineStr">
        <is>
          <t>v2-cv-accuracy-13b988b18da8ea7d</t>
        </is>
      </c>
    </row>
    <row r="1270" ht="28" customHeight="1">
      <c r="A1270" s="12">
        <f>IF($L1270="applied","Applied",IF($L1270="interview","Interview",IF($L1270="offer","Offer",IF($L1270="rejected","Rejected",IF($L1270="ignore","Ignore",IF($L1270="archive","Archive",IF($L1270="closed","Closed",IF($B1270="","Unscored",IF(AND($B1270&gt;=8,OR($H1270="",$H1270-TODAY()&lt;=14)),"P1 Apply",IF($B1270&gt;=7,"P2 Strong",IF($B1270&gt;=5,"P3 Maybe","P4 Low")))))))))))</f>
        <v/>
      </c>
      <c r="B1270" s="13" t="n">
        <v>0.97</v>
      </c>
      <c r="C1270" s="12" t="inlineStr">
        <is>
          <t>Unspecified</t>
        </is>
      </c>
      <c r="D1270" s="8" t="inlineStr">
        <is>
          <t>Moodle (PHP) Developer</t>
        </is>
      </c>
      <c r="E1270" s="7" t="inlineStr">
        <is>
          <t>Arden University</t>
        </is>
      </c>
      <c r="F1270" s="8" t="inlineStr">
        <is>
          <t>Leeds, England, UK</t>
        </is>
      </c>
      <c r="G1270" s="8" t="n"/>
      <c r="H1270" s="14" t="n"/>
      <c r="I1270" s="15">
        <f>IF($H1270="","",$H1270-TODAY())</f>
        <v/>
      </c>
      <c r="J1270" s="16" t="inlineStr">
        <is>
          <t>Open posting</t>
        </is>
      </c>
      <c r="K1270" s="8" t="inlineStr">
        <is>
          <t>filtered by keyword pre-scan</t>
        </is>
      </c>
      <c r="L1270" s="17" t="inlineStr">
        <is>
          <t>new</t>
        </is>
      </c>
      <c r="M1270" s="18" t="inlineStr"/>
      <c r="N1270" s="7" t="inlineStr">
        <is>
          <t>cbc6510bce583ba63da9d03b4b9d0e9db5fcacb9</t>
        </is>
      </c>
      <c r="O1270" s="14" t="n">
        <v>46188</v>
      </c>
      <c r="P1270" s="7" t="inlineStr">
        <is>
          <t>jobspy</t>
        </is>
      </c>
      <c r="Q1270" s="8" t="inlineStr">
        <is>
          <t>git, c</t>
        </is>
      </c>
      <c r="R1270" s="8" t="inlineStr">
        <is>
          <t>Graduate Verification Engineer digital design</t>
        </is>
      </c>
      <c r="S1270" s="19" t="n"/>
      <c r="T1270" s="19" t="n"/>
      <c r="U1270" s="14" t="n">
        <v>46194</v>
      </c>
      <c r="V1270" s="7" t="inlineStr">
        <is>
          <t>v2-cv-accuracy-13b988b18da8ea7d</t>
        </is>
      </c>
    </row>
    <row r="1271" ht="28" customHeight="1">
      <c r="A1271" s="12">
        <f>IF($L1271="applied","Applied",IF($L1271="interview","Interview",IF($L1271="offer","Offer",IF($L1271="rejected","Rejected",IF($L1271="ignore","Ignore",IF($L1271="archive","Archive",IF($L1271="closed","Closed",IF($B1271="","Unscored",IF(AND($B1271&gt;=8,OR($H1271="",$H1271-TODAY()&lt;=14)),"P1 Apply",IF($B1271&gt;=7,"P2 Strong",IF($B1271&gt;=5,"P3 Maybe","P4 Low")))))))))))</f>
        <v/>
      </c>
      <c r="B1271" s="13" t="n">
        <v>0.97</v>
      </c>
      <c r="C1271" s="12" t="inlineStr">
        <is>
          <t>Unspecified</t>
        </is>
      </c>
      <c r="D1271" s="8" t="inlineStr">
        <is>
          <t>Moodle (PHP) Developer</t>
        </is>
      </c>
      <c r="E1271" s="7" t="inlineStr">
        <is>
          <t>Arden University</t>
        </is>
      </c>
      <c r="F1271" s="8" t="inlineStr">
        <is>
          <t>Nottingham, England, UK</t>
        </is>
      </c>
      <c r="G1271" s="8" t="n"/>
      <c r="H1271" s="14" t="n"/>
      <c r="I1271" s="15">
        <f>IF($H1271="","",$H1271-TODAY())</f>
        <v/>
      </c>
      <c r="J1271" s="16" t="inlineStr">
        <is>
          <t>Open posting</t>
        </is>
      </c>
      <c r="K1271" s="8" t="inlineStr">
        <is>
          <t>filtered by keyword pre-scan</t>
        </is>
      </c>
      <c r="L1271" s="17" t="inlineStr">
        <is>
          <t>new</t>
        </is>
      </c>
      <c r="M1271" s="18" t="inlineStr"/>
      <c r="N1271" s="7" t="inlineStr">
        <is>
          <t>0ca7647177dfcb07366e9479b1b3c4015953c06e</t>
        </is>
      </c>
      <c r="O1271" s="14" t="n">
        <v>46188</v>
      </c>
      <c r="P1271" s="7" t="inlineStr">
        <is>
          <t>jobspy</t>
        </is>
      </c>
      <c r="Q1271" s="8" t="inlineStr">
        <is>
          <t>git, c</t>
        </is>
      </c>
      <c r="R1271" s="8" t="inlineStr">
        <is>
          <t>Graduate Verification Engineer digital design</t>
        </is>
      </c>
      <c r="S1271" s="19" t="n"/>
      <c r="T1271" s="19" t="n"/>
      <c r="U1271" s="14" t="n">
        <v>46194</v>
      </c>
      <c r="V1271" s="7" t="inlineStr">
        <is>
          <t>v2-cv-accuracy-13b988b18da8ea7d</t>
        </is>
      </c>
    </row>
    <row r="1272" ht="28" customHeight="1">
      <c r="A1272" s="12">
        <f>IF($L1272="applied","Applied",IF($L1272="interview","Interview",IF($L1272="offer","Offer",IF($L1272="rejected","Rejected",IF($L1272="ignore","Ignore",IF($L1272="archive","Archive",IF($L1272="closed","Closed",IF($B1272="","Unscored",IF(AND($B1272&gt;=8,OR($H1272="",$H1272-TODAY()&lt;=14)),"P1 Apply",IF($B1272&gt;=7,"P2 Strong",IF($B1272&gt;=5,"P3 Maybe","P4 Low")))))))))))</f>
        <v/>
      </c>
      <c r="B1272" s="13" t="n">
        <v>0.97</v>
      </c>
      <c r="C1272" s="12" t="inlineStr">
        <is>
          <t>Unspecified</t>
        </is>
      </c>
      <c r="D1272" s="8" t="inlineStr">
        <is>
          <t>Moodle (PHP) Developer</t>
        </is>
      </c>
      <c r="E1272" s="7" t="inlineStr">
        <is>
          <t>Arden University</t>
        </is>
      </c>
      <c r="F1272" s="8" t="inlineStr">
        <is>
          <t>Newcastle Upon Tyne, England, UK</t>
        </is>
      </c>
      <c r="G1272" s="8" t="n"/>
      <c r="H1272" s="14" t="n"/>
      <c r="I1272" s="15">
        <f>IF($H1272="","",$H1272-TODAY())</f>
        <v/>
      </c>
      <c r="J1272" s="16" t="inlineStr">
        <is>
          <t>Open posting</t>
        </is>
      </c>
      <c r="K1272" s="8" t="inlineStr">
        <is>
          <t>filtered by keyword pre-scan</t>
        </is>
      </c>
      <c r="L1272" s="17" t="inlineStr">
        <is>
          <t>new</t>
        </is>
      </c>
      <c r="M1272" s="18" t="inlineStr"/>
      <c r="N1272" s="7" t="inlineStr">
        <is>
          <t>8e9402e543e5fa712ba9205fba2517f381fb82bc</t>
        </is>
      </c>
      <c r="O1272" s="14" t="n">
        <v>46188</v>
      </c>
      <c r="P1272" s="7" t="inlineStr">
        <is>
          <t>jobspy</t>
        </is>
      </c>
      <c r="Q1272" s="8" t="inlineStr">
        <is>
          <t>git, c</t>
        </is>
      </c>
      <c r="R1272" s="8" t="inlineStr">
        <is>
          <t>Graduate Verification Engineer digital design</t>
        </is>
      </c>
      <c r="S1272" s="19" t="n"/>
      <c r="T1272" s="19" t="n"/>
      <c r="U1272" s="14" t="n">
        <v>46194</v>
      </c>
      <c r="V1272" s="7" t="inlineStr">
        <is>
          <t>v2-cv-accuracy-13b988b18da8ea7d</t>
        </is>
      </c>
    </row>
    <row r="1273" ht="28" customHeight="1">
      <c r="A1273" s="12">
        <f>IF($L1273="applied","Applied",IF($L1273="interview","Interview",IF($L1273="offer","Offer",IF($L1273="rejected","Rejected",IF($L1273="ignore","Ignore",IF($L1273="archive","Archive",IF($L1273="closed","Closed",IF($B1273="","Unscored",IF(AND($B1273&gt;=8,OR($H1273="",$H1273-TODAY()&lt;=14)),"P1 Apply",IF($B1273&gt;=7,"P2 Strong",IF($B1273&gt;=5,"P3 Maybe","P4 Low")))))))))))</f>
        <v/>
      </c>
      <c r="B1273" s="13" t="n">
        <v>0.97</v>
      </c>
      <c r="C1273" s="12" t="inlineStr">
        <is>
          <t>Mid-level</t>
        </is>
      </c>
      <c r="D1273" s="8" t="inlineStr">
        <is>
          <t>Embedded Software Research Engineer</t>
        </is>
      </c>
      <c r="E1273" s="7" t="inlineStr">
        <is>
          <t>Thales</t>
        </is>
      </c>
      <c r="F1273" s="8" t="inlineStr">
        <is>
          <t>Reading, England, UK</t>
        </is>
      </c>
      <c r="G1273" s="8" t="n"/>
      <c r="H1273" s="14" t="n"/>
      <c r="I1273" s="15">
        <f>IF($H1273="","",$H1273-TODAY())</f>
        <v/>
      </c>
      <c r="J1273" s="16" t="inlineStr">
        <is>
          <t>Open posting</t>
        </is>
      </c>
      <c r="K1273" s="8" t="inlineStr">
        <is>
          <t>filtered by keyword pre-scan</t>
        </is>
      </c>
      <c r="L1273" s="17" t="inlineStr">
        <is>
          <t>new</t>
        </is>
      </c>
      <c r="M1273" s="18" t="inlineStr"/>
      <c r="N1273" s="7" t="inlineStr">
        <is>
          <t>46713d0aff683468b4a1826a949dcac16833d705</t>
        </is>
      </c>
      <c r="O1273" s="14" t="n">
        <v>46176</v>
      </c>
      <c r="P1273" s="7" t="inlineStr">
        <is>
          <t>jobspy</t>
        </is>
      </c>
      <c r="Q1273" s="8" t="inlineStr">
        <is>
          <t>git, c</t>
        </is>
      </c>
      <c r="R1273" s="8" t="inlineStr">
        <is>
          <t>Graduate Defence Engineer embedded digital design</t>
        </is>
      </c>
      <c r="S1273" s="19" t="n"/>
      <c r="T1273" s="19" t="n"/>
      <c r="U1273" s="14" t="n">
        <v>46194</v>
      </c>
      <c r="V1273" s="7" t="inlineStr">
        <is>
          <t>v2-cv-accuracy-13b988b18da8ea7d</t>
        </is>
      </c>
    </row>
    <row r="1274" ht="28" customHeight="1">
      <c r="A1274" s="12">
        <f>IF($L1274="applied","Applied",IF($L1274="interview","Interview",IF($L1274="offer","Offer",IF($L1274="rejected","Rejected",IF($L1274="ignore","Ignore",IF($L1274="archive","Archive",IF($L1274="closed","Closed",IF($B1274="","Unscored",IF(AND($B1274&gt;=8,OR($H1274="",$H1274-TODAY()&lt;=14)),"P1 Apply",IF($B1274&gt;=7,"P2 Strong",IF($B1274&gt;=5,"P3 Maybe","P4 Low")))))))))))</f>
        <v/>
      </c>
      <c r="B1274" s="13" t="n">
        <v>0.97</v>
      </c>
      <c r="C1274" s="12" t="inlineStr">
        <is>
          <t>Unspecified</t>
        </is>
      </c>
      <c r="D1274" s="8" t="inlineStr">
        <is>
          <t>Fullstack JavaScript Engineer</t>
        </is>
      </c>
      <c r="E1274" s="7" t="inlineStr">
        <is>
          <t>Explore Group</t>
        </is>
      </c>
      <c r="F1274" s="8" t="inlineStr">
        <is>
          <t>London Area, United Kingdom</t>
        </is>
      </c>
      <c r="G1274" s="8" t="n"/>
      <c r="H1274" s="14" t="n"/>
      <c r="I1274" s="15">
        <f>IF($H1274="","",$H1274-TODAY())</f>
        <v/>
      </c>
      <c r="J1274" s="16" t="inlineStr">
        <is>
          <t>Open posting</t>
        </is>
      </c>
      <c r="K1274" s="8" t="inlineStr">
        <is>
          <t>filtered by keyword pre-scan</t>
        </is>
      </c>
      <c r="L1274" s="17" t="inlineStr">
        <is>
          <t>new</t>
        </is>
      </c>
      <c r="M1274" s="18" t="inlineStr"/>
      <c r="N1274" s="7" t="inlineStr">
        <is>
          <t>9f6c13fd9ec05cff17ad304997939e4dd31c108b</t>
        </is>
      </c>
      <c r="O1274" s="14" t="n">
        <v>46175</v>
      </c>
      <c r="P1274" s="7" t="inlineStr">
        <is>
          <t>jobspy</t>
        </is>
      </c>
      <c r="Q1274" s="8" t="inlineStr">
        <is>
          <t>c, javascript</t>
        </is>
      </c>
      <c r="R1274" s="8" t="inlineStr">
        <is>
          <t>Junior Full Stack Developer JavaScript Node.js Python</t>
        </is>
      </c>
      <c r="S1274" s="19" t="n"/>
      <c r="T1274" s="19" t="n"/>
      <c r="U1274" s="14" t="n">
        <v>46193</v>
      </c>
      <c r="V1274" s="7" t="inlineStr">
        <is>
          <t>v2-cv-accuracy-13b988b18da8ea7d</t>
        </is>
      </c>
    </row>
    <row r="1275" ht="28" customHeight="1">
      <c r="A1275" s="12">
        <f>IF($L1275="applied","Applied",IF($L1275="interview","Interview",IF($L1275="offer","Offer",IF($L1275="rejected","Rejected",IF($L1275="ignore","Ignore",IF($L1275="archive","Archive",IF($L1275="closed","Closed",IF($B1275="","Unscored",IF(AND($B1275&gt;=8,OR($H1275="",$H1275-TODAY()&lt;=14)),"P1 Apply",IF($B1275&gt;=7,"P2 Strong",IF($B1275&gt;=5,"P3 Maybe","P4 Low")))))))))))</f>
        <v/>
      </c>
      <c r="B1275" s="13" t="n">
        <v>0.97</v>
      </c>
      <c r="C1275" s="12" t="inlineStr">
        <is>
          <t>Junior</t>
        </is>
      </c>
      <c r="D1275" s="8" t="inlineStr">
        <is>
          <t>Junior Embedded Software Engineer</t>
        </is>
      </c>
      <c r="E1275" s="7" t="inlineStr">
        <is>
          <t>Erin Associates Ltd</t>
        </is>
      </c>
      <c r="F1275" s="8" t="inlineStr">
        <is>
          <t>Chesterfield, England, UK</t>
        </is>
      </c>
      <c r="G1275" s="8" t="n"/>
      <c r="H1275" s="14" t="n"/>
      <c r="I1275" s="15">
        <f>IF($H1275="","",$H1275-TODAY())</f>
        <v/>
      </c>
      <c r="J1275" s="16" t="inlineStr">
        <is>
          <t>Open posting</t>
        </is>
      </c>
      <c r="K1275" s="8" t="inlineStr">
        <is>
          <t>filtered by keyword pre-scan</t>
        </is>
      </c>
      <c r="L1275" s="17" t="inlineStr">
        <is>
          <t>new</t>
        </is>
      </c>
      <c r="M1275" s="18" t="inlineStr"/>
      <c r="N1275" s="7" t="inlineStr">
        <is>
          <t>bb0cc4c42b50101dd5a2fc65131aa8d51bc4a447</t>
        </is>
      </c>
      <c r="O1275" s="14" t="n">
        <v>46188</v>
      </c>
      <c r="P1275" s="7" t="inlineStr">
        <is>
          <t>jobspy</t>
        </is>
      </c>
      <c r="Q1275" s="8" t="inlineStr">
        <is>
          <t>c, embedded systems</t>
        </is>
      </c>
      <c r="R1275" s="8" t="inlineStr">
        <is>
          <t>Embedded Systems Graduate Engineer IoT</t>
        </is>
      </c>
      <c r="S1275" s="19" t="n"/>
      <c r="T1275" s="19" t="n"/>
      <c r="U1275" s="14" t="n">
        <v>46193</v>
      </c>
      <c r="V1275" s="7" t="inlineStr">
        <is>
          <t>v2-cv-accuracy-13b988b18da8ea7d</t>
        </is>
      </c>
    </row>
    <row r="1276" ht="28" customHeight="1">
      <c r="A1276" s="12">
        <f>IF($L1276="applied","Applied",IF($L1276="interview","Interview",IF($L1276="offer","Offer",IF($L1276="rejected","Rejected",IF($L1276="ignore","Ignore",IF($L1276="archive","Archive",IF($L1276="closed","Closed",IF($B1276="","Unscored",IF(AND($B1276&gt;=8,OR($H1276="",$H1276-TODAY()&lt;=14)),"P1 Apply",IF($B1276&gt;=7,"P2 Strong",IF($B1276&gt;=5,"P3 Maybe","P4 Low")))))))))))</f>
        <v/>
      </c>
      <c r="B1276" s="13" t="n">
        <v>0.97</v>
      </c>
      <c r="C1276" s="12" t="inlineStr">
        <is>
          <t>Mid-level</t>
        </is>
      </c>
      <c r="D1276" s="8" t="inlineStr">
        <is>
          <t>Systems Engineer</t>
        </is>
      </c>
      <c r="E1276" s="7" t="inlineStr">
        <is>
          <t>Quantum Detectors Ltd.</t>
        </is>
      </c>
      <c r="F1276" s="8" t="inlineStr">
        <is>
          <t>Oxfordshire, England, UK</t>
        </is>
      </c>
      <c r="G1276" s="8" t="n"/>
      <c r="H1276" s="14" t="n"/>
      <c r="I1276" s="15">
        <f>IF($H1276="","",$H1276-TODAY())</f>
        <v/>
      </c>
      <c r="J1276" s="16" t="inlineStr">
        <is>
          <t>Open posting</t>
        </is>
      </c>
      <c r="K1276" s="8" t="inlineStr">
        <is>
          <t>filtered by keyword pre-scan</t>
        </is>
      </c>
      <c r="L1276" s="17" t="inlineStr">
        <is>
          <t>new</t>
        </is>
      </c>
      <c r="M1276" s="18" t="inlineStr"/>
      <c r="N1276" s="7" t="inlineStr">
        <is>
          <t>977136d2e02b5155f27148c200f901cbbb643fa0</t>
        </is>
      </c>
      <c r="O1276" s="14" t="n">
        <v>46191</v>
      </c>
      <c r="P1276" s="7" t="inlineStr">
        <is>
          <t>jobspy</t>
        </is>
      </c>
      <c r="Q1276" s="8" t="inlineStr">
        <is>
          <t>python, c</t>
        </is>
      </c>
      <c r="R1276" s="8" t="inlineStr">
        <is>
          <t>Graduate Systems Engineer hardware software</t>
        </is>
      </c>
      <c r="S1276" s="19" t="n"/>
      <c r="T1276" s="19" t="n"/>
      <c r="U1276" s="14" t="n">
        <v>46193</v>
      </c>
      <c r="V1276" s="7" t="inlineStr">
        <is>
          <t>v2-cv-accuracy-13b988b18da8ea7d</t>
        </is>
      </c>
    </row>
    <row r="1277" ht="28" customHeight="1">
      <c r="A1277" s="12">
        <f>IF($L1277="applied","Applied",IF($L1277="interview","Interview",IF($L1277="offer","Offer",IF($L1277="rejected","Rejected",IF($L1277="ignore","Ignore",IF($L1277="archive","Archive",IF($L1277="closed","Closed",IF($B1277="","Unscored",IF(AND($B1277&gt;=8,OR($H1277="",$H1277-TODAY()&lt;=14)),"P1 Apply",IF($B1277&gt;=7,"P2 Strong",IF($B1277&gt;=5,"P3 Maybe","P4 Low")))))))))))</f>
        <v/>
      </c>
      <c r="B1277" s="13" t="n">
        <v>0.97</v>
      </c>
      <c r="C1277" s="12" t="inlineStr">
        <is>
          <t>Mid-level</t>
        </is>
      </c>
      <c r="D1277" s="8" t="inlineStr">
        <is>
          <t>RF/ EO/ IR Professionals</t>
        </is>
      </c>
      <c r="E1277" s="7" t="inlineStr">
        <is>
          <t>MBDA</t>
        </is>
      </c>
      <c r="F1277" s="8" t="inlineStr">
        <is>
          <t>Bristol, England, UK</t>
        </is>
      </c>
      <c r="G1277" s="8" t="n"/>
      <c r="H1277" s="14" t="n"/>
      <c r="I1277" s="15">
        <f>IF($H1277="","",$H1277-TODAY())</f>
        <v/>
      </c>
      <c r="J1277" s="16" t="inlineStr">
        <is>
          <t>Open posting</t>
        </is>
      </c>
      <c r="K1277" s="8" t="inlineStr">
        <is>
          <t>filtered by keyword pre-scan</t>
        </is>
      </c>
      <c r="L1277" s="17" t="inlineStr">
        <is>
          <t>new</t>
        </is>
      </c>
      <c r="M1277" s="18" t="inlineStr"/>
      <c r="N1277" s="7" t="inlineStr">
        <is>
          <t>186811873fcfdc6e4fb4e94b8ce58bba70e501ab</t>
        </is>
      </c>
      <c r="O1277" s="14" t="n">
        <v>46173</v>
      </c>
      <c r="P1277" s="7" t="inlineStr">
        <is>
          <t>jobspy</t>
        </is>
      </c>
      <c r="Q1277" s="8" t="inlineStr">
        <is>
          <t>git, c</t>
        </is>
      </c>
      <c r="R1277" s="8" t="inlineStr">
        <is>
          <t>Graduate Systems Engineer hardware software</t>
        </is>
      </c>
      <c r="S1277" s="19" t="n"/>
      <c r="T1277" s="19" t="n"/>
      <c r="U1277" s="14" t="n">
        <v>46193</v>
      </c>
      <c r="V1277" s="7" t="inlineStr">
        <is>
          <t>v2-cv-accuracy-13b988b18da8ea7d</t>
        </is>
      </c>
    </row>
    <row r="1278" ht="28" customHeight="1">
      <c r="A1278" s="12">
        <f>IF($L1278="applied","Applied",IF($L1278="interview","Interview",IF($L1278="offer","Offer",IF($L1278="rejected","Rejected",IF($L1278="ignore","Ignore",IF($L1278="archive","Archive",IF($L1278="closed","Closed",IF($B1278="","Unscored",IF(AND($B1278&gt;=8,OR($H1278="",$H1278-TODAY()&lt;=14)),"P1 Apply",IF($B1278&gt;=7,"P2 Strong",IF($B1278&gt;=5,"P3 Maybe","P4 Low")))))))))))</f>
        <v/>
      </c>
      <c r="B1278" s="13" t="n">
        <v>0.97</v>
      </c>
      <c r="C1278" s="12" t="inlineStr">
        <is>
          <t>Senior/Lead</t>
        </is>
      </c>
      <c r="D1278" s="8" t="inlineStr">
        <is>
          <t>Embedded Software Engineer - Wearable Systems</t>
        </is>
      </c>
      <c r="E1278" s="7" t="inlineStr">
        <is>
          <t>XYZ Reality</t>
        </is>
      </c>
      <c r="F1278" s="8" t="inlineStr">
        <is>
          <t>London, ENG, GB</t>
        </is>
      </c>
      <c r="G1278" s="8" t="n"/>
      <c r="H1278" s="14" t="n"/>
      <c r="I1278" s="15">
        <f>IF($H1278="","",$H1278-TODAY())</f>
        <v/>
      </c>
      <c r="J1278" s="16" t="inlineStr">
        <is>
          <t>Open posting</t>
        </is>
      </c>
      <c r="K1278" s="8" t="inlineStr">
        <is>
          <t>filtered by keyword pre-scan</t>
        </is>
      </c>
      <c r="L1278" s="17" t="inlineStr">
        <is>
          <t>new</t>
        </is>
      </c>
      <c r="M1278" s="18" t="inlineStr"/>
      <c r="N1278" s="7" t="inlineStr">
        <is>
          <t>3d73e64b881f8dc4662ddcc3ad6767ea600ba83c</t>
        </is>
      </c>
      <c r="O1278" s="14" t="n">
        <v>46192</v>
      </c>
      <c r="P1278" s="7" t="inlineStr">
        <is>
          <t>jobspy</t>
        </is>
      </c>
      <c r="Q1278" s="8" t="inlineStr">
        <is>
          <t>c, sensor integration</t>
        </is>
      </c>
      <c r="R1278" s="8" t="inlineStr">
        <is>
          <t>Firmware Engineer Embedded C Microcontroller</t>
        </is>
      </c>
      <c r="S1278" s="19" t="n"/>
      <c r="T1278" s="19" t="n"/>
      <c r="U1278" s="14" t="n">
        <v>46193</v>
      </c>
      <c r="V1278" s="7" t="inlineStr">
        <is>
          <t>v2-cv-accuracy-13b988b18da8ea7d</t>
        </is>
      </c>
    </row>
    <row r="1279" ht="28" customHeight="1">
      <c r="A1279" s="12">
        <f>IF($L1279="applied","Applied",IF($L1279="interview","Interview",IF($L1279="offer","Offer",IF($L1279="rejected","Rejected",IF($L1279="ignore","Ignore",IF($L1279="archive","Archive",IF($L1279="closed","Closed",IF($B1279="","Unscored",IF(AND($B1279&gt;=8,OR($H1279="",$H1279-TODAY()&lt;=14)),"P1 Apply",IF($B1279&gt;=7,"P2 Strong",IF($B1279&gt;=5,"P3 Maybe","P4 Low")))))))))))</f>
        <v/>
      </c>
      <c r="B1279" s="13" t="n">
        <v>0.97</v>
      </c>
      <c r="C1279" s="12" t="inlineStr">
        <is>
          <t>Unspecified</t>
        </is>
      </c>
      <c r="D1279" s="8" t="inlineStr">
        <is>
          <t>Compute Platform Engineer II</t>
        </is>
      </c>
      <c r="E1279" s="7" t="inlineStr">
        <is>
          <t>GSK</t>
        </is>
      </c>
      <c r="F1279" s="8" t="inlineStr">
        <is>
          <t>London, England, UK</t>
        </is>
      </c>
      <c r="G1279" s="8" t="n"/>
      <c r="H1279" s="14" t="n"/>
      <c r="I1279" s="15">
        <f>IF($H1279="","",$H1279-TODAY())</f>
        <v/>
      </c>
      <c r="J1279" s="16" t="inlineStr">
        <is>
          <t>Open posting</t>
        </is>
      </c>
      <c r="K1279" s="8" t="inlineStr">
        <is>
          <t>filtered by keyword pre-scan</t>
        </is>
      </c>
      <c r="L1279" s="17" t="inlineStr">
        <is>
          <t>new</t>
        </is>
      </c>
      <c r="M1279" s="18" t="inlineStr"/>
      <c r="N1279" s="7" t="inlineStr">
        <is>
          <t>baf1fa3352a067ef79f619508352ed370e597712</t>
        </is>
      </c>
      <c r="O1279" s="14" t="n">
        <v>46184</v>
      </c>
      <c r="P1279" s="7" t="inlineStr">
        <is>
          <t>jobspy</t>
        </is>
      </c>
      <c r="Q1279" s="8" t="inlineStr">
        <is>
          <t>git, c</t>
        </is>
      </c>
      <c r="R1279" s="8" t="inlineStr">
        <is>
          <t>Platform Engineer Docker Kubernetes Python</t>
        </is>
      </c>
      <c r="S1279" s="19" t="n"/>
      <c r="T1279" s="19" t="n"/>
      <c r="U1279" s="14" t="n">
        <v>46193</v>
      </c>
      <c r="V1279" s="7" t="inlineStr">
        <is>
          <t>v2-cv-accuracy-13b988b18da8ea7d</t>
        </is>
      </c>
    </row>
    <row r="1280" ht="28" customHeight="1">
      <c r="A1280" s="12">
        <f>IF($L1280="applied","Applied",IF($L1280="interview","Interview",IF($L1280="offer","Offer",IF($L1280="rejected","Rejected",IF($L1280="ignore","Ignore",IF($L1280="archive","Archive",IF($L1280="closed","Closed",IF($B1280="","Unscored",IF(AND($B1280&gt;=8,OR($H1280="",$H1280-TODAY()&lt;=14)),"P1 Apply",IF($B1280&gt;=7,"P2 Strong",IF($B1280&gt;=5,"P3 Maybe","P4 Low")))))))))))</f>
        <v/>
      </c>
      <c r="B1280" s="13" t="n">
        <v>0.97</v>
      </c>
      <c r="C1280" s="12" t="inlineStr">
        <is>
          <t>Unspecified</t>
        </is>
      </c>
      <c r="D1280" s="8" t="inlineStr">
        <is>
          <t>Embedded Software Engineer</t>
        </is>
      </c>
      <c r="E1280" s="7" t="inlineStr">
        <is>
          <t>KO2 Embedded Recruitment Solutions Ltd</t>
        </is>
      </c>
      <c r="F1280" s="8" t="inlineStr">
        <is>
          <t>Manchester, England, UK</t>
        </is>
      </c>
      <c r="G1280" s="8" t="n"/>
      <c r="H1280" s="14" t="n"/>
      <c r="I1280" s="15">
        <f>IF($H1280="","",$H1280-TODAY())</f>
        <v/>
      </c>
      <c r="J1280" s="16" t="inlineStr">
        <is>
          <t>Open posting</t>
        </is>
      </c>
      <c r="K1280" s="8" t="inlineStr">
        <is>
          <t>filtered by keyword pre-scan</t>
        </is>
      </c>
      <c r="L1280" s="17" t="inlineStr">
        <is>
          <t>new</t>
        </is>
      </c>
      <c r="M1280" s="18" t="inlineStr"/>
      <c r="N1280" s="7" t="inlineStr">
        <is>
          <t>4ffb1124054d31293095acb3e430adf69bd1cd99</t>
        </is>
      </c>
      <c r="O1280" s="14" t="n">
        <v>46188</v>
      </c>
      <c r="P1280" s="7" t="inlineStr">
        <is>
          <t>jobspy</t>
        </is>
      </c>
      <c r="Q1280" s="8" t="inlineStr">
        <is>
          <t>stm32, c</t>
        </is>
      </c>
      <c r="R1280" s="8" t="inlineStr">
        <is>
          <t>Junior Embedded Software Engineer STM32 C</t>
        </is>
      </c>
      <c r="S1280" s="19" t="n"/>
      <c r="T1280" s="19" t="n"/>
      <c r="U1280" s="14" t="n">
        <v>46192</v>
      </c>
      <c r="V1280" s="7" t="inlineStr">
        <is>
          <t>v2-cv-accuracy-13b988b18da8ea7d</t>
        </is>
      </c>
    </row>
    <row r="1281" ht="28" customHeight="1">
      <c r="A1281" s="12">
        <f>IF($L1281="applied","Applied",IF($L1281="interview","Interview",IF($L1281="offer","Offer",IF($L1281="rejected","Rejected",IF($L1281="ignore","Ignore",IF($L1281="archive","Archive",IF($L1281="closed","Closed",IF($B1281="","Unscored",IF(AND($B1281&gt;=8,OR($H1281="",$H1281-TODAY()&lt;=14)),"P1 Apply",IF($B1281&gt;=7,"P2 Strong",IF($B1281&gt;=5,"P3 Maybe","P4 Low")))))))))))</f>
        <v/>
      </c>
      <c r="B1281" s="13" t="n">
        <v>0.97</v>
      </c>
      <c r="C1281" s="12" t="inlineStr">
        <is>
          <t>Mid-level</t>
        </is>
      </c>
      <c r="D1281" s="8" t="inlineStr">
        <is>
          <t>RF/ EO/ IR Professionals</t>
        </is>
      </c>
      <c r="E1281" s="7" t="inlineStr">
        <is>
          <t>MBDA</t>
        </is>
      </c>
      <c r="F1281" s="8" t="inlineStr">
        <is>
          <t>Bristol, ENG, GB</t>
        </is>
      </c>
      <c r="G1281" s="8" t="n"/>
      <c r="H1281" s="14" t="n"/>
      <c r="I1281" s="15">
        <f>IF($H1281="","",$H1281-TODAY())</f>
        <v/>
      </c>
      <c r="J1281" s="16" t="inlineStr">
        <is>
          <t>Open posting</t>
        </is>
      </c>
      <c r="K1281" s="8" t="inlineStr">
        <is>
          <t>filtered by keyword pre-scan</t>
        </is>
      </c>
      <c r="L1281" s="17" t="inlineStr">
        <is>
          <t>new</t>
        </is>
      </c>
      <c r="M1281" s="18" t="inlineStr"/>
      <c r="N1281" s="7" t="inlineStr">
        <is>
          <t>a78076d94b363cefdd18b044234ea046268de703</t>
        </is>
      </c>
      <c r="O1281" s="14" t="n">
        <v>46177</v>
      </c>
      <c r="P1281" s="7" t="inlineStr">
        <is>
          <t>jobspy</t>
        </is>
      </c>
      <c r="Q1281" s="8" t="inlineStr">
        <is>
          <t>git, c</t>
        </is>
      </c>
      <c r="R1281" s="8" t="inlineStr">
        <is>
          <t>Graduate Electronics Engineer remote UK</t>
        </is>
      </c>
      <c r="S1281" s="19" t="n"/>
      <c r="T1281" s="19" t="n"/>
      <c r="U1281" s="14" t="n">
        <v>46192</v>
      </c>
      <c r="V1281" s="7" t="inlineStr">
        <is>
          <t>v2-cv-accuracy-13b988b18da8ea7d</t>
        </is>
      </c>
    </row>
    <row r="1282" ht="28" customHeight="1">
      <c r="A1282" s="12">
        <f>IF($L1282="applied","Applied",IF($L1282="interview","Interview",IF($L1282="offer","Offer",IF($L1282="rejected","Rejected",IF($L1282="ignore","Ignore",IF($L1282="archive","Archive",IF($L1282="closed","Closed",IF($B1282="","Unscored",IF(AND($B1282&gt;=8,OR($H1282="",$H1282-TODAY()&lt;=14)),"P1 Apply",IF($B1282&gt;=7,"P2 Strong",IF($B1282&gt;=5,"P3 Maybe","P4 Low")))))))))))</f>
        <v/>
      </c>
      <c r="B1282" s="13" t="n">
        <v>0.97</v>
      </c>
      <c r="C1282" s="12" t="inlineStr">
        <is>
          <t>Unspecified</t>
        </is>
      </c>
      <c r="D1282" s="8" t="inlineStr">
        <is>
          <t>Application Engineer</t>
        </is>
      </c>
      <c r="E1282" s="7" t="inlineStr">
        <is>
          <t>Verso Recruitment Group</t>
        </is>
      </c>
      <c r="F1282" s="8" t="inlineStr">
        <is>
          <t>Fareham, England, UK</t>
        </is>
      </c>
      <c r="G1282" s="8" t="n"/>
      <c r="H1282" s="14" t="n"/>
      <c r="I1282" s="15">
        <f>IF($H1282="","",$H1282-TODAY())</f>
        <v/>
      </c>
      <c r="J1282" s="16" t="inlineStr">
        <is>
          <t>Open posting</t>
        </is>
      </c>
      <c r="K1282" s="8" t="inlineStr">
        <is>
          <t>filtered by keyword pre-scan</t>
        </is>
      </c>
      <c r="L1282" s="17" t="inlineStr">
        <is>
          <t>new</t>
        </is>
      </c>
      <c r="M1282" s="18" t="inlineStr"/>
      <c r="N1282" s="7" t="inlineStr">
        <is>
          <t>0d7a54115ff49f838ba124030c70663e52a3b0fe</t>
        </is>
      </c>
      <c r="O1282" s="14" t="n">
        <v>46163</v>
      </c>
      <c r="P1282" s="7" t="inlineStr">
        <is>
          <t>jobspy</t>
        </is>
      </c>
      <c r="Q1282" s="8" t="inlineStr">
        <is>
          <t>python, c</t>
        </is>
      </c>
      <c r="R1282" s="8" t="inlineStr">
        <is>
          <t>Graduate Electronics Engineer remote UK</t>
        </is>
      </c>
      <c r="S1282" s="19" t="n"/>
      <c r="T1282" s="19" t="n"/>
      <c r="U1282" s="14" t="n">
        <v>46192</v>
      </c>
      <c r="V1282" s="7" t="inlineStr">
        <is>
          <t>v2-cv-accuracy-13b988b18da8ea7d</t>
        </is>
      </c>
    </row>
    <row r="1283" ht="28" customHeight="1">
      <c r="A1283" s="12">
        <f>IF($L1283="applied","Applied",IF($L1283="interview","Interview",IF($L1283="offer","Offer",IF($L1283="rejected","Rejected",IF($L1283="ignore","Ignore",IF($L1283="archive","Archive",IF($L1283="closed","Closed",IF($B1283="","Unscored",IF(AND($B1283&gt;=8,OR($H1283="",$H1283-TODAY()&lt;=14)),"P1 Apply",IF($B1283&gt;=7,"P2 Strong",IF($B1283&gt;=5,"P3 Maybe","P4 Low")))))))))))</f>
        <v/>
      </c>
      <c r="B1283" s="13" t="n">
        <v>0.97</v>
      </c>
      <c r="C1283" s="12" t="inlineStr">
        <is>
          <t>Junior</t>
        </is>
      </c>
      <c r="D1283" s="8" t="inlineStr">
        <is>
          <t>Junior Embedded Engineer (RTOS)</t>
        </is>
      </c>
      <c r="E1283" s="7" t="inlineStr">
        <is>
          <t>LUMAI</t>
        </is>
      </c>
      <c r="F1283" s="8" t="inlineStr">
        <is>
          <t>Oxford, ENG, GB</t>
        </is>
      </c>
      <c r="G1283" s="8" t="n"/>
      <c r="H1283" s="14" t="n"/>
      <c r="I1283" s="15">
        <f>IF($H1283="","",$H1283-TODAY())</f>
        <v/>
      </c>
      <c r="J1283" s="16" t="inlineStr">
        <is>
          <t>Open posting</t>
        </is>
      </c>
      <c r="K1283" s="8" t="inlineStr">
        <is>
          <t>filtered by keyword pre-scan</t>
        </is>
      </c>
      <c r="L1283" s="17" t="inlineStr">
        <is>
          <t>new</t>
        </is>
      </c>
      <c r="M1283" s="18" t="inlineStr"/>
      <c r="N1283" s="7" t="inlineStr">
        <is>
          <t>32503433b1af238609a72eb35e053655c19ee4b9</t>
        </is>
      </c>
      <c r="O1283" s="14" t="n">
        <v>46177</v>
      </c>
      <c r="P1283" s="7" t="inlineStr">
        <is>
          <t>jobspy</t>
        </is>
      </c>
      <c r="Q1283" s="8" t="inlineStr">
        <is>
          <t>python, c</t>
        </is>
      </c>
      <c r="R1283" s="8" t="inlineStr">
        <is>
          <t>Junior Embedded Systems Engineer Python C</t>
        </is>
      </c>
      <c r="S1283" s="19" t="n"/>
      <c r="T1283" s="19" t="n"/>
      <c r="U1283" s="14" t="n">
        <v>46192</v>
      </c>
      <c r="V1283" s="7" t="inlineStr">
        <is>
          <t>v2-cv-accuracy-13b988b18da8ea7d</t>
        </is>
      </c>
    </row>
    <row r="1284" ht="28" customHeight="1">
      <c r="A1284" s="12">
        <f>IF($L1284="applied","Applied",IF($L1284="interview","Interview",IF($L1284="offer","Offer",IF($L1284="rejected","Rejected",IF($L1284="ignore","Ignore",IF($L1284="archive","Archive",IF($L1284="closed","Closed",IF($B1284="","Unscored",IF(AND($B1284&gt;=8,OR($H1284="",$H1284-TODAY()&lt;=14)),"P1 Apply",IF($B1284&gt;=7,"P2 Strong",IF($B1284&gt;=5,"P3 Maybe","P4 Low")))))))))))</f>
        <v/>
      </c>
      <c r="B1284" s="13" t="n">
        <v>0.97</v>
      </c>
      <c r="C1284" s="12" t="inlineStr">
        <is>
          <t>Junior</t>
        </is>
      </c>
      <c r="D1284" s="8" t="inlineStr">
        <is>
          <t>Platform Support Engineer</t>
        </is>
      </c>
      <c r="E1284" s="7" t="inlineStr">
        <is>
          <t>RevTech</t>
        </is>
      </c>
      <c r="F1284" s="8" t="inlineStr">
        <is>
          <t>London Area, United Kingdom</t>
        </is>
      </c>
      <c r="G1284" s="8" t="n"/>
      <c r="H1284" s="14" t="n"/>
      <c r="I1284" s="15">
        <f>IF($H1284="","",$H1284-TODAY())</f>
        <v/>
      </c>
      <c r="J1284" s="16" t="inlineStr">
        <is>
          <t>Open posting</t>
        </is>
      </c>
      <c r="K1284" s="8" t="inlineStr">
        <is>
          <t>filtered by keyword pre-scan</t>
        </is>
      </c>
      <c r="L1284" s="17" t="inlineStr">
        <is>
          <t>new</t>
        </is>
      </c>
      <c r="M1284" s="18" t="inlineStr"/>
      <c r="N1284" s="7" t="inlineStr">
        <is>
          <t>659d52ed477efea09491a20eae3bac1557d39122</t>
        </is>
      </c>
      <c r="O1284" s="14" t="n">
        <v>46191</v>
      </c>
      <c r="P1284" s="7" t="inlineStr">
        <is>
          <t>jobspy</t>
        </is>
      </c>
      <c r="Q1284" s="8" t="inlineStr">
        <is>
          <t>docker, c</t>
        </is>
      </c>
      <c r="R1284" s="8" t="inlineStr">
        <is>
          <t>Graduate DevOps Engineer Docker Kubernetes Python</t>
        </is>
      </c>
      <c r="S1284" s="19" t="n"/>
      <c r="T1284" s="19" t="n"/>
      <c r="U1284" s="14" t="n">
        <v>46192</v>
      </c>
      <c r="V1284" s="7" t="inlineStr">
        <is>
          <t>v2-cv-accuracy-13b988b18da8ea7d</t>
        </is>
      </c>
    </row>
    <row r="1285" ht="28" customHeight="1">
      <c r="A1285" s="12">
        <f>IF($L1285="applied","Applied",IF($L1285="interview","Interview",IF($L1285="offer","Offer",IF($L1285="rejected","Rejected",IF($L1285="ignore","Ignore",IF($L1285="archive","Archive",IF($L1285="closed","Closed",IF($B1285="","Unscored",IF(AND($B1285&gt;=8,OR($H1285="",$H1285-TODAY()&lt;=14)),"P1 Apply",IF($B1285&gt;=7,"P2 Strong",IF($B1285&gt;=5,"P3 Maybe","P4 Low")))))))))))</f>
        <v/>
      </c>
      <c r="B1285" s="13" t="n">
        <v>0.97</v>
      </c>
      <c r="C1285" s="12" t="inlineStr">
        <is>
          <t>Senior/Lead</t>
        </is>
      </c>
      <c r="D1285" s="8" t="inlineStr">
        <is>
          <t>Embedded SW Engineer</t>
        </is>
      </c>
      <c r="E1285" s="7" t="inlineStr">
        <is>
          <t>IC Resources</t>
        </is>
      </c>
      <c r="F1285" s="8" t="inlineStr">
        <is>
          <t>Worcestershire, England, UK</t>
        </is>
      </c>
      <c r="G1285" s="8" t="n"/>
      <c r="H1285" s="14" t="n"/>
      <c r="I1285" s="15">
        <f>IF($H1285="","",$H1285-TODAY())</f>
        <v/>
      </c>
      <c r="J1285" s="16" t="inlineStr">
        <is>
          <t>Open posting</t>
        </is>
      </c>
      <c r="K1285" s="8" t="inlineStr">
        <is>
          <t>filtered by keyword pre-scan</t>
        </is>
      </c>
      <c r="L1285" s="17" t="inlineStr">
        <is>
          <t>new</t>
        </is>
      </c>
      <c r="M1285" s="18" t="inlineStr"/>
      <c r="N1285" s="7" t="inlineStr">
        <is>
          <t>b665f0297b842c51e9a875f5a3adc54b945509b9</t>
        </is>
      </c>
      <c r="O1285" s="14" t="n">
        <v>46184</v>
      </c>
      <c r="P1285" s="7" t="inlineStr">
        <is>
          <t>jobspy</t>
        </is>
      </c>
      <c r="Q1285" s="8" t="inlineStr">
        <is>
          <t>stm32, c</t>
        </is>
      </c>
      <c r="R1285" s="8" t="inlineStr">
        <is>
          <t>Junior Embedded Software Engineer STM32</t>
        </is>
      </c>
      <c r="S1285" s="19" t="n"/>
      <c r="T1285" s="19" t="n"/>
      <c r="U1285" s="14" t="n">
        <v>46192</v>
      </c>
      <c r="V1285" s="7" t="inlineStr">
        <is>
          <t>v2-cv-accuracy-13b988b18da8ea7d</t>
        </is>
      </c>
    </row>
    <row r="1286" ht="28" customHeight="1">
      <c r="A1286" s="12">
        <f>IF($L1286="applied","Applied",IF($L1286="interview","Interview",IF($L1286="offer","Offer",IF($L1286="rejected","Rejected",IF($L1286="ignore","Ignore",IF($L1286="archive","Archive",IF($L1286="closed","Closed",IF($B1286="","Unscored",IF(AND($B1286&gt;=8,OR($H1286="",$H1286-TODAY()&lt;=14)),"P1 Apply",IF($B1286&gt;=7,"P2 Strong",IF($B1286&gt;=5,"P3 Maybe","P4 Low")))))))))))</f>
        <v/>
      </c>
      <c r="B1286" s="13" t="n">
        <v>0.88</v>
      </c>
      <c r="C1286" s="12" t="inlineStr">
        <is>
          <t>Junior</t>
        </is>
      </c>
      <c r="D1286" s="8" t="inlineStr">
        <is>
          <t>Junior Python Developer</t>
        </is>
      </c>
      <c r="E1286" s="7" t="inlineStr">
        <is>
          <t>Artmac</t>
        </is>
      </c>
      <c r="F1286" s="8" t="inlineStr">
        <is>
          <t>Hyderabad, Telangana, India</t>
        </is>
      </c>
      <c r="G1286" s="8" t="n"/>
      <c r="H1286" s="14" t="n"/>
      <c r="I1286" s="15">
        <f>IF($H1286="","",$H1286-TODAY())</f>
        <v/>
      </c>
      <c r="J1286" s="16" t="inlineStr">
        <is>
          <t>Open posting</t>
        </is>
      </c>
      <c r="K1286" s="8" t="inlineStr">
        <is>
          <t>filtered by keyword pre-scan</t>
        </is>
      </c>
      <c r="L1286" s="17" t="inlineStr">
        <is>
          <t>new</t>
        </is>
      </c>
      <c r="M1286" s="18" t="inlineStr"/>
      <c r="N1286" s="7" t="inlineStr">
        <is>
          <t>01108cfa57087edff2a818b502025434b0948462</t>
        </is>
      </c>
      <c r="O1286" s="14" t="n">
        <v>46190</v>
      </c>
      <c r="P1286" s="7" t="inlineStr">
        <is>
          <t>jobspy</t>
        </is>
      </c>
      <c r="Q1286" s="8" t="inlineStr">
        <is>
          <t>python, sql, javascript, rest apis, git</t>
        </is>
      </c>
      <c r="R1286" s="8" t="inlineStr">
        <is>
          <t>graduate Junior Python Developer</t>
        </is>
      </c>
      <c r="S1286" s="19" t="n"/>
      <c r="T1286" s="19" t="n"/>
      <c r="U1286" s="14" t="n">
        <v>46191</v>
      </c>
      <c r="V1286" s="7" t="inlineStr">
        <is>
          <t>v2-cv-accuracy-13b988b18da8ea7d</t>
        </is>
      </c>
    </row>
    <row r="1287" ht="28" customHeight="1">
      <c r="A1287" s="12">
        <f>IF($L1287="applied","Applied",IF($L1287="interview","Interview",IF($L1287="offer","Offer",IF($L1287="rejected","Rejected",IF($L1287="ignore","Ignore",IF($L1287="archive","Archive",IF($L1287="closed","Closed",IF($B1287="","Unscored",IF(AND($B1287&gt;=8,OR($H1287="",$H1287-TODAY()&lt;=14)),"P1 Apply",IF($B1287&gt;=7,"P2 Strong",IF($B1287&gt;=5,"P3 Maybe","P4 Low")))))))))))</f>
        <v/>
      </c>
      <c r="B1287" s="13" t="n">
        <v>0.88</v>
      </c>
      <c r="C1287" s="12" t="inlineStr">
        <is>
          <t>Unspecified</t>
        </is>
      </c>
      <c r="D1287" s="8" t="inlineStr">
        <is>
          <t>AI Engineer (Fullstack)</t>
        </is>
      </c>
      <c r="E1287" s="7" t="inlineStr">
        <is>
          <t>Mad Devs</t>
        </is>
      </c>
      <c r="F1287" s="8" t="inlineStr">
        <is>
          <t>Remote, GB</t>
        </is>
      </c>
      <c r="G1287" s="8" t="n"/>
      <c r="H1287" s="14" t="n"/>
      <c r="I1287" s="15">
        <f>IF($H1287="","",$H1287-TODAY())</f>
        <v/>
      </c>
      <c r="J1287" s="16" t="inlineStr">
        <is>
          <t>Open posting</t>
        </is>
      </c>
      <c r="K1287" s="8" t="inlineStr">
        <is>
          <t>filtered by keyword pre-scan</t>
        </is>
      </c>
      <c r="L1287" s="17" t="inlineStr">
        <is>
          <t>new</t>
        </is>
      </c>
      <c r="M1287" s="18" t="inlineStr"/>
      <c r="N1287" s="7" t="inlineStr">
        <is>
          <t>af7f73b4f1457ba25a638459a29a096adb754511</t>
        </is>
      </c>
      <c r="O1287" s="14" t="n">
        <v>46161</v>
      </c>
      <c r="P1287" s="7" t="inlineStr">
        <is>
          <t>jobspy</t>
        </is>
      </c>
      <c r="Q1287" s="8" t="inlineStr">
        <is>
          <t>python, sql, git, software development</t>
        </is>
      </c>
      <c r="R1287" s="8" t="inlineStr">
        <is>
          <t>Junior Python Developer remote</t>
        </is>
      </c>
      <c r="S1287" s="19" t="n"/>
      <c r="T1287" s="19" t="n"/>
      <c r="U1287" s="14" t="n">
        <v>46191</v>
      </c>
      <c r="V1287" s="7" t="inlineStr">
        <is>
          <t>v2-cv-accuracy-13b988b18da8ea7d</t>
        </is>
      </c>
    </row>
    <row r="1288" ht="28" customHeight="1">
      <c r="A1288" s="12">
        <f>IF($L1288="applied","Applied",IF($L1288="interview","Interview",IF($L1288="offer","Offer",IF($L1288="rejected","Rejected",IF($L1288="ignore","Ignore",IF($L1288="archive","Archive",IF($L1288="closed","Closed",IF($B1288="","Unscored",IF(AND($B1288&gt;=8,OR($H1288="",$H1288-TODAY()&lt;=14)),"P1 Apply",IF($B1288&gt;=7,"P2 Strong",IF($B1288&gt;=5,"P3 Maybe","P4 Low")))))))))))</f>
        <v/>
      </c>
      <c r="B1288" s="13" t="n">
        <v>0.88</v>
      </c>
      <c r="C1288" s="12" t="inlineStr">
        <is>
          <t>Unspecified</t>
        </is>
      </c>
      <c r="D1288" s="8" t="inlineStr">
        <is>
          <t>Software Engineer</t>
        </is>
      </c>
      <c r="E1288" s="7" t="inlineStr">
        <is>
          <t>Addition</t>
        </is>
      </c>
      <c r="F1288" s="8" t="inlineStr">
        <is>
          <t>Cheltenham, England, UK</t>
        </is>
      </c>
      <c r="G1288" s="8" t="n"/>
      <c r="H1288" s="14" t="n"/>
      <c r="I1288" s="15">
        <f>IF($H1288="","",$H1288-TODAY())</f>
        <v/>
      </c>
      <c r="J1288" s="16" t="inlineStr">
        <is>
          <t>Open posting</t>
        </is>
      </c>
      <c r="K1288" s="8" t="inlineStr">
        <is>
          <t>filtered by keyword pre-scan</t>
        </is>
      </c>
      <c r="L1288" s="17" t="inlineStr">
        <is>
          <t>new</t>
        </is>
      </c>
      <c r="M1288" s="18" t="inlineStr"/>
      <c r="N1288" s="7" t="inlineStr">
        <is>
          <t>33722dc10e0ebf88437b6015db18446bbf6b3b43</t>
        </is>
      </c>
      <c r="O1288" s="14" t="n">
        <v>46183</v>
      </c>
      <c r="P1288" s="7" t="inlineStr">
        <is>
          <t>jobspy</t>
        </is>
      </c>
      <c r="Q1288" s="8" t="inlineStr">
        <is>
          <t>python, javascript, git, software development</t>
        </is>
      </c>
      <c r="R1288" s="8" t="inlineStr">
        <is>
          <t>graduate Full Stack Developer</t>
        </is>
      </c>
      <c r="S1288" s="19" t="n"/>
      <c r="T1288" s="19" t="n"/>
      <c r="U1288" s="14" t="n">
        <v>46191</v>
      </c>
      <c r="V1288" s="7" t="inlineStr">
        <is>
          <t>v2-cv-accuracy-13b988b18da8ea7d</t>
        </is>
      </c>
    </row>
    <row r="1289" ht="28" customHeight="1">
      <c r="A1289" s="12">
        <f>IF($L1289="applied","Applied",IF($L1289="interview","Interview",IF($L1289="offer","Offer",IF($L1289="rejected","Rejected",IF($L1289="ignore","Ignore",IF($L1289="archive","Archive",IF($L1289="closed","Closed",IF($B1289="","Unscored",IF(AND($B1289&gt;=8,OR($H1289="",$H1289-TODAY()&lt;=14)),"P1 Apply",IF($B1289&gt;=7,"P2 Strong",IF($B1289&gt;=5,"P3 Maybe","P4 Low")))))))))))</f>
        <v/>
      </c>
      <c r="B1289" s="13" t="n">
        <v>0.86</v>
      </c>
      <c r="C1289" s="12" t="inlineStr">
        <is>
          <t>Unspecified</t>
        </is>
      </c>
      <c r="D1289" s="8" t="inlineStr">
        <is>
          <t>Debugger Software Engineer</t>
        </is>
      </c>
      <c r="E1289" s="7" t="inlineStr">
        <is>
          <t>Arm</t>
        </is>
      </c>
      <c r="F1289" s="8" t="inlineStr">
        <is>
          <t>Manchester, England, UK</t>
        </is>
      </c>
      <c r="G1289" s="8" t="n"/>
      <c r="H1289" s="14" t="n"/>
      <c r="I1289" s="15">
        <f>IF($H1289="","",$H1289-TODAY())</f>
        <v/>
      </c>
      <c r="J1289" s="16" t="inlineStr">
        <is>
          <t>Open posting</t>
        </is>
      </c>
      <c r="K1289" s="8" t="inlineStr">
        <is>
          <t>filtered by keyword pre-scan</t>
        </is>
      </c>
      <c r="L1289" s="17" t="inlineStr">
        <is>
          <t>new</t>
        </is>
      </c>
      <c r="M1289" s="18" t="inlineStr"/>
      <c r="N1289" s="7" t="inlineStr">
        <is>
          <t>a4a8c81f2fe425c547a572e327bb0a55e3249874</t>
        </is>
      </c>
      <c r="O1289" s="14" t="n">
        <v>46188</v>
      </c>
      <c r="P1289" s="7" t="inlineStr">
        <is>
          <t>jobspy</t>
        </is>
      </c>
      <c r="Q1289" s="8" t="inlineStr">
        <is>
          <t>python, c</t>
        </is>
      </c>
      <c r="R1289" s="8" t="inlineStr">
        <is>
          <t>Graduate Software Engineer Python embedded Linux</t>
        </is>
      </c>
      <c r="S1289" s="19" t="n"/>
      <c r="T1289" s="19" t="n"/>
      <c r="U1289" s="14" t="n">
        <v>46198</v>
      </c>
      <c r="V1289" s="7" t="inlineStr">
        <is>
          <t>v2-cv-accuracy-13b988b18da8ea7d</t>
        </is>
      </c>
    </row>
    <row r="1290" ht="28" customHeight="1">
      <c r="A1290" s="12">
        <f>IF($L1290="applied","Applied",IF($L1290="interview","Interview",IF($L1290="offer","Offer",IF($L1290="rejected","Rejected",IF($L1290="ignore","Ignore",IF($L1290="archive","Archive",IF($L1290="closed","Closed",IF($B1290="","Unscored",IF(AND($B1290&gt;=8,OR($H1290="",$H1290-TODAY()&lt;=14)),"P1 Apply",IF($B1290&gt;=7,"P2 Strong",IF($B1290&gt;=5,"P3 Maybe","P4 Low")))))))))))</f>
        <v/>
      </c>
      <c r="B1290" s="13" t="n">
        <v>0.86</v>
      </c>
      <c r="C1290" s="12" t="inlineStr">
        <is>
          <t>Junior</t>
        </is>
      </c>
      <c r="D1290" s="8" t="inlineStr">
        <is>
          <t>Junior Software Engineer</t>
        </is>
      </c>
      <c r="E1290" s="7" t="inlineStr">
        <is>
          <t>Haystack</t>
        </is>
      </c>
      <c r="F1290" s="8" t="inlineStr">
        <is>
          <t>Birmingham, England, UK</t>
        </is>
      </c>
      <c r="G1290" s="8" t="n"/>
      <c r="H1290" s="14" t="n"/>
      <c r="I1290" s="15">
        <f>IF($H1290="","",$H1290-TODAY())</f>
        <v/>
      </c>
      <c r="J1290" s="16" t="inlineStr">
        <is>
          <t>Open posting</t>
        </is>
      </c>
      <c r="K1290" s="8" t="inlineStr">
        <is>
          <t>filtered by keyword pre-scan</t>
        </is>
      </c>
      <c r="L1290" s="17" t="inlineStr">
        <is>
          <t>new</t>
        </is>
      </c>
      <c r="M1290" s="18" t="inlineStr"/>
      <c r="N1290" s="7" t="inlineStr">
        <is>
          <t>e0e8a9eebe2411895585cdc9fff07e782ba6f24c</t>
        </is>
      </c>
      <c r="O1290" s="14" t="n">
        <v>46197</v>
      </c>
      <c r="P1290" s="7" t="inlineStr">
        <is>
          <t>jobspy</t>
        </is>
      </c>
      <c r="Q1290" s="8" t="inlineStr">
        <is>
          <t>git, c</t>
        </is>
      </c>
      <c r="R1290" s="8" t="inlineStr">
        <is>
          <t>Junior Embedded Software Engineer Python C</t>
        </is>
      </c>
      <c r="S1290" s="19" t="n"/>
      <c r="T1290" s="19" t="n"/>
      <c r="U1290" s="14" t="n">
        <v>46198</v>
      </c>
      <c r="V1290" s="7" t="inlineStr">
        <is>
          <t>v2-cv-accuracy-13b988b18da8ea7d</t>
        </is>
      </c>
    </row>
    <row r="1291" ht="28" customHeight="1">
      <c r="A1291" s="12">
        <f>IF($L1291="applied","Applied",IF($L1291="interview","Interview",IF($L1291="offer","Offer",IF($L1291="rejected","Rejected",IF($L1291="ignore","Ignore",IF($L1291="archive","Archive",IF($L1291="closed","Closed",IF($B1291="","Unscored",IF(AND($B1291&gt;=8,OR($H1291="",$H1291-TODAY()&lt;=14)),"P1 Apply",IF($B1291&gt;=7,"P2 Strong",IF($B1291&gt;=5,"P3 Maybe","P4 Low")))))))))))</f>
        <v/>
      </c>
      <c r="B1291" s="13" t="n">
        <v>0.86</v>
      </c>
      <c r="C1291" s="12" t="inlineStr">
        <is>
          <t>Junior</t>
        </is>
      </c>
      <c r="D1291" s="8" t="inlineStr">
        <is>
          <t>Junior Python Software Engineer</t>
        </is>
      </c>
      <c r="E1291" s="7" t="inlineStr">
        <is>
          <t>Haystack</t>
        </is>
      </c>
      <c r="F1291" s="8" t="inlineStr">
        <is>
          <t>Cambridge, England, UK</t>
        </is>
      </c>
      <c r="G1291" s="8" t="n"/>
      <c r="H1291" s="14" t="n"/>
      <c r="I1291" s="15">
        <f>IF($H1291="","",$H1291-TODAY())</f>
        <v/>
      </c>
      <c r="J1291" s="16" t="inlineStr">
        <is>
          <t>Open posting</t>
        </is>
      </c>
      <c r="K1291" s="8" t="inlineStr">
        <is>
          <t>filtered by keyword pre-scan</t>
        </is>
      </c>
      <c r="L1291" s="17" t="inlineStr">
        <is>
          <t>new</t>
        </is>
      </c>
      <c r="M1291" s="18" t="inlineStr"/>
      <c r="N1291" s="7" t="inlineStr">
        <is>
          <t>20595cf793c8b80b603370ca7131cc9cf213aa65</t>
        </is>
      </c>
      <c r="O1291" s="14" t="n">
        <v>46193</v>
      </c>
      <c r="P1291" s="7" t="inlineStr">
        <is>
          <t>jobspy</t>
        </is>
      </c>
      <c r="Q1291" s="8" t="inlineStr">
        <is>
          <t>python, c</t>
        </is>
      </c>
      <c r="R1291" s="8" t="inlineStr">
        <is>
          <t>Graduate Software Engineer Python SQL backend</t>
        </is>
      </c>
      <c r="S1291" s="19" t="n"/>
      <c r="T1291" s="19" t="n"/>
      <c r="U1291" s="14" t="n">
        <v>46198</v>
      </c>
      <c r="V1291" s="7" t="inlineStr">
        <is>
          <t>v2-cv-accuracy-13b988b18da8ea7d</t>
        </is>
      </c>
    </row>
    <row r="1292" ht="28" customHeight="1">
      <c r="A1292" s="12">
        <f>IF($L1292="applied","Applied",IF($L1292="interview","Interview",IF($L1292="offer","Offer",IF($L1292="rejected","Rejected",IF($L1292="ignore","Ignore",IF($L1292="archive","Archive",IF($L1292="closed","Closed",IF($B1292="","Unscored",IF(AND($B1292&gt;=8,OR($H1292="",$H1292-TODAY()&lt;=14)),"P1 Apply",IF($B1292&gt;=7,"P2 Strong",IF($B1292&gt;=5,"P3 Maybe","P4 Low")))))))))))</f>
        <v/>
      </c>
      <c r="B1292" s="13" t="n">
        <v>0.86</v>
      </c>
      <c r="C1292" s="12" t="inlineStr">
        <is>
          <t>Graduate/Entry</t>
        </is>
      </c>
      <c r="D1292" s="8" t="inlineStr">
        <is>
          <t>Graduate Embedded Software Engineer</t>
        </is>
      </c>
      <c r="E1292" s="7" t="inlineStr">
        <is>
          <t>Rota Ltd</t>
        </is>
      </c>
      <c r="F1292" s="8" t="inlineStr">
        <is>
          <t>Radcliffe, ENG, GB</t>
        </is>
      </c>
      <c r="G1292" s="8" t="n"/>
      <c r="H1292" s="14" t="n"/>
      <c r="I1292" s="15">
        <f>IF($H1292="","",$H1292-TODAY())</f>
        <v/>
      </c>
      <c r="J1292" s="16" t="inlineStr">
        <is>
          <t>Open posting</t>
        </is>
      </c>
      <c r="K1292" s="8" t="inlineStr">
        <is>
          <t>filtered by keyword pre-scan</t>
        </is>
      </c>
      <c r="L1292" s="17" t="inlineStr">
        <is>
          <t>new</t>
        </is>
      </c>
      <c r="M1292" s="18" t="inlineStr"/>
      <c r="N1292" s="7" t="inlineStr">
        <is>
          <t>f7eeff1b70347568593435277020ad5102aa2066</t>
        </is>
      </c>
      <c r="O1292" s="14" t="n">
        <v>46196</v>
      </c>
      <c r="P1292" s="7" t="inlineStr">
        <is>
          <t>jobspy</t>
        </is>
      </c>
      <c r="Q1292" s="8" t="inlineStr">
        <is>
          <t>python, c</t>
        </is>
      </c>
      <c r="R1292" s="8" t="inlineStr">
        <is>
          <t>Graduate Embedded Software Engineer C Python</t>
        </is>
      </c>
      <c r="S1292" s="19" t="n"/>
      <c r="T1292" s="19" t="n"/>
      <c r="U1292" s="14" t="n">
        <v>46196</v>
      </c>
      <c r="V1292" s="7" t="inlineStr">
        <is>
          <t>v2-cv-accuracy-13b988b18da8ea7d</t>
        </is>
      </c>
    </row>
    <row r="1293" ht="28" customHeight="1">
      <c r="A1293" s="12">
        <f>IF($L1293="applied","Applied",IF($L1293="interview","Interview",IF($L1293="offer","Offer",IF($L1293="rejected","Rejected",IF($L1293="ignore","Ignore",IF($L1293="archive","Archive",IF($L1293="closed","Closed",IF($B1293="","Unscored",IF(AND($B1293&gt;=8,OR($H1293="",$H1293-TODAY()&lt;=14)),"P1 Apply",IF($B1293&gt;=7,"P2 Strong",IF($B1293&gt;=5,"P3 Maybe","P4 Low")))))))))))</f>
        <v/>
      </c>
      <c r="B1293" s="13" t="n">
        <v>0.86</v>
      </c>
      <c r="C1293" s="12" t="inlineStr">
        <is>
          <t>Unspecified</t>
        </is>
      </c>
      <c r="D1293" s="8" t="inlineStr">
        <is>
          <t>Embedded Software Engineer - C++</t>
        </is>
      </c>
      <c r="E1293" s="7" t="inlineStr">
        <is>
          <t>GTS Group Ltd</t>
        </is>
      </c>
      <c r="F1293" s="8" t="inlineStr">
        <is>
          <t>Hampshire, England, UK</t>
        </is>
      </c>
      <c r="G1293" s="8" t="n"/>
      <c r="H1293" s="14" t="n"/>
      <c r="I1293" s="15">
        <f>IF($H1293="","",$H1293-TODAY())</f>
        <v/>
      </c>
      <c r="J1293" s="16" t="inlineStr">
        <is>
          <t>Open posting</t>
        </is>
      </c>
      <c r="K1293" s="8" t="inlineStr">
        <is>
          <t>filtered by keyword pre-scan</t>
        </is>
      </c>
      <c r="L1293" s="17" t="inlineStr">
        <is>
          <t>new</t>
        </is>
      </c>
      <c r="M1293" s="18" t="inlineStr"/>
      <c r="N1293" s="7" t="inlineStr">
        <is>
          <t>b504152ac3febf8988f52adf58b15961b58c2dd3</t>
        </is>
      </c>
      <c r="O1293" s="14" t="n">
        <v>46175</v>
      </c>
      <c r="P1293" s="7" t="inlineStr">
        <is>
          <t>jobspy</t>
        </is>
      </c>
      <c r="Q1293" s="8" t="inlineStr">
        <is>
          <t>c, embedded systems</t>
        </is>
      </c>
      <c r="R1293" s="8" t="inlineStr">
        <is>
          <t>EngD Research Engineer electronics embedded systems</t>
        </is>
      </c>
      <c r="S1293" s="19" t="n"/>
      <c r="T1293" s="19" t="n"/>
      <c r="U1293" s="14" t="n">
        <v>46196</v>
      </c>
      <c r="V1293" s="7" t="inlineStr">
        <is>
          <t>v2-cv-accuracy-13b988b18da8ea7d</t>
        </is>
      </c>
    </row>
    <row r="1294" ht="28" customHeight="1">
      <c r="A1294" s="12">
        <f>IF($L1294="applied","Applied",IF($L1294="interview","Interview",IF($L1294="offer","Offer",IF($L1294="rejected","Rejected",IF($L1294="ignore","Ignore",IF($L1294="archive","Archive",IF($L1294="closed","Closed",IF($B1294="","Unscored",IF(AND($B1294&gt;=8,OR($H1294="",$H1294-TODAY()&lt;=14)),"P1 Apply",IF($B1294&gt;=7,"P2 Strong",IF($B1294&gt;=5,"P3 Maybe","P4 Low")))))))))))</f>
        <v/>
      </c>
      <c r="B1294" s="13" t="n">
        <v>0.86</v>
      </c>
      <c r="C1294" s="12" t="inlineStr">
        <is>
          <t>Internship</t>
        </is>
      </c>
      <c r="D1294" s="8" t="inlineStr">
        <is>
          <t>AI &amp; Wireless Communication Systems Internship 2026</t>
        </is>
      </c>
      <c r="E1294" s="7" t="inlineStr">
        <is>
          <t>MediaTek</t>
        </is>
      </c>
      <c r="F1294" s="8" t="inlineStr">
        <is>
          <t>Cambourne, England, UK</t>
        </is>
      </c>
      <c r="G1294" s="8" t="n"/>
      <c r="H1294" s="14" t="n"/>
      <c r="I1294" s="15">
        <f>IF($H1294="","",$H1294-TODAY())</f>
        <v/>
      </c>
      <c r="J1294" s="16" t="inlineStr">
        <is>
          <t>Open posting</t>
        </is>
      </c>
      <c r="K1294" s="8" t="inlineStr">
        <is>
          <t>filtered by keyword pre-scan</t>
        </is>
      </c>
      <c r="L1294" s="17" t="inlineStr">
        <is>
          <t>new</t>
        </is>
      </c>
      <c r="M1294" s="18" t="inlineStr"/>
      <c r="N1294" s="7" t="inlineStr">
        <is>
          <t>1e98e2239ec254debdb07d2d1e0e5f712a7d8e7c</t>
        </is>
      </c>
      <c r="O1294" s="14" t="n">
        <v>46182</v>
      </c>
      <c r="P1294" s="7" t="inlineStr">
        <is>
          <t>jobspy</t>
        </is>
      </c>
      <c r="Q1294" s="8" t="inlineStr">
        <is>
          <t>python, c</t>
        </is>
      </c>
      <c r="R1294" s="8" t="inlineStr">
        <is>
          <t>PhD Studentship embedded systems signal processing</t>
        </is>
      </c>
      <c r="S1294" s="19" t="n"/>
      <c r="T1294" s="19" t="n"/>
      <c r="U1294" s="14" t="n">
        <v>46196</v>
      </c>
      <c r="V1294" s="7" t="inlineStr">
        <is>
          <t>v2-cv-accuracy-13b988b18da8ea7d</t>
        </is>
      </c>
    </row>
    <row r="1295" ht="28" customHeight="1">
      <c r="A1295" s="12">
        <f>IF($L1295="applied","Applied",IF($L1295="interview","Interview",IF($L1295="offer","Offer",IF($L1295="rejected","Rejected",IF($L1295="ignore","Ignore",IF($L1295="archive","Archive",IF($L1295="closed","Closed",IF($B1295="","Unscored",IF(AND($B1295&gt;=8,OR($H1295="",$H1295-TODAY()&lt;=14)),"P1 Apply",IF($B1295&gt;=7,"P2 Strong",IF($B1295&gt;=5,"P3 Maybe","P4 Low")))))))))))</f>
        <v/>
      </c>
      <c r="B1295" s="13" t="n">
        <v>0.86</v>
      </c>
      <c r="C1295" s="12" t="inlineStr">
        <is>
          <t>Senior/Lead</t>
        </is>
      </c>
      <c r="D1295" s="8" t="inlineStr">
        <is>
          <t>Digital Connectivity Specialist</t>
        </is>
      </c>
      <c r="E1295" s="7" t="inlineStr">
        <is>
          <t>Michael Page</t>
        </is>
      </c>
      <c r="F1295" s="8" t="inlineStr">
        <is>
          <t>West Berkshire, England, UK</t>
        </is>
      </c>
      <c r="G1295" s="8" t="n"/>
      <c r="H1295" s="14" t="n"/>
      <c r="I1295" s="15">
        <f>IF($H1295="","",$H1295-TODAY())</f>
        <v/>
      </c>
      <c r="J1295" s="16" t="inlineStr">
        <is>
          <t>Open posting</t>
        </is>
      </c>
      <c r="K1295" s="8" t="inlineStr">
        <is>
          <t>filtered by keyword pre-scan</t>
        </is>
      </c>
      <c r="L1295" s="17" t="inlineStr">
        <is>
          <t>new</t>
        </is>
      </c>
      <c r="M1295" s="18" t="inlineStr"/>
      <c r="N1295" s="7" t="inlineStr">
        <is>
          <t>61370a925b640058880ff0dc5466c005da22d1d4</t>
        </is>
      </c>
      <c r="O1295" s="14" t="n">
        <v>46190</v>
      </c>
      <c r="P1295" s="7" t="inlineStr">
        <is>
          <t>jobspy</t>
        </is>
      </c>
      <c r="Q1295" s="8" t="inlineStr">
        <is>
          <t>git, c</t>
        </is>
      </c>
      <c r="R1295" s="8" t="inlineStr">
        <is>
          <t>PhD Studentship IoT wireless communications</t>
        </is>
      </c>
      <c r="S1295" s="19" t="n"/>
      <c r="T1295" s="19" t="n"/>
      <c r="U1295" s="14" t="n">
        <v>46196</v>
      </c>
      <c r="V1295" s="7" t="inlineStr">
        <is>
          <t>v2-cv-accuracy-13b988b18da8ea7d</t>
        </is>
      </c>
    </row>
    <row r="1296" ht="28" customHeight="1">
      <c r="A1296" s="12">
        <f>IF($L1296="applied","Applied",IF($L1296="interview","Interview",IF($L1296="offer","Offer",IF($L1296="rejected","Rejected",IF($L1296="ignore","Ignore",IF($L1296="archive","Archive",IF($L1296="closed","Closed",IF($B1296="","Unscored",IF(AND($B1296&gt;=8,OR($H1296="",$H1296-TODAY()&lt;=14)),"P1 Apply",IF($B1296&gt;=7,"P2 Strong",IF($B1296&gt;=5,"P3 Maybe","P4 Low")))))))))))</f>
        <v/>
      </c>
      <c r="B1296" s="13" t="n">
        <v>0.86</v>
      </c>
      <c r="C1296" s="12" t="inlineStr">
        <is>
          <t>Senior/Lead</t>
        </is>
      </c>
      <c r="D1296" s="8" t="inlineStr">
        <is>
          <t>Wireless Systems Engineer, 3GPP Core Network Standards</t>
        </is>
      </c>
      <c r="E1296" s="7" t="inlineStr">
        <is>
          <t>InterDigital, Inc.</t>
        </is>
      </c>
      <c r="F1296" s="8" t="inlineStr">
        <is>
          <t>London, England, UK</t>
        </is>
      </c>
      <c r="G1296" s="8" t="n"/>
      <c r="H1296" s="14" t="n"/>
      <c r="I1296" s="15">
        <f>IF($H1296="","",$H1296-TODAY())</f>
        <v/>
      </c>
      <c r="J1296" s="16" t="inlineStr">
        <is>
          <t>Open posting</t>
        </is>
      </c>
      <c r="K1296" s="8" t="inlineStr">
        <is>
          <t>filtered by keyword pre-scan</t>
        </is>
      </c>
      <c r="L1296" s="17" t="inlineStr">
        <is>
          <t>new</t>
        </is>
      </c>
      <c r="M1296" s="18" t="inlineStr"/>
      <c r="N1296" s="7" t="inlineStr">
        <is>
          <t>82073a17ed3f167824bcf5912cad9ad149115296</t>
        </is>
      </c>
      <c r="O1296" s="14" t="n">
        <v>46185</v>
      </c>
      <c r="P1296" s="7" t="inlineStr">
        <is>
          <t>jobspy</t>
        </is>
      </c>
      <c r="Q1296" s="8" t="inlineStr">
        <is>
          <t>git, c</t>
        </is>
      </c>
      <c r="R1296" s="8" t="inlineStr">
        <is>
          <t>PhD Studentship IoT wireless communications</t>
        </is>
      </c>
      <c r="S1296" s="19" t="n"/>
      <c r="T1296" s="19" t="n"/>
      <c r="U1296" s="14" t="n">
        <v>46196</v>
      </c>
      <c r="V1296" s="7" t="inlineStr">
        <is>
          <t>v2-cv-accuracy-13b988b18da8ea7d</t>
        </is>
      </c>
    </row>
    <row r="1297" ht="28" customHeight="1">
      <c r="A1297" s="12">
        <f>IF($L1297="applied","Applied",IF($L1297="interview","Interview",IF($L1297="offer","Offer",IF($L1297="rejected","Rejected",IF($L1297="ignore","Ignore",IF($L1297="archive","Archive",IF($L1297="closed","Closed",IF($B1297="","Unscored",IF(AND($B1297&gt;=8,OR($H1297="",$H1297-TODAY()&lt;=14)),"P1 Apply",IF($B1297&gt;=7,"P2 Strong",IF($B1297&gt;=5,"P3 Maybe","P4 Low")))))))))))</f>
        <v/>
      </c>
      <c r="B1297" s="13" t="n">
        <v>0.86</v>
      </c>
      <c r="C1297" s="12" t="inlineStr">
        <is>
          <t>Senior/Lead</t>
        </is>
      </c>
      <c r="D1297" s="8" t="inlineStr">
        <is>
          <t>Network Security Engineer</t>
        </is>
      </c>
      <c r="E1297" s="7" t="inlineStr">
        <is>
          <t>Cerebras</t>
        </is>
      </c>
      <c r="F1297" s="8" t="inlineStr">
        <is>
          <t>Remote, California, United States; Sunnyvale CA or Toronto Canada</t>
        </is>
      </c>
      <c r="G1297" s="8" t="n"/>
      <c r="H1297" s="14" t="n"/>
      <c r="I1297" s="15">
        <f>IF($H1297="","",$H1297-TODAY())</f>
        <v/>
      </c>
      <c r="J1297" s="16" t="inlineStr">
        <is>
          <t>Open posting</t>
        </is>
      </c>
      <c r="K1297" s="8" t="inlineStr">
        <is>
          <t>filtered by keyword pre-scan</t>
        </is>
      </c>
      <c r="L1297" s="17" t="inlineStr">
        <is>
          <t>new</t>
        </is>
      </c>
      <c r="M1297" s="18" t="inlineStr"/>
      <c r="N1297" s="7" t="inlineStr">
        <is>
          <t>1d1f4d3370db74815af64f9cacde521913713898</t>
        </is>
      </c>
      <c r="O1297" s="14" t="n">
        <v>46196</v>
      </c>
      <c r="P1297" s="7" t="inlineStr">
        <is>
          <t>greenhouse:cerebrassystems</t>
        </is>
      </c>
      <c r="Q1297" s="8" t="inlineStr">
        <is>
          <t>python, c</t>
        </is>
      </c>
      <c r="R1297" s="8" t="n"/>
      <c r="S1297" s="19" t="n"/>
      <c r="T1297" s="19" t="n"/>
      <c r="U1297" s="14" t="n">
        <v>46196</v>
      </c>
      <c r="V1297" s="7" t="inlineStr">
        <is>
          <t>v2-cv-accuracy-13b988b18da8ea7d</t>
        </is>
      </c>
    </row>
    <row r="1298" ht="28" customHeight="1">
      <c r="A1298" s="12">
        <f>IF($L1298="applied","Applied",IF($L1298="interview","Interview",IF($L1298="offer","Offer",IF($L1298="rejected","Rejected",IF($L1298="ignore","Ignore",IF($L1298="archive","Archive",IF($L1298="closed","Closed",IF($B1298="","Unscored",IF(AND($B1298&gt;=8,OR($H1298="",$H1298-TODAY()&lt;=14)),"P1 Apply",IF($B1298&gt;=7,"P2 Strong",IF($B1298&gt;=5,"P3 Maybe","P4 Low")))))))))))</f>
        <v/>
      </c>
      <c r="B1298" s="13" t="n">
        <v>0.86</v>
      </c>
      <c r="C1298" s="12" t="inlineStr">
        <is>
          <t>Junior</t>
        </is>
      </c>
      <c r="D1298" s="8" t="inlineStr">
        <is>
          <t>Embedded Software Engineer</t>
        </is>
      </c>
      <c r="E1298" s="7" t="inlineStr">
        <is>
          <t>IC Resources</t>
        </is>
      </c>
      <c r="F1298" s="8" t="inlineStr">
        <is>
          <t>Farnborough, England, UK</t>
        </is>
      </c>
      <c r="G1298" s="8" t="n"/>
      <c r="H1298" s="14" t="n"/>
      <c r="I1298" s="15">
        <f>IF($H1298="","",$H1298-TODAY())</f>
        <v/>
      </c>
      <c r="J1298" s="16" t="inlineStr">
        <is>
          <t>Open posting</t>
        </is>
      </c>
      <c r="K1298" s="8" t="inlineStr">
        <is>
          <t>filtered by keyword pre-scan</t>
        </is>
      </c>
      <c r="L1298" s="17" t="inlineStr">
        <is>
          <t>new</t>
        </is>
      </c>
      <c r="M1298" s="18" t="inlineStr"/>
      <c r="N1298" s="7" t="inlineStr">
        <is>
          <t>ab9da558af6ba18ed5685e7f10af3e4c75aa5dbb</t>
        </is>
      </c>
      <c r="O1298" s="14" t="n">
        <v>46170</v>
      </c>
      <c r="P1298" s="7" t="inlineStr">
        <is>
          <t>jobspy</t>
        </is>
      </c>
      <c r="Q1298" s="8" t="inlineStr">
        <is>
          <t>c, embedded systems</t>
        </is>
      </c>
      <c r="R1298" s="8" t="inlineStr">
        <is>
          <t>Junior Embedded Systems Engineer STM32</t>
        </is>
      </c>
      <c r="S1298" s="19" t="n"/>
      <c r="T1298" s="19" t="n"/>
      <c r="U1298" s="14" t="n">
        <v>46195</v>
      </c>
      <c r="V1298" s="7" t="inlineStr">
        <is>
          <t>v2-cv-accuracy-13b988b18da8ea7d</t>
        </is>
      </c>
    </row>
    <row r="1299" ht="28" customHeight="1">
      <c r="A1299" s="12">
        <f>IF($L1299="applied","Applied",IF($L1299="interview","Interview",IF($L1299="offer","Offer",IF($L1299="rejected","Rejected",IF($L1299="ignore","Ignore",IF($L1299="archive","Archive",IF($L1299="closed","Closed",IF($B1299="","Unscored",IF(AND($B1299&gt;=8,OR($H1299="",$H1299-TODAY()&lt;=14)),"P1 Apply",IF($B1299&gt;=7,"P2 Strong",IF($B1299&gt;=5,"P3 Maybe","P4 Low")))))))))))</f>
        <v/>
      </c>
      <c r="B1299" s="13" t="n">
        <v>0.86</v>
      </c>
      <c r="C1299" s="12" t="inlineStr">
        <is>
          <t>Unspecified</t>
        </is>
      </c>
      <c r="D1299" s="8" t="inlineStr">
        <is>
          <t>Autonomy Technologist</t>
        </is>
      </c>
      <c r="E1299" s="7" t="inlineStr">
        <is>
          <t>Leonardo</t>
        </is>
      </c>
      <c r="F1299" s="8" t="inlineStr">
        <is>
          <t>Yeovil, England, UK</t>
        </is>
      </c>
      <c r="G1299" s="8" t="n"/>
      <c r="H1299" s="14" t="n"/>
      <c r="I1299" s="15">
        <f>IF($H1299="","",$H1299-TODAY())</f>
        <v/>
      </c>
      <c r="J1299" s="16" t="inlineStr">
        <is>
          <t>Open posting</t>
        </is>
      </c>
      <c r="K1299" s="8" t="inlineStr">
        <is>
          <t>filtered by keyword pre-scan</t>
        </is>
      </c>
      <c r="L1299" s="17" t="inlineStr">
        <is>
          <t>new</t>
        </is>
      </c>
      <c r="M1299" s="18" t="inlineStr"/>
      <c r="N1299" s="7" t="inlineStr">
        <is>
          <t>f059b40b583edee9a6af1405d8406af2e5625cfc</t>
        </is>
      </c>
      <c r="O1299" s="14" t="n">
        <v>46184</v>
      </c>
      <c r="P1299" s="7" t="inlineStr">
        <is>
          <t>jobspy</t>
        </is>
      </c>
      <c r="Q1299" s="8" t="inlineStr">
        <is>
          <t>python, c</t>
        </is>
      </c>
      <c r="R1299" s="8" t="inlineStr">
        <is>
          <t>Graduate Software Engineer Python embedded</t>
        </is>
      </c>
      <c r="S1299" s="19" t="n"/>
      <c r="T1299" s="19" t="n"/>
      <c r="U1299" s="14" t="n">
        <v>46195</v>
      </c>
      <c r="V1299" s="7" t="inlineStr">
        <is>
          <t>v2-cv-accuracy-13b988b18da8ea7d</t>
        </is>
      </c>
    </row>
    <row r="1300" ht="28" customHeight="1">
      <c r="A1300" s="12">
        <f>IF($L1300="applied","Applied",IF($L1300="interview","Interview",IF($L1300="offer","Offer",IF($L1300="rejected","Rejected",IF($L1300="ignore","Ignore",IF($L1300="archive","Archive",IF($L1300="closed","Closed",IF($B1300="","Unscored",IF(AND($B1300&gt;=8,OR($H1300="",$H1300-TODAY()&lt;=14)),"P1 Apply",IF($B1300&gt;=7,"P2 Strong",IF($B1300&gt;=5,"P3 Maybe","P4 Low")))))))))))</f>
        <v/>
      </c>
      <c r="B1300" s="13" t="n">
        <v>0.86</v>
      </c>
      <c r="C1300" s="12" t="inlineStr">
        <is>
          <t>Unspecified</t>
        </is>
      </c>
      <c r="D1300" s="8" t="inlineStr">
        <is>
          <t>Test Specialist</t>
        </is>
      </c>
      <c r="E1300" s="7" t="inlineStr">
        <is>
          <t>GIOS Technology</t>
        </is>
      </c>
      <c r="F1300" s="8" t="inlineStr">
        <is>
          <t>Sheffield, England, UK</t>
        </is>
      </c>
      <c r="G1300" s="8" t="n"/>
      <c r="H1300" s="14" t="n"/>
      <c r="I1300" s="15">
        <f>IF($H1300="","",$H1300-TODAY())</f>
        <v/>
      </c>
      <c r="J1300" s="16" t="inlineStr">
        <is>
          <t>Open posting</t>
        </is>
      </c>
      <c r="K1300" s="8" t="inlineStr">
        <is>
          <t>filtered by keyword pre-scan</t>
        </is>
      </c>
      <c r="L1300" s="17" t="inlineStr">
        <is>
          <t>new</t>
        </is>
      </c>
      <c r="M1300" s="18" t="inlineStr"/>
      <c r="N1300" s="7" t="inlineStr">
        <is>
          <t>3d75cdb2276a4481921faf1ff616941972308b72</t>
        </is>
      </c>
      <c r="O1300" s="14" t="n"/>
      <c r="P1300" s="7" t="inlineStr">
        <is>
          <t>jobspy</t>
        </is>
      </c>
      <c r="Q1300" s="8" t="inlineStr">
        <is>
          <t>sql, c</t>
        </is>
      </c>
      <c r="R1300" s="8" t="inlineStr">
        <is>
          <t>Graduate Hardware Engineer Sheffield</t>
        </is>
      </c>
      <c r="S1300" s="19" t="n"/>
      <c r="T1300" s="19" t="n"/>
      <c r="U1300" s="14" t="n">
        <v>46195</v>
      </c>
      <c r="V1300" s="7" t="inlineStr">
        <is>
          <t>v2-cv-accuracy-13b988b18da8ea7d</t>
        </is>
      </c>
    </row>
    <row r="1301" ht="28" customHeight="1">
      <c r="A1301" s="12">
        <f>IF($L1301="applied","Applied",IF($L1301="interview","Interview",IF($L1301="offer","Offer",IF($L1301="rejected","Rejected",IF($L1301="ignore","Ignore",IF($L1301="archive","Archive",IF($L1301="closed","Closed",IF($B1301="","Unscored",IF(AND($B1301&gt;=8,OR($H1301="",$H1301-TODAY()&lt;=14)),"P1 Apply",IF($B1301&gt;=7,"P2 Strong",IF($B1301&gt;=5,"P3 Maybe","P4 Low")))))))))))</f>
        <v/>
      </c>
      <c r="B1301" s="13" t="n">
        <v>0.86</v>
      </c>
      <c r="C1301" s="12" t="inlineStr">
        <is>
          <t>Junior</t>
        </is>
      </c>
      <c r="D1301" s="8" t="inlineStr">
        <is>
          <t>Junior Data Engineer</t>
        </is>
      </c>
      <c r="E1301" s="7" t="inlineStr">
        <is>
          <t>Harnham</t>
        </is>
      </c>
      <c r="F1301" s="8" t="inlineStr">
        <is>
          <t>England, United Kingdom</t>
        </is>
      </c>
      <c r="G1301" s="8" t="n"/>
      <c r="H1301" s="14" t="n"/>
      <c r="I1301" s="15">
        <f>IF($H1301="","",$H1301-TODAY())</f>
        <v/>
      </c>
      <c r="J1301" s="16" t="inlineStr">
        <is>
          <t>Open posting</t>
        </is>
      </c>
      <c r="K1301" s="8" t="inlineStr">
        <is>
          <t>filtered by keyword pre-scan</t>
        </is>
      </c>
      <c r="L1301" s="17" t="inlineStr">
        <is>
          <t>new</t>
        </is>
      </c>
      <c r="M1301" s="18" t="inlineStr"/>
      <c r="N1301" s="7" t="inlineStr">
        <is>
          <t>c319bb1db892ea6e97e43966a0df93a1f9f076e9</t>
        </is>
      </c>
      <c r="O1301" s="14" t="n">
        <v>46184</v>
      </c>
      <c r="P1301" s="7" t="inlineStr">
        <is>
          <t>jobspy</t>
        </is>
      </c>
      <c r="Q1301" s="8" t="inlineStr">
        <is>
          <t>python, c</t>
        </is>
      </c>
      <c r="R1301" s="8" t="inlineStr">
        <is>
          <t>Junior Data Engineer Python SQL MySQL remote</t>
        </is>
      </c>
      <c r="S1301" s="19" t="n"/>
      <c r="T1301" s="19" t="n"/>
      <c r="U1301" s="14" t="n">
        <v>46195</v>
      </c>
      <c r="V1301" s="7" t="inlineStr">
        <is>
          <t>v2-cv-accuracy-13b988b18da8ea7d</t>
        </is>
      </c>
    </row>
    <row r="1302" ht="28" customHeight="1">
      <c r="A1302" s="12">
        <f>IF($L1302="applied","Applied",IF($L1302="interview","Interview",IF($L1302="offer","Offer",IF($L1302="rejected","Rejected",IF($L1302="ignore","Ignore",IF($L1302="archive","Archive",IF($L1302="closed","Closed",IF($B1302="","Unscored",IF(AND($B1302&gt;=8,OR($H1302="",$H1302-TODAY()&lt;=14)),"P1 Apply",IF($B1302&gt;=7,"P2 Strong",IF($B1302&gt;=5,"P3 Maybe","P4 Low")))))))))))</f>
        <v/>
      </c>
      <c r="B1302" s="13" t="n">
        <v>0.86</v>
      </c>
      <c r="C1302" s="12" t="inlineStr">
        <is>
          <t>Senior/Lead</t>
        </is>
      </c>
      <c r="D1302" s="8" t="inlineStr">
        <is>
          <t>Frontend Software Developer Volunteer</t>
        </is>
      </c>
      <c r="E1302" s="7" t="inlineStr">
        <is>
          <t>MapAction</t>
        </is>
      </c>
      <c r="F1302" s="8" t="inlineStr">
        <is>
          <t>Princes Risborough, England, UK</t>
        </is>
      </c>
      <c r="G1302" s="8" t="n"/>
      <c r="H1302" s="14" t="n"/>
      <c r="I1302" s="15">
        <f>IF($H1302="","",$H1302-TODAY())</f>
        <v/>
      </c>
      <c r="J1302" s="16" t="inlineStr">
        <is>
          <t>Open posting</t>
        </is>
      </c>
      <c r="K1302" s="8" t="inlineStr">
        <is>
          <t>filtered by keyword pre-scan</t>
        </is>
      </c>
      <c r="L1302" s="17" t="inlineStr">
        <is>
          <t>new</t>
        </is>
      </c>
      <c r="M1302" s="18" t="inlineStr"/>
      <c r="N1302" s="7" t="inlineStr">
        <is>
          <t>cfceea1a3e560836afe53109c50ceb3cf8bc4fc6</t>
        </is>
      </c>
      <c r="O1302" s="14" t="n">
        <v>46189</v>
      </c>
      <c r="P1302" s="7" t="inlineStr">
        <is>
          <t>jobspy</t>
        </is>
      </c>
      <c r="Q1302" s="8" t="inlineStr">
        <is>
          <t>c</t>
        </is>
      </c>
      <c r="R1302" s="8" t="inlineStr">
        <is>
          <t>Junior Full Stack Developer JavaScript Python remote</t>
        </is>
      </c>
      <c r="S1302" s="19" t="n"/>
      <c r="T1302" s="19" t="n"/>
      <c r="U1302" s="14" t="n">
        <v>46195</v>
      </c>
      <c r="V1302" s="7" t="inlineStr">
        <is>
          <t>v2-cv-accuracy-13b988b18da8ea7d</t>
        </is>
      </c>
    </row>
    <row r="1303" ht="28" customHeight="1">
      <c r="A1303" s="12">
        <f>IF($L1303="applied","Applied",IF($L1303="interview","Interview",IF($L1303="offer","Offer",IF($L1303="rejected","Rejected",IF($L1303="ignore","Ignore",IF($L1303="archive","Archive",IF($L1303="closed","Closed",IF($B1303="","Unscored",IF(AND($B1303&gt;=8,OR($H1303="",$H1303-TODAY()&lt;=14)),"P1 Apply",IF($B1303&gt;=7,"P2 Strong",IF($B1303&gt;=5,"P3 Maybe","P4 Low")))))))))))</f>
        <v/>
      </c>
      <c r="B1303" s="13" t="n">
        <v>0.86</v>
      </c>
      <c r="C1303" s="12" t="inlineStr">
        <is>
          <t>Unspecified</t>
        </is>
      </c>
      <c r="D1303" s="8" t="inlineStr">
        <is>
          <t>Embedded Software Engineer</t>
        </is>
      </c>
      <c r="E1303" s="7" t="inlineStr">
        <is>
          <t>Langham Recruitment</t>
        </is>
      </c>
      <c r="F1303" s="8" t="inlineStr">
        <is>
          <t>London Area, United Kingdom</t>
        </is>
      </c>
      <c r="G1303" s="8" t="n"/>
      <c r="H1303" s="14" t="n"/>
      <c r="I1303" s="15">
        <f>IF($H1303="","",$H1303-TODAY())</f>
        <v/>
      </c>
      <c r="J1303" s="16" t="inlineStr">
        <is>
          <t>Open posting</t>
        </is>
      </c>
      <c r="K1303" s="8" t="inlineStr">
        <is>
          <t>filtered by keyword pre-scan</t>
        </is>
      </c>
      <c r="L1303" s="17" t="inlineStr">
        <is>
          <t>new</t>
        </is>
      </c>
      <c r="M1303" s="18" t="inlineStr"/>
      <c r="N1303" s="7" t="inlineStr">
        <is>
          <t>5da87141ce4217ebc94f0f414dbbbe1501e77b17</t>
        </is>
      </c>
      <c r="O1303" s="14" t="n">
        <v>46171</v>
      </c>
      <c r="P1303" s="7" t="inlineStr">
        <is>
          <t>jobspy</t>
        </is>
      </c>
      <c r="Q1303" s="8" t="inlineStr">
        <is>
          <t>python, c</t>
        </is>
      </c>
      <c r="R1303" s="8" t="inlineStr">
        <is>
          <t>Graduate Embedded Software Engineer C Python IoT</t>
        </is>
      </c>
      <c r="S1303" s="19" t="n"/>
      <c r="T1303" s="19" t="n"/>
      <c r="U1303" s="14" t="n">
        <v>46195</v>
      </c>
      <c r="V1303" s="7" t="inlineStr">
        <is>
          <t>v2-cv-accuracy-13b988b18da8ea7d</t>
        </is>
      </c>
    </row>
    <row r="1304" ht="28" customHeight="1">
      <c r="A1304" s="12">
        <f>IF($L1304="applied","Applied",IF($L1304="interview","Interview",IF($L1304="offer","Offer",IF($L1304="rejected","Rejected",IF($L1304="ignore","Ignore",IF($L1304="archive","Archive",IF($L1304="closed","Closed",IF($B1304="","Unscored",IF(AND($B1304&gt;=8,OR($H1304="",$H1304-TODAY()&lt;=14)),"P1 Apply",IF($B1304&gt;=7,"P2 Strong",IF($B1304&gt;=5,"P3 Maybe","P4 Low")))))))))))</f>
        <v/>
      </c>
      <c r="B1304" s="13" t="n">
        <v>0.86</v>
      </c>
      <c r="C1304" s="12" t="inlineStr">
        <is>
          <t>Junior</t>
        </is>
      </c>
      <c r="D1304" s="8" t="inlineStr">
        <is>
          <t>Cambridge Residency Programme: Next-Generation AI Datacentre Networking</t>
        </is>
      </c>
      <c r="E1304" s="7" t="inlineStr">
        <is>
          <t>Microsoft</t>
        </is>
      </c>
      <c r="F1304" s="8" t="inlineStr">
        <is>
          <t>Cambridge, England, UK</t>
        </is>
      </c>
      <c r="G1304" s="8" t="n"/>
      <c r="H1304" s="14" t="n"/>
      <c r="I1304" s="15">
        <f>IF($H1304="","",$H1304-TODAY())</f>
        <v/>
      </c>
      <c r="J1304" s="16" t="inlineStr">
        <is>
          <t>Open posting</t>
        </is>
      </c>
      <c r="K1304" s="8" t="inlineStr">
        <is>
          <t>filtered by keyword pre-scan</t>
        </is>
      </c>
      <c r="L1304" s="17" t="inlineStr">
        <is>
          <t>new</t>
        </is>
      </c>
      <c r="M1304" s="18" t="inlineStr"/>
      <c r="N1304" s="7" t="inlineStr">
        <is>
          <t>b541e73b87f9a409600956758d7013e68e96966a</t>
        </is>
      </c>
      <c r="O1304" s="14" t="n">
        <v>46179</v>
      </c>
      <c r="P1304" s="7" t="inlineStr">
        <is>
          <t>jobspy</t>
        </is>
      </c>
      <c r="Q1304" s="8" t="inlineStr">
        <is>
          <t>python, c</t>
        </is>
      </c>
      <c r="R1304" s="8" t="inlineStr">
        <is>
          <t>PhD Studentship Wireless Communications LoRaWAN IoT</t>
        </is>
      </c>
      <c r="S1304" s="19" t="n"/>
      <c r="T1304" s="19" t="n"/>
      <c r="U1304" s="14" t="n">
        <v>46195</v>
      </c>
      <c r="V1304" s="7" t="inlineStr">
        <is>
          <t>v2-cv-accuracy-13b988b18da8ea7d</t>
        </is>
      </c>
    </row>
    <row r="1305" ht="28" customHeight="1">
      <c r="A1305" s="12">
        <f>IF($L1305="applied","Applied",IF($L1305="interview","Interview",IF($L1305="offer","Offer",IF($L1305="rejected","Rejected",IF($L1305="ignore","Ignore",IF($L1305="archive","Archive",IF($L1305="closed","Closed",IF($B1305="","Unscored",IF(AND($B1305&gt;=8,OR($H1305="",$H1305-TODAY()&lt;=14)),"P1 Apply",IF($B1305&gt;=7,"P2 Strong",IF($B1305&gt;=5,"P3 Maybe","P4 Low")))))))))))</f>
        <v/>
      </c>
      <c r="B1305" s="13" t="n">
        <v>0.86</v>
      </c>
      <c r="C1305" s="12" t="inlineStr">
        <is>
          <t>Mid-level</t>
        </is>
      </c>
      <c r="D1305" s="8" t="inlineStr">
        <is>
          <t>Researcher in Novel Computing for 6G</t>
        </is>
      </c>
      <c r="E1305" s="7" t="inlineStr">
        <is>
          <t>Nokia</t>
        </is>
      </c>
      <c r="F1305" s="8" t="inlineStr">
        <is>
          <t>Cambridge, England, UK</t>
        </is>
      </c>
      <c r="G1305" s="8" t="n"/>
      <c r="H1305" s="14" t="n"/>
      <c r="I1305" s="15">
        <f>IF($H1305="","",$H1305-TODAY())</f>
        <v/>
      </c>
      <c r="J1305" s="16" t="inlineStr">
        <is>
          <t>Open posting</t>
        </is>
      </c>
      <c r="K1305" s="8" t="inlineStr">
        <is>
          <t>filtered by keyword pre-scan</t>
        </is>
      </c>
      <c r="L1305" s="17" t="inlineStr">
        <is>
          <t>new</t>
        </is>
      </c>
      <c r="M1305" s="18" t="inlineStr"/>
      <c r="N1305" s="7" t="inlineStr">
        <is>
          <t>f8cfec93db95b9ec9745467c1802a8236611fffd</t>
        </is>
      </c>
      <c r="O1305" s="14" t="n"/>
      <c r="P1305" s="7" t="inlineStr">
        <is>
          <t>jobspy</t>
        </is>
      </c>
      <c r="Q1305" s="8" t="inlineStr">
        <is>
          <t>python, c</t>
        </is>
      </c>
      <c r="R1305" s="8" t="inlineStr">
        <is>
          <t>PhD Studentship Wireless Communications LoRaWAN IoT</t>
        </is>
      </c>
      <c r="S1305" s="19" t="n"/>
      <c r="T1305" s="19" t="n"/>
      <c r="U1305" s="14" t="n">
        <v>46195</v>
      </c>
      <c r="V1305" s="7" t="inlineStr">
        <is>
          <t>v2-cv-accuracy-13b988b18da8ea7d</t>
        </is>
      </c>
    </row>
    <row r="1306" ht="28" customHeight="1">
      <c r="A1306" s="12">
        <f>IF($L1306="applied","Applied",IF($L1306="interview","Interview",IF($L1306="offer","Offer",IF($L1306="rejected","Rejected",IF($L1306="ignore","Ignore",IF($L1306="archive","Archive",IF($L1306="closed","Closed",IF($B1306="","Unscored",IF(AND($B1306&gt;=8,OR($H1306="",$H1306-TODAY()&lt;=14)),"P1 Apply",IF($B1306&gt;=7,"P2 Strong",IF($B1306&gt;=5,"P3 Maybe","P4 Low")))))))))))</f>
        <v/>
      </c>
      <c r="B1306" s="13" t="n">
        <v>0.86</v>
      </c>
      <c r="C1306" s="12" t="inlineStr">
        <is>
          <t>Graduate/Entry</t>
        </is>
      </c>
      <c r="D1306" s="8" t="inlineStr">
        <is>
          <t>MSCA Doctoral Graduate Research Assistant [DC4]</t>
        </is>
      </c>
      <c r="E1306" s="7" t="inlineStr">
        <is>
          <t>University of Exeter</t>
        </is>
      </c>
      <c r="F1306" s="8" t="inlineStr">
        <is>
          <t>Exeter, England, UK</t>
        </is>
      </c>
      <c r="G1306" s="8" t="n"/>
      <c r="H1306" s="14" t="n"/>
      <c r="I1306" s="15">
        <f>IF($H1306="","",$H1306-TODAY())</f>
        <v/>
      </c>
      <c r="J1306" s="16" t="inlineStr">
        <is>
          <t>Open posting</t>
        </is>
      </c>
      <c r="K1306" s="8" t="inlineStr">
        <is>
          <t>filtered by keyword pre-scan</t>
        </is>
      </c>
      <c r="L1306" s="17" t="inlineStr">
        <is>
          <t>new</t>
        </is>
      </c>
      <c r="M1306" s="18" t="inlineStr"/>
      <c r="N1306" s="7" t="inlineStr">
        <is>
          <t>8734fe3fb126866cc5fa9c2c0bbaabbbb724c41e</t>
        </is>
      </c>
      <c r="O1306" s="14" t="n"/>
      <c r="P1306" s="7" t="inlineStr">
        <is>
          <t>jobspy</t>
        </is>
      </c>
      <c r="Q1306" s="8" t="inlineStr">
        <is>
          <t>git, c</t>
        </is>
      </c>
      <c r="R1306" s="8" t="inlineStr">
        <is>
          <t>PhD Studentship Wireless Communications LoRaWAN IoT</t>
        </is>
      </c>
      <c r="S1306" s="19" t="n"/>
      <c r="T1306" s="19" t="n"/>
      <c r="U1306" s="14" t="n">
        <v>46195</v>
      </c>
      <c r="V1306" s="7" t="inlineStr">
        <is>
          <t>v2-cv-accuracy-13b988b18da8ea7d</t>
        </is>
      </c>
    </row>
    <row r="1307" ht="28" customHeight="1">
      <c r="A1307" s="12">
        <f>IF($L1307="applied","Applied",IF($L1307="interview","Interview",IF($L1307="offer","Offer",IF($L1307="rejected","Rejected",IF($L1307="ignore","Ignore",IF($L1307="archive","Archive",IF($L1307="closed","Closed",IF($B1307="","Unscored",IF(AND($B1307&gt;=8,OR($H1307="",$H1307-TODAY()&lt;=14)),"P1 Apply",IF($B1307&gt;=7,"P2 Strong",IF($B1307&gt;=5,"P3 Maybe","P4 Low")))))))))))</f>
        <v/>
      </c>
      <c r="B1307" s="13" t="n">
        <v>0.86</v>
      </c>
      <c r="C1307" s="12" t="inlineStr">
        <is>
          <t>Graduate/Entry</t>
        </is>
      </c>
      <c r="D1307" s="8" t="inlineStr">
        <is>
          <t>Kigtek Solutions (VINCI Energies) - Graduate Automation Engineer</t>
        </is>
      </c>
      <c r="E1307" s="7" t="inlineStr">
        <is>
          <t>ACTEMIUM</t>
        </is>
      </c>
      <c r="F1307" s="8" t="inlineStr">
        <is>
          <t>Bellshill, SCT, GB</t>
        </is>
      </c>
      <c r="G1307" s="8" t="n"/>
      <c r="H1307" s="14" t="n"/>
      <c r="I1307" s="15">
        <f>IF($H1307="","",$H1307-TODAY())</f>
        <v/>
      </c>
      <c r="J1307" s="16" t="inlineStr">
        <is>
          <t>Open posting</t>
        </is>
      </c>
      <c r="K1307" s="8" t="inlineStr">
        <is>
          <t>filtered by keyword pre-scan</t>
        </is>
      </c>
      <c r="L1307" s="17" t="inlineStr">
        <is>
          <t>new</t>
        </is>
      </c>
      <c r="M1307" s="18" t="inlineStr"/>
      <c r="N1307" s="7" t="inlineStr">
        <is>
          <t>9dd05116e627548410b0ac283c144e48f042acda</t>
        </is>
      </c>
      <c r="O1307" s="14" t="n">
        <v>46168</v>
      </c>
      <c r="P1307" s="7" t="inlineStr">
        <is>
          <t>jobspy</t>
        </is>
      </c>
      <c r="Q1307" s="8" t="inlineStr">
        <is>
          <t>git, c</t>
        </is>
      </c>
      <c r="R1307" s="8" t="inlineStr">
        <is>
          <t>Graduate Computer Engineer digital design</t>
        </is>
      </c>
      <c r="S1307" s="19" t="n"/>
      <c r="T1307" s="19" t="n"/>
      <c r="U1307" s="14" t="n">
        <v>46194</v>
      </c>
      <c r="V1307" s="7" t="inlineStr">
        <is>
          <t>v2-cv-accuracy-13b988b18da8ea7d</t>
        </is>
      </c>
    </row>
    <row r="1308" ht="28" customHeight="1">
      <c r="A1308" s="12">
        <f>IF($L1308="applied","Applied",IF($L1308="interview","Interview",IF($L1308="offer","Offer",IF($L1308="rejected","Rejected",IF($L1308="ignore","Ignore",IF($L1308="archive","Archive",IF($L1308="closed","Closed",IF($B1308="","Unscored",IF(AND($B1308&gt;=8,OR($H1308="",$H1308-TODAY()&lt;=14)),"P1 Apply",IF($B1308&gt;=7,"P2 Strong",IF($B1308&gt;=5,"P3 Maybe","P4 Low")))))))))))</f>
        <v/>
      </c>
      <c r="B1308" s="13" t="n">
        <v>0.86</v>
      </c>
      <c r="C1308" s="12" t="inlineStr">
        <is>
          <t>Junior</t>
        </is>
      </c>
      <c r="D1308" s="8" t="inlineStr">
        <is>
          <t>Software Developer with AI in Modern Construction (KTP Associate)</t>
        </is>
      </c>
      <c r="E1308" s="7" t="inlineStr">
        <is>
          <t>University of Hertfordshire</t>
        </is>
      </c>
      <c r="F1308" s="8" t="inlineStr">
        <is>
          <t>Hatfield, ENG, GB</t>
        </is>
      </c>
      <c r="G1308" s="8" t="n"/>
      <c r="H1308" s="14" t="n"/>
      <c r="I1308" s="15">
        <f>IF($H1308="","",$H1308-TODAY())</f>
        <v/>
      </c>
      <c r="J1308" s="16" t="inlineStr">
        <is>
          <t>Open posting</t>
        </is>
      </c>
      <c r="K1308" s="8" t="inlineStr">
        <is>
          <t>filtered by keyword pre-scan</t>
        </is>
      </c>
      <c r="L1308" s="17" t="inlineStr">
        <is>
          <t>new</t>
        </is>
      </c>
      <c r="M1308" s="18" t="inlineStr"/>
      <c r="N1308" s="7" t="inlineStr">
        <is>
          <t>24a5f13f7e0a4dbd8fa5676c79d3e9d6dacd54cb</t>
        </is>
      </c>
      <c r="O1308" s="14" t="n">
        <v>46168</v>
      </c>
      <c r="P1308" s="7" t="inlineStr">
        <is>
          <t>jobspy</t>
        </is>
      </c>
      <c r="Q1308" s="8" t="inlineStr">
        <is>
          <t>git, c</t>
        </is>
      </c>
      <c r="R1308" s="8" t="inlineStr">
        <is>
          <t>Graduate Computer Engineer digital design</t>
        </is>
      </c>
      <c r="S1308" s="19" t="n"/>
      <c r="T1308" s="19" t="n"/>
      <c r="U1308" s="14" t="n">
        <v>46194</v>
      </c>
      <c r="V1308" s="7" t="inlineStr">
        <is>
          <t>v2-cv-accuracy-13b988b18da8ea7d</t>
        </is>
      </c>
    </row>
    <row r="1309" ht="28" customHeight="1">
      <c r="A1309" s="12">
        <f>IF($L1309="applied","Applied",IF($L1309="interview","Interview",IF($L1309="offer","Offer",IF($L1309="rejected","Rejected",IF($L1309="ignore","Ignore",IF($L1309="archive","Archive",IF($L1309="closed","Closed",IF($B1309="","Unscored",IF(AND($B1309&gt;=8,OR($H1309="",$H1309-TODAY()&lt;=14)),"P1 Apply",IF($B1309&gt;=7,"P2 Strong",IF($B1309&gt;=5,"P3 Maybe","P4 Low")))))))))))</f>
        <v/>
      </c>
      <c r="B1309" s="13" t="n">
        <v>0.86</v>
      </c>
      <c r="C1309" s="12" t="inlineStr">
        <is>
          <t>Graduate/Entry</t>
        </is>
      </c>
      <c r="D1309" s="8" t="inlineStr">
        <is>
          <t>Kigtek Solutions (VINCI Energies) - Graduate Automation Engineer</t>
        </is>
      </c>
      <c r="E1309" s="7" t="inlineStr">
        <is>
          <t>VINCI</t>
        </is>
      </c>
      <c r="F1309" s="8" t="inlineStr">
        <is>
          <t>Bellshill, SCT, GB</t>
        </is>
      </c>
      <c r="G1309" s="8" t="n"/>
      <c r="H1309" s="14" t="n"/>
      <c r="I1309" s="15">
        <f>IF($H1309="","",$H1309-TODAY())</f>
        <v/>
      </c>
      <c r="J1309" s="16" t="inlineStr">
        <is>
          <t>Open posting</t>
        </is>
      </c>
      <c r="K1309" s="8" t="inlineStr">
        <is>
          <t>filtered by keyword pre-scan</t>
        </is>
      </c>
      <c r="L1309" s="17" t="inlineStr">
        <is>
          <t>new</t>
        </is>
      </c>
      <c r="M1309" s="18" t="inlineStr"/>
      <c r="N1309" s="7" t="inlineStr">
        <is>
          <t>b99b6c455029c7998123ca4a01095862e7f85099</t>
        </is>
      </c>
      <c r="O1309" s="14" t="n">
        <v>46168</v>
      </c>
      <c r="P1309" s="7" t="inlineStr">
        <is>
          <t>jobspy</t>
        </is>
      </c>
      <c r="Q1309" s="8" t="inlineStr">
        <is>
          <t>git, c</t>
        </is>
      </c>
      <c r="R1309" s="8" t="inlineStr">
        <is>
          <t>Graduate Computer Engineer digital design</t>
        </is>
      </c>
      <c r="S1309" s="19" t="n"/>
      <c r="T1309" s="19" t="n"/>
      <c r="U1309" s="14" t="n">
        <v>46194</v>
      </c>
      <c r="V1309" s="7" t="inlineStr">
        <is>
          <t>v2-cv-accuracy-13b988b18da8ea7d</t>
        </is>
      </c>
    </row>
    <row r="1310" ht="28" customHeight="1">
      <c r="A1310" s="12">
        <f>IF($L1310="applied","Applied",IF($L1310="interview","Interview",IF($L1310="offer","Offer",IF($L1310="rejected","Rejected",IF($L1310="ignore","Ignore",IF($L1310="archive","Archive",IF($L1310="closed","Closed",IF($B1310="","Unscored",IF(AND($B1310&gt;=8,OR($H1310="",$H1310-TODAY()&lt;=14)),"P1 Apply",IF($B1310&gt;=7,"P2 Strong",IF($B1310&gt;=5,"P3 Maybe","P4 Low")))))))))))</f>
        <v/>
      </c>
      <c r="B1310" s="13" t="n">
        <v>0.86</v>
      </c>
      <c r="C1310" s="12" t="inlineStr">
        <is>
          <t>Junior</t>
        </is>
      </c>
      <c r="D1310" s="8" t="inlineStr">
        <is>
          <t>Junior Software Engineer</t>
        </is>
      </c>
      <c r="E1310" s="7" t="inlineStr">
        <is>
          <t>Platform Recruitment</t>
        </is>
      </c>
      <c r="F1310" s="8" t="inlineStr">
        <is>
          <t>London Area, United Kingdom</t>
        </is>
      </c>
      <c r="G1310" s="8" t="n"/>
      <c r="H1310" s="14" t="n"/>
      <c r="I1310" s="15">
        <f>IF($H1310="","",$H1310-TODAY())</f>
        <v/>
      </c>
      <c r="J1310" s="16" t="inlineStr">
        <is>
          <t>Open posting</t>
        </is>
      </c>
      <c r="K1310" s="8" t="inlineStr">
        <is>
          <t>filtered by keyword pre-scan</t>
        </is>
      </c>
      <c r="L1310" s="17" t="inlineStr">
        <is>
          <t>new</t>
        </is>
      </c>
      <c r="M1310" s="18" t="inlineStr"/>
      <c r="N1310" s="7" t="inlineStr">
        <is>
          <t>594c802c7b0cb913a18489292099021584340838</t>
        </is>
      </c>
      <c r="O1310" s="14" t="n">
        <v>46192</v>
      </c>
      <c r="P1310" s="7" t="inlineStr">
        <is>
          <t>jobspy</t>
        </is>
      </c>
      <c r="Q1310" s="8" t="inlineStr">
        <is>
          <t>sql, c</t>
        </is>
      </c>
      <c r="R1310" s="8" t="inlineStr">
        <is>
          <t>Graduate Software Engineer embedded systems</t>
        </is>
      </c>
      <c r="S1310" s="19" t="n"/>
      <c r="T1310" s="19" t="n"/>
      <c r="U1310" s="14" t="n">
        <v>46194</v>
      </c>
      <c r="V1310" s="7" t="inlineStr">
        <is>
          <t>v2-cv-accuracy-13b988b18da8ea7d</t>
        </is>
      </c>
    </row>
    <row r="1311" ht="28" customHeight="1">
      <c r="A1311" s="12">
        <f>IF($L1311="applied","Applied",IF($L1311="interview","Interview",IF($L1311="offer","Offer",IF($L1311="rejected","Rejected",IF($L1311="ignore","Ignore",IF($L1311="archive","Archive",IF($L1311="closed","Closed",IF($B1311="","Unscored",IF(AND($B1311&gt;=8,OR($H1311="",$H1311-TODAY()&lt;=14)),"P1 Apply",IF($B1311&gt;=7,"P2 Strong",IF($B1311&gt;=5,"P3 Maybe","P4 Low")))))))))))</f>
        <v/>
      </c>
      <c r="B1311" s="13" t="n">
        <v>0.86</v>
      </c>
      <c r="C1311" s="12" t="inlineStr">
        <is>
          <t>Unspecified</t>
        </is>
      </c>
      <c r="D1311" s="8" t="inlineStr">
        <is>
          <t>Flight Software Engineer</t>
        </is>
      </c>
      <c r="E1311" s="7" t="inlineStr">
        <is>
          <t>Alexander Associates</t>
        </is>
      </c>
      <c r="F1311" s="8" t="inlineStr">
        <is>
          <t>California, Scotland, UK</t>
        </is>
      </c>
      <c r="G1311" s="8" t="n"/>
      <c r="H1311" s="14" t="n"/>
      <c r="I1311" s="15">
        <f>IF($H1311="","",$H1311-TODAY())</f>
        <v/>
      </c>
      <c r="J1311" s="16" t="inlineStr">
        <is>
          <t>Open posting</t>
        </is>
      </c>
      <c r="K1311" s="8" t="inlineStr">
        <is>
          <t>filtered by keyword pre-scan</t>
        </is>
      </c>
      <c r="L1311" s="17" t="inlineStr">
        <is>
          <t>new</t>
        </is>
      </c>
      <c r="M1311" s="18" t="inlineStr"/>
      <c r="N1311" s="7" t="inlineStr">
        <is>
          <t>e0e5f74aead71223e2231383cac3547862258b5c</t>
        </is>
      </c>
      <c r="O1311" s="14" t="n">
        <v>46186</v>
      </c>
      <c r="P1311" s="7" t="inlineStr">
        <is>
          <t>jobspy</t>
        </is>
      </c>
      <c r="Q1311" s="8" t="inlineStr">
        <is>
          <t>c, embedded systems</t>
        </is>
      </c>
      <c r="R1311" s="8" t="inlineStr">
        <is>
          <t>Graduate Software Engineer embedded systems</t>
        </is>
      </c>
      <c r="S1311" s="19" t="n"/>
      <c r="T1311" s="19" t="n"/>
      <c r="U1311" s="14" t="n">
        <v>46194</v>
      </c>
      <c r="V1311" s="7" t="inlineStr">
        <is>
          <t>v2-cv-accuracy-13b988b18da8ea7d</t>
        </is>
      </c>
    </row>
    <row r="1312" ht="28" customHeight="1">
      <c r="A1312" s="12">
        <f>IF($L1312="applied","Applied",IF($L1312="interview","Interview",IF($L1312="offer","Offer",IF($L1312="rejected","Rejected",IF($L1312="ignore","Ignore",IF($L1312="archive","Archive",IF($L1312="closed","Closed",IF($B1312="","Unscored",IF(AND($B1312&gt;=8,OR($H1312="",$H1312-TODAY()&lt;=14)),"P1 Apply",IF($B1312&gt;=7,"P2 Strong",IF($B1312&gt;=5,"P3 Maybe","P4 Low")))))))))))</f>
        <v/>
      </c>
      <c r="B1312" s="13" t="n">
        <v>0.86</v>
      </c>
      <c r="C1312" s="12" t="inlineStr">
        <is>
          <t>Graduate/Entry</t>
        </is>
      </c>
      <c r="D1312" s="8" t="inlineStr">
        <is>
          <t>Graduate Software Engineer (2026 start)</t>
        </is>
      </c>
      <c r="E1312" s="7" t="inlineStr">
        <is>
          <t>Cambridge Consultants</t>
        </is>
      </c>
      <c r="F1312" s="8" t="inlineStr">
        <is>
          <t>Cambridge, England, UK</t>
        </is>
      </c>
      <c r="G1312" s="8" t="n"/>
      <c r="H1312" s="14" t="n"/>
      <c r="I1312" s="15">
        <f>IF($H1312="","",$H1312-TODAY())</f>
        <v/>
      </c>
      <c r="J1312" s="16" t="inlineStr">
        <is>
          <t>Open posting</t>
        </is>
      </c>
      <c r="K1312" s="8" t="inlineStr">
        <is>
          <t>filtered by keyword pre-scan</t>
        </is>
      </c>
      <c r="L1312" s="17" t="inlineStr">
        <is>
          <t>new</t>
        </is>
      </c>
      <c r="M1312" s="18" t="inlineStr"/>
      <c r="N1312" s="7" t="inlineStr">
        <is>
          <t>c4e9a2f184d8cf6224d8e6d93ee964dfca02ba16</t>
        </is>
      </c>
      <c r="O1312" s="14" t="n">
        <v>46183</v>
      </c>
      <c r="P1312" s="7" t="inlineStr">
        <is>
          <t>jobspy</t>
        </is>
      </c>
      <c r="Q1312" s="8" t="inlineStr">
        <is>
          <t>python, c</t>
        </is>
      </c>
      <c r="R1312" s="8" t="inlineStr">
        <is>
          <t>Graduate Software Engineer embedded systems</t>
        </is>
      </c>
      <c r="S1312" s="19" t="n"/>
      <c r="T1312" s="19" t="n"/>
      <c r="U1312" s="14" t="n">
        <v>46194</v>
      </c>
      <c r="V1312" s="7" t="inlineStr">
        <is>
          <t>v2-cv-accuracy-13b988b18da8ea7d</t>
        </is>
      </c>
    </row>
    <row r="1313" ht="28" customHeight="1">
      <c r="A1313" s="12">
        <f>IF($L1313="applied","Applied",IF($L1313="interview","Interview",IF($L1313="offer","Offer",IF($L1313="rejected","Rejected",IF($L1313="ignore","Ignore",IF($L1313="archive","Archive",IF($L1313="closed","Closed",IF($B1313="","Unscored",IF(AND($B1313&gt;=8,OR($H1313="",$H1313-TODAY()&lt;=14)),"P1 Apply",IF($B1313&gt;=7,"P2 Strong",IF($B1313&gt;=5,"P3 Maybe","P4 Low")))))))))))</f>
        <v/>
      </c>
      <c r="B1313" s="13" t="n">
        <v>0.86</v>
      </c>
      <c r="C1313" s="12" t="inlineStr">
        <is>
          <t>Unspecified</t>
        </is>
      </c>
      <c r="D1313" s="8" t="inlineStr">
        <is>
          <t>Quantum Software Engineer</t>
        </is>
      </c>
      <c r="E1313" s="7" t="inlineStr">
        <is>
          <t>Oxford Quantum Circuits (OQC)</t>
        </is>
      </c>
      <c r="F1313" s="8" t="inlineStr">
        <is>
          <t>Reading, England, UK</t>
        </is>
      </c>
      <c r="G1313" s="8" t="n"/>
      <c r="H1313" s="14" t="n"/>
      <c r="I1313" s="15">
        <f>IF($H1313="","",$H1313-TODAY())</f>
        <v/>
      </c>
      <c r="J1313" s="16" t="inlineStr">
        <is>
          <t>Open posting</t>
        </is>
      </c>
      <c r="K1313" s="8" t="inlineStr">
        <is>
          <t>filtered by keyword pre-scan</t>
        </is>
      </c>
      <c r="L1313" s="17" t="inlineStr">
        <is>
          <t>new</t>
        </is>
      </c>
      <c r="M1313" s="18" t="inlineStr"/>
      <c r="N1313" s="7" t="inlineStr">
        <is>
          <t>4f851c67222bbb715bcc1355e2500b9fc573bb18</t>
        </is>
      </c>
      <c r="O1313" s="14" t="n">
        <v>46165</v>
      </c>
      <c r="P1313" s="7" t="inlineStr">
        <is>
          <t>jobspy</t>
        </is>
      </c>
      <c r="Q1313" s="8" t="inlineStr">
        <is>
          <t>python, c</t>
        </is>
      </c>
      <c r="R1313" s="8" t="inlineStr">
        <is>
          <t>Embedded Software Engineer graduate C Python</t>
        </is>
      </c>
      <c r="S1313" s="19" t="n"/>
      <c r="T1313" s="19" t="n"/>
      <c r="U1313" s="14" t="n">
        <v>46194</v>
      </c>
      <c r="V1313" s="7" t="inlineStr">
        <is>
          <t>v2-cv-accuracy-13b988b18da8ea7d</t>
        </is>
      </c>
    </row>
    <row r="1314" ht="28" customHeight="1">
      <c r="A1314" s="12">
        <f>IF($L1314="applied","Applied",IF($L1314="interview","Interview",IF($L1314="offer","Offer",IF($L1314="rejected","Rejected",IF($L1314="ignore","Ignore",IF($L1314="archive","Archive",IF($L1314="closed","Closed",IF($B1314="","Unscored",IF(AND($B1314&gt;=8,OR($H1314="",$H1314-TODAY()&lt;=14)),"P1 Apply",IF($B1314&gt;=7,"P2 Strong",IF($B1314&gt;=5,"P3 Maybe","P4 Low")))))))))))</f>
        <v/>
      </c>
      <c r="B1314" s="13" t="n">
        <v>0.86</v>
      </c>
      <c r="C1314" s="12" t="inlineStr">
        <is>
          <t>Senior/Lead</t>
        </is>
      </c>
      <c r="D1314" s="8" t="inlineStr">
        <is>
          <t>Test Engineer</t>
        </is>
      </c>
      <c r="E1314" s="7" t="inlineStr">
        <is>
          <t>IXICO</t>
        </is>
      </c>
      <c r="F1314" s="8" t="inlineStr">
        <is>
          <t>London Area, United Kingdom</t>
        </is>
      </c>
      <c r="G1314" s="8" t="n"/>
      <c r="H1314" s="14" t="n"/>
      <c r="I1314" s="15">
        <f>IF($H1314="","",$H1314-TODAY())</f>
        <v/>
      </c>
      <c r="J1314" s="16" t="inlineStr">
        <is>
          <t>Open posting</t>
        </is>
      </c>
      <c r="K1314" s="8" t="inlineStr">
        <is>
          <t>filtered by keyword pre-scan</t>
        </is>
      </c>
      <c r="L1314" s="17" t="inlineStr">
        <is>
          <t>new</t>
        </is>
      </c>
      <c r="M1314" s="18" t="inlineStr"/>
      <c r="N1314" s="7" t="inlineStr">
        <is>
          <t>0cde6979b696e36987a2b76d386a32515d8cc3ba</t>
        </is>
      </c>
      <c r="O1314" s="14" t="n">
        <v>46189</v>
      </c>
      <c r="P1314" s="7" t="inlineStr">
        <is>
          <t>jobspy</t>
        </is>
      </c>
      <c r="Q1314" s="8" t="inlineStr">
        <is>
          <t>git, c</t>
        </is>
      </c>
      <c r="R1314" s="8" t="inlineStr">
        <is>
          <t>Graduate Verification Engineer digital design</t>
        </is>
      </c>
      <c r="S1314" s="19" t="n"/>
      <c r="T1314" s="19" t="n"/>
      <c r="U1314" s="14" t="n">
        <v>46194</v>
      </c>
      <c r="V1314" s="7" t="inlineStr">
        <is>
          <t>v2-cv-accuracy-13b988b18da8ea7d</t>
        </is>
      </c>
    </row>
    <row r="1315" ht="28" customHeight="1">
      <c r="A1315" s="12">
        <f>IF($L1315="applied","Applied",IF($L1315="interview","Interview",IF($L1315="offer","Offer",IF($L1315="rejected","Rejected",IF($L1315="ignore","Ignore",IF($L1315="archive","Archive",IF($L1315="closed","Closed",IF($B1315="","Unscored",IF(AND($B1315&gt;=8,OR($H1315="",$H1315-TODAY()&lt;=14)),"P1 Apply",IF($B1315&gt;=7,"P2 Strong",IF($B1315&gt;=5,"P3 Maybe","P4 Low")))))))))))</f>
        <v/>
      </c>
      <c r="B1315" s="13" t="n">
        <v>0.86</v>
      </c>
      <c r="C1315" s="12" t="inlineStr">
        <is>
          <t>Mid-level</t>
        </is>
      </c>
      <c r="D1315" s="8" t="inlineStr">
        <is>
          <t>Configuration Engineer</t>
        </is>
      </c>
      <c r="E1315" s="7" t="inlineStr">
        <is>
          <t>Lockheed Martin</t>
        </is>
      </c>
      <c r="F1315" s="8" t="inlineStr">
        <is>
          <t>Ampthill, England, UK</t>
        </is>
      </c>
      <c r="G1315" s="8" t="n"/>
      <c r="H1315" s="14" t="n"/>
      <c r="I1315" s="15">
        <f>IF($H1315="","",$H1315-TODAY())</f>
        <v/>
      </c>
      <c r="J1315" s="16" t="inlineStr">
        <is>
          <t>Open posting</t>
        </is>
      </c>
      <c r="K1315" s="8" t="inlineStr">
        <is>
          <t>filtered by keyword pre-scan</t>
        </is>
      </c>
      <c r="L1315" s="17" t="inlineStr">
        <is>
          <t>new</t>
        </is>
      </c>
      <c r="M1315" s="18" t="inlineStr"/>
      <c r="N1315" s="7" t="inlineStr">
        <is>
          <t>f3f7970ab0d4cf4eda79c91f4f1c85b206c181ab</t>
        </is>
      </c>
      <c r="O1315" s="14" t="n">
        <v>46189</v>
      </c>
      <c r="P1315" s="7" t="inlineStr">
        <is>
          <t>jobspy</t>
        </is>
      </c>
      <c r="Q1315" s="8" t="inlineStr">
        <is>
          <t>git, c</t>
        </is>
      </c>
      <c r="R1315" s="8" t="inlineStr">
        <is>
          <t>Graduate Verification Engineer digital design</t>
        </is>
      </c>
      <c r="S1315" s="19" t="n"/>
      <c r="T1315" s="19" t="n"/>
      <c r="U1315" s="14" t="n">
        <v>46194</v>
      </c>
      <c r="V1315" s="7" t="inlineStr">
        <is>
          <t>v2-cv-accuracy-13b988b18da8ea7d</t>
        </is>
      </c>
    </row>
    <row r="1316" ht="28" customHeight="1">
      <c r="A1316" s="12">
        <f>IF($L1316="applied","Applied",IF($L1316="interview","Interview",IF($L1316="offer","Offer",IF($L1316="rejected","Rejected",IF($L1316="ignore","Ignore",IF($L1316="archive","Archive",IF($L1316="closed","Closed",IF($B1316="","Unscored",IF(AND($B1316&gt;=8,OR($H1316="",$H1316-TODAY()&lt;=14)),"P1 Apply",IF($B1316&gt;=7,"P2 Strong",IF($B1316&gt;=5,"P3 Maybe","P4 Low")))))))))))</f>
        <v/>
      </c>
      <c r="B1316" s="13" t="n">
        <v>0.86</v>
      </c>
      <c r="C1316" s="12" t="inlineStr">
        <is>
          <t>Senior/Lead</t>
        </is>
      </c>
      <c r="D1316" s="8" t="inlineStr">
        <is>
          <t>Digital Engineer</t>
        </is>
      </c>
      <c r="E1316" s="7" t="inlineStr">
        <is>
          <t>Babcock International Group</t>
        </is>
      </c>
      <c r="F1316" s="8" t="inlineStr">
        <is>
          <t>Bristol, England, UK</t>
        </is>
      </c>
      <c r="G1316" s="8" t="n"/>
      <c r="H1316" s="14" t="n"/>
      <c r="I1316" s="15">
        <f>IF($H1316="","",$H1316-TODAY())</f>
        <v/>
      </c>
      <c r="J1316" s="16" t="inlineStr">
        <is>
          <t>Open posting</t>
        </is>
      </c>
      <c r="K1316" s="8" t="inlineStr">
        <is>
          <t>filtered by keyword pre-scan</t>
        </is>
      </c>
      <c r="L1316" s="17" t="inlineStr">
        <is>
          <t>new</t>
        </is>
      </c>
      <c r="M1316" s="18" t="inlineStr"/>
      <c r="N1316" s="7" t="inlineStr">
        <is>
          <t>5b34235cf5d0ceb96726d6896ddb09be08dd2813</t>
        </is>
      </c>
      <c r="O1316" s="14" t="n">
        <v>46179</v>
      </c>
      <c r="P1316" s="7" t="inlineStr">
        <is>
          <t>jobspy</t>
        </is>
      </c>
      <c r="Q1316" s="8" t="inlineStr">
        <is>
          <t>git, c</t>
        </is>
      </c>
      <c r="R1316" s="8" t="inlineStr">
        <is>
          <t>Graduate Verification Engineer digital design</t>
        </is>
      </c>
      <c r="S1316" s="19" t="n"/>
      <c r="T1316" s="19" t="n"/>
      <c r="U1316" s="14" t="n">
        <v>46194</v>
      </c>
      <c r="V1316" s="7" t="inlineStr">
        <is>
          <t>v2-cv-accuracy-13b988b18da8ea7d</t>
        </is>
      </c>
    </row>
    <row r="1317" ht="28" customHeight="1">
      <c r="A1317" s="12">
        <f>IF($L1317="applied","Applied",IF($L1317="interview","Interview",IF($L1317="offer","Offer",IF($L1317="rejected","Rejected",IF($L1317="ignore","Ignore",IF($L1317="archive","Archive",IF($L1317="closed","Closed",IF($B1317="","Unscored",IF(AND($B1317&gt;=8,OR($H1317="",$H1317-TODAY()&lt;=14)),"P1 Apply",IF($B1317&gt;=7,"P2 Strong",IF($B1317&gt;=5,"P3 Maybe","P4 Low")))))))))))</f>
        <v/>
      </c>
      <c r="B1317" s="13" t="n">
        <v>0.86</v>
      </c>
      <c r="C1317" s="12" t="inlineStr">
        <is>
          <t>Unspecified</t>
        </is>
      </c>
      <c r="D1317" s="8" t="inlineStr">
        <is>
          <t>Embedded Software Engineer , Ring</t>
        </is>
      </c>
      <c r="E1317" s="7" t="inlineStr">
        <is>
          <t>Amazon</t>
        </is>
      </c>
      <c r="F1317" s="8" t="inlineStr">
        <is>
          <t>Cambridge, England, UK</t>
        </is>
      </c>
      <c r="G1317" s="8" t="n"/>
      <c r="H1317" s="14" t="n"/>
      <c r="I1317" s="15">
        <f>IF($H1317="","",$H1317-TODAY())</f>
        <v/>
      </c>
      <c r="J1317" s="16" t="inlineStr">
        <is>
          <t>Open posting</t>
        </is>
      </c>
      <c r="K1317" s="8" t="inlineStr">
        <is>
          <t>filtered by keyword pre-scan</t>
        </is>
      </c>
      <c r="L1317" s="17" t="inlineStr">
        <is>
          <t>new</t>
        </is>
      </c>
      <c r="M1317" s="18" t="inlineStr"/>
      <c r="N1317" s="7" t="inlineStr">
        <is>
          <t>4da8202f07cf88e73d941354bb61740a7a86c930</t>
        </is>
      </c>
      <c r="O1317" s="14" t="n">
        <v>46187</v>
      </c>
      <c r="P1317" s="7" t="inlineStr">
        <is>
          <t>jobspy</t>
        </is>
      </c>
      <c r="Q1317" s="8" t="inlineStr">
        <is>
          <t>c, embedded systems</t>
        </is>
      </c>
      <c r="R1317" s="8" t="inlineStr">
        <is>
          <t>Junior Embedded Software Engineer STM32</t>
        </is>
      </c>
      <c r="S1317" s="19" t="n"/>
      <c r="T1317" s="19" t="n"/>
      <c r="U1317" s="14" t="n">
        <v>46194</v>
      </c>
      <c r="V1317" s="7" t="inlineStr">
        <is>
          <t>v2-cv-accuracy-13b988b18da8ea7d</t>
        </is>
      </c>
    </row>
    <row r="1318" ht="28" customHeight="1">
      <c r="A1318" s="12">
        <f>IF($L1318="applied","Applied",IF($L1318="interview","Interview",IF($L1318="offer","Offer",IF($L1318="rejected","Rejected",IF($L1318="ignore","Ignore",IF($L1318="archive","Archive",IF($L1318="closed","Closed",IF($B1318="","Unscored",IF(AND($B1318&gt;=8,OR($H1318="",$H1318-TODAY()&lt;=14)),"P1 Apply",IF($B1318&gt;=7,"P2 Strong",IF($B1318&gt;=5,"P3 Maybe","P4 Low")))))))))))</f>
        <v/>
      </c>
      <c r="B1318" s="13" t="n">
        <v>0.86</v>
      </c>
      <c r="C1318" s="12" t="inlineStr">
        <is>
          <t>Senior/Lead</t>
        </is>
      </c>
      <c r="D1318" s="8" t="inlineStr">
        <is>
          <t>Modelling and Simulation Engineer</t>
        </is>
      </c>
      <c r="E1318" s="7" t="inlineStr">
        <is>
          <t>Capgemini Engineering</t>
        </is>
      </c>
      <c r="F1318" s="8" t="inlineStr">
        <is>
          <t>Stevenage, England, UK</t>
        </is>
      </c>
      <c r="G1318" s="8" t="n"/>
      <c r="H1318" s="14" t="n"/>
      <c r="I1318" s="15">
        <f>IF($H1318="","",$H1318-TODAY())</f>
        <v/>
      </c>
      <c r="J1318" s="16" t="inlineStr">
        <is>
          <t>Open posting</t>
        </is>
      </c>
      <c r="K1318" s="8" t="inlineStr">
        <is>
          <t>filtered by keyword pre-scan</t>
        </is>
      </c>
      <c r="L1318" s="17" t="inlineStr">
        <is>
          <t>new</t>
        </is>
      </c>
      <c r="M1318" s="18" t="inlineStr"/>
      <c r="N1318" s="7" t="inlineStr">
        <is>
          <t>0d54eea5856da93b2b457e10897c2f5b13a9ea34</t>
        </is>
      </c>
      <c r="O1318" s="14" t="n">
        <v>46188</v>
      </c>
      <c r="P1318" s="7" t="inlineStr">
        <is>
          <t>jobspy</t>
        </is>
      </c>
      <c r="Q1318" s="8" t="inlineStr">
        <is>
          <t>git, c</t>
        </is>
      </c>
      <c r="R1318" s="8" t="inlineStr">
        <is>
          <t>Graduate Aerospace Engineer embedded systems Sheffield</t>
        </is>
      </c>
      <c r="S1318" s="19" t="n"/>
      <c r="T1318" s="19" t="n"/>
      <c r="U1318" s="14" t="n">
        <v>46194</v>
      </c>
      <c r="V1318" s="7" t="inlineStr">
        <is>
          <t>v2-cv-accuracy-13b988b18da8ea7d</t>
        </is>
      </c>
    </row>
    <row r="1319" ht="28" customHeight="1">
      <c r="A1319" s="12">
        <f>IF($L1319="applied","Applied",IF($L1319="interview","Interview",IF($L1319="offer","Offer",IF($L1319="rejected","Rejected",IF($L1319="ignore","Ignore",IF($L1319="archive","Archive",IF($L1319="closed","Closed",IF($B1319="","Unscored",IF(AND($B1319&gt;=8,OR($H1319="",$H1319-TODAY()&lt;=14)),"P1 Apply",IF($B1319&gt;=7,"P2 Strong",IF($B1319&gt;=5,"P3 Maybe","P4 Low")))))))))))</f>
        <v/>
      </c>
      <c r="B1319" s="13" t="n">
        <v>0.86</v>
      </c>
      <c r="C1319" s="12" t="inlineStr">
        <is>
          <t>Mid-level</t>
        </is>
      </c>
      <c r="D1319" s="8" t="inlineStr">
        <is>
          <t>Software Engineer, Inference Platform</t>
        </is>
      </c>
      <c r="E1319" s="7" t="inlineStr">
        <is>
          <t>Cerebras</t>
        </is>
      </c>
      <c r="F1319" s="8" t="inlineStr">
        <is>
          <t>Sunnyvale, CA</t>
        </is>
      </c>
      <c r="G1319" s="8" t="n"/>
      <c r="H1319" s="14" t="n"/>
      <c r="I1319" s="15">
        <f>IF($H1319="","",$H1319-TODAY())</f>
        <v/>
      </c>
      <c r="J1319" s="16" t="inlineStr">
        <is>
          <t>Open posting</t>
        </is>
      </c>
      <c r="K1319" s="8" t="inlineStr">
        <is>
          <t>filtered by keyword pre-scan</t>
        </is>
      </c>
      <c r="L1319" s="17" t="inlineStr">
        <is>
          <t>new</t>
        </is>
      </c>
      <c r="M1319" s="18" t="inlineStr"/>
      <c r="N1319" s="7" t="inlineStr">
        <is>
          <t>2fc544b32b67e1e32063779fdf9d83a005093d82</t>
        </is>
      </c>
      <c r="O1319" s="14" t="n">
        <v>46192</v>
      </c>
      <c r="P1319" s="7" t="inlineStr">
        <is>
          <t>greenhouse:cerebrassystems</t>
        </is>
      </c>
      <c r="Q1319" s="8" t="inlineStr">
        <is>
          <t>kubernetes, c</t>
        </is>
      </c>
      <c r="R1319" s="8" t="n"/>
      <c r="S1319" s="19" t="n"/>
      <c r="T1319" s="19" t="n"/>
      <c r="U1319" s="14" t="n">
        <v>46193</v>
      </c>
      <c r="V1319" s="7" t="inlineStr">
        <is>
          <t>v2-cv-accuracy-13b988b18da8ea7d</t>
        </is>
      </c>
    </row>
    <row r="1320" ht="28" customHeight="1">
      <c r="A1320" s="12">
        <f>IF($L1320="applied","Applied",IF($L1320="interview","Interview",IF($L1320="offer","Offer",IF($L1320="rejected","Rejected",IF($L1320="ignore","Ignore",IF($L1320="archive","Archive",IF($L1320="closed","Closed",IF($B1320="","Unscored",IF(AND($B1320&gt;=8,OR($H1320="",$H1320-TODAY()&lt;=14)),"P1 Apply",IF($B1320&gt;=7,"P2 Strong",IF($B1320&gt;=5,"P3 Maybe","P4 Low")))))))))))</f>
        <v/>
      </c>
      <c r="B1320" s="13" t="n">
        <v>0.86</v>
      </c>
      <c r="C1320" s="12" t="inlineStr">
        <is>
          <t>Unspecified</t>
        </is>
      </c>
      <c r="D1320" s="8" t="inlineStr">
        <is>
          <t>Embedded Software Engineer</t>
        </is>
      </c>
      <c r="E1320" s="7" t="inlineStr">
        <is>
          <t>IC Resources</t>
        </is>
      </c>
      <c r="F1320" s="8" t="inlineStr">
        <is>
          <t>Livingston, Scotland, UK</t>
        </is>
      </c>
      <c r="G1320" s="8" t="n"/>
      <c r="H1320" s="14" t="n"/>
      <c r="I1320" s="15">
        <f>IF($H1320="","",$H1320-TODAY())</f>
        <v/>
      </c>
      <c r="J1320" s="16" t="inlineStr">
        <is>
          <t>Open posting</t>
        </is>
      </c>
      <c r="K1320" s="8" t="inlineStr">
        <is>
          <t>filtered by keyword pre-scan</t>
        </is>
      </c>
      <c r="L1320" s="17" t="inlineStr">
        <is>
          <t>new</t>
        </is>
      </c>
      <c r="M1320" s="18" t="inlineStr"/>
      <c r="N1320" s="7" t="inlineStr">
        <is>
          <t>c14389db64d6a186a1628f031bc5c6831ca8b53f</t>
        </is>
      </c>
      <c r="O1320" s="14" t="n"/>
      <c r="P1320" s="7" t="inlineStr">
        <is>
          <t>jobspy</t>
        </is>
      </c>
      <c r="Q1320" s="8" t="inlineStr">
        <is>
          <t>stm32, c</t>
        </is>
      </c>
      <c r="R1320" s="8" t="inlineStr">
        <is>
          <t>Junior Embedded Software Engineer STM32</t>
        </is>
      </c>
      <c r="S1320" s="19" t="n"/>
      <c r="T1320" s="19" t="n"/>
      <c r="U1320" s="14" t="n">
        <v>46193</v>
      </c>
      <c r="V1320" s="7" t="inlineStr">
        <is>
          <t>v2-cv-accuracy-13b988b18da8ea7d</t>
        </is>
      </c>
    </row>
    <row r="1321" ht="28" customHeight="1">
      <c r="A1321" s="12">
        <f>IF($L1321="applied","Applied",IF($L1321="interview","Interview",IF($L1321="offer","Offer",IF($L1321="rejected","Rejected",IF($L1321="ignore","Ignore",IF($L1321="archive","Archive",IF($L1321="closed","Closed",IF($B1321="","Unscored",IF(AND($B1321&gt;=8,OR($H1321="",$H1321-TODAY()&lt;=14)),"P1 Apply",IF($B1321&gt;=7,"P2 Strong",IF($B1321&gt;=5,"P3 Maybe","P4 Low")))))))))))</f>
        <v/>
      </c>
      <c r="B1321" s="13" t="n">
        <v>0.86</v>
      </c>
      <c r="C1321" s="12" t="inlineStr">
        <is>
          <t>Senior/Lead</t>
        </is>
      </c>
      <c r="D1321" s="8" t="inlineStr">
        <is>
          <t>Technical Engineer</t>
        </is>
      </c>
      <c r="E1321" s="7" t="inlineStr">
        <is>
          <t>XTEND</t>
        </is>
      </c>
      <c r="F1321" s="8" t="inlineStr">
        <is>
          <t>Swindon, England, UK</t>
        </is>
      </c>
      <c r="G1321" s="8" t="n"/>
      <c r="H1321" s="14" t="n"/>
      <c r="I1321" s="15">
        <f>IF($H1321="","",$H1321-TODAY())</f>
        <v/>
      </c>
      <c r="J1321" s="16" t="inlineStr">
        <is>
          <t>Open posting</t>
        </is>
      </c>
      <c r="K1321" s="8" t="inlineStr">
        <is>
          <t>filtered by keyword pre-scan</t>
        </is>
      </c>
      <c r="L1321" s="17" t="inlineStr">
        <is>
          <t>new</t>
        </is>
      </c>
      <c r="M1321" s="18" t="inlineStr"/>
      <c r="N1321" s="7" t="inlineStr">
        <is>
          <t>a02eb0dcc34890b62f34f15a69e7a7a7ad19755b</t>
        </is>
      </c>
      <c r="O1321" s="14" t="n">
        <v>46169</v>
      </c>
      <c r="P1321" s="7" t="inlineStr">
        <is>
          <t>jobspy</t>
        </is>
      </c>
      <c r="Q1321" s="8" t="inlineStr">
        <is>
          <t>c, embedded systems</t>
        </is>
      </c>
      <c r="R1321" s="8" t="inlineStr">
        <is>
          <t>Graduate Systems Engineer hardware software</t>
        </is>
      </c>
      <c r="S1321" s="19" t="n"/>
      <c r="T1321" s="19" t="n"/>
      <c r="U1321" s="14" t="n">
        <v>46193</v>
      </c>
      <c r="V1321" s="7" t="inlineStr">
        <is>
          <t>v2-cv-accuracy-13b988b18da8ea7d</t>
        </is>
      </c>
    </row>
    <row r="1322" ht="28" customHeight="1">
      <c r="A1322" s="12">
        <f>IF($L1322="applied","Applied",IF($L1322="interview","Interview",IF($L1322="offer","Offer",IF($L1322="rejected","Rejected",IF($L1322="ignore","Ignore",IF($L1322="archive","Archive",IF($L1322="closed","Closed",IF($B1322="","Unscored",IF(AND($B1322&gt;=8,OR($H1322="",$H1322-TODAY()&lt;=14)),"P1 Apply",IF($B1322&gt;=7,"P2 Strong",IF($B1322&gt;=5,"P3 Maybe","P4 Low")))))))))))</f>
        <v/>
      </c>
      <c r="B1322" s="13" t="n">
        <v>0.86</v>
      </c>
      <c r="C1322" s="12" t="inlineStr">
        <is>
          <t>Junior</t>
        </is>
      </c>
      <c r="D1322" s="8" t="inlineStr">
        <is>
          <t>Junior Embedded Software Engineer</t>
        </is>
      </c>
      <c r="E1322" s="7" t="inlineStr">
        <is>
          <t>IC Resources</t>
        </is>
      </c>
      <c r="F1322" s="8" t="inlineStr">
        <is>
          <t>Farnborough, England, UK</t>
        </is>
      </c>
      <c r="G1322" s="8" t="n"/>
      <c r="H1322" s="14" t="n"/>
      <c r="I1322" s="15">
        <f>IF($H1322="","",$H1322-TODAY())</f>
        <v/>
      </c>
      <c r="J1322" s="16" t="inlineStr">
        <is>
          <t>Open posting</t>
        </is>
      </c>
      <c r="K1322" s="8" t="inlineStr">
        <is>
          <t>filtered by keyword pre-scan</t>
        </is>
      </c>
      <c r="L1322" s="17" t="inlineStr">
        <is>
          <t>new</t>
        </is>
      </c>
      <c r="M1322" s="18" t="inlineStr"/>
      <c r="N1322" s="7" t="inlineStr">
        <is>
          <t>082a239d42e0ef46f18340eddf67f5b2f505cdf6</t>
        </is>
      </c>
      <c r="O1322" s="14" t="n">
        <v>46176</v>
      </c>
      <c r="P1322" s="7" t="inlineStr">
        <is>
          <t>jobspy</t>
        </is>
      </c>
      <c r="Q1322" s="8" t="inlineStr">
        <is>
          <t>c, embedded systems</t>
        </is>
      </c>
      <c r="R1322" s="8" t="inlineStr">
        <is>
          <t>Junior Embedded Software Engineer STM32</t>
        </is>
      </c>
      <c r="S1322" s="19" t="n"/>
      <c r="T1322" s="19" t="n"/>
      <c r="U1322" s="14" t="n">
        <v>46193</v>
      </c>
      <c r="V1322" s="7" t="inlineStr">
        <is>
          <t>v2-cv-accuracy-13b988b18da8ea7d</t>
        </is>
      </c>
    </row>
    <row r="1323" ht="28" customHeight="1">
      <c r="A1323" s="12">
        <f>IF($L1323="applied","Applied",IF($L1323="interview","Interview",IF($L1323="offer","Offer",IF($L1323="rejected","Rejected",IF($L1323="ignore","Ignore",IF($L1323="archive","Archive",IF($L1323="closed","Closed",IF($B1323="","Unscored",IF(AND($B1323&gt;=8,OR($H1323="",$H1323-TODAY()&lt;=14)),"P1 Apply",IF($B1323&gt;=7,"P2 Strong",IF($B1323&gt;=5,"P3 Maybe","P4 Low")))))))))))</f>
        <v/>
      </c>
      <c r="B1323" s="13" t="n">
        <v>0.86</v>
      </c>
      <c r="C1323" s="12" t="inlineStr">
        <is>
          <t>Senior/Lead</t>
        </is>
      </c>
      <c r="D1323" s="8" t="inlineStr">
        <is>
          <t>System Engineer</t>
        </is>
      </c>
      <c r="E1323" s="7" t="inlineStr">
        <is>
          <t>DCS Recruitment</t>
        </is>
      </c>
      <c r="F1323" s="8" t="inlineStr">
        <is>
          <t>Oxfordshire, England, UK</t>
        </is>
      </c>
      <c r="G1323" s="8" t="n"/>
      <c r="H1323" s="14" t="n"/>
      <c r="I1323" s="15">
        <f>IF($H1323="","",$H1323-TODAY())</f>
        <v/>
      </c>
      <c r="J1323" s="16" t="inlineStr">
        <is>
          <t>Open posting</t>
        </is>
      </c>
      <c r="K1323" s="8" t="inlineStr">
        <is>
          <t>filtered by keyword pre-scan</t>
        </is>
      </c>
      <c r="L1323" s="17" t="inlineStr">
        <is>
          <t>new</t>
        </is>
      </c>
      <c r="M1323" s="18" t="inlineStr"/>
      <c r="N1323" s="7" t="inlineStr">
        <is>
          <t>cefe9b123e47fd99f213148c691be2538569baa6</t>
        </is>
      </c>
      <c r="O1323" s="14" t="n">
        <v>46188</v>
      </c>
      <c r="P1323" s="7" t="inlineStr">
        <is>
          <t>jobspy</t>
        </is>
      </c>
      <c r="Q1323" s="8" t="inlineStr">
        <is>
          <t>c, embedded systems</t>
        </is>
      </c>
      <c r="R1323" s="8" t="inlineStr">
        <is>
          <t>Graduate Systems Engineer embedded hardware software</t>
        </is>
      </c>
      <c r="S1323" s="19" t="n"/>
      <c r="T1323" s="19" t="n"/>
      <c r="U1323" s="14" t="n">
        <v>46192</v>
      </c>
      <c r="V1323" s="7" t="inlineStr">
        <is>
          <t>v2-cv-accuracy-13b988b18da8ea7d</t>
        </is>
      </c>
    </row>
    <row r="1324" ht="28" customHeight="1">
      <c r="A1324" s="12">
        <f>IF($L1324="applied","Applied",IF($L1324="interview","Interview",IF($L1324="offer","Offer",IF($L1324="rejected","Rejected",IF($L1324="ignore","Ignore",IF($L1324="archive","Archive",IF($L1324="closed","Closed",IF($B1324="","Unscored",IF(AND($B1324&gt;=8,OR($H1324="",$H1324-TODAY()&lt;=14)),"P1 Apply",IF($B1324&gt;=7,"P2 Strong",IF($B1324&gt;=5,"P3 Maybe","P4 Low")))))))))))</f>
        <v/>
      </c>
      <c r="B1324" s="13" t="n">
        <v>0.86</v>
      </c>
      <c r="C1324" s="12" t="inlineStr">
        <is>
          <t>Junior</t>
        </is>
      </c>
      <c r="D1324" s="8" t="inlineStr">
        <is>
          <t>Junior Data Engineer (Azure) (12 month FTC)</t>
        </is>
      </c>
      <c r="E1324" s="7" t="inlineStr">
        <is>
          <t>Harnham</t>
        </is>
      </c>
      <c r="F1324" s="8" t="inlineStr">
        <is>
          <t>London, England, UK</t>
        </is>
      </c>
      <c r="G1324" s="8" t="n"/>
      <c r="H1324" s="14" t="n"/>
      <c r="I1324" s="15">
        <f>IF($H1324="","",$H1324-TODAY())</f>
        <v/>
      </c>
      <c r="J1324" s="16" t="inlineStr">
        <is>
          <t>Open posting</t>
        </is>
      </c>
      <c r="K1324" s="8" t="inlineStr">
        <is>
          <t>filtered by keyword pre-scan</t>
        </is>
      </c>
      <c r="L1324" s="17" t="inlineStr">
        <is>
          <t>new</t>
        </is>
      </c>
      <c r="M1324" s="18" t="inlineStr"/>
      <c r="N1324" s="7" t="inlineStr">
        <is>
          <t>4463e191457ce32a44292bcf553519444a21a92e</t>
        </is>
      </c>
      <c r="O1324" s="14" t="n">
        <v>46189</v>
      </c>
      <c r="P1324" s="7" t="inlineStr">
        <is>
          <t>jobspy</t>
        </is>
      </c>
      <c r="Q1324" s="8" t="inlineStr">
        <is>
          <t>python, c</t>
        </is>
      </c>
      <c r="R1324" s="8" t="inlineStr">
        <is>
          <t>Graduate Data Engineer SQL Python pipeline</t>
        </is>
      </c>
      <c r="S1324" s="19" t="n"/>
      <c r="T1324" s="19" t="n"/>
      <c r="U1324" s="14" t="n">
        <v>46192</v>
      </c>
      <c r="V1324" s="7" t="inlineStr">
        <is>
          <t>v2-cv-accuracy-13b988b18da8ea7d</t>
        </is>
      </c>
    </row>
    <row r="1325" ht="28" customHeight="1">
      <c r="A1325" s="12">
        <f>IF($L1325="applied","Applied",IF($L1325="interview","Interview",IF($L1325="offer","Offer",IF($L1325="rejected","Rejected",IF($L1325="ignore","Ignore",IF($L1325="archive","Archive",IF($L1325="closed","Closed",IF($B1325="","Unscored",IF(AND($B1325&gt;=8,OR($H1325="",$H1325-TODAY()&lt;=14)),"P1 Apply",IF($B1325&gt;=7,"P2 Strong",IF($B1325&gt;=5,"P3 Maybe","P4 Low")))))))))))</f>
        <v/>
      </c>
      <c r="B1325" s="13" t="n">
        <v>0.86</v>
      </c>
      <c r="C1325" s="12" t="inlineStr">
        <is>
          <t>Mid-level</t>
        </is>
      </c>
      <c r="D1325" s="8" t="inlineStr">
        <is>
          <t>Integration Test Engineer</t>
        </is>
      </c>
      <c r="E1325" s="7" t="inlineStr">
        <is>
          <t>Clear-Com</t>
        </is>
      </c>
      <c r="F1325" s="8" t="inlineStr">
        <is>
          <t>Cambridge, ENG, GB</t>
        </is>
      </c>
      <c r="G1325" s="8" t="n"/>
      <c r="H1325" s="14" t="n"/>
      <c r="I1325" s="15">
        <f>IF($H1325="","",$H1325-TODAY())</f>
        <v/>
      </c>
      <c r="J1325" s="16" t="inlineStr">
        <is>
          <t>Open posting</t>
        </is>
      </c>
      <c r="K1325" s="8" t="inlineStr">
        <is>
          <t>filtered by keyword pre-scan</t>
        </is>
      </c>
      <c r="L1325" s="17" t="inlineStr">
        <is>
          <t>new</t>
        </is>
      </c>
      <c r="M1325" s="18" t="inlineStr"/>
      <c r="N1325" s="7" t="inlineStr">
        <is>
          <t>9309f6255e863dd4b5b2bf358be49bf0e6342915</t>
        </is>
      </c>
      <c r="O1325" s="14" t="n">
        <v>46174</v>
      </c>
      <c r="P1325" s="7" t="inlineStr">
        <is>
          <t>jobspy</t>
        </is>
      </c>
      <c r="Q1325" s="8" t="inlineStr">
        <is>
          <t>python, c</t>
        </is>
      </c>
      <c r="R1325" s="8" t="inlineStr">
        <is>
          <t>Graduate Systems Engineer hardware software</t>
        </is>
      </c>
      <c r="S1325" s="19" t="n"/>
      <c r="T1325" s="19" t="n"/>
      <c r="U1325" s="14" t="n">
        <v>46192</v>
      </c>
      <c r="V1325" s="7" t="inlineStr">
        <is>
          <t>v2-cv-accuracy-13b988b18da8ea7d</t>
        </is>
      </c>
    </row>
    <row r="1326" ht="28" customHeight="1">
      <c r="A1326" s="12">
        <f>IF($L1326="applied","Applied",IF($L1326="interview","Interview",IF($L1326="offer","Offer",IF($L1326="rejected","Rejected",IF($L1326="ignore","Ignore",IF($L1326="archive","Archive",IF($L1326="closed","Closed",IF($B1326="","Unscored",IF(AND($B1326&gt;=8,OR($H1326="",$H1326-TODAY()&lt;=14)),"P1 Apply",IF($B1326&gt;=7,"P2 Strong",IF($B1326&gt;=5,"P3 Maybe","P4 Low")))))))))))</f>
        <v/>
      </c>
      <c r="B1326" s="13" t="n">
        <v>0.86</v>
      </c>
      <c r="C1326" s="12" t="inlineStr">
        <is>
          <t>Unspecified</t>
        </is>
      </c>
      <c r="D1326" s="8" t="inlineStr">
        <is>
          <t>Optical Systems Engineer - Quantum Computing</t>
        </is>
      </c>
      <c r="E1326" s="7" t="inlineStr">
        <is>
          <t>DeepRec.ai</t>
        </is>
      </c>
      <c r="F1326" s="8" t="inlineStr">
        <is>
          <t>London Area, United Kingdom</t>
        </is>
      </c>
      <c r="G1326" s="8" t="n"/>
      <c r="H1326" s="14" t="n"/>
      <c r="I1326" s="15">
        <f>IF($H1326="","",$H1326-TODAY())</f>
        <v/>
      </c>
      <c r="J1326" s="16" t="inlineStr">
        <is>
          <t>Open posting</t>
        </is>
      </c>
      <c r="K1326" s="8" t="inlineStr">
        <is>
          <t>filtered by keyword pre-scan</t>
        </is>
      </c>
      <c r="L1326" s="17" t="inlineStr">
        <is>
          <t>new</t>
        </is>
      </c>
      <c r="M1326" s="18" t="inlineStr"/>
      <c r="N1326" s="7" t="inlineStr">
        <is>
          <t>9c1bf485fd51ace64de20d7a7c5dedf571c8c588</t>
        </is>
      </c>
      <c r="O1326" s="14" t="n">
        <v>46190</v>
      </c>
      <c r="P1326" s="7" t="inlineStr">
        <is>
          <t>jobspy</t>
        </is>
      </c>
      <c r="Q1326" s="8" t="inlineStr">
        <is>
          <t>python, c</t>
        </is>
      </c>
      <c r="R1326" s="8" t="inlineStr">
        <is>
          <t>Graduate Systems Engineer hardware software</t>
        </is>
      </c>
      <c r="S1326" s="19" t="n"/>
      <c r="T1326" s="19" t="n"/>
      <c r="U1326" s="14" t="n">
        <v>46192</v>
      </c>
      <c r="V1326" s="7" t="inlineStr">
        <is>
          <t>v2-cv-accuracy-13b988b18da8ea7d</t>
        </is>
      </c>
    </row>
    <row r="1327" ht="28" customHeight="1">
      <c r="A1327" s="12">
        <f>IF($L1327="applied","Applied",IF($L1327="interview","Interview",IF($L1327="offer","Offer",IF($L1327="rejected","Rejected",IF($L1327="ignore","Ignore",IF($L1327="archive","Archive",IF($L1327="closed","Closed",IF($B1327="","Unscored",IF(AND($B1327&gt;=8,OR($H1327="",$H1327-TODAY()&lt;=14)),"P1 Apply",IF($B1327&gt;=7,"P2 Strong",IF($B1327&gt;=5,"P3 Maybe","P4 Low")))))))))))</f>
        <v/>
      </c>
      <c r="B1327" s="13" t="n">
        <v>0.86</v>
      </c>
      <c r="C1327" s="12" t="inlineStr">
        <is>
          <t>Unspecified</t>
        </is>
      </c>
      <c r="D1327" s="8" t="inlineStr">
        <is>
          <t>Systems Avionics Engineer</t>
        </is>
      </c>
      <c r="E1327" s="7" t="inlineStr">
        <is>
          <t>Expleo Group</t>
        </is>
      </c>
      <c r="F1327" s="8" t="inlineStr">
        <is>
          <t>Preston, England, UK</t>
        </is>
      </c>
      <c r="G1327" s="8" t="n"/>
      <c r="H1327" s="14" t="n"/>
      <c r="I1327" s="15">
        <f>IF($H1327="","",$H1327-TODAY())</f>
        <v/>
      </c>
      <c r="J1327" s="16" t="inlineStr">
        <is>
          <t>Open posting</t>
        </is>
      </c>
      <c r="K1327" s="8" t="inlineStr">
        <is>
          <t>filtered by keyword pre-scan</t>
        </is>
      </c>
      <c r="L1327" s="17" t="inlineStr">
        <is>
          <t>new</t>
        </is>
      </c>
      <c r="M1327" s="18" t="inlineStr"/>
      <c r="N1327" s="7" t="inlineStr">
        <is>
          <t>0233c3ccd7d2370453ad75c4055564a123f67e02</t>
        </is>
      </c>
      <c r="O1327" s="14" t="n">
        <v>46178</v>
      </c>
      <c r="P1327" s="7" t="inlineStr">
        <is>
          <t>jobspy</t>
        </is>
      </c>
      <c r="Q1327" s="8" t="inlineStr">
        <is>
          <t>git, c</t>
        </is>
      </c>
      <c r="R1327" s="8" t="inlineStr">
        <is>
          <t>Graduate Systems Engineer hardware software</t>
        </is>
      </c>
      <c r="S1327" s="19" t="n"/>
      <c r="T1327" s="19" t="n"/>
      <c r="U1327" s="14" t="n">
        <v>46192</v>
      </c>
      <c r="V1327" s="7" t="inlineStr">
        <is>
          <t>v2-cv-accuracy-13b988b18da8ea7d</t>
        </is>
      </c>
    </row>
    <row r="1328" ht="28" customHeight="1">
      <c r="A1328" s="12">
        <f>IF($L1328="applied","Applied",IF($L1328="interview","Interview",IF($L1328="offer","Offer",IF($L1328="rejected","Rejected",IF($L1328="ignore","Ignore",IF($L1328="archive","Archive",IF($L1328="closed","Closed",IF($B1328="","Unscored",IF(AND($B1328&gt;=8,OR($H1328="",$H1328-TODAY()&lt;=14)),"P1 Apply",IF($B1328&gt;=7,"P2 Strong",IF($B1328&gt;=5,"P3 Maybe","P4 Low")))))))))))</f>
        <v/>
      </c>
      <c r="B1328" s="13" t="n">
        <v>0.86</v>
      </c>
      <c r="C1328" s="12" t="inlineStr">
        <is>
          <t>Senior/Lead</t>
        </is>
      </c>
      <c r="D1328" s="8" t="inlineStr">
        <is>
          <t>Software Engineer</t>
        </is>
      </c>
      <c r="E1328" s="7" t="inlineStr">
        <is>
          <t>Haystack</t>
        </is>
      </c>
      <c r="F1328" s="8" t="inlineStr">
        <is>
          <t>Belfast, Northern Ireland, UK</t>
        </is>
      </c>
      <c r="G1328" s="8" t="n"/>
      <c r="H1328" s="14" t="n"/>
      <c r="I1328" s="15">
        <f>IF($H1328="","",$H1328-TODAY())</f>
        <v/>
      </c>
      <c r="J1328" s="16" t="inlineStr">
        <is>
          <t>Open posting</t>
        </is>
      </c>
      <c r="K1328" s="8" t="inlineStr">
        <is>
          <t>filtered by keyword pre-scan</t>
        </is>
      </c>
      <c r="L1328" s="17" t="inlineStr">
        <is>
          <t>new</t>
        </is>
      </c>
      <c r="M1328" s="18" t="inlineStr"/>
      <c r="N1328" s="7" t="inlineStr">
        <is>
          <t>e25976de6d451a269ba15eeab69b6757b2e58272</t>
        </is>
      </c>
      <c r="O1328" s="14" t="n">
        <v>46190</v>
      </c>
      <c r="P1328" s="7" t="inlineStr">
        <is>
          <t>jobspy</t>
        </is>
      </c>
      <c r="Q1328" s="8" t="inlineStr">
        <is>
          <t>python, c</t>
        </is>
      </c>
      <c r="R1328" s="8" t="inlineStr">
        <is>
          <t>Junior Python Developer Docker Kubernetes Sheffield</t>
        </is>
      </c>
      <c r="S1328" s="19" t="n"/>
      <c r="T1328" s="19" t="n"/>
      <c r="U1328" s="14" t="n">
        <v>46192</v>
      </c>
      <c r="V1328" s="7" t="inlineStr">
        <is>
          <t>v2-cv-accuracy-13b988b18da8ea7d</t>
        </is>
      </c>
    </row>
    <row r="1329" ht="28" customHeight="1">
      <c r="A1329" s="12">
        <f>IF($L1329="applied","Applied",IF($L1329="interview","Interview",IF($L1329="offer","Offer",IF($L1329="rejected","Rejected",IF($L1329="ignore","Ignore",IF($L1329="archive","Archive",IF($L1329="closed","Closed",IF($B1329="","Unscored",IF(AND($B1329&gt;=8,OR($H1329="",$H1329-TODAY()&lt;=14)),"P1 Apply",IF($B1329&gt;=7,"P2 Strong",IF($B1329&gt;=5,"P3 Maybe","P4 Low")))))))))))</f>
        <v/>
      </c>
      <c r="B1329" s="13" t="n">
        <v>0.86</v>
      </c>
      <c r="C1329" s="12" t="inlineStr">
        <is>
          <t>Senior/Lead</t>
        </is>
      </c>
      <c r="D1329" s="8" t="inlineStr">
        <is>
          <t>Python Developer - Backend or Full Stack - London Hybrid</t>
        </is>
      </c>
      <c r="E1329" s="7" t="inlineStr">
        <is>
          <t>The Developer Link</t>
        </is>
      </c>
      <c r="F1329" s="8" t="inlineStr">
        <is>
          <t>London Area, United Kingdom</t>
        </is>
      </c>
      <c r="G1329" s="8" t="n"/>
      <c r="H1329" s="14" t="n"/>
      <c r="I1329" s="15">
        <f>IF($H1329="","",$H1329-TODAY())</f>
        <v/>
      </c>
      <c r="J1329" s="16" t="inlineStr">
        <is>
          <t>Open posting</t>
        </is>
      </c>
      <c r="K1329" s="8" t="inlineStr">
        <is>
          <t>filtered by keyword pre-scan</t>
        </is>
      </c>
      <c r="L1329" s="17" t="inlineStr">
        <is>
          <t>new</t>
        </is>
      </c>
      <c r="M1329" s="18" t="inlineStr"/>
      <c r="N1329" s="7" t="inlineStr">
        <is>
          <t>eb32892048894b77af0d2eeb76dbb249363d5601</t>
        </is>
      </c>
      <c r="O1329" s="14" t="n">
        <v>46182</v>
      </c>
      <c r="P1329" s="7" t="inlineStr">
        <is>
          <t>jobspy</t>
        </is>
      </c>
      <c r="Q1329" s="8" t="inlineStr">
        <is>
          <t>python, c</t>
        </is>
      </c>
      <c r="R1329" s="8" t="inlineStr">
        <is>
          <t>Junior Python Developer Docker Kubernetes Sheffield</t>
        </is>
      </c>
      <c r="S1329" s="19" t="n"/>
      <c r="T1329" s="19" t="n"/>
      <c r="U1329" s="14" t="n">
        <v>46192</v>
      </c>
      <c r="V1329" s="7" t="inlineStr">
        <is>
          <t>v2-cv-accuracy-13b988b18da8ea7d</t>
        </is>
      </c>
    </row>
    <row r="1330" ht="28" customHeight="1">
      <c r="A1330" s="12">
        <f>IF($L1330="applied","Applied",IF($L1330="interview","Interview",IF($L1330="offer","Offer",IF($L1330="rejected","Rejected",IF($L1330="ignore","Ignore",IF($L1330="archive","Archive",IF($L1330="closed","Closed",IF($B1330="","Unscored",IF(AND($B1330&gt;=8,OR($H1330="",$H1330-TODAY()&lt;=14)),"P1 Apply",IF($B1330&gt;=7,"P2 Strong",IF($B1330&gt;=5,"P3 Maybe","P4 Low")))))))))))</f>
        <v/>
      </c>
      <c r="B1330" s="13" t="n">
        <v>0.86</v>
      </c>
      <c r="C1330" s="12" t="inlineStr">
        <is>
          <t>Mid-level</t>
        </is>
      </c>
      <c r="D1330" s="8" t="inlineStr">
        <is>
          <t>Manufacturing Test Engineer - Circuit Card Assembly</t>
        </is>
      </c>
      <c r="E1330" s="7" t="inlineStr">
        <is>
          <t>MBDA</t>
        </is>
      </c>
      <c r="F1330" s="8" t="inlineStr">
        <is>
          <t>Bolton, England, UK</t>
        </is>
      </c>
      <c r="G1330" s="8" t="n"/>
      <c r="H1330" s="14" t="n"/>
      <c r="I1330" s="15">
        <f>IF($H1330="","",$H1330-TODAY())</f>
        <v/>
      </c>
      <c r="J1330" s="16" t="inlineStr">
        <is>
          <t>Open posting</t>
        </is>
      </c>
      <c r="K1330" s="8" t="inlineStr">
        <is>
          <t>filtered by keyword pre-scan</t>
        </is>
      </c>
      <c r="L1330" s="17" t="inlineStr">
        <is>
          <t>new</t>
        </is>
      </c>
      <c r="M1330" s="18" t="inlineStr"/>
      <c r="N1330" s="7" t="inlineStr">
        <is>
          <t>fefcbd8910465f968b510efb2efc88698588e507</t>
        </is>
      </c>
      <c r="O1330" s="14" t="n">
        <v>46177</v>
      </c>
      <c r="P1330" s="7" t="inlineStr">
        <is>
          <t>jobspy</t>
        </is>
      </c>
      <c r="Q1330" s="8" t="inlineStr">
        <is>
          <t>git, c</t>
        </is>
      </c>
      <c r="R1330" s="8" t="inlineStr">
        <is>
          <t>Graduate Electronics Engineer Sheffield</t>
        </is>
      </c>
      <c r="S1330" s="19" t="n"/>
      <c r="T1330" s="19" t="n"/>
      <c r="U1330" s="14" t="n">
        <v>46192</v>
      </c>
      <c r="V1330" s="7" t="inlineStr">
        <is>
          <t>v2-cv-accuracy-13b988b18da8ea7d</t>
        </is>
      </c>
    </row>
    <row r="1331" ht="28" customHeight="1">
      <c r="A1331" s="12">
        <f>IF($L1331="applied","Applied",IF($L1331="interview","Interview",IF($L1331="offer","Offer",IF($L1331="rejected","Rejected",IF($L1331="ignore","Ignore",IF($L1331="archive","Archive",IF($L1331="closed","Closed",IF($B1331="","Unscored",IF(AND($B1331&gt;=8,OR($H1331="",$H1331-TODAY()&lt;=14)),"P1 Apply",IF($B1331&gt;=7,"P2 Strong",IF($B1331&gt;=5,"P3 Maybe","P4 Low")))))))))))</f>
        <v/>
      </c>
      <c r="B1331" s="13" t="n">
        <v>0.86</v>
      </c>
      <c r="C1331" s="12" t="inlineStr">
        <is>
          <t>Unspecified</t>
        </is>
      </c>
      <c r="D1331" s="8" t="inlineStr">
        <is>
          <t>Embedded Engineer</t>
        </is>
      </c>
      <c r="E1331" s="7" t="inlineStr">
        <is>
          <t>KO2 Embedded Recruitment Solutions Ltd</t>
        </is>
      </c>
      <c r="F1331" s="8" t="inlineStr">
        <is>
          <t>Manchester, England, UK</t>
        </is>
      </c>
      <c r="G1331" s="8" t="n"/>
      <c r="H1331" s="14" t="n"/>
      <c r="I1331" s="15">
        <f>IF($H1331="","",$H1331-TODAY())</f>
        <v/>
      </c>
      <c r="J1331" s="16" t="inlineStr">
        <is>
          <t>Open posting</t>
        </is>
      </c>
      <c r="K1331" s="8" t="inlineStr">
        <is>
          <t>filtered by keyword pre-scan</t>
        </is>
      </c>
      <c r="L1331" s="17" t="inlineStr">
        <is>
          <t>new</t>
        </is>
      </c>
      <c r="M1331" s="18" t="inlineStr"/>
      <c r="N1331" s="7" t="inlineStr">
        <is>
          <t>e38e7ec0953b13473c2d68a2cd2c4bf75530909e</t>
        </is>
      </c>
      <c r="O1331" s="14" t="n">
        <v>46189</v>
      </c>
      <c r="P1331" s="7" t="inlineStr">
        <is>
          <t>jobspy</t>
        </is>
      </c>
      <c r="Q1331" s="8" t="inlineStr">
        <is>
          <t>stm32, c</t>
        </is>
      </c>
      <c r="R1331" s="8" t="inlineStr">
        <is>
          <t>Junior Embedded Software Engineer STM32</t>
        </is>
      </c>
      <c r="S1331" s="19" t="n"/>
      <c r="T1331" s="19" t="n"/>
      <c r="U1331" s="14" t="n">
        <v>46192</v>
      </c>
      <c r="V1331" s="7" t="inlineStr">
        <is>
          <t>v2-cv-accuracy-13b988b18da8ea7d</t>
        </is>
      </c>
    </row>
    <row r="1332" ht="28" customHeight="1">
      <c r="A1332" s="12">
        <f>IF($L1332="applied","Applied",IF($L1332="interview","Interview",IF($L1332="offer","Offer",IF($L1332="rejected","Rejected",IF($L1332="ignore","Ignore",IF($L1332="archive","Archive",IF($L1332="closed","Closed",IF($B1332="","Unscored",IF(AND($B1332&gt;=8,OR($H1332="",$H1332-TODAY()&lt;=14)),"P1 Apply",IF($B1332&gt;=7,"P2 Strong",IF($B1332&gt;=5,"P3 Maybe","P4 Low")))))))))))</f>
        <v/>
      </c>
      <c r="B1332" s="13" t="n">
        <v>0.86</v>
      </c>
      <c r="C1332" s="12" t="inlineStr">
        <is>
          <t>Mid-level</t>
        </is>
      </c>
      <c r="D1332" s="8" t="inlineStr">
        <is>
          <t>System Engineer</t>
        </is>
      </c>
      <c r="E1332" s="7" t="inlineStr">
        <is>
          <t>Scalian</t>
        </is>
      </c>
      <c r="F1332" s="8" t="inlineStr">
        <is>
          <t>Derby, England, UK</t>
        </is>
      </c>
      <c r="G1332" s="8" t="n"/>
      <c r="H1332" s="14" t="n"/>
      <c r="I1332" s="15">
        <f>IF($H1332="","",$H1332-TODAY())</f>
        <v/>
      </c>
      <c r="J1332" s="16" t="inlineStr">
        <is>
          <t>Open posting</t>
        </is>
      </c>
      <c r="K1332" s="8" t="inlineStr">
        <is>
          <t>filtered by keyword pre-scan</t>
        </is>
      </c>
      <c r="L1332" s="17" t="inlineStr">
        <is>
          <t>new</t>
        </is>
      </c>
      <c r="M1332" s="18" t="inlineStr"/>
      <c r="N1332" s="7" t="inlineStr">
        <is>
          <t>380db03b8d496c86df3a7ce443770091bc3da9eb</t>
        </is>
      </c>
      <c r="O1332" s="14" t="n">
        <v>46171</v>
      </c>
      <c r="P1332" s="7" t="inlineStr">
        <is>
          <t>jobspy</t>
        </is>
      </c>
      <c r="Q1332" s="8" t="inlineStr">
        <is>
          <t>git, c</t>
        </is>
      </c>
      <c r="R1332" s="8" t="inlineStr">
        <is>
          <t>Graduate Systems Engineer embedded IoT</t>
        </is>
      </c>
      <c r="S1332" s="19" t="n"/>
      <c r="T1332" s="19" t="n"/>
      <c r="U1332" s="14" t="n">
        <v>46192</v>
      </c>
      <c r="V1332" s="7" t="inlineStr">
        <is>
          <t>v2-cv-accuracy-13b988b18da8ea7d</t>
        </is>
      </c>
    </row>
    <row r="1333" ht="28" customHeight="1">
      <c r="A1333" s="12">
        <f>IF($L1333="applied","Applied",IF($L1333="interview","Interview",IF($L1333="offer","Offer",IF($L1333="rejected","Rejected",IF($L1333="ignore","Ignore",IF($L1333="archive","Archive",IF($L1333="closed","Closed",IF($B1333="","Unscored",IF(AND($B1333&gt;=8,OR($H1333="",$H1333-TODAY()&lt;=14)),"P1 Apply",IF($B1333&gt;=7,"P2 Strong",IF($B1333&gt;=5,"P3 Maybe","P4 Low")))))))))))</f>
        <v/>
      </c>
      <c r="B1333" s="13" t="n">
        <v>0.86</v>
      </c>
      <c r="C1333" s="12" t="inlineStr">
        <is>
          <t>Unspecified</t>
        </is>
      </c>
      <c r="D1333" s="8" t="inlineStr">
        <is>
          <t>Product Engineer (Backend)</t>
        </is>
      </c>
      <c r="E1333" s="7" t="inlineStr">
        <is>
          <t>Granola</t>
        </is>
      </c>
      <c r="F1333" s="8" t="inlineStr">
        <is>
          <t>London, England, UK</t>
        </is>
      </c>
      <c r="G1333" s="8" t="n"/>
      <c r="H1333" s="14" t="n"/>
      <c r="I1333" s="15">
        <f>IF($H1333="","",$H1333-TODAY())</f>
        <v/>
      </c>
      <c r="J1333" s="16" t="inlineStr">
        <is>
          <t>Open posting</t>
        </is>
      </c>
      <c r="K1333" s="8" t="inlineStr">
        <is>
          <t>filtered by keyword pre-scan</t>
        </is>
      </c>
      <c r="L1333" s="17" t="inlineStr">
        <is>
          <t>new</t>
        </is>
      </c>
      <c r="M1333" s="18" t="inlineStr"/>
      <c r="N1333" s="7" t="inlineStr">
        <is>
          <t>719f72fdbf6033a1940b1a2f2ca2dac0be3a32d8</t>
        </is>
      </c>
      <c r="O1333" s="14" t="n">
        <v>46174</v>
      </c>
      <c r="P1333" s="7" t="inlineStr">
        <is>
          <t>jobspy</t>
        </is>
      </c>
      <c r="Q1333" s="8" t="inlineStr">
        <is>
          <t>sql, c</t>
        </is>
      </c>
      <c r="R1333" s="8" t="inlineStr">
        <is>
          <t>Graduate Backend Developer Docker Kubernetes</t>
        </is>
      </c>
      <c r="S1333" s="19" t="n"/>
      <c r="T1333" s="19" t="n"/>
      <c r="U1333" s="14" t="n">
        <v>46192</v>
      </c>
      <c r="V1333" s="7" t="inlineStr">
        <is>
          <t>v2-cv-accuracy-13b988b18da8ea7d</t>
        </is>
      </c>
    </row>
    <row r="1334" ht="28" customHeight="1">
      <c r="A1334" s="12">
        <f>IF($L1334="applied","Applied",IF($L1334="interview","Interview",IF($L1334="offer","Offer",IF($L1334="rejected","Rejected",IF($L1334="ignore","Ignore",IF($L1334="archive","Archive",IF($L1334="closed","Closed",IF($B1334="","Unscored",IF(AND($B1334&gt;=8,OR($H1334="",$H1334-TODAY()&lt;=14)),"P1 Apply",IF($B1334&gt;=7,"P2 Strong",IF($B1334&gt;=5,"P3 Maybe","P4 Low")))))))))))</f>
        <v/>
      </c>
      <c r="B1334" s="13" t="n">
        <v>0.86</v>
      </c>
      <c r="C1334" s="12" t="inlineStr">
        <is>
          <t>Graduate/Entry</t>
        </is>
      </c>
      <c r="D1334" s="8" t="inlineStr">
        <is>
          <t>Graduate Consultant - Software Engineering</t>
        </is>
      </c>
      <c r="E1334" s="7" t="inlineStr">
        <is>
          <t>TTP</t>
        </is>
      </c>
      <c r="F1334" s="8" t="inlineStr">
        <is>
          <t>Cambridge, ENG, GB</t>
        </is>
      </c>
      <c r="G1334" s="8" t="n"/>
      <c r="H1334" s="14" t="n"/>
      <c r="I1334" s="15">
        <f>IF($H1334="","",$H1334-TODAY())</f>
        <v/>
      </c>
      <c r="J1334" s="16" t="inlineStr">
        <is>
          <t>Open posting</t>
        </is>
      </c>
      <c r="K1334" s="8" t="inlineStr">
        <is>
          <t>filtered by keyword pre-scan</t>
        </is>
      </c>
      <c r="L1334" s="17" t="inlineStr">
        <is>
          <t>new</t>
        </is>
      </c>
      <c r="M1334" s="18" t="inlineStr"/>
      <c r="N1334" s="7" t="inlineStr">
        <is>
          <t>4035343713cc535b2d6e4780bd4e4324360283ae</t>
        </is>
      </c>
      <c r="O1334" s="14" t="n">
        <v>46170</v>
      </c>
      <c r="P1334" s="7" t="inlineStr">
        <is>
          <t>jobspy</t>
        </is>
      </c>
      <c r="Q1334" s="8" t="inlineStr">
        <is>
          <t>python, c</t>
        </is>
      </c>
      <c r="R1334" s="8" t="inlineStr">
        <is>
          <t>Embedded Software Engineer C Python graduate</t>
        </is>
      </c>
      <c r="S1334" s="19" t="n"/>
      <c r="T1334" s="19" t="n"/>
      <c r="U1334" s="14" t="n">
        <v>46192</v>
      </c>
      <c r="V1334" s="7" t="inlineStr">
        <is>
          <t>v2-cv-accuracy-13b988b18da8ea7d</t>
        </is>
      </c>
    </row>
    <row r="1335" ht="28" customHeight="1">
      <c r="A1335" s="12">
        <f>IF($L1335="applied","Applied",IF($L1335="interview","Interview",IF($L1335="offer","Offer",IF($L1335="rejected","Rejected",IF($L1335="ignore","Ignore",IF($L1335="archive","Archive",IF($L1335="closed","Closed",IF($B1335="","Unscored",IF(AND($B1335&gt;=8,OR($H1335="",$H1335-TODAY()&lt;=14)),"P1 Apply",IF($B1335&gt;=7,"P2 Strong",IF($B1335&gt;=5,"P3 Maybe","P4 Low")))))))))))</f>
        <v/>
      </c>
      <c r="B1335" s="13" t="n">
        <v>0.82</v>
      </c>
      <c r="C1335" s="12" t="inlineStr">
        <is>
          <t>Unspecified</t>
        </is>
      </c>
      <c r="D1335" s="8" t="inlineStr">
        <is>
          <t>Angular/ C# .NET Software Developer</t>
        </is>
      </c>
      <c r="E1335" s="7" t="inlineStr">
        <is>
          <t>RedRock Resourcing</t>
        </is>
      </c>
      <c r="F1335" s="8" t="inlineStr">
        <is>
          <t>Sheffield, England, UK</t>
        </is>
      </c>
      <c r="G1335" s="8" t="n"/>
      <c r="H1335" s="14" t="n"/>
      <c r="I1335" s="15">
        <f>IF($H1335="","",$H1335-TODAY())</f>
        <v/>
      </c>
      <c r="J1335" s="16" t="inlineStr">
        <is>
          <t>Open posting</t>
        </is>
      </c>
      <c r="K1335" s="8" t="inlineStr">
        <is>
          <t>filtered by keyword pre-scan</t>
        </is>
      </c>
      <c r="L1335" s="17" t="inlineStr">
        <is>
          <t>new</t>
        </is>
      </c>
      <c r="M1335" s="18" t="inlineStr"/>
      <c r="N1335" s="7" t="inlineStr">
        <is>
          <t>7a52f330b04e6a95f211cc946d30ff652f2f6ea4</t>
        </is>
      </c>
      <c r="O1335" s="14" t="n"/>
      <c r="P1335" s="7" t="inlineStr">
        <is>
          <t>jobspy</t>
        </is>
      </c>
      <c r="Q1335" s="8" t="inlineStr">
        <is>
          <t>software development</t>
        </is>
      </c>
      <c r="R1335" s="8" t="inlineStr">
        <is>
          <t>Graduate Software Developer Sheffield</t>
        </is>
      </c>
      <c r="S1335" s="19" t="n"/>
      <c r="T1335" s="19" t="n"/>
      <c r="U1335" s="14" t="n">
        <v>46192</v>
      </c>
      <c r="V1335" s="7" t="inlineStr">
        <is>
          <t>v2-cv-accuracy-13b988b18da8ea7d</t>
        </is>
      </c>
    </row>
    <row r="1336" ht="28" customHeight="1">
      <c r="A1336" s="12">
        <f>IF($L1336="applied","Applied",IF($L1336="interview","Interview",IF($L1336="offer","Offer",IF($L1336="rejected","Rejected",IF($L1336="ignore","Ignore",IF($L1336="archive","Archive",IF($L1336="closed","Closed",IF($B1336="","Unscored",IF(AND($B1336&gt;=8,OR($H1336="",$H1336-TODAY()&lt;=14)),"P1 Apply",IF($B1336&gt;=7,"P2 Strong",IF($B1336&gt;=5,"P3 Maybe","P4 Low")))))))))))</f>
        <v/>
      </c>
      <c r="B1336" s="13" t="n">
        <v>0.82</v>
      </c>
      <c r="C1336" s="12" t="inlineStr">
        <is>
          <t>Unspecified</t>
        </is>
      </c>
      <c r="D1336" s="8" t="inlineStr">
        <is>
          <t>Java Consultant</t>
        </is>
      </c>
      <c r="E1336" s="7" t="inlineStr">
        <is>
          <t>Cubestech Ltd</t>
        </is>
      </c>
      <c r="F1336" s="8" t="inlineStr">
        <is>
          <t>Bournemouth, England, UK</t>
        </is>
      </c>
      <c r="G1336" s="8" t="n"/>
      <c r="H1336" s="14" t="n"/>
      <c r="I1336" s="15">
        <f>IF($H1336="","",$H1336-TODAY())</f>
        <v/>
      </c>
      <c r="J1336" s="16" t="inlineStr">
        <is>
          <t>Open posting</t>
        </is>
      </c>
      <c r="K1336" s="8" t="inlineStr">
        <is>
          <t>filtered by keyword pre-scan</t>
        </is>
      </c>
      <c r="L1336" s="17" t="inlineStr">
        <is>
          <t>new</t>
        </is>
      </c>
      <c r="M1336" s="18" t="inlineStr"/>
      <c r="N1336" s="7" t="inlineStr">
        <is>
          <t>1e72ab33cc54a603bf93bb907b32c4257962f0e7</t>
        </is>
      </c>
      <c r="O1336" s="14" t="n">
        <v>46181</v>
      </c>
      <c r="P1336" s="7" t="inlineStr">
        <is>
          <t>jobspy</t>
        </is>
      </c>
      <c r="Q1336" s="8" t="inlineStr">
        <is>
          <t>sql</t>
        </is>
      </c>
      <c r="R1336" s="8" t="inlineStr">
        <is>
          <t>graduate Full Stack Developer</t>
        </is>
      </c>
      <c r="S1336" s="19" t="n"/>
      <c r="T1336" s="19" t="n"/>
      <c r="U1336" s="14" t="n">
        <v>46192</v>
      </c>
      <c r="V1336" s="7" t="inlineStr">
        <is>
          <t>v2-cv-accuracy-13b988b18da8ea7d</t>
        </is>
      </c>
    </row>
    <row r="1337" ht="28" customHeight="1">
      <c r="A1337" s="12">
        <f>IF($L1337="applied","Applied",IF($L1337="interview","Interview",IF($L1337="offer","Offer",IF($L1337="rejected","Rejected",IF($L1337="ignore","Ignore",IF($L1337="archive","Archive",IF($L1337="closed","Closed",IF($B1337="","Unscored",IF(AND($B1337&gt;=8,OR($H1337="",$H1337-TODAY()&lt;=14)),"P1 Apply",IF($B1337&gt;=7,"P2 Strong",IF($B1337&gt;=5,"P3 Maybe","P4 Low")))))))))))</f>
        <v/>
      </c>
      <c r="B1337" s="13" t="n">
        <v>0.82</v>
      </c>
      <c r="C1337" s="12" t="inlineStr">
        <is>
          <t>Unspecified</t>
        </is>
      </c>
      <c r="D1337" s="8" t="inlineStr">
        <is>
          <t>Data Analyst (12 month FTC)</t>
        </is>
      </c>
      <c r="E1337" s="7" t="inlineStr">
        <is>
          <t>GoCardless</t>
        </is>
      </c>
      <c r="F1337" s="8" t="inlineStr">
        <is>
          <t>Riga, Latvia</t>
        </is>
      </c>
      <c r="G1337" s="8" t="n"/>
      <c r="H1337" s="14" t="n"/>
      <c r="I1337" s="15">
        <f>IF($H1337="","",$H1337-TODAY())</f>
        <v/>
      </c>
      <c r="J1337" s="16" t="inlineStr">
        <is>
          <t>Open posting</t>
        </is>
      </c>
      <c r="K1337" s="8" t="inlineStr">
        <is>
          <t>filtered by keyword pre-scan</t>
        </is>
      </c>
      <c r="L1337" s="17" t="inlineStr">
        <is>
          <t>new</t>
        </is>
      </c>
      <c r="M1337" s="18" t="inlineStr"/>
      <c r="N1337" s="7" t="inlineStr">
        <is>
          <t>bd4806dca85e0f567dfd5e5d99422810fcf2495c</t>
        </is>
      </c>
      <c r="O1337" s="14" t="n">
        <v>46171</v>
      </c>
      <c r="P1337" s="7" t="inlineStr">
        <is>
          <t>greenhouse:gocardless</t>
        </is>
      </c>
      <c r="Q1337" s="8" t="inlineStr">
        <is>
          <t>sql</t>
        </is>
      </c>
      <c r="R1337" s="8" t="n"/>
      <c r="S1337" s="19" t="n"/>
      <c r="T1337" s="19" t="n"/>
      <c r="U1337" s="14" t="n">
        <v>46191</v>
      </c>
      <c r="V1337" s="7" t="inlineStr">
        <is>
          <t>v2-cv-accuracy-13b988b18da8ea7d</t>
        </is>
      </c>
    </row>
    <row r="1338" ht="28" customHeight="1">
      <c r="A1338" s="12">
        <f>IF($L1338="applied","Applied",IF($L1338="interview","Interview",IF($L1338="offer","Offer",IF($L1338="rejected","Rejected",IF($L1338="ignore","Ignore",IF($L1338="archive","Archive",IF($L1338="closed","Closed",IF($B1338="","Unscored",IF(AND($B1338&gt;=8,OR($H1338="",$H1338-TODAY()&lt;=14)),"P1 Apply",IF($B1338&gt;=7,"P2 Strong",IF($B1338&gt;=5,"P3 Maybe","P4 Low")))))))))))</f>
        <v/>
      </c>
      <c r="B1338" s="13" t="n">
        <v>0.82</v>
      </c>
      <c r="C1338" s="12" t="inlineStr">
        <is>
          <t>Unspecified</t>
        </is>
      </c>
      <c r="D1338" s="8" t="inlineStr">
        <is>
          <t>Product Analyst</t>
        </is>
      </c>
      <c r="E1338" s="7" t="inlineStr">
        <is>
          <t>GoCardless</t>
        </is>
      </c>
      <c r="F1338" s="8" t="inlineStr">
        <is>
          <t>Lisbon, Portugal</t>
        </is>
      </c>
      <c r="G1338" s="8" t="n"/>
      <c r="H1338" s="14" t="n"/>
      <c r="I1338" s="15">
        <f>IF($H1338="","",$H1338-TODAY())</f>
        <v/>
      </c>
      <c r="J1338" s="16" t="inlineStr">
        <is>
          <t>Open posting</t>
        </is>
      </c>
      <c r="K1338" s="8" t="inlineStr">
        <is>
          <t>filtered by keyword pre-scan</t>
        </is>
      </c>
      <c r="L1338" s="17" t="inlineStr">
        <is>
          <t>new</t>
        </is>
      </c>
      <c r="M1338" s="18" t="inlineStr"/>
      <c r="N1338" s="7" t="inlineStr">
        <is>
          <t>e07fe035435b14b8a209b998984012d06d5d2e24</t>
        </is>
      </c>
      <c r="O1338" s="14" t="n">
        <v>46161</v>
      </c>
      <c r="P1338" s="7" t="inlineStr">
        <is>
          <t>greenhouse:gocardless</t>
        </is>
      </c>
      <c r="Q1338" s="8" t="inlineStr">
        <is>
          <t>python</t>
        </is>
      </c>
      <c r="R1338" s="8" t="n"/>
      <c r="S1338" s="19" t="n"/>
      <c r="T1338" s="19" t="n"/>
      <c r="U1338" s="14" t="n">
        <v>46191</v>
      </c>
      <c r="V1338" s="7" t="inlineStr">
        <is>
          <t>v2-cv-accuracy-13b988b18da8ea7d</t>
        </is>
      </c>
    </row>
    <row r="1339" ht="28" customHeight="1">
      <c r="A1339" s="12">
        <f>IF($L1339="applied","Applied",IF($L1339="interview","Interview",IF($L1339="offer","Offer",IF($L1339="rejected","Rejected",IF($L1339="ignore","Ignore",IF($L1339="archive","Archive",IF($L1339="closed","Closed",IF($B1339="","Unscored",IF(AND($B1339&gt;=8,OR($H1339="",$H1339-TODAY()&lt;=14)),"P1 Apply",IF($B1339&gt;=7,"P2 Strong",IF($B1339&gt;=5,"P3 Maybe","P4 Low")))))))))))</f>
        <v/>
      </c>
      <c r="B1339" s="13" t="n">
        <v>0.82</v>
      </c>
      <c r="C1339" s="12" t="inlineStr">
        <is>
          <t>Senior/Lead</t>
        </is>
      </c>
      <c r="D1339" s="8" t="inlineStr">
        <is>
          <t>Customer Engineer, Digital Native</t>
        </is>
      </c>
      <c r="E1339" s="7" t="inlineStr">
        <is>
          <t>Cloudflare</t>
        </is>
      </c>
      <c r="F1339" s="8" t="inlineStr">
        <is>
          <t>Hybrid</t>
        </is>
      </c>
      <c r="G1339" s="8" t="n"/>
      <c r="H1339" s="14" t="n"/>
      <c r="I1339" s="15">
        <f>IF($H1339="","",$H1339-TODAY())</f>
        <v/>
      </c>
      <c r="J1339" s="16" t="inlineStr">
        <is>
          <t>Open posting</t>
        </is>
      </c>
      <c r="K1339" s="8" t="inlineStr">
        <is>
          <t>filtered by keyword pre-scan</t>
        </is>
      </c>
      <c r="L1339" s="17" t="inlineStr">
        <is>
          <t>new</t>
        </is>
      </c>
      <c r="M1339" s="18" t="inlineStr"/>
      <c r="N1339" s="7" t="inlineStr">
        <is>
          <t>960ec00f4e6d8c712cb9b5be5795198289d0ca92</t>
        </is>
      </c>
      <c r="O1339" s="14" t="n">
        <v>46184</v>
      </c>
      <c r="P1339" s="7" t="inlineStr">
        <is>
          <t>greenhouse:cloudflare</t>
        </is>
      </c>
      <c r="Q1339" s="8" t="inlineStr">
        <is>
          <t>git</t>
        </is>
      </c>
      <c r="R1339" s="8" t="n"/>
      <c r="S1339" s="19" t="n"/>
      <c r="T1339" s="19" t="n"/>
      <c r="U1339" s="14" t="n">
        <v>46191</v>
      </c>
      <c r="V1339" s="7" t="inlineStr">
        <is>
          <t>v2-cv-accuracy-13b988b18da8ea7d</t>
        </is>
      </c>
    </row>
    <row r="1340" ht="28" customHeight="1">
      <c r="A1340" s="12">
        <f>IF($L1340="applied","Applied",IF($L1340="interview","Interview",IF($L1340="offer","Offer",IF($L1340="rejected","Rejected",IF($L1340="ignore","Ignore",IF($L1340="archive","Archive",IF($L1340="closed","Closed",IF($B1340="","Unscored",IF(AND($B1340&gt;=8,OR($H1340="",$H1340-TODAY()&lt;=14)),"P1 Apply",IF($B1340&gt;=7,"P2 Strong",IF($B1340&gt;=5,"P3 Maybe","P4 Low")))))))))))</f>
        <v/>
      </c>
      <c r="B1340" s="13" t="n">
        <v>0.82</v>
      </c>
      <c r="C1340" s="12" t="inlineStr">
        <is>
          <t>Senior/Lead</t>
        </is>
      </c>
      <c r="D1340" s="8" t="inlineStr">
        <is>
          <t>Field Solutions Engineer</t>
        </is>
      </c>
      <c r="E1340" s="7" t="inlineStr">
        <is>
          <t>Cloudflare</t>
        </is>
      </c>
      <c r="F1340" s="8" t="inlineStr">
        <is>
          <t>Hybrid</t>
        </is>
      </c>
      <c r="G1340" s="8" t="n"/>
      <c r="H1340" s="14" t="n"/>
      <c r="I1340" s="15">
        <f>IF($H1340="","",$H1340-TODAY())</f>
        <v/>
      </c>
      <c r="J1340" s="16" t="inlineStr">
        <is>
          <t>Open posting</t>
        </is>
      </c>
      <c r="K1340" s="8" t="inlineStr">
        <is>
          <t>filtered by keyword pre-scan</t>
        </is>
      </c>
      <c r="L1340" s="17" t="inlineStr">
        <is>
          <t>new</t>
        </is>
      </c>
      <c r="M1340" s="18" t="inlineStr"/>
      <c r="N1340" s="7" t="inlineStr">
        <is>
          <t>fad0e152765ad0869b104f3588a5f408f728b322</t>
        </is>
      </c>
      <c r="O1340" s="14" t="n">
        <v>46174</v>
      </c>
      <c r="P1340" s="7" t="inlineStr">
        <is>
          <t>greenhouse:cloudflare</t>
        </is>
      </c>
      <c r="Q1340" s="8" t="inlineStr">
        <is>
          <t>software development</t>
        </is>
      </c>
      <c r="R1340" s="8" t="n"/>
      <c r="S1340" s="19" t="n"/>
      <c r="T1340" s="19" t="n"/>
      <c r="U1340" s="14" t="n">
        <v>46191</v>
      </c>
      <c r="V1340" s="7" t="inlineStr">
        <is>
          <t>v2-cv-accuracy-13b988b18da8ea7d</t>
        </is>
      </c>
    </row>
    <row r="1341" ht="28" customHeight="1">
      <c r="A1341" s="12">
        <f>IF($L1341="applied","Applied",IF($L1341="interview","Interview",IF($L1341="offer","Offer",IF($L1341="rejected","Rejected",IF($L1341="ignore","Ignore",IF($L1341="archive","Archive",IF($L1341="closed","Closed",IF($B1341="","Unscored",IF(AND($B1341&gt;=8,OR($H1341="",$H1341-TODAY()&lt;=14)),"P1 Apply",IF($B1341&gt;=7,"P2 Strong",IF($B1341&gt;=5,"P3 Maybe","P4 Low")))))))))))</f>
        <v/>
      </c>
      <c r="B1341" s="13" t="n">
        <v>0.82</v>
      </c>
      <c r="C1341" s="12" t="inlineStr">
        <is>
          <t>Unspecified</t>
        </is>
      </c>
      <c r="D1341" s="8" t="inlineStr">
        <is>
          <t>Field Solutions Engineer</t>
        </is>
      </c>
      <c r="E1341" s="7" t="inlineStr">
        <is>
          <t>Cloudflare</t>
        </is>
      </c>
      <c r="F1341" s="8" t="inlineStr">
        <is>
          <t>Hybrid</t>
        </is>
      </c>
      <c r="G1341" s="8" t="n"/>
      <c r="H1341" s="14" t="n"/>
      <c r="I1341" s="15">
        <f>IF($H1341="","",$H1341-TODAY())</f>
        <v/>
      </c>
      <c r="J1341" s="16" t="inlineStr">
        <is>
          <t>Open posting</t>
        </is>
      </c>
      <c r="K1341" s="8" t="inlineStr">
        <is>
          <t>filtered by keyword pre-scan</t>
        </is>
      </c>
      <c r="L1341" s="17" t="inlineStr">
        <is>
          <t>new</t>
        </is>
      </c>
      <c r="M1341" s="18" t="inlineStr"/>
      <c r="N1341" s="7" t="inlineStr">
        <is>
          <t>564d236d1e4bedfb9f107cfd347b380f410a4f13</t>
        </is>
      </c>
      <c r="O1341" s="14" t="n">
        <v>46174</v>
      </c>
      <c r="P1341" s="7" t="inlineStr">
        <is>
          <t>greenhouse:cloudflare</t>
        </is>
      </c>
      <c r="Q1341" s="8" t="inlineStr">
        <is>
          <t>software development</t>
        </is>
      </c>
      <c r="R1341" s="8" t="n"/>
      <c r="S1341" s="19" t="n"/>
      <c r="T1341" s="19" t="n"/>
      <c r="U1341" s="14" t="n">
        <v>46191</v>
      </c>
      <c r="V1341" s="7" t="inlineStr">
        <is>
          <t>v2-cv-accuracy-13b988b18da8ea7d</t>
        </is>
      </c>
    </row>
    <row r="1342" ht="28" customHeight="1">
      <c r="A1342" s="12">
        <f>IF($L1342="applied","Applied",IF($L1342="interview","Interview",IF($L1342="offer","Offer",IF($L1342="rejected","Rejected",IF($L1342="ignore","Ignore",IF($L1342="archive","Archive",IF($L1342="closed","Closed",IF($B1342="","Unscored",IF(AND($B1342&gt;=8,OR($H1342="",$H1342-TODAY()&lt;=14)),"P1 Apply",IF($B1342&gt;=7,"P2 Strong",IF($B1342&gt;=5,"P3 Maybe","P4 Low")))))))))))</f>
        <v/>
      </c>
      <c r="B1342" s="13" t="n">
        <v>0.82</v>
      </c>
      <c r="C1342" s="12" t="inlineStr">
        <is>
          <t>Senior/Lead</t>
        </is>
      </c>
      <c r="D1342" s="8" t="inlineStr">
        <is>
          <t>Field Solutions Engineer Brazil (US based)</t>
        </is>
      </c>
      <c r="E1342" s="7" t="inlineStr">
        <is>
          <t>Cloudflare</t>
        </is>
      </c>
      <c r="F1342" s="8" t="inlineStr">
        <is>
          <t>Hybrid</t>
        </is>
      </c>
      <c r="G1342" s="8" t="n"/>
      <c r="H1342" s="14" t="n"/>
      <c r="I1342" s="15">
        <f>IF($H1342="","",$H1342-TODAY())</f>
        <v/>
      </c>
      <c r="J1342" s="16" t="inlineStr">
        <is>
          <t>Open posting</t>
        </is>
      </c>
      <c r="K1342" s="8" t="inlineStr">
        <is>
          <t>filtered by keyword pre-scan</t>
        </is>
      </c>
      <c r="L1342" s="17" t="inlineStr">
        <is>
          <t>new</t>
        </is>
      </c>
      <c r="M1342" s="18" t="inlineStr"/>
      <c r="N1342" s="7" t="inlineStr">
        <is>
          <t>65bdee8e6ae286287fc0d478282ccc53335fded1</t>
        </is>
      </c>
      <c r="O1342" s="14" t="n">
        <v>46175</v>
      </c>
      <c r="P1342" s="7" t="inlineStr">
        <is>
          <t>greenhouse:cloudflare</t>
        </is>
      </c>
      <c r="Q1342" s="8" t="inlineStr">
        <is>
          <t>software development</t>
        </is>
      </c>
      <c r="R1342" s="8" t="n"/>
      <c r="S1342" s="19" t="n"/>
      <c r="T1342" s="19" t="n"/>
      <c r="U1342" s="14" t="n">
        <v>46191</v>
      </c>
      <c r="V1342" s="7" t="inlineStr">
        <is>
          <t>v2-cv-accuracy-13b988b18da8ea7d</t>
        </is>
      </c>
    </row>
    <row r="1343" ht="28" customHeight="1">
      <c r="A1343" s="12">
        <f>IF($L1343="applied","Applied",IF($L1343="interview","Interview",IF($L1343="offer","Offer",IF($L1343="rejected","Rejected",IF($L1343="ignore","Ignore",IF($L1343="archive","Archive",IF($L1343="closed","Closed",IF($B1343="","Unscored",IF(AND($B1343&gt;=8,OR($H1343="",$H1343-TODAY()&lt;=14)),"P1 Apply",IF($B1343&gt;=7,"P2 Strong",IF($B1343&gt;=5,"P3 Maybe","P4 Low")))))))))))</f>
        <v/>
      </c>
      <c r="B1343" s="13" t="n">
        <v>0.82</v>
      </c>
      <c r="C1343" s="12" t="inlineStr">
        <is>
          <t>Mid-level</t>
        </is>
      </c>
      <c r="D1343" s="8" t="inlineStr">
        <is>
          <t>Solutions Engineer</t>
        </is>
      </c>
      <c r="E1343" s="7" t="inlineStr">
        <is>
          <t>Cloudflare</t>
        </is>
      </c>
      <c r="F1343" s="8" t="inlineStr">
        <is>
          <t>Distributed</t>
        </is>
      </c>
      <c r="G1343" s="8" t="n"/>
      <c r="H1343" s="14" t="n"/>
      <c r="I1343" s="15">
        <f>IF($H1343="","",$H1343-TODAY())</f>
        <v/>
      </c>
      <c r="J1343" s="16" t="inlineStr">
        <is>
          <t>Open posting</t>
        </is>
      </c>
      <c r="K1343" s="8" t="inlineStr">
        <is>
          <t>filtered by keyword pre-scan</t>
        </is>
      </c>
      <c r="L1343" s="17" t="inlineStr">
        <is>
          <t>new</t>
        </is>
      </c>
      <c r="M1343" s="18" t="inlineStr"/>
      <c r="N1343" s="7" t="inlineStr">
        <is>
          <t>a247fafdbcec7cc29a5a26a3ac3f521383b37b41</t>
        </is>
      </c>
      <c r="O1343" s="14" t="n">
        <v>46181</v>
      </c>
      <c r="P1343" s="7" t="inlineStr">
        <is>
          <t>greenhouse:cloudflare</t>
        </is>
      </c>
      <c r="Q1343" s="8" t="inlineStr">
        <is>
          <t>software development</t>
        </is>
      </c>
      <c r="R1343" s="8" t="n"/>
      <c r="S1343" s="19" t="n"/>
      <c r="T1343" s="19" t="n"/>
      <c r="U1343" s="14" t="n">
        <v>46191</v>
      </c>
      <c r="V1343" s="7" t="inlineStr">
        <is>
          <t>v2-cv-accuracy-13b988b18da8ea7d</t>
        </is>
      </c>
    </row>
    <row r="1344" ht="28" customHeight="1">
      <c r="A1344" s="12">
        <f>IF($L1344="applied","Applied",IF($L1344="interview","Interview",IF($L1344="offer","Offer",IF($L1344="rejected","Rejected",IF($L1344="ignore","Ignore",IF($L1344="archive","Archive",IF($L1344="closed","Closed",IF($B1344="","Unscored",IF(AND($B1344&gt;=8,OR($H1344="",$H1344-TODAY()&lt;=14)),"P1 Apply",IF($B1344&gt;=7,"P2 Strong",IF($B1344&gt;=5,"P3 Maybe","P4 Low")))))))))))</f>
        <v/>
      </c>
      <c r="B1344" s="13" t="n">
        <v>0.82</v>
      </c>
      <c r="C1344" s="12" t="inlineStr">
        <is>
          <t>Unspecified</t>
        </is>
      </c>
      <c r="D1344" s="8" t="inlineStr">
        <is>
          <t>Solutions Engineer, iGaming</t>
        </is>
      </c>
      <c r="E1344" s="7" t="inlineStr">
        <is>
          <t>Cloudflare</t>
        </is>
      </c>
      <c r="F1344" s="8" t="inlineStr">
        <is>
          <t>Hybrid</t>
        </is>
      </c>
      <c r="G1344" s="8" t="n"/>
      <c r="H1344" s="14" t="n"/>
      <c r="I1344" s="15">
        <f>IF($H1344="","",$H1344-TODAY())</f>
        <v/>
      </c>
      <c r="J1344" s="16" t="inlineStr">
        <is>
          <t>Open posting</t>
        </is>
      </c>
      <c r="K1344" s="8" t="inlineStr">
        <is>
          <t>filtered by keyword pre-scan</t>
        </is>
      </c>
      <c r="L1344" s="17" t="inlineStr">
        <is>
          <t>new</t>
        </is>
      </c>
      <c r="M1344" s="18" t="inlineStr"/>
      <c r="N1344" s="7" t="inlineStr">
        <is>
          <t>9b368d120a2f9cc3921c5daa7f881362c68205b9</t>
        </is>
      </c>
      <c r="O1344" s="14" t="n">
        <v>46171</v>
      </c>
      <c r="P1344" s="7" t="inlineStr">
        <is>
          <t>greenhouse:cloudflare</t>
        </is>
      </c>
      <c r="Q1344" s="8" t="inlineStr">
        <is>
          <t>software development</t>
        </is>
      </c>
      <c r="R1344" s="8" t="n"/>
      <c r="S1344" s="19" t="n"/>
      <c r="T1344" s="19" t="n"/>
      <c r="U1344" s="14" t="n">
        <v>46191</v>
      </c>
      <c r="V1344" s="7" t="inlineStr">
        <is>
          <t>v2-cv-accuracy-13b988b18da8ea7d</t>
        </is>
      </c>
    </row>
    <row r="1345" ht="28" customHeight="1">
      <c r="A1345" s="12">
        <f>IF($L1345="applied","Applied",IF($L1345="interview","Interview",IF($L1345="offer","Offer",IF($L1345="rejected","Rejected",IF($L1345="ignore","Ignore",IF($L1345="archive","Archive",IF($L1345="closed","Closed",IF($B1345="","Unscored",IF(AND($B1345&gt;=8,OR($H1345="",$H1345-TODAY()&lt;=14)),"P1 Apply",IF($B1345&gt;=7,"P2 Strong",IF($B1345&gt;=5,"P3 Maybe","P4 Low")))))))))))</f>
        <v/>
      </c>
      <c r="B1345" s="13" t="n">
        <v>0.82</v>
      </c>
      <c r="C1345" s="12" t="inlineStr">
        <is>
          <t>Graduate/Entry</t>
        </is>
      </c>
      <c r="D1345" s="8" t="inlineStr">
        <is>
          <t>Graduate STEM Developer (Autumn 2026)</t>
        </is>
      </c>
      <c r="E1345" s="7" t="inlineStr">
        <is>
          <t>Data Intellect</t>
        </is>
      </c>
      <c r="F1345" s="8" t="inlineStr">
        <is>
          <t>Belfast, NIR, GB</t>
        </is>
      </c>
      <c r="G1345" s="8" t="n"/>
      <c r="H1345" s="14" t="n"/>
      <c r="I1345" s="15">
        <f>IF($H1345="","",$H1345-TODAY())</f>
        <v/>
      </c>
      <c r="J1345" s="16" t="inlineStr">
        <is>
          <t>Open posting</t>
        </is>
      </c>
      <c r="K1345" s="8" t="inlineStr">
        <is>
          <t>filtered by keyword pre-scan</t>
        </is>
      </c>
      <c r="L1345" s="17" t="inlineStr">
        <is>
          <t>new</t>
        </is>
      </c>
      <c r="M1345" s="18" t="inlineStr"/>
      <c r="N1345" s="7" t="inlineStr">
        <is>
          <t>263644724ed6586af6574a0094e541709f141b27</t>
        </is>
      </c>
      <c r="O1345" s="14" t="n">
        <v>46190</v>
      </c>
      <c r="P1345" s="7" t="inlineStr">
        <is>
          <t>jobspy</t>
        </is>
      </c>
      <c r="Q1345" s="8" t="inlineStr">
        <is>
          <t>software development</t>
        </is>
      </c>
      <c r="R1345" s="8" t="inlineStr">
        <is>
          <t>Graduate Software Developer</t>
        </is>
      </c>
      <c r="S1345" s="19" t="n"/>
      <c r="T1345" s="19" t="n"/>
      <c r="U1345" s="14" t="n">
        <v>46191</v>
      </c>
      <c r="V1345" s="7" t="inlineStr">
        <is>
          <t>v2-cv-accuracy-13b988b18da8ea7d</t>
        </is>
      </c>
    </row>
    <row r="1346" ht="28" customHeight="1">
      <c r="A1346" s="12">
        <f>IF($L1346="applied","Applied",IF($L1346="interview","Interview",IF($L1346="offer","Offer",IF($L1346="rejected","Rejected",IF($L1346="ignore","Ignore",IF($L1346="archive","Archive",IF($L1346="closed","Closed",IF($B1346="","Unscored",IF(AND($B1346&gt;=8,OR($H1346="",$H1346-TODAY()&lt;=14)),"P1 Apply",IF($B1346&gt;=7,"P2 Strong",IF($B1346&gt;=5,"P3 Maybe","P4 Low")))))))))))</f>
        <v/>
      </c>
      <c r="B1346" s="13" t="n">
        <v>0.82</v>
      </c>
      <c r="C1346" s="12" t="inlineStr">
        <is>
          <t>Graduate/Entry</t>
        </is>
      </c>
      <c r="D1346" s="8" t="inlineStr">
        <is>
          <t>Software Developer Graduate</t>
        </is>
      </c>
      <c r="E1346" s="7" t="inlineStr">
        <is>
          <t>AVEVA</t>
        </is>
      </c>
      <c r="F1346" s="8" t="inlineStr">
        <is>
          <t>Cambridge, England, UK</t>
        </is>
      </c>
      <c r="G1346" s="8" t="n"/>
      <c r="H1346" s="14" t="n"/>
      <c r="I1346" s="15">
        <f>IF($H1346="","",$H1346-TODAY())</f>
        <v/>
      </c>
      <c r="J1346" s="16" t="inlineStr">
        <is>
          <t>Open posting</t>
        </is>
      </c>
      <c r="K1346" s="8" t="inlineStr">
        <is>
          <t>filtered by keyword pre-scan</t>
        </is>
      </c>
      <c r="L1346" s="17" t="inlineStr">
        <is>
          <t>new</t>
        </is>
      </c>
      <c r="M1346" s="18" t="inlineStr"/>
      <c r="N1346" s="7" t="inlineStr">
        <is>
          <t>bbe36cc02a27dcf9724eee644d64299fffb27c85</t>
        </is>
      </c>
      <c r="O1346" s="14" t="n">
        <v>46181</v>
      </c>
      <c r="P1346" s="7" t="inlineStr">
        <is>
          <t>jobspy</t>
        </is>
      </c>
      <c r="Q1346" s="8" t="inlineStr">
        <is>
          <t>javascript</t>
        </is>
      </c>
      <c r="R1346" s="8" t="inlineStr">
        <is>
          <t>Graduate Software Developer</t>
        </is>
      </c>
      <c r="S1346" s="19" t="n"/>
      <c r="T1346" s="19" t="n"/>
      <c r="U1346" s="14" t="n">
        <v>46191</v>
      </c>
      <c r="V1346" s="7" t="inlineStr">
        <is>
          <t>v2-cv-accuracy-13b988b18da8ea7d</t>
        </is>
      </c>
    </row>
    <row r="1347" ht="28" customHeight="1">
      <c r="A1347" s="12">
        <f>IF($L1347="applied","Applied",IF($L1347="interview","Interview",IF($L1347="offer","Offer",IF($L1347="rejected","Rejected",IF($L1347="ignore","Ignore",IF($L1347="archive","Archive",IF($L1347="closed","Closed",IF($B1347="","Unscored",IF(AND($B1347&gt;=8,OR($H1347="",$H1347-TODAY()&lt;=14)),"P1 Apply",IF($B1347&gt;=7,"P2 Strong",IF($B1347&gt;=5,"P3 Maybe","P4 Low")))))))))))</f>
        <v/>
      </c>
      <c r="B1347" s="13" t="n">
        <v>0.82</v>
      </c>
      <c r="C1347" s="12" t="inlineStr">
        <is>
          <t>Junior</t>
        </is>
      </c>
      <c r="D1347" s="8" t="inlineStr">
        <is>
          <t>Java Backend with Microservices</t>
        </is>
      </c>
      <c r="E1347" s="7" t="inlineStr">
        <is>
          <t>Net2Source (N2S)</t>
        </is>
      </c>
      <c r="F1347" s="8" t="inlineStr">
        <is>
          <t>Sheffield, England, UK</t>
        </is>
      </c>
      <c r="G1347" s="8" t="n"/>
      <c r="H1347" s="14" t="n"/>
      <c r="I1347" s="15">
        <f>IF($H1347="","",$H1347-TODAY())</f>
        <v/>
      </c>
      <c r="J1347" s="16" t="inlineStr">
        <is>
          <t>Open posting</t>
        </is>
      </c>
      <c r="K1347" s="8" t="inlineStr">
        <is>
          <t>filtered by keyword pre-scan</t>
        </is>
      </c>
      <c r="L1347" s="17" t="inlineStr">
        <is>
          <t>new</t>
        </is>
      </c>
      <c r="M1347" s="18" t="inlineStr"/>
      <c r="N1347" s="7" t="inlineStr">
        <is>
          <t>7b5c5878205db40cb7ff49cd333a8c9c89b07213</t>
        </is>
      </c>
      <c r="O1347" s="14" t="n">
        <v>46189</v>
      </c>
      <c r="P1347" s="7" t="inlineStr">
        <is>
          <t>jobspy</t>
        </is>
      </c>
      <c r="Q1347" s="8" t="inlineStr">
        <is>
          <t>software development</t>
        </is>
      </c>
      <c r="R1347" s="8" t="inlineStr">
        <is>
          <t>Graduate Software Developer Sheffield</t>
        </is>
      </c>
      <c r="S1347" s="19" t="n"/>
      <c r="T1347" s="19" t="n"/>
      <c r="U1347" s="14" t="n">
        <v>46191</v>
      </c>
      <c r="V1347" s="7" t="inlineStr">
        <is>
          <t>v2-cv-accuracy-13b988b18da8ea7d</t>
        </is>
      </c>
    </row>
    <row r="1348" ht="28" customHeight="1">
      <c r="A1348" s="12">
        <f>IF($L1348="applied","Applied",IF($L1348="interview","Interview",IF($L1348="offer","Offer",IF($L1348="rejected","Rejected",IF($L1348="ignore","Ignore",IF($L1348="archive","Archive",IF($L1348="closed","Closed",IF($B1348="","Unscored",IF(AND($B1348&gt;=8,OR($H1348="",$H1348-TODAY()&lt;=14)),"P1 Apply",IF($B1348&gt;=7,"P2 Strong",IF($B1348&gt;=5,"P3 Maybe","P4 Low")))))))))))</f>
        <v/>
      </c>
      <c r="B1348" s="13" t="n">
        <v>0.82</v>
      </c>
      <c r="C1348" s="12" t="inlineStr">
        <is>
          <t>Unspecified</t>
        </is>
      </c>
      <c r="D1348" s="8" t="inlineStr">
        <is>
          <t>Angular/ C# .NET Software Developer</t>
        </is>
      </c>
      <c r="E1348" s="7" t="inlineStr">
        <is>
          <t>RedRock Resourcing</t>
        </is>
      </c>
      <c r="F1348" s="8" t="inlineStr">
        <is>
          <t>Sheffield, England, UK</t>
        </is>
      </c>
      <c r="G1348" s="8" t="n"/>
      <c r="H1348" s="14" t="n"/>
      <c r="I1348" s="15">
        <f>IF($H1348="","",$H1348-TODAY())</f>
        <v/>
      </c>
      <c r="J1348" s="16" t="inlineStr">
        <is>
          <t>Open posting</t>
        </is>
      </c>
      <c r="K1348" s="8" t="inlineStr">
        <is>
          <t>filtered by keyword pre-scan</t>
        </is>
      </c>
      <c r="L1348" s="17" t="inlineStr">
        <is>
          <t>new</t>
        </is>
      </c>
      <c r="M1348" s="18" t="inlineStr"/>
      <c r="N1348" s="7" t="inlineStr">
        <is>
          <t>0babad285cb30751d73b46840aa3ec73ef42ff69</t>
        </is>
      </c>
      <c r="O1348" s="14" t="n">
        <v>46185</v>
      </c>
      <c r="P1348" s="7" t="inlineStr">
        <is>
          <t>jobspy</t>
        </is>
      </c>
      <c r="Q1348" s="8" t="inlineStr">
        <is>
          <t>software development</t>
        </is>
      </c>
      <c r="R1348" s="8" t="inlineStr">
        <is>
          <t>Graduate Software Developer Sheffield</t>
        </is>
      </c>
      <c r="S1348" s="19" t="n"/>
      <c r="T1348" s="19" t="n"/>
      <c r="U1348" s="14" t="n">
        <v>46191</v>
      </c>
      <c r="V1348" s="7" t="inlineStr">
        <is>
          <t>v2-cv-accuracy-13b988b18da8ea7d</t>
        </is>
      </c>
    </row>
    <row r="1349" ht="28" customHeight="1">
      <c r="A1349" s="12">
        <f>IF($L1349="applied","Applied",IF($L1349="interview","Interview",IF($L1349="offer","Offer",IF($L1349="rejected","Rejected",IF($L1349="ignore","Ignore",IF($L1349="archive","Archive",IF($L1349="closed","Closed",IF($B1349="","Unscored",IF(AND($B1349&gt;=8,OR($H1349="",$H1349-TODAY()&lt;=14)),"P1 Apply",IF($B1349&gt;=7,"P2 Strong",IF($B1349&gt;=5,"P3 Maybe","P4 Low")))))))))))</f>
        <v/>
      </c>
      <c r="B1349" s="13" t="n">
        <v>0.82</v>
      </c>
      <c r="C1349" s="12" t="inlineStr">
        <is>
          <t>Graduate/Entry</t>
        </is>
      </c>
      <c r="D1349" s="8" t="inlineStr">
        <is>
          <t>Graduate Software Engineer</t>
        </is>
      </c>
      <c r="E1349" s="7" t="inlineStr">
        <is>
          <t>Fyous</t>
        </is>
      </c>
      <c r="F1349" s="8" t="inlineStr">
        <is>
          <t>Sheffield, England, UK</t>
        </is>
      </c>
      <c r="G1349" s="8" t="n"/>
      <c r="H1349" s="14" t="n"/>
      <c r="I1349" s="15">
        <f>IF($H1349="","",$H1349-TODAY())</f>
        <v/>
      </c>
      <c r="J1349" s="16" t="inlineStr">
        <is>
          <t>Open posting</t>
        </is>
      </c>
      <c r="K1349" s="8" t="inlineStr">
        <is>
          <t>filtered by keyword pre-scan</t>
        </is>
      </c>
      <c r="L1349" s="17" t="inlineStr">
        <is>
          <t>new</t>
        </is>
      </c>
      <c r="M1349" s="18" t="inlineStr"/>
      <c r="N1349" s="7" t="inlineStr">
        <is>
          <t>0f23547176929b8d40676d83a06cd6af2550fc08</t>
        </is>
      </c>
      <c r="O1349" s="14" t="n">
        <v>46175</v>
      </c>
      <c r="P1349" s="7" t="inlineStr">
        <is>
          <t>jobspy</t>
        </is>
      </c>
      <c r="Q1349" s="8" t="inlineStr">
        <is>
          <t>git</t>
        </is>
      </c>
      <c r="R1349" s="8" t="inlineStr">
        <is>
          <t>Graduate Software Developer Sheffield</t>
        </is>
      </c>
      <c r="S1349" s="19" t="n"/>
      <c r="T1349" s="19" t="n"/>
      <c r="U1349" s="14" t="n">
        <v>46191</v>
      </c>
      <c r="V1349" s="7" t="inlineStr">
        <is>
          <t>v2-cv-accuracy-13b988b18da8ea7d</t>
        </is>
      </c>
    </row>
    <row r="1350" ht="28" customHeight="1">
      <c r="A1350" s="12">
        <f>IF($L1350="applied","Applied",IF($L1350="interview","Interview",IF($L1350="offer","Offer",IF($L1350="rejected","Rejected",IF($L1350="ignore","Ignore",IF($L1350="archive","Archive",IF($L1350="closed","Closed",IF($B1350="","Unscored",IF(AND($B1350&gt;=8,OR($H1350="",$H1350-TODAY()&lt;=14)),"P1 Apply",IF($B1350&gt;=7,"P2 Strong",IF($B1350&gt;=5,"P3 Maybe","P4 Low")))))))))))</f>
        <v/>
      </c>
      <c r="B1350" s="13" t="n">
        <v>0.82</v>
      </c>
      <c r="C1350" s="12" t="inlineStr">
        <is>
          <t>Mid-level</t>
        </is>
      </c>
      <c r="D1350" s="8" t="inlineStr">
        <is>
          <t>Software Developer</t>
        </is>
      </c>
      <c r="E1350" s="7" t="inlineStr">
        <is>
          <t>LabLogic Systems</t>
        </is>
      </c>
      <c r="F1350" s="8" t="inlineStr">
        <is>
          <t>Sheffield, England, UK</t>
        </is>
      </c>
      <c r="G1350" s="8" t="n"/>
      <c r="H1350" s="14" t="n"/>
      <c r="I1350" s="15">
        <f>IF($H1350="","",$H1350-TODAY())</f>
        <v/>
      </c>
      <c r="J1350" s="16" t="inlineStr">
        <is>
          <t>Open posting</t>
        </is>
      </c>
      <c r="K1350" s="8" t="inlineStr">
        <is>
          <t>filtered by keyword pre-scan</t>
        </is>
      </c>
      <c r="L1350" s="17" t="inlineStr">
        <is>
          <t>new</t>
        </is>
      </c>
      <c r="M1350" s="18" t="inlineStr"/>
      <c r="N1350" s="7" t="inlineStr">
        <is>
          <t>11c3d93181adb48cee8132df467ef762a3bb241f</t>
        </is>
      </c>
      <c r="O1350" s="14" t="n">
        <v>46168</v>
      </c>
      <c r="P1350" s="7" t="inlineStr">
        <is>
          <t>jobspy</t>
        </is>
      </c>
      <c r="Q1350" s="8" t="inlineStr">
        <is>
          <t>sql</t>
        </is>
      </c>
      <c r="R1350" s="8" t="inlineStr">
        <is>
          <t>Graduate Software Developer Sheffield</t>
        </is>
      </c>
      <c r="S1350" s="19" t="n"/>
      <c r="T1350" s="19" t="n"/>
      <c r="U1350" s="14" t="n">
        <v>46191</v>
      </c>
      <c r="V1350" s="7" t="inlineStr">
        <is>
          <t>v2-cv-accuracy-13b988b18da8ea7d</t>
        </is>
      </c>
    </row>
    <row r="1351" ht="28" customHeight="1">
      <c r="A1351" s="12">
        <f>IF($L1351="applied","Applied",IF($L1351="interview","Interview",IF($L1351="offer","Offer",IF($L1351="rejected","Rejected",IF($L1351="ignore","Ignore",IF($L1351="archive","Archive",IF($L1351="closed","Closed",IF($B1351="","Unscored",IF(AND($B1351&gt;=8,OR($H1351="",$H1351-TODAY()&lt;=14)),"P1 Apply",IF($B1351&gt;=7,"P2 Strong",IF($B1351&gt;=5,"P3 Maybe","P4 Low")))))))))))</f>
        <v/>
      </c>
      <c r="B1351" s="13" t="n">
        <v>0.82</v>
      </c>
      <c r="C1351" s="12" t="inlineStr">
        <is>
          <t>Junior</t>
        </is>
      </c>
      <c r="D1351" s="8" t="inlineStr">
        <is>
          <t>Junior Software Engineer</t>
        </is>
      </c>
      <c r="E1351" s="7" t="inlineStr">
        <is>
          <t>Haystack</t>
        </is>
      </c>
      <c r="F1351" s="8" t="inlineStr">
        <is>
          <t>London, England, UK</t>
        </is>
      </c>
      <c r="G1351" s="8" t="n"/>
      <c r="H1351" s="14" t="n"/>
      <c r="I1351" s="15">
        <f>IF($H1351="","",$H1351-TODAY())</f>
        <v/>
      </c>
      <c r="J1351" s="16" t="inlineStr">
        <is>
          <t>Open posting</t>
        </is>
      </c>
      <c r="K1351" s="8" t="inlineStr">
        <is>
          <t>filtered by keyword pre-scan</t>
        </is>
      </c>
      <c r="L1351" s="17" t="inlineStr">
        <is>
          <t>new</t>
        </is>
      </c>
      <c r="M1351" s="18" t="inlineStr"/>
      <c r="N1351" s="7" t="inlineStr">
        <is>
          <t>42a65fa1f148dd64647aed52e4ef0290832a16c0</t>
        </is>
      </c>
      <c r="O1351" s="14" t="n">
        <v>46189</v>
      </c>
      <c r="P1351" s="7" t="inlineStr">
        <is>
          <t>jobspy</t>
        </is>
      </c>
      <c r="Q1351" s="8" t="inlineStr">
        <is>
          <t>software development</t>
        </is>
      </c>
      <c r="R1351" s="8" t="inlineStr">
        <is>
          <t>junior Graduate Software Developer</t>
        </is>
      </c>
      <c r="S1351" s="19" t="n"/>
      <c r="T1351" s="19" t="n"/>
      <c r="U1351" s="14" t="n">
        <v>46191</v>
      </c>
      <c r="V1351" s="7" t="inlineStr">
        <is>
          <t>v2-cv-accuracy-13b988b18da8ea7d</t>
        </is>
      </c>
    </row>
    <row r="1352" ht="28" customHeight="1">
      <c r="A1352" s="12">
        <f>IF($L1352="applied","Applied",IF($L1352="interview","Interview",IF($L1352="offer","Offer",IF($L1352="rejected","Rejected",IF($L1352="ignore","Ignore",IF($L1352="archive","Archive",IF($L1352="closed","Closed",IF($B1352="","Unscored",IF(AND($B1352&gt;=8,OR($H1352="",$H1352-TODAY()&lt;=14)),"P1 Apply",IF($B1352&gt;=7,"P2 Strong",IF($B1352&gt;=5,"P3 Maybe","P4 Low")))))))))))</f>
        <v/>
      </c>
      <c r="B1352" s="13" t="n">
        <v>0.82</v>
      </c>
      <c r="C1352" s="12" t="inlineStr">
        <is>
          <t>Unspecified</t>
        </is>
      </c>
      <c r="D1352" s="8" t="inlineStr">
        <is>
          <t>Web Developer (HTML,CSS) | Remote</t>
        </is>
      </c>
      <c r="E1352" s="7" t="inlineStr">
        <is>
          <t>Crossing Hurdles</t>
        </is>
      </c>
      <c r="F1352" s="8" t="inlineStr"/>
      <c r="G1352" s="8" t="n"/>
      <c r="H1352" s="14" t="n"/>
      <c r="I1352" s="15">
        <f>IF($H1352="","",$H1352-TODAY())</f>
        <v/>
      </c>
      <c r="J1352" s="16" t="inlineStr">
        <is>
          <t>Open posting</t>
        </is>
      </c>
      <c r="K1352" s="8" t="inlineStr">
        <is>
          <t>filtered by keyword pre-scan</t>
        </is>
      </c>
      <c r="L1352" s="17" t="inlineStr">
        <is>
          <t>new</t>
        </is>
      </c>
      <c r="M1352" s="18" t="inlineStr"/>
      <c r="N1352" s="7" t="inlineStr">
        <is>
          <t>55619277289d1d356884c4ab2d6d82e5adf03ba3</t>
        </is>
      </c>
      <c r="O1352" s="14" t="n">
        <v>46188</v>
      </c>
      <c r="P1352" s="7" t="inlineStr">
        <is>
          <t>jobspy</t>
        </is>
      </c>
      <c r="Q1352" s="8" t="inlineStr">
        <is>
          <t>javascript</t>
        </is>
      </c>
      <c r="R1352" s="8" t="inlineStr">
        <is>
          <t>junior Graduate Software Developer</t>
        </is>
      </c>
      <c r="S1352" s="19" t="n"/>
      <c r="T1352" s="19" t="n"/>
      <c r="U1352" s="14" t="n">
        <v>46191</v>
      </c>
      <c r="V1352" s="7" t="inlineStr">
        <is>
          <t>v2-cv-accuracy-13b988b18da8ea7d</t>
        </is>
      </c>
    </row>
    <row r="1353" ht="28" customHeight="1">
      <c r="A1353" s="12">
        <f>IF($L1353="applied","Applied",IF($L1353="interview","Interview",IF($L1353="offer","Offer",IF($L1353="rejected","Rejected",IF($L1353="ignore","Ignore",IF($L1353="archive","Archive",IF($L1353="closed","Closed",IF($B1353="","Unscored",IF(AND($B1353&gt;=8,OR($H1353="",$H1353-TODAY()&lt;=14)),"P1 Apply",IF($B1353&gt;=7,"P2 Strong",IF($B1353&gt;=5,"P3 Maybe","P4 Low")))))))))))</f>
        <v/>
      </c>
      <c r="B1353" s="13" t="n">
        <v>0.82</v>
      </c>
      <c r="C1353" s="12" t="inlineStr">
        <is>
          <t>Graduate/Entry</t>
        </is>
      </c>
      <c r="D1353" s="8" t="inlineStr">
        <is>
          <t>ML Researcher (PhD Entry-level)</t>
        </is>
      </c>
      <c r="E1353" s="7" t="inlineStr">
        <is>
          <t>Selby Jennings</t>
        </is>
      </c>
      <c r="F1353" s="8" t="inlineStr">
        <is>
          <t>City Of London, England, UK</t>
        </is>
      </c>
      <c r="G1353" s="8" t="n"/>
      <c r="H1353" s="14" t="n"/>
      <c r="I1353" s="15">
        <f>IF($H1353="","",$H1353-TODAY())</f>
        <v/>
      </c>
      <c r="J1353" s="16" t="inlineStr">
        <is>
          <t>Open posting</t>
        </is>
      </c>
      <c r="K1353" s="8" t="inlineStr">
        <is>
          <t>filtered by keyword pre-scan</t>
        </is>
      </c>
      <c r="L1353" s="17" t="inlineStr">
        <is>
          <t>new</t>
        </is>
      </c>
      <c r="M1353" s="18" t="inlineStr"/>
      <c r="N1353" s="7" t="inlineStr">
        <is>
          <t>8d3818eedae2b048dfa076fbe2bd31096363c6f9</t>
        </is>
      </c>
      <c r="O1353" s="14" t="n">
        <v>46177</v>
      </c>
      <c r="P1353" s="7" t="inlineStr">
        <is>
          <t>jobspy</t>
        </is>
      </c>
      <c r="Q1353" s="8" t="inlineStr">
        <is>
          <t>python</t>
        </is>
      </c>
      <c r="R1353" s="8" t="inlineStr">
        <is>
          <t>entry level Graduate Software Developer</t>
        </is>
      </c>
      <c r="S1353" s="19" t="n"/>
      <c r="T1353" s="19" t="n"/>
      <c r="U1353" s="14" t="n">
        <v>46191</v>
      </c>
      <c r="V1353" s="7" t="inlineStr">
        <is>
          <t>v2-cv-accuracy-13b988b18da8ea7d</t>
        </is>
      </c>
    </row>
    <row r="1354" ht="28" customHeight="1">
      <c r="A1354" s="12">
        <f>IF($L1354="applied","Applied",IF($L1354="interview","Interview",IF($L1354="offer","Offer",IF($L1354="rejected","Rejected",IF($L1354="ignore","Ignore",IF($L1354="archive","Archive",IF($L1354="closed","Closed",IF($B1354="","Unscored",IF(AND($B1354&gt;=8,OR($H1354="",$H1354-TODAY()&lt;=14)),"P1 Apply",IF($B1354&gt;=7,"P2 Strong",IF($B1354&gt;=5,"P3 Maybe","P4 Low")))))))))))</f>
        <v/>
      </c>
      <c r="B1354" s="13" t="n">
        <v>0.82</v>
      </c>
      <c r="C1354" s="12" t="inlineStr">
        <is>
          <t>Junior</t>
        </is>
      </c>
      <c r="D1354" s="8" t="inlineStr">
        <is>
          <t>Research and Development Engineer (Marine Logistics)</t>
        </is>
      </c>
      <c r="E1354" s="7" t="inlineStr">
        <is>
          <t>Kinewell Energy</t>
        </is>
      </c>
      <c r="F1354" s="8" t="inlineStr">
        <is>
          <t>Newcastle upon Tyne, ENG, GB</t>
        </is>
      </c>
      <c r="G1354" s="8" t="n"/>
      <c r="H1354" s="14" t="n"/>
      <c r="I1354" s="15">
        <f>IF($H1354="","",$H1354-TODAY())</f>
        <v/>
      </c>
      <c r="J1354" s="16" t="inlineStr">
        <is>
          <t>Open posting</t>
        </is>
      </c>
      <c r="K1354" s="8" t="inlineStr">
        <is>
          <t>filtered by keyword pre-scan</t>
        </is>
      </c>
      <c r="L1354" s="17" t="inlineStr">
        <is>
          <t>new</t>
        </is>
      </c>
      <c r="M1354" s="18" t="inlineStr"/>
      <c r="N1354" s="7" t="inlineStr">
        <is>
          <t>85c9f7013d3f97f87bd5b924cf63a62bc3f07440</t>
        </is>
      </c>
      <c r="O1354" s="14" t="n">
        <v>46188</v>
      </c>
      <c r="P1354" s="7" t="inlineStr">
        <is>
          <t>jobspy</t>
        </is>
      </c>
      <c r="Q1354" s="8" t="inlineStr">
        <is>
          <t>python</t>
        </is>
      </c>
      <c r="R1354" s="8" t="inlineStr">
        <is>
          <t>Junior Python Developer</t>
        </is>
      </c>
      <c r="S1354" s="19" t="n"/>
      <c r="T1354" s="19" t="n"/>
      <c r="U1354" s="14" t="n">
        <v>46191</v>
      </c>
      <c r="V1354" s="7" t="inlineStr">
        <is>
          <t>v2-cv-accuracy-13b988b18da8ea7d</t>
        </is>
      </c>
    </row>
    <row r="1355" ht="28" customHeight="1">
      <c r="A1355" s="12">
        <f>IF($L1355="applied","Applied",IF($L1355="interview","Interview",IF($L1355="offer","Offer",IF($L1355="rejected","Rejected",IF($L1355="ignore","Ignore",IF($L1355="archive","Archive",IF($L1355="closed","Closed",IF($B1355="","Unscored",IF(AND($B1355&gt;=8,OR($H1355="",$H1355-TODAY()&lt;=14)),"P1 Apply",IF($B1355&gt;=7,"P2 Strong",IF($B1355&gt;=5,"P3 Maybe","P4 Low")))))))))))</f>
        <v/>
      </c>
      <c r="B1355" s="13" t="n">
        <v>0.82</v>
      </c>
      <c r="C1355" s="12" t="inlineStr">
        <is>
          <t>Senior/Lead</t>
        </is>
      </c>
      <c r="D1355" s="8" t="inlineStr">
        <is>
          <t>Ruby on Rails Developer</t>
        </is>
      </c>
      <c r="E1355" s="7" t="inlineStr">
        <is>
          <t>TrueNorth®</t>
        </is>
      </c>
      <c r="F1355" s="8" t="inlineStr">
        <is>
          <t>England, United Kingdom</t>
        </is>
      </c>
      <c r="G1355" s="8" t="n"/>
      <c r="H1355" s="14" t="n"/>
      <c r="I1355" s="15">
        <f>IF($H1355="","",$H1355-TODAY())</f>
        <v/>
      </c>
      <c r="J1355" s="16" t="inlineStr">
        <is>
          <t>Open posting</t>
        </is>
      </c>
      <c r="K1355" s="8" t="inlineStr">
        <is>
          <t>filtered by keyword pre-scan</t>
        </is>
      </c>
      <c r="L1355" s="17" t="inlineStr">
        <is>
          <t>new</t>
        </is>
      </c>
      <c r="M1355" s="18" t="inlineStr"/>
      <c r="N1355" s="7" t="inlineStr">
        <is>
          <t>79a98b23c4c297852ee78a81b1d199b4629c0a56</t>
        </is>
      </c>
      <c r="O1355" s="14" t="n">
        <v>46185</v>
      </c>
      <c r="P1355" s="7" t="inlineStr">
        <is>
          <t>jobspy</t>
        </is>
      </c>
      <c r="Q1355" s="8" t="inlineStr">
        <is>
          <t>git</t>
        </is>
      </c>
      <c r="R1355" s="8" t="inlineStr">
        <is>
          <t>Junior Python Developer Sheffield</t>
        </is>
      </c>
      <c r="S1355" s="19" t="n"/>
      <c r="T1355" s="19" t="n"/>
      <c r="U1355" s="14" t="n">
        <v>46191</v>
      </c>
      <c r="V1355" s="7" t="inlineStr">
        <is>
          <t>v2-cv-accuracy-13b988b18da8ea7d</t>
        </is>
      </c>
    </row>
    <row r="1356" ht="28" customHeight="1">
      <c r="A1356" s="12">
        <f>IF($L1356="applied","Applied",IF($L1356="interview","Interview",IF($L1356="offer","Offer",IF($L1356="rejected","Rejected",IF($L1356="ignore","Ignore",IF($L1356="archive","Archive",IF($L1356="closed","Closed",IF($B1356="","Unscored",IF(AND($B1356&gt;=8,OR($H1356="",$H1356-TODAY()&lt;=14)),"P1 Apply",IF($B1356&gt;=7,"P2 Strong",IF($B1356&gt;=5,"P3 Maybe","P4 Low")))))))))))</f>
        <v/>
      </c>
      <c r="B1356" s="13" t="n">
        <v>0.82</v>
      </c>
      <c r="C1356" s="12" t="inlineStr">
        <is>
          <t>Unspecified</t>
        </is>
      </c>
      <c r="D1356" s="8" t="inlineStr">
        <is>
          <t>Java Frontend Full Stack Developer</t>
        </is>
      </c>
      <c r="E1356" s="7" t="inlineStr">
        <is>
          <t>Synechron</t>
        </is>
      </c>
      <c r="F1356" s="8" t="inlineStr">
        <is>
          <t>Sheffield, England, UK</t>
        </is>
      </c>
      <c r="G1356" s="8" t="n"/>
      <c r="H1356" s="14" t="n"/>
      <c r="I1356" s="15">
        <f>IF($H1356="","",$H1356-TODAY())</f>
        <v/>
      </c>
      <c r="J1356" s="16" t="inlineStr">
        <is>
          <t>Open posting</t>
        </is>
      </c>
      <c r="K1356" s="8" t="inlineStr">
        <is>
          <t>filtered by keyword pre-scan</t>
        </is>
      </c>
      <c r="L1356" s="17" t="inlineStr">
        <is>
          <t>new</t>
        </is>
      </c>
      <c r="M1356" s="18" t="inlineStr"/>
      <c r="N1356" s="7" t="inlineStr">
        <is>
          <t>c4a00a711aff2e457d242e1773c82df6d1c2d788</t>
        </is>
      </c>
      <c r="O1356" s="14" t="n">
        <v>46175</v>
      </c>
      <c r="P1356" s="7" t="inlineStr">
        <is>
          <t>jobspy</t>
        </is>
      </c>
      <c r="Q1356" s="8" t="inlineStr">
        <is>
          <t>javascript</t>
        </is>
      </c>
      <c r="R1356" s="8" t="inlineStr">
        <is>
          <t>Junior Python Developer Sheffield</t>
        </is>
      </c>
      <c r="S1356" s="19" t="n"/>
      <c r="T1356" s="19" t="n"/>
      <c r="U1356" s="14" t="n">
        <v>46191</v>
      </c>
      <c r="V1356" s="7" t="inlineStr">
        <is>
          <t>v2-cv-accuracy-13b988b18da8ea7d</t>
        </is>
      </c>
    </row>
    <row r="1357" ht="28" customHeight="1">
      <c r="A1357" s="12">
        <f>IF($L1357="applied","Applied",IF($L1357="interview","Interview",IF($L1357="offer","Offer",IF($L1357="rejected","Rejected",IF($L1357="ignore","Ignore",IF($L1357="archive","Archive",IF($L1357="closed","Closed",IF($B1357="","Unscored",IF(AND($B1357&gt;=8,OR($H1357="",$H1357-TODAY()&lt;=14)),"P1 Apply",IF($B1357&gt;=7,"P2 Strong",IF($B1357&gt;=5,"P3 Maybe","P4 Low")))))))))))</f>
        <v/>
      </c>
      <c r="B1357" s="13" t="n">
        <v>0.82</v>
      </c>
      <c r="C1357" s="12" t="inlineStr">
        <is>
          <t>Mid-level</t>
        </is>
      </c>
      <c r="D1357" s="8" t="inlineStr">
        <is>
          <t>Full Stack Software Engineer</t>
        </is>
      </c>
      <c r="E1357" s="7" t="inlineStr">
        <is>
          <t>Duku AI</t>
        </is>
      </c>
      <c r="F1357" s="8" t="inlineStr">
        <is>
          <t>London, England, UK</t>
        </is>
      </c>
      <c r="G1357" s="8" t="n"/>
      <c r="H1357" s="14" t="n"/>
      <c r="I1357" s="15">
        <f>IF($H1357="","",$H1357-TODAY())</f>
        <v/>
      </c>
      <c r="J1357" s="16" t="inlineStr">
        <is>
          <t>Open posting</t>
        </is>
      </c>
      <c r="K1357" s="8" t="inlineStr">
        <is>
          <t>filtered by keyword pre-scan</t>
        </is>
      </c>
      <c r="L1357" s="17" t="inlineStr">
        <is>
          <t>new</t>
        </is>
      </c>
      <c r="M1357" s="18" t="inlineStr"/>
      <c r="N1357" s="7" t="inlineStr">
        <is>
          <t>f28d2a26856cb768e6dc161eb03eba742af06bf8</t>
        </is>
      </c>
      <c r="O1357" s="14" t="n">
        <v>46183</v>
      </c>
      <c r="P1357" s="7" t="inlineStr">
        <is>
          <t>jobspy</t>
        </is>
      </c>
      <c r="Q1357" s="8" t="inlineStr">
        <is>
          <t>python</t>
        </is>
      </c>
      <c r="R1357" s="8" t="inlineStr">
        <is>
          <t>Full Stack Developer</t>
        </is>
      </c>
      <c r="S1357" s="19" t="n"/>
      <c r="T1357" s="19" t="n"/>
      <c r="U1357" s="14" t="n">
        <v>46191</v>
      </c>
      <c r="V1357" s="7" t="inlineStr">
        <is>
          <t>v2-cv-accuracy-13b988b18da8ea7d</t>
        </is>
      </c>
    </row>
    <row r="1358" ht="28" customHeight="1">
      <c r="A1358" s="12">
        <f>IF($L1358="applied","Applied",IF($L1358="interview","Interview",IF($L1358="offer","Offer",IF($L1358="rejected","Rejected",IF($L1358="ignore","Ignore",IF($L1358="archive","Archive",IF($L1358="closed","Closed",IF($B1358="","Unscored",IF(AND($B1358&gt;=8,OR($H1358="",$H1358-TODAY()&lt;=14)),"P1 Apply",IF($B1358&gt;=7,"P2 Strong",IF($B1358&gt;=5,"P3 Maybe","P4 Low")))))))))))</f>
        <v/>
      </c>
      <c r="B1358" s="13" t="n">
        <v>0.82</v>
      </c>
      <c r="C1358" s="12" t="inlineStr">
        <is>
          <t>Senior/Lead</t>
        </is>
      </c>
      <c r="D1358" s="8" t="inlineStr">
        <is>
          <t>Frontend Developer</t>
        </is>
      </c>
      <c r="E1358" s="7" t="inlineStr">
        <is>
          <t>Synthesia</t>
        </is>
      </c>
      <c r="F1358" s="8" t="inlineStr"/>
      <c r="G1358" s="8" t="n"/>
      <c r="H1358" s="14" t="n"/>
      <c r="I1358" s="15">
        <f>IF($H1358="","",$H1358-TODAY())</f>
        <v/>
      </c>
      <c r="J1358" s="16" t="inlineStr">
        <is>
          <t>Open posting</t>
        </is>
      </c>
      <c r="K1358" s="8" t="inlineStr">
        <is>
          <t>filtered by keyword pre-scan</t>
        </is>
      </c>
      <c r="L1358" s="17" t="inlineStr">
        <is>
          <t>new</t>
        </is>
      </c>
      <c r="M1358" s="18" t="inlineStr"/>
      <c r="N1358" s="7" t="inlineStr">
        <is>
          <t>f694baf1aab816496802197797623eb8a539d6e2</t>
        </is>
      </c>
      <c r="O1358" s="14" t="n">
        <v>46178</v>
      </c>
      <c r="P1358" s="7" t="inlineStr">
        <is>
          <t>jobspy</t>
        </is>
      </c>
      <c r="Q1358" s="8" t="inlineStr">
        <is>
          <t>python</t>
        </is>
      </c>
      <c r="R1358" s="8" t="inlineStr">
        <is>
          <t>Full Stack Developer</t>
        </is>
      </c>
      <c r="S1358" s="19" t="n"/>
      <c r="T1358" s="19" t="n"/>
      <c r="U1358" s="14" t="n">
        <v>46191</v>
      </c>
      <c r="V1358" s="7" t="inlineStr">
        <is>
          <t>v2-cv-accuracy-13b988b18da8ea7d</t>
        </is>
      </c>
    </row>
    <row r="1359" ht="28" customHeight="1">
      <c r="A1359" s="12">
        <f>IF($L1359="applied","Applied",IF($L1359="interview","Interview",IF($L1359="offer","Offer",IF($L1359="rejected","Rejected",IF($L1359="ignore","Ignore",IF($L1359="archive","Archive",IF($L1359="closed","Closed",IF($B1359="","Unscored",IF(AND($B1359&gt;=8,OR($H1359="",$H1359-TODAY()&lt;=14)),"P1 Apply",IF($B1359&gt;=7,"P2 Strong",IF($B1359&gt;=5,"P3 Maybe","P4 Low")))))))))))</f>
        <v/>
      </c>
      <c r="B1359" s="13" t="n">
        <v>0.82</v>
      </c>
      <c r="C1359" s="12" t="inlineStr">
        <is>
          <t>Junior</t>
        </is>
      </c>
      <c r="D1359" s="8" t="inlineStr">
        <is>
          <t>Web Developer (React) | Remote</t>
        </is>
      </c>
      <c r="E1359" s="7" t="inlineStr">
        <is>
          <t>Crossing Hurdles</t>
        </is>
      </c>
      <c r="F1359" s="8" t="inlineStr"/>
      <c r="G1359" s="8" t="n"/>
      <c r="H1359" s="14" t="n"/>
      <c r="I1359" s="15">
        <f>IF($H1359="","",$H1359-TODAY())</f>
        <v/>
      </c>
      <c r="J1359" s="16" t="inlineStr">
        <is>
          <t>Open posting</t>
        </is>
      </c>
      <c r="K1359" s="8" t="inlineStr">
        <is>
          <t>filtered by keyword pre-scan</t>
        </is>
      </c>
      <c r="L1359" s="17" t="inlineStr">
        <is>
          <t>new</t>
        </is>
      </c>
      <c r="M1359" s="18" t="inlineStr"/>
      <c r="N1359" s="7" t="inlineStr">
        <is>
          <t>8d18ee8a6a4700fb933d7235ecc84c87f9e67c53</t>
        </is>
      </c>
      <c r="O1359" s="14" t="n">
        <v>46178</v>
      </c>
      <c r="P1359" s="7" t="inlineStr">
        <is>
          <t>jobspy</t>
        </is>
      </c>
      <c r="Q1359" s="8" t="inlineStr">
        <is>
          <t>javascript</t>
        </is>
      </c>
      <c r="R1359" s="8" t="inlineStr">
        <is>
          <t>junior Full Stack Developer</t>
        </is>
      </c>
      <c r="S1359" s="19" t="n"/>
      <c r="T1359" s="19" t="n"/>
      <c r="U1359" s="14" t="n">
        <v>46191</v>
      </c>
      <c r="V1359" s="7" t="inlineStr">
        <is>
          <t>v2-cv-accuracy-13b988b18da8ea7d</t>
        </is>
      </c>
    </row>
    <row r="1360" ht="28" customHeight="1">
      <c r="A1360" s="12">
        <f>IF($L1360="applied","Applied",IF($L1360="interview","Interview",IF($L1360="offer","Offer",IF($L1360="rejected","Rejected",IF($L1360="ignore","Ignore",IF($L1360="archive","Archive",IF($L1360="closed","Closed",IF($B1360="","Unscored",IF(AND($B1360&gt;=8,OR($H1360="",$H1360-TODAY()&lt;=14)),"P1 Apply",IF($B1360&gt;=7,"P2 Strong",IF($B1360&gt;=5,"P3 Maybe","P4 Low")))))))))))</f>
        <v/>
      </c>
      <c r="B1360" s="13" t="n">
        <v>0.82</v>
      </c>
      <c r="C1360" s="12" t="inlineStr">
        <is>
          <t>Graduate/Entry</t>
        </is>
      </c>
      <c r="D1360" s="8" t="inlineStr">
        <is>
          <t>Graduate Software Engineer</t>
        </is>
      </c>
      <c r="E1360" s="7" t="inlineStr">
        <is>
          <t>GRAYCE</t>
        </is>
      </c>
      <c r="F1360" s="8" t="inlineStr">
        <is>
          <t>Liverpool, England, UK</t>
        </is>
      </c>
      <c r="G1360" s="8" t="n"/>
      <c r="H1360" s="14" t="n"/>
      <c r="I1360" s="15">
        <f>IF($H1360="","",$H1360-TODAY())</f>
        <v/>
      </c>
      <c r="J1360" s="16" t="inlineStr">
        <is>
          <t>Open posting</t>
        </is>
      </c>
      <c r="K1360" s="8" t="inlineStr">
        <is>
          <t>filtered by keyword pre-scan</t>
        </is>
      </c>
      <c r="L1360" s="17" t="inlineStr">
        <is>
          <t>new</t>
        </is>
      </c>
      <c r="M1360" s="18" t="inlineStr"/>
      <c r="N1360" s="7" t="inlineStr">
        <is>
          <t>47a549c39878e3e1c8d849455b7b8a1005a54704</t>
        </is>
      </c>
      <c r="O1360" s="14" t="n">
        <v>46182</v>
      </c>
      <c r="P1360" s="7" t="inlineStr">
        <is>
          <t>jobspy</t>
        </is>
      </c>
      <c r="Q1360" s="8" t="inlineStr">
        <is>
          <t>git</t>
        </is>
      </c>
      <c r="R1360" s="8" t="inlineStr">
        <is>
          <t>entry level Graduate Software Developer</t>
        </is>
      </c>
      <c r="S1360" s="19" t="n"/>
      <c r="T1360" s="19" t="n"/>
      <c r="U1360" s="14" t="n">
        <v>46191</v>
      </c>
      <c r="V1360" s="7" t="inlineStr">
        <is>
          <t>v2-cv-accuracy-13b988b18da8ea7d</t>
        </is>
      </c>
    </row>
    <row r="1361" ht="28" customHeight="1">
      <c r="A1361" s="12">
        <f>IF($L1361="applied","Applied",IF($L1361="interview","Interview",IF($L1361="offer","Offer",IF($L1361="rejected","Rejected",IF($L1361="ignore","Ignore",IF($L1361="archive","Archive",IF($L1361="closed","Closed",IF($B1361="","Unscored",IF(AND($B1361&gt;=8,OR($H1361="",$H1361-TODAY()&lt;=14)),"P1 Apply",IF($B1361&gt;=7,"P2 Strong",IF($B1361&gt;=5,"P3 Maybe","P4 Low")))))))))))</f>
        <v/>
      </c>
      <c r="B1361" s="13" t="n">
        <v>0.82</v>
      </c>
      <c r="C1361" s="12" t="inlineStr">
        <is>
          <t>Senior/Lead</t>
        </is>
      </c>
      <c r="D1361" s="8" t="inlineStr">
        <is>
          <t>Python Developer</t>
        </is>
      </c>
      <c r="E1361" s="7" t="inlineStr">
        <is>
          <t>Vertus Partners</t>
        </is>
      </c>
      <c r="F1361" s="8" t="inlineStr">
        <is>
          <t>London Area, United Kingdom</t>
        </is>
      </c>
      <c r="G1361" s="8" t="n"/>
      <c r="H1361" s="14" t="n"/>
      <c r="I1361" s="15">
        <f>IF($H1361="","",$H1361-TODAY())</f>
        <v/>
      </c>
      <c r="J1361" s="16" t="inlineStr">
        <is>
          <t>Open posting</t>
        </is>
      </c>
      <c r="K1361" s="8" t="inlineStr">
        <is>
          <t>filtered by keyword pre-scan</t>
        </is>
      </c>
      <c r="L1361" s="17" t="inlineStr">
        <is>
          <t>new</t>
        </is>
      </c>
      <c r="M1361" s="18" t="inlineStr"/>
      <c r="N1361" s="7" t="inlineStr">
        <is>
          <t>a59609d6a2bfec76553ef6fd1d97e4de43a4cc40</t>
        </is>
      </c>
      <c r="O1361" s="14" t="n">
        <v>46169</v>
      </c>
      <c r="P1361" s="7" t="inlineStr">
        <is>
          <t>jobspy</t>
        </is>
      </c>
      <c r="Q1361" s="8" t="inlineStr">
        <is>
          <t>python</t>
        </is>
      </c>
      <c r="R1361" s="8" t="inlineStr">
        <is>
          <t>Junior Python Developer</t>
        </is>
      </c>
      <c r="S1361" s="19" t="n"/>
      <c r="T1361" s="19" t="n"/>
      <c r="U1361" s="14" t="n">
        <v>46191</v>
      </c>
      <c r="V1361" s="7" t="inlineStr">
        <is>
          <t>v2-cv-accuracy-13b988b18da8ea7d</t>
        </is>
      </c>
    </row>
    <row r="1362" ht="28" customHeight="1">
      <c r="A1362" s="12">
        <f>IF($L1362="applied","Applied",IF($L1362="interview","Interview",IF($L1362="offer","Offer",IF($L1362="rejected","Rejected",IF($L1362="ignore","Ignore",IF($L1362="archive","Archive",IF($L1362="closed","Closed",IF($B1362="","Unscored",IF(AND($B1362&gt;=8,OR($H1362="",$H1362-TODAY()&lt;=14)),"P1 Apply",IF($B1362&gt;=7,"P2 Strong",IF($B1362&gt;=5,"P3 Maybe","P4 Low")))))))))))</f>
        <v/>
      </c>
      <c r="B1362" s="13" t="n">
        <v>0.82</v>
      </c>
      <c r="C1362" s="12" t="inlineStr">
        <is>
          <t>Junior</t>
        </is>
      </c>
      <c r="D1362" s="8" t="inlineStr">
        <is>
          <t>Software Engineer</t>
        </is>
      </c>
      <c r="E1362" s="7" t="inlineStr">
        <is>
          <t>Technify Talent</t>
        </is>
      </c>
      <c r="F1362" s="8" t="inlineStr">
        <is>
          <t>Cambridge, England, UK</t>
        </is>
      </c>
      <c r="G1362" s="8" t="n"/>
      <c r="H1362" s="14" t="n"/>
      <c r="I1362" s="15">
        <f>IF($H1362="","",$H1362-TODAY())</f>
        <v/>
      </c>
      <c r="J1362" s="16" t="inlineStr">
        <is>
          <t>Open posting</t>
        </is>
      </c>
      <c r="K1362" s="8" t="inlineStr">
        <is>
          <t>filtered by keyword pre-scan</t>
        </is>
      </c>
      <c r="L1362" s="17" t="inlineStr">
        <is>
          <t>new</t>
        </is>
      </c>
      <c r="M1362" s="18" t="inlineStr"/>
      <c r="N1362" s="7" t="inlineStr">
        <is>
          <t>5113b7e9d9459367dc92ed07e5885862dff186e9</t>
        </is>
      </c>
      <c r="O1362" s="14" t="n">
        <v>46188</v>
      </c>
      <c r="P1362" s="7" t="inlineStr">
        <is>
          <t>jobspy</t>
        </is>
      </c>
      <c r="Q1362" s="8" t="inlineStr">
        <is>
          <t>python</t>
        </is>
      </c>
      <c r="R1362" s="8" t="inlineStr">
        <is>
          <t>graduate Junior Python Developer</t>
        </is>
      </c>
      <c r="S1362" s="19" t="n"/>
      <c r="T1362" s="19" t="n"/>
      <c r="U1362" s="14" t="n">
        <v>46191</v>
      </c>
      <c r="V1362" s="7" t="inlineStr">
        <is>
          <t>v2-cv-accuracy-13b988b18da8ea7d</t>
        </is>
      </c>
    </row>
    <row r="1363" ht="28" customHeight="1">
      <c r="A1363" s="12">
        <f>IF($L1363="applied","Applied",IF($L1363="interview","Interview",IF($L1363="offer","Offer",IF($L1363="rejected","Rejected",IF($L1363="ignore","Ignore",IF($L1363="archive","Archive",IF($L1363="closed","Closed",IF($B1363="","Unscored",IF(AND($B1363&gt;=8,OR($H1363="",$H1363-TODAY()&lt;=14)),"P1 Apply",IF($B1363&gt;=7,"P2 Strong",IF($B1363&gt;=5,"P3 Maybe","P4 Low")))))))))))</f>
        <v/>
      </c>
      <c r="B1363" s="13" t="n">
        <v>0.82</v>
      </c>
      <c r="C1363" s="12" t="inlineStr">
        <is>
          <t>Unspecified</t>
        </is>
      </c>
      <c r="D1363" s="8" t="inlineStr">
        <is>
          <t>Full Stack Software Developer</t>
        </is>
      </c>
      <c r="E1363" s="7" t="inlineStr">
        <is>
          <t>tombola</t>
        </is>
      </c>
      <c r="F1363" s="8" t="inlineStr">
        <is>
          <t>Sunderland, England, UK</t>
        </is>
      </c>
      <c r="G1363" s="8" t="n"/>
      <c r="H1363" s="14" t="n"/>
      <c r="I1363" s="15">
        <f>IF($H1363="","",$H1363-TODAY())</f>
        <v/>
      </c>
      <c r="J1363" s="16" t="inlineStr">
        <is>
          <t>Open posting</t>
        </is>
      </c>
      <c r="K1363" s="8" t="inlineStr">
        <is>
          <t>filtered by keyword pre-scan</t>
        </is>
      </c>
      <c r="L1363" s="17" t="inlineStr">
        <is>
          <t>new</t>
        </is>
      </c>
      <c r="M1363" s="18" t="inlineStr"/>
      <c r="N1363" s="7" t="inlineStr">
        <is>
          <t>a18aa2e02092256a7ef78a19d724fc5291ae6acf</t>
        </is>
      </c>
      <c r="O1363" s="14" t="n">
        <v>46185</v>
      </c>
      <c r="P1363" s="7" t="inlineStr">
        <is>
          <t>jobspy</t>
        </is>
      </c>
      <c r="Q1363" s="8" t="inlineStr">
        <is>
          <t>software development</t>
        </is>
      </c>
      <c r="R1363" s="8" t="inlineStr">
        <is>
          <t>Full Stack Developer Sheffield</t>
        </is>
      </c>
      <c r="S1363" s="19" t="n"/>
      <c r="T1363" s="19" t="n"/>
      <c r="U1363" s="14" t="n">
        <v>46191</v>
      </c>
      <c r="V1363" s="7" t="inlineStr">
        <is>
          <t>v2-cv-accuracy-13b988b18da8ea7d</t>
        </is>
      </c>
    </row>
    <row r="1364" ht="28" customHeight="1">
      <c r="A1364" s="12">
        <f>IF($L1364="applied","Applied",IF($L1364="interview","Interview",IF($L1364="offer","Offer",IF($L1364="rejected","Rejected",IF($L1364="ignore","Ignore",IF($L1364="archive","Archive",IF($L1364="closed","Closed",IF($B1364="","Unscored",IF(AND($B1364&gt;=8,OR($H1364="",$H1364-TODAY()&lt;=14)),"P1 Apply",IF($B1364&gt;=7,"P2 Strong",IF($B1364&gt;=5,"P3 Maybe","P4 Low")))))))))))</f>
        <v/>
      </c>
      <c r="B1364" s="13" t="n">
        <v>0.82</v>
      </c>
      <c r="C1364" s="12" t="inlineStr">
        <is>
          <t>Unspecified</t>
        </is>
      </c>
      <c r="D1364" s="8" t="inlineStr">
        <is>
          <t>DevSecOps Engineer</t>
        </is>
      </c>
      <c r="E1364" s="7" t="inlineStr">
        <is>
          <t>Typeform</t>
        </is>
      </c>
      <c r="F1364" s="8" t="inlineStr">
        <is>
          <t>Ireland (Remote); Netherlands (Remote) ; United Kingdom (Remote)</t>
        </is>
      </c>
      <c r="G1364" s="8" t="n"/>
      <c r="H1364" s="14" t="n"/>
      <c r="I1364" s="15">
        <f>IF($H1364="","",$H1364-TODAY())</f>
        <v/>
      </c>
      <c r="J1364" s="16" t="inlineStr">
        <is>
          <t>Open posting</t>
        </is>
      </c>
      <c r="K1364" s="8" t="inlineStr">
        <is>
          <t>filtered by keyword pre-scan</t>
        </is>
      </c>
      <c r="L1364" s="17" t="inlineStr">
        <is>
          <t>new</t>
        </is>
      </c>
      <c r="M1364" s="18" t="inlineStr"/>
      <c r="N1364" s="7" t="inlineStr">
        <is>
          <t>397041ef1f7da4e03d9e637dedeab321e2144f16</t>
        </is>
      </c>
      <c r="O1364" s="14" t="n">
        <v>46191</v>
      </c>
      <c r="P1364" s="7" t="inlineStr">
        <is>
          <t>greenhouse:typeform</t>
        </is>
      </c>
      <c r="Q1364" s="8" t="inlineStr"/>
      <c r="R1364" s="8" t="n"/>
      <c r="S1364" s="19" t="n"/>
      <c r="T1364" s="19" t="n"/>
      <c r="U1364" s="14" t="n">
        <v>46191</v>
      </c>
      <c r="V1364" s="7" t="inlineStr">
        <is>
          <t>v2-cv-accuracy-13b988b18da8ea7d</t>
        </is>
      </c>
    </row>
    <row r="1365" ht="28" customHeight="1">
      <c r="A1365" s="12">
        <f>IF($L1365="applied","Applied",IF($L1365="interview","Interview",IF($L1365="offer","Offer",IF($L1365="rejected","Rejected",IF($L1365="ignore","Ignore",IF($L1365="archive","Archive",IF($L1365="closed","Closed",IF($B1365="","Unscored",IF(AND($B1365&gt;=8,OR($H1365="",$H1365-TODAY()&lt;=14)),"P1 Apply",IF($B1365&gt;=7,"P2 Strong",IF($B1365&gt;=5,"P3 Maybe","P4 Low")))))))))))</f>
        <v/>
      </c>
      <c r="B1365" s="13" t="n">
        <v>0.82</v>
      </c>
      <c r="C1365" s="12" t="inlineStr">
        <is>
          <t>Senior/Lead</t>
        </is>
      </c>
      <c r="D1365" s="8" t="inlineStr">
        <is>
          <t>Product Designer - Integration</t>
        </is>
      </c>
      <c r="E1365" s="7" t="inlineStr">
        <is>
          <t>Typeform</t>
        </is>
      </c>
      <c r="F1365" s="8" t="inlineStr">
        <is>
          <t>Germany (Remote) ; Ireland (Remote); Netherlands (Remote) ; Portugal (Remote) ; Spain (Remote) ; United Kingdom (Remote)</t>
        </is>
      </c>
      <c r="G1365" s="8" t="n"/>
      <c r="H1365" s="14" t="n"/>
      <c r="I1365" s="15">
        <f>IF($H1365="","",$H1365-TODAY())</f>
        <v/>
      </c>
      <c r="J1365" s="16" t="inlineStr">
        <is>
          <t>Open posting</t>
        </is>
      </c>
      <c r="K1365" s="8" t="inlineStr">
        <is>
          <t>filtered by keyword pre-scan</t>
        </is>
      </c>
      <c r="L1365" s="17" t="inlineStr">
        <is>
          <t>new</t>
        </is>
      </c>
      <c r="M1365" s="18" t="inlineStr"/>
      <c r="N1365" s="7" t="inlineStr">
        <is>
          <t>cc725c0524de9b6a2d93239a0ee57bca939fc095</t>
        </is>
      </c>
      <c r="O1365" s="14" t="n">
        <v>46191</v>
      </c>
      <c r="P1365" s="7" t="inlineStr">
        <is>
          <t>greenhouse:typeform</t>
        </is>
      </c>
      <c r="Q1365" s="8" t="inlineStr">
        <is>
          <t>git</t>
        </is>
      </c>
      <c r="R1365" s="8" t="n"/>
      <c r="S1365" s="19" t="n"/>
      <c r="T1365" s="19" t="n"/>
      <c r="U1365" s="14" t="n">
        <v>46191</v>
      </c>
      <c r="V1365" s="7" t="inlineStr">
        <is>
          <t>v2-cv-accuracy-13b988b18da8ea7d</t>
        </is>
      </c>
    </row>
    <row r="1366" ht="28" customHeight="1">
      <c r="A1366" s="12">
        <f>IF($L1366="applied","Applied",IF($L1366="interview","Interview",IF($L1366="offer","Offer",IF($L1366="rejected","Rejected",IF($L1366="ignore","Ignore",IF($L1366="archive","Archive",IF($L1366="closed","Closed",IF($B1366="","Unscored",IF(AND($B1366&gt;=8,OR($H1366="",$H1366-TODAY()&lt;=14)),"P1 Apply",IF($B1366&gt;=7,"P2 Strong",IF($B1366&gt;=5,"P3 Maybe","P4 Low")))))))))))</f>
        <v/>
      </c>
      <c r="B1366" s="13" t="n">
        <v>0.82</v>
      </c>
      <c r="C1366" s="12" t="inlineStr">
        <is>
          <t>Junior</t>
        </is>
      </c>
      <c r="D1366" s="8" t="inlineStr">
        <is>
          <t>Software Engineer</t>
        </is>
      </c>
      <c r="E1366" s="7" t="inlineStr">
        <is>
          <t>hackajob</t>
        </is>
      </c>
      <c r="F1366" s="8" t="inlineStr">
        <is>
          <t>Manchester, England, UK</t>
        </is>
      </c>
      <c r="G1366" s="8" t="n"/>
      <c r="H1366" s="14" t="n"/>
      <c r="I1366" s="15">
        <f>IF($H1366="","",$H1366-TODAY())</f>
        <v/>
      </c>
      <c r="J1366" s="16" t="inlineStr">
        <is>
          <t>Open posting</t>
        </is>
      </c>
      <c r="K1366" s="8" t="inlineStr">
        <is>
          <t>filtered by keyword pre-scan</t>
        </is>
      </c>
      <c r="L1366" s="17" t="inlineStr">
        <is>
          <t>new</t>
        </is>
      </c>
      <c r="M1366" s="18" t="inlineStr"/>
      <c r="N1366" s="7" t="inlineStr">
        <is>
          <t>c766ea7f424a1630b3a3bb0c58685f5ae8b5f4cd</t>
        </is>
      </c>
      <c r="O1366" s="14" t="n">
        <v>46185</v>
      </c>
      <c r="P1366" s="7" t="inlineStr">
        <is>
          <t>jobspy</t>
        </is>
      </c>
      <c r="Q1366" s="8" t="inlineStr">
        <is>
          <t>git</t>
        </is>
      </c>
      <c r="R1366" s="8" t="inlineStr">
        <is>
          <t>Graduate Software Developer Sheffield</t>
        </is>
      </c>
      <c r="S1366" s="19" t="n"/>
      <c r="T1366" s="19" t="n"/>
      <c r="U1366" s="14" t="n">
        <v>46191</v>
      </c>
      <c r="V1366" s="7" t="inlineStr">
        <is>
          <t>v2-cv-accuracy-13b988b18da8ea7d</t>
        </is>
      </c>
    </row>
    <row r="1367" ht="28" customHeight="1">
      <c r="A1367" s="12">
        <f>IF($L1367="applied","Applied",IF($L1367="interview","Interview",IF($L1367="offer","Offer",IF($L1367="rejected","Rejected",IF($L1367="ignore","Ignore",IF($L1367="archive","Archive",IF($L1367="closed","Closed",IF($B1367="","Unscored",IF(AND($B1367&gt;=8,OR($H1367="",$H1367-TODAY()&lt;=14)),"P1 Apply",IF($B1367&gt;=7,"P2 Strong",IF($B1367&gt;=5,"P3 Maybe","P4 Low")))))))))))</f>
        <v/>
      </c>
      <c r="B1367" s="13" t="n">
        <v>0.82</v>
      </c>
      <c r="C1367" s="12" t="inlineStr">
        <is>
          <t>Senior/Lead</t>
        </is>
      </c>
      <c r="D1367" s="8" t="inlineStr">
        <is>
          <t>Developer</t>
        </is>
      </c>
      <c r="E1367" s="7" t="inlineStr">
        <is>
          <t>Heywood</t>
        </is>
      </c>
      <c r="F1367" s="8" t="inlineStr">
        <is>
          <t>Altrincham, England, UK</t>
        </is>
      </c>
      <c r="G1367" s="8" t="n"/>
      <c r="H1367" s="14" t="n"/>
      <c r="I1367" s="15">
        <f>IF($H1367="","",$H1367-TODAY())</f>
        <v/>
      </c>
      <c r="J1367" s="16" t="inlineStr">
        <is>
          <t>Open posting</t>
        </is>
      </c>
      <c r="K1367" s="8" t="inlineStr">
        <is>
          <t>filtered by keyword pre-scan</t>
        </is>
      </c>
      <c r="L1367" s="17" t="inlineStr">
        <is>
          <t>new</t>
        </is>
      </c>
      <c r="M1367" s="18" t="inlineStr"/>
      <c r="N1367" s="7" t="inlineStr">
        <is>
          <t>dfc52e4e96cf4055f1c1ace76e063897ee5fa722</t>
        </is>
      </c>
      <c r="O1367" s="14" t="n">
        <v>46171</v>
      </c>
      <c r="P1367" s="7" t="inlineStr">
        <is>
          <t>jobspy</t>
        </is>
      </c>
      <c r="Q1367" s="8" t="inlineStr"/>
      <c r="R1367" s="8" t="inlineStr">
        <is>
          <t>graduate Graduate Software Developer</t>
        </is>
      </c>
      <c r="S1367" s="19" t="n"/>
      <c r="T1367" s="19" t="n"/>
      <c r="U1367" s="14" t="n">
        <v>46191</v>
      </c>
      <c r="V1367" s="7" t="inlineStr">
        <is>
          <t>v2-cv-accuracy-13b988b18da8ea7d</t>
        </is>
      </c>
    </row>
    <row r="1368" ht="28" customHeight="1">
      <c r="A1368" s="12">
        <f>IF($L1368="applied","Applied",IF($L1368="interview","Interview",IF($L1368="offer","Offer",IF($L1368="rejected","Rejected",IF($L1368="ignore","Ignore",IF($L1368="archive","Archive",IF($L1368="closed","Closed",IF($B1368="","Unscored",IF(AND($B1368&gt;=8,OR($H1368="",$H1368-TODAY()&lt;=14)),"P1 Apply",IF($B1368&gt;=7,"P2 Strong",IF($B1368&gt;=5,"P3 Maybe","P4 Low")))))))))))</f>
        <v/>
      </c>
      <c r="B1368" s="13" t="n">
        <v>0.82</v>
      </c>
      <c r="C1368" s="12" t="inlineStr">
        <is>
          <t>Senior/Lead</t>
        </is>
      </c>
      <c r="D1368" s="8" t="inlineStr">
        <is>
          <t>Software Engineer - Python</t>
        </is>
      </c>
      <c r="E1368" s="7" t="inlineStr">
        <is>
          <t>Dale Consulting</t>
        </is>
      </c>
      <c r="F1368" s="8" t="inlineStr">
        <is>
          <t>Milan, Lombardy, Italy</t>
        </is>
      </c>
      <c r="G1368" s="8" t="n"/>
      <c r="H1368" s="14" t="n"/>
      <c r="I1368" s="15">
        <f>IF($H1368="","",$H1368-TODAY())</f>
        <v/>
      </c>
      <c r="J1368" s="16" t="inlineStr">
        <is>
          <t>Open posting</t>
        </is>
      </c>
      <c r="K1368" s="8" t="inlineStr">
        <is>
          <t>filtered by keyword pre-scan</t>
        </is>
      </c>
      <c r="L1368" s="17" t="inlineStr">
        <is>
          <t>new</t>
        </is>
      </c>
      <c r="M1368" s="18" t="inlineStr"/>
      <c r="N1368" s="7" t="inlineStr">
        <is>
          <t>7f6bc6fd69d3e55f64d5dd9bc4b6e9e31f2942ae</t>
        </is>
      </c>
      <c r="O1368" s="14" t="n">
        <v>46182</v>
      </c>
      <c r="P1368" s="7" t="inlineStr">
        <is>
          <t>jobspy</t>
        </is>
      </c>
      <c r="Q1368" s="8" t="inlineStr">
        <is>
          <t>python</t>
        </is>
      </c>
      <c r="R1368" s="8" t="inlineStr">
        <is>
          <t>junior/graduate Junior Python Developer</t>
        </is>
      </c>
      <c r="S1368" s="19" t="n"/>
      <c r="T1368" s="19" t="n"/>
      <c r="U1368" s="14" t="n">
        <v>46191</v>
      </c>
      <c r="V1368" s="7" t="inlineStr">
        <is>
          <t>v2-cv-accuracy-13b988b18da8ea7d</t>
        </is>
      </c>
    </row>
    <row r="1369" ht="28" customHeight="1">
      <c r="A1369" s="12">
        <f>IF($L1369="applied","Applied",IF($L1369="interview","Interview",IF($L1369="offer","Offer",IF($L1369="rejected","Rejected",IF($L1369="ignore","Ignore",IF($L1369="archive","Archive",IF($L1369="closed","Closed",IF($B1369="","Unscored",IF(AND($B1369&gt;=8,OR($H1369="",$H1369-TODAY()&lt;=14)),"P1 Apply",IF($B1369&gt;=7,"P2 Strong",IF($B1369&gt;=5,"P3 Maybe","P4 Low")))))))))))</f>
        <v/>
      </c>
      <c r="B1369" s="13" t="n">
        <v>0.82</v>
      </c>
      <c r="C1369" s="12" t="inlineStr">
        <is>
          <t>Unspecified</t>
        </is>
      </c>
      <c r="D1369" s="8" t="inlineStr">
        <is>
          <t>Full Stack Node.js Developer</t>
        </is>
      </c>
      <c r="E1369" s="7" t="inlineStr">
        <is>
          <t>SR2 | Socially Responsible Recruitment | Certified B Corporation™</t>
        </is>
      </c>
      <c r="F1369" s="8" t="inlineStr">
        <is>
          <t>Reading, England, UK</t>
        </is>
      </c>
      <c r="G1369" s="8" t="n"/>
      <c r="H1369" s="14" t="n"/>
      <c r="I1369" s="15">
        <f>IF($H1369="","",$H1369-TODAY())</f>
        <v/>
      </c>
      <c r="J1369" s="16" t="inlineStr">
        <is>
          <t>Open posting</t>
        </is>
      </c>
      <c r="K1369" s="8" t="inlineStr">
        <is>
          <t>filtered by keyword pre-scan</t>
        </is>
      </c>
      <c r="L1369" s="17" t="inlineStr">
        <is>
          <t>new</t>
        </is>
      </c>
      <c r="M1369" s="18" t="inlineStr"/>
      <c r="N1369" s="7" t="inlineStr">
        <is>
          <t>3158441396d2a2cbee5055abe17d38ac32bfe82c</t>
        </is>
      </c>
      <c r="O1369" s="14" t="n">
        <v>46176</v>
      </c>
      <c r="P1369" s="7" t="inlineStr">
        <is>
          <t>jobspy</t>
        </is>
      </c>
      <c r="Q1369" s="8" t="inlineStr"/>
      <c r="R1369" s="8" t="inlineStr">
        <is>
          <t>Full Stack Developer</t>
        </is>
      </c>
      <c r="S1369" s="19" t="n"/>
      <c r="T1369" s="19" t="n"/>
      <c r="U1369" s="14" t="n">
        <v>46191</v>
      </c>
      <c r="V1369" s="7" t="inlineStr">
        <is>
          <t>v2-cv-accuracy-13b988b18da8ea7d</t>
        </is>
      </c>
    </row>
    <row r="1370" ht="28" customHeight="1">
      <c r="A1370" s="12">
        <f>IF($L1370="applied","Applied",IF($L1370="interview","Interview",IF($L1370="offer","Offer",IF($L1370="rejected","Rejected",IF($L1370="ignore","Ignore",IF($L1370="archive","Archive",IF($L1370="closed","Closed",IF($B1370="","Unscored",IF(AND($B1370&gt;=8,OR($H1370="",$H1370-TODAY()&lt;=14)),"P1 Apply",IF($B1370&gt;=7,"P2 Strong",IF($B1370&gt;=5,"P3 Maybe","P4 Low")))))))))))</f>
        <v/>
      </c>
      <c r="B1370" s="13" t="n">
        <v>0.82</v>
      </c>
      <c r="C1370" s="12" t="inlineStr">
        <is>
          <t>Junior</t>
        </is>
      </c>
      <c r="D1370" s="8" t="inlineStr">
        <is>
          <t>Full Stack Engineer</t>
        </is>
      </c>
      <c r="E1370" s="7" t="inlineStr">
        <is>
          <t>Radar Healthcare</t>
        </is>
      </c>
      <c r="F1370" s="8" t="inlineStr">
        <is>
          <t>Leeds, England, UK</t>
        </is>
      </c>
      <c r="G1370" s="8" t="n"/>
      <c r="H1370" s="14" t="n"/>
      <c r="I1370" s="15">
        <f>IF($H1370="","",$H1370-TODAY())</f>
        <v/>
      </c>
      <c r="J1370" s="16" t="inlineStr">
        <is>
          <t>Open posting</t>
        </is>
      </c>
      <c r="K1370" s="8" t="inlineStr">
        <is>
          <t>filtered by keyword pre-scan</t>
        </is>
      </c>
      <c r="L1370" s="17" t="inlineStr">
        <is>
          <t>new</t>
        </is>
      </c>
      <c r="M1370" s="18" t="inlineStr"/>
      <c r="N1370" s="7" t="inlineStr">
        <is>
          <t>d43f6ee317b4cea5b6d87adca9f66b6fa748aa54</t>
        </is>
      </c>
      <c r="O1370" s="14" t="n">
        <v>46182</v>
      </c>
      <c r="P1370" s="7" t="inlineStr">
        <is>
          <t>jobspy</t>
        </is>
      </c>
      <c r="Q1370" s="8" t="inlineStr">
        <is>
          <t>software development</t>
        </is>
      </c>
      <c r="R1370" s="8" t="inlineStr">
        <is>
          <t>Full Stack Developer Sheffield</t>
        </is>
      </c>
      <c r="S1370" s="19" t="n"/>
      <c r="T1370" s="19" t="n"/>
      <c r="U1370" s="14" t="n">
        <v>46191</v>
      </c>
      <c r="V1370" s="7" t="inlineStr">
        <is>
          <t>v2-cv-accuracy-13b988b18da8ea7d</t>
        </is>
      </c>
    </row>
    <row r="1371" ht="28" customHeight="1">
      <c r="A1371" s="12">
        <f>IF($L1371="applied","Applied",IF($L1371="interview","Interview",IF($L1371="offer","Offer",IF($L1371="rejected","Rejected",IF($L1371="ignore","Ignore",IF($L1371="archive","Archive",IF($L1371="closed","Closed",IF($B1371="","Unscored",IF(AND($B1371&gt;=8,OR($H1371="",$H1371-TODAY()&lt;=14)),"P1 Apply",IF($B1371&gt;=7,"P2 Strong",IF($B1371&gt;=5,"P3 Maybe","P4 Low")))))))))))</f>
        <v/>
      </c>
      <c r="B1371" s="13" t="n">
        <v>0.75</v>
      </c>
      <c r="C1371" s="12" t="inlineStr">
        <is>
          <t>Senior/Lead</t>
        </is>
      </c>
      <c r="D1371" s="8" t="inlineStr">
        <is>
          <t>Pytorch Engineer</t>
        </is>
      </c>
      <c r="E1371" s="7" t="inlineStr">
        <is>
          <t>Graphcore</t>
        </is>
      </c>
      <c r="F1371" s="8" t="inlineStr">
        <is>
          <t>Gdańsk, Pomeranian Voivodeship, Poland</t>
        </is>
      </c>
      <c r="G1371" s="8" t="n"/>
      <c r="H1371" s="14" t="n"/>
      <c r="I1371" s="15">
        <f>IF($H1371="","",$H1371-TODAY())</f>
        <v/>
      </c>
      <c r="J1371" s="16" t="inlineStr">
        <is>
          <t>Open posting</t>
        </is>
      </c>
      <c r="K1371" s="8" t="inlineStr">
        <is>
          <t>filtered by keyword pre-scan</t>
        </is>
      </c>
      <c r="L1371" s="17" t="inlineStr">
        <is>
          <t>new</t>
        </is>
      </c>
      <c r="M1371" s="18" t="inlineStr"/>
      <c r="N1371" s="7" t="inlineStr">
        <is>
          <t>74e02b7c0839a840d2310ee3d14e9f4242228880</t>
        </is>
      </c>
      <c r="O1371" s="14" t="n">
        <v>46198</v>
      </c>
      <c r="P1371" s="7" t="inlineStr">
        <is>
          <t>greenhouse:graphcore</t>
        </is>
      </c>
      <c r="Q1371" s="8" t="inlineStr">
        <is>
          <t>python, c</t>
        </is>
      </c>
      <c r="R1371" s="8" t="n"/>
      <c r="S1371" s="19" t="n"/>
      <c r="T1371" s="19" t="n"/>
      <c r="U1371" s="14" t="n">
        <v>46198</v>
      </c>
      <c r="V1371" s="7" t="inlineStr">
        <is>
          <t>v2-cv-accuracy-13b988b18da8ea7d</t>
        </is>
      </c>
    </row>
    <row r="1372" ht="28" customHeight="1">
      <c r="A1372" s="12">
        <f>IF($L1372="applied","Applied",IF($L1372="interview","Interview",IF($L1372="offer","Offer",IF($L1372="rejected","Rejected",IF($L1372="ignore","Ignore",IF($L1372="archive","Archive",IF($L1372="closed","Closed",IF($B1372="","Unscored",IF(AND($B1372&gt;=8,OR($H1372="",$H1372-TODAY()&lt;=14)),"P1 Apply",IF($B1372&gt;=7,"P2 Strong",IF($B1372&gt;=5,"P3 Maybe","P4 Low")))))))))))</f>
        <v/>
      </c>
      <c r="B1372" s="13" t="n">
        <v>0.75</v>
      </c>
      <c r="C1372" s="12" t="inlineStr">
        <is>
          <t>Mid-level</t>
        </is>
      </c>
      <c r="D1372" s="8" t="inlineStr">
        <is>
          <t>Back End Developer</t>
        </is>
      </c>
      <c r="E1372" s="7" t="inlineStr">
        <is>
          <t>Synapri</t>
        </is>
      </c>
      <c r="F1372" s="8" t="inlineStr">
        <is>
          <t>London Area, United Kingdom</t>
        </is>
      </c>
      <c r="G1372" s="8" t="n"/>
      <c r="H1372" s="14" t="n"/>
      <c r="I1372" s="15">
        <f>IF($H1372="","",$H1372-TODAY())</f>
        <v/>
      </c>
      <c r="J1372" s="16" t="inlineStr">
        <is>
          <t>Open posting</t>
        </is>
      </c>
      <c r="K1372" s="8" t="inlineStr">
        <is>
          <t>filtered by keyword pre-scan</t>
        </is>
      </c>
      <c r="L1372" s="17" t="inlineStr">
        <is>
          <t>new</t>
        </is>
      </c>
      <c r="M1372" s="18" t="inlineStr"/>
      <c r="N1372" s="7" t="inlineStr">
        <is>
          <t>aa9a4fbc1b0fca787b069f8c27a690eca4151ce1</t>
        </is>
      </c>
      <c r="O1372" s="14" t="n">
        <v>46195</v>
      </c>
      <c r="P1372" s="7" t="inlineStr">
        <is>
          <t>jobspy</t>
        </is>
      </c>
      <c r="Q1372" s="8" t="inlineStr">
        <is>
          <t>sql, c</t>
        </is>
      </c>
      <c r="R1372" s="8" t="inlineStr">
        <is>
          <t>Junior Python Developer SQL API integration</t>
        </is>
      </c>
      <c r="S1372" s="19" t="n"/>
      <c r="T1372" s="19" t="n"/>
      <c r="U1372" s="14" t="n">
        <v>46198</v>
      </c>
      <c r="V1372" s="7" t="inlineStr">
        <is>
          <t>v2-cv-accuracy-13b988b18da8ea7d</t>
        </is>
      </c>
    </row>
    <row r="1373" ht="28" customHeight="1">
      <c r="A1373" s="12">
        <f>IF($L1373="applied","Applied",IF($L1373="interview","Interview",IF($L1373="offer","Offer",IF($L1373="rejected","Rejected",IF($L1373="ignore","Ignore",IF($L1373="archive","Archive",IF($L1373="closed","Closed",IF($B1373="","Unscored",IF(AND($B1373&gt;=8,OR($H1373="",$H1373-TODAY()&lt;=14)),"P1 Apply",IF($B1373&gt;=7,"P2 Strong",IF($B1373&gt;=5,"P3 Maybe","P4 Low")))))))))))</f>
        <v/>
      </c>
      <c r="B1373" s="13" t="n">
        <v>0.75</v>
      </c>
      <c r="C1373" s="12" t="inlineStr">
        <is>
          <t>Senior/Lead</t>
        </is>
      </c>
      <c r="D1373" s="8" t="inlineStr">
        <is>
          <t>Machine Learning Platform Engineer</t>
        </is>
      </c>
      <c r="E1373" s="7" t="inlineStr">
        <is>
          <t>Monzo</t>
        </is>
      </c>
      <c r="F1373" s="8" t="inlineStr">
        <is>
          <t>Cardiff, London or Remote (UK)</t>
        </is>
      </c>
      <c r="G1373" s="8" t="n"/>
      <c r="H1373" s="14" t="n"/>
      <c r="I1373" s="15">
        <f>IF($H1373="","",$H1373-TODAY())</f>
        <v/>
      </c>
      <c r="J1373" s="16" t="inlineStr">
        <is>
          <t>Open posting</t>
        </is>
      </c>
      <c r="K1373" s="8" t="inlineStr">
        <is>
          <t>filtered by keyword pre-scan</t>
        </is>
      </c>
      <c r="L1373" s="17" t="inlineStr">
        <is>
          <t>new</t>
        </is>
      </c>
      <c r="M1373" s="18" t="inlineStr"/>
      <c r="N1373" s="7" t="inlineStr">
        <is>
          <t>261372c2dd51e188c8d8f9d14c3bbba719b83bac</t>
        </is>
      </c>
      <c r="O1373" s="14" t="n">
        <v>46198</v>
      </c>
      <c r="P1373" s="7" t="inlineStr">
        <is>
          <t>greenhouse:monzo</t>
        </is>
      </c>
      <c r="Q1373" s="8" t="inlineStr">
        <is>
          <t>python, c</t>
        </is>
      </c>
      <c r="R1373" s="8" t="n"/>
      <c r="S1373" s="19" t="n"/>
      <c r="T1373" s="19" t="n"/>
      <c r="U1373" s="14" t="n">
        <v>46198</v>
      </c>
      <c r="V1373" s="7" t="inlineStr">
        <is>
          <t>v2-cv-accuracy-13b988b18da8ea7d</t>
        </is>
      </c>
    </row>
    <row r="1374" ht="28" customHeight="1">
      <c r="A1374" s="12">
        <f>IF($L1374="applied","Applied",IF($L1374="interview","Interview",IF($L1374="offer","Offer",IF($L1374="rejected","Rejected",IF($L1374="ignore","Ignore",IF($L1374="archive","Archive",IF($L1374="closed","Closed",IF($B1374="","Unscored",IF(AND($B1374&gt;=8,OR($H1374="",$H1374-TODAY()&lt;=14)),"P1 Apply",IF($B1374&gt;=7,"P2 Strong",IF($B1374&gt;=5,"P3 Maybe","P4 Low")))))))))))</f>
        <v/>
      </c>
      <c r="B1374" s="13" t="n">
        <v>0.75</v>
      </c>
      <c r="C1374" s="12" t="inlineStr">
        <is>
          <t>Senior/Lead</t>
        </is>
      </c>
      <c r="D1374" s="8" t="inlineStr">
        <is>
          <t>Software Engineer</t>
        </is>
      </c>
      <c r="E1374" s="7" t="inlineStr">
        <is>
          <t>Forefront RF</t>
        </is>
      </c>
      <c r="F1374" s="8" t="inlineStr">
        <is>
          <t>Cambridge, England, UK</t>
        </is>
      </c>
      <c r="G1374" s="8" t="n"/>
      <c r="H1374" s="14" t="n"/>
      <c r="I1374" s="15">
        <f>IF($H1374="","",$H1374-TODAY())</f>
        <v/>
      </c>
      <c r="J1374" s="16" t="inlineStr">
        <is>
          <t>Open posting</t>
        </is>
      </c>
      <c r="K1374" s="8" t="inlineStr">
        <is>
          <t>filtered by keyword pre-scan</t>
        </is>
      </c>
      <c r="L1374" s="17" t="inlineStr">
        <is>
          <t>new</t>
        </is>
      </c>
      <c r="M1374" s="18" t="inlineStr"/>
      <c r="N1374" s="7" t="inlineStr">
        <is>
          <t>98a072d93acbb4540ad3585047f8b3beda1898e6</t>
        </is>
      </c>
      <c r="O1374" s="14" t="n">
        <v>46172</v>
      </c>
      <c r="P1374" s="7" t="inlineStr">
        <is>
          <t>jobspy</t>
        </is>
      </c>
      <c r="Q1374" s="8" t="inlineStr">
        <is>
          <t>python, c</t>
        </is>
      </c>
      <c r="R1374" s="8" t="inlineStr">
        <is>
          <t>Junior Embedded Software Engineer Python C</t>
        </is>
      </c>
      <c r="S1374" s="19" t="n"/>
      <c r="T1374" s="19" t="n"/>
      <c r="U1374" s="14" t="n">
        <v>46198</v>
      </c>
      <c r="V1374" s="7" t="inlineStr">
        <is>
          <t>v2-cv-accuracy-13b988b18da8ea7d</t>
        </is>
      </c>
    </row>
    <row r="1375" ht="28" customHeight="1">
      <c r="A1375" s="12">
        <f>IF($L1375="applied","Applied",IF($L1375="interview","Interview",IF($L1375="offer","Offer",IF($L1375="rejected","Rejected",IF($L1375="ignore","Ignore",IF($L1375="archive","Archive",IF($L1375="closed","Closed",IF($B1375="","Unscored",IF(AND($B1375&gt;=8,OR($H1375="",$H1375-TODAY()&lt;=14)),"P1 Apply",IF($B1375&gt;=7,"P2 Strong",IF($B1375&gt;=5,"P3 Maybe","P4 Low")))))))))))</f>
        <v/>
      </c>
      <c r="B1375" s="13" t="n">
        <v>0.75</v>
      </c>
      <c r="C1375" s="12" t="inlineStr">
        <is>
          <t>Graduate/Entry</t>
        </is>
      </c>
      <c r="D1375" s="8" t="inlineStr">
        <is>
          <t>Graduate Software Engineer</t>
        </is>
      </c>
      <c r="E1375" s="7" t="inlineStr">
        <is>
          <t>TTN Talent</t>
        </is>
      </c>
      <c r="F1375" s="8" t="inlineStr">
        <is>
          <t>London Area, United Kingdom</t>
        </is>
      </c>
      <c r="G1375" s="8" t="n"/>
      <c r="H1375" s="14" t="n"/>
      <c r="I1375" s="15">
        <f>IF($H1375="","",$H1375-TODAY())</f>
        <v/>
      </c>
      <c r="J1375" s="16" t="inlineStr">
        <is>
          <t>Open posting</t>
        </is>
      </c>
      <c r="K1375" s="8" t="inlineStr">
        <is>
          <t>filtered by keyword pre-scan</t>
        </is>
      </c>
      <c r="L1375" s="17" t="inlineStr">
        <is>
          <t>new</t>
        </is>
      </c>
      <c r="M1375" s="18" t="inlineStr"/>
      <c r="N1375" s="7" t="inlineStr">
        <is>
          <t>08cd6ac4279fe4772233972414ab5c773cf656b8</t>
        </is>
      </c>
      <c r="O1375" s="14" t="n">
        <v>46197</v>
      </c>
      <c r="P1375" s="7" t="inlineStr">
        <is>
          <t>jobspy</t>
        </is>
      </c>
      <c r="Q1375" s="8" t="inlineStr">
        <is>
          <t>python, c</t>
        </is>
      </c>
      <c r="R1375" s="8" t="inlineStr">
        <is>
          <t>Graduate Software Engineer Python SQL backend</t>
        </is>
      </c>
      <c r="S1375" s="19" t="n"/>
      <c r="T1375" s="19" t="n"/>
      <c r="U1375" s="14" t="n">
        <v>46198</v>
      </c>
      <c r="V1375" s="7" t="inlineStr">
        <is>
          <t>v2-cv-accuracy-13b988b18da8ea7d</t>
        </is>
      </c>
    </row>
    <row r="1376" ht="28" customHeight="1">
      <c r="A1376" s="12">
        <f>IF($L1376="applied","Applied",IF($L1376="interview","Interview",IF($L1376="offer","Offer",IF($L1376="rejected","Rejected",IF($L1376="ignore","Ignore",IF($L1376="archive","Archive",IF($L1376="closed","Closed",IF($B1376="","Unscored",IF(AND($B1376&gt;=8,OR($H1376="",$H1376-TODAY()&lt;=14)),"P1 Apply",IF($B1376&gt;=7,"P2 Strong",IF($B1376&gt;=5,"P3 Maybe","P4 Low")))))))))))</f>
        <v/>
      </c>
      <c r="B1376" s="13" t="n">
        <v>0.75</v>
      </c>
      <c r="C1376" s="12" t="inlineStr">
        <is>
          <t>Graduate/Entry</t>
        </is>
      </c>
      <c r="D1376" s="8" t="inlineStr">
        <is>
          <t>2026 Graduate Software Engineer - Triton</t>
        </is>
      </c>
      <c r="E1376" s="7" t="inlineStr">
        <is>
          <t>Graphcore</t>
        </is>
      </c>
      <c r="F1376" s="8" t="inlineStr">
        <is>
          <t>Bristol, ENG, GB</t>
        </is>
      </c>
      <c r="G1376" s="8" t="n"/>
      <c r="H1376" s="14" t="n"/>
      <c r="I1376" s="15">
        <f>IF($H1376="","",$H1376-TODAY())</f>
        <v/>
      </c>
      <c r="J1376" s="16" t="inlineStr">
        <is>
          <t>Open posting</t>
        </is>
      </c>
      <c r="K1376" s="8" t="inlineStr">
        <is>
          <t>filtered by keyword pre-scan</t>
        </is>
      </c>
      <c r="L1376" s="17" t="inlineStr">
        <is>
          <t>new</t>
        </is>
      </c>
      <c r="M1376" s="18" t="inlineStr"/>
      <c r="N1376" s="7" t="inlineStr">
        <is>
          <t>6affc63dd8ced825726e39e1f61194056a0460d8</t>
        </is>
      </c>
      <c r="O1376" s="14" t="n">
        <v>46197</v>
      </c>
      <c r="P1376" s="7" t="inlineStr">
        <is>
          <t>jobspy</t>
        </is>
      </c>
      <c r="Q1376" s="8" t="inlineStr">
        <is>
          <t>python, c</t>
        </is>
      </c>
      <c r="R1376" s="8" t="inlineStr">
        <is>
          <t>Graduate Systems Engineer hardware software</t>
        </is>
      </c>
      <c r="S1376" s="19" t="n"/>
      <c r="T1376" s="19" t="n"/>
      <c r="U1376" s="14" t="n">
        <v>46198</v>
      </c>
      <c r="V1376" s="7" t="inlineStr">
        <is>
          <t>v2-cv-accuracy-13b988b18da8ea7d</t>
        </is>
      </c>
    </row>
    <row r="1377" ht="28" customHeight="1">
      <c r="A1377" s="12">
        <f>IF($L1377="applied","Applied",IF($L1377="interview","Interview",IF($L1377="offer","Offer",IF($L1377="rejected","Rejected",IF($L1377="ignore","Ignore",IF($L1377="archive","Archive",IF($L1377="closed","Closed",IF($B1377="","Unscored",IF(AND($B1377&gt;=8,OR($H1377="",$H1377-TODAY()&lt;=14)),"P1 Apply",IF($B1377&gt;=7,"P2 Strong",IF($B1377&gt;=5,"P3 Maybe","P4 Low")))))))))))</f>
        <v/>
      </c>
      <c r="B1377" s="13" t="n">
        <v>0.75</v>
      </c>
      <c r="C1377" s="12" t="inlineStr">
        <is>
          <t>Unspecified</t>
        </is>
      </c>
      <c r="D1377" s="8" t="inlineStr">
        <is>
          <t>Quantum Error Correction Researcher (qLDPC)</t>
        </is>
      </c>
      <c r="E1377" s="7" t="inlineStr">
        <is>
          <t>Riverlane</t>
        </is>
      </c>
      <c r="F1377" s="8" t="inlineStr">
        <is>
          <t>Cambridge, England, UK</t>
        </is>
      </c>
      <c r="G1377" s="8" t="n"/>
      <c r="H1377" s="14" t="n"/>
      <c r="I1377" s="15">
        <f>IF($H1377="","",$H1377-TODAY())</f>
        <v/>
      </c>
      <c r="J1377" s="16" t="inlineStr">
        <is>
          <t>Open posting</t>
        </is>
      </c>
      <c r="K1377" s="8" t="inlineStr">
        <is>
          <t>filtered by keyword pre-scan</t>
        </is>
      </c>
      <c r="L1377" s="17" t="inlineStr">
        <is>
          <t>new</t>
        </is>
      </c>
      <c r="M1377" s="18" t="inlineStr"/>
      <c r="N1377" s="7" t="inlineStr">
        <is>
          <t>37d0b01d950910a00d2cbd72d0e699271b3cd143</t>
        </is>
      </c>
      <c r="O1377" s="14" t="n">
        <v>46192</v>
      </c>
      <c r="P1377" s="7" t="inlineStr">
        <is>
          <t>jobspy</t>
        </is>
      </c>
      <c r="Q1377" s="8" t="inlineStr">
        <is>
          <t>python, c</t>
        </is>
      </c>
      <c r="R1377" s="8" t="inlineStr">
        <is>
          <t>PhD Studentship Wireless Communications IoT UK</t>
        </is>
      </c>
      <c r="S1377" s="19" t="n"/>
      <c r="T1377" s="19" t="n"/>
      <c r="U1377" s="14" t="n">
        <v>46197</v>
      </c>
      <c r="V1377" s="7" t="inlineStr">
        <is>
          <t>v2-cv-accuracy-13b988b18da8ea7d</t>
        </is>
      </c>
    </row>
    <row r="1378" ht="28" customHeight="1">
      <c r="A1378" s="12">
        <f>IF($L1378="applied","Applied",IF($L1378="interview","Interview",IF($L1378="offer","Offer",IF($L1378="rejected","Rejected",IF($L1378="ignore","Ignore",IF($L1378="archive","Archive",IF($L1378="closed","Closed",IF($B1378="","Unscored",IF(AND($B1378&gt;=8,OR($H1378="",$H1378-TODAY()&lt;=14)),"P1 Apply",IF($B1378&gt;=7,"P2 Strong",IF($B1378&gt;=5,"P3 Maybe","P4 Low")))))))))))</f>
        <v/>
      </c>
      <c r="B1378" s="13" t="n">
        <v>0.75</v>
      </c>
      <c r="C1378" s="12" t="inlineStr">
        <is>
          <t>Graduate/Entry</t>
        </is>
      </c>
      <c r="D1378" s="8" t="inlineStr">
        <is>
          <t>Graduate Software Engineer</t>
        </is>
      </c>
      <c r="E1378" s="7" t="inlineStr">
        <is>
          <t>Haystack</t>
        </is>
      </c>
      <c r="F1378" s="8" t="inlineStr">
        <is>
          <t>Birmingham, England, UK</t>
        </is>
      </c>
      <c r="G1378" s="8" t="n"/>
      <c r="H1378" s="14" t="n"/>
      <c r="I1378" s="15">
        <f>IF($H1378="","",$H1378-TODAY())</f>
        <v/>
      </c>
      <c r="J1378" s="16" t="inlineStr">
        <is>
          <t>Open posting</t>
        </is>
      </c>
      <c r="K1378" s="8" t="inlineStr">
        <is>
          <t>filtered by keyword pre-scan</t>
        </is>
      </c>
      <c r="L1378" s="17" t="inlineStr">
        <is>
          <t>new</t>
        </is>
      </c>
      <c r="M1378" s="18" t="inlineStr"/>
      <c r="N1378" s="7" t="inlineStr">
        <is>
          <t>3f2b2dc33a6beb380fd8ae74409f2570721a9c9e</t>
        </is>
      </c>
      <c r="O1378" s="14" t="n"/>
      <c r="P1378" s="7" t="inlineStr">
        <is>
          <t>jobspy</t>
        </is>
      </c>
      <c r="Q1378" s="8" t="inlineStr">
        <is>
          <t>sql, c</t>
        </is>
      </c>
      <c r="R1378" s="8" t="inlineStr">
        <is>
          <t>Graduate Software Engineer Python embedded systems</t>
        </is>
      </c>
      <c r="S1378" s="19" t="n"/>
      <c r="T1378" s="19" t="n"/>
      <c r="U1378" s="14" t="n">
        <v>46197</v>
      </c>
      <c r="V1378" s="7" t="inlineStr">
        <is>
          <t>v2-cv-accuracy-13b988b18da8ea7d</t>
        </is>
      </c>
    </row>
    <row r="1379" ht="28" customHeight="1">
      <c r="A1379" s="12">
        <f>IF($L1379="applied","Applied",IF($L1379="interview","Interview",IF($L1379="offer","Offer",IF($L1379="rejected","Rejected",IF($L1379="ignore","Ignore",IF($L1379="archive","Archive",IF($L1379="closed","Closed",IF($B1379="","Unscored",IF(AND($B1379&gt;=8,OR($H1379="",$H1379-TODAY()&lt;=14)),"P1 Apply",IF($B1379&gt;=7,"P2 Strong",IF($B1379&gt;=5,"P3 Maybe","P4 Low")))))))))))</f>
        <v/>
      </c>
      <c r="B1379" s="13" t="n">
        <v>0.75</v>
      </c>
      <c r="C1379" s="12" t="inlineStr">
        <is>
          <t>Unspecified</t>
        </is>
      </c>
      <c r="D1379" s="8" t="inlineStr">
        <is>
          <t>Software Engineer in Build Engineering</t>
        </is>
      </c>
      <c r="E1379" s="7" t="inlineStr">
        <is>
          <t>Graphcore</t>
        </is>
      </c>
      <c r="F1379" s="8" t="inlineStr">
        <is>
          <t>London, UK</t>
        </is>
      </c>
      <c r="G1379" s="8" t="n"/>
      <c r="H1379" s="14" t="n"/>
      <c r="I1379" s="15">
        <f>IF($H1379="","",$H1379-TODAY())</f>
        <v/>
      </c>
      <c r="J1379" s="16" t="inlineStr">
        <is>
          <t>Open posting</t>
        </is>
      </c>
      <c r="K1379" s="8" t="inlineStr">
        <is>
          <t>filtered by keyword pre-scan</t>
        </is>
      </c>
      <c r="L1379" s="17" t="inlineStr">
        <is>
          <t>new</t>
        </is>
      </c>
      <c r="M1379" s="18" t="inlineStr"/>
      <c r="N1379" s="7" t="inlineStr">
        <is>
          <t>be9aed45aead659df386f65da9b5c55270953419</t>
        </is>
      </c>
      <c r="O1379" s="14" t="n">
        <v>46197</v>
      </c>
      <c r="P1379" s="7" t="inlineStr">
        <is>
          <t>greenhouse:graphcore</t>
        </is>
      </c>
      <c r="Q1379" s="8" t="inlineStr">
        <is>
          <t>docker, c</t>
        </is>
      </c>
      <c r="R1379" s="8" t="n"/>
      <c r="S1379" s="19" t="n"/>
      <c r="T1379" s="19" t="n"/>
      <c r="U1379" s="14" t="n">
        <v>46197</v>
      </c>
      <c r="V1379" s="7" t="inlineStr">
        <is>
          <t>v2-cv-accuracy-13b988b18da8ea7d</t>
        </is>
      </c>
    </row>
    <row r="1380" ht="28" customHeight="1">
      <c r="A1380" s="12">
        <f>IF($L1380="applied","Applied",IF($L1380="interview","Interview",IF($L1380="offer","Offer",IF($L1380="rejected","Rejected",IF($L1380="ignore","Ignore",IF($L1380="archive","Archive",IF($L1380="closed","Closed",IF($B1380="","Unscored",IF(AND($B1380&gt;=8,OR($H1380="",$H1380-TODAY()&lt;=14)),"P1 Apply",IF($B1380&gt;=7,"P2 Strong",IF($B1380&gt;=5,"P3 Maybe","P4 Low")))))))))))</f>
        <v/>
      </c>
      <c r="B1380" s="13" t="n">
        <v>0.75</v>
      </c>
      <c r="C1380" s="12" t="inlineStr">
        <is>
          <t>Unspecified</t>
        </is>
      </c>
      <c r="D1380" s="8" t="inlineStr">
        <is>
          <t>Software Engineer in Build Engineering</t>
        </is>
      </c>
      <c r="E1380" s="7" t="inlineStr">
        <is>
          <t>Graphcore</t>
        </is>
      </c>
      <c r="F1380" s="8" t="inlineStr">
        <is>
          <t>Cambridge, UK</t>
        </is>
      </c>
      <c r="G1380" s="8" t="n"/>
      <c r="H1380" s="14" t="n"/>
      <c r="I1380" s="15">
        <f>IF($H1380="","",$H1380-TODAY())</f>
        <v/>
      </c>
      <c r="J1380" s="16" t="inlineStr">
        <is>
          <t>Open posting</t>
        </is>
      </c>
      <c r="K1380" s="8" t="inlineStr">
        <is>
          <t>filtered by keyword pre-scan</t>
        </is>
      </c>
      <c r="L1380" s="17" t="inlineStr">
        <is>
          <t>new</t>
        </is>
      </c>
      <c r="M1380" s="18" t="inlineStr"/>
      <c r="N1380" s="7" t="inlineStr">
        <is>
          <t>401306bbba08f4e222bba10af2199c68bad71cfe</t>
        </is>
      </c>
      <c r="O1380" s="14" t="n">
        <v>46197</v>
      </c>
      <c r="P1380" s="7" t="inlineStr">
        <is>
          <t>greenhouse:graphcore</t>
        </is>
      </c>
      <c r="Q1380" s="8" t="inlineStr">
        <is>
          <t>docker, c</t>
        </is>
      </c>
      <c r="R1380" s="8" t="n"/>
      <c r="S1380" s="19" t="n"/>
      <c r="T1380" s="19" t="n"/>
      <c r="U1380" s="14" t="n">
        <v>46197</v>
      </c>
      <c r="V1380" s="7" t="inlineStr">
        <is>
          <t>v2-cv-accuracy-13b988b18da8ea7d</t>
        </is>
      </c>
    </row>
    <row r="1381" ht="28" customHeight="1">
      <c r="A1381" s="12">
        <f>IF($L1381="applied","Applied",IF($L1381="interview","Interview",IF($L1381="offer","Offer",IF($L1381="rejected","Rejected",IF($L1381="ignore","Ignore",IF($L1381="archive","Archive",IF($L1381="closed","Closed",IF($B1381="","Unscored",IF(AND($B1381&gt;=8,OR($H1381="",$H1381-TODAY()&lt;=14)),"P1 Apply",IF($B1381&gt;=7,"P2 Strong",IF($B1381&gt;=5,"P3 Maybe","P4 Low")))))))))))</f>
        <v/>
      </c>
      <c r="B1381" s="13" t="n">
        <v>0.75</v>
      </c>
      <c r="C1381" s="12" t="inlineStr">
        <is>
          <t>Unspecified</t>
        </is>
      </c>
      <c r="D1381" s="8" t="inlineStr">
        <is>
          <t>Software Engineer in Build Engineering</t>
        </is>
      </c>
      <c r="E1381" s="7" t="inlineStr">
        <is>
          <t>Graphcore</t>
        </is>
      </c>
      <c r="F1381" s="8" t="inlineStr">
        <is>
          <t>Gdańsk, Pomeranian Voivodeship, Poland</t>
        </is>
      </c>
      <c r="G1381" s="8" t="n"/>
      <c r="H1381" s="14" t="n"/>
      <c r="I1381" s="15">
        <f>IF($H1381="","",$H1381-TODAY())</f>
        <v/>
      </c>
      <c r="J1381" s="16" t="inlineStr">
        <is>
          <t>Open posting</t>
        </is>
      </c>
      <c r="K1381" s="8" t="inlineStr">
        <is>
          <t>filtered by keyword pre-scan</t>
        </is>
      </c>
      <c r="L1381" s="17" t="inlineStr">
        <is>
          <t>new</t>
        </is>
      </c>
      <c r="M1381" s="18" t="inlineStr"/>
      <c r="N1381" s="7" t="inlineStr">
        <is>
          <t>043b34f0dca248aed6801b3b39068a89c19d072c</t>
        </is>
      </c>
      <c r="O1381" s="14" t="n">
        <v>46197</v>
      </c>
      <c r="P1381" s="7" t="inlineStr">
        <is>
          <t>greenhouse:graphcore</t>
        </is>
      </c>
      <c r="Q1381" s="8" t="inlineStr">
        <is>
          <t>docker, c</t>
        </is>
      </c>
      <c r="R1381" s="8" t="n"/>
      <c r="S1381" s="19" t="n"/>
      <c r="T1381" s="19" t="n"/>
      <c r="U1381" s="14" t="n">
        <v>46197</v>
      </c>
      <c r="V1381" s="7" t="inlineStr">
        <is>
          <t>v2-cv-accuracy-13b988b18da8ea7d</t>
        </is>
      </c>
    </row>
    <row r="1382" ht="28" customHeight="1">
      <c r="A1382" s="12">
        <f>IF($L1382="applied","Applied",IF($L1382="interview","Interview",IF($L1382="offer","Offer",IF($L1382="rejected","Rejected",IF($L1382="ignore","Ignore",IF($L1382="archive","Archive",IF($L1382="closed","Closed",IF($B1382="","Unscored",IF(AND($B1382&gt;=8,OR($H1382="",$H1382-TODAY()&lt;=14)),"P1 Apply",IF($B1382&gt;=7,"P2 Strong",IF($B1382&gt;=5,"P3 Maybe","P4 Low")))))))))))</f>
        <v/>
      </c>
      <c r="B1382" s="13" t="n">
        <v>0.75</v>
      </c>
      <c r="C1382" s="12" t="inlineStr">
        <is>
          <t>Senior/Lead</t>
        </is>
      </c>
      <c r="D1382" s="8" t="inlineStr">
        <is>
          <t>Expression of Interest</t>
        </is>
      </c>
      <c r="E1382" s="7" t="inlineStr">
        <is>
          <t>IPA</t>
        </is>
      </c>
      <c r="F1382" s="8" t="inlineStr">
        <is>
          <t>Chelmsford, England, UK</t>
        </is>
      </c>
      <c r="G1382" s="8" t="n"/>
      <c r="H1382" s="14" t="n"/>
      <c r="I1382" s="15">
        <f>IF($H1382="","",$H1382-TODAY())</f>
        <v/>
      </c>
      <c r="J1382" s="16" t="inlineStr">
        <is>
          <t>Open posting</t>
        </is>
      </c>
      <c r="K1382" s="8" t="inlineStr">
        <is>
          <t>filtered by keyword pre-scan</t>
        </is>
      </c>
      <c r="L1382" s="17" t="inlineStr">
        <is>
          <t>new</t>
        </is>
      </c>
      <c r="M1382" s="18" t="inlineStr"/>
      <c r="N1382" s="7" t="inlineStr">
        <is>
          <t>ee682868edb5f242faa681ca3f5c8c0f3cf78532</t>
        </is>
      </c>
      <c r="O1382" s="14" t="n">
        <v>46196</v>
      </c>
      <c r="P1382" s="7" t="inlineStr">
        <is>
          <t>jobspy</t>
        </is>
      </c>
      <c r="Q1382" s="8" t="inlineStr">
        <is>
          <t>git, c</t>
        </is>
      </c>
      <c r="R1382" s="8" t="inlineStr">
        <is>
          <t>PhD Studentship computer architecture hardware</t>
        </is>
      </c>
      <c r="S1382" s="19" t="n"/>
      <c r="T1382" s="19" t="n"/>
      <c r="U1382" s="14" t="n">
        <v>46197</v>
      </c>
      <c r="V1382" s="7" t="inlineStr">
        <is>
          <t>v2-cv-accuracy-13b988b18da8ea7d</t>
        </is>
      </c>
    </row>
    <row r="1383" ht="28" customHeight="1">
      <c r="A1383" s="12">
        <f>IF($L1383="applied","Applied",IF($L1383="interview","Interview",IF($L1383="offer","Offer",IF($L1383="rejected","Rejected",IF($L1383="ignore","Ignore",IF($L1383="archive","Archive",IF($L1383="closed","Closed",IF($B1383="","Unscored",IF(AND($B1383&gt;=8,OR($H1383="",$H1383-TODAY()&lt;=14)),"P1 Apply",IF($B1383&gt;=7,"P2 Strong",IF($B1383&gt;=5,"P3 Maybe","P4 Low")))))))))))</f>
        <v/>
      </c>
      <c r="B1383" s="13" t="n">
        <v>0.75</v>
      </c>
      <c r="C1383" s="12" t="inlineStr">
        <is>
          <t>Internship</t>
        </is>
      </c>
      <c r="D1383" s="8" t="inlineStr">
        <is>
          <t>AI Research Intern - Agentic AI</t>
        </is>
      </c>
      <c r="E1383" s="7" t="inlineStr">
        <is>
          <t>Samsung Electronics UK</t>
        </is>
      </c>
      <c r="F1383" s="8" t="inlineStr">
        <is>
          <t>Staines-Upon-Thames, England, UK</t>
        </is>
      </c>
      <c r="G1383" s="8" t="n"/>
      <c r="H1383" s="14" t="n"/>
      <c r="I1383" s="15">
        <f>IF($H1383="","",$H1383-TODAY())</f>
        <v/>
      </c>
      <c r="J1383" s="16" t="inlineStr">
        <is>
          <t>Open posting</t>
        </is>
      </c>
      <c r="K1383" s="8" t="inlineStr">
        <is>
          <t>filtered by keyword pre-scan</t>
        </is>
      </c>
      <c r="L1383" s="17" t="inlineStr">
        <is>
          <t>new</t>
        </is>
      </c>
      <c r="M1383" s="18" t="inlineStr"/>
      <c r="N1383" s="7" t="inlineStr">
        <is>
          <t>4b1468bb8d4a1c7b64a10bca7e00db7e0d7de41e</t>
        </is>
      </c>
      <c r="O1383" s="14" t="n">
        <v>46186</v>
      </c>
      <c r="P1383" s="7" t="inlineStr">
        <is>
          <t>jobspy</t>
        </is>
      </c>
      <c r="Q1383" s="8" t="inlineStr">
        <is>
          <t>python, c</t>
        </is>
      </c>
      <c r="R1383" s="8" t="inlineStr">
        <is>
          <t>Graduate Software Engineer Python embedded</t>
        </is>
      </c>
      <c r="S1383" s="19" t="n"/>
      <c r="T1383" s="19" t="n"/>
      <c r="U1383" s="14" t="n">
        <v>46195</v>
      </c>
      <c r="V1383" s="7" t="inlineStr">
        <is>
          <t>v2-cv-accuracy-13b988b18da8ea7d</t>
        </is>
      </c>
    </row>
    <row r="1384" ht="28" customHeight="1">
      <c r="A1384" s="12">
        <f>IF($L1384="applied","Applied",IF($L1384="interview","Interview",IF($L1384="offer","Offer",IF($L1384="rejected","Rejected",IF($L1384="ignore","Ignore",IF($L1384="archive","Archive",IF($L1384="closed","Closed",IF($B1384="","Unscored",IF(AND($B1384&gt;=8,OR($H1384="",$H1384-TODAY()&lt;=14)),"P1 Apply",IF($B1384&gt;=7,"P2 Strong",IF($B1384&gt;=5,"P3 Maybe","P4 Low")))))))))))</f>
        <v/>
      </c>
      <c r="B1384" s="13" t="n">
        <v>0.75</v>
      </c>
      <c r="C1384" s="12" t="inlineStr">
        <is>
          <t>Mid-level</t>
        </is>
      </c>
      <c r="D1384" s="8" t="inlineStr">
        <is>
          <t>Software Engineer, UI - Embedded C++</t>
        </is>
      </c>
      <c r="E1384" s="7" t="inlineStr">
        <is>
          <t>Roku</t>
        </is>
      </c>
      <c r="F1384" s="8" t="inlineStr">
        <is>
          <t>Cambridge, England, UK</t>
        </is>
      </c>
      <c r="G1384" s="8" t="n"/>
      <c r="H1384" s="14" t="n"/>
      <c r="I1384" s="15">
        <f>IF($H1384="","",$H1384-TODAY())</f>
        <v/>
      </c>
      <c r="J1384" s="16" t="inlineStr">
        <is>
          <t>Open posting</t>
        </is>
      </c>
      <c r="K1384" s="8" t="inlineStr">
        <is>
          <t>filtered by keyword pre-scan</t>
        </is>
      </c>
      <c r="L1384" s="17" t="inlineStr">
        <is>
          <t>new</t>
        </is>
      </c>
      <c r="M1384" s="18" t="inlineStr"/>
      <c r="N1384" s="7" t="inlineStr">
        <is>
          <t>80fc9f54804c72690dc0d74d3bf60e9f3d015367</t>
        </is>
      </c>
      <c r="O1384" s="14" t="n">
        <v>46179</v>
      </c>
      <c r="P1384" s="7" t="inlineStr">
        <is>
          <t>jobspy</t>
        </is>
      </c>
      <c r="Q1384" s="8" t="inlineStr">
        <is>
          <t>python, c</t>
        </is>
      </c>
      <c r="R1384" s="8" t="inlineStr">
        <is>
          <t>Graduate Software Engineer Python embedded</t>
        </is>
      </c>
      <c r="S1384" s="19" t="n"/>
      <c r="T1384" s="19" t="n"/>
      <c r="U1384" s="14" t="n">
        <v>46195</v>
      </c>
      <c r="V1384" s="7" t="inlineStr">
        <is>
          <t>v2-cv-accuracy-13b988b18da8ea7d</t>
        </is>
      </c>
    </row>
    <row r="1385" ht="28" customHeight="1">
      <c r="A1385" s="12">
        <f>IF($L1385="applied","Applied",IF($L1385="interview","Interview",IF($L1385="offer","Offer",IF($L1385="rejected","Rejected",IF($L1385="ignore","Ignore",IF($L1385="archive","Archive",IF($L1385="closed","Closed",IF($B1385="","Unscored",IF(AND($B1385&gt;=8,OR($H1385="",$H1385-TODAY()&lt;=14)),"P1 Apply",IF($B1385&gt;=7,"P2 Strong",IF($B1385&gt;=5,"P3 Maybe","P4 Low")))))))))))</f>
        <v/>
      </c>
      <c r="B1385" s="13" t="n">
        <v>0.75</v>
      </c>
      <c r="C1385" s="12" t="inlineStr">
        <is>
          <t>Mid-level</t>
        </is>
      </c>
      <c r="D1385" s="8" t="inlineStr">
        <is>
          <t>Software Engineer</t>
        </is>
      </c>
      <c r="E1385" s="7" t="inlineStr">
        <is>
          <t>Burns Sheehan</t>
        </is>
      </c>
      <c r="F1385" s="8" t="inlineStr">
        <is>
          <t>London Area, United Kingdom</t>
        </is>
      </c>
      <c r="G1385" s="8" t="n"/>
      <c r="H1385" s="14" t="n"/>
      <c r="I1385" s="15">
        <f>IF($H1385="","",$H1385-TODAY())</f>
        <v/>
      </c>
      <c r="J1385" s="16" t="inlineStr">
        <is>
          <t>Open posting</t>
        </is>
      </c>
      <c r="K1385" s="8" t="inlineStr">
        <is>
          <t>filtered by keyword pre-scan</t>
        </is>
      </c>
      <c r="L1385" s="17" t="inlineStr">
        <is>
          <t>new</t>
        </is>
      </c>
      <c r="M1385" s="18" t="inlineStr"/>
      <c r="N1385" s="7" t="inlineStr">
        <is>
          <t>8ac09e689e0652689e2b400af3c4cf42339acc94</t>
        </is>
      </c>
      <c r="O1385" s="14" t="n">
        <v>46176</v>
      </c>
      <c r="P1385" s="7" t="inlineStr">
        <is>
          <t>jobspy</t>
        </is>
      </c>
      <c r="Q1385" s="8" t="inlineStr">
        <is>
          <t>python, c</t>
        </is>
      </c>
      <c r="R1385" s="8" t="inlineStr">
        <is>
          <t>Graduate Software Engineer Python embedded</t>
        </is>
      </c>
      <c r="S1385" s="19" t="n"/>
      <c r="T1385" s="19" t="n"/>
      <c r="U1385" s="14" t="n">
        <v>46195</v>
      </c>
      <c r="V1385" s="7" t="inlineStr">
        <is>
          <t>v2-cv-accuracy-13b988b18da8ea7d</t>
        </is>
      </c>
    </row>
    <row r="1386" ht="28" customHeight="1">
      <c r="A1386" s="12">
        <f>IF($L1386="applied","Applied",IF($L1386="interview","Interview",IF($L1386="offer","Offer",IF($L1386="rejected","Rejected",IF($L1386="ignore","Ignore",IF($L1386="archive","Archive",IF($L1386="closed","Closed",IF($B1386="","Unscored",IF(AND($B1386&gt;=8,OR($H1386="",$H1386-TODAY()&lt;=14)),"P1 Apply",IF($B1386&gt;=7,"P2 Strong",IF($B1386&gt;=5,"P3 Maybe","P4 Low")))))))))))</f>
        <v/>
      </c>
      <c r="B1386" s="13" t="n">
        <v>0.75</v>
      </c>
      <c r="C1386" s="12" t="inlineStr">
        <is>
          <t>Mid-level</t>
        </is>
      </c>
      <c r="D1386" s="8" t="inlineStr">
        <is>
          <t>Software Engineer</t>
        </is>
      </c>
      <c r="E1386" s="7" t="inlineStr">
        <is>
          <t>nan</t>
        </is>
      </c>
      <c r="F1386" s="8" t="inlineStr">
        <is>
          <t>Newcastle upon Tyne, ENG, GB</t>
        </is>
      </c>
      <c r="G1386" s="8" t="n"/>
      <c r="H1386" s="14" t="n"/>
      <c r="I1386" s="15">
        <f>IF($H1386="","",$H1386-TODAY())</f>
        <v/>
      </c>
      <c r="J1386" s="16" t="inlineStr">
        <is>
          <t>Open posting</t>
        </is>
      </c>
      <c r="K1386" s="8" t="inlineStr">
        <is>
          <t>filtered by keyword pre-scan</t>
        </is>
      </c>
      <c r="L1386" s="17" t="inlineStr">
        <is>
          <t>new</t>
        </is>
      </c>
      <c r="M1386" s="18" t="inlineStr"/>
      <c r="N1386" s="7" t="inlineStr">
        <is>
          <t>ccd8821870f65b82ac46ca500b739437b499ff3f</t>
        </is>
      </c>
      <c r="O1386" s="14" t="n">
        <v>46190</v>
      </c>
      <c r="P1386" s="7" t="inlineStr">
        <is>
          <t>jobspy</t>
        </is>
      </c>
      <c r="Q1386" s="8" t="inlineStr">
        <is>
          <t>git, c</t>
        </is>
      </c>
      <c r="R1386" s="8" t="inlineStr">
        <is>
          <t>Graduate Software Engineer Python backend</t>
        </is>
      </c>
      <c r="S1386" s="19" t="n"/>
      <c r="T1386" s="19" t="n"/>
      <c r="U1386" s="14" t="n">
        <v>46195</v>
      </c>
      <c r="V1386" s="7" t="inlineStr">
        <is>
          <t>v2-cv-accuracy-13b988b18da8ea7d</t>
        </is>
      </c>
    </row>
    <row r="1387" ht="28" customHeight="1">
      <c r="A1387" s="12">
        <f>IF($L1387="applied","Applied",IF($L1387="interview","Interview",IF($L1387="offer","Offer",IF($L1387="rejected","Rejected",IF($L1387="ignore","Ignore",IF($L1387="archive","Archive",IF($L1387="closed","Closed",IF($B1387="","Unscored",IF(AND($B1387&gt;=8,OR($H1387="",$H1387-TODAY()&lt;=14)),"P1 Apply",IF($B1387&gt;=7,"P2 Strong",IF($B1387&gt;=5,"P3 Maybe","P4 Low")))))))))))</f>
        <v/>
      </c>
      <c r="B1387" s="13" t="n">
        <v>0.75</v>
      </c>
      <c r="C1387" s="12" t="inlineStr">
        <is>
          <t>Unspecified</t>
        </is>
      </c>
      <c r="D1387" s="8" t="inlineStr">
        <is>
          <t>Resident Engineer</t>
        </is>
      </c>
      <c r="E1387" s="7" t="inlineStr">
        <is>
          <t>Scalian</t>
        </is>
      </c>
      <c r="F1387" s="8" t="inlineStr">
        <is>
          <t>Sunderland, England, UK</t>
        </is>
      </c>
      <c r="G1387" s="8" t="n"/>
      <c r="H1387" s="14" t="n"/>
      <c r="I1387" s="15">
        <f>IF($H1387="","",$H1387-TODAY())</f>
        <v/>
      </c>
      <c r="J1387" s="16" t="inlineStr">
        <is>
          <t>Open posting</t>
        </is>
      </c>
      <c r="K1387" s="8" t="inlineStr">
        <is>
          <t>filtered by keyword pre-scan</t>
        </is>
      </c>
      <c r="L1387" s="17" t="inlineStr">
        <is>
          <t>new</t>
        </is>
      </c>
      <c r="M1387" s="18" t="inlineStr"/>
      <c r="N1387" s="7" t="inlineStr">
        <is>
          <t>17931f0bda70e70912e2dd559e6111a50d34b295</t>
        </is>
      </c>
      <c r="O1387" s="14" t="n">
        <v>46192</v>
      </c>
      <c r="P1387" s="7" t="inlineStr">
        <is>
          <t>jobspy</t>
        </is>
      </c>
      <c r="Q1387" s="8" t="inlineStr">
        <is>
          <t>git, c</t>
        </is>
      </c>
      <c r="R1387" s="8" t="inlineStr">
        <is>
          <t>Graduate IoT Engineer LoRaWAN embedded</t>
        </is>
      </c>
      <c r="S1387" s="19" t="n"/>
      <c r="T1387" s="19" t="n"/>
      <c r="U1387" s="14" t="n">
        <v>46195</v>
      </c>
      <c r="V1387" s="7" t="inlineStr">
        <is>
          <t>v2-cv-accuracy-13b988b18da8ea7d</t>
        </is>
      </c>
    </row>
    <row r="1388" ht="28" customHeight="1">
      <c r="A1388" s="12">
        <f>IF($L1388="applied","Applied",IF($L1388="interview","Interview",IF($L1388="offer","Offer",IF($L1388="rejected","Rejected",IF($L1388="ignore","Ignore",IF($L1388="archive","Archive",IF($L1388="closed","Closed",IF($B1388="","Unscored",IF(AND($B1388&gt;=8,OR($H1388="",$H1388-TODAY()&lt;=14)),"P1 Apply",IF($B1388&gt;=7,"P2 Strong",IF($B1388&gt;=5,"P3 Maybe","P4 Low")))))))))))</f>
        <v/>
      </c>
      <c r="B1388" s="13" t="n">
        <v>0.75</v>
      </c>
      <c r="C1388" s="12" t="inlineStr">
        <is>
          <t>Unspecified</t>
        </is>
      </c>
      <c r="D1388" s="8" t="inlineStr">
        <is>
          <t>DEVELOPMENT ENGINEER</t>
        </is>
      </c>
      <c r="E1388" s="7" t="inlineStr">
        <is>
          <t>Ilmor Engineering Ltd</t>
        </is>
      </c>
      <c r="F1388" s="8" t="inlineStr">
        <is>
          <t>Brixworth, ENG, GB</t>
        </is>
      </c>
      <c r="G1388" s="8" t="n"/>
      <c r="H1388" s="14" t="n"/>
      <c r="I1388" s="15">
        <f>IF($H1388="","",$H1388-TODAY())</f>
        <v/>
      </c>
      <c r="J1388" s="16" t="inlineStr">
        <is>
          <t>Open posting</t>
        </is>
      </c>
      <c r="K1388" s="8" t="inlineStr">
        <is>
          <t>filtered by keyword pre-scan</t>
        </is>
      </c>
      <c r="L1388" s="17" t="inlineStr">
        <is>
          <t>new</t>
        </is>
      </c>
      <c r="M1388" s="18" t="inlineStr"/>
      <c r="N1388" s="7" t="inlineStr">
        <is>
          <t>91757cee6cbc27735a240af5274a2d84bd24bfe2</t>
        </is>
      </c>
      <c r="O1388" s="14" t="n">
        <v>46195</v>
      </c>
      <c r="P1388" s="7" t="inlineStr">
        <is>
          <t>jobspy</t>
        </is>
      </c>
      <c r="Q1388" s="8" t="inlineStr">
        <is>
          <t>c</t>
        </is>
      </c>
      <c r="R1388" s="8" t="inlineStr">
        <is>
          <t>Graduate Systems Engineer hardware software</t>
        </is>
      </c>
      <c r="S1388" s="19" t="n"/>
      <c r="T1388" s="19" t="n"/>
      <c r="U1388" s="14" t="n">
        <v>46195</v>
      </c>
      <c r="V1388" s="7" t="inlineStr">
        <is>
          <t>v2-cv-accuracy-13b988b18da8ea7d</t>
        </is>
      </c>
    </row>
    <row r="1389" ht="28" customHeight="1">
      <c r="A1389" s="12">
        <f>IF($L1389="applied","Applied",IF($L1389="interview","Interview",IF($L1389="offer","Offer",IF($L1389="rejected","Rejected",IF($L1389="ignore","Ignore",IF($L1389="archive","Archive",IF($L1389="closed","Closed",IF($B1389="","Unscored",IF(AND($B1389&gt;=8,OR($H1389="",$H1389-TODAY()&lt;=14)),"P1 Apply",IF($B1389&gt;=7,"P2 Strong",IF($B1389&gt;=5,"P3 Maybe","P4 Low")))))))))))</f>
        <v/>
      </c>
      <c r="B1389" s="13" t="n">
        <v>0.75</v>
      </c>
      <c r="C1389" s="12" t="inlineStr">
        <is>
          <t>Unspecified</t>
        </is>
      </c>
      <c r="D1389" s="8" t="inlineStr">
        <is>
          <t>Software Engineer</t>
        </is>
      </c>
      <c r="E1389" s="7" t="inlineStr">
        <is>
          <t>TechShack</t>
        </is>
      </c>
      <c r="F1389" s="8" t="inlineStr">
        <is>
          <t>Newcastle Upon Tyne, England, UK</t>
        </is>
      </c>
      <c r="G1389" s="8" t="n"/>
      <c r="H1389" s="14" t="n"/>
      <c r="I1389" s="15">
        <f>IF($H1389="","",$H1389-TODAY())</f>
        <v/>
      </c>
      <c r="J1389" s="16" t="inlineStr">
        <is>
          <t>Open posting</t>
        </is>
      </c>
      <c r="K1389" s="8" t="inlineStr">
        <is>
          <t>filtered by keyword pre-scan</t>
        </is>
      </c>
      <c r="L1389" s="17" t="inlineStr">
        <is>
          <t>new</t>
        </is>
      </c>
      <c r="M1389" s="18" t="inlineStr"/>
      <c r="N1389" s="7" t="inlineStr">
        <is>
          <t>45b5aa70596f4d90d023f444c6ac4144b78bbee4</t>
        </is>
      </c>
      <c r="O1389" s="14" t="n">
        <v>46189</v>
      </c>
      <c r="P1389" s="7" t="inlineStr">
        <is>
          <t>jobspy</t>
        </is>
      </c>
      <c r="Q1389" s="8" t="inlineStr">
        <is>
          <t>python, c</t>
        </is>
      </c>
      <c r="R1389" s="8" t="inlineStr">
        <is>
          <t>Graduate Software Engineer Python embedded systems</t>
        </is>
      </c>
      <c r="S1389" s="19" t="n"/>
      <c r="T1389" s="19" t="n"/>
      <c r="U1389" s="14" t="n">
        <v>46195</v>
      </c>
      <c r="V1389" s="7" t="inlineStr">
        <is>
          <t>v2-cv-accuracy-13b988b18da8ea7d</t>
        </is>
      </c>
    </row>
    <row r="1390" ht="28" customHeight="1">
      <c r="A1390" s="12">
        <f>IF($L1390="applied","Applied",IF($L1390="interview","Interview",IF($L1390="offer","Offer",IF($L1390="rejected","Rejected",IF($L1390="ignore","Ignore",IF($L1390="archive","Archive",IF($L1390="closed","Closed",IF($B1390="","Unscored",IF(AND($B1390&gt;=8,OR($H1390="",$H1390-TODAY()&lt;=14)),"P1 Apply",IF($B1390&gt;=7,"P2 Strong",IF($B1390&gt;=5,"P3 Maybe","P4 Low")))))))))))</f>
        <v/>
      </c>
      <c r="B1390" s="13" t="n">
        <v>0.75</v>
      </c>
      <c r="C1390" s="12" t="inlineStr">
        <is>
          <t>Graduate/Entry</t>
        </is>
      </c>
      <c r="D1390" s="8" t="inlineStr">
        <is>
          <t>Graduate Associate UX Designer</t>
        </is>
      </c>
      <c r="E1390" s="7" t="inlineStr">
        <is>
          <t>Res</t>
        </is>
      </c>
      <c r="F1390" s="8" t="inlineStr">
        <is>
          <t>Kings Langley, ENG, GB</t>
        </is>
      </c>
      <c r="G1390" s="8" t="n"/>
      <c r="H1390" s="14" t="n"/>
      <c r="I1390" s="15">
        <f>IF($H1390="","",$H1390-TODAY())</f>
        <v/>
      </c>
      <c r="J1390" s="16" t="inlineStr">
        <is>
          <t>Open posting</t>
        </is>
      </c>
      <c r="K1390" s="8" t="inlineStr">
        <is>
          <t>filtered by keyword pre-scan</t>
        </is>
      </c>
      <c r="L1390" s="17" t="inlineStr">
        <is>
          <t>new</t>
        </is>
      </c>
      <c r="M1390" s="18" t="inlineStr"/>
      <c r="N1390" s="7" t="inlineStr">
        <is>
          <t>e2bc48910eaa381ac40bc2e01c224bc28c4d977e</t>
        </is>
      </c>
      <c r="O1390" s="14" t="n">
        <v>46192</v>
      </c>
      <c r="P1390" s="7" t="inlineStr">
        <is>
          <t>jobspy</t>
        </is>
      </c>
      <c r="Q1390" s="8" t="inlineStr">
        <is>
          <t>git, c</t>
        </is>
      </c>
      <c r="R1390" s="8" t="inlineStr">
        <is>
          <t>Graduate Computer Engineer digital design</t>
        </is>
      </c>
      <c r="S1390" s="19" t="n"/>
      <c r="T1390" s="19" t="n"/>
      <c r="U1390" s="14" t="n">
        <v>46194</v>
      </c>
      <c r="V1390" s="7" t="inlineStr">
        <is>
          <t>v2-cv-accuracy-13b988b18da8ea7d</t>
        </is>
      </c>
    </row>
    <row r="1391" ht="28" customHeight="1">
      <c r="A1391" s="12">
        <f>IF($L1391="applied","Applied",IF($L1391="interview","Interview",IF($L1391="offer","Offer",IF($L1391="rejected","Rejected",IF($L1391="ignore","Ignore",IF($L1391="archive","Archive",IF($L1391="closed","Closed",IF($B1391="","Unscored",IF(AND($B1391&gt;=8,OR($H1391="",$H1391-TODAY()&lt;=14)),"P1 Apply",IF($B1391&gt;=7,"P2 Strong",IF($B1391&gt;=5,"P3 Maybe","P4 Low")))))))))))</f>
        <v/>
      </c>
      <c r="B1391" s="13" t="n">
        <v>0.75</v>
      </c>
      <c r="C1391" s="12" t="inlineStr">
        <is>
          <t>Junior</t>
        </is>
      </c>
      <c r="D1391" s="8" t="inlineStr">
        <is>
          <t>Lighting Technician</t>
        </is>
      </c>
      <c r="E1391" s="7" t="inlineStr">
        <is>
          <t>Designs for Lighting Ltd</t>
        </is>
      </c>
      <c r="F1391" s="8" t="inlineStr">
        <is>
          <t>Winchester, ENG, GB</t>
        </is>
      </c>
      <c r="G1391" s="8" t="n"/>
      <c r="H1391" s="14" t="n"/>
      <c r="I1391" s="15">
        <f>IF($H1391="","",$H1391-TODAY())</f>
        <v/>
      </c>
      <c r="J1391" s="16" t="inlineStr">
        <is>
          <t>Open posting</t>
        </is>
      </c>
      <c r="K1391" s="8" t="inlineStr">
        <is>
          <t>filtered by keyword pre-scan</t>
        </is>
      </c>
      <c r="L1391" s="17" t="inlineStr">
        <is>
          <t>new</t>
        </is>
      </c>
      <c r="M1391" s="18" t="inlineStr"/>
      <c r="N1391" s="7" t="inlineStr">
        <is>
          <t>a0cb515de49d2ddac335344a164a12d27e2652b1</t>
        </is>
      </c>
      <c r="O1391" s="14" t="n">
        <v>46188</v>
      </c>
      <c r="P1391" s="7" t="inlineStr">
        <is>
          <t>jobspy</t>
        </is>
      </c>
      <c r="Q1391" s="8" t="inlineStr">
        <is>
          <t>git, c</t>
        </is>
      </c>
      <c r="R1391" s="8" t="inlineStr">
        <is>
          <t>Graduate Computer Engineer digital design</t>
        </is>
      </c>
      <c r="S1391" s="19" t="n"/>
      <c r="T1391" s="19" t="n"/>
      <c r="U1391" s="14" t="n">
        <v>46194</v>
      </c>
      <c r="V1391" s="7" t="inlineStr">
        <is>
          <t>v2-cv-accuracy-13b988b18da8ea7d</t>
        </is>
      </c>
    </row>
    <row r="1392" ht="28" customHeight="1">
      <c r="A1392" s="12">
        <f>IF($L1392="applied","Applied",IF($L1392="interview","Interview",IF($L1392="offer","Offer",IF($L1392="rejected","Rejected",IF($L1392="ignore","Ignore",IF($L1392="archive","Archive",IF($L1392="closed","Closed",IF($B1392="","Unscored",IF(AND($B1392&gt;=8,OR($H1392="",$H1392-TODAY()&lt;=14)),"P1 Apply",IF($B1392&gt;=7,"P2 Strong",IF($B1392&gt;=5,"P3 Maybe","P4 Low")))))))))))</f>
        <v/>
      </c>
      <c r="B1392" s="13" t="n">
        <v>0.75</v>
      </c>
      <c r="C1392" s="12" t="inlineStr">
        <is>
          <t>Internship</t>
        </is>
      </c>
      <c r="D1392" s="8" t="inlineStr">
        <is>
          <t>Operational Technology Intern</t>
        </is>
      </c>
      <c r="E1392" s="7" t="inlineStr">
        <is>
          <t>Smith+Nephew</t>
        </is>
      </c>
      <c r="F1392" s="8" t="inlineStr">
        <is>
          <t>Kingston upon Hull, ENG, GB</t>
        </is>
      </c>
      <c r="G1392" s="8" t="n"/>
      <c r="H1392" s="14" t="n"/>
      <c r="I1392" s="15">
        <f>IF($H1392="","",$H1392-TODAY())</f>
        <v/>
      </c>
      <c r="J1392" s="16" t="inlineStr">
        <is>
          <t>Open posting</t>
        </is>
      </c>
      <c r="K1392" s="8" t="inlineStr">
        <is>
          <t>filtered by keyword pre-scan</t>
        </is>
      </c>
      <c r="L1392" s="17" t="inlineStr">
        <is>
          <t>new</t>
        </is>
      </c>
      <c r="M1392" s="18" t="inlineStr"/>
      <c r="N1392" s="7" t="inlineStr">
        <is>
          <t>1bb25a2e1e90ed20bdd80089812c2b0d93ff8d3c</t>
        </is>
      </c>
      <c r="O1392" s="14" t="n">
        <v>46178</v>
      </c>
      <c r="P1392" s="7" t="inlineStr">
        <is>
          <t>jobspy</t>
        </is>
      </c>
      <c r="Q1392" s="8" t="inlineStr">
        <is>
          <t>git, c</t>
        </is>
      </c>
      <c r="R1392" s="8" t="inlineStr">
        <is>
          <t>Graduate Computer Engineer digital design</t>
        </is>
      </c>
      <c r="S1392" s="19" t="n"/>
      <c r="T1392" s="19" t="n"/>
      <c r="U1392" s="14" t="n">
        <v>46194</v>
      </c>
      <c r="V1392" s="7" t="inlineStr">
        <is>
          <t>v2-cv-accuracy-13b988b18da8ea7d</t>
        </is>
      </c>
    </row>
    <row r="1393" ht="28" customHeight="1">
      <c r="A1393" s="12">
        <f>IF($L1393="applied","Applied",IF($L1393="interview","Interview",IF($L1393="offer","Offer",IF($L1393="rejected","Rejected",IF($L1393="ignore","Ignore",IF($L1393="archive","Archive",IF($L1393="closed","Closed",IF($B1393="","Unscored",IF(AND($B1393&gt;=8,OR($H1393="",$H1393-TODAY()&lt;=14)),"P1 Apply",IF($B1393&gt;=7,"P2 Strong",IF($B1393&gt;=5,"P3 Maybe","P4 Low")))))))))))</f>
        <v/>
      </c>
      <c r="B1393" s="13" t="n">
        <v>0.75</v>
      </c>
      <c r="C1393" s="12" t="inlineStr">
        <is>
          <t>Unspecified</t>
        </is>
      </c>
      <c r="D1393" s="8" t="inlineStr">
        <is>
          <t>Digital Systems Engineer</t>
        </is>
      </c>
      <c r="E1393" s="7" t="inlineStr">
        <is>
          <t>Safehinge Primera</t>
        </is>
      </c>
      <c r="F1393" s="8" t="inlineStr">
        <is>
          <t>Glasgow, Scotland, UK</t>
        </is>
      </c>
      <c r="G1393" s="8" t="n"/>
      <c r="H1393" s="14" t="n"/>
      <c r="I1393" s="15">
        <f>IF($H1393="","",$H1393-TODAY())</f>
        <v/>
      </c>
      <c r="J1393" s="16" t="inlineStr">
        <is>
          <t>Open posting</t>
        </is>
      </c>
      <c r="K1393" s="8" t="inlineStr">
        <is>
          <t>filtered by keyword pre-scan</t>
        </is>
      </c>
      <c r="L1393" s="17" t="inlineStr">
        <is>
          <t>new</t>
        </is>
      </c>
      <c r="M1393" s="18" t="inlineStr"/>
      <c r="N1393" s="7" t="inlineStr">
        <is>
          <t>0e0916af958522ca8354dbcd8d2b0d6de5edfef9</t>
        </is>
      </c>
      <c r="O1393" s="14" t="n">
        <v>46181</v>
      </c>
      <c r="P1393" s="7" t="inlineStr">
        <is>
          <t>jobspy</t>
        </is>
      </c>
      <c r="Q1393" s="8" t="inlineStr">
        <is>
          <t>git, c</t>
        </is>
      </c>
      <c r="R1393" s="8" t="inlineStr">
        <is>
          <t>Graduate Computer Engineer digital design</t>
        </is>
      </c>
      <c r="S1393" s="19" t="n"/>
      <c r="T1393" s="19" t="n"/>
      <c r="U1393" s="14" t="n">
        <v>46194</v>
      </c>
      <c r="V1393" s="7" t="inlineStr">
        <is>
          <t>v2-cv-accuracy-13b988b18da8ea7d</t>
        </is>
      </c>
    </row>
    <row r="1394" ht="28" customHeight="1">
      <c r="A1394" s="12">
        <f>IF($L1394="applied","Applied",IF($L1394="interview","Interview",IF($L1394="offer","Offer",IF($L1394="rejected","Rejected",IF($L1394="ignore","Ignore",IF($L1394="archive","Archive",IF($L1394="closed","Closed",IF($B1394="","Unscored",IF(AND($B1394&gt;=8,OR($H1394="",$H1394-TODAY()&lt;=14)),"P1 Apply",IF($B1394&gt;=7,"P2 Strong",IF($B1394&gt;=5,"P3 Maybe","P4 Low")))))))))))</f>
        <v/>
      </c>
      <c r="B1394" s="13" t="n">
        <v>0.75</v>
      </c>
      <c r="C1394" s="12" t="inlineStr">
        <is>
          <t>Senior/Lead</t>
        </is>
      </c>
      <c r="D1394" s="8" t="inlineStr">
        <is>
          <t>Software Systems Engineer - Luxury Audio</t>
        </is>
      </c>
      <c r="E1394" s="7" t="inlineStr">
        <is>
          <t>HARMAN International</t>
        </is>
      </c>
      <c r="F1394" s="8" t="inlineStr">
        <is>
          <t>Waterbeach, England, UK</t>
        </is>
      </c>
      <c r="G1394" s="8" t="n"/>
      <c r="H1394" s="14" t="n"/>
      <c r="I1394" s="15">
        <f>IF($H1394="","",$H1394-TODAY())</f>
        <v/>
      </c>
      <c r="J1394" s="16" t="inlineStr">
        <is>
          <t>Open posting</t>
        </is>
      </c>
      <c r="K1394" s="8" t="inlineStr">
        <is>
          <t>filtered by keyword pre-scan</t>
        </is>
      </c>
      <c r="L1394" s="17" t="inlineStr">
        <is>
          <t>new</t>
        </is>
      </c>
      <c r="M1394" s="18" t="inlineStr"/>
      <c r="N1394" s="7" t="inlineStr">
        <is>
          <t>c05e9d96ba308365963aae9a6aa3be21d38af1c3</t>
        </is>
      </c>
      <c r="O1394" s="14" t="n">
        <v>46176</v>
      </c>
      <c r="P1394" s="7" t="inlineStr">
        <is>
          <t>jobspy</t>
        </is>
      </c>
      <c r="Q1394" s="8" t="inlineStr">
        <is>
          <t>git, c</t>
        </is>
      </c>
      <c r="R1394" s="8" t="inlineStr">
        <is>
          <t>Graduate Computer Engineer digital design</t>
        </is>
      </c>
      <c r="S1394" s="19" t="n"/>
      <c r="T1394" s="19" t="n"/>
      <c r="U1394" s="14" t="n">
        <v>46194</v>
      </c>
      <c r="V1394" s="7" t="inlineStr">
        <is>
          <t>v2-cv-accuracy-13b988b18da8ea7d</t>
        </is>
      </c>
    </row>
    <row r="1395" ht="28" customHeight="1">
      <c r="A1395" s="12">
        <f>IF($L1395="applied","Applied",IF($L1395="interview","Interview",IF($L1395="offer","Offer",IF($L1395="rejected","Rejected",IF($L1395="ignore","Ignore",IF($L1395="archive","Archive",IF($L1395="closed","Closed",IF($B1395="","Unscored",IF(AND($B1395&gt;=8,OR($H1395="",$H1395-TODAY()&lt;=14)),"P1 Apply",IF($B1395&gt;=7,"P2 Strong",IF($B1395&gt;=5,"P3 Maybe","P4 Low")))))))))))</f>
        <v/>
      </c>
      <c r="B1395" s="13" t="n">
        <v>0.75</v>
      </c>
      <c r="C1395" s="12" t="inlineStr">
        <is>
          <t>Junior</t>
        </is>
      </c>
      <c r="D1395" s="8" t="inlineStr">
        <is>
          <t>Avionics Engineer</t>
        </is>
      </c>
      <c r="E1395" s="7" t="inlineStr">
        <is>
          <t>Eaton</t>
        </is>
      </c>
      <c r="F1395" s="8" t="inlineStr">
        <is>
          <t>Dorset, England, UK</t>
        </is>
      </c>
      <c r="G1395" s="8" t="n"/>
      <c r="H1395" s="14" t="n"/>
      <c r="I1395" s="15">
        <f>IF($H1395="","",$H1395-TODAY())</f>
        <v/>
      </c>
      <c r="J1395" s="16" t="inlineStr">
        <is>
          <t>Open posting</t>
        </is>
      </c>
      <c r="K1395" s="8" t="inlineStr">
        <is>
          <t>filtered by keyword pre-scan</t>
        </is>
      </c>
      <c r="L1395" s="17" t="inlineStr">
        <is>
          <t>new</t>
        </is>
      </c>
      <c r="M1395" s="18" t="inlineStr"/>
      <c r="N1395" s="7" t="inlineStr">
        <is>
          <t>34941e97184d5ea2aa50aaedfc8cbf98e157746f</t>
        </is>
      </c>
      <c r="O1395" s="14" t="n">
        <v>46184</v>
      </c>
      <c r="P1395" s="7" t="inlineStr">
        <is>
          <t>jobspy</t>
        </is>
      </c>
      <c r="Q1395" s="8" t="inlineStr">
        <is>
          <t>c</t>
        </is>
      </c>
      <c r="R1395" s="8" t="inlineStr">
        <is>
          <t>Graduate Aerospace Engineer electronics Sheffield</t>
        </is>
      </c>
      <c r="S1395" s="19" t="n"/>
      <c r="T1395" s="19" t="n"/>
      <c r="U1395" s="14" t="n">
        <v>46194</v>
      </c>
      <c r="V1395" s="7" t="inlineStr">
        <is>
          <t>v2-cv-accuracy-13b988b18da8ea7d</t>
        </is>
      </c>
    </row>
    <row r="1396" ht="28" customHeight="1">
      <c r="A1396" s="12">
        <f>IF($L1396="applied","Applied",IF($L1396="interview","Interview",IF($L1396="offer","Offer",IF($L1396="rejected","Rejected",IF($L1396="ignore","Ignore",IF($L1396="archive","Archive",IF($L1396="closed","Closed",IF($B1396="","Unscored",IF(AND($B1396&gt;=8,OR($H1396="",$H1396-TODAY()&lt;=14)),"P1 Apply",IF($B1396&gt;=7,"P2 Strong",IF($B1396&gt;=5,"P3 Maybe","P4 Low")))))))))))</f>
        <v/>
      </c>
      <c r="B1396" s="13" t="n">
        <v>0.75</v>
      </c>
      <c r="C1396" s="12" t="inlineStr">
        <is>
          <t>Senior/Lead</t>
        </is>
      </c>
      <c r="D1396" s="8" t="inlineStr">
        <is>
          <t>Embedded Software Engineer</t>
        </is>
      </c>
      <c r="E1396" s="7" t="inlineStr">
        <is>
          <t>ZENOVO</t>
        </is>
      </c>
      <c r="F1396" s="8" t="inlineStr">
        <is>
          <t>Bristol, ENG, GB</t>
        </is>
      </c>
      <c r="G1396" s="8" t="n"/>
      <c r="H1396" s="14" t="n"/>
      <c r="I1396" s="15">
        <f>IF($H1396="","",$H1396-TODAY())</f>
        <v/>
      </c>
      <c r="J1396" s="16" t="inlineStr">
        <is>
          <t>Open posting</t>
        </is>
      </c>
      <c r="K1396" s="8" t="inlineStr">
        <is>
          <t>filtered by keyword pre-scan</t>
        </is>
      </c>
      <c r="L1396" s="17" t="inlineStr">
        <is>
          <t>new</t>
        </is>
      </c>
      <c r="M1396" s="18" t="inlineStr"/>
      <c r="N1396" s="7" t="inlineStr">
        <is>
          <t>df688a12ccf3e8cfdb42baa7a40b94bc4c45f61d</t>
        </is>
      </c>
      <c r="O1396" s="14" t="n">
        <v>46178</v>
      </c>
      <c r="P1396" s="7" t="inlineStr">
        <is>
          <t>jobspy</t>
        </is>
      </c>
      <c r="Q1396" s="8" t="inlineStr">
        <is>
          <t>git, c</t>
        </is>
      </c>
      <c r="R1396" s="8" t="inlineStr">
        <is>
          <t>Graduate Software Engineer embedded systems</t>
        </is>
      </c>
      <c r="S1396" s="19" t="n"/>
      <c r="T1396" s="19" t="n"/>
      <c r="U1396" s="14" t="n">
        <v>46194</v>
      </c>
      <c r="V1396" s="7" t="inlineStr">
        <is>
          <t>v2-cv-accuracy-13b988b18da8ea7d</t>
        </is>
      </c>
    </row>
    <row r="1397" ht="28" customHeight="1">
      <c r="A1397" s="12">
        <f>IF($L1397="applied","Applied",IF($L1397="interview","Interview",IF($L1397="offer","Offer",IF($L1397="rejected","Rejected",IF($L1397="ignore","Ignore",IF($L1397="archive","Archive",IF($L1397="closed","Closed",IF($B1397="","Unscored",IF(AND($B1397&gt;=8,OR($H1397="",$H1397-TODAY()&lt;=14)),"P1 Apply",IF($B1397&gt;=7,"P2 Strong",IF($B1397&gt;=5,"P3 Maybe","P4 Low")))))))))))</f>
        <v/>
      </c>
      <c r="B1397" s="13" t="n">
        <v>0.75</v>
      </c>
      <c r="C1397" s="12" t="inlineStr">
        <is>
          <t>Senior/Lead</t>
        </is>
      </c>
      <c r="D1397" s="8" t="inlineStr">
        <is>
          <t>Data Engineer</t>
        </is>
      </c>
      <c r="E1397" s="7" t="inlineStr">
        <is>
          <t>Robert Half</t>
        </is>
      </c>
      <c r="F1397" s="8" t="inlineStr">
        <is>
          <t>London Area, United Kingdom</t>
        </is>
      </c>
      <c r="G1397" s="8" t="n"/>
      <c r="H1397" s="14" t="n"/>
      <c r="I1397" s="15">
        <f>IF($H1397="","",$H1397-TODAY())</f>
        <v/>
      </c>
      <c r="J1397" s="16" t="inlineStr">
        <is>
          <t>Open posting</t>
        </is>
      </c>
      <c r="K1397" s="8" t="inlineStr">
        <is>
          <t>filtered by keyword pre-scan</t>
        </is>
      </c>
      <c r="L1397" s="17" t="inlineStr">
        <is>
          <t>new</t>
        </is>
      </c>
      <c r="M1397" s="18" t="inlineStr"/>
      <c r="N1397" s="7" t="inlineStr">
        <is>
          <t>f86a5a7f3f5b31203404c795320f85e3c9f386e3</t>
        </is>
      </c>
      <c r="O1397" s="14" t="n">
        <v>46190</v>
      </c>
      <c r="P1397" s="7" t="inlineStr">
        <is>
          <t>jobspy</t>
        </is>
      </c>
      <c r="Q1397" s="8" t="inlineStr">
        <is>
          <t>sql, c</t>
        </is>
      </c>
      <c r="R1397" s="8" t="inlineStr">
        <is>
          <t>Graduate Data Engineer Python SQL pipeline</t>
        </is>
      </c>
      <c r="S1397" s="19" t="n"/>
      <c r="T1397" s="19" t="n"/>
      <c r="U1397" s="14" t="n">
        <v>46194</v>
      </c>
      <c r="V1397" s="7" t="inlineStr">
        <is>
          <t>v2-cv-accuracy-13b988b18da8ea7d</t>
        </is>
      </c>
    </row>
    <row r="1398" ht="28" customHeight="1">
      <c r="A1398" s="12">
        <f>IF($L1398="applied","Applied",IF($L1398="interview","Interview",IF($L1398="offer","Offer",IF($L1398="rejected","Rejected",IF($L1398="ignore","Ignore",IF($L1398="archive","Archive",IF($L1398="closed","Closed",IF($B1398="","Unscored",IF(AND($B1398&gt;=8,OR($H1398="",$H1398-TODAY()&lt;=14)),"P1 Apply",IF($B1398&gt;=7,"P2 Strong",IF($B1398&gt;=5,"P3 Maybe","P4 Low")))))))))))</f>
        <v/>
      </c>
      <c r="B1398" s="13" t="n">
        <v>0.75</v>
      </c>
      <c r="C1398" s="12" t="inlineStr">
        <is>
          <t>Unspecified</t>
        </is>
      </c>
      <c r="D1398" s="8" t="inlineStr">
        <is>
          <t>Data Engineer - Birmingham/Flexible</t>
        </is>
      </c>
      <c r="E1398" s="7" t="inlineStr">
        <is>
          <t>Investigo</t>
        </is>
      </c>
      <c r="F1398" s="8" t="inlineStr">
        <is>
          <t>Birmingham, England, UK</t>
        </is>
      </c>
      <c r="G1398" s="8" t="n"/>
      <c r="H1398" s="14" t="n"/>
      <c r="I1398" s="15">
        <f>IF($H1398="","",$H1398-TODAY())</f>
        <v/>
      </c>
      <c r="J1398" s="16" t="inlineStr">
        <is>
          <t>Open posting</t>
        </is>
      </c>
      <c r="K1398" s="8" t="inlineStr">
        <is>
          <t>filtered by keyword pre-scan</t>
        </is>
      </c>
      <c r="L1398" s="17" t="inlineStr">
        <is>
          <t>new</t>
        </is>
      </c>
      <c r="M1398" s="18" t="inlineStr"/>
      <c r="N1398" s="7" t="inlineStr">
        <is>
          <t>5e131f099e2d37a978148a796396bfefc5d7a4bc</t>
        </is>
      </c>
      <c r="O1398" s="14" t="n">
        <v>46181</v>
      </c>
      <c r="P1398" s="7" t="inlineStr">
        <is>
          <t>jobspy</t>
        </is>
      </c>
      <c r="Q1398" s="8" t="inlineStr">
        <is>
          <t>sql, c</t>
        </is>
      </c>
      <c r="R1398" s="8" t="inlineStr">
        <is>
          <t>Graduate Data Engineer Python SQL pipeline</t>
        </is>
      </c>
      <c r="S1398" s="19" t="n"/>
      <c r="T1398" s="19" t="n"/>
      <c r="U1398" s="14" t="n">
        <v>46194</v>
      </c>
      <c r="V1398" s="7" t="inlineStr">
        <is>
          <t>v2-cv-accuracy-13b988b18da8ea7d</t>
        </is>
      </c>
    </row>
    <row r="1399" ht="28" customHeight="1">
      <c r="A1399" s="12">
        <f>IF($L1399="applied","Applied",IF($L1399="interview","Interview",IF($L1399="offer","Offer",IF($L1399="rejected","Rejected",IF($L1399="ignore","Ignore",IF($L1399="archive","Archive",IF($L1399="closed","Closed",IF($B1399="","Unscored",IF(AND($B1399&gt;=8,OR($H1399="",$H1399-TODAY()&lt;=14)),"P1 Apply",IF($B1399&gt;=7,"P2 Strong",IF($B1399&gt;=5,"P3 Maybe","P4 Low")))))))))))</f>
        <v/>
      </c>
      <c r="B1399" s="13" t="n">
        <v>0.75</v>
      </c>
      <c r="C1399" s="12" t="inlineStr">
        <is>
          <t>Unspecified</t>
        </is>
      </c>
      <c r="D1399" s="8" t="inlineStr">
        <is>
          <t>Software Engineer - Open Source</t>
        </is>
      </c>
      <c r="E1399" s="7" t="inlineStr">
        <is>
          <t>Riverlane</t>
        </is>
      </c>
      <c r="F1399" s="8" t="inlineStr">
        <is>
          <t>Cambridge, England, UK</t>
        </is>
      </c>
      <c r="G1399" s="8" t="n"/>
      <c r="H1399" s="14" t="n"/>
      <c r="I1399" s="15">
        <f>IF($H1399="","",$H1399-TODAY())</f>
        <v/>
      </c>
      <c r="J1399" s="16" t="inlineStr">
        <is>
          <t>Open posting</t>
        </is>
      </c>
      <c r="K1399" s="8" t="inlineStr">
        <is>
          <t>filtered by keyword pre-scan</t>
        </is>
      </c>
      <c r="L1399" s="17" t="inlineStr">
        <is>
          <t>new</t>
        </is>
      </c>
      <c r="M1399" s="18" t="inlineStr"/>
      <c r="N1399" s="7" t="inlineStr">
        <is>
          <t>63fb3876cdc4652a561a0a5014518f80e6664176</t>
        </is>
      </c>
      <c r="O1399" s="14" t="n">
        <v>46191</v>
      </c>
      <c r="P1399" s="7" t="inlineStr">
        <is>
          <t>jobspy</t>
        </is>
      </c>
      <c r="Q1399" s="8" t="inlineStr">
        <is>
          <t>python, c</t>
        </is>
      </c>
      <c r="R1399" s="8" t="inlineStr">
        <is>
          <t>Embedded Software Engineer graduate C Python</t>
        </is>
      </c>
      <c r="S1399" s="19" t="n"/>
      <c r="T1399" s="19" t="n"/>
      <c r="U1399" s="14" t="n">
        <v>46194</v>
      </c>
      <c r="V1399" s="7" t="inlineStr">
        <is>
          <t>v2-cv-accuracy-13b988b18da8ea7d</t>
        </is>
      </c>
    </row>
    <row r="1400" ht="28" customHeight="1">
      <c r="A1400" s="12">
        <f>IF($L1400="applied","Applied",IF($L1400="interview","Interview",IF($L1400="offer","Offer",IF($L1400="rejected","Rejected",IF($L1400="ignore","Ignore",IF($L1400="archive","Archive",IF($L1400="closed","Closed",IF($B1400="","Unscored",IF(AND($B1400&gt;=8,OR($H1400="",$H1400-TODAY()&lt;=14)),"P1 Apply",IF($B1400&gt;=7,"P2 Strong",IF($B1400&gt;=5,"P3 Maybe","P4 Low")))))))))))</f>
        <v/>
      </c>
      <c r="B1400" s="13" t="n">
        <v>0.75</v>
      </c>
      <c r="C1400" s="12" t="inlineStr">
        <is>
          <t>Unspecified</t>
        </is>
      </c>
      <c r="D1400" s="8" t="inlineStr">
        <is>
          <t>Integration Software Engineer</t>
        </is>
      </c>
      <c r="E1400" s="7" t="inlineStr">
        <is>
          <t>Riverlane</t>
        </is>
      </c>
      <c r="F1400" s="8" t="inlineStr">
        <is>
          <t>Cambridge, England, UK</t>
        </is>
      </c>
      <c r="G1400" s="8" t="n"/>
      <c r="H1400" s="14" t="n"/>
      <c r="I1400" s="15">
        <f>IF($H1400="","",$H1400-TODAY())</f>
        <v/>
      </c>
      <c r="J1400" s="16" t="inlineStr">
        <is>
          <t>Open posting</t>
        </is>
      </c>
      <c r="K1400" s="8" t="inlineStr">
        <is>
          <t>filtered by keyword pre-scan</t>
        </is>
      </c>
      <c r="L1400" s="17" t="inlineStr">
        <is>
          <t>new</t>
        </is>
      </c>
      <c r="M1400" s="18" t="inlineStr"/>
      <c r="N1400" s="7" t="inlineStr">
        <is>
          <t>5b348914134ec0df8914d5556841aaa66f7b9098</t>
        </is>
      </c>
      <c r="O1400" s="14" t="n">
        <v>46185</v>
      </c>
      <c r="P1400" s="7" t="inlineStr">
        <is>
          <t>jobspy</t>
        </is>
      </c>
      <c r="Q1400" s="8" t="inlineStr">
        <is>
          <t>python, c</t>
        </is>
      </c>
      <c r="R1400" s="8" t="inlineStr">
        <is>
          <t>Embedded Software Engineer graduate C Python</t>
        </is>
      </c>
      <c r="S1400" s="19" t="n"/>
      <c r="T1400" s="19" t="n"/>
      <c r="U1400" s="14" t="n">
        <v>46194</v>
      </c>
      <c r="V1400" s="7" t="inlineStr">
        <is>
          <t>v2-cv-accuracy-13b988b18da8ea7d</t>
        </is>
      </c>
    </row>
    <row r="1401" ht="28" customHeight="1">
      <c r="A1401" s="12">
        <f>IF($L1401="applied","Applied",IF($L1401="interview","Interview",IF($L1401="offer","Offer",IF($L1401="rejected","Rejected",IF($L1401="ignore","Ignore",IF($L1401="archive","Archive",IF($L1401="closed","Closed",IF($B1401="","Unscored",IF(AND($B1401&gt;=8,OR($H1401="",$H1401-TODAY()&lt;=14)),"P1 Apply",IF($B1401&gt;=7,"P2 Strong",IF($B1401&gt;=5,"P3 Maybe","P4 Low")))))))))))</f>
        <v/>
      </c>
      <c r="B1401" s="13" t="n">
        <v>0.75</v>
      </c>
      <c r="C1401" s="12" t="inlineStr">
        <is>
          <t>Senior/Lead</t>
        </is>
      </c>
      <c r="D1401" s="8" t="inlineStr">
        <is>
          <t>Geo-environmental Consultant</t>
        </is>
      </c>
      <c r="E1401" s="7" t="inlineStr">
        <is>
          <t>AtkinsRéalis</t>
        </is>
      </c>
      <c r="F1401" s="8" t="inlineStr">
        <is>
          <t>Glasgow, SCT, GB</t>
        </is>
      </c>
      <c r="G1401" s="8" t="n"/>
      <c r="H1401" s="14" t="n"/>
      <c r="I1401" s="15">
        <f>IF($H1401="","",$H1401-TODAY())</f>
        <v/>
      </c>
      <c r="J1401" s="16" t="inlineStr">
        <is>
          <t>Open posting</t>
        </is>
      </c>
      <c r="K1401" s="8" t="inlineStr">
        <is>
          <t>filtered by keyword pre-scan</t>
        </is>
      </c>
      <c r="L1401" s="17" t="inlineStr">
        <is>
          <t>new</t>
        </is>
      </c>
      <c r="M1401" s="18" t="inlineStr"/>
      <c r="N1401" s="7" t="inlineStr">
        <is>
          <t>26f5dba520fe61ab4898e06f7f968c9ee4f81859</t>
        </is>
      </c>
      <c r="O1401" s="14" t="n">
        <v>46181</v>
      </c>
      <c r="P1401" s="7" t="inlineStr">
        <is>
          <t>jobspy</t>
        </is>
      </c>
      <c r="Q1401" s="8" t="inlineStr">
        <is>
          <t>git, c</t>
        </is>
      </c>
      <c r="R1401" s="8" t="inlineStr">
        <is>
          <t>Graduate Verification Engineer digital design</t>
        </is>
      </c>
      <c r="S1401" s="19" t="n"/>
      <c r="T1401" s="19" t="n"/>
      <c r="U1401" s="14" t="n">
        <v>46194</v>
      </c>
      <c r="V1401" s="7" t="inlineStr">
        <is>
          <t>v2-cv-accuracy-13b988b18da8ea7d</t>
        </is>
      </c>
    </row>
    <row r="1402" ht="28" customHeight="1">
      <c r="A1402" s="12">
        <f>IF($L1402="applied","Applied",IF($L1402="interview","Interview",IF($L1402="offer","Offer",IF($L1402="rejected","Rejected",IF($L1402="ignore","Ignore",IF($L1402="archive","Archive",IF($L1402="closed","Closed",IF($B1402="","Unscored",IF(AND($B1402&gt;=8,OR($H1402="",$H1402-TODAY()&lt;=14)),"P1 Apply",IF($B1402&gt;=7,"P2 Strong",IF($B1402&gt;=5,"P3 Maybe","P4 Low")))))))))))</f>
        <v/>
      </c>
      <c r="B1402" s="13" t="n">
        <v>0.75</v>
      </c>
      <c r="C1402" s="12" t="inlineStr">
        <is>
          <t>Internship</t>
        </is>
      </c>
      <c r="D1402" s="8" t="inlineStr">
        <is>
          <t>Digital R&amp;D Scientist Internship</t>
        </is>
      </c>
      <c r="E1402" s="7" t="inlineStr">
        <is>
          <t>Metalchemy</t>
        </is>
      </c>
      <c r="F1402" s="8" t="inlineStr">
        <is>
          <t>London Area, United Kingdom</t>
        </is>
      </c>
      <c r="G1402" s="8" t="n"/>
      <c r="H1402" s="14" t="n"/>
      <c r="I1402" s="15">
        <f>IF($H1402="","",$H1402-TODAY())</f>
        <v/>
      </c>
      <c r="J1402" s="16" t="inlineStr">
        <is>
          <t>Open posting</t>
        </is>
      </c>
      <c r="K1402" s="8" t="inlineStr">
        <is>
          <t>filtered by keyword pre-scan</t>
        </is>
      </c>
      <c r="L1402" s="17" t="inlineStr">
        <is>
          <t>new</t>
        </is>
      </c>
      <c r="M1402" s="18" t="inlineStr"/>
      <c r="N1402" s="7" t="inlineStr">
        <is>
          <t>219a8e208ee47c9e2504fc6c9a71be2440af6da4</t>
        </is>
      </c>
      <c r="O1402" s="14" t="n">
        <v>46192</v>
      </c>
      <c r="P1402" s="7" t="inlineStr">
        <is>
          <t>jobspy</t>
        </is>
      </c>
      <c r="Q1402" s="8" t="inlineStr">
        <is>
          <t>git, c</t>
        </is>
      </c>
      <c r="R1402" s="8" t="inlineStr">
        <is>
          <t>Graduate Verification Engineer digital design</t>
        </is>
      </c>
      <c r="S1402" s="19" t="n"/>
      <c r="T1402" s="19" t="n"/>
      <c r="U1402" s="14" t="n">
        <v>46194</v>
      </c>
      <c r="V1402" s="7" t="inlineStr">
        <is>
          <t>v2-cv-accuracy-13b988b18da8ea7d</t>
        </is>
      </c>
    </row>
    <row r="1403" ht="28" customHeight="1">
      <c r="A1403" s="12">
        <f>IF($L1403="applied","Applied",IF($L1403="interview","Interview",IF($L1403="offer","Offer",IF($L1403="rejected","Rejected",IF($L1403="ignore","Ignore",IF($L1403="archive","Archive",IF($L1403="closed","Closed",IF($B1403="","Unscored",IF(AND($B1403&gt;=8,OR($H1403="",$H1403-TODAY()&lt;=14)),"P1 Apply",IF($B1403&gt;=7,"P2 Strong",IF($B1403&gt;=5,"P3 Maybe","P4 Low")))))))))))</f>
        <v/>
      </c>
      <c r="B1403" s="13" t="n">
        <v>0.75</v>
      </c>
      <c r="C1403" s="12" t="inlineStr">
        <is>
          <t>Senior/Lead</t>
        </is>
      </c>
      <c r="D1403" s="8" t="inlineStr">
        <is>
          <t>Quality Assurance &amp; Test Engineer</t>
        </is>
      </c>
      <c r="E1403" s="7" t="inlineStr">
        <is>
          <t>Birmingham City Council</t>
        </is>
      </c>
      <c r="F1403" s="8" t="inlineStr">
        <is>
          <t>Birmingham, England, UK</t>
        </is>
      </c>
      <c r="G1403" s="8" t="n"/>
      <c r="H1403" s="14" t="n"/>
      <c r="I1403" s="15">
        <f>IF($H1403="","",$H1403-TODAY())</f>
        <v/>
      </c>
      <c r="J1403" s="16" t="inlineStr">
        <is>
          <t>Open posting</t>
        </is>
      </c>
      <c r="K1403" s="8" t="inlineStr">
        <is>
          <t>filtered by keyword pre-scan</t>
        </is>
      </c>
      <c r="L1403" s="17" t="inlineStr">
        <is>
          <t>new</t>
        </is>
      </c>
      <c r="M1403" s="18" t="inlineStr"/>
      <c r="N1403" s="7" t="inlineStr">
        <is>
          <t>029fb2d056afd1977c834e3f28015fcc6596edc2</t>
        </is>
      </c>
      <c r="O1403" s="14" t="n">
        <v>46191</v>
      </c>
      <c r="P1403" s="7" t="inlineStr">
        <is>
          <t>jobspy</t>
        </is>
      </c>
      <c r="Q1403" s="8" t="inlineStr">
        <is>
          <t>git, c</t>
        </is>
      </c>
      <c r="R1403" s="8" t="inlineStr">
        <is>
          <t>Graduate Verification Engineer digital design</t>
        </is>
      </c>
      <c r="S1403" s="19" t="n"/>
      <c r="T1403" s="19" t="n"/>
      <c r="U1403" s="14" t="n">
        <v>46194</v>
      </c>
      <c r="V1403" s="7" t="inlineStr">
        <is>
          <t>v2-cv-accuracy-13b988b18da8ea7d</t>
        </is>
      </c>
    </row>
    <row r="1404" ht="28" customHeight="1">
      <c r="A1404" s="12">
        <f>IF($L1404="applied","Applied",IF($L1404="interview","Interview",IF($L1404="offer","Offer",IF($L1404="rejected","Rejected",IF($L1404="ignore","Ignore",IF($L1404="archive","Archive",IF($L1404="closed","Closed",IF($B1404="","Unscored",IF(AND($B1404&gt;=8,OR($H1404="",$H1404-TODAY()&lt;=14)),"P1 Apply",IF($B1404&gt;=7,"P2 Strong",IF($B1404&gt;=5,"P3 Maybe","P4 Low")))))))))))</f>
        <v/>
      </c>
      <c r="B1404" s="13" t="n">
        <v>0.75</v>
      </c>
      <c r="C1404" s="12" t="inlineStr">
        <is>
          <t>Junior</t>
        </is>
      </c>
      <c r="D1404" s="8" t="inlineStr">
        <is>
          <t>Junior WebOps/DevOps Engineer</t>
        </is>
      </c>
      <c r="E1404" s="7" t="inlineStr">
        <is>
          <t>Companies House</t>
        </is>
      </c>
      <c r="F1404" s="8" t="inlineStr">
        <is>
          <t>Cardiff, Wales, UK</t>
        </is>
      </c>
      <c r="G1404" s="8" t="n"/>
      <c r="H1404" s="14" t="n"/>
      <c r="I1404" s="15">
        <f>IF($H1404="","",$H1404-TODAY())</f>
        <v/>
      </c>
      <c r="J1404" s="16" t="inlineStr">
        <is>
          <t>Open posting</t>
        </is>
      </c>
      <c r="K1404" s="8" t="inlineStr">
        <is>
          <t>filtered by keyword pre-scan</t>
        </is>
      </c>
      <c r="L1404" s="17" t="inlineStr">
        <is>
          <t>new</t>
        </is>
      </c>
      <c r="M1404" s="18" t="inlineStr"/>
      <c r="N1404" s="7" t="inlineStr">
        <is>
          <t>ce63a354822956db65bf110eb91a403f6cbc22d1</t>
        </is>
      </c>
      <c r="O1404" s="14" t="n">
        <v>46188</v>
      </c>
      <c r="P1404" s="7" t="inlineStr">
        <is>
          <t>jobspy</t>
        </is>
      </c>
      <c r="Q1404" s="8" t="inlineStr">
        <is>
          <t>git, c</t>
        </is>
      </c>
      <c r="R1404" s="8" t="inlineStr">
        <is>
          <t>Platform Engineer graduate Docker Kubernetes Git</t>
        </is>
      </c>
      <c r="S1404" s="19" t="n"/>
      <c r="T1404" s="19" t="n"/>
      <c r="U1404" s="14" t="n">
        <v>46194</v>
      </c>
      <c r="V1404" s="7" t="inlineStr">
        <is>
          <t>v2-cv-accuracy-13b988b18da8ea7d</t>
        </is>
      </c>
    </row>
    <row r="1405" ht="28" customHeight="1">
      <c r="A1405" s="12">
        <f>IF($L1405="applied","Applied",IF($L1405="interview","Interview",IF($L1405="offer","Offer",IF($L1405="rejected","Rejected",IF($L1405="ignore","Ignore",IF($L1405="archive","Archive",IF($L1405="closed","Closed",IF($B1405="","Unscored",IF(AND($B1405&gt;=8,OR($H1405="",$H1405-TODAY()&lt;=14)),"P1 Apply",IF($B1405&gt;=7,"P2 Strong",IF($B1405&gt;=5,"P3 Maybe","P4 Low")))))))))))</f>
        <v/>
      </c>
      <c r="B1405" s="13" t="n">
        <v>0.75</v>
      </c>
      <c r="C1405" s="12" t="inlineStr">
        <is>
          <t>Senior/Lead</t>
        </is>
      </c>
      <c r="D1405" s="8" t="inlineStr">
        <is>
          <t>Systems Engineer - Defence</t>
        </is>
      </c>
      <c r="E1405" s="7" t="inlineStr">
        <is>
          <t>ALTEN</t>
        </is>
      </c>
      <c r="F1405" s="8" t="inlineStr">
        <is>
          <t>Glasgow, Scotland, UK</t>
        </is>
      </c>
      <c r="G1405" s="8" t="n"/>
      <c r="H1405" s="14" t="n"/>
      <c r="I1405" s="15">
        <f>IF($H1405="","",$H1405-TODAY())</f>
        <v/>
      </c>
      <c r="J1405" s="16" t="inlineStr">
        <is>
          <t>Open posting</t>
        </is>
      </c>
      <c r="K1405" s="8" t="inlineStr">
        <is>
          <t>filtered by keyword pre-scan</t>
        </is>
      </c>
      <c r="L1405" s="17" t="inlineStr">
        <is>
          <t>new</t>
        </is>
      </c>
      <c r="M1405" s="18" t="inlineStr"/>
      <c r="N1405" s="7" t="inlineStr">
        <is>
          <t>36c1dd190489c904393912a14a56fb5a18b8c4f5</t>
        </is>
      </c>
      <c r="O1405" s="14" t="n">
        <v>46176</v>
      </c>
      <c r="P1405" s="7" t="inlineStr">
        <is>
          <t>jobspy</t>
        </is>
      </c>
      <c r="Q1405" s="8" t="inlineStr">
        <is>
          <t>c, embedded systems</t>
        </is>
      </c>
      <c r="R1405" s="8" t="inlineStr">
        <is>
          <t>Graduate Systems Engineer embedded hardware</t>
        </is>
      </c>
      <c r="S1405" s="19" t="n"/>
      <c r="T1405" s="19" t="n"/>
      <c r="U1405" s="14" t="n">
        <v>46194</v>
      </c>
      <c r="V1405" s="7" t="inlineStr">
        <is>
          <t>v2-cv-accuracy-13b988b18da8ea7d</t>
        </is>
      </c>
    </row>
    <row r="1406" ht="28" customHeight="1">
      <c r="A1406" s="12">
        <f>IF($L1406="applied","Applied",IF($L1406="interview","Interview",IF($L1406="offer","Offer",IF($L1406="rejected","Rejected",IF($L1406="ignore","Ignore",IF($L1406="archive","Archive",IF($L1406="closed","Closed",IF($B1406="","Unscored",IF(AND($B1406&gt;=8,OR($H1406="",$H1406-TODAY()&lt;=14)),"P1 Apply",IF($B1406&gt;=7,"P2 Strong",IF($B1406&gt;=5,"P3 Maybe","P4 Low")))))))))))</f>
        <v/>
      </c>
      <c r="B1406" s="13" t="n">
        <v>0.75</v>
      </c>
      <c r="C1406" s="12" t="inlineStr">
        <is>
          <t>Senior/Lead</t>
        </is>
      </c>
      <c r="D1406" s="8" t="inlineStr">
        <is>
          <t>Systems Engineer - Defence</t>
        </is>
      </c>
      <c r="E1406" s="7" t="inlineStr">
        <is>
          <t>ALTEN LTD - UK</t>
        </is>
      </c>
      <c r="F1406" s="8" t="inlineStr">
        <is>
          <t>Glasgow, Scotland, UK</t>
        </is>
      </c>
      <c r="G1406" s="8" t="n"/>
      <c r="H1406" s="14" t="n"/>
      <c r="I1406" s="15">
        <f>IF($H1406="","",$H1406-TODAY())</f>
        <v/>
      </c>
      <c r="J1406" s="16" t="inlineStr">
        <is>
          <t>Open posting</t>
        </is>
      </c>
      <c r="K1406" s="8" t="inlineStr">
        <is>
          <t>filtered by keyword pre-scan</t>
        </is>
      </c>
      <c r="L1406" s="17" t="inlineStr">
        <is>
          <t>new</t>
        </is>
      </c>
      <c r="M1406" s="18" t="inlineStr"/>
      <c r="N1406" s="7" t="inlineStr">
        <is>
          <t>32a146e5644379014c5822986af3019f88dab670</t>
        </is>
      </c>
      <c r="O1406" s="14" t="n">
        <v>46176</v>
      </c>
      <c r="P1406" s="7" t="inlineStr">
        <is>
          <t>jobspy</t>
        </is>
      </c>
      <c r="Q1406" s="8" t="inlineStr">
        <is>
          <t>c, embedded systems</t>
        </is>
      </c>
      <c r="R1406" s="8" t="inlineStr">
        <is>
          <t>Graduate Systems Engineer embedded hardware</t>
        </is>
      </c>
      <c r="S1406" s="19" t="n"/>
      <c r="T1406" s="19" t="n"/>
      <c r="U1406" s="14" t="n">
        <v>46194</v>
      </c>
      <c r="V1406" s="7" t="inlineStr">
        <is>
          <t>v2-cv-accuracy-13b988b18da8ea7d</t>
        </is>
      </c>
    </row>
    <row r="1407" ht="28" customHeight="1">
      <c r="A1407" s="12">
        <f>IF($L1407="applied","Applied",IF($L1407="interview","Interview",IF($L1407="offer","Offer",IF($L1407="rejected","Rejected",IF($L1407="ignore","Ignore",IF($L1407="archive","Archive",IF($L1407="closed","Closed",IF($B1407="","Unscored",IF(AND($B1407&gt;=8,OR($H1407="",$H1407-TODAY()&lt;=14)),"P1 Apply",IF($B1407&gt;=7,"P2 Strong",IF($B1407&gt;=5,"P3 Maybe","P4 Low")))))))))))</f>
        <v/>
      </c>
      <c r="B1407" s="13" t="n">
        <v>0.75</v>
      </c>
      <c r="C1407" s="12" t="inlineStr">
        <is>
          <t>Senior/Lead</t>
        </is>
      </c>
      <c r="D1407" s="8" t="inlineStr">
        <is>
          <t>Systems Engineering</t>
        </is>
      </c>
      <c r="E1407" s="7" t="inlineStr">
        <is>
          <t>SII Group UK</t>
        </is>
      </c>
      <c r="F1407" s="8" t="inlineStr">
        <is>
          <t>Bristol, England, UK</t>
        </is>
      </c>
      <c r="G1407" s="8" t="n"/>
      <c r="H1407" s="14" t="n"/>
      <c r="I1407" s="15">
        <f>IF($H1407="","",$H1407-TODAY())</f>
        <v/>
      </c>
      <c r="J1407" s="16" t="inlineStr">
        <is>
          <t>Open posting</t>
        </is>
      </c>
      <c r="K1407" s="8" t="inlineStr">
        <is>
          <t>filtered by keyword pre-scan</t>
        </is>
      </c>
      <c r="L1407" s="17" t="inlineStr">
        <is>
          <t>new</t>
        </is>
      </c>
      <c r="M1407" s="18" t="inlineStr"/>
      <c r="N1407" s="7" t="inlineStr">
        <is>
          <t>fcd75c60c0be3a0f445c2f39517f561d83033eb1</t>
        </is>
      </c>
      <c r="O1407" s="14" t="n">
        <v>46176</v>
      </c>
      <c r="P1407" s="7" t="inlineStr">
        <is>
          <t>jobspy</t>
        </is>
      </c>
      <c r="Q1407" s="8" t="inlineStr">
        <is>
          <t>git, c</t>
        </is>
      </c>
      <c r="R1407" s="8" t="inlineStr">
        <is>
          <t>Graduate Systems Engineer embedded hardware</t>
        </is>
      </c>
      <c r="S1407" s="19" t="n"/>
      <c r="T1407" s="19" t="n"/>
      <c r="U1407" s="14" t="n">
        <v>46194</v>
      </c>
      <c r="V1407" s="7" t="inlineStr">
        <is>
          <t>v2-cv-accuracy-13b988b18da8ea7d</t>
        </is>
      </c>
    </row>
    <row r="1408" ht="28" customHeight="1">
      <c r="A1408" s="12">
        <f>IF($L1408="applied","Applied",IF($L1408="interview","Interview",IF($L1408="offer","Offer",IF($L1408="rejected","Rejected",IF($L1408="ignore","Ignore",IF($L1408="archive","Archive",IF($L1408="closed","Closed",IF($B1408="","Unscored",IF(AND($B1408&gt;=8,OR($H1408="",$H1408-TODAY()&lt;=14)),"P1 Apply",IF($B1408&gt;=7,"P2 Strong",IF($B1408&gt;=5,"P3 Maybe","P4 Low")))))))))))</f>
        <v/>
      </c>
      <c r="B1408" s="13" t="n">
        <v>0.75</v>
      </c>
      <c r="C1408" s="12" t="inlineStr">
        <is>
          <t>Unspecified</t>
        </is>
      </c>
      <c r="D1408" s="8" t="inlineStr">
        <is>
          <t>System Engineer</t>
        </is>
      </c>
      <c r="E1408" s="7" t="inlineStr">
        <is>
          <t>Chase Global</t>
        </is>
      </c>
      <c r="F1408" s="8" t="inlineStr">
        <is>
          <t>Cambridge, England, UK</t>
        </is>
      </c>
      <c r="G1408" s="8" t="n"/>
      <c r="H1408" s="14" t="n"/>
      <c r="I1408" s="15">
        <f>IF($H1408="","",$H1408-TODAY())</f>
        <v/>
      </c>
      <c r="J1408" s="16" t="inlineStr">
        <is>
          <t>Open posting</t>
        </is>
      </c>
      <c r="K1408" s="8" t="inlineStr">
        <is>
          <t>filtered by keyword pre-scan</t>
        </is>
      </c>
      <c r="L1408" s="17" t="inlineStr">
        <is>
          <t>new</t>
        </is>
      </c>
      <c r="M1408" s="18" t="inlineStr"/>
      <c r="N1408" s="7" t="inlineStr">
        <is>
          <t>b2b9e1a81d8a70644f169f0e884b177a4d83513b</t>
        </is>
      </c>
      <c r="O1408" s="14" t="n">
        <v>46168</v>
      </c>
      <c r="P1408" s="7" t="inlineStr">
        <is>
          <t>jobspy</t>
        </is>
      </c>
      <c r="Q1408" s="8" t="inlineStr">
        <is>
          <t>c, embedded systems</t>
        </is>
      </c>
      <c r="R1408" s="8" t="inlineStr">
        <is>
          <t>Graduate Systems Engineer embedded hardware</t>
        </is>
      </c>
      <c r="S1408" s="19" t="n"/>
      <c r="T1408" s="19" t="n"/>
      <c r="U1408" s="14" t="n">
        <v>46194</v>
      </c>
      <c r="V1408" s="7" t="inlineStr">
        <is>
          <t>v2-cv-accuracy-13b988b18da8ea7d</t>
        </is>
      </c>
    </row>
    <row r="1409" ht="28" customHeight="1">
      <c r="A1409" s="12">
        <f>IF($L1409="applied","Applied",IF($L1409="interview","Interview",IF($L1409="offer","Offer",IF($L1409="rejected","Rejected",IF($L1409="ignore","Ignore",IF($L1409="archive","Archive",IF($L1409="closed","Closed",IF($B1409="","Unscored",IF(AND($B1409&gt;=8,OR($H1409="",$H1409-TODAY()&lt;=14)),"P1 Apply",IF($B1409&gt;=7,"P2 Strong",IF($B1409&gt;=5,"P3 Maybe","P4 Low")))))))))))</f>
        <v/>
      </c>
      <c r="B1409" s="13" t="n">
        <v>0.75</v>
      </c>
      <c r="C1409" s="12" t="inlineStr">
        <is>
          <t>Junior</t>
        </is>
      </c>
      <c r="D1409" s="8" t="inlineStr">
        <is>
          <t>Junior AI Engineer</t>
        </is>
      </c>
      <c r="E1409" s="7" t="inlineStr">
        <is>
          <t>Hyra</t>
        </is>
      </c>
      <c r="F1409" s="8" t="inlineStr">
        <is>
          <t>North Yorkshire, England, UK</t>
        </is>
      </c>
      <c r="G1409" s="8" t="n"/>
      <c r="H1409" s="14" t="n"/>
      <c r="I1409" s="15">
        <f>IF($H1409="","",$H1409-TODAY())</f>
        <v/>
      </c>
      <c r="J1409" s="16" t="inlineStr">
        <is>
          <t>Open posting</t>
        </is>
      </c>
      <c r="K1409" s="8" t="inlineStr">
        <is>
          <t>filtered by keyword pre-scan</t>
        </is>
      </c>
      <c r="L1409" s="17" t="inlineStr">
        <is>
          <t>new</t>
        </is>
      </c>
      <c r="M1409" s="18" t="inlineStr"/>
      <c r="N1409" s="7" t="inlineStr">
        <is>
          <t>5d054e519de2d285f211b46b14cfdd35ae8b0351</t>
        </is>
      </c>
      <c r="O1409" s="14" t="n"/>
      <c r="P1409" s="7" t="inlineStr">
        <is>
          <t>jobspy</t>
        </is>
      </c>
      <c r="Q1409" s="8" t="inlineStr">
        <is>
          <t>python, c</t>
        </is>
      </c>
      <c r="R1409" s="8" t="inlineStr">
        <is>
          <t>Graduate Computer Engineer Sheffield remote</t>
        </is>
      </c>
      <c r="S1409" s="19" t="n"/>
      <c r="T1409" s="19" t="n"/>
      <c r="U1409" s="14" t="n">
        <v>46194</v>
      </c>
      <c r="V1409" s="7" t="inlineStr">
        <is>
          <t>v2-cv-accuracy-13b988b18da8ea7d</t>
        </is>
      </c>
    </row>
    <row r="1410" ht="28" customHeight="1">
      <c r="A1410" s="12">
        <f>IF($L1410="applied","Applied",IF($L1410="interview","Interview",IF($L1410="offer","Offer",IF($L1410="rejected","Rejected",IF($L1410="ignore","Ignore",IF($L1410="archive","Archive",IF($L1410="closed","Closed",IF($B1410="","Unscored",IF(AND($B1410&gt;=8,OR($H1410="",$H1410-TODAY()&lt;=14)),"P1 Apply",IF($B1410&gt;=7,"P2 Strong",IF($B1410&gt;=5,"P3 Maybe","P4 Low")))))))))))</f>
        <v/>
      </c>
      <c r="B1410" s="13" t="n">
        <v>0.75</v>
      </c>
      <c r="C1410" s="12" t="inlineStr">
        <is>
          <t>Unspecified</t>
        </is>
      </c>
      <c r="D1410" s="8" t="inlineStr">
        <is>
          <t>Compiler Engineer</t>
        </is>
      </c>
      <c r="E1410" s="7" t="inlineStr">
        <is>
          <t>Riverlane</t>
        </is>
      </c>
      <c r="F1410" s="8" t="inlineStr">
        <is>
          <t>Cambridge, England, UK</t>
        </is>
      </c>
      <c r="G1410" s="8" t="n"/>
      <c r="H1410" s="14" t="n"/>
      <c r="I1410" s="15">
        <f>IF($H1410="","",$H1410-TODAY())</f>
        <v/>
      </c>
      <c r="J1410" s="16" t="inlineStr">
        <is>
          <t>Open posting</t>
        </is>
      </c>
      <c r="K1410" s="8" t="inlineStr">
        <is>
          <t>filtered by keyword pre-scan</t>
        </is>
      </c>
      <c r="L1410" s="17" t="inlineStr">
        <is>
          <t>new</t>
        </is>
      </c>
      <c r="M1410" s="18" t="inlineStr"/>
      <c r="N1410" s="7" t="inlineStr">
        <is>
          <t>a2fbfe313aa10d05452d2bbb012a998acd619ac4</t>
        </is>
      </c>
      <c r="O1410" s="14" t="n">
        <v>46188</v>
      </c>
      <c r="P1410" s="7" t="inlineStr">
        <is>
          <t>jobspy</t>
        </is>
      </c>
      <c r="Q1410" s="8" t="inlineStr">
        <is>
          <t>python, c</t>
        </is>
      </c>
      <c r="R1410" s="8" t="inlineStr">
        <is>
          <t>Graduate Embedded Engineer Python FPGA</t>
        </is>
      </c>
      <c r="S1410" s="19" t="n"/>
      <c r="T1410" s="19" t="n"/>
      <c r="U1410" s="14" t="n">
        <v>46193</v>
      </c>
      <c r="V1410" s="7" t="inlineStr">
        <is>
          <t>v2-cv-accuracy-13b988b18da8ea7d</t>
        </is>
      </c>
    </row>
    <row r="1411" ht="28" customHeight="1">
      <c r="A1411" s="12">
        <f>IF($L1411="applied","Applied",IF($L1411="interview","Interview",IF($L1411="offer","Offer",IF($L1411="rejected","Rejected",IF($L1411="ignore","Ignore",IF($L1411="archive","Archive",IF($L1411="closed","Closed",IF($B1411="","Unscored",IF(AND($B1411&gt;=8,OR($H1411="",$H1411-TODAY()&lt;=14)),"P1 Apply",IF($B1411&gt;=7,"P2 Strong",IF($B1411&gt;=5,"P3 Maybe","P4 Low")))))))))))</f>
        <v/>
      </c>
      <c r="B1411" s="13" t="n">
        <v>0.75</v>
      </c>
      <c r="C1411" s="12" t="inlineStr">
        <is>
          <t>Mid-level</t>
        </is>
      </c>
      <c r="D1411" s="8" t="inlineStr">
        <is>
          <t>System Software Engineer</t>
        </is>
      </c>
      <c r="E1411" s="7" t="inlineStr">
        <is>
          <t>Apple</t>
        </is>
      </c>
      <c r="F1411" s="8" t="inlineStr">
        <is>
          <t>Cambridge, England, UK</t>
        </is>
      </c>
      <c r="G1411" s="8" t="n"/>
      <c r="H1411" s="14" t="n"/>
      <c r="I1411" s="15">
        <f>IF($H1411="","",$H1411-TODAY())</f>
        <v/>
      </c>
      <c r="J1411" s="16" t="inlineStr">
        <is>
          <t>Open posting</t>
        </is>
      </c>
      <c r="K1411" s="8" t="inlineStr">
        <is>
          <t>filtered by keyword pre-scan</t>
        </is>
      </c>
      <c r="L1411" s="17" t="inlineStr">
        <is>
          <t>new</t>
        </is>
      </c>
      <c r="M1411" s="18" t="inlineStr"/>
      <c r="N1411" s="7" t="inlineStr">
        <is>
          <t>c6bf1891c210a63ac9651990c187718416fe4fb9</t>
        </is>
      </c>
      <c r="O1411" s="14" t="n">
        <v>46175</v>
      </c>
      <c r="P1411" s="7" t="inlineStr">
        <is>
          <t>jobspy</t>
        </is>
      </c>
      <c r="Q1411" s="8" t="inlineStr">
        <is>
          <t>git, c</t>
        </is>
      </c>
      <c r="R1411" s="8" t="inlineStr">
        <is>
          <t>Embedded Systems Engineer Raspberry Pi LoRaWAN</t>
        </is>
      </c>
      <c r="S1411" s="19" t="n"/>
      <c r="T1411" s="19" t="n"/>
      <c r="U1411" s="14" t="n">
        <v>46193</v>
      </c>
      <c r="V1411" s="7" t="inlineStr">
        <is>
          <t>v2-cv-accuracy-13b988b18da8ea7d</t>
        </is>
      </c>
    </row>
    <row r="1412" ht="28" customHeight="1">
      <c r="A1412" s="12">
        <f>IF($L1412="applied","Applied",IF($L1412="interview","Interview",IF($L1412="offer","Offer",IF($L1412="rejected","Rejected",IF($L1412="ignore","Ignore",IF($L1412="archive","Archive",IF($L1412="closed","Closed",IF($B1412="","Unscored",IF(AND($B1412&gt;=8,OR($H1412="",$H1412-TODAY()&lt;=14)),"P1 Apply",IF($B1412&gt;=7,"P2 Strong",IF($B1412&gt;=5,"P3 Maybe","P4 Low")))))))))))</f>
        <v/>
      </c>
      <c r="B1412" s="13" t="n">
        <v>0.75</v>
      </c>
      <c r="C1412" s="12" t="inlineStr">
        <is>
          <t>Mid-level</t>
        </is>
      </c>
      <c r="D1412" s="8" t="inlineStr">
        <is>
          <t>Software Engineer</t>
        </is>
      </c>
      <c r="E1412" s="7" t="inlineStr">
        <is>
          <t>Qurated</t>
        </is>
      </c>
      <c r="F1412" s="8" t="inlineStr">
        <is>
          <t>Manchester Area, United Kingdom</t>
        </is>
      </c>
      <c r="G1412" s="8" t="n"/>
      <c r="H1412" s="14" t="n"/>
      <c r="I1412" s="15">
        <f>IF($H1412="","",$H1412-TODAY())</f>
        <v/>
      </c>
      <c r="J1412" s="16" t="inlineStr">
        <is>
          <t>Open posting</t>
        </is>
      </c>
      <c r="K1412" s="8" t="inlineStr">
        <is>
          <t>filtered by keyword pre-scan</t>
        </is>
      </c>
      <c r="L1412" s="17" t="inlineStr">
        <is>
          <t>new</t>
        </is>
      </c>
      <c r="M1412" s="18" t="inlineStr"/>
      <c r="N1412" s="7" t="inlineStr">
        <is>
          <t>df1c841738bb87a1abd409af215dae87480c9857</t>
        </is>
      </c>
      <c r="O1412" s="14" t="n">
        <v>46170</v>
      </c>
      <c r="P1412" s="7" t="inlineStr">
        <is>
          <t>jobspy</t>
        </is>
      </c>
      <c r="Q1412" s="8" t="inlineStr">
        <is>
          <t>python, c</t>
        </is>
      </c>
      <c r="R1412" s="8" t="inlineStr">
        <is>
          <t>Junior Python Developer backend SQL Sheffield</t>
        </is>
      </c>
      <c r="S1412" s="19" t="n"/>
      <c r="T1412" s="19" t="n"/>
      <c r="U1412" s="14" t="n">
        <v>46193</v>
      </c>
      <c r="V1412" s="7" t="inlineStr">
        <is>
          <t>v2-cv-accuracy-13b988b18da8ea7d</t>
        </is>
      </c>
    </row>
    <row r="1413" ht="28" customHeight="1">
      <c r="A1413" s="12">
        <f>IF($L1413="applied","Applied",IF($L1413="interview","Interview",IF($L1413="offer","Offer",IF($L1413="rejected","Rejected",IF($L1413="ignore","Ignore",IF($L1413="archive","Archive",IF($L1413="closed","Closed",IF($B1413="","Unscored",IF(AND($B1413&gt;=8,OR($H1413="",$H1413-TODAY()&lt;=14)),"P1 Apply",IF($B1413&gt;=7,"P2 Strong",IF($B1413&gt;=5,"P3 Maybe","P4 Low")))))))))))</f>
        <v/>
      </c>
      <c r="B1413" s="13" t="n">
        <v>0.75</v>
      </c>
      <c r="C1413" s="12" t="inlineStr">
        <is>
          <t>Junior</t>
        </is>
      </c>
      <c r="D1413" s="8" t="inlineStr">
        <is>
          <t>Junior Developer</t>
        </is>
      </c>
      <c r="E1413" s="7" t="inlineStr">
        <is>
          <t>Vensis Ltd</t>
        </is>
      </c>
      <c r="F1413" s="8" t="inlineStr">
        <is>
          <t>Brough, England, UK</t>
        </is>
      </c>
      <c r="G1413" s="8" t="n"/>
      <c r="H1413" s="14" t="n"/>
      <c r="I1413" s="15">
        <f>IF($H1413="","",$H1413-TODAY())</f>
        <v/>
      </c>
      <c r="J1413" s="16" t="inlineStr">
        <is>
          <t>Open posting</t>
        </is>
      </c>
      <c r="K1413" s="8" t="inlineStr">
        <is>
          <t>filtered by keyword pre-scan</t>
        </is>
      </c>
      <c r="L1413" s="17" t="inlineStr">
        <is>
          <t>new</t>
        </is>
      </c>
      <c r="M1413" s="18" t="inlineStr"/>
      <c r="N1413" s="7" t="inlineStr">
        <is>
          <t>1a63667a765695581baee5671d93ff5999141d8f</t>
        </is>
      </c>
      <c r="O1413" s="14" t="n"/>
      <c r="P1413" s="7" t="inlineStr">
        <is>
          <t>jobspy</t>
        </is>
      </c>
      <c r="Q1413" s="8" t="inlineStr">
        <is>
          <t>sql, c</t>
        </is>
      </c>
      <c r="R1413" s="8" t="inlineStr">
        <is>
          <t>Junior Python Developer backend SQL Sheffield</t>
        </is>
      </c>
      <c r="S1413" s="19" t="n"/>
      <c r="T1413" s="19" t="n"/>
      <c r="U1413" s="14" t="n">
        <v>46193</v>
      </c>
      <c r="V1413" s="7" t="inlineStr">
        <is>
          <t>v2-cv-accuracy-13b988b18da8ea7d</t>
        </is>
      </c>
    </row>
    <row r="1414" ht="28" customHeight="1">
      <c r="A1414" s="12">
        <f>IF($L1414="applied","Applied",IF($L1414="interview","Interview",IF($L1414="offer","Offer",IF($L1414="rejected","Rejected",IF($L1414="ignore","Ignore",IF($L1414="archive","Archive",IF($L1414="closed","Closed",IF($B1414="","Unscored",IF(AND($B1414&gt;=8,OR($H1414="",$H1414-TODAY()&lt;=14)),"P1 Apply",IF($B1414&gt;=7,"P2 Strong",IF($B1414&gt;=5,"P3 Maybe","P4 Low")))))))))))</f>
        <v/>
      </c>
      <c r="B1414" s="13" t="n">
        <v>0.75</v>
      </c>
      <c r="C1414" s="12" t="inlineStr">
        <is>
          <t>Senior/Lead</t>
        </is>
      </c>
      <c r="D1414" s="8" t="inlineStr">
        <is>
          <t>Development Engineer</t>
        </is>
      </c>
      <c r="E1414" s="7" t="inlineStr">
        <is>
          <t>ESCO Maritime Solutions</t>
        </is>
      </c>
      <c r="F1414" s="8" t="inlineStr">
        <is>
          <t>Rugeley, England, UK</t>
        </is>
      </c>
      <c r="G1414" s="8" t="n"/>
      <c r="H1414" s="14" t="n"/>
      <c r="I1414" s="15">
        <f>IF($H1414="","",$H1414-TODAY())</f>
        <v/>
      </c>
      <c r="J1414" s="16" t="inlineStr">
        <is>
          <t>Open posting</t>
        </is>
      </c>
      <c r="K1414" s="8" t="inlineStr">
        <is>
          <t>filtered by keyword pre-scan</t>
        </is>
      </c>
      <c r="L1414" s="17" t="inlineStr">
        <is>
          <t>new</t>
        </is>
      </c>
      <c r="M1414" s="18" t="inlineStr"/>
      <c r="N1414" s="7" t="inlineStr">
        <is>
          <t>8e96774a58340f3acbf0a60b1426dc070946728f</t>
        </is>
      </c>
      <c r="O1414" s="14" t="n">
        <v>46177</v>
      </c>
      <c r="P1414" s="7" t="inlineStr">
        <is>
          <t>jobspy</t>
        </is>
      </c>
      <c r="Q1414" s="8" t="inlineStr">
        <is>
          <t>git, c</t>
        </is>
      </c>
      <c r="R1414" s="8" t="inlineStr">
        <is>
          <t>Graduate Systems Engineer hardware software</t>
        </is>
      </c>
      <c r="S1414" s="19" t="n"/>
      <c r="T1414" s="19" t="n"/>
      <c r="U1414" s="14" t="n">
        <v>46193</v>
      </c>
      <c r="V1414" s="7" t="inlineStr">
        <is>
          <t>v2-cv-accuracy-13b988b18da8ea7d</t>
        </is>
      </c>
    </row>
    <row r="1415" ht="28" customHeight="1">
      <c r="A1415" s="12">
        <f>IF($L1415="applied","Applied",IF($L1415="interview","Interview",IF($L1415="offer","Offer",IF($L1415="rejected","Rejected",IF($L1415="ignore","Ignore",IF($L1415="archive","Archive",IF($L1415="closed","Closed",IF($B1415="","Unscored",IF(AND($B1415&gt;=8,OR($H1415="",$H1415-TODAY()&lt;=14)),"P1 Apply",IF($B1415&gt;=7,"P2 Strong",IF($B1415&gt;=5,"P3 Maybe","P4 Low")))))))))))</f>
        <v/>
      </c>
      <c r="B1415" s="13" t="n">
        <v>0.75</v>
      </c>
      <c r="C1415" s="12" t="inlineStr">
        <is>
          <t>Unspecified</t>
        </is>
      </c>
      <c r="D1415" s="8" t="inlineStr">
        <is>
          <t>Software Development Engineer, Advertising</t>
        </is>
      </c>
      <c r="E1415" s="7" t="inlineStr">
        <is>
          <t>Amazon</t>
        </is>
      </c>
      <c r="F1415" s="8" t="inlineStr">
        <is>
          <t>London, England, UK</t>
        </is>
      </c>
      <c r="G1415" s="8" t="n"/>
      <c r="H1415" s="14" t="n"/>
      <c r="I1415" s="15">
        <f>IF($H1415="","",$H1415-TODAY())</f>
        <v/>
      </c>
      <c r="J1415" s="16" t="inlineStr">
        <is>
          <t>Open posting</t>
        </is>
      </c>
      <c r="K1415" s="8" t="inlineStr">
        <is>
          <t>filtered by keyword pre-scan</t>
        </is>
      </c>
      <c r="L1415" s="17" t="inlineStr">
        <is>
          <t>new</t>
        </is>
      </c>
      <c r="M1415" s="18" t="inlineStr"/>
      <c r="N1415" s="7" t="inlineStr">
        <is>
          <t>0c0ca14d39b88a070070c3ace319dcfbe7f1e1de</t>
        </is>
      </c>
      <c r="O1415" s="14" t="n">
        <v>46186</v>
      </c>
      <c r="P1415" s="7" t="inlineStr">
        <is>
          <t>jobspy</t>
        </is>
      </c>
      <c r="Q1415" s="8" t="inlineStr">
        <is>
          <t>c, dsp</t>
        </is>
      </c>
      <c r="R1415" s="8" t="inlineStr">
        <is>
          <t>Graduate Signal Processing Engineer DSP</t>
        </is>
      </c>
      <c r="S1415" s="19" t="n"/>
      <c r="T1415" s="19" t="n"/>
      <c r="U1415" s="14" t="n">
        <v>46193</v>
      </c>
      <c r="V1415" s="7" t="inlineStr">
        <is>
          <t>v2-cv-accuracy-13b988b18da8ea7d</t>
        </is>
      </c>
    </row>
    <row r="1416" ht="28" customHeight="1">
      <c r="A1416" s="12">
        <f>IF($L1416="applied","Applied",IF($L1416="interview","Interview",IF($L1416="offer","Offer",IF($L1416="rejected","Rejected",IF($L1416="ignore","Ignore",IF($L1416="archive","Archive",IF($L1416="closed","Closed",IF($B1416="","Unscored",IF(AND($B1416&gt;=8,OR($H1416="",$H1416-TODAY()&lt;=14)),"P1 Apply",IF($B1416&gt;=7,"P2 Strong",IF($B1416&gt;=5,"P3 Maybe","P4 Low")))))))))))</f>
        <v/>
      </c>
      <c r="B1416" s="13" t="n">
        <v>0.75</v>
      </c>
      <c r="C1416" s="12" t="inlineStr">
        <is>
          <t>Unspecified</t>
        </is>
      </c>
      <c r="D1416" s="8" t="inlineStr">
        <is>
          <t>Applied Machine Learning Scientist</t>
        </is>
      </c>
      <c r="E1416" s="7" t="inlineStr">
        <is>
          <t>StackAdapt</t>
        </is>
      </c>
      <c r="F1416" s="8" t="inlineStr">
        <is>
          <t>London, England, UK</t>
        </is>
      </c>
      <c r="G1416" s="8" t="n"/>
      <c r="H1416" s="14" t="n"/>
      <c r="I1416" s="15">
        <f>IF($H1416="","",$H1416-TODAY())</f>
        <v/>
      </c>
      <c r="J1416" s="16" t="inlineStr">
        <is>
          <t>Open posting</t>
        </is>
      </c>
      <c r="K1416" s="8" t="inlineStr">
        <is>
          <t>filtered by keyword pre-scan</t>
        </is>
      </c>
      <c r="L1416" s="17" t="inlineStr">
        <is>
          <t>new</t>
        </is>
      </c>
      <c r="M1416" s="18" t="inlineStr"/>
      <c r="N1416" s="7" t="inlineStr">
        <is>
          <t>15763f24cdb98a5d63b6d9e28c27962c10f64c60</t>
        </is>
      </c>
      <c r="O1416" s="14" t="n">
        <v>46176</v>
      </c>
      <c r="P1416" s="7" t="inlineStr">
        <is>
          <t>jobspy</t>
        </is>
      </c>
      <c r="Q1416" s="8" t="inlineStr">
        <is>
          <t>c, dsp</t>
        </is>
      </c>
      <c r="R1416" s="8" t="inlineStr">
        <is>
          <t>Graduate Signal Processing Engineer DSP</t>
        </is>
      </c>
      <c r="S1416" s="19" t="n"/>
      <c r="T1416" s="19" t="n"/>
      <c r="U1416" s="14" t="n">
        <v>46193</v>
      </c>
      <c r="V1416" s="7" t="inlineStr">
        <is>
          <t>v2-cv-accuracy-13b988b18da8ea7d</t>
        </is>
      </c>
    </row>
    <row r="1417" ht="28" customHeight="1">
      <c r="A1417" s="12">
        <f>IF($L1417="applied","Applied",IF($L1417="interview","Interview",IF($L1417="offer","Offer",IF($L1417="rejected","Rejected",IF($L1417="ignore","Ignore",IF($L1417="archive","Archive",IF($L1417="closed","Closed",IF($B1417="","Unscored",IF(AND($B1417&gt;=8,OR($H1417="",$H1417-TODAY()&lt;=14)),"P1 Apply",IF($B1417&gt;=7,"P2 Strong",IF($B1417&gt;=5,"P3 Maybe","P4 Low")))))))))))</f>
        <v/>
      </c>
      <c r="B1417" s="13" t="n">
        <v>0.75</v>
      </c>
      <c r="C1417" s="12" t="inlineStr">
        <is>
          <t>Unspecified</t>
        </is>
      </c>
      <c r="D1417" s="8" t="inlineStr">
        <is>
          <t>Applied Machine Learning Scientist</t>
        </is>
      </c>
      <c r="E1417" s="7" t="inlineStr">
        <is>
          <t>StackAdapt</t>
        </is>
      </c>
      <c r="F1417" s="8" t="inlineStr"/>
      <c r="G1417" s="8" t="n"/>
      <c r="H1417" s="14" t="n"/>
      <c r="I1417" s="15">
        <f>IF($H1417="","",$H1417-TODAY())</f>
        <v/>
      </c>
      <c r="J1417" s="16" t="inlineStr">
        <is>
          <t>Open posting</t>
        </is>
      </c>
      <c r="K1417" s="8" t="inlineStr">
        <is>
          <t>filtered by keyword pre-scan</t>
        </is>
      </c>
      <c r="L1417" s="17" t="inlineStr">
        <is>
          <t>new</t>
        </is>
      </c>
      <c r="M1417" s="18" t="inlineStr"/>
      <c r="N1417" s="7" t="inlineStr">
        <is>
          <t>bef2efe03dc77cc25365b8db377c6b2c9d53887c</t>
        </is>
      </c>
      <c r="O1417" s="14" t="n">
        <v>46176</v>
      </c>
      <c r="P1417" s="7" t="inlineStr">
        <is>
          <t>jobspy</t>
        </is>
      </c>
      <c r="Q1417" s="8" t="inlineStr">
        <is>
          <t>c, dsp</t>
        </is>
      </c>
      <c r="R1417" s="8" t="inlineStr">
        <is>
          <t>Graduate Signal Processing Engineer DSP</t>
        </is>
      </c>
      <c r="S1417" s="19" t="n"/>
      <c r="T1417" s="19" t="n"/>
      <c r="U1417" s="14" t="n">
        <v>46193</v>
      </c>
      <c r="V1417" s="7" t="inlineStr">
        <is>
          <t>v2-cv-accuracy-13b988b18da8ea7d</t>
        </is>
      </c>
    </row>
    <row r="1418" ht="28" customHeight="1">
      <c r="A1418" s="12">
        <f>IF($L1418="applied","Applied",IF($L1418="interview","Interview",IF($L1418="offer","Offer",IF($L1418="rejected","Rejected",IF($L1418="ignore","Ignore",IF($L1418="archive","Archive",IF($L1418="closed","Closed",IF($B1418="","Unscored",IF(AND($B1418&gt;=8,OR($H1418="",$H1418-TODAY()&lt;=14)),"P1 Apply",IF($B1418&gt;=7,"P2 Strong",IF($B1418&gt;=5,"P3 Maybe","P4 Low")))))))))))</f>
        <v/>
      </c>
      <c r="B1418" s="13" t="n">
        <v>0.75</v>
      </c>
      <c r="C1418" s="12" t="inlineStr">
        <is>
          <t>Unspecified</t>
        </is>
      </c>
      <c r="D1418" s="8" t="inlineStr">
        <is>
          <t>Tools Programmer: Audio</t>
        </is>
      </c>
      <c r="E1418" s="7" t="inlineStr">
        <is>
          <t>Rockstar Games</t>
        </is>
      </c>
      <c r="F1418" s="8" t="inlineStr">
        <is>
          <t>Edinburgh, Scotland, UK</t>
        </is>
      </c>
      <c r="G1418" s="8" t="n"/>
      <c r="H1418" s="14" t="n"/>
      <c r="I1418" s="15">
        <f>IF($H1418="","",$H1418-TODAY())</f>
        <v/>
      </c>
      <c r="J1418" s="16" t="inlineStr">
        <is>
          <t>Open posting</t>
        </is>
      </c>
      <c r="K1418" s="8" t="inlineStr">
        <is>
          <t>filtered by keyword pre-scan</t>
        </is>
      </c>
      <c r="L1418" s="17" t="inlineStr">
        <is>
          <t>new</t>
        </is>
      </c>
      <c r="M1418" s="18" t="inlineStr"/>
      <c r="N1418" s="7" t="inlineStr">
        <is>
          <t>67b6a522f7b602c62370e1526ed115296e5495a8</t>
        </is>
      </c>
      <c r="O1418" s="14" t="n">
        <v>46175</v>
      </c>
      <c r="P1418" s="7" t="inlineStr">
        <is>
          <t>jobspy</t>
        </is>
      </c>
      <c r="Q1418" s="8" t="inlineStr">
        <is>
          <t>c, dsp</t>
        </is>
      </c>
      <c r="R1418" s="8" t="inlineStr">
        <is>
          <t>Graduate Signal Processing Engineer DSP</t>
        </is>
      </c>
      <c r="S1418" s="19" t="n"/>
      <c r="T1418" s="19" t="n"/>
      <c r="U1418" s="14" t="n">
        <v>46193</v>
      </c>
      <c r="V1418" s="7" t="inlineStr">
        <is>
          <t>v2-cv-accuracy-13b988b18da8ea7d</t>
        </is>
      </c>
    </row>
    <row r="1419" ht="28" customHeight="1">
      <c r="A1419" s="12">
        <f>IF($L1419="applied","Applied",IF($L1419="interview","Interview",IF($L1419="offer","Offer",IF($L1419="rejected","Rejected",IF($L1419="ignore","Ignore",IF($L1419="archive","Archive",IF($L1419="closed","Closed",IF($B1419="","Unscored",IF(AND($B1419&gt;=8,OR($H1419="",$H1419-TODAY()&lt;=14)),"P1 Apply",IF($B1419&gt;=7,"P2 Strong",IF($B1419&gt;=5,"P3 Maybe","P4 Low")))))))))))</f>
        <v/>
      </c>
      <c r="B1419" s="13" t="n">
        <v>0.75</v>
      </c>
      <c r="C1419" s="12" t="inlineStr">
        <is>
          <t>Junior</t>
        </is>
      </c>
      <c r="D1419" s="8" t="inlineStr">
        <is>
          <t>Junior Python Developer</t>
        </is>
      </c>
      <c r="E1419" s="7" t="inlineStr">
        <is>
          <t>Global</t>
        </is>
      </c>
      <c r="F1419" s="8" t="inlineStr">
        <is>
          <t>London, England, UK</t>
        </is>
      </c>
      <c r="G1419" s="8" t="n"/>
      <c r="H1419" s="14" t="n"/>
      <c r="I1419" s="15">
        <f>IF($H1419="","",$H1419-TODAY())</f>
        <v/>
      </c>
      <c r="J1419" s="16" t="inlineStr">
        <is>
          <t>Open posting</t>
        </is>
      </c>
      <c r="K1419" s="8" t="inlineStr">
        <is>
          <t>filtered by keyword pre-scan</t>
        </is>
      </c>
      <c r="L1419" s="17" t="inlineStr">
        <is>
          <t>new</t>
        </is>
      </c>
      <c r="M1419" s="18" t="inlineStr"/>
      <c r="N1419" s="7" t="inlineStr">
        <is>
          <t>ecd908c36ce8b6881b92fe4730f59d03123d90ae</t>
        </is>
      </c>
      <c r="O1419" s="14" t="n">
        <v>46192</v>
      </c>
      <c r="P1419" s="7" t="inlineStr">
        <is>
          <t>jobspy</t>
        </is>
      </c>
      <c r="Q1419" s="8" t="inlineStr">
        <is>
          <t>python, c</t>
        </is>
      </c>
      <c r="R1419" s="8" t="inlineStr">
        <is>
          <t>Graduate Software Engineer Python Docker</t>
        </is>
      </c>
      <c r="S1419" s="19" t="n"/>
      <c r="T1419" s="19" t="n"/>
      <c r="U1419" s="14" t="n">
        <v>46193</v>
      </c>
      <c r="V1419" s="7" t="inlineStr">
        <is>
          <t>v2-cv-accuracy-13b988b18da8ea7d</t>
        </is>
      </c>
    </row>
    <row r="1420" ht="28" customHeight="1">
      <c r="A1420" s="12">
        <f>IF($L1420="applied","Applied",IF($L1420="interview","Interview",IF($L1420="offer","Offer",IF($L1420="rejected","Rejected",IF($L1420="ignore","Ignore",IF($L1420="archive","Archive",IF($L1420="closed","Closed",IF($B1420="","Unscored",IF(AND($B1420&gt;=8,OR($H1420="",$H1420-TODAY()&lt;=14)),"P1 Apply",IF($B1420&gt;=7,"P2 Strong",IF($B1420&gt;=5,"P3 Maybe","P4 Low")))))))))))</f>
        <v/>
      </c>
      <c r="B1420" s="13" t="n">
        <v>0.75</v>
      </c>
      <c r="C1420" s="12" t="inlineStr">
        <is>
          <t>Senior/Lead</t>
        </is>
      </c>
      <c r="D1420" s="8" t="inlineStr">
        <is>
          <t>Research Platforms Engineer</t>
        </is>
      </c>
      <c r="E1420" s="7" t="inlineStr">
        <is>
          <t>The University of Sheffield</t>
        </is>
      </c>
      <c r="F1420" s="8" t="inlineStr">
        <is>
          <t>Sheffield, England, UK</t>
        </is>
      </c>
      <c r="G1420" s="8" t="n"/>
      <c r="H1420" s="14" t="n"/>
      <c r="I1420" s="15">
        <f>IF($H1420="","",$H1420-TODAY())</f>
        <v/>
      </c>
      <c r="J1420" s="16" t="inlineStr">
        <is>
          <t>Open posting</t>
        </is>
      </c>
      <c r="K1420" s="8" t="inlineStr">
        <is>
          <t>filtered by keyword pre-scan</t>
        </is>
      </c>
      <c r="L1420" s="17" t="inlineStr">
        <is>
          <t>new</t>
        </is>
      </c>
      <c r="M1420" s="18" t="inlineStr"/>
      <c r="N1420" s="7" t="inlineStr">
        <is>
          <t>70411ee8832c1c7e3ceb5c0076cc457e959f6a70</t>
        </is>
      </c>
      <c r="O1420" s="14" t="n">
        <v>46184</v>
      </c>
      <c r="P1420" s="7" t="inlineStr">
        <is>
          <t>jobspy</t>
        </is>
      </c>
      <c r="Q1420" s="8" t="inlineStr">
        <is>
          <t>git, c</t>
        </is>
      </c>
      <c r="R1420" s="8" t="inlineStr">
        <is>
          <t>Graduate Computer Engineer Sheffield</t>
        </is>
      </c>
      <c r="S1420" s="19" t="n"/>
      <c r="T1420" s="19" t="n"/>
      <c r="U1420" s="14" t="n">
        <v>46193</v>
      </c>
      <c r="V1420" s="7" t="inlineStr">
        <is>
          <t>v2-cv-accuracy-13b988b18da8ea7d</t>
        </is>
      </c>
    </row>
    <row r="1421" ht="28" customHeight="1">
      <c r="A1421" s="12">
        <f>IF($L1421="applied","Applied",IF($L1421="interview","Interview",IF($L1421="offer","Offer",IF($L1421="rejected","Rejected",IF($L1421="ignore","Ignore",IF($L1421="archive","Archive",IF($L1421="closed","Closed",IF($B1421="","Unscored",IF(AND($B1421&gt;=8,OR($H1421="",$H1421-TODAY()&lt;=14)),"P1 Apply",IF($B1421&gt;=7,"P2 Strong",IF($B1421&gt;=5,"P3 Maybe","P4 Low")))))))))))</f>
        <v/>
      </c>
      <c r="B1421" s="13" t="n">
        <v>0.75</v>
      </c>
      <c r="C1421" s="12" t="inlineStr">
        <is>
          <t>Junior</t>
        </is>
      </c>
      <c r="D1421" s="8" t="inlineStr">
        <is>
          <t>Junior AI Engineer</t>
        </is>
      </c>
      <c r="E1421" s="7" t="inlineStr">
        <is>
          <t>Hyra</t>
        </is>
      </c>
      <c r="F1421" s="8" t="inlineStr">
        <is>
          <t>North Yorkshire, England, UK</t>
        </is>
      </c>
      <c r="G1421" s="8" t="n"/>
      <c r="H1421" s="14" t="n"/>
      <c r="I1421" s="15">
        <f>IF($H1421="","",$H1421-TODAY())</f>
        <v/>
      </c>
      <c r="J1421" s="16" t="inlineStr">
        <is>
          <t>Open posting</t>
        </is>
      </c>
      <c r="K1421" s="8" t="inlineStr">
        <is>
          <t>filtered by keyword pre-scan</t>
        </is>
      </c>
      <c r="L1421" s="17" t="inlineStr">
        <is>
          <t>new</t>
        </is>
      </c>
      <c r="M1421" s="18" t="inlineStr"/>
      <c r="N1421" s="7" t="inlineStr">
        <is>
          <t>2eab2cd5cc990bc12b22874b5930135cfab8dc95</t>
        </is>
      </c>
      <c r="O1421" s="14" t="n"/>
      <c r="P1421" s="7" t="inlineStr">
        <is>
          <t>jobspy</t>
        </is>
      </c>
      <c r="Q1421" s="8" t="inlineStr">
        <is>
          <t>python, c</t>
        </is>
      </c>
      <c r="R1421" s="8" t="inlineStr">
        <is>
          <t>Graduate Computer Engineer Sheffield</t>
        </is>
      </c>
      <c r="S1421" s="19" t="n"/>
      <c r="T1421" s="19" t="n"/>
      <c r="U1421" s="14" t="n">
        <v>46193</v>
      </c>
      <c r="V1421" s="7" t="inlineStr">
        <is>
          <t>v2-cv-accuracy-13b988b18da8ea7d</t>
        </is>
      </c>
    </row>
    <row r="1422" ht="28" customHeight="1">
      <c r="A1422" s="12">
        <f>IF($L1422="applied","Applied",IF($L1422="interview","Interview",IF($L1422="offer","Offer",IF($L1422="rejected","Rejected",IF($L1422="ignore","Ignore",IF($L1422="archive","Archive",IF($L1422="closed","Closed",IF($B1422="","Unscored",IF(AND($B1422&gt;=8,OR($H1422="",$H1422-TODAY()&lt;=14)),"P1 Apply",IF($B1422&gt;=7,"P2 Strong",IF($B1422&gt;=5,"P3 Maybe","P4 Low")))))))))))</f>
        <v/>
      </c>
      <c r="B1422" s="13" t="n">
        <v>0.75</v>
      </c>
      <c r="C1422" s="12" t="inlineStr">
        <is>
          <t>Unspecified</t>
        </is>
      </c>
      <c r="D1422" s="8" t="inlineStr">
        <is>
          <t>Operations Engineer</t>
        </is>
      </c>
      <c r="E1422" s="7" t="inlineStr">
        <is>
          <t>Amodo Design</t>
        </is>
      </c>
      <c r="F1422" s="8" t="inlineStr">
        <is>
          <t>London, England, UK</t>
        </is>
      </c>
      <c r="G1422" s="8" t="n"/>
      <c r="H1422" s="14" t="n"/>
      <c r="I1422" s="15">
        <f>IF($H1422="","",$H1422-TODAY())</f>
        <v/>
      </c>
      <c r="J1422" s="16" t="inlineStr">
        <is>
          <t>Open posting</t>
        </is>
      </c>
      <c r="K1422" s="8" t="inlineStr">
        <is>
          <t>filtered by keyword pre-scan</t>
        </is>
      </c>
      <c r="L1422" s="17" t="inlineStr">
        <is>
          <t>new</t>
        </is>
      </c>
      <c r="M1422" s="18" t="inlineStr"/>
      <c r="N1422" s="7" t="inlineStr">
        <is>
          <t>6884a06a33a031365a7c080a3b93a34e8e114ae7</t>
        </is>
      </c>
      <c r="O1422" s="14" t="n">
        <v>46171</v>
      </c>
      <c r="P1422" s="7" t="inlineStr">
        <is>
          <t>jobspy</t>
        </is>
      </c>
      <c r="Q1422" s="8" t="inlineStr">
        <is>
          <t>fpga, c</t>
        </is>
      </c>
      <c r="R1422" s="8" t="inlineStr">
        <is>
          <t>Graduate Hardware Engineer Sheffield</t>
        </is>
      </c>
      <c r="S1422" s="19" t="n"/>
      <c r="T1422" s="19" t="n"/>
      <c r="U1422" s="14" t="n">
        <v>46192</v>
      </c>
      <c r="V1422" s="7" t="inlineStr">
        <is>
          <t>v2-cv-accuracy-13b988b18da8ea7d</t>
        </is>
      </c>
    </row>
    <row r="1423" ht="28" customHeight="1">
      <c r="A1423" s="12">
        <f>IF($L1423="applied","Applied",IF($L1423="interview","Interview",IF($L1423="offer","Offer",IF($L1423="rejected","Rejected",IF($L1423="ignore","Ignore",IF($L1423="archive","Archive",IF($L1423="closed","Closed",IF($B1423="","Unscored",IF(AND($B1423&gt;=8,OR($H1423="",$H1423-TODAY()&lt;=14)),"P1 Apply",IF($B1423&gt;=7,"P2 Strong",IF($B1423&gt;=5,"P3 Maybe","P4 Low")))))))))))</f>
        <v/>
      </c>
      <c r="B1423" s="13" t="n">
        <v>0.75</v>
      </c>
      <c r="C1423" s="12" t="inlineStr">
        <is>
          <t>Junior</t>
        </is>
      </c>
      <c r="D1423" s="8" t="inlineStr">
        <is>
          <t>Associate Software Engineer</t>
        </is>
      </c>
      <c r="E1423" s="7" t="inlineStr">
        <is>
          <t>Valorence Limited</t>
        </is>
      </c>
      <c r="F1423" s="8" t="inlineStr">
        <is>
          <t>London, ENG, GB</t>
        </is>
      </c>
      <c r="G1423" s="8" t="n"/>
      <c r="H1423" s="14" t="n"/>
      <c r="I1423" s="15">
        <f>IF($H1423="","",$H1423-TODAY())</f>
        <v/>
      </c>
      <c r="J1423" s="16" t="inlineStr">
        <is>
          <t>Open posting</t>
        </is>
      </c>
      <c r="K1423" s="8" t="inlineStr">
        <is>
          <t>filtered by keyword pre-scan</t>
        </is>
      </c>
      <c r="L1423" s="17" t="inlineStr">
        <is>
          <t>new</t>
        </is>
      </c>
      <c r="M1423" s="18" t="inlineStr"/>
      <c r="N1423" s="7" t="inlineStr">
        <is>
          <t>9863fefba611ce3d37ad5c5ab41942936f42adf5</t>
        </is>
      </c>
      <c r="O1423" s="14" t="n">
        <v>46182</v>
      </c>
      <c r="P1423" s="7" t="inlineStr">
        <is>
          <t>jobspy</t>
        </is>
      </c>
      <c r="Q1423" s="8" t="inlineStr">
        <is>
          <t>python, c</t>
        </is>
      </c>
      <c r="R1423" s="8" t="inlineStr">
        <is>
          <t>Graduate Systems Engineer embedded hardware software</t>
        </is>
      </c>
      <c r="S1423" s="19" t="n"/>
      <c r="T1423" s="19" t="n"/>
      <c r="U1423" s="14" t="n">
        <v>46192</v>
      </c>
      <c r="V1423" s="7" t="inlineStr">
        <is>
          <t>v2-cv-accuracy-13b988b18da8ea7d</t>
        </is>
      </c>
    </row>
    <row r="1424" ht="28" customHeight="1">
      <c r="A1424" s="12">
        <f>IF($L1424="applied","Applied",IF($L1424="interview","Interview",IF($L1424="offer","Offer",IF($L1424="rejected","Rejected",IF($L1424="ignore","Ignore",IF($L1424="archive","Archive",IF($L1424="closed","Closed",IF($B1424="","Unscored",IF(AND($B1424&gt;=8,OR($H1424="",$H1424-TODAY()&lt;=14)),"P1 Apply",IF($B1424&gt;=7,"P2 Strong",IF($B1424&gt;=5,"P3 Maybe","P4 Low")))))))))))</f>
        <v/>
      </c>
      <c r="B1424" s="13" t="n">
        <v>0.75</v>
      </c>
      <c r="C1424" s="12" t="inlineStr">
        <is>
          <t>Junior</t>
        </is>
      </c>
      <c r="D1424" s="8" t="inlineStr">
        <is>
          <t>Associate Software Engineer - Data Intelligence</t>
        </is>
      </c>
      <c r="E1424" s="7" t="inlineStr">
        <is>
          <t>Flex Employee Services</t>
        </is>
      </c>
      <c r="F1424" s="8" t="inlineStr">
        <is>
          <t>Edinburgh, Scotland, UK</t>
        </is>
      </c>
      <c r="G1424" s="8" t="n"/>
      <c r="H1424" s="14" t="n"/>
      <c r="I1424" s="15">
        <f>IF($H1424="","",$H1424-TODAY())</f>
        <v/>
      </c>
      <c r="J1424" s="16" t="inlineStr">
        <is>
          <t>Open posting</t>
        </is>
      </c>
      <c r="K1424" s="8" t="inlineStr">
        <is>
          <t>filtered by keyword pre-scan</t>
        </is>
      </c>
      <c r="L1424" s="17" t="inlineStr">
        <is>
          <t>new</t>
        </is>
      </c>
      <c r="M1424" s="18" t="inlineStr"/>
      <c r="N1424" s="7" t="inlineStr">
        <is>
          <t>d79eeb6f1f2b1bbc2cda24d9a6efe8d6257eb781</t>
        </is>
      </c>
      <c r="O1424" s="14" t="n">
        <v>46190</v>
      </c>
      <c r="P1424" s="7" t="inlineStr">
        <is>
          <t>jobspy</t>
        </is>
      </c>
      <c r="Q1424" s="8" t="inlineStr">
        <is>
          <t>python, c</t>
        </is>
      </c>
      <c r="R1424" s="8" t="inlineStr">
        <is>
          <t>Graduate Data Engineer SQL Python pipeline</t>
        </is>
      </c>
      <c r="S1424" s="19" t="n"/>
      <c r="T1424" s="19" t="n"/>
      <c r="U1424" s="14" t="n">
        <v>46192</v>
      </c>
      <c r="V1424" s="7" t="inlineStr">
        <is>
          <t>v2-cv-accuracy-13b988b18da8ea7d</t>
        </is>
      </c>
    </row>
    <row r="1425" ht="28" customHeight="1">
      <c r="A1425" s="12">
        <f>IF($L1425="applied","Applied",IF($L1425="interview","Interview",IF($L1425="offer","Offer",IF($L1425="rejected","Rejected",IF($L1425="ignore","Ignore",IF($L1425="archive","Archive",IF($L1425="closed","Closed",IF($B1425="","Unscored",IF(AND($B1425&gt;=8,OR($H1425="",$H1425-TODAY()&lt;=14)),"P1 Apply",IF($B1425&gt;=7,"P2 Strong",IF($B1425&gt;=5,"P3 Maybe","P4 Low")))))))))))</f>
        <v/>
      </c>
      <c r="B1425" s="13" t="n">
        <v>0.75</v>
      </c>
      <c r="C1425" s="12" t="inlineStr">
        <is>
          <t>Senior/Lead</t>
        </is>
      </c>
      <c r="D1425" s="8" t="inlineStr">
        <is>
          <t>Systems Engineer</t>
        </is>
      </c>
      <c r="E1425" s="7" t="inlineStr">
        <is>
          <t>Airbus Defence and Space</t>
        </is>
      </c>
      <c r="F1425" s="8" t="inlineStr">
        <is>
          <t>Portsmouth, England, UK</t>
        </is>
      </c>
      <c r="G1425" s="8" t="n"/>
      <c r="H1425" s="14" t="n"/>
      <c r="I1425" s="15">
        <f>IF($H1425="","",$H1425-TODAY())</f>
        <v/>
      </c>
      <c r="J1425" s="16" t="inlineStr">
        <is>
          <t>Open posting</t>
        </is>
      </c>
      <c r="K1425" s="8" t="inlineStr">
        <is>
          <t>filtered by keyword pre-scan</t>
        </is>
      </c>
      <c r="L1425" s="17" t="inlineStr">
        <is>
          <t>new</t>
        </is>
      </c>
      <c r="M1425" s="18" t="inlineStr"/>
      <c r="N1425" s="7" t="inlineStr">
        <is>
          <t>eda68f125b16f50460ce98b01e75ce50600324a0</t>
        </is>
      </c>
      <c r="O1425" s="14" t="n">
        <v>46189</v>
      </c>
      <c r="P1425" s="7" t="inlineStr">
        <is>
          <t>jobspy</t>
        </is>
      </c>
      <c r="Q1425" s="8" t="inlineStr">
        <is>
          <t>git, c</t>
        </is>
      </c>
      <c r="R1425" s="8" t="inlineStr">
        <is>
          <t>Graduate Systems Engineer hardware software</t>
        </is>
      </c>
      <c r="S1425" s="19" t="n"/>
      <c r="T1425" s="19" t="n"/>
      <c r="U1425" s="14" t="n">
        <v>46192</v>
      </c>
      <c r="V1425" s="7" t="inlineStr">
        <is>
          <t>v2-cv-accuracy-13b988b18da8ea7d</t>
        </is>
      </c>
    </row>
    <row r="1426" ht="28" customHeight="1">
      <c r="A1426" s="12">
        <f>IF($L1426="applied","Applied",IF($L1426="interview","Interview",IF($L1426="offer","Offer",IF($L1426="rejected","Rejected",IF($L1426="ignore","Ignore",IF($L1426="archive","Archive",IF($L1426="closed","Closed",IF($B1426="","Unscored",IF(AND($B1426&gt;=8,OR($H1426="",$H1426-TODAY()&lt;=14)),"P1 Apply",IF($B1426&gt;=7,"P2 Strong",IF($B1426&gt;=5,"P3 Maybe","P4 Low")))))))))))</f>
        <v/>
      </c>
      <c r="B1426" s="13" t="n">
        <v>0.75</v>
      </c>
      <c r="C1426" s="12" t="inlineStr">
        <is>
          <t>Junior</t>
        </is>
      </c>
      <c r="D1426" s="8" t="inlineStr">
        <is>
          <t>Software Engineer - Core Technology</t>
        </is>
      </c>
      <c r="E1426" s="7" t="inlineStr">
        <is>
          <t>AI Security Institute</t>
        </is>
      </c>
      <c r="F1426" s="8" t="inlineStr">
        <is>
          <t>London, England, UK</t>
        </is>
      </c>
      <c r="G1426" s="8" t="n"/>
      <c r="H1426" s="14" t="n"/>
      <c r="I1426" s="15">
        <f>IF($H1426="","",$H1426-TODAY())</f>
        <v/>
      </c>
      <c r="J1426" s="16" t="inlineStr">
        <is>
          <t>Open posting</t>
        </is>
      </c>
      <c r="K1426" s="8" t="inlineStr">
        <is>
          <t>filtered by keyword pre-scan</t>
        </is>
      </c>
      <c r="L1426" s="17" t="inlineStr">
        <is>
          <t>new</t>
        </is>
      </c>
      <c r="M1426" s="18" t="inlineStr"/>
      <c r="N1426" s="7" t="inlineStr">
        <is>
          <t>21f7abec9c0584ee19854a8d7184a90e7146efd7</t>
        </is>
      </c>
      <c r="O1426" s="14" t="n">
        <v>46185</v>
      </c>
      <c r="P1426" s="7" t="inlineStr">
        <is>
          <t>jobspy</t>
        </is>
      </c>
      <c r="Q1426" s="8" t="inlineStr">
        <is>
          <t>python, c</t>
        </is>
      </c>
      <c r="R1426" s="8" t="inlineStr">
        <is>
          <t>Junior Python Developer Docker Kubernetes Sheffield</t>
        </is>
      </c>
      <c r="S1426" s="19" t="n"/>
      <c r="T1426" s="19" t="n"/>
      <c r="U1426" s="14" t="n">
        <v>46192</v>
      </c>
      <c r="V1426" s="7" t="inlineStr">
        <is>
          <t>v2-cv-accuracy-13b988b18da8ea7d</t>
        </is>
      </c>
    </row>
    <row r="1427" ht="28" customHeight="1">
      <c r="A1427" s="12">
        <f>IF($L1427="applied","Applied",IF($L1427="interview","Interview",IF($L1427="offer","Offer",IF($L1427="rejected","Rejected",IF($L1427="ignore","Ignore",IF($L1427="archive","Archive",IF($L1427="closed","Closed",IF($B1427="","Unscored",IF(AND($B1427&gt;=8,OR($H1427="",$H1427-TODAY()&lt;=14)),"P1 Apply",IF($B1427&gt;=7,"P2 Strong",IF($B1427&gt;=5,"P3 Maybe","P4 Low")))))))))))</f>
        <v/>
      </c>
      <c r="B1427" s="13" t="n">
        <v>0.75</v>
      </c>
      <c r="C1427" s="12" t="inlineStr">
        <is>
          <t>Senior/Lead</t>
        </is>
      </c>
      <c r="D1427" s="8" t="inlineStr">
        <is>
          <t>Controls Test Engineer</t>
        </is>
      </c>
      <c r="E1427" s="7" t="inlineStr">
        <is>
          <t>Siemens Energy</t>
        </is>
      </c>
      <c r="F1427" s="8" t="inlineStr">
        <is>
          <t>Lincoln, England, UK</t>
        </is>
      </c>
      <c r="G1427" s="8" t="n"/>
      <c r="H1427" s="14" t="n"/>
      <c r="I1427" s="15">
        <f>IF($H1427="","",$H1427-TODAY())</f>
        <v/>
      </c>
      <c r="J1427" s="16" t="inlineStr">
        <is>
          <t>Open posting</t>
        </is>
      </c>
      <c r="K1427" s="8" t="inlineStr">
        <is>
          <t>filtered by keyword pre-scan</t>
        </is>
      </c>
      <c r="L1427" s="17" t="inlineStr">
        <is>
          <t>new</t>
        </is>
      </c>
      <c r="M1427" s="18" t="inlineStr"/>
      <c r="N1427" s="7" t="inlineStr">
        <is>
          <t>a9a1e9d5a0ae7c253e06723216e7b91b2e294fcf</t>
        </is>
      </c>
      <c r="O1427" s="14" t="n">
        <v>46186</v>
      </c>
      <c r="P1427" s="7" t="inlineStr">
        <is>
          <t>jobspy</t>
        </is>
      </c>
      <c r="Q1427" s="8" t="inlineStr">
        <is>
          <t>git, c</t>
        </is>
      </c>
      <c r="R1427" s="8" t="inlineStr">
        <is>
          <t>Graduate Electronics Engineer Sheffield</t>
        </is>
      </c>
      <c r="S1427" s="19" t="n"/>
      <c r="T1427" s="19" t="n"/>
      <c r="U1427" s="14" t="n">
        <v>46192</v>
      </c>
      <c r="V1427" s="7" t="inlineStr">
        <is>
          <t>v2-cv-accuracy-13b988b18da8ea7d</t>
        </is>
      </c>
    </row>
    <row r="1428" ht="28" customHeight="1">
      <c r="A1428" s="12">
        <f>IF($L1428="applied","Applied",IF($L1428="interview","Interview",IF($L1428="offer","Offer",IF($L1428="rejected","Rejected",IF($L1428="ignore","Ignore",IF($L1428="archive","Archive",IF($L1428="closed","Closed",IF($B1428="","Unscored",IF(AND($B1428&gt;=8,OR($H1428="",$H1428-TODAY()&lt;=14)),"P1 Apply",IF($B1428&gt;=7,"P2 Strong",IF($B1428&gt;=5,"P3 Maybe","P4 Low")))))))))))</f>
        <v/>
      </c>
      <c r="B1428" s="13" t="n">
        <v>0.75</v>
      </c>
      <c r="C1428" s="12" t="inlineStr">
        <is>
          <t>Junior</t>
        </is>
      </c>
      <c r="D1428" s="8" t="inlineStr">
        <is>
          <t>Test Development Engineer</t>
        </is>
      </c>
      <c r="E1428" s="7" t="inlineStr">
        <is>
          <t>Premier Group</t>
        </is>
      </c>
      <c r="F1428" s="8" t="inlineStr">
        <is>
          <t>Isle Of Wight, England, UK</t>
        </is>
      </c>
      <c r="G1428" s="8" t="n"/>
      <c r="H1428" s="14" t="n"/>
      <c r="I1428" s="15">
        <f>IF($H1428="","",$H1428-TODAY())</f>
        <v/>
      </c>
      <c r="J1428" s="16" t="inlineStr">
        <is>
          <t>Open posting</t>
        </is>
      </c>
      <c r="K1428" s="8" t="inlineStr">
        <is>
          <t>filtered by keyword pre-scan</t>
        </is>
      </c>
      <c r="L1428" s="17" t="inlineStr">
        <is>
          <t>new</t>
        </is>
      </c>
      <c r="M1428" s="18" t="inlineStr"/>
      <c r="N1428" s="7" t="inlineStr">
        <is>
          <t>ce51c67d2e26b5a952b635122cf573918854eba3</t>
        </is>
      </c>
      <c r="O1428" s="14" t="n">
        <v>46177</v>
      </c>
      <c r="P1428" s="7" t="inlineStr">
        <is>
          <t>jobspy</t>
        </is>
      </c>
      <c r="Q1428" s="8" t="inlineStr">
        <is>
          <t>python, c</t>
        </is>
      </c>
      <c r="R1428" s="8" t="inlineStr">
        <is>
          <t>Graduate Electronics Engineer Sheffield</t>
        </is>
      </c>
      <c r="S1428" s="19" t="n"/>
      <c r="T1428" s="19" t="n"/>
      <c r="U1428" s="14" t="n">
        <v>46192</v>
      </c>
      <c r="V1428" s="7" t="inlineStr">
        <is>
          <t>v2-cv-accuracy-13b988b18da8ea7d</t>
        </is>
      </c>
    </row>
    <row r="1429" ht="28" customHeight="1">
      <c r="A1429" s="12">
        <f>IF($L1429="applied","Applied",IF($L1429="interview","Interview",IF($L1429="offer","Offer",IF($L1429="rejected","Rejected",IF($L1429="ignore","Ignore",IF($L1429="archive","Archive",IF($L1429="closed","Closed",IF($B1429="","Unscored",IF(AND($B1429&gt;=8,OR($H1429="",$H1429-TODAY()&lt;=14)),"P1 Apply",IF($B1429&gt;=7,"P2 Strong",IF($B1429&gt;=5,"P3 Maybe","P4 Low")))))))))))</f>
        <v/>
      </c>
      <c r="B1429" s="13" t="n">
        <v>0.75</v>
      </c>
      <c r="C1429" s="12" t="inlineStr">
        <is>
          <t>Unspecified</t>
        </is>
      </c>
      <c r="D1429" s="8" t="inlineStr">
        <is>
          <t>Software Engineer, Scale</t>
        </is>
      </c>
      <c r="E1429" s="7" t="inlineStr">
        <is>
          <t>Airwallex</t>
        </is>
      </c>
      <c r="F1429" s="8" t="inlineStr">
        <is>
          <t>London, England, UK</t>
        </is>
      </c>
      <c r="G1429" s="8" t="n"/>
      <c r="H1429" s="14" t="n"/>
      <c r="I1429" s="15">
        <f>IF($H1429="","",$H1429-TODAY())</f>
        <v/>
      </c>
      <c r="J1429" s="16" t="inlineStr">
        <is>
          <t>Open posting</t>
        </is>
      </c>
      <c r="K1429" s="8" t="inlineStr">
        <is>
          <t>filtered by keyword pre-scan</t>
        </is>
      </c>
      <c r="L1429" s="17" t="inlineStr">
        <is>
          <t>new</t>
        </is>
      </c>
      <c r="M1429" s="18" t="inlineStr"/>
      <c r="N1429" s="7" t="inlineStr">
        <is>
          <t>2f959784648c695efe455776ddaa871ee7931c3c</t>
        </is>
      </c>
      <c r="O1429" s="14" t="n">
        <v>46191</v>
      </c>
      <c r="P1429" s="7" t="inlineStr">
        <is>
          <t>jobspy</t>
        </is>
      </c>
      <c r="Q1429" s="8" t="inlineStr">
        <is>
          <t>sql, c</t>
        </is>
      </c>
      <c r="R1429" s="8" t="inlineStr">
        <is>
          <t>Graduate Backend Developer Docker Kubernetes</t>
        </is>
      </c>
      <c r="S1429" s="19" t="n"/>
      <c r="T1429" s="19" t="n"/>
      <c r="U1429" s="14" t="n">
        <v>46192</v>
      </c>
      <c r="V1429" s="7" t="inlineStr">
        <is>
          <t>v2-cv-accuracy-13b988b18da8ea7d</t>
        </is>
      </c>
    </row>
    <row r="1430" ht="28" customHeight="1">
      <c r="A1430" s="12">
        <f>IF($L1430="applied","Applied",IF($L1430="interview","Interview",IF($L1430="offer","Offer",IF($L1430="rejected","Rejected",IF($L1430="ignore","Ignore",IF($L1430="archive","Archive",IF($L1430="closed","Closed",IF($B1430="","Unscored",IF(AND($B1430&gt;=8,OR($H1430="",$H1430-TODAY()&lt;=14)),"P1 Apply",IF($B1430&gt;=7,"P2 Strong",IF($B1430&gt;=5,"P3 Maybe","P4 Low")))))))))))</f>
        <v/>
      </c>
      <c r="B1430" s="13" t="n">
        <v>0.75</v>
      </c>
      <c r="C1430" s="12" t="inlineStr">
        <is>
          <t>Unspecified</t>
        </is>
      </c>
      <c r="D1430" s="8" t="inlineStr">
        <is>
          <t>Data Pipeline Engineer</t>
        </is>
      </c>
      <c r="E1430" s="7" t="inlineStr">
        <is>
          <t>Hexegic</t>
        </is>
      </c>
      <c r="F1430" s="8" t="inlineStr">
        <is>
          <t>London Area, United Kingdom</t>
        </is>
      </c>
      <c r="G1430" s="8" t="n"/>
      <c r="H1430" s="14" t="n"/>
      <c r="I1430" s="15">
        <f>IF($H1430="","",$H1430-TODAY())</f>
        <v/>
      </c>
      <c r="J1430" s="16" t="inlineStr">
        <is>
          <t>Open posting</t>
        </is>
      </c>
      <c r="K1430" s="8" t="inlineStr">
        <is>
          <t>filtered by keyword pre-scan</t>
        </is>
      </c>
      <c r="L1430" s="17" t="inlineStr">
        <is>
          <t>new</t>
        </is>
      </c>
      <c r="M1430" s="18" t="inlineStr"/>
      <c r="N1430" s="7" t="inlineStr">
        <is>
          <t>23c3b15f51af1b160d648a2e748db604f3dd4850</t>
        </is>
      </c>
      <c r="O1430" s="14" t="n"/>
      <c r="P1430" s="7" t="inlineStr">
        <is>
          <t>jobspy</t>
        </is>
      </c>
      <c r="Q1430" s="8" t="inlineStr">
        <is>
          <t>python, c</t>
        </is>
      </c>
      <c r="R1430" s="8" t="inlineStr">
        <is>
          <t>Graduate Data Engineer SQL Python pipeline</t>
        </is>
      </c>
      <c r="S1430" s="19" t="n"/>
      <c r="T1430" s="19" t="n"/>
      <c r="U1430" s="14" t="n">
        <v>46192</v>
      </c>
      <c r="V1430" s="7" t="inlineStr">
        <is>
          <t>v2-cv-accuracy-13b988b18da8ea7d</t>
        </is>
      </c>
    </row>
    <row r="1431" ht="28" customHeight="1">
      <c r="A1431" s="12">
        <f>IF($L1431="applied","Applied",IF($L1431="interview","Interview",IF($L1431="offer","Offer",IF($L1431="rejected","Rejected",IF($L1431="ignore","Ignore",IF($L1431="archive","Archive",IF($L1431="closed","Closed",IF($B1431="","Unscored",IF(AND($B1431&gt;=8,OR($H1431="",$H1431-TODAY()&lt;=14)),"P1 Apply",IF($B1431&gt;=7,"P2 Strong",IF($B1431&gt;=5,"P3 Maybe","P4 Low")))))))))))</f>
        <v/>
      </c>
      <c r="B1431" s="13" t="n">
        <v>0.65</v>
      </c>
      <c r="C1431" s="12" t="inlineStr">
        <is>
          <t>Junior</t>
        </is>
      </c>
      <c r="D1431" s="8" t="inlineStr">
        <is>
          <t>Junior Software Engineer</t>
        </is>
      </c>
      <c r="E1431" s="7" t="inlineStr">
        <is>
          <t>BAE Systems</t>
        </is>
      </c>
      <c r="F1431" s="8" t="inlineStr">
        <is>
          <t>Prestwick, Scotland, UK</t>
        </is>
      </c>
      <c r="G1431" s="8" t="n"/>
      <c r="H1431" s="14" t="n"/>
      <c r="I1431" s="15">
        <f>IF($H1431="","",$H1431-TODAY())</f>
        <v/>
      </c>
      <c r="J1431" s="16" t="inlineStr">
        <is>
          <t>Open posting</t>
        </is>
      </c>
      <c r="K1431" s="8" t="inlineStr">
        <is>
          <t>filtered by keyword pre-scan</t>
        </is>
      </c>
      <c r="L1431" s="17" t="inlineStr">
        <is>
          <t>new</t>
        </is>
      </c>
      <c r="M1431" s="18" t="inlineStr"/>
      <c r="N1431" s="7" t="inlineStr">
        <is>
          <t>292e7ed225780b445e395b838b75b977c321c5da</t>
        </is>
      </c>
      <c r="O1431" s="14" t="n">
        <v>46196</v>
      </c>
      <c r="P1431" s="7" t="inlineStr">
        <is>
          <t>jobspy</t>
        </is>
      </c>
      <c r="Q1431" s="8" t="inlineStr">
        <is>
          <t>c</t>
        </is>
      </c>
      <c r="R1431" s="8" t="inlineStr">
        <is>
          <t>Junior Embedded Software Engineer Python C</t>
        </is>
      </c>
      <c r="S1431" s="19" t="n"/>
      <c r="T1431" s="19" t="n"/>
      <c r="U1431" s="14" t="n">
        <v>46198</v>
      </c>
      <c r="V1431" s="7" t="inlineStr">
        <is>
          <t>v2-cv-accuracy-13b988b18da8ea7d</t>
        </is>
      </c>
    </row>
    <row r="1432" ht="28" customHeight="1">
      <c r="A1432" s="12">
        <f>IF($L1432="applied","Applied",IF($L1432="interview","Interview",IF($L1432="offer","Offer",IF($L1432="rejected","Rejected",IF($L1432="ignore","Ignore",IF($L1432="archive","Archive",IF($L1432="closed","Closed",IF($B1432="","Unscored",IF(AND($B1432&gt;=8,OR($H1432="",$H1432-TODAY()&lt;=14)),"P1 Apply",IF($B1432&gt;=7,"P2 Strong",IF($B1432&gt;=5,"P3 Maybe","P4 Low")))))))))))</f>
        <v/>
      </c>
      <c r="B1432" s="13" t="n">
        <v>0.65</v>
      </c>
      <c r="C1432" s="12" t="inlineStr">
        <is>
          <t>Unspecified</t>
        </is>
      </c>
      <c r="D1432" s="8" t="inlineStr">
        <is>
          <t>Python Developer</t>
        </is>
      </c>
      <c r="E1432" s="7" t="inlineStr">
        <is>
          <t>Venture Up</t>
        </is>
      </c>
      <c r="F1432" s="8" t="inlineStr">
        <is>
          <t>London Area, United Kingdom</t>
        </is>
      </c>
      <c r="G1432" s="8" t="n"/>
      <c r="H1432" s="14" t="n"/>
      <c r="I1432" s="15">
        <f>IF($H1432="","",$H1432-TODAY())</f>
        <v/>
      </c>
      <c r="J1432" s="16" t="inlineStr">
        <is>
          <t>Open posting</t>
        </is>
      </c>
      <c r="K1432" s="8" t="inlineStr">
        <is>
          <t>filtered by keyword pre-scan</t>
        </is>
      </c>
      <c r="L1432" s="17" t="inlineStr">
        <is>
          <t>new</t>
        </is>
      </c>
      <c r="M1432" s="18" t="inlineStr"/>
      <c r="N1432" s="7" t="inlineStr">
        <is>
          <t>739dca2ecbc7fe4d6bca1610e2d4e51d49e2b6ab</t>
        </is>
      </c>
      <c r="O1432" s="14" t="n"/>
      <c r="P1432" s="7" t="inlineStr">
        <is>
          <t>jobspy</t>
        </is>
      </c>
      <c r="Q1432" s="8" t="inlineStr">
        <is>
          <t>python, c</t>
        </is>
      </c>
      <c r="R1432" s="8" t="inlineStr">
        <is>
          <t>Junior Python Developer backend Docker Kubernetes</t>
        </is>
      </c>
      <c r="S1432" s="19" t="n"/>
      <c r="T1432" s="19" t="n"/>
      <c r="U1432" s="14" t="n">
        <v>46198</v>
      </c>
      <c r="V1432" s="7" t="inlineStr">
        <is>
          <t>v2-cv-accuracy-13b988b18da8ea7d</t>
        </is>
      </c>
    </row>
    <row r="1433" ht="28" customHeight="1">
      <c r="A1433" s="12">
        <f>IF($L1433="applied","Applied",IF($L1433="interview","Interview",IF($L1433="offer","Offer",IF($L1433="rejected","Rejected",IF($L1433="ignore","Ignore",IF($L1433="archive","Archive",IF($L1433="closed","Closed",IF($B1433="","Unscored",IF(AND($B1433&gt;=8,OR($H1433="",$H1433-TODAY()&lt;=14)),"P1 Apply",IF($B1433&gt;=7,"P2 Strong",IF($B1433&gt;=5,"P3 Maybe","P4 Low")))))))))))</f>
        <v/>
      </c>
      <c r="B1433" s="13" t="n">
        <v>0.65</v>
      </c>
      <c r="C1433" s="12" t="inlineStr">
        <is>
          <t>Graduate/Entry</t>
        </is>
      </c>
      <c r="D1433" s="8" t="inlineStr">
        <is>
          <t>Graduate Software Engineer</t>
        </is>
      </c>
      <c r="E1433" s="7" t="inlineStr">
        <is>
          <t>Motorola Solutions</t>
        </is>
      </c>
      <c r="F1433" s="8" t="inlineStr">
        <is>
          <t>Glasgow, Scotland, UK</t>
        </is>
      </c>
      <c r="G1433" s="8" t="n"/>
      <c r="H1433" s="14" t="n"/>
      <c r="I1433" s="15">
        <f>IF($H1433="","",$H1433-TODAY())</f>
        <v/>
      </c>
      <c r="J1433" s="16" t="inlineStr">
        <is>
          <t>Open posting</t>
        </is>
      </c>
      <c r="K1433" s="8" t="inlineStr">
        <is>
          <t>filtered by keyword pre-scan</t>
        </is>
      </c>
      <c r="L1433" s="17" t="inlineStr">
        <is>
          <t>new</t>
        </is>
      </c>
      <c r="M1433" s="18" t="inlineStr"/>
      <c r="N1433" s="7" t="inlineStr">
        <is>
          <t>653076b647aaf8090c5f52f0f0c29075732881c0</t>
        </is>
      </c>
      <c r="O1433" s="14" t="n">
        <v>46191</v>
      </c>
      <c r="P1433" s="7" t="inlineStr">
        <is>
          <t>jobspy</t>
        </is>
      </c>
      <c r="Q1433" s="8" t="inlineStr">
        <is>
          <t>c</t>
        </is>
      </c>
      <c r="R1433" s="8" t="inlineStr">
        <is>
          <t>Graduate Software Engineer Python SQL backend</t>
        </is>
      </c>
      <c r="S1433" s="19" t="n"/>
      <c r="T1433" s="19" t="n"/>
      <c r="U1433" s="14" t="n">
        <v>46198</v>
      </c>
      <c r="V1433" s="7" t="inlineStr">
        <is>
          <t>v2-cv-accuracy-13b988b18da8ea7d</t>
        </is>
      </c>
    </row>
    <row r="1434" ht="28" customHeight="1">
      <c r="A1434" s="12">
        <f>IF($L1434="applied","Applied",IF($L1434="interview","Interview",IF($L1434="offer","Offer",IF($L1434="rejected","Rejected",IF($L1434="ignore","Ignore",IF($L1434="archive","Archive",IF($L1434="closed","Closed",IF($B1434="","Unscored",IF(AND($B1434&gt;=8,OR($H1434="",$H1434-TODAY()&lt;=14)),"P1 Apply",IF($B1434&gt;=7,"P2 Strong",IF($B1434&gt;=5,"P3 Maybe","P4 Low")))))))))))</f>
        <v/>
      </c>
      <c r="B1434" s="13" t="n">
        <v>0.65</v>
      </c>
      <c r="C1434" s="12" t="inlineStr">
        <is>
          <t>Unspecified</t>
        </is>
      </c>
      <c r="D1434" s="8" t="inlineStr">
        <is>
          <t>Incident Response Analyst</t>
        </is>
      </c>
      <c r="E1434" s="7" t="inlineStr">
        <is>
          <t>Cloudflare</t>
        </is>
      </c>
      <c r="F1434" s="8" t="inlineStr">
        <is>
          <t>In-Office</t>
        </is>
      </c>
      <c r="G1434" s="8" t="n"/>
      <c r="H1434" s="14" t="n"/>
      <c r="I1434" s="15">
        <f>IF($H1434="","",$H1434-TODAY())</f>
        <v/>
      </c>
      <c r="J1434" s="16" t="inlineStr">
        <is>
          <t>Open posting</t>
        </is>
      </c>
      <c r="K1434" s="8" t="inlineStr">
        <is>
          <t>filtered by keyword pre-scan</t>
        </is>
      </c>
      <c r="L1434" s="17" t="inlineStr">
        <is>
          <t>new</t>
        </is>
      </c>
      <c r="M1434" s="18" t="inlineStr"/>
      <c r="N1434" s="7" t="inlineStr">
        <is>
          <t>eafbca9de0152d2ecfafa82973f3740b930fe20b</t>
        </is>
      </c>
      <c r="O1434" s="14" t="n">
        <v>46197</v>
      </c>
      <c r="P1434" s="7" t="inlineStr">
        <is>
          <t>greenhouse:cloudflare</t>
        </is>
      </c>
      <c r="Q1434" s="8" t="inlineStr">
        <is>
          <t>c</t>
        </is>
      </c>
      <c r="R1434" s="8" t="n"/>
      <c r="S1434" s="19" t="n"/>
      <c r="T1434" s="19" t="n"/>
      <c r="U1434" s="14" t="n">
        <v>46197</v>
      </c>
      <c r="V1434" s="7" t="inlineStr">
        <is>
          <t>v2-cv-accuracy-13b988b18da8ea7d</t>
        </is>
      </c>
    </row>
    <row r="1435" ht="28" customHeight="1">
      <c r="A1435" s="12">
        <f>IF($L1435="applied","Applied",IF($L1435="interview","Interview",IF($L1435="offer","Offer",IF($L1435="rejected","Rejected",IF($L1435="ignore","Ignore",IF($L1435="archive","Archive",IF($L1435="closed","Closed",IF($B1435="","Unscored",IF(AND($B1435&gt;=8,OR($H1435="",$H1435-TODAY()&lt;=14)),"P1 Apply",IF($B1435&gt;=7,"P2 Strong",IF($B1435&gt;=5,"P3 Maybe","P4 Low")))))))))))</f>
        <v/>
      </c>
      <c r="B1435" s="13" t="n">
        <v>0.65</v>
      </c>
      <c r="C1435" s="12" t="inlineStr">
        <is>
          <t>Unspecified</t>
        </is>
      </c>
      <c r="D1435" s="8" t="inlineStr">
        <is>
          <t>Designing layered nuclear fuel systems by improved understanding of Cr-X and Cr-Nb-X alloys</t>
        </is>
      </c>
      <c r="E1435" s="7" t="inlineStr">
        <is>
          <t>Young Nuclear Professionals' Forum (YNPF)</t>
        </is>
      </c>
      <c r="F1435" s="8" t="inlineStr">
        <is>
          <t>Bangor, Wales, UK</t>
        </is>
      </c>
      <c r="G1435" s="8" t="n"/>
      <c r="H1435" s="14" t="n"/>
      <c r="I1435" s="15">
        <f>IF($H1435="","",$H1435-TODAY())</f>
        <v/>
      </c>
      <c r="J1435" s="16" t="inlineStr">
        <is>
          <t>Open posting</t>
        </is>
      </c>
      <c r="K1435" s="8" t="inlineStr">
        <is>
          <t>filtered by keyword pre-scan</t>
        </is>
      </c>
      <c r="L1435" s="17" t="inlineStr">
        <is>
          <t>new</t>
        </is>
      </c>
      <c r="M1435" s="18" t="inlineStr"/>
      <c r="N1435" s="7" t="inlineStr">
        <is>
          <t>b767430a6afce82572c51374180a96c9e36051b7</t>
        </is>
      </c>
      <c r="O1435" s="14" t="n">
        <v>46190</v>
      </c>
      <c r="P1435" s="7" t="inlineStr">
        <is>
          <t>jobspy</t>
        </is>
      </c>
      <c r="Q1435" s="8" t="inlineStr">
        <is>
          <t>c</t>
        </is>
      </c>
      <c r="R1435" s="8" t="inlineStr">
        <is>
          <t>PhD Studentship computer architecture hardware</t>
        </is>
      </c>
      <c r="S1435" s="19" t="n"/>
      <c r="T1435" s="19" t="n"/>
      <c r="U1435" s="14" t="n">
        <v>46197</v>
      </c>
      <c r="V1435" s="7" t="inlineStr">
        <is>
          <t>v2-cv-accuracy-13b988b18da8ea7d</t>
        </is>
      </c>
    </row>
    <row r="1436" ht="28" customHeight="1">
      <c r="A1436" s="12">
        <f>IF($L1436="applied","Applied",IF($L1436="interview","Interview",IF($L1436="offer","Offer",IF($L1436="rejected","Rejected",IF($L1436="ignore","Ignore",IF($L1436="archive","Archive",IF($L1436="closed","Closed",IF($B1436="","Unscored",IF(AND($B1436&gt;=8,OR($H1436="",$H1436-TODAY()&lt;=14)),"P1 Apply",IF($B1436&gt;=7,"P2 Strong",IF($B1436&gt;=5,"P3 Maybe","P4 Low")))))))))))</f>
        <v/>
      </c>
      <c r="B1436" s="13" t="n">
        <v>0.65</v>
      </c>
      <c r="C1436" s="12" t="inlineStr">
        <is>
          <t>Mid-level</t>
        </is>
      </c>
      <c r="D1436" s="8" t="inlineStr">
        <is>
          <t>Embedded Software Engineer</t>
        </is>
      </c>
      <c r="E1436" s="7" t="inlineStr">
        <is>
          <t>Wipac Technology Ltd</t>
        </is>
      </c>
      <c r="F1436" s="8" t="inlineStr">
        <is>
          <t>Buckingham, England, UK</t>
        </is>
      </c>
      <c r="G1436" s="8" t="n"/>
      <c r="H1436" s="14" t="n"/>
      <c r="I1436" s="15">
        <f>IF($H1436="","",$H1436-TODAY())</f>
        <v/>
      </c>
      <c r="J1436" s="16" t="inlineStr">
        <is>
          <t>Open posting</t>
        </is>
      </c>
      <c r="K1436" s="8" t="inlineStr">
        <is>
          <t>filtered by keyword pre-scan</t>
        </is>
      </c>
      <c r="L1436" s="17" t="inlineStr">
        <is>
          <t>new</t>
        </is>
      </c>
      <c r="M1436" s="18" t="inlineStr"/>
      <c r="N1436" s="7" t="inlineStr">
        <is>
          <t>1ad8b74ff98cc24238787304039e472c856c5108</t>
        </is>
      </c>
      <c r="O1436" s="14" t="n">
        <v>46196</v>
      </c>
      <c r="P1436" s="7" t="inlineStr">
        <is>
          <t>jobspy</t>
        </is>
      </c>
      <c r="Q1436" s="8" t="inlineStr">
        <is>
          <t>c</t>
        </is>
      </c>
      <c r="R1436" s="8" t="inlineStr">
        <is>
          <t>Graduate Engineer electronics embedded Python Sheffield</t>
        </is>
      </c>
      <c r="S1436" s="19" t="n"/>
      <c r="T1436" s="19" t="n"/>
      <c r="U1436" s="14" t="n">
        <v>46197</v>
      </c>
      <c r="V1436" s="7" t="inlineStr">
        <is>
          <t>v2-cv-accuracy-13b988b18da8ea7d</t>
        </is>
      </c>
    </row>
    <row r="1437" ht="28" customHeight="1">
      <c r="A1437" s="12">
        <f>IF($L1437="applied","Applied",IF($L1437="interview","Interview",IF($L1437="offer","Offer",IF($L1437="rejected","Rejected",IF($L1437="ignore","Ignore",IF($L1437="archive","Archive",IF($L1437="closed","Closed",IF($B1437="","Unscored",IF(AND($B1437&gt;=8,OR($H1437="",$H1437-TODAY()&lt;=14)),"P1 Apply",IF($B1437&gt;=7,"P2 Strong",IF($B1437&gt;=5,"P3 Maybe","P4 Low")))))))))))</f>
        <v/>
      </c>
      <c r="B1437" s="13" t="n">
        <v>0.65</v>
      </c>
      <c r="C1437" s="12" t="inlineStr">
        <is>
          <t>Senior/Lead</t>
        </is>
      </c>
      <c r="D1437" s="8" t="inlineStr">
        <is>
          <t>Commercial Counsel, APAC</t>
        </is>
      </c>
      <c r="E1437" s="7" t="inlineStr">
        <is>
          <t>Cloudflare</t>
        </is>
      </c>
      <c r="F1437" s="8" t="inlineStr">
        <is>
          <t>Hybrid</t>
        </is>
      </c>
      <c r="G1437" s="8" t="n"/>
      <c r="H1437" s="14" t="n"/>
      <c r="I1437" s="15">
        <f>IF($H1437="","",$H1437-TODAY())</f>
        <v/>
      </c>
      <c r="J1437" s="16" t="inlineStr">
        <is>
          <t>Open posting</t>
        </is>
      </c>
      <c r="K1437" s="8" t="inlineStr">
        <is>
          <t>filtered by keyword pre-scan</t>
        </is>
      </c>
      <c r="L1437" s="17" t="inlineStr">
        <is>
          <t>new</t>
        </is>
      </c>
      <c r="M1437" s="18" t="inlineStr"/>
      <c r="N1437" s="7" t="inlineStr">
        <is>
          <t>756ea8c8659d3c44894e91f3913a31d51eb76d18</t>
        </is>
      </c>
      <c r="O1437" s="14" t="n">
        <v>46196</v>
      </c>
      <c r="P1437" s="7" t="inlineStr">
        <is>
          <t>greenhouse:cloudflare</t>
        </is>
      </c>
      <c r="Q1437" s="8" t="inlineStr">
        <is>
          <t>c</t>
        </is>
      </c>
      <c r="R1437" s="8" t="n"/>
      <c r="S1437" s="19" t="n"/>
      <c r="T1437" s="19" t="n"/>
      <c r="U1437" s="14" t="n">
        <v>46196</v>
      </c>
      <c r="V1437" s="7" t="inlineStr">
        <is>
          <t>v2-cv-accuracy-13b988b18da8ea7d</t>
        </is>
      </c>
    </row>
    <row r="1438" ht="28" customHeight="1">
      <c r="A1438" s="12">
        <f>IF($L1438="applied","Applied",IF($L1438="interview","Interview",IF($L1438="offer","Offer",IF($L1438="rejected","Rejected",IF($L1438="ignore","Ignore",IF($L1438="archive","Archive",IF($L1438="closed","Closed",IF($B1438="","Unscored",IF(AND($B1438&gt;=8,OR($H1438="",$H1438-TODAY()&lt;=14)),"P1 Apply",IF($B1438&gt;=7,"P2 Strong",IF($B1438&gt;=5,"P3 Maybe","P4 Low")))))))))))</f>
        <v/>
      </c>
      <c r="B1438" s="13" t="n">
        <v>0.65</v>
      </c>
      <c r="C1438" s="12" t="inlineStr">
        <is>
          <t>Junior</t>
        </is>
      </c>
      <c r="D1438" s="8" t="inlineStr">
        <is>
          <t>Research Assistant/Associate in Micromanufacturing of Passive Wireless Components</t>
        </is>
      </c>
      <c r="E1438" s="7" t="inlineStr">
        <is>
          <t>Heriot-Watt University</t>
        </is>
      </c>
      <c r="F1438" s="8" t="inlineStr">
        <is>
          <t>Riccarton, Scotland, UK</t>
        </is>
      </c>
      <c r="G1438" s="8" t="n"/>
      <c r="H1438" s="14" t="n"/>
      <c r="I1438" s="15">
        <f>IF($H1438="","",$H1438-TODAY())</f>
        <v/>
      </c>
      <c r="J1438" s="16" t="inlineStr">
        <is>
          <t>Open posting</t>
        </is>
      </c>
      <c r="K1438" s="8" t="inlineStr">
        <is>
          <t>filtered by keyword pre-scan</t>
        </is>
      </c>
      <c r="L1438" s="17" t="inlineStr">
        <is>
          <t>new</t>
        </is>
      </c>
      <c r="M1438" s="18" t="inlineStr"/>
      <c r="N1438" s="7" t="inlineStr">
        <is>
          <t>30b979d666ad6dbef57dff6f5f4d50542c48b04b</t>
        </is>
      </c>
      <c r="O1438" s="14" t="n">
        <v>46187</v>
      </c>
      <c r="P1438" s="7" t="inlineStr">
        <is>
          <t>jobspy</t>
        </is>
      </c>
      <c r="Q1438" s="8" t="inlineStr">
        <is>
          <t>c</t>
        </is>
      </c>
      <c r="R1438" s="8" t="inlineStr">
        <is>
          <t>PhD Studentship IoT wireless communications</t>
        </is>
      </c>
      <c r="S1438" s="19" t="n"/>
      <c r="T1438" s="19" t="n"/>
      <c r="U1438" s="14" t="n">
        <v>46196</v>
      </c>
      <c r="V1438" s="7" t="inlineStr">
        <is>
          <t>v2-cv-accuracy-13b988b18da8ea7d</t>
        </is>
      </c>
    </row>
    <row r="1439" ht="28" customHeight="1">
      <c r="A1439" s="12">
        <f>IF($L1439="applied","Applied",IF($L1439="interview","Interview",IF($L1439="offer","Offer",IF($L1439="rejected","Rejected",IF($L1439="ignore","Ignore",IF($L1439="archive","Archive",IF($L1439="closed","Closed",IF($B1439="","Unscored",IF(AND($B1439&gt;=8,OR($H1439="",$H1439-TODAY()&lt;=14)),"P1 Apply",IF($B1439&gt;=7,"P2 Strong",IF($B1439&gt;=5,"P3 Maybe","P4 Low")))))))))))</f>
        <v/>
      </c>
      <c r="B1439" s="13" t="n">
        <v>0.65</v>
      </c>
      <c r="C1439" s="12" t="inlineStr">
        <is>
          <t>Unspecified</t>
        </is>
      </c>
      <c r="D1439" s="8" t="inlineStr">
        <is>
          <t>Design Engineer, UK</t>
        </is>
      </c>
      <c r="E1439" s="7" t="inlineStr">
        <is>
          <t>Ashby</t>
        </is>
      </c>
      <c r="F1439" s="8" t="inlineStr">
        <is>
          <t>Oxford, England, UK</t>
        </is>
      </c>
      <c r="G1439" s="8" t="n"/>
      <c r="H1439" s="14" t="n"/>
      <c r="I1439" s="15">
        <f>IF($H1439="","",$H1439-TODAY())</f>
        <v/>
      </c>
      <c r="J1439" s="16" t="inlineStr">
        <is>
          <t>Open posting</t>
        </is>
      </c>
      <c r="K1439" s="8" t="inlineStr">
        <is>
          <t>filtered by keyword pre-scan</t>
        </is>
      </c>
      <c r="L1439" s="17" t="inlineStr">
        <is>
          <t>new</t>
        </is>
      </c>
      <c r="M1439" s="18" t="inlineStr"/>
      <c r="N1439" s="7" t="inlineStr">
        <is>
          <t>76057ae81cc27bff18127cc7a7cf9876a54ac192</t>
        </is>
      </c>
      <c r="O1439" s="14" t="n">
        <v>46185</v>
      </c>
      <c r="P1439" s="7" t="inlineStr">
        <is>
          <t>jobspy</t>
        </is>
      </c>
      <c r="Q1439" s="8" t="inlineStr">
        <is>
          <t>c</t>
        </is>
      </c>
      <c r="R1439" s="8" t="inlineStr">
        <is>
          <t>Graduate Computer Engineer digital design</t>
        </is>
      </c>
      <c r="S1439" s="19" t="n"/>
      <c r="T1439" s="19" t="n"/>
      <c r="U1439" s="14" t="n">
        <v>46195</v>
      </c>
      <c r="V1439" s="7" t="inlineStr">
        <is>
          <t>v2-cv-accuracy-13b988b18da8ea7d</t>
        </is>
      </c>
    </row>
    <row r="1440" ht="28" customHeight="1">
      <c r="A1440" s="12">
        <f>IF($L1440="applied","Applied",IF($L1440="interview","Interview",IF($L1440="offer","Offer",IF($L1440="rejected","Rejected",IF($L1440="ignore","Ignore",IF($L1440="archive","Archive",IF($L1440="closed","Closed",IF($B1440="","Unscored",IF(AND($B1440&gt;=8,OR($H1440="",$H1440-TODAY()&lt;=14)),"P1 Apply",IF($B1440&gt;=7,"P2 Strong",IF($B1440&gt;=5,"P3 Maybe","P4 Low")))))))))))</f>
        <v/>
      </c>
      <c r="B1440" s="13" t="n">
        <v>0.65</v>
      </c>
      <c r="C1440" s="12" t="inlineStr">
        <is>
          <t>Mid-level</t>
        </is>
      </c>
      <c r="D1440" s="8" t="inlineStr">
        <is>
          <t>Doctoral Research Fellowship (PhD)</t>
        </is>
      </c>
      <c r="E1440" s="7" t="inlineStr">
        <is>
          <t>Ranplan Wireless</t>
        </is>
      </c>
      <c r="F1440" s="8" t="inlineStr">
        <is>
          <t>Cambridge, England, UK</t>
        </is>
      </c>
      <c r="G1440" s="8" t="n"/>
      <c r="H1440" s="14" t="n"/>
      <c r="I1440" s="15">
        <f>IF($H1440="","",$H1440-TODAY())</f>
        <v/>
      </c>
      <c r="J1440" s="16" t="inlineStr">
        <is>
          <t>Open posting</t>
        </is>
      </c>
      <c r="K1440" s="8" t="inlineStr">
        <is>
          <t>filtered by keyword pre-scan</t>
        </is>
      </c>
      <c r="L1440" s="17" t="inlineStr">
        <is>
          <t>new</t>
        </is>
      </c>
      <c r="M1440" s="18" t="inlineStr"/>
      <c r="N1440" s="7" t="inlineStr">
        <is>
          <t>237daa65648cb76c08d72096f1123e1ad2eae194</t>
        </is>
      </c>
      <c r="O1440" s="14" t="n">
        <v>46188</v>
      </c>
      <c r="P1440" s="7" t="inlineStr">
        <is>
          <t>jobspy</t>
        </is>
      </c>
      <c r="Q1440" s="8" t="inlineStr">
        <is>
          <t>c</t>
        </is>
      </c>
      <c r="R1440" s="8" t="inlineStr">
        <is>
          <t>PhD Studentship Wireless Communications LoRaWAN IoT</t>
        </is>
      </c>
      <c r="S1440" s="19" t="n"/>
      <c r="T1440" s="19" t="n"/>
      <c r="U1440" s="14" t="n">
        <v>46195</v>
      </c>
      <c r="V1440" s="7" t="inlineStr">
        <is>
          <t>v2-cv-accuracy-13b988b18da8ea7d</t>
        </is>
      </c>
    </row>
    <row r="1441" ht="28" customHeight="1">
      <c r="A1441" s="12">
        <f>IF($L1441="applied","Applied",IF($L1441="interview","Interview",IF($L1441="offer","Offer",IF($L1441="rejected","Rejected",IF($L1441="ignore","Ignore",IF($L1441="archive","Archive",IF($L1441="closed","Closed",IF($B1441="","Unscored",IF(AND($B1441&gt;=8,OR($H1441="",$H1441-TODAY()&lt;=14)),"P1 Apply",IF($B1441&gt;=7,"P2 Strong",IF($B1441&gt;=5,"P3 Maybe","P4 Low")))))))))))</f>
        <v/>
      </c>
      <c r="B1441" s="13" t="n">
        <v>0.65</v>
      </c>
      <c r="C1441" s="12" t="inlineStr">
        <is>
          <t>Junior</t>
        </is>
      </c>
      <c r="D1441" s="8" t="inlineStr">
        <is>
          <t>Systems Engineer - All Levels</t>
        </is>
      </c>
      <c r="E1441" s="7" t="inlineStr">
        <is>
          <t>Leonardo</t>
        </is>
      </c>
      <c r="F1441" s="8" t="inlineStr">
        <is>
          <t>Newcastle Upon Tyne, England, UK</t>
        </is>
      </c>
      <c r="G1441" s="8" t="n"/>
      <c r="H1441" s="14" t="n"/>
      <c r="I1441" s="15">
        <f>IF($H1441="","",$H1441-TODAY())</f>
        <v/>
      </c>
      <c r="J1441" s="16" t="inlineStr">
        <is>
          <t>Open posting</t>
        </is>
      </c>
      <c r="K1441" s="8" t="inlineStr">
        <is>
          <t>filtered by keyword pre-scan</t>
        </is>
      </c>
      <c r="L1441" s="17" t="inlineStr">
        <is>
          <t>new</t>
        </is>
      </c>
      <c r="M1441" s="18" t="inlineStr"/>
      <c r="N1441" s="7" t="inlineStr">
        <is>
          <t>889ae985163c57c220c9932dfa6b69492e008917</t>
        </is>
      </c>
      <c r="O1441" s="14" t="n">
        <v>46184</v>
      </c>
      <c r="P1441" s="7" t="inlineStr">
        <is>
          <t>jobspy</t>
        </is>
      </c>
      <c r="Q1441" s="8" t="inlineStr">
        <is>
          <t>c</t>
        </is>
      </c>
      <c r="R1441" s="8" t="inlineStr">
        <is>
          <t>Graduate Aerospace Engineer embedded systems Sheffield</t>
        </is>
      </c>
      <c r="S1441" s="19" t="n"/>
      <c r="T1441" s="19" t="n"/>
      <c r="U1441" s="14" t="n">
        <v>46194</v>
      </c>
      <c r="V1441" s="7" t="inlineStr">
        <is>
          <t>v2-cv-accuracy-13b988b18da8ea7d</t>
        </is>
      </c>
    </row>
    <row r="1442" ht="28" customHeight="1">
      <c r="A1442" s="12">
        <f>IF($L1442="applied","Applied",IF($L1442="interview","Interview",IF($L1442="offer","Offer",IF($L1442="rejected","Rejected",IF($L1442="ignore","Ignore",IF($L1442="archive","Archive",IF($L1442="closed","Closed",IF($B1442="","Unscored",IF(AND($B1442&gt;=8,OR($H1442="",$H1442-TODAY()&lt;=14)),"P1 Apply",IF($B1442&gt;=7,"P2 Strong",IF($B1442&gt;=5,"P3 Maybe","P4 Low")))))))))))</f>
        <v/>
      </c>
      <c r="B1442" s="13" t="n">
        <v>0.65</v>
      </c>
      <c r="C1442" s="12" t="inlineStr">
        <is>
          <t>Unspecified</t>
        </is>
      </c>
      <c r="D1442" s="8" t="inlineStr">
        <is>
          <t>Full Stack Engineer - Audiobooks</t>
        </is>
      </c>
      <c r="E1442" s="7" t="inlineStr">
        <is>
          <t>Spotify</t>
        </is>
      </c>
      <c r="F1442" s="8" t="inlineStr">
        <is>
          <t>London, England, UK</t>
        </is>
      </c>
      <c r="G1442" s="8" t="n"/>
      <c r="H1442" s="14" t="n"/>
      <c r="I1442" s="15">
        <f>IF($H1442="","",$H1442-TODAY())</f>
        <v/>
      </c>
      <c r="J1442" s="16" t="inlineStr">
        <is>
          <t>Open posting</t>
        </is>
      </c>
      <c r="K1442" s="8" t="inlineStr">
        <is>
          <t>filtered by keyword pre-scan</t>
        </is>
      </c>
      <c r="L1442" s="17" t="inlineStr">
        <is>
          <t>new</t>
        </is>
      </c>
      <c r="M1442" s="18" t="inlineStr"/>
      <c r="N1442" s="7" t="inlineStr">
        <is>
          <t>167dc8ac1a36be8d2733db359725cd698e5288b9</t>
        </is>
      </c>
      <c r="O1442" s="14" t="n">
        <v>46176</v>
      </c>
      <c r="P1442" s="7" t="inlineStr">
        <is>
          <t>jobspy</t>
        </is>
      </c>
      <c r="Q1442" s="8" t="inlineStr">
        <is>
          <t>c</t>
        </is>
      </c>
      <c r="R1442" s="8" t="inlineStr">
        <is>
          <t>Junior Full Stack Developer JavaScript Node.js Python</t>
        </is>
      </c>
      <c r="S1442" s="19" t="n"/>
      <c r="T1442" s="19" t="n"/>
      <c r="U1442" s="14" t="n">
        <v>46193</v>
      </c>
      <c r="V1442" s="7" t="inlineStr">
        <is>
          <t>v2-cv-accuracy-13b988b18da8ea7d</t>
        </is>
      </c>
    </row>
    <row r="1443" ht="28" customHeight="1">
      <c r="A1443" s="12">
        <f>IF($L1443="applied","Applied",IF($L1443="interview","Interview",IF($L1443="offer","Offer",IF($L1443="rejected","Rejected",IF($L1443="ignore","Ignore",IF($L1443="archive","Archive",IF($L1443="closed","Closed",IF($B1443="","Unscored",IF(AND($B1443&gt;=8,OR($H1443="",$H1443-TODAY()&lt;=14)),"P1 Apply",IF($B1443&gt;=7,"P2 Strong",IF($B1443&gt;=5,"P3 Maybe","P4 Low")))))))))))</f>
        <v/>
      </c>
      <c r="B1443" s="13" t="n">
        <v>0.65</v>
      </c>
      <c r="C1443" s="12" t="inlineStr">
        <is>
          <t>Unspecified</t>
        </is>
      </c>
      <c r="D1443" s="8" t="inlineStr">
        <is>
          <t>Embedded Software Developer</t>
        </is>
      </c>
      <c r="E1443" s="7" t="inlineStr">
        <is>
          <t>A-SAFE UK</t>
        </is>
      </c>
      <c r="F1443" s="8" t="inlineStr">
        <is>
          <t>Elland, England, UK</t>
        </is>
      </c>
      <c r="G1443" s="8" t="n"/>
      <c r="H1443" s="14" t="n"/>
      <c r="I1443" s="15">
        <f>IF($H1443="","",$H1443-TODAY())</f>
        <v/>
      </c>
      <c r="J1443" s="16" t="inlineStr">
        <is>
          <t>Open posting</t>
        </is>
      </c>
      <c r="K1443" s="8" t="inlineStr">
        <is>
          <t>filtered by keyword pre-scan</t>
        </is>
      </c>
      <c r="L1443" s="17" t="inlineStr">
        <is>
          <t>new</t>
        </is>
      </c>
      <c r="M1443" s="18" t="inlineStr"/>
      <c r="N1443" s="7" t="inlineStr">
        <is>
          <t>9fcc8a97ef5bfd81e8f87a6be8d64ee4f8ba6353</t>
        </is>
      </c>
      <c r="O1443" s="14" t="n">
        <v>46174</v>
      </c>
      <c r="P1443" s="7" t="inlineStr">
        <is>
          <t>jobspy</t>
        </is>
      </c>
      <c r="Q1443" s="8" t="inlineStr">
        <is>
          <t>c</t>
        </is>
      </c>
      <c r="R1443" s="8" t="inlineStr">
        <is>
          <t>Embedded Systems Graduate Engineer IoT</t>
        </is>
      </c>
      <c r="S1443" s="19" t="n"/>
      <c r="T1443" s="19" t="n"/>
      <c r="U1443" s="14" t="n">
        <v>46193</v>
      </c>
      <c r="V1443" s="7" t="inlineStr">
        <is>
          <t>v2-cv-accuracy-13b988b18da8ea7d</t>
        </is>
      </c>
    </row>
    <row r="1444" ht="28" customHeight="1">
      <c r="A1444" s="12">
        <f>IF($L1444="applied","Applied",IF($L1444="interview","Interview",IF($L1444="offer","Offer",IF($L1444="rejected","Rejected",IF($L1444="ignore","Ignore",IF($L1444="archive","Archive",IF($L1444="closed","Closed",IF($B1444="","Unscored",IF(AND($B1444&gt;=8,OR($H1444="",$H1444-TODAY()&lt;=14)),"P1 Apply",IF($B1444&gt;=7,"P2 Strong",IF($B1444&gt;=5,"P3 Maybe","P4 Low")))))))))))</f>
        <v/>
      </c>
      <c r="B1444" s="13" t="n">
        <v>0.65</v>
      </c>
      <c r="C1444" s="12" t="inlineStr">
        <is>
          <t>Unspecified</t>
        </is>
      </c>
      <c r="D1444" s="8" t="inlineStr">
        <is>
          <t>Embedded Software Engineer</t>
        </is>
      </c>
      <c r="E1444" s="7" t="inlineStr">
        <is>
          <t>Dunbar Brown Group</t>
        </is>
      </c>
      <c r="F1444" s="8" t="inlineStr">
        <is>
          <t>Edinburgh, Scotland, UK</t>
        </is>
      </c>
      <c r="G1444" s="8" t="n"/>
      <c r="H1444" s="14" t="n"/>
      <c r="I1444" s="15">
        <f>IF($H1444="","",$H1444-TODAY())</f>
        <v/>
      </c>
      <c r="J1444" s="16" t="inlineStr">
        <is>
          <t>Open posting</t>
        </is>
      </c>
      <c r="K1444" s="8" t="inlineStr">
        <is>
          <t>filtered by keyword pre-scan</t>
        </is>
      </c>
      <c r="L1444" s="17" t="inlineStr">
        <is>
          <t>new</t>
        </is>
      </c>
      <c r="M1444" s="18" t="inlineStr"/>
      <c r="N1444" s="7" t="inlineStr">
        <is>
          <t>ad2751e4a2544b8b7d637eb410ac91b182959241</t>
        </is>
      </c>
      <c r="O1444" s="14" t="n">
        <v>46175</v>
      </c>
      <c r="P1444" s="7" t="inlineStr">
        <is>
          <t>jobspy</t>
        </is>
      </c>
      <c r="Q1444" s="8" t="inlineStr">
        <is>
          <t>c</t>
        </is>
      </c>
      <c r="R1444" s="8" t="inlineStr">
        <is>
          <t>Junior Embedded Software Engineer STM32</t>
        </is>
      </c>
      <c r="S1444" s="19" t="n"/>
      <c r="T1444" s="19" t="n"/>
      <c r="U1444" s="14" t="n">
        <v>46193</v>
      </c>
      <c r="V1444" s="7" t="inlineStr">
        <is>
          <t>v2-cv-accuracy-13b988b18da8ea7d</t>
        </is>
      </c>
    </row>
    <row r="1445" ht="28" customHeight="1">
      <c r="A1445" s="12">
        <f>IF($L1445="applied","Applied",IF($L1445="interview","Interview",IF($L1445="offer","Offer",IF($L1445="rejected","Rejected",IF($L1445="ignore","Ignore",IF($L1445="archive","Archive",IF($L1445="closed","Closed",IF($B1445="","Unscored",IF(AND($B1445&gt;=8,OR($H1445="",$H1445-TODAY()&lt;=14)),"P1 Apply",IF($B1445&gt;=7,"P2 Strong",IF($B1445&gt;=5,"P3 Maybe","P4 Low")))))))))))</f>
        <v/>
      </c>
      <c r="B1445" s="13" t="n">
        <v>0.65</v>
      </c>
      <c r="C1445" s="12" t="inlineStr">
        <is>
          <t>Unspecified</t>
        </is>
      </c>
      <c r="D1445" s="8" t="inlineStr">
        <is>
          <t>Python Developer</t>
        </is>
      </c>
      <c r="E1445" s="7" t="inlineStr">
        <is>
          <t>Venture Up</t>
        </is>
      </c>
      <c r="F1445" s="8" t="inlineStr">
        <is>
          <t>London Area, United Kingdom</t>
        </is>
      </c>
      <c r="G1445" s="8" t="n"/>
      <c r="H1445" s="14" t="n"/>
      <c r="I1445" s="15">
        <f>IF($H1445="","",$H1445-TODAY())</f>
        <v/>
      </c>
      <c r="J1445" s="16" t="inlineStr">
        <is>
          <t>Open posting</t>
        </is>
      </c>
      <c r="K1445" s="8" t="inlineStr">
        <is>
          <t>filtered by keyword pre-scan</t>
        </is>
      </c>
      <c r="L1445" s="17" t="inlineStr">
        <is>
          <t>new</t>
        </is>
      </c>
      <c r="M1445" s="18" t="inlineStr"/>
      <c r="N1445" s="7" t="inlineStr">
        <is>
          <t>c2aa674e93a9d6925047926004278d6d6ea8d5ba</t>
        </is>
      </c>
      <c r="O1445" s="14" t="n">
        <v>46192</v>
      </c>
      <c r="P1445" s="7" t="inlineStr">
        <is>
          <t>jobspy</t>
        </is>
      </c>
      <c r="Q1445" s="8" t="inlineStr">
        <is>
          <t>python, c</t>
        </is>
      </c>
      <c r="R1445" s="8" t="inlineStr">
        <is>
          <t>Graduate Backend Developer Python SQL</t>
        </is>
      </c>
      <c r="S1445" s="19" t="n"/>
      <c r="T1445" s="19" t="n"/>
      <c r="U1445" s="14" t="n">
        <v>46193</v>
      </c>
      <c r="V1445" s="7" t="inlineStr">
        <is>
          <t>v2-cv-accuracy-13b988b18da8ea7d</t>
        </is>
      </c>
    </row>
    <row r="1446" ht="28" customHeight="1">
      <c r="A1446" s="12">
        <f>IF($L1446="applied","Applied",IF($L1446="interview","Interview",IF($L1446="offer","Offer",IF($L1446="rejected","Rejected",IF($L1446="ignore","Ignore",IF($L1446="archive","Archive",IF($L1446="closed","Closed",IF($B1446="","Unscored",IF(AND($B1446&gt;=8,OR($H1446="",$H1446-TODAY()&lt;=14)),"P1 Apply",IF($B1446&gt;=7,"P2 Strong",IF($B1446&gt;=5,"P3 Maybe","P4 Low")))))))))))</f>
        <v/>
      </c>
      <c r="B1446" s="13" t="n">
        <v>0.65</v>
      </c>
      <c r="C1446" s="12" t="inlineStr">
        <is>
          <t>Unspecified</t>
        </is>
      </c>
      <c r="D1446" s="8" t="inlineStr">
        <is>
          <t>Data Engineer</t>
        </is>
      </c>
      <c r="E1446" s="7" t="inlineStr">
        <is>
          <t>Hexegic</t>
        </is>
      </c>
      <c r="F1446" s="8" t="inlineStr">
        <is>
          <t>Dorset, England, UK</t>
        </is>
      </c>
      <c r="G1446" s="8" t="n"/>
      <c r="H1446" s="14" t="n"/>
      <c r="I1446" s="15">
        <f>IF($H1446="","",$H1446-TODAY())</f>
        <v/>
      </c>
      <c r="J1446" s="16" t="inlineStr">
        <is>
          <t>Open posting</t>
        </is>
      </c>
      <c r="K1446" s="8" t="inlineStr">
        <is>
          <t>filtered by keyword pre-scan</t>
        </is>
      </c>
      <c r="L1446" s="17" t="inlineStr">
        <is>
          <t>new</t>
        </is>
      </c>
      <c r="M1446" s="18" t="inlineStr"/>
      <c r="N1446" s="7" t="inlineStr">
        <is>
          <t>ca530975536b32b9e3fde47b4483689a051103d8</t>
        </is>
      </c>
      <c r="O1446" s="14" t="n">
        <v>46176</v>
      </c>
      <c r="P1446" s="7" t="inlineStr">
        <is>
          <t>jobspy</t>
        </is>
      </c>
      <c r="Q1446" s="8" t="inlineStr">
        <is>
          <t>python, c</t>
        </is>
      </c>
      <c r="R1446" s="8" t="inlineStr">
        <is>
          <t>Graduate Data Engineer SQL Python pipeline</t>
        </is>
      </c>
      <c r="S1446" s="19" t="n"/>
      <c r="T1446" s="19" t="n"/>
      <c r="U1446" s="14" t="n">
        <v>46192</v>
      </c>
      <c r="V1446" s="7" t="inlineStr">
        <is>
          <t>v2-cv-accuracy-13b988b18da8ea7d</t>
        </is>
      </c>
    </row>
    <row r="1447" ht="28" customHeight="1">
      <c r="A1447" s="12">
        <f>IF($L1447="applied","Applied",IF($L1447="interview","Interview",IF($L1447="offer","Offer",IF($L1447="rejected","Rejected",IF($L1447="ignore","Ignore",IF($L1447="archive","Archive",IF($L1447="closed","Closed",IF($B1447="","Unscored",IF(AND($B1447&gt;=8,OR($H1447="",$H1447-TODAY()&lt;=14)),"P1 Apply",IF($B1447&gt;=7,"P2 Strong",IF($B1447&gt;=5,"P3 Maybe","P4 Low")))))))))))</f>
        <v/>
      </c>
      <c r="B1447" s="13" t="n">
        <v>0.65</v>
      </c>
      <c r="C1447" s="12" t="inlineStr">
        <is>
          <t>Junior</t>
        </is>
      </c>
      <c r="D1447" s="8" t="inlineStr">
        <is>
          <t>Junior IoT Systems Engineer</t>
        </is>
      </c>
      <c r="E1447" s="7" t="inlineStr">
        <is>
          <t>Inspiring Interns &amp; Graduates</t>
        </is>
      </c>
      <c r="F1447" s="8" t="inlineStr">
        <is>
          <t>Leigh, England, UK</t>
        </is>
      </c>
      <c r="G1447" s="8" t="n"/>
      <c r="H1447" s="14" t="n"/>
      <c r="I1447" s="15">
        <f>IF($H1447="","",$H1447-TODAY())</f>
        <v/>
      </c>
      <c r="J1447" s="16" t="inlineStr">
        <is>
          <t>Open posting</t>
        </is>
      </c>
      <c r="K1447" s="8" t="inlineStr">
        <is>
          <t>filtered by keyword pre-scan</t>
        </is>
      </c>
      <c r="L1447" s="17" t="inlineStr">
        <is>
          <t>new</t>
        </is>
      </c>
      <c r="M1447" s="18" t="inlineStr"/>
      <c r="N1447" s="7" t="inlineStr">
        <is>
          <t>13bc7966f33b504f9ba5a014d4cbd8c9533c697d</t>
        </is>
      </c>
      <c r="O1447" s="14" t="n">
        <v>46181</v>
      </c>
      <c r="P1447" s="7" t="inlineStr">
        <is>
          <t>jobspy</t>
        </is>
      </c>
      <c r="Q1447" s="8" t="inlineStr">
        <is>
          <t>c</t>
        </is>
      </c>
      <c r="R1447" s="8" t="inlineStr">
        <is>
          <t>Graduate Electronics Engineer remote UK</t>
        </is>
      </c>
      <c r="S1447" s="19" t="n"/>
      <c r="T1447" s="19" t="n"/>
      <c r="U1447" s="14" t="n">
        <v>46192</v>
      </c>
      <c r="V1447" s="7" t="inlineStr">
        <is>
          <t>v2-cv-accuracy-13b988b18da8ea7d</t>
        </is>
      </c>
    </row>
    <row r="1448" ht="28" customHeight="1">
      <c r="A1448" s="12">
        <f>IF($L1448="applied","Applied",IF($L1448="interview","Interview",IF($L1448="offer","Offer",IF($L1448="rejected","Rejected",IF($L1448="ignore","Ignore",IF($L1448="archive","Archive",IF($L1448="closed","Closed",IF($B1448="","Unscored",IF(AND($B1448&gt;=8,OR($H1448="",$H1448-TODAY()&lt;=14)),"P1 Apply",IF($B1448&gt;=7,"P2 Strong",IF($B1448&gt;=5,"P3 Maybe","P4 Low")))))))))))</f>
        <v/>
      </c>
      <c r="B1448" s="13" t="n">
        <v>0.65</v>
      </c>
      <c r="C1448" s="12" t="inlineStr">
        <is>
          <t>Mid-level</t>
        </is>
      </c>
      <c r="D1448" s="8" t="inlineStr">
        <is>
          <t>Design Verification Engineer</t>
        </is>
      </c>
      <c r="E1448" s="7" t="inlineStr">
        <is>
          <t>Dabster</t>
        </is>
      </c>
      <c r="F1448" s="8" t="inlineStr">
        <is>
          <t>England, United Kingdom</t>
        </is>
      </c>
      <c r="G1448" s="8" t="n"/>
      <c r="H1448" s="14" t="n"/>
      <c r="I1448" s="15">
        <f>IF($H1448="","",$H1448-TODAY())</f>
        <v/>
      </c>
      <c r="J1448" s="16" t="inlineStr">
        <is>
          <t>Open posting</t>
        </is>
      </c>
      <c r="K1448" s="8" t="inlineStr">
        <is>
          <t>filtered by keyword pre-scan</t>
        </is>
      </c>
      <c r="L1448" s="17" t="inlineStr">
        <is>
          <t>new</t>
        </is>
      </c>
      <c r="M1448" s="18" t="inlineStr"/>
      <c r="N1448" s="7" t="inlineStr">
        <is>
          <t>b25cd8ebcd505b3663ed92069d58764fa387cd54</t>
        </is>
      </c>
      <c r="O1448" s="14" t="n">
        <v>46188</v>
      </c>
      <c r="P1448" s="7" t="inlineStr">
        <is>
          <t>jobspy</t>
        </is>
      </c>
      <c r="Q1448" s="8" t="inlineStr">
        <is>
          <t>verilog, c</t>
        </is>
      </c>
      <c r="R1448" s="8" t="inlineStr">
        <is>
          <t>Graduate FPGA Engineer UK remote</t>
        </is>
      </c>
      <c r="S1448" s="19" t="n"/>
      <c r="T1448" s="19" t="n"/>
      <c r="U1448" s="14" t="n">
        <v>46192</v>
      </c>
      <c r="V1448" s="7" t="inlineStr">
        <is>
          <t>v2-cv-accuracy-13b988b18da8ea7d</t>
        </is>
      </c>
    </row>
    <row r="1449" ht="28" customHeight="1">
      <c r="A1449" s="12">
        <f>IF($L1449="applied","Applied",IF($L1449="interview","Interview",IF($L1449="offer","Offer",IF($L1449="rejected","Rejected",IF($L1449="ignore","Ignore",IF($L1449="archive","Archive",IF($L1449="closed","Closed",IF($B1449="","Unscored",IF(AND($B1449&gt;=8,OR($H1449="",$H1449-TODAY()&lt;=14)),"P1 Apply",IF($B1449&gt;=7,"P2 Strong",IF($B1449&gt;=5,"P3 Maybe","P4 Low")))))))))))</f>
        <v/>
      </c>
      <c r="B1449" s="13" t="n">
        <v>0.65</v>
      </c>
      <c r="C1449" s="12" t="inlineStr">
        <is>
          <t>Apprentice/Trainee</t>
        </is>
      </c>
      <c r="D1449" s="8" t="inlineStr">
        <is>
          <t>IT Support Apprentice</t>
        </is>
      </c>
      <c r="E1449" s="7" t="inlineStr">
        <is>
          <t>QA</t>
        </is>
      </c>
      <c r="F1449" s="8" t="inlineStr">
        <is>
          <t>Liverpool, ENG, GB</t>
        </is>
      </c>
      <c r="G1449" s="8" t="n"/>
      <c r="H1449" s="14" t="n"/>
      <c r="I1449" s="15">
        <f>IF($H1449="","",$H1449-TODAY())</f>
        <v/>
      </c>
      <c r="J1449" s="16" t="inlineStr">
        <is>
          <t>Open posting</t>
        </is>
      </c>
      <c r="K1449" s="8" t="inlineStr">
        <is>
          <t>filtered by keyword pre-scan</t>
        </is>
      </c>
      <c r="L1449" s="17" t="inlineStr">
        <is>
          <t>new</t>
        </is>
      </c>
      <c r="M1449" s="18" t="inlineStr"/>
      <c r="N1449" s="7" t="inlineStr">
        <is>
          <t>d6225ea1bbd601fe7c4e15e0744a118a43bee101</t>
        </is>
      </c>
      <c r="O1449" s="14" t="n">
        <v>46180</v>
      </c>
      <c r="P1449" s="7" t="inlineStr">
        <is>
          <t>jobspy</t>
        </is>
      </c>
      <c r="Q1449" s="8" t="inlineStr">
        <is>
          <t>c</t>
        </is>
      </c>
      <c r="R1449" s="8" t="inlineStr">
        <is>
          <t>Graduate Systems Engineer hardware software</t>
        </is>
      </c>
      <c r="S1449" s="19" t="n"/>
      <c r="T1449" s="19" t="n"/>
      <c r="U1449" s="14" t="n">
        <v>46192</v>
      </c>
      <c r="V1449" s="7" t="inlineStr">
        <is>
          <t>v2-cv-accuracy-13b988b18da8ea7d</t>
        </is>
      </c>
    </row>
    <row r="1450" ht="28" customHeight="1">
      <c r="A1450" s="12">
        <f>IF($L1450="applied","Applied",IF($L1450="interview","Interview",IF($L1450="offer","Offer",IF($L1450="rejected","Rejected",IF($L1450="ignore","Ignore",IF($L1450="archive","Archive",IF($L1450="closed","Closed",IF($B1450="","Unscored",IF(AND($B1450&gt;=8,OR($H1450="",$H1450-TODAY()&lt;=14)),"P1 Apply",IF($B1450&gt;=7,"P2 Strong",IF($B1450&gt;=5,"P3 Maybe","P4 Low")))))))))))</f>
        <v/>
      </c>
      <c r="B1450" s="13" t="n">
        <v>0.65</v>
      </c>
      <c r="C1450" s="12" t="inlineStr">
        <is>
          <t>Junior</t>
        </is>
      </c>
      <c r="D1450" s="8" t="inlineStr">
        <is>
          <t>DevOps Engineer - PerfectDraft</t>
        </is>
      </c>
      <c r="E1450" s="7" t="inlineStr">
        <is>
          <t>Budweiser Brewing Group (AB InBev)</t>
        </is>
      </c>
      <c r="F1450" s="8" t="inlineStr">
        <is>
          <t>London, England, UK</t>
        </is>
      </c>
      <c r="G1450" s="8" t="n"/>
      <c r="H1450" s="14" t="n"/>
      <c r="I1450" s="15">
        <f>IF($H1450="","",$H1450-TODAY())</f>
        <v/>
      </c>
      <c r="J1450" s="16" t="inlineStr">
        <is>
          <t>Open posting</t>
        </is>
      </c>
      <c r="K1450" s="8" t="inlineStr">
        <is>
          <t>filtered by keyword pre-scan</t>
        </is>
      </c>
      <c r="L1450" s="17" t="inlineStr">
        <is>
          <t>new</t>
        </is>
      </c>
      <c r="M1450" s="18" t="inlineStr"/>
      <c r="N1450" s="7" t="inlineStr">
        <is>
          <t>fa85cb03299f0186a13a1ead47a9b1331fcaa85f</t>
        </is>
      </c>
      <c r="O1450" s="14" t="n">
        <v>46176</v>
      </c>
      <c r="P1450" s="7" t="inlineStr">
        <is>
          <t>jobspy</t>
        </is>
      </c>
      <c r="Q1450" s="8" t="inlineStr">
        <is>
          <t>c</t>
        </is>
      </c>
      <c r="R1450" s="8" t="inlineStr">
        <is>
          <t>Graduate DevOps Engineer Docker Kubernetes Python</t>
        </is>
      </c>
      <c r="S1450" s="19" t="n"/>
      <c r="T1450" s="19" t="n"/>
      <c r="U1450" s="14" t="n">
        <v>46192</v>
      </c>
      <c r="V1450" s="7" t="inlineStr">
        <is>
          <t>v2-cv-accuracy-13b988b18da8ea7d</t>
        </is>
      </c>
    </row>
    <row r="1451" ht="28" customHeight="1">
      <c r="A1451" s="12">
        <f>IF($L1451="applied","Applied",IF($L1451="interview","Interview",IF($L1451="offer","Offer",IF($L1451="rejected","Rejected",IF($L1451="ignore","Ignore",IF($L1451="archive","Archive",IF($L1451="closed","Closed",IF($B1451="","Unscored",IF(AND($B1451&gt;=8,OR($H1451="",$H1451-TODAY()&lt;=14)),"P1 Apply",IF($B1451&gt;=7,"P2 Strong",IF($B1451&gt;=5,"P3 Maybe","P4 Low")))))))))))</f>
        <v/>
      </c>
      <c r="B1451" s="13" t="n">
        <v>0.65</v>
      </c>
      <c r="C1451" s="12" t="inlineStr">
        <is>
          <t>Graduate/Entry</t>
        </is>
      </c>
      <c r="D1451" s="8" t="inlineStr">
        <is>
          <t>Entry-Level Service Engineer</t>
        </is>
      </c>
      <c r="E1451" s="7" t="inlineStr">
        <is>
          <t>Adecco</t>
        </is>
      </c>
      <c r="F1451" s="8" t="inlineStr">
        <is>
          <t>Liverpool, England, UK</t>
        </is>
      </c>
      <c r="G1451" s="8" t="n"/>
      <c r="H1451" s="14" t="n"/>
      <c r="I1451" s="15">
        <f>IF($H1451="","",$H1451-TODAY())</f>
        <v/>
      </c>
      <c r="J1451" s="16" t="inlineStr">
        <is>
          <t>Open posting</t>
        </is>
      </c>
      <c r="K1451" s="8" t="inlineStr">
        <is>
          <t>filtered by keyword pre-scan</t>
        </is>
      </c>
      <c r="L1451" s="17" t="inlineStr">
        <is>
          <t>new</t>
        </is>
      </c>
      <c r="M1451" s="18" t="inlineStr"/>
      <c r="N1451" s="7" t="inlineStr">
        <is>
          <t>7eeb54a309438cf7d8b7d4a92ef5535b4bc3a86b</t>
        </is>
      </c>
      <c r="O1451" s="14" t="n">
        <v>46168</v>
      </c>
      <c r="P1451" s="7" t="inlineStr">
        <is>
          <t>jobspy</t>
        </is>
      </c>
      <c r="Q1451" s="8" t="inlineStr">
        <is>
          <t>c</t>
        </is>
      </c>
      <c r="R1451" s="8" t="inlineStr">
        <is>
          <t>Graduate Electronics Engineer Sheffield</t>
        </is>
      </c>
      <c r="S1451" s="19" t="n"/>
      <c r="T1451" s="19" t="n"/>
      <c r="U1451" s="14" t="n">
        <v>46192</v>
      </c>
      <c r="V1451" s="7" t="inlineStr">
        <is>
          <t>v2-cv-accuracy-13b988b18da8ea7d</t>
        </is>
      </c>
    </row>
    <row r="1452" ht="28" customHeight="1">
      <c r="A1452" s="12">
        <f>IF($L1452="applied","Applied",IF($L1452="interview","Interview",IF($L1452="offer","Offer",IF($L1452="rejected","Rejected",IF($L1452="ignore","Ignore",IF($L1452="archive","Archive",IF($L1452="closed","Closed",IF($B1452="","Unscored",IF(AND($B1452&gt;=8,OR($H1452="",$H1452-TODAY()&lt;=14)),"P1 Apply",IF($B1452&gt;=7,"P2 Strong",IF($B1452&gt;=5,"P3 Maybe","P4 Low")))))))))))</f>
        <v/>
      </c>
      <c r="B1452" s="13" t="n">
        <v>0.65</v>
      </c>
      <c r="C1452" s="12" t="inlineStr">
        <is>
          <t>Mid-level</t>
        </is>
      </c>
      <c r="D1452" s="8" t="inlineStr">
        <is>
          <t>Backend Engineer</t>
        </is>
      </c>
      <c r="E1452" s="7" t="inlineStr">
        <is>
          <t>Conduct</t>
        </is>
      </c>
      <c r="F1452" s="8" t="inlineStr">
        <is>
          <t>London, England, UK</t>
        </is>
      </c>
      <c r="G1452" s="8" t="n"/>
      <c r="H1452" s="14" t="n"/>
      <c r="I1452" s="15">
        <f>IF($H1452="","",$H1452-TODAY())</f>
        <v/>
      </c>
      <c r="J1452" s="16" t="inlineStr">
        <is>
          <t>Open posting</t>
        </is>
      </c>
      <c r="K1452" s="8" t="inlineStr">
        <is>
          <t>filtered by keyword pre-scan</t>
        </is>
      </c>
      <c r="L1452" s="17" t="inlineStr">
        <is>
          <t>new</t>
        </is>
      </c>
      <c r="M1452" s="18" t="inlineStr"/>
      <c r="N1452" s="7" t="inlineStr">
        <is>
          <t>4ff41eb3cdbfacc06c77c228ced3b08553735584</t>
        </is>
      </c>
      <c r="O1452" s="14" t="n">
        <v>46190</v>
      </c>
      <c r="P1452" s="7" t="inlineStr">
        <is>
          <t>jobspy</t>
        </is>
      </c>
      <c r="Q1452" s="8" t="inlineStr">
        <is>
          <t>c</t>
        </is>
      </c>
      <c r="R1452" s="8" t="inlineStr">
        <is>
          <t>Graduate Backend Developer Docker Kubernetes</t>
        </is>
      </c>
      <c r="S1452" s="19" t="n"/>
      <c r="T1452" s="19" t="n"/>
      <c r="U1452" s="14" t="n">
        <v>46192</v>
      </c>
      <c r="V1452" s="7" t="inlineStr">
        <is>
          <t>v2-cv-accuracy-13b988b18da8ea7d</t>
        </is>
      </c>
    </row>
    <row r="1453" ht="28" customHeight="1">
      <c r="A1453" s="12">
        <f>IF($L1453="applied","Applied",IF($L1453="interview","Interview",IF($L1453="offer","Offer",IF($L1453="rejected","Rejected",IF($L1453="ignore","Ignore",IF($L1453="archive","Archive",IF($L1453="closed","Closed",IF($B1453="","Unscored",IF(AND($B1453&gt;=8,OR($H1453="",$H1453-TODAY()&lt;=14)),"P1 Apply",IF($B1453&gt;=7,"P2 Strong",IF($B1453&gt;=5,"P3 Maybe","P4 Low")))))))))))</f>
        <v/>
      </c>
      <c r="B1453" s="13" t="n">
        <v>0.65</v>
      </c>
      <c r="C1453" s="12" t="inlineStr">
        <is>
          <t>Unspecified</t>
        </is>
      </c>
      <c r="D1453" s="8" t="inlineStr">
        <is>
          <t>Software Engineer</t>
        </is>
      </c>
      <c r="E1453" s="7" t="inlineStr">
        <is>
          <t>Longshot Systems</t>
        </is>
      </c>
      <c r="F1453" s="8" t="inlineStr">
        <is>
          <t>London, England, UK</t>
        </is>
      </c>
      <c r="G1453" s="8" t="n"/>
      <c r="H1453" s="14" t="n"/>
      <c r="I1453" s="15">
        <f>IF($H1453="","",$H1453-TODAY())</f>
        <v/>
      </c>
      <c r="J1453" s="16" t="inlineStr">
        <is>
          <t>Open posting</t>
        </is>
      </c>
      <c r="K1453" s="8" t="inlineStr">
        <is>
          <t>filtered by keyword pre-scan</t>
        </is>
      </c>
      <c r="L1453" s="17" t="inlineStr">
        <is>
          <t>new</t>
        </is>
      </c>
      <c r="M1453" s="18" t="inlineStr"/>
      <c r="N1453" s="7" t="inlineStr">
        <is>
          <t>3e7f81735fff3cd5ace437800ce392e39a01314b</t>
        </is>
      </c>
      <c r="O1453" s="14" t="n">
        <v>46189</v>
      </c>
      <c r="P1453" s="7" t="inlineStr">
        <is>
          <t>jobspy</t>
        </is>
      </c>
      <c r="Q1453" s="8" t="inlineStr">
        <is>
          <t>c</t>
        </is>
      </c>
      <c r="R1453" s="8" t="inlineStr">
        <is>
          <t>Graduate Backend Developer Docker Kubernetes</t>
        </is>
      </c>
      <c r="S1453" s="19" t="n"/>
      <c r="T1453" s="19" t="n"/>
      <c r="U1453" s="14" t="n">
        <v>46192</v>
      </c>
      <c r="V1453" s="7" t="inlineStr">
        <is>
          <t>v2-cv-accuracy-13b988b18da8ea7d</t>
        </is>
      </c>
    </row>
    <row r="1454" ht="28" customHeight="1">
      <c r="A1454" s="12">
        <f>IF($L1454="applied","Applied",IF($L1454="interview","Interview",IF($L1454="offer","Offer",IF($L1454="rejected","Rejected",IF($L1454="ignore","Ignore",IF($L1454="archive","Archive",IF($L1454="closed","Closed",IF($B1454="","Unscored",IF(AND($B1454&gt;=8,OR($H1454="",$H1454-TODAY()&lt;=14)),"P1 Apply",IF($B1454&gt;=7,"P2 Strong",IF($B1454&gt;=5,"P3 Maybe","P4 Low")))))))))))</f>
        <v/>
      </c>
      <c r="B1454" s="13" t="n">
        <v>0.61</v>
      </c>
      <c r="C1454" s="12" t="inlineStr">
        <is>
          <t>Unspecified</t>
        </is>
      </c>
      <c r="D1454" s="8" t="inlineStr">
        <is>
          <t>Data &amp; Software Engineer</t>
        </is>
      </c>
      <c r="E1454" s="7" t="inlineStr">
        <is>
          <t>Xcede</t>
        </is>
      </c>
      <c r="F1454" s="8" t="inlineStr">
        <is>
          <t>London Area, United Kingdom</t>
        </is>
      </c>
      <c r="G1454" s="8" t="n"/>
      <c r="H1454" s="14" t="n"/>
      <c r="I1454" s="15">
        <f>IF($H1454="","",$H1454-TODAY())</f>
        <v/>
      </c>
      <c r="J1454" s="16" t="inlineStr">
        <is>
          <t>Open posting</t>
        </is>
      </c>
      <c r="K1454" s="8" t="inlineStr">
        <is>
          <t>filtered by keyword pre-scan</t>
        </is>
      </c>
      <c r="L1454" s="17" t="inlineStr">
        <is>
          <t>new</t>
        </is>
      </c>
      <c r="M1454" s="18" t="inlineStr"/>
      <c r="N1454" s="7" t="inlineStr">
        <is>
          <t>292be828f4722ec86e94e1d5ba6e13658d45309c</t>
        </is>
      </c>
      <c r="O1454" s="14" t="n"/>
      <c r="P1454" s="7" t="inlineStr">
        <is>
          <t>jobspy</t>
        </is>
      </c>
      <c r="Q1454" s="8" t="inlineStr">
        <is>
          <t>python</t>
        </is>
      </c>
      <c r="R1454" s="8" t="inlineStr">
        <is>
          <t>Junior Python Developer</t>
        </is>
      </c>
      <c r="S1454" s="19" t="n"/>
      <c r="T1454" s="19" t="n"/>
      <c r="U1454" s="14" t="n">
        <v>46192</v>
      </c>
      <c r="V1454" s="7" t="inlineStr">
        <is>
          <t>v2-cv-accuracy-13b988b18da8ea7d</t>
        </is>
      </c>
    </row>
    <row r="1455" ht="28" customHeight="1">
      <c r="A1455" s="12">
        <f>IF($L1455="applied","Applied",IF($L1455="interview","Interview",IF($L1455="offer","Offer",IF($L1455="rejected","Rejected",IF($L1455="ignore","Ignore",IF($L1455="archive","Archive",IF($L1455="closed","Closed",IF($B1455="","Unscored",IF(AND($B1455&gt;=8,OR($H1455="",$H1455-TODAY()&lt;=14)),"P1 Apply",IF($B1455&gt;=7,"P2 Strong",IF($B1455&gt;=5,"P3 Maybe","P4 Low")))))))))))</f>
        <v/>
      </c>
      <c r="B1455" s="13" t="n">
        <v>0.61</v>
      </c>
      <c r="C1455" s="12" t="inlineStr">
        <is>
          <t>Senior/Lead</t>
        </is>
      </c>
      <c r="D1455" s="8" t="inlineStr">
        <is>
          <t>Fraud Investigations Specialist</t>
        </is>
      </c>
      <c r="E1455" s="7" t="inlineStr">
        <is>
          <t>GoCardless</t>
        </is>
      </c>
      <c r="F1455" s="8" t="inlineStr">
        <is>
          <t>Riga, Latvia</t>
        </is>
      </c>
      <c r="G1455" s="8" t="n"/>
      <c r="H1455" s="14" t="n"/>
      <c r="I1455" s="15">
        <f>IF($H1455="","",$H1455-TODAY())</f>
        <v/>
      </c>
      <c r="J1455" s="16" t="inlineStr">
        <is>
          <t>Open posting</t>
        </is>
      </c>
      <c r="K1455" s="8" t="inlineStr">
        <is>
          <t>filtered by keyword pre-scan</t>
        </is>
      </c>
      <c r="L1455" s="17" t="inlineStr">
        <is>
          <t>new</t>
        </is>
      </c>
      <c r="M1455" s="18" t="inlineStr"/>
      <c r="N1455" s="7" t="inlineStr">
        <is>
          <t>d3d072def04fdc864c70e1d270fd589a7e98afe1</t>
        </is>
      </c>
      <c r="O1455" s="14" t="n">
        <v>46184</v>
      </c>
      <c r="P1455" s="7" t="inlineStr">
        <is>
          <t>greenhouse:gocardless</t>
        </is>
      </c>
      <c r="Q1455" s="8" t="inlineStr">
        <is>
          <t>git</t>
        </is>
      </c>
      <c r="R1455" s="8" t="n"/>
      <c r="S1455" s="19" t="n"/>
      <c r="T1455" s="19" t="n"/>
      <c r="U1455" s="14" t="n">
        <v>46191</v>
      </c>
      <c r="V1455" s="7" t="inlineStr">
        <is>
          <t>v2-cv-accuracy-13b988b18da8ea7d</t>
        </is>
      </c>
    </row>
    <row r="1456" ht="28" customHeight="1">
      <c r="A1456" s="12">
        <f>IF($L1456="applied","Applied",IF($L1456="interview","Interview",IF($L1456="offer","Offer",IF($L1456="rejected","Rejected",IF($L1456="ignore","Ignore",IF($L1456="archive","Archive",IF($L1456="closed","Closed",IF($B1456="","Unscored",IF(AND($B1456&gt;=8,OR($H1456="",$H1456-TODAY()&lt;=14)),"P1 Apply",IF($B1456&gt;=7,"P2 Strong",IF($B1456&gt;=5,"P3 Maybe","P4 Low")))))))))))</f>
        <v/>
      </c>
      <c r="B1456" s="13" t="n">
        <v>0.61</v>
      </c>
      <c r="C1456" s="12" t="inlineStr">
        <is>
          <t>Unspecified</t>
        </is>
      </c>
      <c r="D1456" s="8" t="inlineStr">
        <is>
          <t>Group Insight Analyst</t>
        </is>
      </c>
      <c r="E1456" s="7" t="inlineStr">
        <is>
          <t>The Granite Group</t>
        </is>
      </c>
      <c r="F1456" s="8" t="inlineStr">
        <is>
          <t>Liverpool, ENG, GB</t>
        </is>
      </c>
      <c r="G1456" s="8" t="n"/>
      <c r="H1456" s="14" t="n"/>
      <c r="I1456" s="15">
        <f>IF($H1456="","",$H1456-TODAY())</f>
        <v/>
      </c>
      <c r="J1456" s="16" t="inlineStr">
        <is>
          <t>Open posting</t>
        </is>
      </c>
      <c r="K1456" s="8" t="inlineStr">
        <is>
          <t>filtered by keyword pre-scan</t>
        </is>
      </c>
      <c r="L1456" s="17" t="inlineStr">
        <is>
          <t>new</t>
        </is>
      </c>
      <c r="M1456" s="18" t="inlineStr"/>
      <c r="N1456" s="7" t="inlineStr">
        <is>
          <t>f8d7092b6957f4f85e16df755ec1b82249966d5e</t>
        </is>
      </c>
      <c r="O1456" s="14" t="n">
        <v>46188</v>
      </c>
      <c r="P1456" s="7" t="inlineStr">
        <is>
          <t>jobspy</t>
        </is>
      </c>
      <c r="Q1456" s="8" t="inlineStr">
        <is>
          <t>sql</t>
        </is>
      </c>
      <c r="R1456" s="8" t="inlineStr">
        <is>
          <t>Graduate Software Developer</t>
        </is>
      </c>
      <c r="S1456" s="19" t="n"/>
      <c r="T1456" s="19" t="n"/>
      <c r="U1456" s="14" t="n">
        <v>46191</v>
      </c>
      <c r="V1456" s="7" t="inlineStr">
        <is>
          <t>v2-cv-accuracy-13b988b18da8ea7d</t>
        </is>
      </c>
    </row>
    <row r="1457" ht="28" customHeight="1">
      <c r="A1457" s="12">
        <f>IF($L1457="applied","Applied",IF($L1457="interview","Interview",IF($L1457="offer","Offer",IF($L1457="rejected","Rejected",IF($L1457="ignore","Ignore",IF($L1457="archive","Archive",IF($L1457="closed","Closed",IF($B1457="","Unscored",IF(AND($B1457&gt;=8,OR($H1457="",$H1457-TODAY()&lt;=14)),"P1 Apply",IF($B1457&gt;=7,"P2 Strong",IF($B1457&gt;=5,"P3 Maybe","P4 Low")))))))))))</f>
        <v/>
      </c>
      <c r="B1457" s="13" t="n">
        <v>0.61</v>
      </c>
      <c r="C1457" s="12" t="inlineStr">
        <is>
          <t>Mid-level</t>
        </is>
      </c>
      <c r="D1457" s="8" t="inlineStr">
        <is>
          <t>Online Programmer</t>
        </is>
      </c>
      <c r="E1457" s="7" t="inlineStr">
        <is>
          <t>Steel City Interactive</t>
        </is>
      </c>
      <c r="F1457" s="8" t="inlineStr"/>
      <c r="G1457" s="8" t="n"/>
      <c r="H1457" s="14" t="n"/>
      <c r="I1457" s="15">
        <f>IF($H1457="","",$H1457-TODAY())</f>
        <v/>
      </c>
      <c r="J1457" s="16" t="inlineStr">
        <is>
          <t>Open posting</t>
        </is>
      </c>
      <c r="K1457" s="8" t="inlineStr">
        <is>
          <t>filtered by keyword pre-scan</t>
        </is>
      </c>
      <c r="L1457" s="17" t="inlineStr">
        <is>
          <t>new</t>
        </is>
      </c>
      <c r="M1457" s="18" t="inlineStr"/>
      <c r="N1457" s="7" t="inlineStr">
        <is>
          <t>23404b1b8e2f1579c268c78b2d4de9829ed4f5e0</t>
        </is>
      </c>
      <c r="O1457" s="14" t="n">
        <v>46185</v>
      </c>
      <c r="P1457" s="7" t="inlineStr">
        <is>
          <t>jobspy</t>
        </is>
      </c>
      <c r="Q1457" s="8" t="inlineStr">
        <is>
          <t>sql</t>
        </is>
      </c>
      <c r="R1457" s="8" t="inlineStr">
        <is>
          <t>Graduate Software Developer Sheffield</t>
        </is>
      </c>
      <c r="S1457" s="19" t="n"/>
      <c r="T1457" s="19" t="n"/>
      <c r="U1457" s="14" t="n">
        <v>46191</v>
      </c>
      <c r="V1457" s="7" t="inlineStr">
        <is>
          <t>v2-cv-accuracy-13b988b18da8ea7d</t>
        </is>
      </c>
    </row>
    <row r="1458" ht="28" customHeight="1">
      <c r="A1458" s="12">
        <f>IF($L1458="applied","Applied",IF($L1458="interview","Interview",IF($L1458="offer","Offer",IF($L1458="rejected","Rejected",IF($L1458="ignore","Ignore",IF($L1458="archive","Archive",IF($L1458="closed","Closed",IF($B1458="","Unscored",IF(AND($B1458&gt;=8,OR($H1458="",$H1458-TODAY()&lt;=14)),"P1 Apply",IF($B1458&gt;=7,"P2 Strong",IF($B1458&gt;=5,"P3 Maybe","P4 Low")))))))))))</f>
        <v/>
      </c>
      <c r="B1458" s="13" t="n">
        <v>0.61</v>
      </c>
      <c r="C1458" s="12" t="inlineStr">
        <is>
          <t>Senior/Lead</t>
        </is>
      </c>
      <c r="D1458" s="8" t="inlineStr">
        <is>
          <t>Software Engineer</t>
        </is>
      </c>
      <c r="E1458" s="7" t="inlineStr">
        <is>
          <t>RWS Group</t>
        </is>
      </c>
      <c r="F1458" s="8" t="inlineStr">
        <is>
          <t>Sheffield, England, UK</t>
        </is>
      </c>
      <c r="G1458" s="8" t="n"/>
      <c r="H1458" s="14" t="n"/>
      <c r="I1458" s="15">
        <f>IF($H1458="","",$H1458-TODAY())</f>
        <v/>
      </c>
      <c r="J1458" s="16" t="inlineStr">
        <is>
          <t>Open posting</t>
        </is>
      </c>
      <c r="K1458" s="8" t="inlineStr">
        <is>
          <t>filtered by keyword pre-scan</t>
        </is>
      </c>
      <c r="L1458" s="17" t="inlineStr">
        <is>
          <t>new</t>
        </is>
      </c>
      <c r="M1458" s="18" t="inlineStr"/>
      <c r="N1458" s="7" t="inlineStr">
        <is>
          <t>f3d85a71f02c6600c0259a7a6d5eaab8705a2baa</t>
        </is>
      </c>
      <c r="O1458" s="14" t="n">
        <v>46163</v>
      </c>
      <c r="P1458" s="7" t="inlineStr">
        <is>
          <t>jobspy</t>
        </is>
      </c>
      <c r="Q1458" s="8" t="inlineStr"/>
      <c r="R1458" s="8" t="inlineStr">
        <is>
          <t>Graduate Software Developer Sheffield</t>
        </is>
      </c>
      <c r="S1458" s="19" t="n"/>
      <c r="T1458" s="19" t="n"/>
      <c r="U1458" s="14" t="n">
        <v>46191</v>
      </c>
      <c r="V1458" s="7" t="inlineStr">
        <is>
          <t>v2-cv-accuracy-13b988b18da8ea7d</t>
        </is>
      </c>
    </row>
    <row r="1459" ht="28" customHeight="1">
      <c r="A1459" s="12">
        <f>IF($L1459="applied","Applied",IF($L1459="interview","Interview",IF($L1459="offer","Offer",IF($L1459="rejected","Rejected",IF($L1459="ignore","Ignore",IF($L1459="archive","Archive",IF($L1459="closed","Closed",IF($B1459="","Unscored",IF(AND($B1459&gt;=8,OR($H1459="",$H1459-TODAY()&lt;=14)),"P1 Apply",IF($B1459&gt;=7,"P2 Strong",IF($B1459&gt;=5,"P3 Maybe","P4 Low")))))))))))</f>
        <v/>
      </c>
      <c r="B1459" s="13" t="n">
        <v>0.61</v>
      </c>
      <c r="C1459" s="12" t="inlineStr">
        <is>
          <t>Graduate/Entry</t>
        </is>
      </c>
      <c r="D1459" s="8" t="inlineStr">
        <is>
          <t>Graduate Software Engineer</t>
        </is>
      </c>
      <c r="E1459" s="7" t="inlineStr">
        <is>
          <t>Intellect Group</t>
        </is>
      </c>
      <c r="F1459" s="8" t="inlineStr">
        <is>
          <t>London Area, United Kingdom</t>
        </is>
      </c>
      <c r="G1459" s="8" t="n"/>
      <c r="H1459" s="14" t="n"/>
      <c r="I1459" s="15">
        <f>IF($H1459="","",$H1459-TODAY())</f>
        <v/>
      </c>
      <c r="J1459" s="16" t="inlineStr">
        <is>
          <t>Open posting</t>
        </is>
      </c>
      <c r="K1459" s="8" t="inlineStr">
        <is>
          <t>filtered by keyword pre-scan</t>
        </is>
      </c>
      <c r="L1459" s="17" t="inlineStr">
        <is>
          <t>new</t>
        </is>
      </c>
      <c r="M1459" s="18" t="inlineStr"/>
      <c r="N1459" s="7" t="inlineStr">
        <is>
          <t>98c18aa94dccc0a4edaa2996f0fad918f02bd2ff</t>
        </is>
      </c>
      <c r="O1459" s="14" t="n">
        <v>46182</v>
      </c>
      <c r="P1459" s="7" t="inlineStr">
        <is>
          <t>jobspy</t>
        </is>
      </c>
      <c r="Q1459" s="8" t="inlineStr">
        <is>
          <t>software development</t>
        </is>
      </c>
      <c r="R1459" s="8" t="inlineStr">
        <is>
          <t>graduate Graduate Software Developer</t>
        </is>
      </c>
      <c r="S1459" s="19" t="n"/>
      <c r="T1459" s="19" t="n"/>
      <c r="U1459" s="14" t="n">
        <v>46191</v>
      </c>
      <c r="V1459" s="7" t="inlineStr">
        <is>
          <t>v2-cv-accuracy-13b988b18da8ea7d</t>
        </is>
      </c>
    </row>
    <row r="1460" ht="28" customHeight="1">
      <c r="A1460" s="12">
        <f>IF($L1460="applied","Applied",IF($L1460="interview","Interview",IF($L1460="offer","Offer",IF($L1460="rejected","Rejected",IF($L1460="ignore","Ignore",IF($L1460="archive","Archive",IF($L1460="closed","Closed",IF($B1460="","Unscored",IF(AND($B1460&gt;=8,OR($H1460="",$H1460-TODAY()&lt;=14)),"P1 Apply",IF($B1460&gt;=7,"P2 Strong",IF($B1460&gt;=5,"P3 Maybe","P4 Low")))))))))))</f>
        <v/>
      </c>
      <c r="B1460" s="13" t="n">
        <v>0.61</v>
      </c>
      <c r="C1460" s="12" t="inlineStr">
        <is>
          <t>Apprentice/Trainee</t>
        </is>
      </c>
      <c r="D1460" s="8" t="inlineStr">
        <is>
          <t>Apprentice Software Engineer</t>
        </is>
      </c>
      <c r="E1460" s="7" t="inlineStr">
        <is>
          <t>Cirium</t>
        </is>
      </c>
      <c r="F1460" s="8" t="inlineStr">
        <is>
          <t>Southampton, England, UK</t>
        </is>
      </c>
      <c r="G1460" s="8" t="n"/>
      <c r="H1460" s="14" t="n"/>
      <c r="I1460" s="15">
        <f>IF($H1460="","",$H1460-TODAY())</f>
        <v/>
      </c>
      <c r="J1460" s="16" t="inlineStr">
        <is>
          <t>Open posting</t>
        </is>
      </c>
      <c r="K1460" s="8" t="inlineStr">
        <is>
          <t>filtered by keyword pre-scan</t>
        </is>
      </c>
      <c r="L1460" s="17" t="inlineStr">
        <is>
          <t>new</t>
        </is>
      </c>
      <c r="M1460" s="18" t="inlineStr"/>
      <c r="N1460" s="7" t="inlineStr">
        <is>
          <t>3fef35a32001ebb24bc03f69f01ec3c36e620cee</t>
        </is>
      </c>
      <c r="O1460" s="14" t="n">
        <v>46188</v>
      </c>
      <c r="P1460" s="7" t="inlineStr">
        <is>
          <t>jobspy</t>
        </is>
      </c>
      <c r="Q1460" s="8" t="inlineStr">
        <is>
          <t>git</t>
        </is>
      </c>
      <c r="R1460" s="8" t="inlineStr">
        <is>
          <t>entry level Graduate Software Developer</t>
        </is>
      </c>
      <c r="S1460" s="19" t="n"/>
      <c r="T1460" s="19" t="n"/>
      <c r="U1460" s="14" t="n">
        <v>46191</v>
      </c>
      <c r="V1460" s="7" t="inlineStr">
        <is>
          <t>v2-cv-accuracy-13b988b18da8ea7d</t>
        </is>
      </c>
    </row>
    <row r="1461" ht="28" customHeight="1">
      <c r="A1461" s="12">
        <f>IF($L1461="applied","Applied",IF($L1461="interview","Interview",IF($L1461="offer","Offer",IF($L1461="rejected","Rejected",IF($L1461="ignore","Ignore",IF($L1461="archive","Archive",IF($L1461="closed","Closed",IF($B1461="","Unscored",IF(AND($B1461&gt;=8,OR($H1461="",$H1461-TODAY()&lt;=14)),"P1 Apply",IF($B1461&gt;=7,"P2 Strong",IF($B1461&gt;=5,"P3 Maybe","P4 Low")))))))))))</f>
        <v/>
      </c>
      <c r="B1461" s="13" t="n">
        <v>0.61</v>
      </c>
      <c r="C1461" s="12" t="inlineStr">
        <is>
          <t>Graduate/Entry</t>
        </is>
      </c>
      <c r="D1461" s="8" t="inlineStr">
        <is>
          <t>Developer (Temporary)</t>
        </is>
      </c>
      <c r="E1461" s="7" t="inlineStr">
        <is>
          <t>ELVIS</t>
        </is>
      </c>
      <c r="F1461" s="8" t="inlineStr">
        <is>
          <t>London, England, UK</t>
        </is>
      </c>
      <c r="G1461" s="8" t="n"/>
      <c r="H1461" s="14" t="n"/>
      <c r="I1461" s="15">
        <f>IF($H1461="","",$H1461-TODAY())</f>
        <v/>
      </c>
      <c r="J1461" s="16" t="inlineStr">
        <is>
          <t>Open posting</t>
        </is>
      </c>
      <c r="K1461" s="8" t="inlineStr">
        <is>
          <t>filtered by keyword pre-scan</t>
        </is>
      </c>
      <c r="L1461" s="17" t="inlineStr">
        <is>
          <t>new</t>
        </is>
      </c>
      <c r="M1461" s="18" t="inlineStr"/>
      <c r="N1461" s="7" t="inlineStr">
        <is>
          <t>1d0b35c2b1cbabc09b9a08a6a162320392a64923</t>
        </is>
      </c>
      <c r="O1461" s="14" t="n">
        <v>46184</v>
      </c>
      <c r="P1461" s="7" t="inlineStr">
        <is>
          <t>jobspy</t>
        </is>
      </c>
      <c r="Q1461" s="8" t="inlineStr">
        <is>
          <t>javascript</t>
        </is>
      </c>
      <c r="R1461" s="8" t="inlineStr">
        <is>
          <t>entry level Graduate Software Developer</t>
        </is>
      </c>
      <c r="S1461" s="19" t="n"/>
      <c r="T1461" s="19" t="n"/>
      <c r="U1461" s="14" t="n">
        <v>46191</v>
      </c>
      <c r="V1461" s="7" t="inlineStr">
        <is>
          <t>v2-cv-accuracy-13b988b18da8ea7d</t>
        </is>
      </c>
    </row>
    <row r="1462" ht="28" customHeight="1">
      <c r="A1462" s="12">
        <f>IF($L1462="applied","Applied",IF($L1462="interview","Interview",IF($L1462="offer","Offer",IF($L1462="rejected","Rejected",IF($L1462="ignore","Ignore",IF($L1462="archive","Archive",IF($L1462="closed","Closed",IF($B1462="","Unscored",IF(AND($B1462&gt;=8,OR($H1462="",$H1462-TODAY()&lt;=14)),"P1 Apply",IF($B1462&gt;=7,"P2 Strong",IF($B1462&gt;=5,"P3 Maybe","P4 Low")))))))))))</f>
        <v/>
      </c>
      <c r="B1462" s="13" t="n">
        <v>0.61</v>
      </c>
      <c r="C1462" s="12" t="inlineStr">
        <is>
          <t>Graduate/Entry</t>
        </is>
      </c>
      <c r="D1462" s="8" t="inlineStr">
        <is>
          <t>Developer (Temporary)</t>
        </is>
      </c>
      <c r="E1462" s="7" t="inlineStr">
        <is>
          <t>House 337</t>
        </is>
      </c>
      <c r="F1462" s="8" t="inlineStr">
        <is>
          <t>London, England, UK</t>
        </is>
      </c>
      <c r="G1462" s="8" t="n"/>
      <c r="H1462" s="14" t="n"/>
      <c r="I1462" s="15">
        <f>IF($H1462="","",$H1462-TODAY())</f>
        <v/>
      </c>
      <c r="J1462" s="16" t="inlineStr">
        <is>
          <t>Open posting</t>
        </is>
      </c>
      <c r="K1462" s="8" t="inlineStr">
        <is>
          <t>filtered by keyword pre-scan</t>
        </is>
      </c>
      <c r="L1462" s="17" t="inlineStr">
        <is>
          <t>new</t>
        </is>
      </c>
      <c r="M1462" s="18" t="inlineStr"/>
      <c r="N1462" s="7" t="inlineStr">
        <is>
          <t>db2aa585c9298e29b21c6c7e2b67b8c97125da46</t>
        </is>
      </c>
      <c r="O1462" s="14" t="n">
        <v>46184</v>
      </c>
      <c r="P1462" s="7" t="inlineStr">
        <is>
          <t>jobspy</t>
        </is>
      </c>
      <c r="Q1462" s="8" t="inlineStr">
        <is>
          <t>javascript</t>
        </is>
      </c>
      <c r="R1462" s="8" t="inlineStr">
        <is>
          <t>entry level Graduate Software Developer</t>
        </is>
      </c>
      <c r="S1462" s="19" t="n"/>
      <c r="T1462" s="19" t="n"/>
      <c r="U1462" s="14" t="n">
        <v>46191</v>
      </c>
      <c r="V1462" s="7" t="inlineStr">
        <is>
          <t>v2-cv-accuracy-13b988b18da8ea7d</t>
        </is>
      </c>
    </row>
    <row r="1463" ht="28" customHeight="1">
      <c r="A1463" s="12">
        <f>IF($L1463="applied","Applied",IF($L1463="interview","Interview",IF($L1463="offer","Offer",IF($L1463="rejected","Rejected",IF($L1463="ignore","Ignore",IF($L1463="archive","Archive",IF($L1463="closed","Closed",IF($B1463="","Unscored",IF(AND($B1463&gt;=8,OR($H1463="",$H1463-TODAY()&lt;=14)),"P1 Apply",IF($B1463&gt;=7,"P2 Strong",IF($B1463&gt;=5,"P3 Maybe","P4 Low")))))))))))</f>
        <v/>
      </c>
      <c r="B1463" s="13" t="n">
        <v>0.61</v>
      </c>
      <c r="C1463" s="12" t="inlineStr">
        <is>
          <t>Unspecified</t>
        </is>
      </c>
      <c r="D1463" s="8" t="inlineStr">
        <is>
          <t>Python Developer</t>
        </is>
      </c>
      <c r="E1463" s="7" t="inlineStr">
        <is>
          <t>Venture Up</t>
        </is>
      </c>
      <c r="F1463" s="8" t="inlineStr">
        <is>
          <t>London Area, United Kingdom</t>
        </is>
      </c>
      <c r="G1463" s="8" t="n"/>
      <c r="H1463" s="14" t="n"/>
      <c r="I1463" s="15">
        <f>IF($H1463="","",$H1463-TODAY())</f>
        <v/>
      </c>
      <c r="J1463" s="16" t="inlineStr">
        <is>
          <t>Open posting</t>
        </is>
      </c>
      <c r="K1463" s="8" t="inlineStr">
        <is>
          <t>filtered by keyword pre-scan</t>
        </is>
      </c>
      <c r="L1463" s="17" t="inlineStr">
        <is>
          <t>new</t>
        </is>
      </c>
      <c r="M1463" s="18" t="inlineStr"/>
      <c r="N1463" s="7" t="inlineStr">
        <is>
          <t>7a4df1962f1a4447413deeb3155d34e4971fe935</t>
        </is>
      </c>
      <c r="O1463" s="14" t="n"/>
      <c r="P1463" s="7" t="inlineStr">
        <is>
          <t>jobspy</t>
        </is>
      </c>
      <c r="Q1463" s="8" t="inlineStr">
        <is>
          <t>python</t>
        </is>
      </c>
      <c r="R1463" s="8" t="inlineStr">
        <is>
          <t>junior/graduate Junior Python Developer</t>
        </is>
      </c>
      <c r="S1463" s="19" t="n"/>
      <c r="T1463" s="19" t="n"/>
      <c r="U1463" s="14" t="n">
        <v>46191</v>
      </c>
      <c r="V1463" s="7" t="inlineStr">
        <is>
          <t>v2-cv-accuracy-13b988b18da8ea7d</t>
        </is>
      </c>
    </row>
    <row r="1464" ht="28" customHeight="1">
      <c r="A1464" s="12">
        <f>IF($L1464="applied","Applied",IF($L1464="interview","Interview",IF($L1464="offer","Offer",IF($L1464="rejected","Rejected",IF($L1464="ignore","Ignore",IF($L1464="archive","Archive",IF($L1464="closed","Closed",IF($B1464="","Unscored",IF(AND($B1464&gt;=8,OR($H1464="",$H1464-TODAY()&lt;=14)),"P1 Apply",IF($B1464&gt;=7,"P2 Strong",IF($B1464&gt;=5,"P3 Maybe","P4 Low")))))))))))</f>
        <v/>
      </c>
      <c r="B1464" s="13" t="n">
        <v>0.61</v>
      </c>
      <c r="C1464" s="12" t="inlineStr">
        <is>
          <t>Senior/Lead</t>
        </is>
      </c>
      <c r="D1464" s="8" t="inlineStr">
        <is>
          <t>Software Engineer - Python | Remote</t>
        </is>
      </c>
      <c r="E1464" s="7" t="inlineStr">
        <is>
          <t>Crossing Hurdles</t>
        </is>
      </c>
      <c r="F1464" s="8" t="inlineStr"/>
      <c r="G1464" s="8" t="n"/>
      <c r="H1464" s="14" t="n"/>
      <c r="I1464" s="15">
        <f>IF($H1464="","",$H1464-TODAY())</f>
        <v/>
      </c>
      <c r="J1464" s="16" t="inlineStr">
        <is>
          <t>Open posting</t>
        </is>
      </c>
      <c r="K1464" s="8" t="inlineStr">
        <is>
          <t>filtered by keyword pre-scan</t>
        </is>
      </c>
      <c r="L1464" s="17" t="inlineStr">
        <is>
          <t>new</t>
        </is>
      </c>
      <c r="M1464" s="18" t="inlineStr"/>
      <c r="N1464" s="7" t="inlineStr">
        <is>
          <t>78966419fca67e52a24034907c154255cc49ff74</t>
        </is>
      </c>
      <c r="O1464" s="14" t="n">
        <v>46178</v>
      </c>
      <c r="P1464" s="7" t="inlineStr">
        <is>
          <t>jobspy</t>
        </is>
      </c>
      <c r="Q1464" s="8" t="inlineStr">
        <is>
          <t>python</t>
        </is>
      </c>
      <c r="R1464" s="8" t="inlineStr">
        <is>
          <t>Junior Python Developer remote</t>
        </is>
      </c>
      <c r="S1464" s="19" t="n"/>
      <c r="T1464" s="19" t="n"/>
      <c r="U1464" s="14" t="n">
        <v>46191</v>
      </c>
      <c r="V1464" s="7" t="inlineStr">
        <is>
          <t>v2-cv-accuracy-13b988b18da8ea7d</t>
        </is>
      </c>
    </row>
    <row r="1465" ht="28" customHeight="1">
      <c r="A1465" s="12">
        <f>IF($L1465="applied","Applied",IF($L1465="interview","Interview",IF($L1465="offer","Offer",IF($L1465="rejected","Rejected",IF($L1465="ignore","Ignore",IF($L1465="archive","Archive",IF($L1465="closed","Closed",IF($B1465="","Unscored",IF(AND($B1465&gt;=8,OR($H1465="",$H1465-TODAY()&lt;=14)),"P1 Apply",IF($B1465&gt;=7,"P2 Strong",IF($B1465&gt;=5,"P3 Maybe","P4 Low")))))))))))</f>
        <v/>
      </c>
      <c r="B1465" s="13" t="n">
        <v>0.61</v>
      </c>
      <c r="C1465" s="12" t="inlineStr">
        <is>
          <t>Mid-level</t>
        </is>
      </c>
      <c r="D1465" s="8" t="inlineStr">
        <is>
          <t>Full Stack Developer</t>
        </is>
      </c>
      <c r="E1465" s="7" t="inlineStr">
        <is>
          <t>Aston Martin Lagonda Ltd</t>
        </is>
      </c>
      <c r="F1465" s="8" t="inlineStr">
        <is>
          <t>Gaydon, England, UK</t>
        </is>
      </c>
      <c r="G1465" s="8" t="n"/>
      <c r="H1465" s="14" t="n"/>
      <c r="I1465" s="15">
        <f>IF($H1465="","",$H1465-TODAY())</f>
        <v/>
      </c>
      <c r="J1465" s="16" t="inlineStr">
        <is>
          <t>Open posting</t>
        </is>
      </c>
      <c r="K1465" s="8" t="inlineStr">
        <is>
          <t>filtered by keyword pre-scan</t>
        </is>
      </c>
      <c r="L1465" s="17" t="inlineStr">
        <is>
          <t>new</t>
        </is>
      </c>
      <c r="M1465" s="18" t="inlineStr"/>
      <c r="N1465" s="7" t="inlineStr">
        <is>
          <t>42b57862852d549e636856a91ab404b0efab0bf7</t>
        </is>
      </c>
      <c r="O1465" s="14" t="n">
        <v>46177</v>
      </c>
      <c r="P1465" s="7" t="inlineStr">
        <is>
          <t>jobspy</t>
        </is>
      </c>
      <c r="Q1465" s="8" t="inlineStr">
        <is>
          <t>git</t>
        </is>
      </c>
      <c r="R1465" s="8" t="inlineStr">
        <is>
          <t>Full Stack Developer</t>
        </is>
      </c>
      <c r="S1465" s="19" t="n"/>
      <c r="T1465" s="19" t="n"/>
      <c r="U1465" s="14" t="n">
        <v>46191</v>
      </c>
      <c r="V1465" s="7" t="inlineStr">
        <is>
          <t>v2-cv-accuracy-13b988b18da8ea7d</t>
        </is>
      </c>
    </row>
    <row r="1466" ht="28" customHeight="1">
      <c r="A1466" s="12">
        <f>IF($L1466="applied","Applied",IF($L1466="interview","Interview",IF($L1466="offer","Offer",IF($L1466="rejected","Rejected",IF($L1466="ignore","Ignore",IF($L1466="archive","Archive",IF($L1466="closed","Closed",IF($B1466="","Unscored",IF(AND($B1466&gt;=8,OR($H1466="",$H1466-TODAY()&lt;=14)),"P1 Apply",IF($B1466&gt;=7,"P2 Strong",IF($B1466&gt;=5,"P3 Maybe","P4 Low")))))))))))</f>
        <v/>
      </c>
      <c r="B1466" s="13" t="n">
        <v>0.61</v>
      </c>
      <c r="C1466" s="12" t="inlineStr">
        <is>
          <t>Junior</t>
        </is>
      </c>
      <c r="D1466" s="8" t="inlineStr">
        <is>
          <t>Junior Full Stack Developer (Remote, UK Hours)</t>
        </is>
      </c>
      <c r="E1466" s="7" t="inlineStr">
        <is>
          <t>Minimal Viable Launch</t>
        </is>
      </c>
      <c r="F1466" s="8" t="inlineStr">
        <is>
          <t>Remote, GB</t>
        </is>
      </c>
      <c r="G1466" s="8" t="n"/>
      <c r="H1466" s="14" t="n"/>
      <c r="I1466" s="15">
        <f>IF($H1466="","",$H1466-TODAY())</f>
        <v/>
      </c>
      <c r="J1466" s="16" t="inlineStr">
        <is>
          <t>Open posting</t>
        </is>
      </c>
      <c r="K1466" s="8" t="inlineStr">
        <is>
          <t>filtered by keyword pre-scan</t>
        </is>
      </c>
      <c r="L1466" s="17" t="inlineStr">
        <is>
          <t>new</t>
        </is>
      </c>
      <c r="M1466" s="18" t="inlineStr"/>
      <c r="N1466" s="7" t="inlineStr">
        <is>
          <t>f8f0281cf34ea5792a0443f86df49821f8131760</t>
        </is>
      </c>
      <c r="O1466" s="14" t="n">
        <v>46183</v>
      </c>
      <c r="P1466" s="7" t="inlineStr">
        <is>
          <t>jobspy</t>
        </is>
      </c>
      <c r="Q1466" s="8" t="inlineStr">
        <is>
          <t>git</t>
        </is>
      </c>
      <c r="R1466" s="8" t="inlineStr">
        <is>
          <t>junior Full Stack Developer</t>
        </is>
      </c>
      <c r="S1466" s="19" t="n"/>
      <c r="T1466" s="19" t="n"/>
      <c r="U1466" s="14" t="n">
        <v>46191</v>
      </c>
      <c r="V1466" s="7" t="inlineStr">
        <is>
          <t>v2-cv-accuracy-13b988b18da8ea7d</t>
        </is>
      </c>
    </row>
    <row r="1467" ht="28" customHeight="1">
      <c r="A1467" s="12">
        <f>IF($L1467="applied","Applied",IF($L1467="interview","Interview",IF($L1467="offer","Offer",IF($L1467="rejected","Rejected",IF($L1467="ignore","Ignore",IF($L1467="archive","Archive",IF($L1467="closed","Closed",IF($B1467="","Unscored",IF(AND($B1467&gt;=8,OR($H1467="",$H1467-TODAY()&lt;=14)),"P1 Apply",IF($B1467&gt;=7,"P2 Strong",IF($B1467&gt;=5,"P3 Maybe","P4 Low")))))))))))</f>
        <v/>
      </c>
      <c r="B1467" s="13" t="n">
        <v>0.61</v>
      </c>
      <c r="C1467" s="12" t="inlineStr">
        <is>
          <t>Graduate/Entry</t>
        </is>
      </c>
      <c r="D1467" s="8" t="inlineStr">
        <is>
          <t>Web Developer</t>
        </is>
      </c>
      <c r="E1467" s="7" t="inlineStr">
        <is>
          <t>ELVIS</t>
        </is>
      </c>
      <c r="F1467" s="8" t="inlineStr">
        <is>
          <t>London Area, United Kingdom</t>
        </is>
      </c>
      <c r="G1467" s="8" t="n"/>
      <c r="H1467" s="14" t="n"/>
      <c r="I1467" s="15">
        <f>IF($H1467="","",$H1467-TODAY())</f>
        <v/>
      </c>
      <c r="J1467" s="16" t="inlineStr">
        <is>
          <t>Open posting</t>
        </is>
      </c>
      <c r="K1467" s="8" t="inlineStr">
        <is>
          <t>filtered by keyword pre-scan</t>
        </is>
      </c>
      <c r="L1467" s="17" t="inlineStr">
        <is>
          <t>new</t>
        </is>
      </c>
      <c r="M1467" s="18" t="inlineStr"/>
      <c r="N1467" s="7" t="inlineStr">
        <is>
          <t>bf842777b87ebb4ced4b0058314fd319d45f306e</t>
        </is>
      </c>
      <c r="O1467" s="14" t="n">
        <v>46184</v>
      </c>
      <c r="P1467" s="7" t="inlineStr">
        <is>
          <t>jobspy</t>
        </is>
      </c>
      <c r="Q1467" s="8" t="inlineStr">
        <is>
          <t>javascript</t>
        </is>
      </c>
      <c r="R1467" s="8" t="inlineStr">
        <is>
          <t>entry level Full Stack Developer</t>
        </is>
      </c>
      <c r="S1467" s="19" t="n"/>
      <c r="T1467" s="19" t="n"/>
      <c r="U1467" s="14" t="n">
        <v>46191</v>
      </c>
      <c r="V1467" s="7" t="inlineStr">
        <is>
          <t>v2-cv-accuracy-13b988b18da8ea7d</t>
        </is>
      </c>
    </row>
    <row r="1468" ht="28" customHeight="1">
      <c r="A1468" s="12">
        <f>IF($L1468="applied","Applied",IF($L1468="interview","Interview",IF($L1468="offer","Offer",IF($L1468="rejected","Rejected",IF($L1468="ignore","Ignore",IF($L1468="archive","Archive",IF($L1468="closed","Closed",IF($B1468="","Unscored",IF(AND($B1468&gt;=8,OR($H1468="",$H1468-TODAY()&lt;=14)),"P1 Apply",IF($B1468&gt;=7,"P2 Strong",IF($B1468&gt;=5,"P3 Maybe","P4 Low")))))))))))</f>
        <v/>
      </c>
      <c r="B1468" s="13" t="n">
        <v>0.61</v>
      </c>
      <c r="C1468" s="12" t="inlineStr">
        <is>
          <t>Unspecified</t>
        </is>
      </c>
      <c r="D1468" s="8" t="inlineStr">
        <is>
          <t>Python Developer</t>
        </is>
      </c>
      <c r="E1468" s="7" t="inlineStr">
        <is>
          <t>Station</t>
        </is>
      </c>
      <c r="F1468" s="8" t="inlineStr">
        <is>
          <t>London Area, United Kingdom</t>
        </is>
      </c>
      <c r="G1468" s="8" t="n"/>
      <c r="H1468" s="14" t="n"/>
      <c r="I1468" s="15">
        <f>IF($H1468="","",$H1468-TODAY())</f>
        <v/>
      </c>
      <c r="J1468" s="16" t="inlineStr">
        <is>
          <t>Open posting</t>
        </is>
      </c>
      <c r="K1468" s="8" t="inlineStr">
        <is>
          <t>filtered by keyword pre-scan</t>
        </is>
      </c>
      <c r="L1468" s="17" t="inlineStr">
        <is>
          <t>new</t>
        </is>
      </c>
      <c r="M1468" s="18" t="inlineStr"/>
      <c r="N1468" s="7" t="inlineStr">
        <is>
          <t>49a0277491babf629d9911cbc1b7078274acfdce</t>
        </is>
      </c>
      <c r="O1468" s="14" t="n">
        <v>46185</v>
      </c>
      <c r="P1468" s="7" t="inlineStr">
        <is>
          <t>jobspy</t>
        </is>
      </c>
      <c r="Q1468" s="8" t="inlineStr">
        <is>
          <t>python</t>
        </is>
      </c>
      <c r="R1468" s="8" t="inlineStr">
        <is>
          <t>Junior Python Developer</t>
        </is>
      </c>
      <c r="S1468" s="19" t="n"/>
      <c r="T1468" s="19" t="n"/>
      <c r="U1468" s="14" t="n">
        <v>46191</v>
      </c>
      <c r="V1468" s="7" t="inlineStr">
        <is>
          <t>v2-cv-accuracy-13b988b18da8ea7d</t>
        </is>
      </c>
    </row>
    <row r="1469" ht="28" customHeight="1">
      <c r="A1469" s="12">
        <f>IF($L1469="applied","Applied",IF($L1469="interview","Interview",IF($L1469="offer","Offer",IF($L1469="rejected","Rejected",IF($L1469="ignore","Ignore",IF($L1469="archive","Archive",IF($L1469="closed","Closed",IF($B1469="","Unscored",IF(AND($B1469&gt;=8,OR($H1469="",$H1469-TODAY()&lt;=14)),"P1 Apply",IF($B1469&gt;=7,"P2 Strong",IF($B1469&gt;=5,"P3 Maybe","P4 Low")))))))))))</f>
        <v/>
      </c>
      <c r="B1469" s="13" t="n">
        <v>0.61</v>
      </c>
      <c r="C1469" s="12" t="inlineStr">
        <is>
          <t>Junior</t>
        </is>
      </c>
      <c r="D1469" s="8" t="inlineStr">
        <is>
          <t>Software Engineer</t>
        </is>
      </c>
      <c r="E1469" s="7" t="inlineStr">
        <is>
          <t>Harvey Nash</t>
        </is>
      </c>
      <c r="F1469" s="8" t="inlineStr">
        <is>
          <t>Manchester, England, UK</t>
        </is>
      </c>
      <c r="G1469" s="8" t="n"/>
      <c r="H1469" s="14" t="n"/>
      <c r="I1469" s="15">
        <f>IF($H1469="","",$H1469-TODAY())</f>
        <v/>
      </c>
      <c r="J1469" s="16" t="inlineStr">
        <is>
          <t>Open posting</t>
        </is>
      </c>
      <c r="K1469" s="8" t="inlineStr">
        <is>
          <t>filtered by keyword pre-scan</t>
        </is>
      </c>
      <c r="L1469" s="17" t="inlineStr">
        <is>
          <t>new</t>
        </is>
      </c>
      <c r="M1469" s="18" t="inlineStr"/>
      <c r="N1469" s="7" t="inlineStr">
        <is>
          <t>8318e081ececf7b900cd216b04057bf5e7512643</t>
        </is>
      </c>
      <c r="O1469" s="14" t="n">
        <v>46170</v>
      </c>
      <c r="P1469" s="7" t="inlineStr">
        <is>
          <t>jobspy</t>
        </is>
      </c>
      <c r="Q1469" s="8" t="inlineStr">
        <is>
          <t>python</t>
        </is>
      </c>
      <c r="R1469" s="8" t="inlineStr">
        <is>
          <t>graduate Junior Python Developer</t>
        </is>
      </c>
      <c r="S1469" s="19" t="n"/>
      <c r="T1469" s="19" t="n"/>
      <c r="U1469" s="14" t="n">
        <v>46191</v>
      </c>
      <c r="V1469" s="7" t="inlineStr">
        <is>
          <t>v2-cv-accuracy-13b988b18da8ea7d</t>
        </is>
      </c>
    </row>
    <row r="1470" ht="28" customHeight="1">
      <c r="A1470" s="12">
        <f>IF($L1470="applied","Applied",IF($L1470="interview","Interview",IF($L1470="offer","Offer",IF($L1470="rejected","Rejected",IF($L1470="ignore","Ignore",IF($L1470="archive","Archive",IF($L1470="closed","Closed",IF($B1470="","Unscored",IF(AND($B1470&gt;=8,OR($H1470="",$H1470-TODAY()&lt;=14)),"P1 Apply",IF($B1470&gt;=7,"P2 Strong",IF($B1470&gt;=5,"P3 Maybe","P4 Low")))))))))))</f>
        <v/>
      </c>
      <c r="B1470" s="13" t="n">
        <v>0.61</v>
      </c>
      <c r="C1470" s="12" t="inlineStr">
        <is>
          <t>Mid-level</t>
        </is>
      </c>
      <c r="D1470" s="8" t="inlineStr">
        <is>
          <t>Python Developer</t>
        </is>
      </c>
      <c r="E1470" s="7" t="inlineStr">
        <is>
          <t>Citi</t>
        </is>
      </c>
      <c r="F1470" s="8" t="inlineStr">
        <is>
          <t>Belfast, Northern Ireland, UK</t>
        </is>
      </c>
      <c r="G1470" s="8" t="n"/>
      <c r="H1470" s="14" t="n"/>
      <c r="I1470" s="15">
        <f>IF($H1470="","",$H1470-TODAY())</f>
        <v/>
      </c>
      <c r="J1470" s="16" t="inlineStr">
        <is>
          <t>Open posting</t>
        </is>
      </c>
      <c r="K1470" s="8" t="inlineStr">
        <is>
          <t>filtered by keyword pre-scan</t>
        </is>
      </c>
      <c r="L1470" s="17" t="inlineStr">
        <is>
          <t>new</t>
        </is>
      </c>
      <c r="M1470" s="18" t="inlineStr"/>
      <c r="N1470" s="7" t="inlineStr">
        <is>
          <t>1c01ad32f2a552f6d565e00612d07c6f63f44234</t>
        </is>
      </c>
      <c r="O1470" s="14" t="n">
        <v>46185</v>
      </c>
      <c r="P1470" s="7" t="inlineStr">
        <is>
          <t>jobspy</t>
        </is>
      </c>
      <c r="Q1470" s="8" t="inlineStr">
        <is>
          <t>python</t>
        </is>
      </c>
      <c r="R1470" s="8" t="inlineStr">
        <is>
          <t>junior/graduate Junior Python Developer</t>
        </is>
      </c>
      <c r="S1470" s="19" t="n"/>
      <c r="T1470" s="19" t="n"/>
      <c r="U1470" s="14" t="n">
        <v>46191</v>
      </c>
      <c r="V1470" s="7" t="inlineStr">
        <is>
          <t>v2-cv-accuracy-13b988b18da8ea7d</t>
        </is>
      </c>
    </row>
    <row r="1471" ht="28" customHeight="1">
      <c r="A1471" s="12">
        <f>IF($L1471="applied","Applied",IF($L1471="interview","Interview",IF($L1471="offer","Offer",IF($L1471="rejected","Rejected",IF($L1471="ignore","Ignore",IF($L1471="archive","Archive",IF($L1471="closed","Closed",IF($B1471="","Unscored",IF(AND($B1471&gt;=8,OR($H1471="",$H1471-TODAY()&lt;=14)),"P1 Apply",IF($B1471&gt;=7,"P2 Strong",IF($B1471&gt;=5,"P3 Maybe","P4 Low")))))))))))</f>
        <v/>
      </c>
      <c r="B1471" s="13" t="n">
        <v>0.61</v>
      </c>
      <c r="C1471" s="12" t="inlineStr">
        <is>
          <t>Junior</t>
        </is>
      </c>
      <c r="D1471" s="8" t="inlineStr">
        <is>
          <t>Junior Software Engineer</t>
        </is>
      </c>
      <c r="E1471" s="7" t="inlineStr">
        <is>
          <t>NCR Atleos</t>
        </is>
      </c>
      <c r="F1471" s="8" t="inlineStr">
        <is>
          <t>Dundee, Scotland, UK</t>
        </is>
      </c>
      <c r="G1471" s="8" t="n"/>
      <c r="H1471" s="14" t="n"/>
      <c r="I1471" s="15">
        <f>IF($H1471="","",$H1471-TODAY())</f>
        <v/>
      </c>
      <c r="J1471" s="16" t="inlineStr">
        <is>
          <t>Open posting</t>
        </is>
      </c>
      <c r="K1471" s="8" t="inlineStr">
        <is>
          <t>filtered by keyword pre-scan</t>
        </is>
      </c>
      <c r="L1471" s="17" t="inlineStr">
        <is>
          <t>new</t>
        </is>
      </c>
      <c r="M1471" s="18" t="inlineStr"/>
      <c r="N1471" s="7" t="inlineStr">
        <is>
          <t>6c1ce46ee9b29017f2fc141e6147067ef6076fb9</t>
        </is>
      </c>
      <c r="O1471" s="14" t="n">
        <v>46190</v>
      </c>
      <c r="P1471" s="7" t="inlineStr">
        <is>
          <t>jobspy</t>
        </is>
      </c>
      <c r="Q1471" s="8" t="inlineStr">
        <is>
          <t>software development</t>
        </is>
      </c>
      <c r="R1471" s="8" t="inlineStr">
        <is>
          <t>junior Graduate Software Developer</t>
        </is>
      </c>
      <c r="S1471" s="19" t="n"/>
      <c r="T1471" s="19" t="n"/>
      <c r="U1471" s="14" t="n">
        <v>46191</v>
      </c>
      <c r="V1471" s="7" t="inlineStr">
        <is>
          <t>v2-cv-accuracy-13b988b18da8ea7d</t>
        </is>
      </c>
    </row>
    <row r="1472" ht="28" customHeight="1">
      <c r="A1472" s="12">
        <f>IF($L1472="applied","Applied",IF($L1472="interview","Interview",IF($L1472="offer","Offer",IF($L1472="rejected","Rejected",IF($L1472="ignore","Ignore",IF($L1472="archive","Archive",IF($L1472="closed","Closed",IF($B1472="","Unscored",IF(AND($B1472&gt;=8,OR($H1472="",$H1472-TODAY()&lt;=14)),"P1 Apply",IF($B1472&gt;=7,"P2 Strong",IF($B1472&gt;=5,"P3 Maybe","P4 Low")))))))))))</f>
        <v/>
      </c>
      <c r="B1472" s="13" t="n">
        <v>0.61</v>
      </c>
      <c r="C1472" s="12" t="inlineStr">
        <is>
          <t>Mid-level</t>
        </is>
      </c>
      <c r="D1472" s="8" t="inlineStr">
        <is>
          <t>General Postdoctoral Researcher (Masters/PhDs)</t>
        </is>
      </c>
      <c r="E1472" s="7" t="inlineStr">
        <is>
          <t>Alignerr</t>
        </is>
      </c>
      <c r="F1472" s="8" t="inlineStr">
        <is>
          <t>Cambridge, England, UK</t>
        </is>
      </c>
      <c r="G1472" s="8" t="n"/>
      <c r="H1472" s="14" t="n"/>
      <c r="I1472" s="15">
        <f>IF($H1472="","",$H1472-TODAY())</f>
        <v/>
      </c>
      <c r="J1472" s="16" t="inlineStr">
        <is>
          <t>Open posting</t>
        </is>
      </c>
      <c r="K1472" s="8" t="inlineStr">
        <is>
          <t>filtered by keyword pre-scan</t>
        </is>
      </c>
      <c r="L1472" s="17" t="inlineStr">
        <is>
          <t>new</t>
        </is>
      </c>
      <c r="M1472" s="18" t="inlineStr"/>
      <c r="N1472" s="7" t="inlineStr">
        <is>
          <t>61a6845ce22a20e2b4e70b465337bf3c839beb91</t>
        </is>
      </c>
      <c r="O1472" s="14" t="n"/>
      <c r="P1472" s="7" t="inlineStr">
        <is>
          <t>jobspy</t>
        </is>
      </c>
      <c r="Q1472" s="8" t="inlineStr">
        <is>
          <t>python</t>
        </is>
      </c>
      <c r="R1472" s="8" t="inlineStr">
        <is>
          <t>entry level Graduate Software Developer</t>
        </is>
      </c>
      <c r="S1472" s="19" t="n"/>
      <c r="T1472" s="19" t="n"/>
      <c r="U1472" s="14" t="n">
        <v>46191</v>
      </c>
      <c r="V1472" s="7" t="inlineStr">
        <is>
          <t>v2-cv-accuracy-13b988b18da8ea7d</t>
        </is>
      </c>
    </row>
    <row r="1473" ht="28" customHeight="1">
      <c r="A1473" s="12">
        <f>IF($L1473="applied","Applied",IF($L1473="interview","Interview",IF($L1473="offer","Offer",IF($L1473="rejected","Rejected",IF($L1473="ignore","Ignore",IF($L1473="archive","Archive",IF($L1473="closed","Closed",IF($B1473="","Unscored",IF(AND($B1473&gt;=8,OR($H1473="",$H1473-TODAY()&lt;=14)),"P1 Apply",IF($B1473&gt;=7,"P2 Strong",IF($B1473&gt;=5,"P3 Maybe","P4 Low")))))))))))</f>
        <v/>
      </c>
      <c r="B1473" s="13" t="n">
        <v>0.61</v>
      </c>
      <c r="C1473" s="12" t="inlineStr">
        <is>
          <t>Unspecified</t>
        </is>
      </c>
      <c r="D1473" s="8" t="inlineStr">
        <is>
          <t>Software Developer</t>
        </is>
      </c>
      <c r="E1473" s="7" t="inlineStr">
        <is>
          <t>Skuuudle | Better Pricing Intelligence</t>
        </is>
      </c>
      <c r="F1473" s="8" t="inlineStr"/>
      <c r="G1473" s="8" t="n"/>
      <c r="H1473" s="14" t="n"/>
      <c r="I1473" s="15">
        <f>IF($H1473="","",$H1473-TODAY())</f>
        <v/>
      </c>
      <c r="J1473" s="16" t="inlineStr">
        <is>
          <t>Open posting</t>
        </is>
      </c>
      <c r="K1473" s="8" t="inlineStr">
        <is>
          <t>filtered by keyword pre-scan</t>
        </is>
      </c>
      <c r="L1473" s="17" t="inlineStr">
        <is>
          <t>new</t>
        </is>
      </c>
      <c r="M1473" s="18" t="inlineStr"/>
      <c r="N1473" s="7" t="inlineStr">
        <is>
          <t>d114f7f3740a38fe320008f2c7f5f705ea22ad94</t>
        </is>
      </c>
      <c r="O1473" s="14" t="n">
        <v>46171</v>
      </c>
      <c r="P1473" s="7" t="inlineStr">
        <is>
          <t>jobspy</t>
        </is>
      </c>
      <c r="Q1473" s="8" t="inlineStr">
        <is>
          <t>python</t>
        </is>
      </c>
      <c r="R1473" s="8" t="inlineStr">
        <is>
          <t>Junior Python Developer Sheffield</t>
        </is>
      </c>
      <c r="S1473" s="19" t="n"/>
      <c r="T1473" s="19" t="n"/>
      <c r="U1473" s="14" t="n">
        <v>46191</v>
      </c>
      <c r="V1473" s="7" t="inlineStr">
        <is>
          <t>v2-cv-accuracy-13b988b18da8ea7d</t>
        </is>
      </c>
    </row>
    <row r="1474" ht="28" customHeight="1">
      <c r="A1474" s="12">
        <f>IF($L1474="applied","Applied",IF($L1474="interview","Interview",IF($L1474="offer","Offer",IF($L1474="rejected","Rejected",IF($L1474="ignore","Ignore",IF($L1474="archive","Archive",IF($L1474="closed","Closed",IF($B1474="","Unscored",IF(AND($B1474&gt;=8,OR($H1474="",$H1474-TODAY()&lt;=14)),"P1 Apply",IF($B1474&gt;=7,"P2 Strong",IF($B1474&gt;=5,"P3 Maybe","P4 Low")))))))))))</f>
        <v/>
      </c>
      <c r="B1474" s="13" t="n">
        <v>0.61</v>
      </c>
      <c r="C1474" s="12" t="inlineStr">
        <is>
          <t>Unspecified</t>
        </is>
      </c>
      <c r="D1474" s="8" t="inlineStr">
        <is>
          <t>Python Developer</t>
        </is>
      </c>
      <c r="E1474" s="7" t="inlineStr">
        <is>
          <t>Venture Up</t>
        </is>
      </c>
      <c r="F1474" s="8" t="inlineStr">
        <is>
          <t>London Area, United Kingdom</t>
        </is>
      </c>
      <c r="G1474" s="8" t="n"/>
      <c r="H1474" s="14" t="n"/>
      <c r="I1474" s="15">
        <f>IF($H1474="","",$H1474-TODAY())</f>
        <v/>
      </c>
      <c r="J1474" s="16" t="inlineStr">
        <is>
          <t>Open posting</t>
        </is>
      </c>
      <c r="K1474" s="8" t="inlineStr">
        <is>
          <t>filtered by keyword pre-scan</t>
        </is>
      </c>
      <c r="L1474" s="17" t="inlineStr">
        <is>
          <t>new</t>
        </is>
      </c>
      <c r="M1474" s="18" t="inlineStr"/>
      <c r="N1474" s="7" t="inlineStr">
        <is>
          <t>5f73d52c5c5f9114a67d4a2e17555ac7b95c7458</t>
        </is>
      </c>
      <c r="O1474" s="14" t="n"/>
      <c r="P1474" s="7" t="inlineStr">
        <is>
          <t>jobspy</t>
        </is>
      </c>
      <c r="Q1474" s="8" t="inlineStr">
        <is>
          <t>python</t>
        </is>
      </c>
      <c r="R1474" s="8" t="inlineStr">
        <is>
          <t>graduate Junior Python Developer</t>
        </is>
      </c>
      <c r="S1474" s="19" t="n"/>
      <c r="T1474" s="19" t="n"/>
      <c r="U1474" s="14" t="n">
        <v>46191</v>
      </c>
      <c r="V1474" s="7" t="inlineStr">
        <is>
          <t>v2-cv-accuracy-13b988b18da8ea7d</t>
        </is>
      </c>
    </row>
    <row r="1475" ht="28" customHeight="1">
      <c r="A1475" s="12">
        <f>IF($L1475="applied","Applied",IF($L1475="interview","Interview",IF($L1475="offer","Offer",IF($L1475="rejected","Rejected",IF($L1475="ignore","Ignore",IF($L1475="archive","Archive",IF($L1475="closed","Closed",IF($B1475="","Unscored",IF(AND($B1475&gt;=8,OR($H1475="",$H1475-TODAY()&lt;=14)),"P1 Apply",IF($B1475&gt;=7,"P2 Strong",IF($B1475&gt;=5,"P3 Maybe","P4 Low")))))))))))</f>
        <v/>
      </c>
      <c r="B1475" s="13" t="n">
        <v>0.61</v>
      </c>
      <c r="C1475" s="12" t="inlineStr">
        <is>
          <t>Unspecified</t>
        </is>
      </c>
      <c r="D1475" s="8" t="inlineStr">
        <is>
          <t>Python后台开发工程师</t>
        </is>
      </c>
      <c r="E1475" s="7" t="inlineStr">
        <is>
          <t>南京德睿能源研究院有限公司</t>
        </is>
      </c>
      <c r="F1475" s="8" t="inlineStr">
        <is>
          <t>Nanjing, Jiangsu, China</t>
        </is>
      </c>
      <c r="G1475" s="8" t="n"/>
      <c r="H1475" s="14" t="n"/>
      <c r="I1475" s="15">
        <f>IF($H1475="","",$H1475-TODAY())</f>
        <v/>
      </c>
      <c r="J1475" s="16" t="inlineStr">
        <is>
          <t>Open posting</t>
        </is>
      </c>
      <c r="K1475" s="8" t="inlineStr">
        <is>
          <t>filtered by keyword pre-scan</t>
        </is>
      </c>
      <c r="L1475" s="17" t="inlineStr">
        <is>
          <t>new</t>
        </is>
      </c>
      <c r="M1475" s="18" t="inlineStr"/>
      <c r="N1475" s="7" t="inlineStr">
        <is>
          <t>173d78c4311895681e4274b038fce558e98ad9a3</t>
        </is>
      </c>
      <c r="O1475" s="14" t="n">
        <v>46175</v>
      </c>
      <c r="P1475" s="7" t="inlineStr">
        <is>
          <t>jobspy</t>
        </is>
      </c>
      <c r="Q1475" s="8" t="inlineStr">
        <is>
          <t>python</t>
        </is>
      </c>
      <c r="R1475" s="8" t="inlineStr">
        <is>
          <t>junior/graduate Junior Python Developer</t>
        </is>
      </c>
      <c r="S1475" s="19" t="n"/>
      <c r="T1475" s="19" t="n"/>
      <c r="U1475" s="14" t="n">
        <v>46191</v>
      </c>
      <c r="V1475" s="7" t="inlineStr">
        <is>
          <t>v2-cv-accuracy-13b988b18da8ea7d</t>
        </is>
      </c>
    </row>
    <row r="1476" ht="28" customHeight="1">
      <c r="A1476" s="12">
        <f>IF($L1476="applied","Applied",IF($L1476="interview","Interview",IF($L1476="offer","Offer",IF($L1476="rejected","Rejected",IF($L1476="ignore","Ignore",IF($L1476="archive","Archive",IF($L1476="closed","Closed",IF($B1476="","Unscored",IF(AND($B1476&gt;=8,OR($H1476="",$H1476-TODAY()&lt;=14)),"P1 Apply",IF($B1476&gt;=7,"P2 Strong",IF($B1476&gt;=5,"P3 Maybe","P4 Low")))))))))))</f>
        <v/>
      </c>
      <c r="B1476" s="13" t="n">
        <v>0.61</v>
      </c>
      <c r="C1476" s="12" t="inlineStr">
        <is>
          <t>Unspecified</t>
        </is>
      </c>
      <c r="D1476" s="8" t="inlineStr">
        <is>
          <t>python软件开发工程师</t>
        </is>
      </c>
      <c r="E1476" s="7" t="inlineStr">
        <is>
          <t>陕西欣华自动化科技有限公司</t>
        </is>
      </c>
      <c r="F1476" s="8" t="inlineStr">
        <is>
          <t>Xi'an, Shaanxi, China</t>
        </is>
      </c>
      <c r="G1476" s="8" t="n"/>
      <c r="H1476" s="14" t="n"/>
      <c r="I1476" s="15">
        <f>IF($H1476="","",$H1476-TODAY())</f>
        <v/>
      </c>
      <c r="J1476" s="16" t="inlineStr">
        <is>
          <t>Open posting</t>
        </is>
      </c>
      <c r="K1476" s="8" t="inlineStr">
        <is>
          <t>filtered by keyword pre-scan</t>
        </is>
      </c>
      <c r="L1476" s="17" t="inlineStr">
        <is>
          <t>new</t>
        </is>
      </c>
      <c r="M1476" s="18" t="inlineStr"/>
      <c r="N1476" s="7" t="inlineStr">
        <is>
          <t>fb42c7c8b9dca833131e33a35601c4ebdfafe3f2</t>
        </is>
      </c>
      <c r="O1476" s="14" t="n">
        <v>46171</v>
      </c>
      <c r="P1476" s="7" t="inlineStr">
        <is>
          <t>jobspy</t>
        </is>
      </c>
      <c r="Q1476" s="8" t="inlineStr">
        <is>
          <t>python</t>
        </is>
      </c>
      <c r="R1476" s="8" t="inlineStr">
        <is>
          <t>junior/graduate Junior Python Developer</t>
        </is>
      </c>
      <c r="S1476" s="19" t="n"/>
      <c r="T1476" s="19" t="n"/>
      <c r="U1476" s="14" t="n">
        <v>46191</v>
      </c>
      <c r="V1476" s="7" t="inlineStr">
        <is>
          <t>v2-cv-accuracy-13b988b18da8ea7d</t>
        </is>
      </c>
    </row>
    <row r="1477" ht="28" customHeight="1">
      <c r="A1477" s="12">
        <f>IF($L1477="applied","Applied",IF($L1477="interview","Interview",IF($L1477="offer","Offer",IF($L1477="rejected","Rejected",IF($L1477="ignore","Ignore",IF($L1477="archive","Archive",IF($L1477="closed","Closed",IF($B1477="","Unscored",IF(AND($B1477&gt;=8,OR($H1477="",$H1477-TODAY()&lt;=14)),"P1 Apply",IF($B1477&gt;=7,"P2 Strong",IF($B1477&gt;=5,"P3 Maybe","P4 Low")))))))))))</f>
        <v/>
      </c>
      <c r="B1477" s="13" t="n">
        <v>0.61</v>
      </c>
      <c r="C1477" s="12" t="inlineStr">
        <is>
          <t>Mid-level</t>
        </is>
      </c>
      <c r="D1477" s="8" t="inlineStr">
        <is>
          <t>Software Engineer - Front end</t>
        </is>
      </c>
      <c r="E1477" s="7" t="inlineStr">
        <is>
          <t>On the Beach</t>
        </is>
      </c>
      <c r="F1477" s="8" t="inlineStr">
        <is>
          <t>Manchester, England, UK</t>
        </is>
      </c>
      <c r="G1477" s="8" t="n"/>
      <c r="H1477" s="14" t="n"/>
      <c r="I1477" s="15">
        <f>IF($H1477="","",$H1477-TODAY())</f>
        <v/>
      </c>
      <c r="J1477" s="16" t="inlineStr">
        <is>
          <t>Open posting</t>
        </is>
      </c>
      <c r="K1477" s="8" t="inlineStr">
        <is>
          <t>filtered by keyword pre-scan</t>
        </is>
      </c>
      <c r="L1477" s="17" t="inlineStr">
        <is>
          <t>new</t>
        </is>
      </c>
      <c r="M1477" s="18" t="inlineStr"/>
      <c r="N1477" s="7" t="inlineStr">
        <is>
          <t>436c05777652b9b8976eca2df5ed3496d24dd238</t>
        </is>
      </c>
      <c r="O1477" s="14" t="n">
        <v>46181</v>
      </c>
      <c r="P1477" s="7" t="inlineStr">
        <is>
          <t>jobspy</t>
        </is>
      </c>
      <c r="Q1477" s="8" t="inlineStr"/>
      <c r="R1477" s="8" t="inlineStr">
        <is>
          <t>Full Stack Developer Sheffield</t>
        </is>
      </c>
      <c r="S1477" s="19" t="n"/>
      <c r="T1477" s="19" t="n"/>
      <c r="U1477" s="14" t="n">
        <v>46191</v>
      </c>
      <c r="V1477" s="7" t="inlineStr">
        <is>
          <t>v2-cv-accuracy-13b988b18da8ea7d</t>
        </is>
      </c>
    </row>
    <row r="1478" ht="28" customHeight="1">
      <c r="A1478" s="12">
        <f>IF($L1478="applied","Applied",IF($L1478="interview","Interview",IF($L1478="offer","Offer",IF($L1478="rejected","Rejected",IF($L1478="ignore","Ignore",IF($L1478="archive","Archive",IF($L1478="closed","Closed",IF($B1478="","Unscored",IF(AND($B1478&gt;=8,OR($H1478="",$H1478-TODAY()&lt;=14)),"P1 Apply",IF($B1478&gt;=7,"P2 Strong",IF($B1478&gt;=5,"P3 Maybe","P4 Low")))))))))))</f>
        <v/>
      </c>
      <c r="B1478" s="13" t="n">
        <v>0.61</v>
      </c>
      <c r="C1478" s="12" t="inlineStr">
        <is>
          <t>Mid-level</t>
        </is>
      </c>
      <c r="D1478" s="8" t="inlineStr">
        <is>
          <t>Software Engineer</t>
        </is>
      </c>
      <c r="E1478" s="7" t="inlineStr">
        <is>
          <t>Dayshape</t>
        </is>
      </c>
      <c r="F1478" s="8" t="inlineStr">
        <is>
          <t>Edinburgh, Scotland, UK</t>
        </is>
      </c>
      <c r="G1478" s="8" t="n"/>
      <c r="H1478" s="14" t="n"/>
      <c r="I1478" s="15">
        <f>IF($H1478="","",$H1478-TODAY())</f>
        <v/>
      </c>
      <c r="J1478" s="16" t="inlineStr">
        <is>
          <t>Open posting</t>
        </is>
      </c>
      <c r="K1478" s="8" t="inlineStr">
        <is>
          <t>filtered by keyword pre-scan</t>
        </is>
      </c>
      <c r="L1478" s="17" t="inlineStr">
        <is>
          <t>new</t>
        </is>
      </c>
      <c r="M1478" s="18" t="inlineStr"/>
      <c r="N1478" s="7" t="inlineStr">
        <is>
          <t>54dea6e22a3ef9790d9ea1a0955bbebdd49da5de</t>
        </is>
      </c>
      <c r="O1478" s="14" t="n">
        <v>46170</v>
      </c>
      <c r="P1478" s="7" t="inlineStr">
        <is>
          <t>jobspy</t>
        </is>
      </c>
      <c r="Q1478" s="8" t="inlineStr">
        <is>
          <t>git</t>
        </is>
      </c>
      <c r="R1478" s="8" t="inlineStr">
        <is>
          <t>Full Stack Developer</t>
        </is>
      </c>
      <c r="S1478" s="19" t="n"/>
      <c r="T1478" s="19" t="n"/>
      <c r="U1478" s="14" t="n">
        <v>46191</v>
      </c>
      <c r="V1478" s="7" t="inlineStr">
        <is>
          <t>v2-cv-accuracy-13b988b18da8ea7d</t>
        </is>
      </c>
    </row>
    <row r="1479" ht="28" customHeight="1">
      <c r="A1479" s="12">
        <f>IF($L1479="applied","Applied",IF($L1479="interview","Interview",IF($L1479="offer","Offer",IF($L1479="rejected","Rejected",IF($L1479="ignore","Ignore",IF($L1479="archive","Archive",IF($L1479="closed","Closed",IF($B1479="","Unscored",IF(AND($B1479&gt;=8,OR($H1479="",$H1479-TODAY()&lt;=14)),"P1 Apply",IF($B1479&gt;=7,"P2 Strong",IF($B1479&gt;=5,"P3 Maybe","P4 Low")))))))))))</f>
        <v/>
      </c>
      <c r="B1479" s="13" t="n">
        <v>0.61</v>
      </c>
      <c r="C1479" s="12" t="inlineStr">
        <is>
          <t>Junior</t>
        </is>
      </c>
      <c r="D1479" s="8" t="inlineStr">
        <is>
          <t>Software Engineer</t>
        </is>
      </c>
      <c r="E1479" s="7" t="inlineStr">
        <is>
          <t>BioTalent</t>
        </is>
      </c>
      <c r="F1479" s="8" t="inlineStr"/>
      <c r="G1479" s="8" t="n"/>
      <c r="H1479" s="14" t="n"/>
      <c r="I1479" s="15">
        <f>IF($H1479="","",$H1479-TODAY())</f>
        <v/>
      </c>
      <c r="J1479" s="16" t="inlineStr">
        <is>
          <t>Open posting</t>
        </is>
      </c>
      <c r="K1479" s="8" t="inlineStr">
        <is>
          <t>filtered by keyword pre-scan</t>
        </is>
      </c>
      <c r="L1479" s="17" t="inlineStr">
        <is>
          <t>new</t>
        </is>
      </c>
      <c r="M1479" s="18" t="inlineStr"/>
      <c r="N1479" s="7" t="inlineStr">
        <is>
          <t>702040c4aa187df11a7e515adb298d5b280fc81b</t>
        </is>
      </c>
      <c r="O1479" s="14" t="n">
        <v>46189</v>
      </c>
      <c r="P1479" s="7" t="inlineStr">
        <is>
          <t>jobspy</t>
        </is>
      </c>
      <c r="Q1479" s="8" t="inlineStr">
        <is>
          <t>python</t>
        </is>
      </c>
      <c r="R1479" s="8" t="inlineStr">
        <is>
          <t>Junior Python Developer remote</t>
        </is>
      </c>
      <c r="S1479" s="19" t="n"/>
      <c r="T1479" s="19" t="n"/>
      <c r="U1479" s="14" t="n">
        <v>46191</v>
      </c>
      <c r="V1479" s="7" t="inlineStr">
        <is>
          <t>v2-cv-accuracy-13b988b18da8ea7d</t>
        </is>
      </c>
    </row>
    <row r="1480" ht="28" customHeight="1">
      <c r="A1480" s="12">
        <f>IF($L1480="applied","Applied",IF($L1480="interview","Interview",IF($L1480="offer","Offer",IF($L1480="rejected","Rejected",IF($L1480="ignore","Ignore",IF($L1480="archive","Archive",IF($L1480="closed","Closed",IF($B1480="","Unscored",IF(AND($B1480&gt;=8,OR($H1480="",$H1480-TODAY()&lt;=14)),"P1 Apply",IF($B1480&gt;=7,"P2 Strong",IF($B1480&gt;=5,"P3 Maybe","P4 Low")))))))))))</f>
        <v/>
      </c>
      <c r="B1480" s="13" t="n">
        <v>0.61</v>
      </c>
      <c r="C1480" s="12" t="inlineStr">
        <is>
          <t>Unspecified</t>
        </is>
      </c>
      <c r="D1480" s="8" t="inlineStr">
        <is>
          <t>Full Stack Python Engineer</t>
        </is>
      </c>
      <c r="E1480" s="7" t="inlineStr">
        <is>
          <t>La Fosse</t>
        </is>
      </c>
      <c r="F1480" s="8" t="inlineStr"/>
      <c r="G1480" s="8" t="n"/>
      <c r="H1480" s="14" t="n"/>
      <c r="I1480" s="15">
        <f>IF($H1480="","",$H1480-TODAY())</f>
        <v/>
      </c>
      <c r="J1480" s="16" t="inlineStr">
        <is>
          <t>Open posting</t>
        </is>
      </c>
      <c r="K1480" s="8" t="inlineStr">
        <is>
          <t>filtered by keyword pre-scan</t>
        </is>
      </c>
      <c r="L1480" s="17" t="inlineStr">
        <is>
          <t>new</t>
        </is>
      </c>
      <c r="M1480" s="18" t="inlineStr"/>
      <c r="N1480" s="7" t="inlineStr">
        <is>
          <t>a721565e0906fee30aa1d585cbabfb1c8b4b01c8</t>
        </is>
      </c>
      <c r="O1480" s="14" t="n">
        <v>46178</v>
      </c>
      <c r="P1480" s="7" t="inlineStr">
        <is>
          <t>jobspy</t>
        </is>
      </c>
      <c r="Q1480" s="8" t="inlineStr">
        <is>
          <t>python</t>
        </is>
      </c>
      <c r="R1480" s="8" t="inlineStr">
        <is>
          <t>Junior Python Developer remote</t>
        </is>
      </c>
      <c r="S1480" s="19" t="n"/>
      <c r="T1480" s="19" t="n"/>
      <c r="U1480" s="14" t="n">
        <v>46191</v>
      </c>
      <c r="V1480" s="7" t="inlineStr">
        <is>
          <t>v2-cv-accuracy-13b988b18da8ea7d</t>
        </is>
      </c>
    </row>
    <row r="1481" ht="28" customHeight="1">
      <c r="A1481" s="12">
        <f>IF($L1481="applied","Applied",IF($L1481="interview","Interview",IF($L1481="offer","Offer",IF($L1481="rejected","Rejected",IF($L1481="ignore","Ignore",IF($L1481="archive","Archive",IF($L1481="closed","Closed",IF($B1481="","Unscored",IF(AND($B1481&gt;=8,OR($H1481="",$H1481-TODAY()&lt;=14)),"P1 Apply",IF($B1481&gt;=7,"P2 Strong",IF($B1481&gt;=5,"P3 Maybe","P4 Low")))))))))))</f>
        <v/>
      </c>
      <c r="B1481" s="13" t="n">
        <v>0.54</v>
      </c>
      <c r="C1481" s="12" t="inlineStr">
        <is>
          <t>Senior/Lead</t>
        </is>
      </c>
      <c r="D1481" s="8" t="inlineStr">
        <is>
          <t>Field Solutions Engineer</t>
        </is>
      </c>
      <c r="E1481" s="7" t="inlineStr">
        <is>
          <t>Cloudflare</t>
        </is>
      </c>
      <c r="F1481" s="8" t="inlineStr">
        <is>
          <t>Hybrid</t>
        </is>
      </c>
      <c r="G1481" s="8" t="n"/>
      <c r="H1481" s="14" t="n"/>
      <c r="I1481" s="15">
        <f>IF($H1481="","",$H1481-TODAY())</f>
        <v/>
      </c>
      <c r="J1481" s="16" t="inlineStr">
        <is>
          <t>Open posting</t>
        </is>
      </c>
      <c r="K1481" s="8" t="inlineStr">
        <is>
          <t>filtered by keyword pre-scan</t>
        </is>
      </c>
      <c r="L1481" s="17" t="inlineStr">
        <is>
          <t>new</t>
        </is>
      </c>
      <c r="M1481" s="18" t="inlineStr"/>
      <c r="N1481" s="7" t="inlineStr">
        <is>
          <t>859bb6bd8c615024f37c2c78587949ee51e2d23a</t>
        </is>
      </c>
      <c r="O1481" s="14" t="n">
        <v>46198</v>
      </c>
      <c r="P1481" s="7" t="inlineStr">
        <is>
          <t>greenhouse:cloudflare</t>
        </is>
      </c>
      <c r="Q1481" s="8" t="inlineStr">
        <is>
          <t>c</t>
        </is>
      </c>
      <c r="R1481" s="8" t="n"/>
      <c r="S1481" s="19" t="n"/>
      <c r="T1481" s="19" t="n"/>
      <c r="U1481" s="14" t="n">
        <v>46198</v>
      </c>
      <c r="V1481" s="7" t="inlineStr">
        <is>
          <t>v2-cv-accuracy-13b988b18da8ea7d</t>
        </is>
      </c>
    </row>
    <row r="1482" ht="28" customHeight="1">
      <c r="A1482" s="12">
        <f>IF($L1482="applied","Applied",IF($L1482="interview","Interview",IF($L1482="offer","Offer",IF($L1482="rejected","Rejected",IF($L1482="ignore","Ignore",IF($L1482="archive","Archive",IF($L1482="closed","Closed",IF($B1482="","Unscored",IF(AND($B1482&gt;=8,OR($H1482="",$H1482-TODAY()&lt;=14)),"P1 Apply",IF($B1482&gt;=7,"P2 Strong",IF($B1482&gt;=5,"P3 Maybe","P4 Low")))))))))))</f>
        <v/>
      </c>
      <c r="B1482" s="13" t="n">
        <v>0.54</v>
      </c>
      <c r="C1482" s="12" t="inlineStr">
        <is>
          <t>Senior/Lead</t>
        </is>
      </c>
      <c r="D1482" s="8" t="inlineStr">
        <is>
          <t>Software Engineer C++ - Carbon60</t>
        </is>
      </c>
      <c r="E1482" s="7" t="inlineStr">
        <is>
          <t>AEROCONTACT</t>
        </is>
      </c>
      <c r="F1482" s="8" t="inlineStr">
        <is>
          <t>Stevenage, England, UK</t>
        </is>
      </c>
      <c r="G1482" s="8" t="n"/>
      <c r="H1482" s="14" t="n"/>
      <c r="I1482" s="15">
        <f>IF($H1482="","",$H1482-TODAY())</f>
        <v/>
      </c>
      <c r="J1482" s="16" t="inlineStr">
        <is>
          <t>Open posting</t>
        </is>
      </c>
      <c r="K1482" s="8" t="inlineStr">
        <is>
          <t>filtered by keyword pre-scan</t>
        </is>
      </c>
      <c r="L1482" s="17" t="inlineStr">
        <is>
          <t>new</t>
        </is>
      </c>
      <c r="M1482" s="18" t="inlineStr"/>
      <c r="N1482" s="7" t="inlineStr">
        <is>
          <t>9ce5e61a135a1fd38974475cfd832439bbb67d2e</t>
        </is>
      </c>
      <c r="O1482" s="14" t="n">
        <v>46193</v>
      </c>
      <c r="P1482" s="7" t="inlineStr">
        <is>
          <t>jobspy</t>
        </is>
      </c>
      <c r="Q1482" s="8" t="inlineStr">
        <is>
          <t>c</t>
        </is>
      </c>
      <c r="R1482" s="8" t="inlineStr">
        <is>
          <t>EngD Research Engineer electronics embedded</t>
        </is>
      </c>
      <c r="S1482" s="19" t="n"/>
      <c r="T1482" s="19" t="n"/>
      <c r="U1482" s="14" t="n">
        <v>46198</v>
      </c>
      <c r="V1482" s="7" t="inlineStr">
        <is>
          <t>v2-cv-accuracy-13b988b18da8ea7d</t>
        </is>
      </c>
    </row>
    <row r="1483" ht="28" customHeight="1">
      <c r="A1483" s="12">
        <f>IF($L1483="applied","Applied",IF($L1483="interview","Interview",IF($L1483="offer","Offer",IF($L1483="rejected","Rejected",IF($L1483="ignore","Ignore",IF($L1483="archive","Archive",IF($L1483="closed","Closed",IF($B1483="","Unscored",IF(AND($B1483&gt;=8,OR($H1483="",$H1483-TODAY()&lt;=14)),"P1 Apply",IF($B1483&gt;=7,"P2 Strong",IF($B1483&gt;=5,"P3 Maybe","P4 Low")))))))))))</f>
        <v/>
      </c>
      <c r="B1483" s="13" t="n">
        <v>0.54</v>
      </c>
      <c r="C1483" s="12" t="inlineStr">
        <is>
          <t>Graduate/Entry</t>
        </is>
      </c>
      <c r="D1483" s="8" t="inlineStr">
        <is>
          <t>Graduate / Junior Software &amp; Automation Engineer</t>
        </is>
      </c>
      <c r="E1483" s="7" t="inlineStr">
        <is>
          <t>Avazia Ltd</t>
        </is>
      </c>
      <c r="F1483" s="8" t="inlineStr">
        <is>
          <t>Swindon, ENG, GB</t>
        </is>
      </c>
      <c r="G1483" s="8" t="n"/>
      <c r="H1483" s="14" t="n"/>
      <c r="I1483" s="15">
        <f>IF($H1483="","",$H1483-TODAY())</f>
        <v/>
      </c>
      <c r="J1483" s="16" t="inlineStr">
        <is>
          <t>Open posting</t>
        </is>
      </c>
      <c r="K1483" s="8" t="inlineStr">
        <is>
          <t>filtered by keyword pre-scan</t>
        </is>
      </c>
      <c r="L1483" s="17" t="inlineStr">
        <is>
          <t>new</t>
        </is>
      </c>
      <c r="M1483" s="18" t="inlineStr"/>
      <c r="N1483" s="7" t="inlineStr">
        <is>
          <t>073a927ae5367db041b5d5083a1ace569fc7bf2d</t>
        </is>
      </c>
      <c r="O1483" s="14" t="n">
        <v>46198</v>
      </c>
      <c r="P1483" s="7" t="inlineStr">
        <is>
          <t>jobspy</t>
        </is>
      </c>
      <c r="Q1483" s="8" t="inlineStr">
        <is>
          <t>c</t>
        </is>
      </c>
      <c r="R1483" s="8" t="inlineStr">
        <is>
          <t>Graduate Systems Engineer hardware software</t>
        </is>
      </c>
      <c r="S1483" s="19" t="n"/>
      <c r="T1483" s="19" t="n"/>
      <c r="U1483" s="14" t="n">
        <v>46198</v>
      </c>
      <c r="V1483" s="7" t="inlineStr">
        <is>
          <t>v2-cv-accuracy-13b988b18da8ea7d</t>
        </is>
      </c>
    </row>
    <row r="1484" ht="28" customHeight="1">
      <c r="A1484" s="12">
        <f>IF($L1484="applied","Applied",IF($L1484="interview","Interview",IF($L1484="offer","Offer",IF($L1484="rejected","Rejected",IF($L1484="ignore","Ignore",IF($L1484="archive","Archive",IF($L1484="closed","Closed",IF($B1484="","Unscored",IF(AND($B1484&gt;=8,OR($H1484="",$H1484-TODAY()&lt;=14)),"P1 Apply",IF($B1484&gt;=7,"P2 Strong",IF($B1484&gt;=5,"P3 Maybe","P4 Low")))))))))))</f>
        <v/>
      </c>
      <c r="B1484" s="13" t="n">
        <v>0.54</v>
      </c>
      <c r="C1484" s="12" t="inlineStr">
        <is>
          <t>Unspecified</t>
        </is>
      </c>
      <c r="D1484" s="8" t="inlineStr">
        <is>
          <t>Customer Reliability Engineer</t>
        </is>
      </c>
      <c r="E1484" s="7" t="inlineStr">
        <is>
          <t>Cloudflare</t>
        </is>
      </c>
      <c r="F1484" s="8" t="inlineStr">
        <is>
          <t>Hybrid</t>
        </is>
      </c>
      <c r="G1484" s="8" t="n"/>
      <c r="H1484" s="14" t="n"/>
      <c r="I1484" s="15">
        <f>IF($H1484="","",$H1484-TODAY())</f>
        <v/>
      </c>
      <c r="J1484" s="16" t="inlineStr">
        <is>
          <t>Open posting</t>
        </is>
      </c>
      <c r="K1484" s="8" t="inlineStr">
        <is>
          <t>filtered by keyword pre-scan</t>
        </is>
      </c>
      <c r="L1484" s="17" t="inlineStr">
        <is>
          <t>new</t>
        </is>
      </c>
      <c r="M1484" s="18" t="inlineStr"/>
      <c r="N1484" s="7" t="inlineStr">
        <is>
          <t>84c71e3ec1af8261ff44ab48c1babed26d7c33c3</t>
        </is>
      </c>
      <c r="O1484" s="14" t="n">
        <v>46197</v>
      </c>
      <c r="P1484" s="7" t="inlineStr">
        <is>
          <t>greenhouse:cloudflare</t>
        </is>
      </c>
      <c r="Q1484" s="8" t="inlineStr">
        <is>
          <t>c</t>
        </is>
      </c>
      <c r="R1484" s="8" t="n"/>
      <c r="S1484" s="19" t="n"/>
      <c r="T1484" s="19" t="n"/>
      <c r="U1484" s="14" t="n">
        <v>46197</v>
      </c>
      <c r="V1484" s="7" t="inlineStr">
        <is>
          <t>v2-cv-accuracy-13b988b18da8ea7d</t>
        </is>
      </c>
    </row>
    <row r="1485" ht="28" customHeight="1">
      <c r="A1485" s="12">
        <f>IF($L1485="applied","Applied",IF($L1485="interview","Interview",IF($L1485="offer","Offer",IF($L1485="rejected","Rejected",IF($L1485="ignore","Ignore",IF($L1485="archive","Archive",IF($L1485="closed","Closed",IF($B1485="","Unscored",IF(AND($B1485&gt;=8,OR($H1485="",$H1485-TODAY()&lt;=14)),"P1 Apply",IF($B1485&gt;=7,"P2 Strong",IF($B1485&gt;=5,"P3 Maybe","P4 Low")))))))))))</f>
        <v/>
      </c>
      <c r="B1485" s="13" t="n">
        <v>0.54</v>
      </c>
      <c r="C1485" s="12" t="inlineStr">
        <is>
          <t>Unspecified</t>
        </is>
      </c>
      <c r="D1485" s="8" t="inlineStr">
        <is>
          <t>Vulnerability Management Engineer</t>
        </is>
      </c>
      <c r="E1485" s="7" t="inlineStr">
        <is>
          <t>Cloudflare</t>
        </is>
      </c>
      <c r="F1485" s="8" t="inlineStr">
        <is>
          <t>Hybrid</t>
        </is>
      </c>
      <c r="G1485" s="8" t="n"/>
      <c r="H1485" s="14" t="n"/>
      <c r="I1485" s="15">
        <f>IF($H1485="","",$H1485-TODAY())</f>
        <v/>
      </c>
      <c r="J1485" s="16" t="inlineStr">
        <is>
          <t>Open posting</t>
        </is>
      </c>
      <c r="K1485" s="8" t="inlineStr">
        <is>
          <t>filtered by keyword pre-scan</t>
        </is>
      </c>
      <c r="L1485" s="17" t="inlineStr">
        <is>
          <t>new</t>
        </is>
      </c>
      <c r="M1485" s="18" t="inlineStr"/>
      <c r="N1485" s="7" t="inlineStr">
        <is>
          <t>143c04bceee3b57b6300e1117a935af9921dce69</t>
        </is>
      </c>
      <c r="O1485" s="14" t="n">
        <v>46197</v>
      </c>
      <c r="P1485" s="7" t="inlineStr">
        <is>
          <t>greenhouse:cloudflare</t>
        </is>
      </c>
      <c r="Q1485" s="8" t="inlineStr">
        <is>
          <t>c</t>
        </is>
      </c>
      <c r="R1485" s="8" t="n"/>
      <c r="S1485" s="19" t="n"/>
      <c r="T1485" s="19" t="n"/>
      <c r="U1485" s="14" t="n">
        <v>46197</v>
      </c>
      <c r="V1485" s="7" t="inlineStr">
        <is>
          <t>v2-cv-accuracy-13b988b18da8ea7d</t>
        </is>
      </c>
    </row>
    <row r="1486" ht="28" customHeight="1">
      <c r="A1486" s="12">
        <f>IF($L1486="applied","Applied",IF($L1486="interview","Interview",IF($L1486="offer","Offer",IF($L1486="rejected","Rejected",IF($L1486="ignore","Ignore",IF($L1486="archive","Archive",IF($L1486="closed","Closed",IF($B1486="","Unscored",IF(AND($B1486&gt;=8,OR($H1486="",$H1486-TODAY()&lt;=14)),"P1 Apply",IF($B1486&gt;=7,"P2 Strong",IF($B1486&gt;=5,"P3 Maybe","P4 Low")))))))))))</f>
        <v/>
      </c>
      <c r="B1486" s="13" t="n">
        <v>0.54</v>
      </c>
      <c r="C1486" s="12" t="inlineStr">
        <is>
          <t>Unspecified</t>
        </is>
      </c>
      <c r="D1486" s="8" t="inlineStr">
        <is>
          <t>Implementation Engineer – Production Line Systems/Engineering/SaaS</t>
        </is>
      </c>
      <c r="E1486" s="7" t="inlineStr">
        <is>
          <t>Altech Group Ltd</t>
        </is>
      </c>
      <c r="F1486" s="8" t="inlineStr">
        <is>
          <t>Lancashire, England, UK</t>
        </is>
      </c>
      <c r="G1486" s="8" t="n"/>
      <c r="H1486" s="14" t="n"/>
      <c r="I1486" s="15">
        <f>IF($H1486="","",$H1486-TODAY())</f>
        <v/>
      </c>
      <c r="J1486" s="16" t="inlineStr">
        <is>
          <t>Open posting</t>
        </is>
      </c>
      <c r="K1486" s="8" t="inlineStr">
        <is>
          <t>filtered by keyword pre-scan</t>
        </is>
      </c>
      <c r="L1486" s="17" t="inlineStr">
        <is>
          <t>new</t>
        </is>
      </c>
      <c r="M1486" s="18" t="inlineStr"/>
      <c r="N1486" s="7" t="inlineStr">
        <is>
          <t>c5d189eaa3e1a16f7bf5cc271660d0d80bef5e3e</t>
        </is>
      </c>
      <c r="O1486" s="14" t="n">
        <v>46178</v>
      </c>
      <c r="P1486" s="7" t="inlineStr">
        <is>
          <t>jobspy</t>
        </is>
      </c>
      <c r="Q1486" s="8" t="inlineStr">
        <is>
          <t>c</t>
        </is>
      </c>
      <c r="R1486" s="8" t="inlineStr">
        <is>
          <t>Graduate Systems Engineer hardware software IoT</t>
        </is>
      </c>
      <c r="S1486" s="19" t="n"/>
      <c r="T1486" s="19" t="n"/>
      <c r="U1486" s="14" t="n">
        <v>46197</v>
      </c>
      <c r="V1486" s="7" t="inlineStr">
        <is>
          <t>v2-cv-accuracy-13b988b18da8ea7d</t>
        </is>
      </c>
    </row>
    <row r="1487" ht="28" customHeight="1">
      <c r="A1487" s="12">
        <f>IF($L1487="applied","Applied",IF($L1487="interview","Interview",IF($L1487="offer","Offer",IF($L1487="rejected","Rejected",IF($L1487="ignore","Ignore",IF($L1487="archive","Archive",IF($L1487="closed","Closed",IF($B1487="","Unscored",IF(AND($B1487&gt;=8,OR($H1487="",$H1487-TODAY()&lt;=14)),"P1 Apply",IF($B1487&gt;=7,"P2 Strong",IF($B1487&gt;=5,"P3 Maybe","P4 Low")))))))))))</f>
        <v/>
      </c>
      <c r="B1487" s="13" t="n">
        <v>0.54</v>
      </c>
      <c r="C1487" s="12" t="inlineStr">
        <is>
          <t>Unspecified</t>
        </is>
      </c>
      <c r="D1487" s="8" t="inlineStr">
        <is>
          <t>Software Engineer - Platforms &amp; Productivity</t>
        </is>
      </c>
      <c r="E1487" s="7" t="inlineStr">
        <is>
          <t>Cloudflare</t>
        </is>
      </c>
      <c r="F1487" s="8" t="inlineStr">
        <is>
          <t>In-Office</t>
        </is>
      </c>
      <c r="G1487" s="8" t="n"/>
      <c r="H1487" s="14" t="n"/>
      <c r="I1487" s="15">
        <f>IF($H1487="","",$H1487-TODAY())</f>
        <v/>
      </c>
      <c r="J1487" s="16" t="inlineStr">
        <is>
          <t>Open posting</t>
        </is>
      </c>
      <c r="K1487" s="8" t="inlineStr">
        <is>
          <t>filtered by keyword pre-scan</t>
        </is>
      </c>
      <c r="L1487" s="17" t="inlineStr">
        <is>
          <t>new</t>
        </is>
      </c>
      <c r="M1487" s="18" t="inlineStr"/>
      <c r="N1487" s="7" t="inlineStr">
        <is>
          <t>7cd5c78d79316ee38fe868f9b73e9d62decc1ea9</t>
        </is>
      </c>
      <c r="O1487" s="14" t="n">
        <v>46196</v>
      </c>
      <c r="P1487" s="7" t="inlineStr">
        <is>
          <t>greenhouse:cloudflare</t>
        </is>
      </c>
      <c r="Q1487" s="8" t="inlineStr">
        <is>
          <t>c</t>
        </is>
      </c>
      <c r="R1487" s="8" t="n"/>
      <c r="S1487" s="19" t="n"/>
      <c r="T1487" s="19" t="n"/>
      <c r="U1487" s="14" t="n">
        <v>46196</v>
      </c>
      <c r="V1487" s="7" t="inlineStr">
        <is>
          <t>v2-cv-accuracy-13b988b18da8ea7d</t>
        </is>
      </c>
    </row>
    <row r="1488" ht="28" customHeight="1">
      <c r="A1488" s="12">
        <f>IF($L1488="applied","Applied",IF($L1488="interview","Interview",IF($L1488="offer","Offer",IF($L1488="rejected","Rejected",IF($L1488="ignore","Ignore",IF($L1488="archive","Archive",IF($L1488="closed","Closed",IF($B1488="","Unscored",IF(AND($B1488&gt;=8,OR($H1488="",$H1488-TODAY()&lt;=14)),"P1 Apply",IF($B1488&gt;=7,"P2 Strong",IF($B1488&gt;=5,"P3 Maybe","P4 Low")))))))))))</f>
        <v/>
      </c>
      <c r="B1488" s="13" t="n">
        <v>0.54</v>
      </c>
      <c r="C1488" s="12" t="inlineStr">
        <is>
          <t>Unspecified</t>
        </is>
      </c>
      <c r="D1488" s="8" t="inlineStr">
        <is>
          <t>Systems Engineer, Edge</t>
        </is>
      </c>
      <c r="E1488" s="7" t="inlineStr">
        <is>
          <t>Cloudflare</t>
        </is>
      </c>
      <c r="F1488" s="8" t="inlineStr">
        <is>
          <t>In-Office</t>
        </is>
      </c>
      <c r="G1488" s="8" t="n"/>
      <c r="H1488" s="14" t="n"/>
      <c r="I1488" s="15">
        <f>IF($H1488="","",$H1488-TODAY())</f>
        <v/>
      </c>
      <c r="J1488" s="16" t="inlineStr">
        <is>
          <t>Open posting</t>
        </is>
      </c>
      <c r="K1488" s="8" t="inlineStr">
        <is>
          <t>filtered by keyword pre-scan</t>
        </is>
      </c>
      <c r="L1488" s="17" t="inlineStr">
        <is>
          <t>new</t>
        </is>
      </c>
      <c r="M1488" s="18" t="inlineStr"/>
      <c r="N1488" s="7" t="inlineStr">
        <is>
          <t>6833d357915cf8f353990f3417eb8a3e4b47e41c</t>
        </is>
      </c>
      <c r="O1488" s="14" t="n">
        <v>46196</v>
      </c>
      <c r="P1488" s="7" t="inlineStr">
        <is>
          <t>greenhouse:cloudflare</t>
        </is>
      </c>
      <c r="Q1488" s="8" t="inlineStr">
        <is>
          <t>c</t>
        </is>
      </c>
      <c r="R1488" s="8" t="n"/>
      <c r="S1488" s="19" t="n"/>
      <c r="T1488" s="19" t="n"/>
      <c r="U1488" s="14" t="n">
        <v>46196</v>
      </c>
      <c r="V1488" s="7" t="inlineStr">
        <is>
          <t>v2-cv-accuracy-13b988b18da8ea7d</t>
        </is>
      </c>
    </row>
    <row r="1489" ht="28" customHeight="1">
      <c r="A1489" s="12">
        <f>IF($L1489="applied","Applied",IF($L1489="interview","Interview",IF($L1489="offer","Offer",IF($L1489="rejected","Rejected",IF($L1489="ignore","Ignore",IF($L1489="archive","Archive",IF($L1489="closed","Closed",IF($B1489="","Unscored",IF(AND($B1489&gt;=8,OR($H1489="",$H1489-TODAY()&lt;=14)),"P1 Apply",IF($B1489&gt;=7,"P2 Strong",IF($B1489&gt;=5,"P3 Maybe","P4 Low")))))))))))</f>
        <v/>
      </c>
      <c r="B1489" s="13" t="n">
        <v>0.54</v>
      </c>
      <c r="C1489" s="12" t="inlineStr">
        <is>
          <t>Junior</t>
        </is>
      </c>
      <c r="D1489" s="8" t="inlineStr">
        <is>
          <t>Junior Embedded Software Engineer</t>
        </is>
      </c>
      <c r="E1489" s="7" t="inlineStr">
        <is>
          <t>IC Resources</t>
        </is>
      </c>
      <c r="F1489" s="8" t="inlineStr">
        <is>
          <t>West Yorkshire, England, UK</t>
        </is>
      </c>
      <c r="G1489" s="8" t="n"/>
      <c r="H1489" s="14" t="n"/>
      <c r="I1489" s="15">
        <f>IF($H1489="","",$H1489-TODAY())</f>
        <v/>
      </c>
      <c r="J1489" s="16" t="inlineStr">
        <is>
          <t>Open posting</t>
        </is>
      </c>
      <c r="K1489" s="8" t="inlineStr">
        <is>
          <t>filtered by keyword pre-scan</t>
        </is>
      </c>
      <c r="L1489" s="17" t="inlineStr">
        <is>
          <t>new</t>
        </is>
      </c>
      <c r="M1489" s="18" t="inlineStr"/>
      <c r="N1489" s="7" t="inlineStr">
        <is>
          <t>e41ddf7b03cef07c03a1599b818511d40fe07a43</t>
        </is>
      </c>
      <c r="O1489" s="14" t="n"/>
      <c r="P1489" s="7" t="inlineStr">
        <is>
          <t>jobspy</t>
        </is>
      </c>
      <c r="Q1489" s="8" t="inlineStr">
        <is>
          <t>c</t>
        </is>
      </c>
      <c r="R1489" s="8" t="inlineStr">
        <is>
          <t>IoT Engineer LoRaWAN Python graduate</t>
        </is>
      </c>
      <c r="S1489" s="19" t="n"/>
      <c r="T1489" s="19" t="n"/>
      <c r="U1489" s="14" t="n">
        <v>46196</v>
      </c>
      <c r="V1489" s="7" t="inlineStr">
        <is>
          <t>v2-cv-accuracy-13b988b18da8ea7d</t>
        </is>
      </c>
    </row>
    <row r="1490" ht="28" customHeight="1">
      <c r="A1490" s="12">
        <f>IF($L1490="applied","Applied",IF($L1490="interview","Interview",IF($L1490="offer","Offer",IF($L1490="rejected","Rejected",IF($L1490="ignore","Ignore",IF($L1490="archive","Archive",IF($L1490="closed","Closed",IF($B1490="","Unscored",IF(AND($B1490&gt;=8,OR($H1490="",$H1490-TODAY()&lt;=14)),"P1 Apply",IF($B1490&gt;=7,"P2 Strong",IF($B1490&gt;=5,"P3 Maybe","P4 Low")))))))))))</f>
        <v/>
      </c>
      <c r="B1490" s="13" t="n">
        <v>0.54</v>
      </c>
      <c r="C1490" s="12" t="inlineStr">
        <is>
          <t>Senior/Lead</t>
        </is>
      </c>
      <c r="D1490" s="8" t="inlineStr">
        <is>
          <t>AI-Ready Photonic Chips with Built-In Quantum Thermometry</t>
        </is>
      </c>
      <c r="E1490" s="7" t="inlineStr">
        <is>
          <t>National Physical Laboratory (NPL)</t>
        </is>
      </c>
      <c r="F1490" s="8" t="inlineStr">
        <is>
          <t>Teddington, England, UK</t>
        </is>
      </c>
      <c r="G1490" s="8" t="n"/>
      <c r="H1490" s="14" t="n"/>
      <c r="I1490" s="15">
        <f>IF($H1490="","",$H1490-TODAY())</f>
        <v/>
      </c>
      <c r="J1490" s="16" t="inlineStr">
        <is>
          <t>Open posting</t>
        </is>
      </c>
      <c r="K1490" s="8" t="inlineStr">
        <is>
          <t>filtered by keyword pre-scan</t>
        </is>
      </c>
      <c r="L1490" s="17" t="inlineStr">
        <is>
          <t>new</t>
        </is>
      </c>
      <c r="M1490" s="18" t="inlineStr"/>
      <c r="N1490" s="7" t="inlineStr">
        <is>
          <t>7438f20dad2e4b598f1ba6c7d1eea1db0b70690b</t>
        </is>
      </c>
      <c r="O1490" s="14" t="n">
        <v>46188</v>
      </c>
      <c r="P1490" s="7" t="inlineStr">
        <is>
          <t>jobspy</t>
        </is>
      </c>
      <c r="Q1490" s="8" t="inlineStr">
        <is>
          <t>c</t>
        </is>
      </c>
      <c r="R1490" s="8" t="inlineStr">
        <is>
          <t>PhD Studentship embedded systems signal processing</t>
        </is>
      </c>
      <c r="S1490" s="19" t="n"/>
      <c r="T1490" s="19" t="n"/>
      <c r="U1490" s="14" t="n">
        <v>46196</v>
      </c>
      <c r="V1490" s="7" t="inlineStr">
        <is>
          <t>v2-cv-accuracy-13b988b18da8ea7d</t>
        </is>
      </c>
    </row>
    <row r="1491" ht="28" customHeight="1">
      <c r="A1491" s="12">
        <f>IF($L1491="applied","Applied",IF($L1491="interview","Interview",IF($L1491="offer","Offer",IF($L1491="rejected","Rejected",IF($L1491="ignore","Ignore",IF($L1491="archive","Archive",IF($L1491="closed","Closed",IF($B1491="","Unscored",IF(AND($B1491&gt;=8,OR($H1491="",$H1491-TODAY()&lt;=14)),"P1 Apply",IF($B1491&gt;=7,"P2 Strong",IF($B1491&gt;=5,"P3 Maybe","P4 Low")))))))))))</f>
        <v/>
      </c>
      <c r="B1491" s="13" t="n">
        <v>0.54</v>
      </c>
      <c r="C1491" s="12" t="inlineStr">
        <is>
          <t>Senior/Lead</t>
        </is>
      </c>
      <c r="D1491" s="8" t="inlineStr">
        <is>
          <t>5G/6G Wireless Communications Engineer</t>
        </is>
      </c>
      <c r="E1491" s="7" t="inlineStr">
        <is>
          <t>MathWorks</t>
        </is>
      </c>
      <c r="F1491" s="8" t="inlineStr">
        <is>
          <t>Glasgow, Scotland, UK</t>
        </is>
      </c>
      <c r="G1491" s="8" t="n"/>
      <c r="H1491" s="14" t="n"/>
      <c r="I1491" s="15">
        <f>IF($H1491="","",$H1491-TODAY())</f>
        <v/>
      </c>
      <c r="J1491" s="16" t="inlineStr">
        <is>
          <t>Open posting</t>
        </is>
      </c>
      <c r="K1491" s="8" t="inlineStr">
        <is>
          <t>filtered by keyword pre-scan</t>
        </is>
      </c>
      <c r="L1491" s="17" t="inlineStr">
        <is>
          <t>new</t>
        </is>
      </c>
      <c r="M1491" s="18" t="inlineStr"/>
      <c r="N1491" s="7" t="inlineStr">
        <is>
          <t>97570687748b79000186c3ef2b9cd7e47cfce0f5</t>
        </is>
      </c>
      <c r="O1491" s="14" t="n">
        <v>46185</v>
      </c>
      <c r="P1491" s="7" t="inlineStr">
        <is>
          <t>jobspy</t>
        </is>
      </c>
      <c r="Q1491" s="8" t="inlineStr">
        <is>
          <t>c</t>
        </is>
      </c>
      <c r="R1491" s="8" t="inlineStr">
        <is>
          <t>PhD Studentship Wireless Communications LoRaWAN IoT</t>
        </is>
      </c>
      <c r="S1491" s="19" t="n"/>
      <c r="T1491" s="19" t="n"/>
      <c r="U1491" s="14" t="n">
        <v>46195</v>
      </c>
      <c r="V1491" s="7" t="inlineStr">
        <is>
          <t>v2-cv-accuracy-13b988b18da8ea7d</t>
        </is>
      </c>
    </row>
    <row r="1492" ht="28" customHeight="1">
      <c r="A1492" s="12">
        <f>IF($L1492="applied","Applied",IF($L1492="interview","Interview",IF($L1492="offer","Offer",IF($L1492="rejected","Rejected",IF($L1492="ignore","Ignore",IF($L1492="archive","Archive",IF($L1492="closed","Closed",IF($B1492="","Unscored",IF(AND($B1492&gt;=8,OR($H1492="",$H1492-TODAY()&lt;=14)),"P1 Apply",IF($B1492&gt;=7,"P2 Strong",IF($B1492&gt;=5,"P3 Maybe","P4 Low")))))))))))</f>
        <v/>
      </c>
      <c r="B1492" s="13" t="n">
        <v>0.54</v>
      </c>
      <c r="C1492" s="12" t="inlineStr">
        <is>
          <t>Senior/Lead</t>
        </is>
      </c>
      <c r="D1492" s="8" t="inlineStr">
        <is>
          <t>Full Stack Engineer - Internal Audit</t>
        </is>
      </c>
      <c r="E1492" s="7" t="inlineStr">
        <is>
          <t>Cloudflare</t>
        </is>
      </c>
      <c r="F1492" s="8" t="inlineStr">
        <is>
          <t>Hybrid</t>
        </is>
      </c>
      <c r="G1492" s="8" t="n"/>
      <c r="H1492" s="14" t="n"/>
      <c r="I1492" s="15">
        <f>IF($H1492="","",$H1492-TODAY())</f>
        <v/>
      </c>
      <c r="J1492" s="16" t="inlineStr">
        <is>
          <t>Open posting</t>
        </is>
      </c>
      <c r="K1492" s="8" t="inlineStr">
        <is>
          <t>filtered by keyword pre-scan</t>
        </is>
      </c>
      <c r="L1492" s="17" t="inlineStr">
        <is>
          <t>new</t>
        </is>
      </c>
      <c r="M1492" s="18" t="inlineStr"/>
      <c r="N1492" s="7" t="inlineStr">
        <is>
          <t>62470a356e696620729e5e4e33efe8630ed23a02</t>
        </is>
      </c>
      <c r="O1492" s="14" t="n">
        <v>46194</v>
      </c>
      <c r="P1492" s="7" t="inlineStr">
        <is>
          <t>greenhouse:cloudflare</t>
        </is>
      </c>
      <c r="Q1492" s="8" t="inlineStr">
        <is>
          <t>c</t>
        </is>
      </c>
      <c r="R1492" s="8" t="n"/>
      <c r="S1492" s="19" t="n"/>
      <c r="T1492" s="19" t="n"/>
      <c r="U1492" s="14" t="n">
        <v>46194</v>
      </c>
      <c r="V1492" s="7" t="inlineStr">
        <is>
          <t>v2-cv-accuracy-13b988b18da8ea7d</t>
        </is>
      </c>
    </row>
    <row r="1493" ht="28" customHeight="1">
      <c r="A1493" s="12">
        <f>IF($L1493="applied","Applied",IF($L1493="interview","Interview",IF($L1493="offer","Offer",IF($L1493="rejected","Rejected",IF($L1493="ignore","Ignore",IF($L1493="archive","Archive",IF($L1493="closed","Closed",IF($B1493="","Unscored",IF(AND($B1493&gt;=8,OR($H1493="",$H1493-TODAY()&lt;=14)),"P1 Apply",IF($B1493&gt;=7,"P2 Strong",IF($B1493&gt;=5,"P3 Maybe","P4 Low")))))))))))</f>
        <v/>
      </c>
      <c r="B1493" s="13" t="n">
        <v>0.54</v>
      </c>
      <c r="C1493" s="12" t="inlineStr">
        <is>
          <t>Graduate/Entry</t>
        </is>
      </c>
      <c r="D1493" s="8" t="inlineStr">
        <is>
          <t>Graduate Engineer</t>
        </is>
      </c>
      <c r="E1493" s="7" t="inlineStr">
        <is>
          <t>MARKEM IMAJE</t>
        </is>
      </c>
      <c r="F1493" s="8" t="inlineStr">
        <is>
          <t>Nottingham, ENG, GB</t>
        </is>
      </c>
      <c r="G1493" s="8" t="n"/>
      <c r="H1493" s="14" t="n"/>
      <c r="I1493" s="15">
        <f>IF($H1493="","",$H1493-TODAY())</f>
        <v/>
      </c>
      <c r="J1493" s="16" t="inlineStr">
        <is>
          <t>Open posting</t>
        </is>
      </c>
      <c r="K1493" s="8" t="inlineStr">
        <is>
          <t>filtered by keyword pre-scan</t>
        </is>
      </c>
      <c r="L1493" s="17" t="inlineStr">
        <is>
          <t>new</t>
        </is>
      </c>
      <c r="M1493" s="18" t="inlineStr"/>
      <c r="N1493" s="7" t="inlineStr">
        <is>
          <t>6a4ec54756a46bd61e24c9baabbae4bd58dcc237</t>
        </is>
      </c>
      <c r="O1493" s="14" t="n">
        <v>46164</v>
      </c>
      <c r="P1493" s="7" t="inlineStr">
        <is>
          <t>jobspy</t>
        </is>
      </c>
      <c r="Q1493" s="8" t="inlineStr">
        <is>
          <t>c</t>
        </is>
      </c>
      <c r="R1493" s="8" t="inlineStr">
        <is>
          <t>Graduate Software Engineer embedded systems</t>
        </is>
      </c>
      <c r="S1493" s="19" t="n"/>
      <c r="T1493" s="19" t="n"/>
      <c r="U1493" s="14" t="n">
        <v>46194</v>
      </c>
      <c r="V1493" s="7" t="inlineStr">
        <is>
          <t>v2-cv-accuracy-13b988b18da8ea7d</t>
        </is>
      </c>
    </row>
    <row r="1494" ht="28" customHeight="1">
      <c r="A1494" s="12">
        <f>IF($L1494="applied","Applied",IF($L1494="interview","Interview",IF($L1494="offer","Offer",IF($L1494="rejected","Rejected",IF($L1494="ignore","Ignore",IF($L1494="archive","Archive",IF($L1494="closed","Closed",IF($B1494="","Unscored",IF(AND($B1494&gt;=8,OR($H1494="",$H1494-TODAY()&lt;=14)),"P1 Apply",IF($B1494&gt;=7,"P2 Strong",IF($B1494&gt;=5,"P3 Maybe","P4 Low")))))))))))</f>
        <v/>
      </c>
      <c r="B1494" s="13" t="n">
        <v>0.54</v>
      </c>
      <c r="C1494" s="12" t="inlineStr">
        <is>
          <t>Unspecified</t>
        </is>
      </c>
      <c r="D1494" s="8" t="inlineStr">
        <is>
          <t>Controls / Software Systems Engineer</t>
        </is>
      </c>
      <c r="E1494" s="7" t="inlineStr">
        <is>
          <t>LOXHAM PRECISION LIMITED</t>
        </is>
      </c>
      <c r="F1494" s="8" t="inlineStr">
        <is>
          <t>Cranfield, England, UK</t>
        </is>
      </c>
      <c r="G1494" s="8" t="n"/>
      <c r="H1494" s="14" t="n"/>
      <c r="I1494" s="15">
        <f>IF($H1494="","",$H1494-TODAY())</f>
        <v/>
      </c>
      <c r="J1494" s="16" t="inlineStr">
        <is>
          <t>Open posting</t>
        </is>
      </c>
      <c r="K1494" s="8" t="inlineStr">
        <is>
          <t>filtered by keyword pre-scan</t>
        </is>
      </c>
      <c r="L1494" s="17" t="inlineStr">
        <is>
          <t>new</t>
        </is>
      </c>
      <c r="M1494" s="18" t="inlineStr"/>
      <c r="N1494" s="7" t="inlineStr">
        <is>
          <t>20cb669e77b9caa1d3184122f1a5ba7174d6a0a5</t>
        </is>
      </c>
      <c r="O1494" s="14" t="n">
        <v>46192</v>
      </c>
      <c r="P1494" s="7" t="inlineStr">
        <is>
          <t>jobspy</t>
        </is>
      </c>
      <c r="Q1494" s="8" t="inlineStr">
        <is>
          <t>c</t>
        </is>
      </c>
      <c r="R1494" s="8" t="inlineStr">
        <is>
          <t>Graduate Aerospace Engineer embedded systems Sheffield</t>
        </is>
      </c>
      <c r="S1494" s="19" t="n"/>
      <c r="T1494" s="19" t="n"/>
      <c r="U1494" s="14" t="n">
        <v>46194</v>
      </c>
      <c r="V1494" s="7" t="inlineStr">
        <is>
          <t>v2-cv-accuracy-13b988b18da8ea7d</t>
        </is>
      </c>
    </row>
    <row r="1495" ht="28" customHeight="1">
      <c r="A1495" s="12">
        <f>IF($L1495="applied","Applied",IF($L1495="interview","Interview",IF($L1495="offer","Offer",IF($L1495="rejected","Rejected",IF($L1495="ignore","Ignore",IF($L1495="archive","Archive",IF($L1495="closed","Closed",IF($B1495="","Unscored",IF(AND($B1495&gt;=8,OR($H1495="",$H1495-TODAY()&lt;=14)),"P1 Apply",IF($B1495&gt;=7,"P2 Strong",IF($B1495&gt;=5,"P3 Maybe","P4 Low")))))))))))</f>
        <v/>
      </c>
      <c r="B1495" s="13" t="n">
        <v>0.54</v>
      </c>
      <c r="C1495" s="12" t="inlineStr">
        <is>
          <t>Graduate/Entry</t>
        </is>
      </c>
      <c r="D1495" s="8" t="inlineStr">
        <is>
          <t>Graduate Control System Engineer</t>
        </is>
      </c>
      <c r="E1495" s="7" t="inlineStr">
        <is>
          <t>Tata Consultancy Services</t>
        </is>
      </c>
      <c r="F1495" s="8" t="inlineStr">
        <is>
          <t>Derby, England, UK</t>
        </is>
      </c>
      <c r="G1495" s="8" t="n"/>
      <c r="H1495" s="14" t="n"/>
      <c r="I1495" s="15">
        <f>IF($H1495="","",$H1495-TODAY())</f>
        <v/>
      </c>
      <c r="J1495" s="16" t="inlineStr">
        <is>
          <t>Open posting</t>
        </is>
      </c>
      <c r="K1495" s="8" t="inlineStr">
        <is>
          <t>filtered by keyword pre-scan</t>
        </is>
      </c>
      <c r="L1495" s="17" t="inlineStr">
        <is>
          <t>new</t>
        </is>
      </c>
      <c r="M1495" s="18" t="inlineStr"/>
      <c r="N1495" s="7" t="inlineStr">
        <is>
          <t>f55f13267a8207b0943762ac56f2e1398551b6c5</t>
        </is>
      </c>
      <c r="O1495" s="14" t="n">
        <v>46174</v>
      </c>
      <c r="P1495" s="7" t="inlineStr">
        <is>
          <t>jobspy</t>
        </is>
      </c>
      <c r="Q1495" s="8" t="inlineStr">
        <is>
          <t>c</t>
        </is>
      </c>
      <c r="R1495" s="8" t="inlineStr">
        <is>
          <t>Graduate Aerospace Engineer embedded systems Sheffield</t>
        </is>
      </c>
      <c r="S1495" s="19" t="n"/>
      <c r="T1495" s="19" t="n"/>
      <c r="U1495" s="14" t="n">
        <v>46194</v>
      </c>
      <c r="V1495" s="7" t="inlineStr">
        <is>
          <t>v2-cv-accuracy-13b988b18da8ea7d</t>
        </is>
      </c>
    </row>
    <row r="1496" ht="28" customHeight="1">
      <c r="A1496" s="12">
        <f>IF($L1496="applied","Applied",IF($L1496="interview","Interview",IF($L1496="offer","Offer",IF($L1496="rejected","Rejected",IF($L1496="ignore","Ignore",IF($L1496="archive","Archive",IF($L1496="closed","Closed",IF($B1496="","Unscored",IF(AND($B1496&gt;=8,OR($H1496="",$H1496-TODAY()&lt;=14)),"P1 Apply",IF($B1496&gt;=7,"P2 Strong",IF($B1496&gt;=5,"P3 Maybe","P4 Low")))))))))))</f>
        <v/>
      </c>
      <c r="B1496" s="13" t="n">
        <v>0.54</v>
      </c>
      <c r="C1496" s="12" t="inlineStr">
        <is>
          <t>Senior/Lead</t>
        </is>
      </c>
      <c r="D1496" s="8" t="inlineStr">
        <is>
          <t>Frontend Developer</t>
        </is>
      </c>
      <c r="E1496" s="7" t="inlineStr">
        <is>
          <t>Workonomics</t>
        </is>
      </c>
      <c r="F1496" s="8" t="inlineStr">
        <is>
          <t>London Area, United Kingdom</t>
        </is>
      </c>
      <c r="G1496" s="8" t="n"/>
      <c r="H1496" s="14" t="n"/>
      <c r="I1496" s="15">
        <f>IF($H1496="","",$H1496-TODAY())</f>
        <v/>
      </c>
      <c r="J1496" s="16" t="inlineStr">
        <is>
          <t>Open posting</t>
        </is>
      </c>
      <c r="K1496" s="8" t="inlineStr">
        <is>
          <t>filtered by keyword pre-scan</t>
        </is>
      </c>
      <c r="L1496" s="17" t="inlineStr">
        <is>
          <t>new</t>
        </is>
      </c>
      <c r="M1496" s="18" t="inlineStr"/>
      <c r="N1496" s="7" t="inlineStr">
        <is>
          <t>3166f956b3cbe1f225f589c7ed9855e5fba595d8</t>
        </is>
      </c>
      <c r="O1496" s="14" t="n">
        <v>46185</v>
      </c>
      <c r="P1496" s="7" t="inlineStr">
        <is>
          <t>jobspy</t>
        </is>
      </c>
      <c r="Q1496" s="8" t="inlineStr">
        <is>
          <t>c</t>
        </is>
      </c>
      <c r="R1496" s="8" t="inlineStr">
        <is>
          <t>Junior Full Stack Developer JavaScript Node.js Python</t>
        </is>
      </c>
      <c r="S1496" s="19" t="n"/>
      <c r="T1496" s="19" t="n"/>
      <c r="U1496" s="14" t="n">
        <v>46193</v>
      </c>
      <c r="V1496" s="7" t="inlineStr">
        <is>
          <t>v2-cv-accuracy-13b988b18da8ea7d</t>
        </is>
      </c>
    </row>
    <row r="1497" ht="28" customHeight="1">
      <c r="A1497" s="12">
        <f>IF($L1497="applied","Applied",IF($L1497="interview","Interview",IF($L1497="offer","Offer",IF($L1497="rejected","Rejected",IF($L1497="ignore","Ignore",IF($L1497="archive","Archive",IF($L1497="closed","Closed",IF($B1497="","Unscored",IF(AND($B1497&gt;=8,OR($H1497="",$H1497-TODAY()&lt;=14)),"P1 Apply",IF($B1497&gt;=7,"P2 Strong",IF($B1497&gt;=5,"P3 Maybe","P4 Low")))))))))))</f>
        <v/>
      </c>
      <c r="B1497" s="13" t="n">
        <v>0.54</v>
      </c>
      <c r="C1497" s="12" t="inlineStr">
        <is>
          <t>Unspecified</t>
        </is>
      </c>
      <c r="D1497" s="8" t="inlineStr">
        <is>
          <t>Embedded Software Engineers</t>
        </is>
      </c>
      <c r="E1497" s="7" t="inlineStr">
        <is>
          <t>Leonardo</t>
        </is>
      </c>
      <c r="F1497" s="8" t="inlineStr">
        <is>
          <t>Southampton, England, UK</t>
        </is>
      </c>
      <c r="G1497" s="8" t="n"/>
      <c r="H1497" s="14" t="n"/>
      <c r="I1497" s="15">
        <f>IF($H1497="","",$H1497-TODAY())</f>
        <v/>
      </c>
      <c r="J1497" s="16" t="inlineStr">
        <is>
          <t>Open posting</t>
        </is>
      </c>
      <c r="K1497" s="8" t="inlineStr">
        <is>
          <t>filtered by keyword pre-scan</t>
        </is>
      </c>
      <c r="L1497" s="17" t="inlineStr">
        <is>
          <t>new</t>
        </is>
      </c>
      <c r="M1497" s="18" t="inlineStr"/>
      <c r="N1497" s="7" t="inlineStr">
        <is>
          <t>bce664a7775c77486de249f4bb470937c6d56edd</t>
        </is>
      </c>
      <c r="O1497" s="14" t="n">
        <v>46175</v>
      </c>
      <c r="P1497" s="7" t="inlineStr">
        <is>
          <t>jobspy</t>
        </is>
      </c>
      <c r="Q1497" s="8" t="inlineStr">
        <is>
          <t>c</t>
        </is>
      </c>
      <c r="R1497" s="8" t="inlineStr">
        <is>
          <t>Junior Embedded Software Engineer STM32</t>
        </is>
      </c>
      <c r="S1497" s="19" t="n"/>
      <c r="T1497" s="19" t="n"/>
      <c r="U1497" s="14" t="n">
        <v>46193</v>
      </c>
      <c r="V1497" s="7" t="inlineStr">
        <is>
          <t>v2-cv-accuracy-13b988b18da8ea7d</t>
        </is>
      </c>
    </row>
    <row r="1498" ht="28" customHeight="1">
      <c r="A1498" s="12">
        <f>IF($L1498="applied","Applied",IF($L1498="interview","Interview",IF($L1498="offer","Offer",IF($L1498="rejected","Rejected",IF($L1498="ignore","Ignore",IF($L1498="archive","Archive",IF($L1498="closed","Closed",IF($B1498="","Unscored",IF(AND($B1498&gt;=8,OR($H1498="",$H1498-TODAY()&lt;=14)),"P1 Apply",IF($B1498&gt;=7,"P2 Strong",IF($B1498&gt;=5,"P3 Maybe","P4 Low")))))))))))</f>
        <v/>
      </c>
      <c r="B1498" s="13" t="n">
        <v>0.54</v>
      </c>
      <c r="C1498" s="12" t="inlineStr">
        <is>
          <t>Mid-level</t>
        </is>
      </c>
      <c r="D1498" s="8" t="inlineStr">
        <is>
          <t>Network Programmer</t>
        </is>
      </c>
      <c r="E1498" s="7" t="inlineStr">
        <is>
          <t>Steel City Interactive</t>
        </is>
      </c>
      <c r="F1498" s="8" t="inlineStr"/>
      <c r="G1498" s="8" t="n"/>
      <c r="H1498" s="14" t="n"/>
      <c r="I1498" s="15">
        <f>IF($H1498="","",$H1498-TODAY())</f>
        <v/>
      </c>
      <c r="J1498" s="16" t="inlineStr">
        <is>
          <t>Open posting</t>
        </is>
      </c>
      <c r="K1498" s="8" t="inlineStr">
        <is>
          <t>filtered by keyword pre-scan</t>
        </is>
      </c>
      <c r="L1498" s="17" t="inlineStr">
        <is>
          <t>new</t>
        </is>
      </c>
      <c r="M1498" s="18" t="inlineStr"/>
      <c r="N1498" s="7" t="inlineStr">
        <is>
          <t>97a74fda3e5bcbe9b66b3db3b8b9c0a26d8121bd</t>
        </is>
      </c>
      <c r="O1498" s="14" t="n">
        <v>46185</v>
      </c>
      <c r="P1498" s="7" t="inlineStr">
        <is>
          <t>jobspy</t>
        </is>
      </c>
      <c r="Q1498" s="8" t="inlineStr">
        <is>
          <t>c</t>
        </is>
      </c>
      <c r="R1498" s="8" t="inlineStr">
        <is>
          <t>Graduate Hardware Engineer Sheffield</t>
        </is>
      </c>
      <c r="S1498" s="19" t="n"/>
      <c r="T1498" s="19" t="n"/>
      <c r="U1498" s="14" t="n">
        <v>46192</v>
      </c>
      <c r="V1498" s="7" t="inlineStr">
        <is>
          <t>v2-cv-accuracy-13b988b18da8ea7d</t>
        </is>
      </c>
    </row>
    <row r="1499" ht="28" customHeight="1">
      <c r="A1499" s="12">
        <f>IF($L1499="applied","Applied",IF($L1499="interview","Interview",IF($L1499="offer","Offer",IF($L1499="rejected","Rejected",IF($L1499="ignore","Ignore",IF($L1499="archive","Archive",IF($L1499="closed","Closed",IF($B1499="","Unscored",IF(AND($B1499&gt;=8,OR($H1499="",$H1499-TODAY()&lt;=14)),"P1 Apply",IF($B1499&gt;=7,"P2 Strong",IF($B1499&gt;=5,"P3 Maybe","P4 Low")))))))))))</f>
        <v/>
      </c>
      <c r="B1499" s="13" t="n">
        <v>0.54</v>
      </c>
      <c r="C1499" s="12" t="inlineStr">
        <is>
          <t>Graduate/Entry</t>
        </is>
      </c>
      <c r="D1499" s="8" t="inlineStr">
        <is>
          <t>STEM WOMEN 2026/2027 Graduate Opportunities</t>
        </is>
      </c>
      <c r="E1499" s="7" t="inlineStr">
        <is>
          <t>Nova Systems</t>
        </is>
      </c>
      <c r="F1499" s="8" t="inlineStr">
        <is>
          <t>Bristol, ENG, GB</t>
        </is>
      </c>
      <c r="G1499" s="8" t="n"/>
      <c r="H1499" s="14" t="n"/>
      <c r="I1499" s="15">
        <f>IF($H1499="","",$H1499-TODAY())</f>
        <v/>
      </c>
      <c r="J1499" s="16" t="inlineStr">
        <is>
          <t>Open posting</t>
        </is>
      </c>
      <c r="K1499" s="8" t="inlineStr">
        <is>
          <t>filtered by keyword pre-scan</t>
        </is>
      </c>
      <c r="L1499" s="17" t="inlineStr">
        <is>
          <t>new</t>
        </is>
      </c>
      <c r="M1499" s="18" t="inlineStr"/>
      <c r="N1499" s="7" t="inlineStr">
        <is>
          <t>9f4b3d9fc62db43b3428dec43d0d90d26c931e98</t>
        </is>
      </c>
      <c r="O1499" s="14" t="n">
        <v>46169</v>
      </c>
      <c r="P1499" s="7" t="inlineStr">
        <is>
          <t>jobspy</t>
        </is>
      </c>
      <c r="Q1499" s="8" t="inlineStr">
        <is>
          <t>c</t>
        </is>
      </c>
      <c r="R1499" s="8" t="inlineStr">
        <is>
          <t>Graduate Aerospace Engineer embedded systems UK</t>
        </is>
      </c>
      <c r="S1499" s="19" t="n"/>
      <c r="T1499" s="19" t="n"/>
      <c r="U1499" s="14" t="n">
        <v>46192</v>
      </c>
      <c r="V1499" s="7" t="inlineStr">
        <is>
          <t>v2-cv-accuracy-13b988b18da8ea7d</t>
        </is>
      </c>
    </row>
    <row r="1500" ht="28" customHeight="1">
      <c r="A1500" s="12">
        <f>IF($L1500="applied","Applied",IF($L1500="interview","Interview",IF($L1500="offer","Offer",IF($L1500="rejected","Rejected",IF($L1500="ignore","Ignore",IF($L1500="archive","Archive",IF($L1500="closed","Closed",IF($B1500="","Unscored",IF(AND($B1500&gt;=8,OR($H1500="",$H1500-TODAY()&lt;=14)),"P1 Apply",IF($B1500&gt;=7,"P2 Strong",IF($B1500&gt;=5,"P3 Maybe","P4 Low")))))))))))</f>
        <v/>
      </c>
      <c r="B1500" s="13" t="n">
        <v>0.54</v>
      </c>
      <c r="C1500" s="12" t="inlineStr">
        <is>
          <t>Junior</t>
        </is>
      </c>
      <c r="D1500" s="8" t="inlineStr">
        <is>
          <t>Junior Analog IC Design Engineer</t>
        </is>
      </c>
      <c r="E1500" s="7" t="inlineStr">
        <is>
          <t>IC Resources</t>
        </is>
      </c>
      <c r="F1500" s="8" t="inlineStr">
        <is>
          <t>Southampton, England, UK</t>
        </is>
      </c>
      <c r="G1500" s="8" t="n"/>
      <c r="H1500" s="14" t="n"/>
      <c r="I1500" s="15">
        <f>IF($H1500="","",$H1500-TODAY())</f>
        <v/>
      </c>
      <c r="J1500" s="16" t="inlineStr">
        <is>
          <t>Open posting</t>
        </is>
      </c>
      <c r="K1500" s="8" t="inlineStr">
        <is>
          <t>filtered by keyword pre-scan</t>
        </is>
      </c>
      <c r="L1500" s="17" t="inlineStr">
        <is>
          <t>new</t>
        </is>
      </c>
      <c r="M1500" s="18" t="inlineStr"/>
      <c r="N1500" s="7" t="inlineStr">
        <is>
          <t>77f937483402d863f886bf7873b6d0b4545145fe</t>
        </is>
      </c>
      <c r="O1500" s="14" t="n">
        <v>46188</v>
      </c>
      <c r="P1500" s="7" t="inlineStr">
        <is>
          <t>jobspy</t>
        </is>
      </c>
      <c r="Q1500" s="8" t="inlineStr">
        <is>
          <t>c</t>
        </is>
      </c>
      <c r="R1500" s="8" t="inlineStr">
        <is>
          <t>Graduate Aerospace Engineer embedded systems UK</t>
        </is>
      </c>
      <c r="S1500" s="19" t="n"/>
      <c r="T1500" s="19" t="n"/>
      <c r="U1500" s="14" t="n">
        <v>46192</v>
      </c>
      <c r="V1500" s="7" t="inlineStr">
        <is>
          <t>v2-cv-accuracy-13b988b18da8ea7d</t>
        </is>
      </c>
    </row>
    <row r="1501" ht="28" customHeight="1">
      <c r="A1501" s="12">
        <f>IF($L1501="applied","Applied",IF($L1501="interview","Interview",IF($L1501="offer","Offer",IF($L1501="rejected","Rejected",IF($L1501="ignore","Ignore",IF($L1501="archive","Archive",IF($L1501="closed","Closed",IF($B1501="","Unscored",IF(AND($B1501&gt;=8,OR($H1501="",$H1501-TODAY()&lt;=14)),"P1 Apply",IF($B1501&gt;=7,"P2 Strong",IF($B1501&gt;=5,"P3 Maybe","P4 Low")))))))))))</f>
        <v/>
      </c>
      <c r="B1501" s="13" t="n">
        <v>0.54</v>
      </c>
      <c r="C1501" s="12" t="inlineStr">
        <is>
          <t>Junior</t>
        </is>
      </c>
      <c r="D1501" s="8" t="inlineStr">
        <is>
          <t>Junior Analog IC Design Engineer</t>
        </is>
      </c>
      <c r="E1501" s="7" t="inlineStr">
        <is>
          <t>IC Resources</t>
        </is>
      </c>
      <c r="F1501" s="8" t="inlineStr">
        <is>
          <t>Hampshire, England, UK</t>
        </is>
      </c>
      <c r="G1501" s="8" t="n"/>
      <c r="H1501" s="14" t="n"/>
      <c r="I1501" s="15">
        <f>IF($H1501="","",$H1501-TODAY())</f>
        <v/>
      </c>
      <c r="J1501" s="16" t="inlineStr">
        <is>
          <t>Open posting</t>
        </is>
      </c>
      <c r="K1501" s="8" t="inlineStr">
        <is>
          <t>filtered by keyword pre-scan</t>
        </is>
      </c>
      <c r="L1501" s="17" t="inlineStr">
        <is>
          <t>new</t>
        </is>
      </c>
      <c r="M1501" s="18" t="inlineStr"/>
      <c r="N1501" s="7" t="inlineStr">
        <is>
          <t>b1a609fc2a5accf986286d59b8c446775c4e40c6</t>
        </is>
      </c>
      <c r="O1501" s="14" t="n">
        <v>46188</v>
      </c>
      <c r="P1501" s="7" t="inlineStr">
        <is>
          <t>jobspy</t>
        </is>
      </c>
      <c r="Q1501" s="8" t="inlineStr">
        <is>
          <t>c</t>
        </is>
      </c>
      <c r="R1501" s="8" t="inlineStr">
        <is>
          <t>Graduate Aerospace Engineer embedded systems UK</t>
        </is>
      </c>
      <c r="S1501" s="19" t="n"/>
      <c r="T1501" s="19" t="n"/>
      <c r="U1501" s="14" t="n">
        <v>46192</v>
      </c>
      <c r="V1501" s="7" t="inlineStr">
        <is>
          <t>v2-cv-accuracy-13b988b18da8ea7d</t>
        </is>
      </c>
    </row>
    <row r="1502" ht="28" customHeight="1">
      <c r="A1502" s="12">
        <f>IF($L1502="applied","Applied",IF($L1502="interview","Interview",IF($L1502="offer","Offer",IF($L1502="rejected","Rejected",IF($L1502="ignore","Ignore",IF($L1502="archive","Archive",IF($L1502="closed","Closed",IF($B1502="","Unscored",IF(AND($B1502&gt;=8,OR($H1502="",$H1502-TODAY()&lt;=14)),"P1 Apply",IF($B1502&gt;=7,"P2 Strong",IF($B1502&gt;=5,"P3 Maybe","P4 Low")))))))))))</f>
        <v/>
      </c>
      <c r="B1502" s="13" t="n">
        <v>0.54</v>
      </c>
      <c r="C1502" s="12" t="inlineStr">
        <is>
          <t>Graduate/Entry</t>
        </is>
      </c>
      <c r="D1502" s="8" t="inlineStr">
        <is>
          <t>Graduate or Junior Applications Engineer</t>
        </is>
      </c>
      <c r="E1502" s="7" t="inlineStr">
        <is>
          <t>Fisher Smith Ltd</t>
        </is>
      </c>
      <c r="F1502" s="8" t="inlineStr">
        <is>
          <t>Northamptonshire, England, UK</t>
        </is>
      </c>
      <c r="G1502" s="8" t="n"/>
      <c r="H1502" s="14" t="n"/>
      <c r="I1502" s="15">
        <f>IF($H1502="","",$H1502-TODAY())</f>
        <v/>
      </c>
      <c r="J1502" s="16" t="inlineStr">
        <is>
          <t>Open posting</t>
        </is>
      </c>
      <c r="K1502" s="8" t="inlineStr">
        <is>
          <t>filtered by keyword pre-scan</t>
        </is>
      </c>
      <c r="L1502" s="17" t="inlineStr">
        <is>
          <t>new</t>
        </is>
      </c>
      <c r="M1502" s="18" t="inlineStr"/>
      <c r="N1502" s="7" t="inlineStr">
        <is>
          <t>9b0fa8466e4d8071956817a08ecd28e4666cbc89</t>
        </is>
      </c>
      <c r="O1502" s="14" t="n">
        <v>46191</v>
      </c>
      <c r="P1502" s="7" t="inlineStr">
        <is>
          <t>jobspy</t>
        </is>
      </c>
      <c r="Q1502" s="8" t="inlineStr">
        <is>
          <t>c</t>
        </is>
      </c>
      <c r="R1502" s="8" t="inlineStr">
        <is>
          <t>Graduate Electronics Engineer Sheffield</t>
        </is>
      </c>
      <c r="S1502" s="19" t="n"/>
      <c r="T1502" s="19" t="n"/>
      <c r="U1502" s="14" t="n">
        <v>46192</v>
      </c>
      <c r="V1502" s="7" t="inlineStr">
        <is>
          <t>v2-cv-accuracy-13b988b18da8ea7d</t>
        </is>
      </c>
    </row>
    <row r="1503" ht="28" customHeight="1">
      <c r="A1503" s="12">
        <f>IF($L1503="applied","Applied",IF($L1503="interview","Interview",IF($L1503="offer","Offer",IF($L1503="rejected","Rejected",IF($L1503="ignore","Ignore",IF($L1503="archive","Archive",IF($L1503="closed","Closed",IF($B1503="","Unscored",IF(AND($B1503&gt;=8,OR($H1503="",$H1503-TODAY()&lt;=14)),"P1 Apply",IF($B1503&gt;=7,"P2 Strong",IF($B1503&gt;=5,"P3 Maybe","P4 Low")))))))))))</f>
        <v/>
      </c>
      <c r="B1503" s="13" t="n">
        <v>0.47</v>
      </c>
      <c r="C1503" s="12" t="inlineStr">
        <is>
          <t>Senior/Lead</t>
        </is>
      </c>
      <c r="D1503" s="8" t="inlineStr">
        <is>
          <t>Web Development Engineer I (UK)</t>
        </is>
      </c>
      <c r="E1503" s="7" t="inlineStr">
        <is>
          <t>Discovery Education UK</t>
        </is>
      </c>
      <c r="F1503" s="8" t="inlineStr">
        <is>
          <t>Manchester, England, UK</t>
        </is>
      </c>
      <c r="G1503" s="8" t="n"/>
      <c r="H1503" s="14" t="n"/>
      <c r="I1503" s="15">
        <f>IF($H1503="","",$H1503-TODAY())</f>
        <v/>
      </c>
      <c r="J1503" s="16" t="inlineStr">
        <is>
          <t>Open posting</t>
        </is>
      </c>
      <c r="K1503" s="8" t="inlineStr">
        <is>
          <t>filtered by keyword pre-scan</t>
        </is>
      </c>
      <c r="L1503" s="17" t="inlineStr">
        <is>
          <t>new</t>
        </is>
      </c>
      <c r="M1503" s="18" t="inlineStr"/>
      <c r="N1503" s="7" t="inlineStr">
        <is>
          <t>18fab43578ea2c5310d5bc385cf7557d3e9ecb52</t>
        </is>
      </c>
      <c r="O1503" s="14" t="n">
        <v>46184</v>
      </c>
      <c r="P1503" s="7" t="inlineStr">
        <is>
          <t>jobspy</t>
        </is>
      </c>
      <c r="Q1503" s="8" t="inlineStr">
        <is>
          <t>python, sql, javascript, web development</t>
        </is>
      </c>
      <c r="R1503" s="8" t="inlineStr">
        <is>
          <t>junior/graduate Junior Python Developer</t>
        </is>
      </c>
      <c r="S1503" s="19" t="n"/>
      <c r="T1503" s="19" t="n"/>
      <c r="U1503" s="14" t="n">
        <v>46191</v>
      </c>
      <c r="V1503" s="7" t="inlineStr">
        <is>
          <t>v2-cv-accuracy-13b988b18da8ea7d</t>
        </is>
      </c>
    </row>
    <row r="1504" ht="28" customHeight="1">
      <c r="A1504" s="12">
        <f>IF($L1504="applied","Applied",IF($L1504="interview","Interview",IF($L1504="offer","Offer",IF($L1504="rejected","Rejected",IF($L1504="ignore","Ignore",IF($L1504="archive","Archive",IF($L1504="closed","Closed",IF($B1504="","Unscored",IF(AND($B1504&gt;=8,OR($H1504="",$H1504-TODAY()&lt;=14)),"P1 Apply",IF($B1504&gt;=7,"P2 Strong",IF($B1504&gt;=5,"P3 Maybe","P4 Low")))))))))))</f>
        <v/>
      </c>
      <c r="B1504" s="13" t="n">
        <v>0.47</v>
      </c>
      <c r="C1504" s="12" t="inlineStr">
        <is>
          <t>Junior</t>
        </is>
      </c>
      <c r="D1504" s="8" t="inlineStr">
        <is>
          <t>Full-Stack Developer</t>
        </is>
      </c>
      <c r="E1504" s="7" t="inlineStr">
        <is>
          <t>Rolley</t>
        </is>
      </c>
      <c r="F1504" s="8" t="inlineStr">
        <is>
          <t>Barnsley, England, UK</t>
        </is>
      </c>
      <c r="G1504" s="8" t="n"/>
      <c r="H1504" s="14" t="n"/>
      <c r="I1504" s="15">
        <f>IF($H1504="","",$H1504-TODAY())</f>
        <v/>
      </c>
      <c r="J1504" s="16" t="inlineStr">
        <is>
          <t>Open posting</t>
        </is>
      </c>
      <c r="K1504" s="8" t="inlineStr">
        <is>
          <t>filtered by keyword pre-scan</t>
        </is>
      </c>
      <c r="L1504" s="17" t="inlineStr">
        <is>
          <t>new</t>
        </is>
      </c>
      <c r="M1504" s="18" t="inlineStr"/>
      <c r="N1504" s="7" t="inlineStr">
        <is>
          <t>359a9a8eb54629fbdeeca004eb2a9bd133b59ecd</t>
        </is>
      </c>
      <c r="O1504" s="14" t="n">
        <v>46188</v>
      </c>
      <c r="P1504" s="7" t="inlineStr">
        <is>
          <t>jobspy</t>
        </is>
      </c>
      <c r="Q1504" s="8" t="inlineStr">
        <is>
          <t>sql, javascript, git</t>
        </is>
      </c>
      <c r="R1504" s="8" t="inlineStr">
        <is>
          <t>Full Stack Developer Sheffield</t>
        </is>
      </c>
      <c r="S1504" s="19" t="n"/>
      <c r="T1504" s="19" t="n"/>
      <c r="U1504" s="14" t="n">
        <v>46191</v>
      </c>
      <c r="V1504" s="7" t="inlineStr">
        <is>
          <t>v2-cv-accuracy-13b988b18da8ea7d</t>
        </is>
      </c>
    </row>
    <row r="1505" ht="28" customHeight="1">
      <c r="A1505" s="12">
        <f>IF($L1505="applied","Applied",IF($L1505="interview","Interview",IF($L1505="offer","Offer",IF($L1505="rejected","Rejected",IF($L1505="ignore","Ignore",IF($L1505="archive","Archive",IF($L1505="closed","Closed",IF($B1505="","Unscored",IF(AND($B1505&gt;=8,OR($H1505="",$H1505-TODAY()&lt;=14)),"P1 Apply",IF($B1505&gt;=7,"P2 Strong",IF($B1505&gt;=5,"P3 Maybe","P4 Low")))))))))))</f>
        <v/>
      </c>
      <c r="B1505" s="13" t="n">
        <v>0.47</v>
      </c>
      <c r="C1505" s="12" t="inlineStr">
        <is>
          <t>Senior/Lead</t>
        </is>
      </c>
      <c r="D1505" s="8" t="inlineStr">
        <is>
          <t>Web Development Engineer I (UK)</t>
        </is>
      </c>
      <c r="E1505" s="7" t="inlineStr">
        <is>
          <t>Discovery Education</t>
        </is>
      </c>
      <c r="F1505" s="8" t="inlineStr">
        <is>
          <t>Manchester, England, UK</t>
        </is>
      </c>
      <c r="G1505" s="8" t="n"/>
      <c r="H1505" s="14" t="n"/>
      <c r="I1505" s="15">
        <f>IF($H1505="","",$H1505-TODAY())</f>
        <v/>
      </c>
      <c r="J1505" s="16" t="inlineStr">
        <is>
          <t>Open posting</t>
        </is>
      </c>
      <c r="K1505" s="8" t="inlineStr">
        <is>
          <t>filtered by keyword pre-scan</t>
        </is>
      </c>
      <c r="L1505" s="17" t="inlineStr">
        <is>
          <t>new</t>
        </is>
      </c>
      <c r="M1505" s="18" t="inlineStr"/>
      <c r="N1505" s="7" t="inlineStr">
        <is>
          <t>bd62fdcefaa40afe2e0c9b2d48d6107968453337</t>
        </is>
      </c>
      <c r="O1505" s="14" t="n">
        <v>46184</v>
      </c>
      <c r="P1505" s="7" t="inlineStr">
        <is>
          <t>jobspy</t>
        </is>
      </c>
      <c r="Q1505" s="8" t="inlineStr">
        <is>
          <t>python, sql, javascript, web development</t>
        </is>
      </c>
      <c r="R1505" s="8" t="inlineStr">
        <is>
          <t>Graduate Software Developer Sheffield</t>
        </is>
      </c>
      <c r="S1505" s="19" t="n"/>
      <c r="T1505" s="19" t="n"/>
      <c r="U1505" s="14" t="n">
        <v>46191</v>
      </c>
      <c r="V1505" s="7" t="inlineStr">
        <is>
          <t>v2-cv-accuracy-13b988b18da8ea7d</t>
        </is>
      </c>
    </row>
    <row r="1506" ht="28" customHeight="1">
      <c r="A1506" s="12">
        <f>IF($L1506="applied","Applied",IF($L1506="interview","Interview",IF($L1506="offer","Offer",IF($L1506="rejected","Rejected",IF($L1506="ignore","Ignore",IF($L1506="archive","Archive",IF($L1506="closed","Closed",IF($B1506="","Unscored",IF(AND($B1506&gt;=8,OR($H1506="",$H1506-TODAY()&lt;=14)),"P1 Apply",IF($B1506&gt;=7,"P2 Strong",IF($B1506&gt;=5,"P3 Maybe","P4 Low")))))))))))</f>
        <v/>
      </c>
      <c r="B1506" s="13" t="n">
        <v>0.43</v>
      </c>
      <c r="C1506" s="12" t="inlineStr">
        <is>
          <t>Junior</t>
        </is>
      </c>
      <c r="D1506" s="8" t="inlineStr">
        <is>
          <t>People Operations Associate</t>
        </is>
      </c>
      <c r="E1506" s="7" t="inlineStr">
        <is>
          <t>Monzo</t>
        </is>
      </c>
      <c r="F1506" s="8" t="inlineStr">
        <is>
          <t>Cardiff, London or Remote (UK)</t>
        </is>
      </c>
      <c r="G1506" s="8" t="n"/>
      <c r="H1506" s="14" t="n"/>
      <c r="I1506" s="15">
        <f>IF($H1506="","",$H1506-TODAY())</f>
        <v/>
      </c>
      <c r="J1506" s="16" t="inlineStr">
        <is>
          <t>Open posting</t>
        </is>
      </c>
      <c r="K1506" s="8" t="inlineStr">
        <is>
          <t>filtered by keyword pre-scan</t>
        </is>
      </c>
      <c r="L1506" s="17" t="inlineStr">
        <is>
          <t>new</t>
        </is>
      </c>
      <c r="M1506" s="18" t="inlineStr"/>
      <c r="N1506" s="7" t="inlineStr">
        <is>
          <t>811e4a7d495d2416cbd2ae74a8cb17db2731043b</t>
        </is>
      </c>
      <c r="O1506" s="14" t="n">
        <v>46198</v>
      </c>
      <c r="P1506" s="7" t="inlineStr">
        <is>
          <t>greenhouse:monzo</t>
        </is>
      </c>
      <c r="Q1506" s="8" t="inlineStr">
        <is>
          <t>c</t>
        </is>
      </c>
      <c r="R1506" s="8" t="n"/>
      <c r="S1506" s="19" t="n"/>
      <c r="T1506" s="19" t="n"/>
      <c r="U1506" s="14" t="n">
        <v>46198</v>
      </c>
      <c r="V1506" s="7" t="inlineStr">
        <is>
          <t>v2-cv-accuracy-13b988b18da8ea7d</t>
        </is>
      </c>
    </row>
    <row r="1507" ht="28" customHeight="1">
      <c r="A1507" s="12">
        <f>IF($L1507="applied","Applied",IF($L1507="interview","Interview",IF($L1507="offer","Offer",IF($L1507="rejected","Rejected",IF($L1507="ignore","Ignore",IF($L1507="archive","Archive",IF($L1507="closed","Closed",IF($B1507="","Unscored",IF(AND($B1507&gt;=8,OR($H1507="",$H1507-TODAY()&lt;=14)),"P1 Apply",IF($B1507&gt;=7,"P2 Strong",IF($B1507&gt;=5,"P3 Maybe","P4 Low")))))))))))</f>
        <v/>
      </c>
      <c r="B1507" s="13" t="n">
        <v>0.43</v>
      </c>
      <c r="C1507" s="12" t="inlineStr">
        <is>
          <t>Senior/Lead</t>
        </is>
      </c>
      <c r="D1507" s="8" t="inlineStr">
        <is>
          <t>Service Analyst, Workforce Management</t>
        </is>
      </c>
      <c r="E1507" s="7" t="inlineStr">
        <is>
          <t>Monzo</t>
        </is>
      </c>
      <c r="F1507" s="8" t="inlineStr">
        <is>
          <t>Cardiff, London or Remote (UK)</t>
        </is>
      </c>
      <c r="G1507" s="8" t="n"/>
      <c r="H1507" s="14" t="n"/>
      <c r="I1507" s="15">
        <f>IF($H1507="","",$H1507-TODAY())</f>
        <v/>
      </c>
      <c r="J1507" s="16" t="inlineStr">
        <is>
          <t>Open posting</t>
        </is>
      </c>
      <c r="K1507" s="8" t="inlineStr">
        <is>
          <t>filtered by keyword pre-scan</t>
        </is>
      </c>
      <c r="L1507" s="17" t="inlineStr">
        <is>
          <t>new</t>
        </is>
      </c>
      <c r="M1507" s="18" t="inlineStr"/>
      <c r="N1507" s="7" t="inlineStr">
        <is>
          <t>608e9f7e0ff0af3e07c775eede2dbf76a37d674d</t>
        </is>
      </c>
      <c r="O1507" s="14" t="n">
        <v>46198</v>
      </c>
      <c r="P1507" s="7" t="inlineStr">
        <is>
          <t>greenhouse:monzo</t>
        </is>
      </c>
      <c r="Q1507" s="8" t="inlineStr">
        <is>
          <t>c</t>
        </is>
      </c>
      <c r="R1507" s="8" t="n"/>
      <c r="S1507" s="19" t="n"/>
      <c r="T1507" s="19" t="n"/>
      <c r="U1507" s="14" t="n">
        <v>46198</v>
      </c>
      <c r="V1507" s="7" t="inlineStr">
        <is>
          <t>v2-cv-accuracy-13b988b18da8ea7d</t>
        </is>
      </c>
    </row>
    <row r="1508" ht="28" customHeight="1">
      <c r="A1508" s="12">
        <f>IF($L1508="applied","Applied",IF($L1508="interview","Interview",IF($L1508="offer","Offer",IF($L1508="rejected","Rejected",IF($L1508="ignore","Ignore",IF($L1508="archive","Archive",IF($L1508="closed","Closed",IF($B1508="","Unscored",IF(AND($B1508&gt;=8,OR($H1508="",$H1508-TODAY()&lt;=14)),"P1 Apply",IF($B1508&gt;=7,"P2 Strong",IF($B1508&gt;=5,"P3 Maybe","P4 Low")))))))))))</f>
        <v/>
      </c>
      <c r="B1508" s="13" t="n">
        <v>0.43</v>
      </c>
      <c r="C1508" s="12" t="inlineStr">
        <is>
          <t>Senior/Lead</t>
        </is>
      </c>
      <c r="D1508" s="8" t="inlineStr">
        <is>
          <t>Analytics Engineer</t>
        </is>
      </c>
      <c r="E1508" s="7" t="inlineStr">
        <is>
          <t>Monzo</t>
        </is>
      </c>
      <c r="F1508" s="8" t="inlineStr">
        <is>
          <t>London</t>
        </is>
      </c>
      <c r="G1508" s="8" t="n"/>
      <c r="H1508" s="14" t="n"/>
      <c r="I1508" s="15">
        <f>IF($H1508="","",$H1508-TODAY())</f>
        <v/>
      </c>
      <c r="J1508" s="16" t="inlineStr">
        <is>
          <t>Open posting</t>
        </is>
      </c>
      <c r="K1508" s="8" t="inlineStr">
        <is>
          <t>filtered by keyword pre-scan</t>
        </is>
      </c>
      <c r="L1508" s="17" t="inlineStr">
        <is>
          <t>new</t>
        </is>
      </c>
      <c r="M1508" s="18" t="inlineStr"/>
      <c r="N1508" s="7" t="inlineStr">
        <is>
          <t>c561f0c865383a8cfd11a5dff3e95b420cd7bd75</t>
        </is>
      </c>
      <c r="O1508" s="14" t="n">
        <v>46197</v>
      </c>
      <c r="P1508" s="7" t="inlineStr">
        <is>
          <t>greenhouse:monzo</t>
        </is>
      </c>
      <c r="Q1508" s="8" t="inlineStr">
        <is>
          <t>c</t>
        </is>
      </c>
      <c r="R1508" s="8" t="n"/>
      <c r="S1508" s="19" t="n"/>
      <c r="T1508" s="19" t="n"/>
      <c r="U1508" s="14" t="n">
        <v>46197</v>
      </c>
      <c r="V1508" s="7" t="inlineStr">
        <is>
          <t>v2-cv-accuracy-13b988b18da8ea7d</t>
        </is>
      </c>
    </row>
    <row r="1509" ht="28" customHeight="1">
      <c r="A1509" s="12">
        <f>IF($L1509="applied","Applied",IF($L1509="interview","Interview",IF($L1509="offer","Offer",IF($L1509="rejected","Rejected",IF($L1509="ignore","Ignore",IF($L1509="archive","Archive",IF($L1509="closed","Closed",IF($B1509="","Unscored",IF(AND($B1509&gt;=8,OR($H1509="",$H1509-TODAY()&lt;=14)),"P1 Apply",IF($B1509&gt;=7,"P2 Strong",IF($B1509&gt;=5,"P3 Maybe","P4 Low")))))))))))</f>
        <v/>
      </c>
      <c r="B1509" s="13" t="n">
        <v>0.43</v>
      </c>
      <c r="C1509" s="12" t="inlineStr">
        <is>
          <t>Graduate/Entry</t>
        </is>
      </c>
      <c r="D1509" s="8" t="inlineStr">
        <is>
          <t>2026 Graduate Software Engineer - Triton</t>
        </is>
      </c>
      <c r="E1509" s="7" t="inlineStr">
        <is>
          <t>Graphcore</t>
        </is>
      </c>
      <c r="F1509" s="8" t="inlineStr">
        <is>
          <t>Bristol, UK</t>
        </is>
      </c>
      <c r="G1509" s="8" t="n"/>
      <c r="H1509" s="14" t="n"/>
      <c r="I1509" s="15">
        <f>IF($H1509="","",$H1509-TODAY())</f>
        <v/>
      </c>
      <c r="J1509" s="16" t="inlineStr">
        <is>
          <t>Open posting</t>
        </is>
      </c>
      <c r="K1509" s="8" t="inlineStr">
        <is>
          <t>filtered by keyword pre-scan</t>
        </is>
      </c>
      <c r="L1509" s="17" t="inlineStr">
        <is>
          <t>new</t>
        </is>
      </c>
      <c r="M1509" s="18" t="inlineStr"/>
      <c r="N1509" s="7" t="inlineStr">
        <is>
          <t>ee21fe3eec6dbc0828ee2f4c59714b0a1686474b</t>
        </is>
      </c>
      <c r="O1509" s="14" t="n">
        <v>46197</v>
      </c>
      <c r="P1509" s="7" t="inlineStr">
        <is>
          <t>greenhouse:graphcore</t>
        </is>
      </c>
      <c r="Q1509" s="8" t="inlineStr">
        <is>
          <t>c</t>
        </is>
      </c>
      <c r="R1509" s="8" t="n"/>
      <c r="S1509" s="19" t="n"/>
      <c r="T1509" s="19" t="n"/>
      <c r="U1509" s="14" t="n">
        <v>46197</v>
      </c>
      <c r="V1509" s="7" t="inlineStr">
        <is>
          <t>v2-cv-accuracy-13b988b18da8ea7d</t>
        </is>
      </c>
    </row>
    <row r="1510" ht="28" customHeight="1">
      <c r="A1510" s="12">
        <f>IF($L1510="applied","Applied",IF($L1510="interview","Interview",IF($L1510="offer","Offer",IF($L1510="rejected","Rejected",IF($L1510="ignore","Ignore",IF($L1510="archive","Archive",IF($L1510="closed","Closed",IF($B1510="","Unscored",IF(AND($B1510&gt;=8,OR($H1510="",$H1510-TODAY()&lt;=14)),"P1 Apply",IF($B1510&gt;=7,"P2 Strong",IF($B1510&gt;=5,"P3 Maybe","P4 Low")))))))))))</f>
        <v/>
      </c>
      <c r="B1510" s="13" t="n">
        <v>0.43</v>
      </c>
      <c r="C1510" s="12" t="inlineStr">
        <is>
          <t>Unspecified</t>
        </is>
      </c>
      <c r="D1510" s="8" t="inlineStr">
        <is>
          <t>Infrastructure and MLOps Engineer</t>
        </is>
      </c>
      <c r="E1510" s="7" t="inlineStr">
        <is>
          <t>Graphcore</t>
        </is>
      </c>
      <c r="F1510" s="8" t="inlineStr">
        <is>
          <t>Cambridge, UK</t>
        </is>
      </c>
      <c r="G1510" s="8" t="n"/>
      <c r="H1510" s="14" t="n"/>
      <c r="I1510" s="15">
        <f>IF($H1510="","",$H1510-TODAY())</f>
        <v/>
      </c>
      <c r="J1510" s="16" t="inlineStr">
        <is>
          <t>Open posting</t>
        </is>
      </c>
      <c r="K1510" s="8" t="inlineStr">
        <is>
          <t>filtered by keyword pre-scan</t>
        </is>
      </c>
      <c r="L1510" s="17" t="inlineStr">
        <is>
          <t>new</t>
        </is>
      </c>
      <c r="M1510" s="18" t="inlineStr"/>
      <c r="N1510" s="7" t="inlineStr">
        <is>
          <t>ca1d6572515721d4308e0381615488d49accea27</t>
        </is>
      </c>
      <c r="O1510" s="14" t="n">
        <v>46197</v>
      </c>
      <c r="P1510" s="7" t="inlineStr">
        <is>
          <t>greenhouse:graphcore</t>
        </is>
      </c>
      <c r="Q1510" s="8" t="inlineStr">
        <is>
          <t>c</t>
        </is>
      </c>
      <c r="R1510" s="8" t="n"/>
      <c r="S1510" s="19" t="n"/>
      <c r="T1510" s="19" t="n"/>
      <c r="U1510" s="14" t="n">
        <v>46197</v>
      </c>
      <c r="V1510" s="7" t="inlineStr">
        <is>
          <t>v2-cv-accuracy-13b988b18da8ea7d</t>
        </is>
      </c>
    </row>
    <row r="1511" ht="28" customHeight="1">
      <c r="A1511" s="12">
        <f>IF($L1511="applied","Applied",IF($L1511="interview","Interview",IF($L1511="offer","Offer",IF($L1511="rejected","Rejected",IF($L1511="ignore","Ignore",IF($L1511="archive","Archive",IF($L1511="closed","Closed",IF($B1511="","Unscored",IF(AND($B1511&gt;=8,OR($H1511="",$H1511-TODAY()&lt;=14)),"P1 Apply",IF($B1511&gt;=7,"P2 Strong",IF($B1511&gt;=5,"P3 Maybe","P4 Low")))))))))))</f>
        <v/>
      </c>
      <c r="B1511" s="13" t="n">
        <v>0.43</v>
      </c>
      <c r="C1511" s="12" t="inlineStr">
        <is>
          <t>Unspecified</t>
        </is>
      </c>
      <c r="D1511" s="8" t="inlineStr">
        <is>
          <t>Infrastructure and MLOps Engineer</t>
        </is>
      </c>
      <c r="E1511" s="7" t="inlineStr">
        <is>
          <t>Graphcore</t>
        </is>
      </c>
      <c r="F1511" s="8" t="inlineStr">
        <is>
          <t>London, UK</t>
        </is>
      </c>
      <c r="G1511" s="8" t="n"/>
      <c r="H1511" s="14" t="n"/>
      <c r="I1511" s="15">
        <f>IF($H1511="","",$H1511-TODAY())</f>
        <v/>
      </c>
      <c r="J1511" s="16" t="inlineStr">
        <is>
          <t>Open posting</t>
        </is>
      </c>
      <c r="K1511" s="8" t="inlineStr">
        <is>
          <t>filtered by keyword pre-scan</t>
        </is>
      </c>
      <c r="L1511" s="17" t="inlineStr">
        <is>
          <t>new</t>
        </is>
      </c>
      <c r="M1511" s="18" t="inlineStr"/>
      <c r="N1511" s="7" t="inlineStr">
        <is>
          <t>a05ddc1cb07231109b67f38aa6863465223fdba6</t>
        </is>
      </c>
      <c r="O1511" s="14" t="n">
        <v>46197</v>
      </c>
      <c r="P1511" s="7" t="inlineStr">
        <is>
          <t>greenhouse:graphcore</t>
        </is>
      </c>
      <c r="Q1511" s="8" t="inlineStr">
        <is>
          <t>c</t>
        </is>
      </c>
      <c r="R1511" s="8" t="n"/>
      <c r="S1511" s="19" t="n"/>
      <c r="T1511" s="19" t="n"/>
      <c r="U1511" s="14" t="n">
        <v>46197</v>
      </c>
      <c r="V1511" s="7" t="inlineStr">
        <is>
          <t>v2-cv-accuracy-13b988b18da8ea7d</t>
        </is>
      </c>
    </row>
    <row r="1512" ht="28" customHeight="1">
      <c r="A1512" s="12">
        <f>IF($L1512="applied","Applied",IF($L1512="interview","Interview",IF($L1512="offer","Offer",IF($L1512="rejected","Rejected",IF($L1512="ignore","Ignore",IF($L1512="archive","Archive",IF($L1512="closed","Closed",IF($B1512="","Unscored",IF(AND($B1512&gt;=8,OR($H1512="",$H1512-TODAY()&lt;=14)),"P1 Apply",IF($B1512&gt;=7,"P2 Strong",IF($B1512&gt;=5,"P3 Maybe","P4 Low")))))))))))</f>
        <v/>
      </c>
      <c r="B1512" s="13" t="n">
        <v>0.43</v>
      </c>
      <c r="C1512" s="12" t="inlineStr">
        <is>
          <t>Unspecified</t>
        </is>
      </c>
      <c r="D1512" s="8" t="inlineStr">
        <is>
          <t>Infrastructure and MLOps Engineer</t>
        </is>
      </c>
      <c r="E1512" s="7" t="inlineStr">
        <is>
          <t>Graphcore</t>
        </is>
      </c>
      <c r="F1512" s="8" t="inlineStr">
        <is>
          <t>Gdańsk, Pomeranian Voivodeship, Poland</t>
        </is>
      </c>
      <c r="G1512" s="8" t="n"/>
      <c r="H1512" s="14" t="n"/>
      <c r="I1512" s="15">
        <f>IF($H1512="","",$H1512-TODAY())</f>
        <v/>
      </c>
      <c r="J1512" s="16" t="inlineStr">
        <is>
          <t>Open posting</t>
        </is>
      </c>
      <c r="K1512" s="8" t="inlineStr">
        <is>
          <t>filtered by keyword pre-scan</t>
        </is>
      </c>
      <c r="L1512" s="17" t="inlineStr">
        <is>
          <t>new</t>
        </is>
      </c>
      <c r="M1512" s="18" t="inlineStr"/>
      <c r="N1512" s="7" t="inlineStr">
        <is>
          <t>c682a3a271c8f0a199b0bc04ff7227f061c291c2</t>
        </is>
      </c>
      <c r="O1512" s="14" t="n">
        <v>46197</v>
      </c>
      <c r="P1512" s="7" t="inlineStr">
        <is>
          <t>greenhouse:graphcore</t>
        </is>
      </c>
      <c r="Q1512" s="8" t="inlineStr">
        <is>
          <t>c</t>
        </is>
      </c>
      <c r="R1512" s="8" t="n"/>
      <c r="S1512" s="19" t="n"/>
      <c r="T1512" s="19" t="n"/>
      <c r="U1512" s="14" t="n">
        <v>46197</v>
      </c>
      <c r="V1512" s="7" t="inlineStr">
        <is>
          <t>v2-cv-accuracy-13b988b18da8ea7d</t>
        </is>
      </c>
    </row>
    <row r="1513" ht="28" customHeight="1">
      <c r="A1513" s="12">
        <f>IF($L1513="applied","Applied",IF($L1513="interview","Interview",IF($L1513="offer","Offer",IF($L1513="rejected","Rejected",IF($L1513="ignore","Ignore",IF($L1513="archive","Archive",IF($L1513="closed","Closed",IF($B1513="","Unscored",IF(AND($B1513&gt;=8,OR($H1513="",$H1513-TODAY()&lt;=14)),"P1 Apply",IF($B1513&gt;=7,"P2 Strong",IF($B1513&gt;=5,"P3 Maybe","P4 Low")))))))))))</f>
        <v/>
      </c>
      <c r="B1513" s="13" t="n">
        <v>0.43</v>
      </c>
      <c r="C1513" s="12" t="inlineStr">
        <is>
          <t>Junior</t>
        </is>
      </c>
      <c r="D1513" s="8" t="inlineStr">
        <is>
          <t>Software Engineer</t>
        </is>
      </c>
      <c r="E1513" s="7" t="inlineStr">
        <is>
          <t>Eaton</t>
        </is>
      </c>
      <c r="F1513" s="8" t="inlineStr">
        <is>
          <t>Dorset, England, UK</t>
        </is>
      </c>
      <c r="G1513" s="8" t="n"/>
      <c r="H1513" s="14" t="n"/>
      <c r="I1513" s="15">
        <f>IF($H1513="","",$H1513-TODAY())</f>
        <v/>
      </c>
      <c r="J1513" s="16" t="inlineStr">
        <is>
          <t>Open posting</t>
        </is>
      </c>
      <c r="K1513" s="8" t="inlineStr">
        <is>
          <t>filtered by keyword pre-scan</t>
        </is>
      </c>
      <c r="L1513" s="17" t="inlineStr">
        <is>
          <t>new</t>
        </is>
      </c>
      <c r="M1513" s="18" t="inlineStr"/>
      <c r="N1513" s="7" t="inlineStr">
        <is>
          <t>c08db01b8b42ccebad969de4071b6801add5cdd4</t>
        </is>
      </c>
      <c r="O1513" s="14" t="n"/>
      <c r="P1513" s="7" t="inlineStr">
        <is>
          <t>jobspy</t>
        </is>
      </c>
      <c r="Q1513" s="8" t="inlineStr">
        <is>
          <t>c</t>
        </is>
      </c>
      <c r="R1513" s="8" t="inlineStr">
        <is>
          <t>Graduate Engineer electronics embedded Python Sheffield</t>
        </is>
      </c>
      <c r="S1513" s="19" t="n"/>
      <c r="T1513" s="19" t="n"/>
      <c r="U1513" s="14" t="n">
        <v>46197</v>
      </c>
      <c r="V1513" s="7" t="inlineStr">
        <is>
          <t>v2-cv-accuracy-13b988b18da8ea7d</t>
        </is>
      </c>
    </row>
    <row r="1514" ht="28" customHeight="1">
      <c r="A1514" s="12">
        <f>IF($L1514="applied","Applied",IF($L1514="interview","Interview",IF($L1514="offer","Offer",IF($L1514="rejected","Rejected",IF($L1514="ignore","Ignore",IF($L1514="archive","Archive",IF($L1514="closed","Closed",IF($B1514="","Unscored",IF(AND($B1514&gt;=8,OR($H1514="",$H1514-TODAY()&lt;=14)),"P1 Apply",IF($B1514&gt;=7,"P2 Strong",IF($B1514&gt;=5,"P3 Maybe","P4 Low")))))))))))</f>
        <v/>
      </c>
      <c r="B1514" s="13" t="n">
        <v>0.43</v>
      </c>
      <c r="C1514" s="12" t="inlineStr">
        <is>
          <t>Unspecified</t>
        </is>
      </c>
      <c r="D1514" s="8" t="inlineStr">
        <is>
          <t>Software Engineer - London - Up to £140,000 Starting Base + Exceptional Bonuses/Benefits</t>
        </is>
      </c>
      <c r="E1514" s="7" t="inlineStr">
        <is>
          <t>Hunter Bond</t>
        </is>
      </c>
      <c r="F1514" s="8" t="inlineStr">
        <is>
          <t>London Area, United Kingdom</t>
        </is>
      </c>
      <c r="G1514" s="8" t="n"/>
      <c r="H1514" s="14" t="n"/>
      <c r="I1514" s="15">
        <f>IF($H1514="","",$H1514-TODAY())</f>
        <v/>
      </c>
      <c r="J1514" s="16" t="inlineStr">
        <is>
          <t>Open posting</t>
        </is>
      </c>
      <c r="K1514" s="8" t="inlineStr">
        <is>
          <t>filtered by keyword pre-scan</t>
        </is>
      </c>
      <c r="L1514" s="17" t="inlineStr">
        <is>
          <t>new</t>
        </is>
      </c>
      <c r="M1514" s="18" t="inlineStr"/>
      <c r="N1514" s="7" t="inlineStr">
        <is>
          <t>e9d3e05142a5c91dc6e28d9f1c58c851b7537a87</t>
        </is>
      </c>
      <c r="O1514" s="14" t="n">
        <v>46192</v>
      </c>
      <c r="P1514" s="7" t="inlineStr">
        <is>
          <t>jobspy</t>
        </is>
      </c>
      <c r="Q1514" s="8" t="inlineStr">
        <is>
          <t>c</t>
        </is>
      </c>
      <c r="R1514" s="8" t="inlineStr">
        <is>
          <t>Graduate Software Engineer embedded systems Python</t>
        </is>
      </c>
      <c r="S1514" s="19" t="n"/>
      <c r="T1514" s="19" t="n"/>
      <c r="U1514" s="14" t="n">
        <v>46196</v>
      </c>
      <c r="V1514" s="7" t="inlineStr">
        <is>
          <t>v2-cv-accuracy-13b988b18da8ea7d</t>
        </is>
      </c>
    </row>
    <row r="1515" ht="28" customHeight="1">
      <c r="A1515" s="12">
        <f>IF($L1515="applied","Applied",IF($L1515="interview","Interview",IF($L1515="offer","Offer",IF($L1515="rejected","Rejected",IF($L1515="ignore","Ignore",IF($L1515="archive","Archive",IF($L1515="closed","Closed",IF($B1515="","Unscored",IF(AND($B1515&gt;=8,OR($H1515="",$H1515-TODAY()&lt;=14)),"P1 Apply",IF($B1515&gt;=7,"P2 Strong",IF($B1515&gt;=5,"P3 Maybe","P4 Low")))))))))))</f>
        <v/>
      </c>
      <c r="B1515" s="13" t="n">
        <v>0.43</v>
      </c>
      <c r="C1515" s="12" t="inlineStr">
        <is>
          <t>Senior/Lead</t>
        </is>
      </c>
      <c r="D1515" s="8" t="inlineStr">
        <is>
          <t>People Operations Advisor</t>
        </is>
      </c>
      <c r="E1515" s="7" t="inlineStr">
        <is>
          <t>Graphcore</t>
        </is>
      </c>
      <c r="F1515" s="8" t="inlineStr">
        <is>
          <t>Bengaluru, India</t>
        </is>
      </c>
      <c r="G1515" s="8" t="n"/>
      <c r="H1515" s="14" t="n"/>
      <c r="I1515" s="15">
        <f>IF($H1515="","",$H1515-TODAY())</f>
        <v/>
      </c>
      <c r="J1515" s="16" t="inlineStr">
        <is>
          <t>Open posting</t>
        </is>
      </c>
      <c r="K1515" s="8" t="inlineStr">
        <is>
          <t>filtered by keyword pre-scan</t>
        </is>
      </c>
      <c r="L1515" s="17" t="inlineStr">
        <is>
          <t>new</t>
        </is>
      </c>
      <c r="M1515" s="18" t="inlineStr"/>
      <c r="N1515" s="7" t="inlineStr">
        <is>
          <t>7639ddea27a8833e7e1c40d1929ee279f91ec099</t>
        </is>
      </c>
      <c r="O1515" s="14" t="n">
        <v>46195</v>
      </c>
      <c r="P1515" s="7" t="inlineStr">
        <is>
          <t>greenhouse:graphcore</t>
        </is>
      </c>
      <c r="Q1515" s="8" t="inlineStr">
        <is>
          <t>c</t>
        </is>
      </c>
      <c r="R1515" s="8" t="n"/>
      <c r="S1515" s="19" t="n"/>
      <c r="T1515" s="19" t="n"/>
      <c r="U1515" s="14" t="n">
        <v>46195</v>
      </c>
      <c r="V1515" s="7" t="inlineStr">
        <is>
          <t>v2-cv-accuracy-13b988b18da8ea7d</t>
        </is>
      </c>
    </row>
    <row r="1516" ht="28" customHeight="1">
      <c r="A1516" s="12">
        <f>IF($L1516="applied","Applied",IF($L1516="interview","Interview",IF($L1516="offer","Offer",IF($L1516="rejected","Rejected",IF($L1516="ignore","Ignore",IF($L1516="archive","Archive",IF($L1516="closed","Closed",IF($B1516="","Unscored",IF(AND($B1516&gt;=8,OR($H1516="",$H1516-TODAY()&lt;=14)),"P1 Apply",IF($B1516&gt;=7,"P2 Strong",IF($B1516&gt;=5,"P3 Maybe","P4 Low")))))))))))</f>
        <v/>
      </c>
      <c r="B1516" s="13" t="n">
        <v>0.43</v>
      </c>
      <c r="C1516" s="12" t="inlineStr">
        <is>
          <t>Graduate/Entry</t>
        </is>
      </c>
      <c r="D1516" s="8" t="inlineStr">
        <is>
          <t>Graduate Engineering Roles - 2026</t>
        </is>
      </c>
      <c r="E1516" s="7" t="inlineStr">
        <is>
          <t>Oriole</t>
        </is>
      </c>
      <c r="F1516" s="8" t="inlineStr">
        <is>
          <t>Paignton, England, UK</t>
        </is>
      </c>
      <c r="G1516" s="8" t="n"/>
      <c r="H1516" s="14" t="n"/>
      <c r="I1516" s="15">
        <f>IF($H1516="","",$H1516-TODAY())</f>
        <v/>
      </c>
      <c r="J1516" s="16" t="inlineStr">
        <is>
          <t>Open posting</t>
        </is>
      </c>
      <c r="K1516" s="8" t="inlineStr">
        <is>
          <t>filtered by keyword pre-scan</t>
        </is>
      </c>
      <c r="L1516" s="17" t="inlineStr">
        <is>
          <t>new</t>
        </is>
      </c>
      <c r="M1516" s="18" t="inlineStr"/>
      <c r="N1516" s="7" t="inlineStr">
        <is>
          <t>32a44f6851ddf4dc772a379c90f49bc615805bf7</t>
        </is>
      </c>
      <c r="O1516" s="14" t="n">
        <v>46184</v>
      </c>
      <c r="P1516" s="7" t="inlineStr">
        <is>
          <t>jobspy</t>
        </is>
      </c>
      <c r="Q1516" s="8" t="inlineStr">
        <is>
          <t>c</t>
        </is>
      </c>
      <c r="R1516" s="8" t="inlineStr">
        <is>
          <t>Graduate Software Engineer Python embedded</t>
        </is>
      </c>
      <c r="S1516" s="19" t="n"/>
      <c r="T1516" s="19" t="n"/>
      <c r="U1516" s="14" t="n">
        <v>46195</v>
      </c>
      <c r="V1516" s="7" t="inlineStr">
        <is>
          <t>v2-cv-accuracy-13b988b18da8ea7d</t>
        </is>
      </c>
    </row>
    <row r="1517" ht="28" customHeight="1">
      <c r="A1517" s="12">
        <f>IF($L1517="applied","Applied",IF($L1517="interview","Interview",IF($L1517="offer","Offer",IF($L1517="rejected","Rejected",IF($L1517="ignore","Ignore",IF($L1517="archive","Archive",IF($L1517="closed","Closed",IF($B1517="","Unscored",IF(AND($B1517&gt;=8,OR($H1517="",$H1517-TODAY()&lt;=14)),"P1 Apply",IF($B1517&gt;=7,"P2 Strong",IF($B1517&gt;=5,"P3 Maybe","P4 Low")))))))))))</f>
        <v/>
      </c>
      <c r="B1517" s="13" t="n">
        <v>0.43</v>
      </c>
      <c r="C1517" s="12" t="inlineStr">
        <is>
          <t>Unspecified</t>
        </is>
      </c>
      <c r="D1517" s="8" t="inlineStr">
        <is>
          <t>Java Engineer</t>
        </is>
      </c>
      <c r="E1517" s="7" t="inlineStr">
        <is>
          <t>Harrah's Cherokee Valley River</t>
        </is>
      </c>
      <c r="F1517" s="8" t="inlineStr">
        <is>
          <t>Leeds, England, UK</t>
        </is>
      </c>
      <c r="G1517" s="8" t="n"/>
      <c r="H1517" s="14" t="n"/>
      <c r="I1517" s="15">
        <f>IF($H1517="","",$H1517-TODAY())</f>
        <v/>
      </c>
      <c r="J1517" s="16" t="inlineStr">
        <is>
          <t>Open posting</t>
        </is>
      </c>
      <c r="K1517" s="8" t="inlineStr">
        <is>
          <t>filtered by keyword pre-scan</t>
        </is>
      </c>
      <c r="L1517" s="17" t="inlineStr">
        <is>
          <t>new</t>
        </is>
      </c>
      <c r="M1517" s="18" t="inlineStr"/>
      <c r="N1517" s="7" t="inlineStr">
        <is>
          <t>537577c1495b4b066b4bdc7eac6b3b900d8f7306</t>
        </is>
      </c>
      <c r="O1517" s="14" t="n">
        <v>46193</v>
      </c>
      <c r="P1517" s="7" t="inlineStr">
        <is>
          <t>jobspy</t>
        </is>
      </c>
      <c r="Q1517" s="8" t="inlineStr">
        <is>
          <t>c</t>
        </is>
      </c>
      <c r="R1517" s="8" t="inlineStr">
        <is>
          <t>Junior Python Developer backend SQL Sheffield</t>
        </is>
      </c>
      <c r="S1517" s="19" t="n"/>
      <c r="T1517" s="19" t="n"/>
      <c r="U1517" s="14" t="n">
        <v>46195</v>
      </c>
      <c r="V1517" s="7" t="inlineStr">
        <is>
          <t>v2-cv-accuracy-13b988b18da8ea7d</t>
        </is>
      </c>
    </row>
    <row r="1518" ht="28" customHeight="1">
      <c r="A1518" s="12">
        <f>IF($L1518="applied","Applied",IF($L1518="interview","Interview",IF($L1518="offer","Offer",IF($L1518="rejected","Rejected",IF($L1518="ignore","Ignore",IF($L1518="archive","Archive",IF($L1518="closed","Closed",IF($B1518="","Unscored",IF(AND($B1518&gt;=8,OR($H1518="",$H1518-TODAY()&lt;=14)),"P1 Apply",IF($B1518&gt;=7,"P2 Strong",IF($B1518&gt;=5,"P3 Maybe","P4 Low")))))))))))</f>
        <v/>
      </c>
      <c r="B1518" s="13" t="n">
        <v>0.43</v>
      </c>
      <c r="C1518" s="12" t="inlineStr">
        <is>
          <t>Mid-level</t>
        </is>
      </c>
      <c r="D1518" s="8" t="inlineStr">
        <is>
          <t>Design Verification, Forward Deployed Engineering</t>
        </is>
      </c>
      <c r="E1518" s="7" t="inlineStr">
        <is>
          <t>OpenAI</t>
        </is>
      </c>
      <c r="F1518" s="8" t="inlineStr">
        <is>
          <t>London, England, UK</t>
        </is>
      </c>
      <c r="G1518" s="8" t="n"/>
      <c r="H1518" s="14" t="n"/>
      <c r="I1518" s="15">
        <f>IF($H1518="","",$H1518-TODAY())</f>
        <v/>
      </c>
      <c r="J1518" s="16" t="inlineStr">
        <is>
          <t>Open posting</t>
        </is>
      </c>
      <c r="K1518" s="8" t="inlineStr">
        <is>
          <t>filtered by keyword pre-scan</t>
        </is>
      </c>
      <c r="L1518" s="17" t="inlineStr">
        <is>
          <t>new</t>
        </is>
      </c>
      <c r="M1518" s="18" t="inlineStr"/>
      <c r="N1518" s="7" t="inlineStr">
        <is>
          <t>8b7ad9c3242f844898faac7a912dae3aa6dab0ca</t>
        </is>
      </c>
      <c r="O1518" s="14" t="n">
        <v>46185</v>
      </c>
      <c r="P1518" s="7" t="inlineStr">
        <is>
          <t>jobspy</t>
        </is>
      </c>
      <c r="Q1518" s="8" t="inlineStr">
        <is>
          <t>c</t>
        </is>
      </c>
      <c r="R1518" s="8" t="inlineStr">
        <is>
          <t>Graduate Verification Engineer Verilog digital design</t>
        </is>
      </c>
      <c r="S1518" s="19" t="n"/>
      <c r="T1518" s="19" t="n"/>
      <c r="U1518" s="14" t="n">
        <v>46195</v>
      </c>
      <c r="V1518" s="7" t="inlineStr">
        <is>
          <t>v2-cv-accuracy-13b988b18da8ea7d</t>
        </is>
      </c>
    </row>
    <row r="1519" ht="28" customHeight="1">
      <c r="A1519" s="12">
        <f>IF($L1519="applied","Applied",IF($L1519="interview","Interview",IF($L1519="offer","Offer",IF($L1519="rejected","Rejected",IF($L1519="ignore","Ignore",IF($L1519="archive","Archive",IF($L1519="closed","Closed",IF($B1519="","Unscored",IF(AND($B1519&gt;=8,OR($H1519="",$H1519-TODAY()&lt;=14)),"P1 Apply",IF($B1519&gt;=7,"P2 Strong",IF($B1519&gt;=5,"P3 Maybe","P4 Low")))))))))))</f>
        <v/>
      </c>
      <c r="B1519" s="13" t="n">
        <v>0.43</v>
      </c>
      <c r="C1519" s="12" t="inlineStr">
        <is>
          <t>Unspecified</t>
        </is>
      </c>
      <c r="D1519" s="8" t="inlineStr">
        <is>
          <t>Data Center Cable Install Tech, Slough</t>
        </is>
      </c>
      <c r="E1519" s="7" t="inlineStr">
        <is>
          <t>Amazon Web Services (AWS)</t>
        </is>
      </c>
      <c r="F1519" s="8" t="inlineStr">
        <is>
          <t>London, England, UK</t>
        </is>
      </c>
      <c r="G1519" s="8" t="n"/>
      <c r="H1519" s="14" t="n"/>
      <c r="I1519" s="15">
        <f>IF($H1519="","",$H1519-TODAY())</f>
        <v/>
      </c>
      <c r="J1519" s="16" t="inlineStr">
        <is>
          <t>Open posting</t>
        </is>
      </c>
      <c r="K1519" s="8" t="inlineStr">
        <is>
          <t>filtered by keyword pre-scan</t>
        </is>
      </c>
      <c r="L1519" s="17" t="inlineStr">
        <is>
          <t>new</t>
        </is>
      </c>
      <c r="M1519" s="18" t="inlineStr"/>
      <c r="N1519" s="7" t="inlineStr">
        <is>
          <t>c295bc505496a199eff1b9cffa0f714e17cf87ae</t>
        </is>
      </c>
      <c r="O1519" s="14" t="n">
        <v>46183</v>
      </c>
      <c r="P1519" s="7" t="inlineStr">
        <is>
          <t>jobspy</t>
        </is>
      </c>
      <c r="Q1519" s="8" t="inlineStr">
        <is>
          <t>c</t>
        </is>
      </c>
      <c r="R1519" s="8" t="inlineStr">
        <is>
          <t>Graduate Systems Engineer embedded hardware</t>
        </is>
      </c>
      <c r="S1519" s="19" t="n"/>
      <c r="T1519" s="19" t="n"/>
      <c r="U1519" s="14" t="n">
        <v>46194</v>
      </c>
      <c r="V1519" s="7" t="inlineStr">
        <is>
          <t>v2-cv-accuracy-13b988b18da8ea7d</t>
        </is>
      </c>
    </row>
    <row r="1520" ht="28" customHeight="1">
      <c r="A1520" s="12">
        <f>IF($L1520="applied","Applied",IF($L1520="interview","Interview",IF($L1520="offer","Offer",IF($L1520="rejected","Rejected",IF($L1520="ignore","Ignore",IF($L1520="archive","Archive",IF($L1520="closed","Closed",IF($B1520="","Unscored",IF(AND($B1520&gt;=8,OR($H1520="",$H1520-TODAY()&lt;=14)),"P1 Apply",IF($B1520&gt;=7,"P2 Strong",IF($B1520&gt;=5,"P3 Maybe","P4 Low")))))))))))</f>
        <v/>
      </c>
      <c r="B1520" s="13" t="n">
        <v>0.43</v>
      </c>
      <c r="C1520" s="12" t="inlineStr">
        <is>
          <t>Unspecified</t>
        </is>
      </c>
      <c r="D1520" s="8" t="inlineStr">
        <is>
          <t>React Frontend Developer</t>
        </is>
      </c>
      <c r="E1520" s="7" t="inlineStr">
        <is>
          <t>Hunter Bond</t>
        </is>
      </c>
      <c r="F1520" s="8" t="inlineStr">
        <is>
          <t>London Area, United Kingdom</t>
        </is>
      </c>
      <c r="G1520" s="8" t="n"/>
      <c r="H1520" s="14" t="n"/>
      <c r="I1520" s="15">
        <f>IF($H1520="","",$H1520-TODAY())</f>
        <v/>
      </c>
      <c r="J1520" s="16" t="inlineStr">
        <is>
          <t>Open posting</t>
        </is>
      </c>
      <c r="K1520" s="8" t="inlineStr">
        <is>
          <t>filtered by keyword pre-scan</t>
        </is>
      </c>
      <c r="L1520" s="17" t="inlineStr">
        <is>
          <t>new</t>
        </is>
      </c>
      <c r="M1520" s="18" t="inlineStr"/>
      <c r="N1520" s="7" t="inlineStr">
        <is>
          <t>57d21a60317547dc39594003f06d699ddc234495</t>
        </is>
      </c>
      <c r="O1520" s="14" t="n">
        <v>46188</v>
      </c>
      <c r="P1520" s="7" t="inlineStr">
        <is>
          <t>jobspy</t>
        </is>
      </c>
      <c r="Q1520" s="8" t="inlineStr">
        <is>
          <t>c</t>
        </is>
      </c>
      <c r="R1520" s="8" t="inlineStr">
        <is>
          <t>Junior Full Stack Developer JavaScript Node.js Python</t>
        </is>
      </c>
      <c r="S1520" s="19" t="n"/>
      <c r="T1520" s="19" t="n"/>
      <c r="U1520" s="14" t="n">
        <v>46193</v>
      </c>
      <c r="V1520" s="7" t="inlineStr">
        <is>
          <t>v2-cv-accuracy-13b988b18da8ea7d</t>
        </is>
      </c>
    </row>
    <row r="1521" ht="28" customHeight="1">
      <c r="A1521" s="12">
        <f>IF($L1521="applied","Applied",IF($L1521="interview","Interview",IF($L1521="offer","Offer",IF($L1521="rejected","Rejected",IF($L1521="ignore","Ignore",IF($L1521="archive","Archive",IF($L1521="closed","Closed",IF($B1521="","Unscored",IF(AND($B1521&gt;=8,OR($H1521="",$H1521-TODAY()&lt;=14)),"P1 Apply",IF($B1521&gt;=7,"P2 Strong",IF($B1521&gt;=5,"P3 Maybe","P4 Low")))))))))))</f>
        <v/>
      </c>
      <c r="B1521" s="13" t="n">
        <v>0.43</v>
      </c>
      <c r="C1521" s="12" t="inlineStr">
        <is>
          <t>Unspecified</t>
        </is>
      </c>
      <c r="D1521" s="8" t="inlineStr">
        <is>
          <t>Full Stack Engineer</t>
        </is>
      </c>
      <c r="E1521" s="7" t="inlineStr">
        <is>
          <t>Glot</t>
        </is>
      </c>
      <c r="F1521" s="8" t="inlineStr">
        <is>
          <t>London, England, UK</t>
        </is>
      </c>
      <c r="G1521" s="8" t="n"/>
      <c r="H1521" s="14" t="n"/>
      <c r="I1521" s="15">
        <f>IF($H1521="","",$H1521-TODAY())</f>
        <v/>
      </c>
      <c r="J1521" s="16" t="inlineStr">
        <is>
          <t>Open posting</t>
        </is>
      </c>
      <c r="K1521" s="8" t="inlineStr">
        <is>
          <t>filtered by keyword pre-scan</t>
        </is>
      </c>
      <c r="L1521" s="17" t="inlineStr">
        <is>
          <t>new</t>
        </is>
      </c>
      <c r="M1521" s="18" t="inlineStr"/>
      <c r="N1521" s="7" t="inlineStr">
        <is>
          <t>fc1a4167f5b2cc583b8aada3c3659c326032ac7e</t>
        </is>
      </c>
      <c r="O1521" s="14" t="n"/>
      <c r="P1521" s="7" t="inlineStr">
        <is>
          <t>jobspy</t>
        </is>
      </c>
      <c r="Q1521" s="8" t="inlineStr">
        <is>
          <t>c</t>
        </is>
      </c>
      <c r="R1521" s="8" t="inlineStr">
        <is>
          <t>Junior Full Stack Developer JavaScript Node.js Python</t>
        </is>
      </c>
      <c r="S1521" s="19" t="n"/>
      <c r="T1521" s="19" t="n"/>
      <c r="U1521" s="14" t="n">
        <v>46193</v>
      </c>
      <c r="V1521" s="7" t="inlineStr">
        <is>
          <t>v2-cv-accuracy-13b988b18da8ea7d</t>
        </is>
      </c>
    </row>
    <row r="1522" ht="28" customHeight="1">
      <c r="A1522" s="12">
        <f>IF($L1522="applied","Applied",IF($L1522="interview","Interview",IF($L1522="offer","Offer",IF($L1522="rejected","Rejected",IF($L1522="ignore","Ignore",IF($L1522="archive","Archive",IF($L1522="closed","Closed",IF($B1522="","Unscored",IF(AND($B1522&gt;=8,OR($H1522="",$H1522-TODAY()&lt;=14)),"P1 Apply",IF($B1522&gt;=7,"P2 Strong",IF($B1522&gt;=5,"P3 Maybe","P4 Low")))))))))))</f>
        <v/>
      </c>
      <c r="B1522" s="13" t="n">
        <v>0.43</v>
      </c>
      <c r="C1522" s="12" t="inlineStr">
        <is>
          <t>Unspecified</t>
        </is>
      </c>
      <c r="D1522" s="8" t="inlineStr">
        <is>
          <t>Embedded Software Engineer</t>
        </is>
      </c>
      <c r="E1522" s="7" t="inlineStr">
        <is>
          <t>OnlyCat</t>
        </is>
      </c>
      <c r="F1522" s="8" t="inlineStr">
        <is>
          <t>Cramlington, ENG, GB</t>
        </is>
      </c>
      <c r="G1522" s="8" t="n"/>
      <c r="H1522" s="14" t="n"/>
      <c r="I1522" s="15">
        <f>IF($H1522="","",$H1522-TODAY())</f>
        <v/>
      </c>
      <c r="J1522" s="16" t="inlineStr">
        <is>
          <t>Open posting</t>
        </is>
      </c>
      <c r="K1522" s="8" t="inlineStr">
        <is>
          <t>filtered by keyword pre-scan</t>
        </is>
      </c>
      <c r="L1522" s="17" t="inlineStr">
        <is>
          <t>new</t>
        </is>
      </c>
      <c r="M1522" s="18" t="inlineStr"/>
      <c r="N1522" s="7" t="inlineStr">
        <is>
          <t>05412200222c7daf1e4e6ba8e8007888caa075ea</t>
        </is>
      </c>
      <c r="O1522" s="14" t="n">
        <v>46175</v>
      </c>
      <c r="P1522" s="7" t="inlineStr">
        <is>
          <t>jobspy</t>
        </is>
      </c>
      <c r="Q1522" s="8" t="inlineStr">
        <is>
          <t>c</t>
        </is>
      </c>
      <c r="R1522" s="8" t="inlineStr">
        <is>
          <t>Firmware Engineer Embedded C Microcontroller</t>
        </is>
      </c>
      <c r="S1522" s="19" t="n"/>
      <c r="T1522" s="19" t="n"/>
      <c r="U1522" s="14" t="n">
        <v>46193</v>
      </c>
      <c r="V1522" s="7" t="inlineStr">
        <is>
          <t>v2-cv-accuracy-13b988b18da8ea7d</t>
        </is>
      </c>
    </row>
    <row r="1523" ht="28" customHeight="1">
      <c r="A1523" s="12">
        <f>IF($L1523="applied","Applied",IF($L1523="interview","Interview",IF($L1523="offer","Offer",IF($L1523="rejected","Rejected",IF($L1523="ignore","Ignore",IF($L1523="archive","Archive",IF($L1523="closed","Closed",IF($B1523="","Unscored",IF(AND($B1523&gt;=8,OR($H1523="",$H1523-TODAY()&lt;=14)),"P1 Apply",IF($B1523&gt;=7,"P2 Strong",IF($B1523&gt;=5,"P3 Maybe","P4 Low")))))))))))</f>
        <v/>
      </c>
      <c r="B1523" s="13" t="n">
        <v>0.43</v>
      </c>
      <c r="C1523" s="12" t="inlineStr">
        <is>
          <t>Junior</t>
        </is>
      </c>
      <c r="D1523" s="8" t="inlineStr">
        <is>
          <t>Associate Data Engineer</t>
        </is>
      </c>
      <c r="E1523" s="7" t="inlineStr">
        <is>
          <t>NHS England</t>
        </is>
      </c>
      <c r="F1523" s="8" t="inlineStr">
        <is>
          <t>Leeds, England, UK</t>
        </is>
      </c>
      <c r="G1523" s="8" t="n"/>
      <c r="H1523" s="14" t="n"/>
      <c r="I1523" s="15">
        <f>IF($H1523="","",$H1523-TODAY())</f>
        <v/>
      </c>
      <c r="J1523" s="16" t="inlineStr">
        <is>
          <t>Open posting</t>
        </is>
      </c>
      <c r="K1523" s="8" t="inlineStr">
        <is>
          <t>filtered by keyword pre-scan</t>
        </is>
      </c>
      <c r="L1523" s="17" t="inlineStr">
        <is>
          <t>new</t>
        </is>
      </c>
      <c r="M1523" s="18" t="inlineStr"/>
      <c r="N1523" s="7" t="inlineStr">
        <is>
          <t>33a32a85c484ee2e1971f4ada4b490ff9e86bf51</t>
        </is>
      </c>
      <c r="O1523" s="14" t="n">
        <v>46183</v>
      </c>
      <c r="P1523" s="7" t="inlineStr">
        <is>
          <t>jobspy</t>
        </is>
      </c>
      <c r="Q1523" s="8" t="inlineStr">
        <is>
          <t>c</t>
        </is>
      </c>
      <c r="R1523" s="8" t="inlineStr">
        <is>
          <t>Graduate Computer Engineer Sheffield</t>
        </is>
      </c>
      <c r="S1523" s="19" t="n"/>
      <c r="T1523" s="19" t="n"/>
      <c r="U1523" s="14" t="n">
        <v>46193</v>
      </c>
      <c r="V1523" s="7" t="inlineStr">
        <is>
          <t>v2-cv-accuracy-13b988b18da8ea7d</t>
        </is>
      </c>
    </row>
    <row r="1524" ht="28" customHeight="1">
      <c r="A1524" s="12">
        <f>IF($L1524="applied","Applied",IF($L1524="interview","Interview",IF($L1524="offer","Offer",IF($L1524="rejected","Rejected",IF($L1524="ignore","Ignore",IF($L1524="archive","Archive",IF($L1524="closed","Closed",IF($B1524="","Unscored",IF(AND($B1524&gt;=8,OR($H1524="",$H1524-TODAY()&lt;=14)),"P1 Apply",IF($B1524&gt;=7,"P2 Strong",IF($B1524&gt;=5,"P3 Maybe","P4 Low")))))))))))</f>
        <v/>
      </c>
      <c r="B1524" s="13" t="n">
        <v>0.43</v>
      </c>
      <c r="C1524" s="12" t="inlineStr">
        <is>
          <t>Senior/Lead</t>
        </is>
      </c>
      <c r="D1524" s="8" t="inlineStr">
        <is>
          <t>Manufacturing Engineer - CNC</t>
        </is>
      </c>
      <c r="E1524" s="7" t="inlineStr">
        <is>
          <t>McLaren Automotive Ltd</t>
        </is>
      </c>
      <c r="F1524" s="8" t="inlineStr">
        <is>
          <t>Sheffield, England, UK</t>
        </is>
      </c>
      <c r="G1524" s="8" t="n"/>
      <c r="H1524" s="14" t="n"/>
      <c r="I1524" s="15">
        <f>IF($H1524="","",$H1524-TODAY())</f>
        <v/>
      </c>
      <c r="J1524" s="16" t="inlineStr">
        <is>
          <t>Open posting</t>
        </is>
      </c>
      <c r="K1524" s="8" t="inlineStr">
        <is>
          <t>filtered by keyword pre-scan</t>
        </is>
      </c>
      <c r="L1524" s="17" t="inlineStr">
        <is>
          <t>new</t>
        </is>
      </c>
      <c r="M1524" s="18" t="inlineStr"/>
      <c r="N1524" s="7" t="inlineStr">
        <is>
          <t>8fcf33c2505e5ed1b9e1fd9f98011929658d38cd</t>
        </is>
      </c>
      <c r="O1524" s="14" t="n">
        <v>46169</v>
      </c>
      <c r="P1524" s="7" t="inlineStr">
        <is>
          <t>jobspy</t>
        </is>
      </c>
      <c r="Q1524" s="8" t="inlineStr">
        <is>
          <t>c</t>
        </is>
      </c>
      <c r="R1524" s="8" t="inlineStr">
        <is>
          <t>Graduate Computer Engineer Sheffield</t>
        </is>
      </c>
      <c r="S1524" s="19" t="n"/>
      <c r="T1524" s="19" t="n"/>
      <c r="U1524" s="14" t="n">
        <v>46193</v>
      </c>
      <c r="V1524" s="7" t="inlineStr">
        <is>
          <t>v2-cv-accuracy-13b988b18da8ea7d</t>
        </is>
      </c>
    </row>
    <row r="1525" ht="28" customHeight="1">
      <c r="A1525" s="12">
        <f>IF($L1525="applied","Applied",IF($L1525="interview","Interview",IF($L1525="offer","Offer",IF($L1525="rejected","Rejected",IF($L1525="ignore","Ignore",IF($L1525="archive","Archive",IF($L1525="closed","Closed",IF($B1525="","Unscored",IF(AND($B1525&gt;=8,OR($H1525="",$H1525-TODAY()&lt;=14)),"P1 Apply",IF($B1525&gt;=7,"P2 Strong",IF($B1525&gt;=5,"P3 Maybe","P4 Low")))))))))))</f>
        <v/>
      </c>
      <c r="B1525" s="13" t="n">
        <v>0.43</v>
      </c>
      <c r="C1525" s="12" t="inlineStr">
        <is>
          <t>Senior/Lead</t>
        </is>
      </c>
      <c r="D1525" s="8" t="inlineStr">
        <is>
          <t>System Engineer</t>
        </is>
      </c>
      <c r="E1525" s="7" t="inlineStr">
        <is>
          <t>Haystack</t>
        </is>
      </c>
      <c r="F1525" s="8" t="inlineStr">
        <is>
          <t>Nottingham, England, UK</t>
        </is>
      </c>
      <c r="G1525" s="8" t="n"/>
      <c r="H1525" s="14" t="n"/>
      <c r="I1525" s="15">
        <f>IF($H1525="","",$H1525-TODAY())</f>
        <v/>
      </c>
      <c r="J1525" s="16" t="inlineStr">
        <is>
          <t>Open posting</t>
        </is>
      </c>
      <c r="K1525" s="8" t="inlineStr">
        <is>
          <t>filtered by keyword pre-scan</t>
        </is>
      </c>
      <c r="L1525" s="17" t="inlineStr">
        <is>
          <t>new</t>
        </is>
      </c>
      <c r="M1525" s="18" t="inlineStr"/>
      <c r="N1525" s="7" t="inlineStr">
        <is>
          <t>1b704239b92d87b6f0c810b37e10901519b4a994</t>
        </is>
      </c>
      <c r="O1525" s="14" t="n">
        <v>46187</v>
      </c>
      <c r="P1525" s="7" t="inlineStr">
        <is>
          <t>jobspy</t>
        </is>
      </c>
      <c r="Q1525" s="8" t="inlineStr">
        <is>
          <t>c</t>
        </is>
      </c>
      <c r="R1525" s="8" t="inlineStr">
        <is>
          <t>Graduate Engineer electronics Sheffield remote</t>
        </is>
      </c>
      <c r="S1525" s="19" t="n"/>
      <c r="T1525" s="19" t="n"/>
      <c r="U1525" s="14" t="n">
        <v>46193</v>
      </c>
      <c r="V1525" s="7" t="inlineStr">
        <is>
          <t>v2-cv-accuracy-13b988b18da8ea7d</t>
        </is>
      </c>
    </row>
    <row r="1526" ht="28" customHeight="1">
      <c r="A1526" s="12">
        <f>IF($L1526="applied","Applied",IF($L1526="interview","Interview",IF($L1526="offer","Offer",IF($L1526="rejected","Rejected",IF($L1526="ignore","Ignore",IF($L1526="archive","Archive",IF($L1526="closed","Closed",IF($B1526="","Unscored",IF(AND($B1526&gt;=8,OR($H1526="",$H1526-TODAY()&lt;=14)),"P1 Apply",IF($B1526&gt;=7,"P2 Strong",IF($B1526&gt;=5,"P3 Maybe","P4 Low")))))))))))</f>
        <v/>
      </c>
      <c r="B1526" s="13" t="n">
        <v>0.43</v>
      </c>
      <c r="C1526" s="12" t="inlineStr">
        <is>
          <t>Unspecified</t>
        </is>
      </c>
      <c r="D1526" s="8" t="inlineStr">
        <is>
          <t>Application Engineer - Sheffield</t>
        </is>
      </c>
      <c r="E1526" s="7" t="inlineStr">
        <is>
          <t>IC Resources</t>
        </is>
      </c>
      <c r="F1526" s="8" t="inlineStr">
        <is>
          <t>Sheffield, England, UK</t>
        </is>
      </c>
      <c r="G1526" s="8" t="n"/>
      <c r="H1526" s="14" t="n"/>
      <c r="I1526" s="15">
        <f>IF($H1526="","",$H1526-TODAY())</f>
        <v/>
      </c>
      <c r="J1526" s="16" t="inlineStr">
        <is>
          <t>Open posting</t>
        </is>
      </c>
      <c r="K1526" s="8" t="inlineStr">
        <is>
          <t>filtered by keyword pre-scan</t>
        </is>
      </c>
      <c r="L1526" s="17" t="inlineStr">
        <is>
          <t>new</t>
        </is>
      </c>
      <c r="M1526" s="18" t="inlineStr"/>
      <c r="N1526" s="7" t="inlineStr">
        <is>
          <t>7a1eecc929799b285267d50c4b5fd7a7eaf4a508</t>
        </is>
      </c>
      <c r="O1526" s="14" t="n">
        <v>46168</v>
      </c>
      <c r="P1526" s="7" t="inlineStr">
        <is>
          <t>jobspy</t>
        </is>
      </c>
      <c r="Q1526" s="8" t="inlineStr">
        <is>
          <t>c</t>
        </is>
      </c>
      <c r="R1526" s="8" t="inlineStr">
        <is>
          <t>Graduate Engineer electronics Sheffield remote</t>
        </is>
      </c>
      <c r="S1526" s="19" t="n"/>
      <c r="T1526" s="19" t="n"/>
      <c r="U1526" s="14" t="n">
        <v>46193</v>
      </c>
      <c r="V1526" s="7" t="inlineStr">
        <is>
          <t>v2-cv-accuracy-13b988b18da8ea7d</t>
        </is>
      </c>
    </row>
    <row r="1527" ht="28" customHeight="1">
      <c r="A1527" s="12">
        <f>IF($L1527="applied","Applied",IF($L1527="interview","Interview",IF($L1527="offer","Offer",IF($L1527="rejected","Rejected",IF($L1527="ignore","Ignore",IF($L1527="archive","Archive",IF($L1527="closed","Closed",IF($B1527="","Unscored",IF(AND($B1527&gt;=8,OR($H1527="",$H1527-TODAY()&lt;=14)),"P1 Apply",IF($B1527&gt;=7,"P2 Strong",IF($B1527&gt;=5,"P3 Maybe","P4 Low")))))))))))</f>
        <v/>
      </c>
      <c r="B1527" s="13" t="n">
        <v>0.43</v>
      </c>
      <c r="C1527" s="12" t="inlineStr">
        <is>
          <t>Mid-level</t>
        </is>
      </c>
      <c r="D1527" s="8" t="inlineStr">
        <is>
          <t>Automation Specialist</t>
        </is>
      </c>
      <c r="E1527" s="7" t="inlineStr">
        <is>
          <t>Pertemps Network Group</t>
        </is>
      </c>
      <c r="F1527" s="8" t="inlineStr">
        <is>
          <t>Sheffield, England, UK</t>
        </is>
      </c>
      <c r="G1527" s="8" t="n"/>
      <c r="H1527" s="14" t="n"/>
      <c r="I1527" s="15">
        <f>IF($H1527="","",$H1527-TODAY())</f>
        <v/>
      </c>
      <c r="J1527" s="16" t="inlineStr">
        <is>
          <t>Open posting</t>
        </is>
      </c>
      <c r="K1527" s="8" t="inlineStr">
        <is>
          <t>filtered by keyword pre-scan</t>
        </is>
      </c>
      <c r="L1527" s="17" t="inlineStr">
        <is>
          <t>new</t>
        </is>
      </c>
      <c r="M1527" s="18" t="inlineStr"/>
      <c r="N1527" s="7" t="inlineStr">
        <is>
          <t>f4b10aad5d7db7643d99c06371919f3cc462be65</t>
        </is>
      </c>
      <c r="O1527" s="14" t="n">
        <v>46181</v>
      </c>
      <c r="P1527" s="7" t="inlineStr">
        <is>
          <t>jobspy</t>
        </is>
      </c>
      <c r="Q1527" s="8" t="inlineStr">
        <is>
          <t>c</t>
        </is>
      </c>
      <c r="R1527" s="8" t="inlineStr">
        <is>
          <t>Graduate Hardware Engineer Sheffield</t>
        </is>
      </c>
      <c r="S1527" s="19" t="n"/>
      <c r="T1527" s="19" t="n"/>
      <c r="U1527" s="14" t="n">
        <v>46192</v>
      </c>
      <c r="V1527" s="7" t="inlineStr">
        <is>
          <t>v2-cv-accuracy-13b988b18da8ea7d</t>
        </is>
      </c>
    </row>
    <row r="1528" ht="28" customHeight="1">
      <c r="A1528" s="12">
        <f>IF($L1528="applied","Applied",IF($L1528="interview","Interview",IF($L1528="offer","Offer",IF($L1528="rejected","Rejected",IF($L1528="ignore","Ignore",IF($L1528="archive","Archive",IF($L1528="closed","Closed",IF($B1528="","Unscored",IF(AND($B1528&gt;=8,OR($H1528="",$H1528-TODAY()&lt;=14)),"P1 Apply",IF($B1528&gt;=7,"P2 Strong",IF($B1528&gt;=5,"P3 Maybe","P4 Low")))))))))))</f>
        <v/>
      </c>
      <c r="B1528" s="13" t="n">
        <v>0.43</v>
      </c>
      <c r="C1528" s="12" t="inlineStr">
        <is>
          <t>Mid-level</t>
        </is>
      </c>
      <c r="D1528" s="8" t="inlineStr">
        <is>
          <t>Systems Engineer</t>
        </is>
      </c>
      <c r="E1528" s="7" t="inlineStr">
        <is>
          <t>Ocean Infinity</t>
        </is>
      </c>
      <c r="F1528" s="8" t="inlineStr">
        <is>
          <t>Southampton, England, UK</t>
        </is>
      </c>
      <c r="G1528" s="8" t="n"/>
      <c r="H1528" s="14" t="n"/>
      <c r="I1528" s="15">
        <f>IF($H1528="","",$H1528-TODAY())</f>
        <v/>
      </c>
      <c r="J1528" s="16" t="inlineStr">
        <is>
          <t>Open posting</t>
        </is>
      </c>
      <c r="K1528" s="8" t="inlineStr">
        <is>
          <t>filtered by keyword pre-scan</t>
        </is>
      </c>
      <c r="L1528" s="17" t="inlineStr">
        <is>
          <t>new</t>
        </is>
      </c>
      <c r="M1528" s="18" t="inlineStr"/>
      <c r="N1528" s="7" t="inlineStr">
        <is>
          <t>f2a611431cb404e0fceaee338bb1d7b2bafc7e3d</t>
        </is>
      </c>
      <c r="O1528" s="14" t="n"/>
      <c r="P1528" s="7" t="inlineStr">
        <is>
          <t>jobspy</t>
        </is>
      </c>
      <c r="Q1528" s="8" t="inlineStr">
        <is>
          <t>c</t>
        </is>
      </c>
      <c r="R1528" s="8" t="inlineStr">
        <is>
          <t>Graduate Systems Engineer embedded hardware software</t>
        </is>
      </c>
      <c r="S1528" s="19" t="n"/>
      <c r="T1528" s="19" t="n"/>
      <c r="U1528" s="14" t="n">
        <v>46192</v>
      </c>
      <c r="V1528" s="7" t="inlineStr">
        <is>
          <t>v2-cv-accuracy-13b988b18da8ea7d</t>
        </is>
      </c>
    </row>
    <row r="1529" ht="28" customHeight="1">
      <c r="A1529" s="12">
        <f>IF($L1529="applied","Applied",IF($L1529="interview","Interview",IF($L1529="offer","Offer",IF($L1529="rejected","Rejected",IF($L1529="ignore","Ignore",IF($L1529="archive","Archive",IF($L1529="closed","Closed",IF($B1529="","Unscored",IF(AND($B1529&gt;=8,OR($H1529="",$H1529-TODAY()&lt;=14)),"P1 Apply",IF($B1529&gt;=7,"P2 Strong",IF($B1529&gt;=5,"P3 Maybe","P4 Low")))))))))))</f>
        <v/>
      </c>
      <c r="B1529" s="13" t="n">
        <v>0.43</v>
      </c>
      <c r="C1529" s="12" t="inlineStr">
        <is>
          <t>Junior</t>
        </is>
      </c>
      <c r="D1529" s="8" t="inlineStr">
        <is>
          <t>DE&amp;S Junior Engineer</t>
        </is>
      </c>
      <c r="E1529" s="7" t="inlineStr">
        <is>
          <t>UK Ministry of Defence</t>
        </is>
      </c>
      <c r="F1529" s="8" t="inlineStr">
        <is>
          <t>Portsmouth, England, UK</t>
        </is>
      </c>
      <c r="G1529" s="8" t="n"/>
      <c r="H1529" s="14" t="n"/>
      <c r="I1529" s="15">
        <f>IF($H1529="","",$H1529-TODAY())</f>
        <v/>
      </c>
      <c r="J1529" s="16" t="inlineStr">
        <is>
          <t>Open posting</t>
        </is>
      </c>
      <c r="K1529" s="8" t="inlineStr">
        <is>
          <t>filtered by keyword pre-scan</t>
        </is>
      </c>
      <c r="L1529" s="17" t="inlineStr">
        <is>
          <t>new</t>
        </is>
      </c>
      <c r="M1529" s="18" t="inlineStr"/>
      <c r="N1529" s="7" t="inlineStr">
        <is>
          <t>b7f5c60555384e2d822cae79d6b2e32a9264b2fa</t>
        </is>
      </c>
      <c r="O1529" s="14" t="n">
        <v>46190</v>
      </c>
      <c r="P1529" s="7" t="inlineStr">
        <is>
          <t>jobspy</t>
        </is>
      </c>
      <c r="Q1529" s="8" t="inlineStr">
        <is>
          <t>c</t>
        </is>
      </c>
      <c r="R1529" s="8" t="inlineStr">
        <is>
          <t>Graduate Electronics Engineer remote UK</t>
        </is>
      </c>
      <c r="S1529" s="19" t="n"/>
      <c r="T1529" s="19" t="n"/>
      <c r="U1529" s="14" t="n">
        <v>46192</v>
      </c>
      <c r="V1529" s="7" t="inlineStr">
        <is>
          <t>v2-cv-accuracy-13b988b18da8ea7d</t>
        </is>
      </c>
    </row>
    <row r="1530" ht="28" customHeight="1">
      <c r="A1530" s="12">
        <f>IF($L1530="applied","Applied",IF($L1530="interview","Interview",IF($L1530="offer","Offer",IF($L1530="rejected","Rejected",IF($L1530="ignore","Ignore",IF($L1530="archive","Archive",IF($L1530="closed","Closed",IF($B1530="","Unscored",IF(AND($B1530&gt;=8,OR($H1530="",$H1530-TODAY()&lt;=14)),"P1 Apply",IF($B1530&gt;=7,"P2 Strong",IF($B1530&gt;=5,"P3 Maybe","P4 Low")))))))))))</f>
        <v/>
      </c>
      <c r="B1530" s="13" t="n">
        <v>0.43</v>
      </c>
      <c r="C1530" s="12" t="inlineStr">
        <is>
          <t>Senior/Lead</t>
        </is>
      </c>
      <c r="D1530" s="8" t="inlineStr">
        <is>
          <t>Software Development Engineer III</t>
        </is>
      </c>
      <c r="E1530" s="7" t="inlineStr">
        <is>
          <t>GoCardless</t>
        </is>
      </c>
      <c r="F1530" s="8" t="inlineStr">
        <is>
          <t>London, UK</t>
        </is>
      </c>
      <c r="G1530" s="8" t="n"/>
      <c r="H1530" s="14" t="n"/>
      <c r="I1530" s="15">
        <f>IF($H1530="","",$H1530-TODAY())</f>
        <v/>
      </c>
      <c r="J1530" s="16" t="inlineStr">
        <is>
          <t>Open posting</t>
        </is>
      </c>
      <c r="K1530" s="8" t="inlineStr">
        <is>
          <t>filtered by keyword pre-scan</t>
        </is>
      </c>
      <c r="L1530" s="17" t="inlineStr">
        <is>
          <t>new</t>
        </is>
      </c>
      <c r="M1530" s="18" t="inlineStr"/>
      <c r="N1530" s="7" t="inlineStr">
        <is>
          <t>d58246a8ae5b6f9f4063edcf97814223f0f39757</t>
        </is>
      </c>
      <c r="O1530" s="14" t="n">
        <v>46192</v>
      </c>
      <c r="P1530" s="7" t="inlineStr">
        <is>
          <t>greenhouse:gocardless</t>
        </is>
      </c>
      <c r="Q1530" s="8" t="inlineStr">
        <is>
          <t>c</t>
        </is>
      </c>
      <c r="R1530" s="8" t="n"/>
      <c r="S1530" s="19" t="n"/>
      <c r="T1530" s="19" t="n"/>
      <c r="U1530" s="14" t="n">
        <v>46192</v>
      </c>
      <c r="V1530" s="7" t="inlineStr">
        <is>
          <t>v2-cv-accuracy-13b988b18da8ea7d</t>
        </is>
      </c>
    </row>
    <row r="1531" ht="28" customHeight="1">
      <c r="A1531" s="12">
        <f>IF($L1531="applied","Applied",IF($L1531="interview","Interview",IF($L1531="offer","Offer",IF($L1531="rejected","Rejected",IF($L1531="ignore","Ignore",IF($L1531="archive","Archive",IF($L1531="closed","Closed",IF($B1531="","Unscored",IF(AND($B1531&gt;=8,OR($H1531="",$H1531-TODAY()&lt;=14)),"P1 Apply",IF($B1531&gt;=7,"P2 Strong",IF($B1531&gt;=5,"P3 Maybe","P4 Low")))))))))))</f>
        <v/>
      </c>
      <c r="B1531" s="13" t="n">
        <v>0.43</v>
      </c>
      <c r="C1531" s="12" t="inlineStr">
        <is>
          <t>Graduate/Entry</t>
        </is>
      </c>
      <c r="D1531" s="8" t="inlineStr">
        <is>
          <t>Graduate IT Support Engineer</t>
        </is>
      </c>
      <c r="E1531" s="7" t="inlineStr">
        <is>
          <t>Morgan &amp; Morgan Business and Technology</t>
        </is>
      </c>
      <c r="F1531" s="8" t="inlineStr">
        <is>
          <t>Llanelli, WLS, GB</t>
        </is>
      </c>
      <c r="G1531" s="8" t="n"/>
      <c r="H1531" s="14" t="n"/>
      <c r="I1531" s="15">
        <f>IF($H1531="","",$H1531-TODAY())</f>
        <v/>
      </c>
      <c r="J1531" s="16" t="inlineStr">
        <is>
          <t>Open posting</t>
        </is>
      </c>
      <c r="K1531" s="8" t="inlineStr">
        <is>
          <t>filtered by keyword pre-scan</t>
        </is>
      </c>
      <c r="L1531" s="17" t="inlineStr">
        <is>
          <t>new</t>
        </is>
      </c>
      <c r="M1531" s="18" t="inlineStr"/>
      <c r="N1531" s="7" t="inlineStr">
        <is>
          <t>9a0f991f266cf7350d486ef450ae38cfe01c359f</t>
        </is>
      </c>
      <c r="O1531" s="14" t="n">
        <v>46191</v>
      </c>
      <c r="P1531" s="7" t="inlineStr">
        <is>
          <t>jobspy</t>
        </is>
      </c>
      <c r="Q1531" s="8" t="inlineStr">
        <is>
          <t>c</t>
        </is>
      </c>
      <c r="R1531" s="8" t="inlineStr">
        <is>
          <t>Graduate Systems Engineer hardware software</t>
        </is>
      </c>
      <c r="S1531" s="19" t="n"/>
      <c r="T1531" s="19" t="n"/>
      <c r="U1531" s="14" t="n">
        <v>46192</v>
      </c>
      <c r="V1531" s="7" t="inlineStr">
        <is>
          <t>v2-cv-accuracy-13b988b18da8ea7d</t>
        </is>
      </c>
    </row>
    <row r="1532" ht="28" customHeight="1">
      <c r="A1532" s="12">
        <f>IF($L1532="applied","Applied",IF($L1532="interview","Interview",IF($L1532="offer","Offer",IF($L1532="rejected","Rejected",IF($L1532="ignore","Ignore",IF($L1532="archive","Archive",IF($L1532="closed","Closed",IF($B1532="","Unscored",IF(AND($B1532&gt;=8,OR($H1532="",$H1532-TODAY()&lt;=14)),"P1 Apply",IF($B1532&gt;=7,"P2 Strong",IF($B1532&gt;=5,"P3 Maybe","P4 Low")))))))))))</f>
        <v/>
      </c>
      <c r="B1532" s="13" t="n">
        <v>0.43</v>
      </c>
      <c r="C1532" s="12" t="inlineStr">
        <is>
          <t>Junior</t>
        </is>
      </c>
      <c r="D1532" s="8" t="inlineStr">
        <is>
          <t>Associate Business Analyst</t>
        </is>
      </c>
      <c r="E1532" s="7" t="inlineStr">
        <is>
          <t>NurseryCam Ltd</t>
        </is>
      </c>
      <c r="F1532" s="8" t="inlineStr">
        <is>
          <t>Guildford, ENG, GB</t>
        </is>
      </c>
      <c r="G1532" s="8" t="n"/>
      <c r="H1532" s="14" t="n"/>
      <c r="I1532" s="15">
        <f>IF($H1532="","",$H1532-TODAY())</f>
        <v/>
      </c>
      <c r="J1532" s="16" t="inlineStr">
        <is>
          <t>Open posting</t>
        </is>
      </c>
      <c r="K1532" s="8" t="inlineStr">
        <is>
          <t>filtered by keyword pre-scan</t>
        </is>
      </c>
      <c r="L1532" s="17" t="inlineStr">
        <is>
          <t>new</t>
        </is>
      </c>
      <c r="M1532" s="18" t="inlineStr"/>
      <c r="N1532" s="7" t="inlineStr">
        <is>
          <t>9be6e38f817b31b677c00679f9648cf2fc49247e</t>
        </is>
      </c>
      <c r="O1532" s="14" t="n">
        <v>46188</v>
      </c>
      <c r="P1532" s="7" t="inlineStr">
        <is>
          <t>jobspy</t>
        </is>
      </c>
      <c r="Q1532" s="8" t="inlineStr">
        <is>
          <t>c</t>
        </is>
      </c>
      <c r="R1532" s="8" t="inlineStr">
        <is>
          <t>Graduate Systems Engineer hardware software</t>
        </is>
      </c>
      <c r="S1532" s="19" t="n"/>
      <c r="T1532" s="19" t="n"/>
      <c r="U1532" s="14" t="n">
        <v>46192</v>
      </c>
      <c r="V1532" s="7" t="inlineStr">
        <is>
          <t>v2-cv-accuracy-13b988b18da8ea7d</t>
        </is>
      </c>
    </row>
    <row r="1533" ht="28" customHeight="1">
      <c r="A1533" s="12">
        <f>IF($L1533="applied","Applied",IF($L1533="interview","Interview",IF($L1533="offer","Offer",IF($L1533="rejected","Rejected",IF($L1533="ignore","Ignore",IF($L1533="archive","Archive",IF($L1533="closed","Closed",IF($B1533="","Unscored",IF(AND($B1533&gt;=8,OR($H1533="",$H1533-TODAY()&lt;=14)),"P1 Apply",IF($B1533&gt;=7,"P2 Strong",IF($B1533&gt;=5,"P3 Maybe","P4 Low")))))))))))</f>
        <v/>
      </c>
      <c r="B1533" s="13" t="n">
        <v>0.43</v>
      </c>
      <c r="C1533" s="12" t="inlineStr">
        <is>
          <t>Unspecified</t>
        </is>
      </c>
      <c r="D1533" s="8" t="inlineStr">
        <is>
          <t>IT 2nd Line Support Engineer</t>
        </is>
      </c>
      <c r="E1533" s="7" t="inlineStr">
        <is>
          <t>Lockheed Martin</t>
        </is>
      </c>
      <c r="F1533" s="8" t="inlineStr">
        <is>
          <t>Ampthill, ENG, GB</t>
        </is>
      </c>
      <c r="G1533" s="8" t="n"/>
      <c r="H1533" s="14" t="n"/>
      <c r="I1533" s="15">
        <f>IF($H1533="","",$H1533-TODAY())</f>
        <v/>
      </c>
      <c r="J1533" s="16" t="inlineStr">
        <is>
          <t>Open posting</t>
        </is>
      </c>
      <c r="K1533" s="8" t="inlineStr">
        <is>
          <t>filtered by keyword pre-scan</t>
        </is>
      </c>
      <c r="L1533" s="17" t="inlineStr">
        <is>
          <t>new</t>
        </is>
      </c>
      <c r="M1533" s="18" t="inlineStr"/>
      <c r="N1533" s="7" t="inlineStr">
        <is>
          <t>bdbfd3888dce4f514ce728efbee32dfb144d4594</t>
        </is>
      </c>
      <c r="O1533" s="14" t="n">
        <v>46175</v>
      </c>
      <c r="P1533" s="7" t="inlineStr">
        <is>
          <t>jobspy</t>
        </is>
      </c>
      <c r="Q1533" s="8" t="inlineStr">
        <is>
          <t>c</t>
        </is>
      </c>
      <c r="R1533" s="8" t="inlineStr">
        <is>
          <t>Graduate Systems Engineer hardware software</t>
        </is>
      </c>
      <c r="S1533" s="19" t="n"/>
      <c r="T1533" s="19" t="n"/>
      <c r="U1533" s="14" t="n">
        <v>46192</v>
      </c>
      <c r="V1533" s="7" t="inlineStr">
        <is>
          <t>v2-cv-accuracy-13b988b18da8ea7d</t>
        </is>
      </c>
    </row>
    <row r="1534" ht="28" customHeight="1">
      <c r="A1534" s="12">
        <f>IF($L1534="applied","Applied",IF($L1534="interview","Interview",IF($L1534="offer","Offer",IF($L1534="rejected","Rejected",IF($L1534="ignore","Ignore",IF($L1534="archive","Archive",IF($L1534="closed","Closed",IF($B1534="","Unscored",IF(AND($B1534&gt;=8,OR($H1534="",$H1534-TODAY()&lt;=14)),"P1 Apply",IF($B1534&gt;=7,"P2 Strong",IF($B1534&gt;=5,"P3 Maybe","P4 Low")))))))))))</f>
        <v/>
      </c>
      <c r="B1534" s="13" t="n">
        <v>0.43</v>
      </c>
      <c r="C1534" s="12" t="inlineStr">
        <is>
          <t>Senior/Lead</t>
        </is>
      </c>
      <c r="D1534" s="8" t="inlineStr">
        <is>
          <t>RF Payload Engineer</t>
        </is>
      </c>
      <c r="E1534" s="7" t="inlineStr">
        <is>
          <t>Lockheed Martin</t>
        </is>
      </c>
      <c r="F1534" s="8" t="inlineStr">
        <is>
          <t>Newcastle upon Tyne, ENG, GB</t>
        </is>
      </c>
      <c r="G1534" s="8" t="n"/>
      <c r="H1534" s="14" t="n"/>
      <c r="I1534" s="15">
        <f>IF($H1534="","",$H1534-TODAY())</f>
        <v/>
      </c>
      <c r="J1534" s="16" t="inlineStr">
        <is>
          <t>Open posting</t>
        </is>
      </c>
      <c r="K1534" s="8" t="inlineStr">
        <is>
          <t>filtered by keyword pre-scan</t>
        </is>
      </c>
      <c r="L1534" s="17" t="inlineStr">
        <is>
          <t>new</t>
        </is>
      </c>
      <c r="M1534" s="18" t="inlineStr"/>
      <c r="N1534" s="7" t="inlineStr">
        <is>
          <t>e8f4d56a0e1aa7669a818a791dc4a546ffd5a3d0</t>
        </is>
      </c>
      <c r="O1534" s="14" t="n">
        <v>46169</v>
      </c>
      <c r="P1534" s="7" t="inlineStr">
        <is>
          <t>jobspy</t>
        </is>
      </c>
      <c r="Q1534" s="8" t="inlineStr">
        <is>
          <t>c</t>
        </is>
      </c>
      <c r="R1534" s="8" t="inlineStr">
        <is>
          <t>Graduate Systems Engineer hardware software</t>
        </is>
      </c>
      <c r="S1534" s="19" t="n"/>
      <c r="T1534" s="19" t="n"/>
      <c r="U1534" s="14" t="n">
        <v>46192</v>
      </c>
      <c r="V1534" s="7" t="inlineStr">
        <is>
          <t>v2-cv-accuracy-13b988b18da8ea7d</t>
        </is>
      </c>
    </row>
    <row r="1535" ht="28" customHeight="1">
      <c r="A1535" s="12">
        <f>IF($L1535="applied","Applied",IF($L1535="interview","Interview",IF($L1535="offer","Offer",IF($L1535="rejected","Rejected",IF($L1535="ignore","Ignore",IF($L1535="archive","Archive",IF($L1535="closed","Closed",IF($B1535="","Unscored",IF(AND($B1535&gt;=8,OR($H1535="",$H1535-TODAY()&lt;=14)),"P1 Apply",IF($B1535&gt;=7,"P2 Strong",IF($B1535&gt;=5,"P3 Maybe","P4 Low")))))))))))</f>
        <v/>
      </c>
      <c r="B1535" s="13" t="n">
        <v>0.43</v>
      </c>
      <c r="C1535" s="12" t="inlineStr">
        <is>
          <t>Unspecified</t>
        </is>
      </c>
      <c r="D1535" s="8" t="inlineStr">
        <is>
          <t>Cyber Security Engineer</t>
        </is>
      </c>
      <c r="E1535" s="7" t="inlineStr">
        <is>
          <t>Lockheed Martin</t>
        </is>
      </c>
      <c r="F1535" s="8" t="inlineStr">
        <is>
          <t>Newcastle upon Tyne, ENG, GB</t>
        </is>
      </c>
      <c r="G1535" s="8" t="n"/>
      <c r="H1535" s="14" t="n"/>
      <c r="I1535" s="15">
        <f>IF($H1535="","",$H1535-TODAY())</f>
        <v/>
      </c>
      <c r="J1535" s="16" t="inlineStr">
        <is>
          <t>Open posting</t>
        </is>
      </c>
      <c r="K1535" s="8" t="inlineStr">
        <is>
          <t>filtered by keyword pre-scan</t>
        </is>
      </c>
      <c r="L1535" s="17" t="inlineStr">
        <is>
          <t>new</t>
        </is>
      </c>
      <c r="M1535" s="18" t="inlineStr"/>
      <c r="N1535" s="7" t="inlineStr">
        <is>
          <t>129175c4f50d84b653cf0c29d64ec2742d645fe4</t>
        </is>
      </c>
      <c r="O1535" s="14" t="n">
        <v>46169</v>
      </c>
      <c r="P1535" s="7" t="inlineStr">
        <is>
          <t>jobspy</t>
        </is>
      </c>
      <c r="Q1535" s="8" t="inlineStr">
        <is>
          <t>c</t>
        </is>
      </c>
      <c r="R1535" s="8" t="inlineStr">
        <is>
          <t>Graduate Systems Engineer hardware software</t>
        </is>
      </c>
      <c r="S1535" s="19" t="n"/>
      <c r="T1535" s="19" t="n"/>
      <c r="U1535" s="14" t="n">
        <v>46192</v>
      </c>
      <c r="V1535" s="7" t="inlineStr">
        <is>
          <t>v2-cv-accuracy-13b988b18da8ea7d</t>
        </is>
      </c>
    </row>
    <row r="1536" ht="28" customHeight="1">
      <c r="A1536" s="12">
        <f>IF($L1536="applied","Applied",IF($L1536="interview","Interview",IF($L1536="offer","Offer",IF($L1536="rejected","Rejected",IF($L1536="ignore","Ignore",IF($L1536="archive","Archive",IF($L1536="closed","Closed",IF($B1536="","Unscored",IF(AND($B1536&gt;=8,OR($H1536="",$H1536-TODAY()&lt;=14)),"P1 Apply",IF($B1536&gt;=7,"P2 Strong",IF($B1536&gt;=5,"P3 Maybe","P4 Low")))))))))))</f>
        <v/>
      </c>
      <c r="B1536" s="13" t="n">
        <v>0.43</v>
      </c>
      <c r="C1536" s="12" t="inlineStr">
        <is>
          <t>Senior/Lead</t>
        </is>
      </c>
      <c r="D1536" s="8" t="inlineStr">
        <is>
          <t>Spacecraft Platform Engineer</t>
        </is>
      </c>
      <c r="E1536" s="7" t="inlineStr">
        <is>
          <t>Lockheed Martin</t>
        </is>
      </c>
      <c r="F1536" s="8" t="inlineStr">
        <is>
          <t>Newcastle upon Tyne, ENG, GB</t>
        </is>
      </c>
      <c r="G1536" s="8" t="n"/>
      <c r="H1536" s="14" t="n"/>
      <c r="I1536" s="15">
        <f>IF($H1536="","",$H1536-TODAY())</f>
        <v/>
      </c>
      <c r="J1536" s="16" t="inlineStr">
        <is>
          <t>Open posting</t>
        </is>
      </c>
      <c r="K1536" s="8" t="inlineStr">
        <is>
          <t>filtered by keyword pre-scan</t>
        </is>
      </c>
      <c r="L1536" s="17" t="inlineStr">
        <is>
          <t>new</t>
        </is>
      </c>
      <c r="M1536" s="18" t="inlineStr"/>
      <c r="N1536" s="7" t="inlineStr">
        <is>
          <t>58d8fb8929a040efef2b1246cd7c3ecf287081e9</t>
        </is>
      </c>
      <c r="O1536" s="14" t="n">
        <v>46169</v>
      </c>
      <c r="P1536" s="7" t="inlineStr">
        <is>
          <t>jobspy</t>
        </is>
      </c>
      <c r="Q1536" s="8" t="inlineStr">
        <is>
          <t>c</t>
        </is>
      </c>
      <c r="R1536" s="8" t="inlineStr">
        <is>
          <t>Graduate Systems Engineer hardware software</t>
        </is>
      </c>
      <c r="S1536" s="19" t="n"/>
      <c r="T1536" s="19" t="n"/>
      <c r="U1536" s="14" t="n">
        <v>46192</v>
      </c>
      <c r="V1536" s="7" t="inlineStr">
        <is>
          <t>v2-cv-accuracy-13b988b18da8ea7d</t>
        </is>
      </c>
    </row>
    <row r="1537" ht="28" customHeight="1">
      <c r="A1537" s="12">
        <f>IF($L1537="applied","Applied",IF($L1537="interview","Interview",IF($L1537="offer","Offer",IF($L1537="rejected","Rejected",IF($L1537="ignore","Ignore",IF($L1537="archive","Archive",IF($L1537="closed","Closed",IF($B1537="","Unscored",IF(AND($B1537&gt;=8,OR($H1537="",$H1537-TODAY()&lt;=14)),"P1 Apply",IF($B1537&gt;=7,"P2 Strong",IF($B1537&gt;=5,"P3 Maybe","P4 Low")))))))))))</f>
        <v/>
      </c>
      <c r="B1537" s="13" t="n">
        <v>0.43</v>
      </c>
      <c r="C1537" s="12" t="inlineStr">
        <is>
          <t>Mid-level</t>
        </is>
      </c>
      <c r="D1537" s="8" t="inlineStr">
        <is>
          <t>1st Line Support Engineer</t>
        </is>
      </c>
      <c r="E1537" s="7" t="inlineStr">
        <is>
          <t>Gold Group Ltd</t>
        </is>
      </c>
      <c r="F1537" s="8" t="inlineStr">
        <is>
          <t>London, England, UK</t>
        </is>
      </c>
      <c r="G1537" s="8" t="n"/>
      <c r="H1537" s="14" t="n"/>
      <c r="I1537" s="15">
        <f>IF($H1537="","",$H1537-TODAY())</f>
        <v/>
      </c>
      <c r="J1537" s="16" t="inlineStr">
        <is>
          <t>Open posting</t>
        </is>
      </c>
      <c r="K1537" s="8" t="inlineStr">
        <is>
          <t>filtered by keyword pre-scan</t>
        </is>
      </c>
      <c r="L1537" s="17" t="inlineStr">
        <is>
          <t>new</t>
        </is>
      </c>
      <c r="M1537" s="18" t="inlineStr"/>
      <c r="N1537" s="7" t="inlineStr">
        <is>
          <t>e766bd514bea145a97ef295fa0d34ffe79fa7049</t>
        </is>
      </c>
      <c r="O1537" s="14" t="n">
        <v>46191</v>
      </c>
      <c r="P1537" s="7" t="inlineStr">
        <is>
          <t>jobspy</t>
        </is>
      </c>
      <c r="Q1537" s="8" t="inlineStr">
        <is>
          <t>c</t>
        </is>
      </c>
      <c r="R1537" s="8" t="inlineStr">
        <is>
          <t>Graduate Systems Engineer hardware software</t>
        </is>
      </c>
      <c r="S1537" s="19" t="n"/>
      <c r="T1537" s="19" t="n"/>
      <c r="U1537" s="14" t="n">
        <v>46192</v>
      </c>
      <c r="V1537" s="7" t="inlineStr">
        <is>
          <t>v2-cv-accuracy-13b988b18da8ea7d</t>
        </is>
      </c>
    </row>
    <row r="1538" ht="28" customHeight="1">
      <c r="A1538" s="12">
        <f>IF($L1538="applied","Applied",IF($L1538="interview","Interview",IF($L1538="offer","Offer",IF($L1538="rejected","Rejected",IF($L1538="ignore","Ignore",IF($L1538="archive","Archive",IF($L1538="closed","Closed",IF($B1538="","Unscored",IF(AND($B1538&gt;=8,OR($H1538="",$H1538-TODAY()&lt;=14)),"P1 Apply",IF($B1538&gt;=7,"P2 Strong",IF($B1538&gt;=5,"P3 Maybe","P4 Low")))))))))))</f>
        <v/>
      </c>
      <c r="B1538" s="13" t="n">
        <v>0.43</v>
      </c>
      <c r="C1538" s="12" t="inlineStr">
        <is>
          <t>Senior/Lead</t>
        </is>
      </c>
      <c r="D1538" s="8" t="inlineStr">
        <is>
          <t>System Engineering Expert – Chassis Motion Control (Steering Systems)</t>
        </is>
      </c>
      <c r="E1538" s="7" t="inlineStr">
        <is>
          <t>Affluent Technology Limited</t>
        </is>
      </c>
      <c r="F1538" s="8" t="inlineStr">
        <is>
          <t>Coventry, England, UK</t>
        </is>
      </c>
      <c r="G1538" s="8" t="n"/>
      <c r="H1538" s="14" t="n"/>
      <c r="I1538" s="15">
        <f>IF($H1538="","",$H1538-TODAY())</f>
        <v/>
      </c>
      <c r="J1538" s="16" t="inlineStr">
        <is>
          <t>Open posting</t>
        </is>
      </c>
      <c r="K1538" s="8" t="inlineStr">
        <is>
          <t>filtered by keyword pre-scan</t>
        </is>
      </c>
      <c r="L1538" s="17" t="inlineStr">
        <is>
          <t>new</t>
        </is>
      </c>
      <c r="M1538" s="18" t="inlineStr"/>
      <c r="N1538" s="7" t="inlineStr">
        <is>
          <t>5a02f118fdfdb82c67b6c84cf1c4474597ecf1d3</t>
        </is>
      </c>
      <c r="O1538" s="14" t="n">
        <v>46190</v>
      </c>
      <c r="P1538" s="7" t="inlineStr">
        <is>
          <t>jobspy</t>
        </is>
      </c>
      <c r="Q1538" s="8" t="inlineStr">
        <is>
          <t>c</t>
        </is>
      </c>
      <c r="R1538" s="8" t="inlineStr">
        <is>
          <t>Graduate Systems Engineer hardware software</t>
        </is>
      </c>
      <c r="S1538" s="19" t="n"/>
      <c r="T1538" s="19" t="n"/>
      <c r="U1538" s="14" t="n">
        <v>46192</v>
      </c>
      <c r="V1538" s="7" t="inlineStr">
        <is>
          <t>v2-cv-accuracy-13b988b18da8ea7d</t>
        </is>
      </c>
    </row>
    <row r="1539" ht="28" customHeight="1">
      <c r="A1539" s="12">
        <f>IF($L1539="applied","Applied",IF($L1539="interview","Interview",IF($L1539="offer","Offer",IF($L1539="rejected","Rejected",IF($L1539="ignore","Ignore",IF($L1539="archive","Archive",IF($L1539="closed","Closed",IF($B1539="","Unscored",IF(AND($B1539&gt;=8,OR($H1539="",$H1539-TODAY()&lt;=14)),"P1 Apply",IF($B1539&gt;=7,"P2 Strong",IF($B1539&gt;=5,"P3 Maybe","P4 Low")))))))))))</f>
        <v/>
      </c>
      <c r="B1539" s="13" t="n">
        <v>0.43</v>
      </c>
      <c r="C1539" s="12" t="inlineStr">
        <is>
          <t>Mid-level</t>
        </is>
      </c>
      <c r="D1539" s="8" t="inlineStr">
        <is>
          <t>C5ISR SYSTEMS ENGINEER</t>
        </is>
      </c>
      <c r="E1539" s="7" t="inlineStr">
        <is>
          <t>UK Ministry of Defence</t>
        </is>
      </c>
      <c r="F1539" s="8" t="inlineStr">
        <is>
          <t>Hereford, England, UK</t>
        </is>
      </c>
      <c r="G1539" s="8" t="n"/>
      <c r="H1539" s="14" t="n"/>
      <c r="I1539" s="15">
        <f>IF($H1539="","",$H1539-TODAY())</f>
        <v/>
      </c>
      <c r="J1539" s="16" t="inlineStr">
        <is>
          <t>Open posting</t>
        </is>
      </c>
      <c r="K1539" s="8" t="inlineStr">
        <is>
          <t>filtered by keyword pre-scan</t>
        </is>
      </c>
      <c r="L1539" s="17" t="inlineStr">
        <is>
          <t>new</t>
        </is>
      </c>
      <c r="M1539" s="18" t="inlineStr"/>
      <c r="N1539" s="7" t="inlineStr">
        <is>
          <t>c7efc03f9d0528a112d6839cd26104ddc0c8cf0f</t>
        </is>
      </c>
      <c r="O1539" s="14" t="n">
        <v>46177</v>
      </c>
      <c r="P1539" s="7" t="inlineStr">
        <is>
          <t>jobspy</t>
        </is>
      </c>
      <c r="Q1539" s="8" t="inlineStr">
        <is>
          <t>c</t>
        </is>
      </c>
      <c r="R1539" s="8" t="inlineStr">
        <is>
          <t>Graduate Systems Engineer hardware software</t>
        </is>
      </c>
      <c r="S1539" s="19" t="n"/>
      <c r="T1539" s="19" t="n"/>
      <c r="U1539" s="14" t="n">
        <v>46192</v>
      </c>
      <c r="V1539" s="7" t="inlineStr">
        <is>
          <t>v2-cv-accuracy-13b988b18da8ea7d</t>
        </is>
      </c>
    </row>
    <row r="1540" ht="28" customHeight="1">
      <c r="A1540" s="12">
        <f>IF($L1540="applied","Applied",IF($L1540="interview","Interview",IF($L1540="offer","Offer",IF($L1540="rejected","Rejected",IF($L1540="ignore","Ignore",IF($L1540="archive","Archive",IF($L1540="closed","Closed",IF($B1540="","Unscored",IF(AND($B1540&gt;=8,OR($H1540="",$H1540-TODAY()&lt;=14)),"P1 Apply",IF($B1540&gt;=7,"P2 Strong",IF($B1540&gt;=5,"P3 Maybe","P4 Low")))))))))))</f>
        <v/>
      </c>
      <c r="B1540" s="13" t="n">
        <v>0.43</v>
      </c>
      <c r="C1540" s="12" t="inlineStr">
        <is>
          <t>Junior</t>
        </is>
      </c>
      <c r="D1540" s="8" t="inlineStr">
        <is>
          <t>Software Engineer</t>
        </is>
      </c>
      <c r="E1540" s="7" t="inlineStr">
        <is>
          <t>Eaton</t>
        </is>
      </c>
      <c r="F1540" s="8" t="inlineStr">
        <is>
          <t>Wimborne, ENG, GB</t>
        </is>
      </c>
      <c r="G1540" s="8" t="n"/>
      <c r="H1540" s="14" t="n"/>
      <c r="I1540" s="15">
        <f>IF($H1540="","",$H1540-TODAY())</f>
        <v/>
      </c>
      <c r="J1540" s="16" t="inlineStr">
        <is>
          <t>Open posting</t>
        </is>
      </c>
      <c r="K1540" s="8" t="inlineStr">
        <is>
          <t>filtered by keyword pre-scan</t>
        </is>
      </c>
      <c r="L1540" s="17" t="inlineStr">
        <is>
          <t>new</t>
        </is>
      </c>
      <c r="M1540" s="18" t="inlineStr"/>
      <c r="N1540" s="7" t="inlineStr">
        <is>
          <t>d89289cd666c01881173c1884b3491bb89677587</t>
        </is>
      </c>
      <c r="O1540" s="14" t="n">
        <v>46174</v>
      </c>
      <c r="P1540" s="7" t="inlineStr">
        <is>
          <t>jobspy</t>
        </is>
      </c>
      <c r="Q1540" s="8" t="inlineStr">
        <is>
          <t>c</t>
        </is>
      </c>
      <c r="R1540" s="8" t="inlineStr">
        <is>
          <t>Graduate Aerospace Avionics Engineer embedded</t>
        </is>
      </c>
      <c r="S1540" s="19" t="n"/>
      <c r="T1540" s="19" t="n"/>
      <c r="U1540" s="14" t="n">
        <v>46192</v>
      </c>
      <c r="V1540" s="7" t="inlineStr">
        <is>
          <t>v2-cv-accuracy-13b988b18da8ea7d</t>
        </is>
      </c>
    </row>
    <row r="1541" ht="28" customHeight="1">
      <c r="A1541" s="12">
        <f>IF($L1541="applied","Applied",IF($L1541="interview","Interview",IF($L1541="offer","Offer",IF($L1541="rejected","Rejected",IF($L1541="ignore","Ignore",IF($L1541="archive","Archive",IF($L1541="closed","Closed",IF($B1541="","Unscored",IF(AND($B1541&gt;=8,OR($H1541="",$H1541-TODAY()&lt;=14)),"P1 Apply",IF($B1541&gt;=7,"P2 Strong",IF($B1541&gt;=5,"P3 Maybe","P4 Low")))))))))))</f>
        <v/>
      </c>
      <c r="B1541" s="13" t="n">
        <v>0.41</v>
      </c>
      <c r="C1541" s="12" t="inlineStr">
        <is>
          <t>Senior/Lead</t>
        </is>
      </c>
      <c r="D1541" s="8" t="inlineStr">
        <is>
          <t>Machine Learning Platform Engineer</t>
        </is>
      </c>
      <c r="E1541" s="7" t="inlineStr">
        <is>
          <t>Monzo</t>
        </is>
      </c>
      <c r="F1541" s="8" t="inlineStr">
        <is>
          <t>Cardiff, London or Remote (UK); London</t>
        </is>
      </c>
      <c r="G1541" s="8" t="n"/>
      <c r="H1541" s="14" t="n"/>
      <c r="I1541" s="15">
        <f>IF($H1541="","",$H1541-TODAY())</f>
        <v/>
      </c>
      <c r="J1541" s="16" t="inlineStr">
        <is>
          <t>Open posting</t>
        </is>
      </c>
      <c r="K1541" s="8" t="inlineStr">
        <is>
          <t>filtered by keyword pre-scan</t>
        </is>
      </c>
      <c r="L1541" s="17" t="inlineStr">
        <is>
          <t>new</t>
        </is>
      </c>
      <c r="M1541" s="18" t="inlineStr"/>
      <c r="N1541" s="7" t="inlineStr">
        <is>
          <t>7345764ddb388b36a309c96e9eb390c9c141ceb0</t>
        </is>
      </c>
      <c r="O1541" s="14" t="n">
        <v>46191</v>
      </c>
      <c r="P1541" s="7" t="inlineStr">
        <is>
          <t>greenhouse:monzo</t>
        </is>
      </c>
      <c r="Q1541" s="8" t="inlineStr"/>
      <c r="R1541" s="8" t="n"/>
      <c r="S1541" s="19" t="n"/>
      <c r="T1541" s="19" t="n"/>
      <c r="U1541" s="14" t="n">
        <v>46191</v>
      </c>
      <c r="V1541" s="7" t="inlineStr">
        <is>
          <t>v2-cv-accuracy-13b988b18da8ea7d</t>
        </is>
      </c>
    </row>
    <row r="1542" ht="28" customHeight="1">
      <c r="A1542" s="12">
        <f>IF($L1542="applied","Applied",IF($L1542="interview","Interview",IF($L1542="offer","Offer",IF($L1542="rejected","Rejected",IF($L1542="ignore","Ignore",IF($L1542="archive","Archive",IF($L1542="closed","Closed",IF($B1542="","Unscored",IF(AND($B1542&gt;=8,OR($H1542="",$H1542-TODAY()&lt;=14)),"P1 Apply",IF($B1542&gt;=7,"P2 Strong",IF($B1542&gt;=5,"P3 Maybe","P4 Low")))))))))))</f>
        <v/>
      </c>
      <c r="B1542" s="13" t="n">
        <v>0.41</v>
      </c>
      <c r="C1542" s="12" t="inlineStr">
        <is>
          <t>Unspecified</t>
        </is>
      </c>
      <c r="D1542" s="8" t="inlineStr">
        <is>
          <t>Data Center Infrastructure Management (DCIM) Administrator - Infrastructure Operations</t>
        </is>
      </c>
      <c r="E1542" s="7" t="inlineStr">
        <is>
          <t>Cloudflare</t>
        </is>
      </c>
      <c r="F1542" s="8" t="inlineStr">
        <is>
          <t>Hybrid</t>
        </is>
      </c>
      <c r="G1542" s="8" t="n"/>
      <c r="H1542" s="14" t="n"/>
      <c r="I1542" s="15">
        <f>IF($H1542="","",$H1542-TODAY())</f>
        <v/>
      </c>
      <c r="J1542" s="16" t="inlineStr">
        <is>
          <t>Open posting</t>
        </is>
      </c>
      <c r="K1542" s="8" t="inlineStr">
        <is>
          <t>filtered by keyword pre-scan</t>
        </is>
      </c>
      <c r="L1542" s="17" t="inlineStr">
        <is>
          <t>new</t>
        </is>
      </c>
      <c r="M1542" s="18" t="inlineStr"/>
      <c r="N1542" s="7" t="inlineStr">
        <is>
          <t>8a363ba511695134ba81617ce57090c439a1fe3a</t>
        </is>
      </c>
      <c r="O1542" s="14" t="n">
        <v>46175</v>
      </c>
      <c r="P1542" s="7" t="inlineStr">
        <is>
          <t>greenhouse:cloudflare</t>
        </is>
      </c>
      <c r="Q1542" s="8" t="inlineStr"/>
      <c r="R1542" s="8" t="n"/>
      <c r="S1542" s="19" t="n"/>
      <c r="T1542" s="19" t="n"/>
      <c r="U1542" s="14" t="n">
        <v>46191</v>
      </c>
      <c r="V1542" s="7" t="inlineStr">
        <is>
          <t>v2-cv-accuracy-13b988b18da8ea7d</t>
        </is>
      </c>
    </row>
    <row r="1543" ht="28" customHeight="1">
      <c r="A1543" s="12">
        <f>IF($L1543="applied","Applied",IF($L1543="interview","Interview",IF($L1543="offer","Offer",IF($L1543="rejected","Rejected",IF($L1543="ignore","Ignore",IF($L1543="archive","Archive",IF($L1543="closed","Closed",IF($B1543="","Unscored",IF(AND($B1543&gt;=8,OR($H1543="",$H1543-TODAY()&lt;=14)),"P1 Apply",IF($B1543&gt;=7,"P2 Strong",IF($B1543&gt;=5,"P3 Maybe","P4 Low")))))))))))</f>
        <v/>
      </c>
      <c r="B1543" s="13" t="n">
        <v>0.41</v>
      </c>
      <c r="C1543" s="12" t="inlineStr">
        <is>
          <t>Mid-level</t>
        </is>
      </c>
      <c r="D1543" s="8" t="inlineStr">
        <is>
          <t>Solutions Engineer, Benelux</t>
        </is>
      </c>
      <c r="E1543" s="7" t="inlineStr">
        <is>
          <t>Cloudflare</t>
        </is>
      </c>
      <c r="F1543" s="8" t="inlineStr">
        <is>
          <t>Hybrid</t>
        </is>
      </c>
      <c r="G1543" s="8" t="n"/>
      <c r="H1543" s="14" t="n"/>
      <c r="I1543" s="15">
        <f>IF($H1543="","",$H1543-TODAY())</f>
        <v/>
      </c>
      <c r="J1543" s="16" t="inlineStr">
        <is>
          <t>Open posting</t>
        </is>
      </c>
      <c r="K1543" s="8" t="inlineStr">
        <is>
          <t>filtered by keyword pre-scan</t>
        </is>
      </c>
      <c r="L1543" s="17" t="inlineStr">
        <is>
          <t>new</t>
        </is>
      </c>
      <c r="M1543" s="18" t="inlineStr"/>
      <c r="N1543" s="7" t="inlineStr">
        <is>
          <t>f42ae9d25fee5c25ea9ec5c116e1faf58a1b9e51</t>
        </is>
      </c>
      <c r="O1543" s="14" t="n">
        <v>46183</v>
      </c>
      <c r="P1543" s="7" t="inlineStr">
        <is>
          <t>greenhouse:cloudflare</t>
        </is>
      </c>
      <c r="Q1543" s="8" t="inlineStr"/>
      <c r="R1543" s="8" t="n"/>
      <c r="S1543" s="19" t="n"/>
      <c r="T1543" s="19" t="n"/>
      <c r="U1543" s="14" t="n">
        <v>46191</v>
      </c>
      <c r="V1543" s="7" t="inlineStr">
        <is>
          <t>v2-cv-accuracy-13b988b18da8ea7d</t>
        </is>
      </c>
    </row>
    <row r="1544" ht="28" customHeight="1">
      <c r="A1544" s="12">
        <f>IF($L1544="applied","Applied",IF($L1544="interview","Interview",IF($L1544="offer","Offer",IF($L1544="rejected","Rejected",IF($L1544="ignore","Ignore",IF($L1544="archive","Archive",IF($L1544="closed","Closed",IF($B1544="","Unscored",IF(AND($B1544&gt;=8,OR($H1544="",$H1544-TODAY()&lt;=14)),"P1 Apply",IF($B1544&gt;=7,"P2 Strong",IF($B1544&gt;=5,"P3 Maybe","P4 Low")))))))))))</f>
        <v/>
      </c>
      <c r="B1544" s="13" t="n">
        <v>0.41</v>
      </c>
      <c r="C1544" s="12" t="inlineStr">
        <is>
          <t>Senior/Lead</t>
        </is>
      </c>
      <c r="D1544" s="8" t="inlineStr">
        <is>
          <t>Solutions Engineer, Nordics</t>
        </is>
      </c>
      <c r="E1544" s="7" t="inlineStr">
        <is>
          <t>Cloudflare</t>
        </is>
      </c>
      <c r="F1544" s="8" t="inlineStr">
        <is>
          <t>Hybrid</t>
        </is>
      </c>
      <c r="G1544" s="8" t="n"/>
      <c r="H1544" s="14" t="n"/>
      <c r="I1544" s="15">
        <f>IF($H1544="","",$H1544-TODAY())</f>
        <v/>
      </c>
      <c r="J1544" s="16" t="inlineStr">
        <is>
          <t>Open posting</t>
        </is>
      </c>
      <c r="K1544" s="8" t="inlineStr">
        <is>
          <t>filtered by keyword pre-scan</t>
        </is>
      </c>
      <c r="L1544" s="17" t="inlineStr">
        <is>
          <t>new</t>
        </is>
      </c>
      <c r="M1544" s="18" t="inlineStr"/>
      <c r="N1544" s="7" t="inlineStr">
        <is>
          <t>99ddb5baf87f143e503391400b42f490ba496d49</t>
        </is>
      </c>
      <c r="O1544" s="14" t="n">
        <v>46181</v>
      </c>
      <c r="P1544" s="7" t="inlineStr">
        <is>
          <t>greenhouse:cloudflare</t>
        </is>
      </c>
      <c r="Q1544" s="8" t="inlineStr"/>
      <c r="R1544" s="8" t="n"/>
      <c r="S1544" s="19" t="n"/>
      <c r="T1544" s="19" t="n"/>
      <c r="U1544" s="14" t="n">
        <v>46191</v>
      </c>
      <c r="V1544" s="7" t="inlineStr">
        <is>
          <t>v2-cv-accuracy-13b988b18da8ea7d</t>
        </is>
      </c>
    </row>
    <row r="1545" ht="28" customHeight="1">
      <c r="A1545" s="12">
        <f>IF($L1545="applied","Applied",IF($L1545="interview","Interview",IF($L1545="offer","Offer",IF($L1545="rejected","Rejected",IF($L1545="ignore","Ignore",IF($L1545="archive","Archive",IF($L1545="closed","Closed",IF($B1545="","Unscored",IF(AND($B1545&gt;=8,OR($H1545="",$H1545-TODAY()&lt;=14)),"P1 Apply",IF($B1545&gt;=7,"P2 Strong",IF($B1545&gt;=5,"P3 Maybe","P4 Low")))))))))))</f>
        <v/>
      </c>
      <c r="B1545" s="13" t="n">
        <v>0.41</v>
      </c>
      <c r="C1545" s="12" t="inlineStr">
        <is>
          <t>Senior/Lead</t>
        </is>
      </c>
      <c r="D1545" s="8" t="inlineStr">
        <is>
          <t>Business Analyst</t>
        </is>
      </c>
      <c r="E1545" s="7" t="inlineStr">
        <is>
          <t>The Granite Group</t>
        </is>
      </c>
      <c r="F1545" s="8" t="inlineStr">
        <is>
          <t>Liverpool, ENG, GB</t>
        </is>
      </c>
      <c r="G1545" s="8" t="n"/>
      <c r="H1545" s="14" t="n"/>
      <c r="I1545" s="15">
        <f>IF($H1545="","",$H1545-TODAY())</f>
        <v/>
      </c>
      <c r="J1545" s="16" t="inlineStr">
        <is>
          <t>Open posting</t>
        </is>
      </c>
      <c r="K1545" s="8" t="inlineStr">
        <is>
          <t>filtered by keyword pre-scan</t>
        </is>
      </c>
      <c r="L1545" s="17" t="inlineStr">
        <is>
          <t>new</t>
        </is>
      </c>
      <c r="M1545" s="18" t="inlineStr"/>
      <c r="N1545" s="7" t="inlineStr">
        <is>
          <t>6d6cc6f56984a1cc66a61f64d49cfa89c59b3702</t>
        </is>
      </c>
      <c r="O1545" s="14" t="n">
        <v>46188</v>
      </c>
      <c r="P1545" s="7" t="inlineStr">
        <is>
          <t>jobspy</t>
        </is>
      </c>
      <c r="Q1545" s="8" t="inlineStr"/>
      <c r="R1545" s="8" t="inlineStr">
        <is>
          <t>Graduate Software Developer</t>
        </is>
      </c>
      <c r="S1545" s="19" t="n"/>
      <c r="T1545" s="19" t="n"/>
      <c r="U1545" s="14" t="n">
        <v>46191</v>
      </c>
      <c r="V1545" s="7" t="inlineStr">
        <is>
          <t>v2-cv-accuracy-13b988b18da8ea7d</t>
        </is>
      </c>
    </row>
    <row r="1546" ht="28" customHeight="1">
      <c r="A1546" s="12">
        <f>IF($L1546="applied","Applied",IF($L1546="interview","Interview",IF($L1546="offer","Offer",IF($L1546="rejected","Rejected",IF($L1546="ignore","Ignore",IF($L1546="archive","Archive",IF($L1546="closed","Closed",IF($B1546="","Unscored",IF(AND($B1546&gt;=8,OR($H1546="",$H1546-TODAY()&lt;=14)),"P1 Apply",IF($B1546&gt;=7,"P2 Strong",IF($B1546&gt;=5,"P3 Maybe","P4 Low")))))))))))</f>
        <v/>
      </c>
      <c r="B1546" s="13" t="n">
        <v>0.41</v>
      </c>
      <c r="C1546" s="12" t="inlineStr">
        <is>
          <t>Junior</t>
        </is>
      </c>
      <c r="D1546" s="8" t="inlineStr">
        <is>
          <t>Junior Developer</t>
        </is>
      </c>
      <c r="E1546" s="7" t="inlineStr">
        <is>
          <t>Pulsar</t>
        </is>
      </c>
      <c r="F1546" s="8" t="inlineStr">
        <is>
          <t>London Area, United Kingdom</t>
        </is>
      </c>
      <c r="G1546" s="8" t="n"/>
      <c r="H1546" s="14" t="n"/>
      <c r="I1546" s="15">
        <f>IF($H1546="","",$H1546-TODAY())</f>
        <v/>
      </c>
      <c r="J1546" s="16" t="inlineStr">
        <is>
          <t>Open posting</t>
        </is>
      </c>
      <c r="K1546" s="8" t="inlineStr">
        <is>
          <t>filtered by keyword pre-scan</t>
        </is>
      </c>
      <c r="L1546" s="17" t="inlineStr">
        <is>
          <t>new</t>
        </is>
      </c>
      <c r="M1546" s="18" t="inlineStr"/>
      <c r="N1546" s="7" t="inlineStr">
        <is>
          <t>480f03d210af2cf428b4864e4d19871390f15fb2</t>
        </is>
      </c>
      <c r="O1546" s="14" t="n">
        <v>46171</v>
      </c>
      <c r="P1546" s="7" t="inlineStr">
        <is>
          <t>jobspy</t>
        </is>
      </c>
      <c r="Q1546" s="8" t="inlineStr"/>
      <c r="R1546" s="8" t="inlineStr">
        <is>
          <t>junior Graduate Software Developer</t>
        </is>
      </c>
      <c r="S1546" s="19" t="n"/>
      <c r="T1546" s="19" t="n"/>
      <c r="U1546" s="14" t="n">
        <v>46191</v>
      </c>
      <c r="V1546" s="7" t="inlineStr">
        <is>
          <t>v2-cv-accuracy-13b988b18da8ea7d</t>
        </is>
      </c>
    </row>
    <row r="1547" ht="28" customHeight="1">
      <c r="A1547" s="12">
        <f>IF($L1547="applied","Applied",IF($L1547="interview","Interview",IF($L1547="offer","Offer",IF($L1547="rejected","Rejected",IF($L1547="ignore","Ignore",IF($L1547="archive","Archive",IF($L1547="closed","Closed",IF($B1547="","Unscored",IF(AND($B1547&gt;=8,OR($H1547="",$H1547-TODAY()&lt;=14)),"P1 Apply",IF($B1547&gt;=7,"P2 Strong",IF($B1547&gt;=5,"P3 Maybe","P4 Low")))))))))))</f>
        <v/>
      </c>
      <c r="B1547" s="13" t="n">
        <v>0.41</v>
      </c>
      <c r="C1547" s="12" t="inlineStr">
        <is>
          <t>Junior</t>
        </is>
      </c>
      <c r="D1547" s="8" t="inlineStr">
        <is>
          <t>Junior Developer</t>
        </is>
      </c>
      <c r="E1547" s="7" t="inlineStr">
        <is>
          <t>AAA Global</t>
        </is>
      </c>
      <c r="F1547" s="8" t="inlineStr">
        <is>
          <t>London Area, United Kingdom</t>
        </is>
      </c>
      <c r="G1547" s="8" t="n"/>
      <c r="H1547" s="14" t="n"/>
      <c r="I1547" s="15">
        <f>IF($H1547="","",$H1547-TODAY())</f>
        <v/>
      </c>
      <c r="J1547" s="16" t="inlineStr">
        <is>
          <t>Open posting</t>
        </is>
      </c>
      <c r="K1547" s="8" t="inlineStr">
        <is>
          <t>filtered by keyword pre-scan</t>
        </is>
      </c>
      <c r="L1547" s="17" t="inlineStr">
        <is>
          <t>new</t>
        </is>
      </c>
      <c r="M1547" s="18" t="inlineStr"/>
      <c r="N1547" s="7" t="inlineStr">
        <is>
          <t>b2b26951615f018528dc560b38b936714b9db3c8</t>
        </is>
      </c>
      <c r="O1547" s="14" t="n">
        <v>46164</v>
      </c>
      <c r="P1547" s="7" t="inlineStr">
        <is>
          <t>jobspy</t>
        </is>
      </c>
      <c r="Q1547" s="8" t="inlineStr"/>
      <c r="R1547" s="8" t="inlineStr">
        <is>
          <t>junior Graduate Software Developer</t>
        </is>
      </c>
      <c r="S1547" s="19" t="n"/>
      <c r="T1547" s="19" t="n"/>
      <c r="U1547" s="14" t="n">
        <v>46191</v>
      </c>
      <c r="V1547" s="7" t="inlineStr">
        <is>
          <t>v2-cv-accuracy-13b988b18da8ea7d</t>
        </is>
      </c>
    </row>
    <row r="1548" ht="28" customHeight="1">
      <c r="A1548" s="12">
        <f>IF($L1548="applied","Applied",IF($L1548="interview","Interview",IF($L1548="offer","Offer",IF($L1548="rejected","Rejected",IF($L1548="ignore","Ignore",IF($L1548="archive","Archive",IF($L1548="closed","Closed",IF($B1548="","Unscored",IF(AND($B1548&gt;=8,OR($H1548="",$H1548-TODAY()&lt;=14)),"P1 Apply",IF($B1548&gt;=7,"P2 Strong",IF($B1548&gt;=5,"P3 Maybe","P4 Low")))))))))))</f>
        <v/>
      </c>
      <c r="B1548" s="13" t="n">
        <v>0.41</v>
      </c>
      <c r="C1548" s="12" t="inlineStr">
        <is>
          <t>Mid-level</t>
        </is>
      </c>
      <c r="D1548" s="8" t="inlineStr">
        <is>
          <t>Software Engineer - NextGen Academy</t>
        </is>
      </c>
      <c r="E1548" s="7" t="inlineStr">
        <is>
          <t>Rocket Software</t>
        </is>
      </c>
      <c r="F1548" s="8" t="inlineStr">
        <is>
          <t>Newbury, England, UK</t>
        </is>
      </c>
      <c r="G1548" s="8" t="n"/>
      <c r="H1548" s="14" t="n"/>
      <c r="I1548" s="15">
        <f>IF($H1548="","",$H1548-TODAY())</f>
        <v/>
      </c>
      <c r="J1548" s="16" t="inlineStr">
        <is>
          <t>Open posting</t>
        </is>
      </c>
      <c r="K1548" s="8" t="inlineStr">
        <is>
          <t>filtered by keyword pre-scan</t>
        </is>
      </c>
      <c r="L1548" s="17" t="inlineStr">
        <is>
          <t>new</t>
        </is>
      </c>
      <c r="M1548" s="18" t="inlineStr"/>
      <c r="N1548" s="7" t="inlineStr">
        <is>
          <t>3fe6251f768ccfb7cbbe21bd07f7e4cd2ecca041</t>
        </is>
      </c>
      <c r="O1548" s="14" t="n">
        <v>46178</v>
      </c>
      <c r="P1548" s="7" t="inlineStr">
        <is>
          <t>jobspy</t>
        </is>
      </c>
      <c r="Q1548" s="8" t="inlineStr"/>
      <c r="R1548" s="8" t="inlineStr">
        <is>
          <t>entry level Graduate Software Developer</t>
        </is>
      </c>
      <c r="S1548" s="19" t="n"/>
      <c r="T1548" s="19" t="n"/>
      <c r="U1548" s="14" t="n">
        <v>46191</v>
      </c>
      <c r="V1548" s="7" t="inlineStr">
        <is>
          <t>v2-cv-accuracy-13b988b18da8ea7d</t>
        </is>
      </c>
    </row>
    <row r="1549" ht="28" customHeight="1">
      <c r="A1549" s="12">
        <f>IF($L1549="applied","Applied",IF($L1549="interview","Interview",IF($L1549="offer","Offer",IF($L1549="rejected","Rejected",IF($L1549="ignore","Ignore",IF($L1549="archive","Archive",IF($L1549="closed","Closed",IF($B1549="","Unscored",IF(AND($B1549&gt;=8,OR($H1549="",$H1549-TODAY()&lt;=14)),"P1 Apply",IF($B1549&gt;=7,"P2 Strong",IF($B1549&gt;=5,"P3 Maybe","P4 Low")))))))))))</f>
        <v/>
      </c>
      <c r="B1549" s="13" t="n">
        <v>0.41</v>
      </c>
      <c r="C1549" s="12" t="inlineStr">
        <is>
          <t>Unspecified</t>
        </is>
      </c>
      <c r="D1549" s="8" t="inlineStr">
        <is>
          <t>Frontend Engineer - Music</t>
        </is>
      </c>
      <c r="E1549" s="7" t="inlineStr">
        <is>
          <t>Spotify</t>
        </is>
      </c>
      <c r="F1549" s="8" t="inlineStr">
        <is>
          <t>London, England, UK</t>
        </is>
      </c>
      <c r="G1549" s="8" t="n"/>
      <c r="H1549" s="14" t="n"/>
      <c r="I1549" s="15">
        <f>IF($H1549="","",$H1549-TODAY())</f>
        <v/>
      </c>
      <c r="J1549" s="16" t="inlineStr">
        <is>
          <t>Open posting</t>
        </is>
      </c>
      <c r="K1549" s="8" t="inlineStr">
        <is>
          <t>filtered by keyword pre-scan</t>
        </is>
      </c>
      <c r="L1549" s="17" t="inlineStr">
        <is>
          <t>new</t>
        </is>
      </c>
      <c r="M1549" s="18" t="inlineStr"/>
      <c r="N1549" s="7" t="inlineStr">
        <is>
          <t>d26e584bc66a58d2a7ef5d445594a6bc5e5faa37</t>
        </is>
      </c>
      <c r="O1549" s="14" t="n">
        <v>46178</v>
      </c>
      <c r="P1549" s="7" t="inlineStr">
        <is>
          <t>jobspy</t>
        </is>
      </c>
      <c r="Q1549" s="8" t="inlineStr"/>
      <c r="R1549" s="8" t="inlineStr">
        <is>
          <t>Full Stack Developer</t>
        </is>
      </c>
      <c r="S1549" s="19" t="n"/>
      <c r="T1549" s="19" t="n"/>
      <c r="U1549" s="14" t="n">
        <v>46191</v>
      </c>
      <c r="V1549" s="7" t="inlineStr">
        <is>
          <t>v2-cv-accuracy-13b988b18da8ea7d</t>
        </is>
      </c>
    </row>
    <row r="1550" ht="28" customHeight="1">
      <c r="A1550" s="12">
        <f>IF($L1550="applied","Applied",IF($L1550="interview","Interview",IF($L1550="offer","Offer",IF($L1550="rejected","Rejected",IF($L1550="ignore","Ignore",IF($L1550="archive","Archive",IF($L1550="closed","Closed",IF($B1550="","Unscored",IF(AND($B1550&gt;=8,OR($H1550="",$H1550-TODAY()&lt;=14)),"P1 Apply",IF($B1550&gt;=7,"P2 Strong",IF($B1550&gt;=5,"P3 Maybe","P4 Low")))))))))))</f>
        <v/>
      </c>
      <c r="B1550" s="13" t="n">
        <v>0.32</v>
      </c>
      <c r="C1550" s="12" t="inlineStr">
        <is>
          <t>Unspecified</t>
        </is>
      </c>
      <c r="D1550" s="8" t="inlineStr">
        <is>
          <t>Interconnect Design Engineer</t>
        </is>
      </c>
      <c r="E1550" s="7" t="inlineStr">
        <is>
          <t>SiFive</t>
        </is>
      </c>
      <c r="F1550" s="8" t="inlineStr">
        <is>
          <t>4 Locations</t>
        </is>
      </c>
      <c r="G1550" s="8" t="n"/>
      <c r="H1550" s="14" t="n"/>
      <c r="I1550" s="15">
        <f>IF($H1550="","",$H1550-TODAY())</f>
        <v/>
      </c>
      <c r="J1550" s="16" t="inlineStr">
        <is>
          <t>Open posting</t>
        </is>
      </c>
      <c r="K1550" s="8" t="inlineStr">
        <is>
          <t>filtered by keyword pre-scan</t>
        </is>
      </c>
      <c r="L1550" s="17" t="inlineStr">
        <is>
          <t>new</t>
        </is>
      </c>
      <c r="M1550" s="18" t="inlineStr"/>
      <c r="N1550" s="7" t="inlineStr">
        <is>
          <t>bcc573098505a1254f2f83223c5dea4f33995e94</t>
        </is>
      </c>
      <c r="O1550" s="14" t="n"/>
      <c r="P1550" s="7" t="inlineStr">
        <is>
          <t>workday</t>
        </is>
      </c>
      <c r="Q1550" s="8" t="inlineStr">
        <is>
          <t>c</t>
        </is>
      </c>
      <c r="R1550" s="8" t="n"/>
      <c r="S1550" s="19" t="n"/>
      <c r="T1550" s="19" t="n"/>
      <c r="U1550" s="14" t="n">
        <v>46198</v>
      </c>
      <c r="V1550" s="7" t="inlineStr">
        <is>
          <t>v2-cv-accuracy-13b988b18da8ea7d</t>
        </is>
      </c>
    </row>
    <row r="1551" ht="28" customHeight="1">
      <c r="A1551" s="12">
        <f>IF($L1551="applied","Applied",IF($L1551="interview","Interview",IF($L1551="offer","Offer",IF($L1551="rejected","Rejected",IF($L1551="ignore","Ignore",IF($L1551="archive","Archive",IF($L1551="closed","Closed",IF($B1551="","Unscored",IF(AND($B1551&gt;=8,OR($H1551="",$H1551-TODAY()&lt;=14)),"P1 Apply",IF($B1551&gt;=7,"P2 Strong",IF($B1551&gt;=5,"P3 Maybe","P4 Low")))))))))))</f>
        <v/>
      </c>
      <c r="B1551" s="13" t="n">
        <v>0.32</v>
      </c>
      <c r="C1551" s="12" t="inlineStr">
        <is>
          <t>Unspecified</t>
        </is>
      </c>
      <c r="D1551" s="8" t="inlineStr">
        <is>
          <t>E-Commerce Executive</t>
        </is>
      </c>
      <c r="E1551" s="7" t="inlineStr">
        <is>
          <t>Dyson</t>
        </is>
      </c>
      <c r="F1551" s="8" t="inlineStr">
        <is>
          <t>Germany - Cologne Office</t>
        </is>
      </c>
      <c r="G1551" s="8" t="n"/>
      <c r="H1551" s="14" t="n"/>
      <c r="I1551" s="15">
        <f>IF($H1551="","",$H1551-TODAY())</f>
        <v/>
      </c>
      <c r="J1551" s="16" t="inlineStr">
        <is>
          <t>Open posting</t>
        </is>
      </c>
      <c r="K1551" s="8" t="inlineStr">
        <is>
          <t>filtered by keyword pre-scan</t>
        </is>
      </c>
      <c r="L1551" s="17" t="inlineStr">
        <is>
          <t>new</t>
        </is>
      </c>
      <c r="M1551" s="18" t="inlineStr"/>
      <c r="N1551" s="7" t="inlineStr">
        <is>
          <t>67c58dba7ebe74aa6a51eeb10e1ebe2bc4e1ee49</t>
        </is>
      </c>
      <c r="O1551" s="14" t="n"/>
      <c r="P1551" s="7" t="inlineStr">
        <is>
          <t>workday</t>
        </is>
      </c>
      <c r="Q1551" s="8" t="inlineStr">
        <is>
          <t>c</t>
        </is>
      </c>
      <c r="R1551" s="8" t="n"/>
      <c r="S1551" s="19" t="n"/>
      <c r="T1551" s="19" t="n"/>
      <c r="U1551" s="14" t="n">
        <v>46197</v>
      </c>
      <c r="V1551" s="7" t="inlineStr">
        <is>
          <t>v2-cv-accuracy-13b988b18da8ea7d</t>
        </is>
      </c>
    </row>
    <row r="1552" ht="28" customHeight="1">
      <c r="A1552" s="12">
        <f>IF($L1552="applied","Applied",IF($L1552="interview","Interview",IF($L1552="offer","Offer",IF($L1552="rejected","Rejected",IF($L1552="ignore","Ignore",IF($L1552="archive","Archive",IF($L1552="closed","Closed",IF($B1552="","Unscored",IF(AND($B1552&gt;=8,OR($H1552="",$H1552-TODAY()&lt;=14)),"P1 Apply",IF($B1552&gt;=7,"P2 Strong",IF($B1552&gt;=5,"P3 Maybe","P4 Low")))))))))))</f>
        <v/>
      </c>
      <c r="B1552" s="13" t="n">
        <v>0.32</v>
      </c>
      <c r="C1552" s="12" t="inlineStr">
        <is>
          <t>Junior</t>
        </is>
      </c>
      <c r="D1552" s="8" t="inlineStr">
        <is>
          <t>Junior Workshop Technician</t>
        </is>
      </c>
      <c r="E1552" s="7" t="inlineStr">
        <is>
          <t>Dyson</t>
        </is>
      </c>
      <c r="F1552" s="8" t="inlineStr">
        <is>
          <t>Spain - Madrid Workshop</t>
        </is>
      </c>
      <c r="G1552" s="8" t="n"/>
      <c r="H1552" s="14" t="n"/>
      <c r="I1552" s="15">
        <f>IF($H1552="","",$H1552-TODAY())</f>
        <v/>
      </c>
      <c r="J1552" s="16" t="inlineStr">
        <is>
          <t>Open posting</t>
        </is>
      </c>
      <c r="K1552" s="8" t="inlineStr">
        <is>
          <t>filtered by keyword pre-scan</t>
        </is>
      </c>
      <c r="L1552" s="17" t="inlineStr">
        <is>
          <t>new</t>
        </is>
      </c>
      <c r="M1552" s="18" t="inlineStr"/>
      <c r="N1552" s="7" t="inlineStr">
        <is>
          <t>18a0c2903ca56e8fc4c8d517a1a1158f14382a5e</t>
        </is>
      </c>
      <c r="O1552" s="14" t="n"/>
      <c r="P1552" s="7" t="inlineStr">
        <is>
          <t>workday</t>
        </is>
      </c>
      <c r="Q1552" s="8" t="inlineStr">
        <is>
          <t>c</t>
        </is>
      </c>
      <c r="R1552" s="8" t="n"/>
      <c r="S1552" s="19" t="n"/>
      <c r="T1552" s="19" t="n"/>
      <c r="U1552" s="14" t="n">
        <v>46196</v>
      </c>
      <c r="V1552" s="7" t="inlineStr">
        <is>
          <t>v2-cv-accuracy-13b988b18da8ea7d</t>
        </is>
      </c>
    </row>
    <row r="1553" ht="28" customHeight="1">
      <c r="A1553" s="12">
        <f>IF($L1553="applied","Applied",IF($L1553="interview","Interview",IF($L1553="offer","Offer",IF($L1553="rejected","Rejected",IF($L1553="ignore","Ignore",IF($L1553="archive","Archive",IF($L1553="closed","Closed",IF($B1553="","Unscored",IF(AND($B1553&gt;=8,OR($H1553="",$H1553-TODAY()&lt;=14)),"P1 Apply",IF($B1553&gt;=7,"P2 Strong",IF($B1553&gt;=5,"P3 Maybe","P4 Low")))))))))))</f>
        <v/>
      </c>
      <c r="B1553" s="13" t="n">
        <v>0.32</v>
      </c>
      <c r="C1553" s="12" t="inlineStr">
        <is>
          <t>Internship</t>
        </is>
      </c>
      <c r="D1553" s="8" t="inlineStr">
        <is>
          <t>Global Supply Chain Business Operations Intern (Data &amp; AI)</t>
        </is>
      </c>
      <c r="E1553" s="7" t="inlineStr">
        <is>
          <t>Dyson</t>
        </is>
      </c>
      <c r="F1553" s="8" t="inlineStr">
        <is>
          <t>Singapore - Technology Centre</t>
        </is>
      </c>
      <c r="G1553" s="8" t="n"/>
      <c r="H1553" s="14" t="n"/>
      <c r="I1553" s="15">
        <f>IF($H1553="","",$H1553-TODAY())</f>
        <v/>
      </c>
      <c r="J1553" s="16" t="inlineStr">
        <is>
          <t>Open posting</t>
        </is>
      </c>
      <c r="K1553" s="8" t="inlineStr">
        <is>
          <t>filtered by keyword pre-scan</t>
        </is>
      </c>
      <c r="L1553" s="17" t="inlineStr">
        <is>
          <t>new</t>
        </is>
      </c>
      <c r="M1553" s="18" t="inlineStr"/>
      <c r="N1553" s="7" t="inlineStr">
        <is>
          <t>8159f8de8c1ff6bd32e4b385b95293a706a95103</t>
        </is>
      </c>
      <c r="O1553" s="14" t="n"/>
      <c r="P1553" s="7" t="inlineStr">
        <is>
          <t>workday</t>
        </is>
      </c>
      <c r="Q1553" s="8" t="inlineStr">
        <is>
          <t>c</t>
        </is>
      </c>
      <c r="R1553" s="8" t="n"/>
      <c r="S1553" s="19" t="n"/>
      <c r="T1553" s="19" t="n"/>
      <c r="U1553" s="14" t="n">
        <v>46196</v>
      </c>
      <c r="V1553" s="7" t="inlineStr">
        <is>
          <t>v2-cv-accuracy-13b988b18da8ea7d</t>
        </is>
      </c>
    </row>
    <row r="1554" ht="28" customHeight="1">
      <c r="A1554" s="12">
        <f>IF($L1554="applied","Applied",IF($L1554="interview","Interview",IF($L1554="offer","Offer",IF($L1554="rejected","Rejected",IF($L1554="ignore","Ignore",IF($L1554="archive","Archive",IF($L1554="closed","Closed",IF($B1554="","Unscored",IF(AND($B1554&gt;=8,OR($H1554="",$H1554-TODAY()&lt;=14)),"P1 Apply",IF($B1554&gt;=7,"P2 Strong",IF($B1554&gt;=5,"P3 Maybe","P4 Low")))))))))))</f>
        <v/>
      </c>
      <c r="B1554" s="13" t="n">
        <v>0.32</v>
      </c>
      <c r="C1554" s="12" t="inlineStr">
        <is>
          <t>Unspecified</t>
        </is>
      </c>
      <c r="D1554" s="8" t="inlineStr">
        <is>
          <t>Dyson Expert - Harvey Norman Blanchardstown (Part Time)</t>
        </is>
      </c>
      <c r="E1554" s="7" t="inlineStr">
        <is>
          <t>Dyson</t>
        </is>
      </c>
      <c r="F1554" s="8" t="inlineStr">
        <is>
          <t>Ireland - Country Remote</t>
        </is>
      </c>
      <c r="G1554" s="8" t="n"/>
      <c r="H1554" s="14" t="n"/>
      <c r="I1554" s="15">
        <f>IF($H1554="","",$H1554-TODAY())</f>
        <v/>
      </c>
      <c r="J1554" s="16" t="inlineStr">
        <is>
          <t>Open posting</t>
        </is>
      </c>
      <c r="K1554" s="8" t="inlineStr">
        <is>
          <t>filtered by keyword pre-scan</t>
        </is>
      </c>
      <c r="L1554" s="17" t="inlineStr">
        <is>
          <t>new</t>
        </is>
      </c>
      <c r="M1554" s="18" t="inlineStr"/>
      <c r="N1554" s="7" t="inlineStr">
        <is>
          <t>b684e0d4ca5eaa767c80e5bc0ec72633514d0eaf</t>
        </is>
      </c>
      <c r="O1554" s="14" t="n"/>
      <c r="P1554" s="7" t="inlineStr">
        <is>
          <t>workday</t>
        </is>
      </c>
      <c r="Q1554" s="8" t="inlineStr">
        <is>
          <t>c</t>
        </is>
      </c>
      <c r="R1554" s="8" t="n"/>
      <c r="S1554" s="19" t="n"/>
      <c r="T1554" s="19" t="n"/>
      <c r="U1554" s="14" t="n">
        <v>46196</v>
      </c>
      <c r="V1554" s="7" t="inlineStr">
        <is>
          <t>v2-cv-accuracy-13b988b18da8ea7d</t>
        </is>
      </c>
    </row>
    <row r="1555" ht="28" customHeight="1">
      <c r="A1555" s="12">
        <f>IF($L1555="applied","Applied",IF($L1555="interview","Interview",IF($L1555="offer","Offer",IF($L1555="rejected","Rejected",IF($L1555="ignore","Ignore",IF($L1555="archive","Archive",IF($L1555="closed","Closed",IF($B1555="","Unscored",IF(AND($B1555&gt;=8,OR($H1555="",$H1555-TODAY()&lt;=14)),"P1 Apply",IF($B1555&gt;=7,"P2 Strong",IF($B1555&gt;=5,"P3 Maybe","P4 Low")))))))))))</f>
        <v/>
      </c>
      <c r="B1555" s="13" t="n">
        <v>0.32</v>
      </c>
      <c r="C1555" s="12" t="inlineStr">
        <is>
          <t>Graduate/Entry</t>
        </is>
      </c>
      <c r="D1555" s="8" t="inlineStr">
        <is>
          <t>Graduate Technology Engineer</t>
        </is>
      </c>
      <c r="E1555" s="7" t="inlineStr">
        <is>
          <t>Dyson</t>
        </is>
      </c>
      <c r="F1555" s="8" t="inlineStr">
        <is>
          <t>Malaysia - Global Development Campus, Johor Bahru</t>
        </is>
      </c>
      <c r="G1555" s="8" t="n"/>
      <c r="H1555" s="14" t="n"/>
      <c r="I1555" s="15">
        <f>IF($H1555="","",$H1555-TODAY())</f>
        <v/>
      </c>
      <c r="J1555" s="16" t="inlineStr">
        <is>
          <t>Open posting</t>
        </is>
      </c>
      <c r="K1555" s="8" t="inlineStr">
        <is>
          <t>filtered by keyword pre-scan</t>
        </is>
      </c>
      <c r="L1555" s="17" t="inlineStr">
        <is>
          <t>new</t>
        </is>
      </c>
      <c r="M1555" s="18" t="inlineStr"/>
      <c r="N1555" s="7" t="inlineStr">
        <is>
          <t>f0e361a0d040f79882c5f8bc1138fc33e1fd4822</t>
        </is>
      </c>
      <c r="O1555" s="14" t="n"/>
      <c r="P1555" s="7" t="inlineStr">
        <is>
          <t>workday</t>
        </is>
      </c>
      <c r="Q1555" s="8" t="inlineStr">
        <is>
          <t>c</t>
        </is>
      </c>
      <c r="R1555" s="8" t="n"/>
      <c r="S1555" s="19" t="n"/>
      <c r="T1555" s="19" t="n"/>
      <c r="U1555" s="14" t="n">
        <v>46195</v>
      </c>
      <c r="V1555" s="7" t="inlineStr">
        <is>
          <t>v2-cv-accuracy-13b988b18da8ea7d</t>
        </is>
      </c>
    </row>
    <row r="1556" ht="28" customHeight="1">
      <c r="A1556" s="12">
        <f>IF($L1556="applied","Applied",IF($L1556="interview","Interview",IF($L1556="offer","Offer",IF($L1556="rejected","Rejected",IF($L1556="ignore","Ignore",IF($L1556="archive","Archive",IF($L1556="closed","Closed",IF($B1556="","Unscored",IF(AND($B1556&gt;=8,OR($H1556="",$H1556-TODAY()&lt;=14)),"P1 Apply",IF($B1556&gt;=7,"P2 Strong",IF($B1556&gt;=5,"P3 Maybe","P4 Low")))))))))))</f>
        <v/>
      </c>
      <c r="B1556" s="13" t="n">
        <v>0.32</v>
      </c>
      <c r="C1556" s="12" t="inlineStr">
        <is>
          <t>Graduate/Entry</t>
        </is>
      </c>
      <c r="D1556" s="8" t="inlineStr">
        <is>
          <t>Graduate Software Engineer (Newcastle On-site)</t>
        </is>
      </c>
      <c r="E1556" s="7" t="inlineStr">
        <is>
          <t>Understanding Recruitment</t>
        </is>
      </c>
      <c r="F1556" s="8" t="inlineStr">
        <is>
          <t>England, United Kingdom</t>
        </is>
      </c>
      <c r="G1556" s="8" t="n"/>
      <c r="H1556" s="14" t="n"/>
      <c r="I1556" s="15">
        <f>IF($H1556="","",$H1556-TODAY())</f>
        <v/>
      </c>
      <c r="J1556" s="16" t="inlineStr">
        <is>
          <t>Open posting</t>
        </is>
      </c>
      <c r="K1556" s="8" t="inlineStr">
        <is>
          <t>filtered by keyword pre-scan</t>
        </is>
      </c>
      <c r="L1556" s="17" t="inlineStr">
        <is>
          <t>new</t>
        </is>
      </c>
      <c r="M1556" s="18" t="inlineStr"/>
      <c r="N1556" s="7" t="inlineStr">
        <is>
          <t>2330f7a475173d8473919cbba2526c7c2f886627</t>
        </is>
      </c>
      <c r="O1556" s="14" t="n">
        <v>46188</v>
      </c>
      <c r="P1556" s="7" t="inlineStr">
        <is>
          <t>jobspy</t>
        </is>
      </c>
      <c r="Q1556" s="8" t="inlineStr">
        <is>
          <t>c</t>
        </is>
      </c>
      <c r="R1556" s="8" t="inlineStr">
        <is>
          <t>Graduate Software Engineer Python embedded systems</t>
        </is>
      </c>
      <c r="S1556" s="19" t="n"/>
      <c r="T1556" s="19" t="n"/>
      <c r="U1556" s="14" t="n">
        <v>46195</v>
      </c>
      <c r="V1556" s="7" t="inlineStr">
        <is>
          <t>v2-cv-accuracy-13b988b18da8ea7d</t>
        </is>
      </c>
    </row>
    <row r="1557" ht="28" customHeight="1">
      <c r="A1557" s="12">
        <f>IF($L1557="applied","Applied",IF($L1557="interview","Interview",IF($L1557="offer","Offer",IF($L1557="rejected","Rejected",IF($L1557="ignore","Ignore",IF($L1557="archive","Archive",IF($L1557="closed","Closed",IF($B1557="","Unscored",IF(AND($B1557&gt;=8,OR($H1557="",$H1557-TODAY()&lt;=14)),"P1 Apply",IF($B1557&gt;=7,"P2 Strong",IF($B1557&gt;=5,"P3 Maybe","P4 Low")))))))))))</f>
        <v/>
      </c>
      <c r="B1557" s="13" t="n">
        <v>0.32</v>
      </c>
      <c r="C1557" s="12" t="inlineStr">
        <is>
          <t>Graduate/Entry</t>
        </is>
      </c>
      <c r="D1557" s="8" t="inlineStr">
        <is>
          <t>Graduate Software Engineer (On-site Newcastle)</t>
        </is>
      </c>
      <c r="E1557" s="7" t="inlineStr">
        <is>
          <t>Understanding Recruitment</t>
        </is>
      </c>
      <c r="F1557" s="8" t="inlineStr"/>
      <c r="G1557" s="8" t="n"/>
      <c r="H1557" s="14" t="n"/>
      <c r="I1557" s="15">
        <f>IF($H1557="","",$H1557-TODAY())</f>
        <v/>
      </c>
      <c r="J1557" s="16" t="inlineStr">
        <is>
          <t>Open posting</t>
        </is>
      </c>
      <c r="K1557" s="8" t="inlineStr">
        <is>
          <t>filtered by keyword pre-scan</t>
        </is>
      </c>
      <c r="L1557" s="17" t="inlineStr">
        <is>
          <t>new</t>
        </is>
      </c>
      <c r="M1557" s="18" t="inlineStr"/>
      <c r="N1557" s="7" t="inlineStr">
        <is>
          <t>7183f0229d8430e6a3b4cbb0af58a24c237b1185</t>
        </is>
      </c>
      <c r="O1557" s="14" t="n">
        <v>46188</v>
      </c>
      <c r="P1557" s="7" t="inlineStr">
        <is>
          <t>jobspy</t>
        </is>
      </c>
      <c r="Q1557" s="8" t="inlineStr">
        <is>
          <t>c</t>
        </is>
      </c>
      <c r="R1557" s="8" t="inlineStr">
        <is>
          <t>Graduate Software Engineer Python embedded systems</t>
        </is>
      </c>
      <c r="S1557" s="19" t="n"/>
      <c r="T1557" s="19" t="n"/>
      <c r="U1557" s="14" t="n">
        <v>46195</v>
      </c>
      <c r="V1557" s="7" t="inlineStr">
        <is>
          <t>v2-cv-accuracy-13b988b18da8ea7d</t>
        </is>
      </c>
    </row>
    <row r="1558" ht="28" customHeight="1">
      <c r="A1558" s="12">
        <f>IF($L1558="applied","Applied",IF($L1558="interview","Interview",IF($L1558="offer","Offer",IF($L1558="rejected","Rejected",IF($L1558="ignore","Ignore",IF($L1558="archive","Archive",IF($L1558="closed","Closed",IF($B1558="","Unscored",IF(AND($B1558&gt;=8,OR($H1558="",$H1558-TODAY()&lt;=14)),"P1 Apply",IF($B1558&gt;=7,"P2 Strong",IF($B1558&gt;=5,"P3 Maybe","P4 Low")))))))))))</f>
        <v/>
      </c>
      <c r="B1558" s="13" t="n">
        <v>0.32</v>
      </c>
      <c r="C1558" s="12" t="inlineStr">
        <is>
          <t>Graduate/Entry</t>
        </is>
      </c>
      <c r="D1558" s="8" t="inlineStr">
        <is>
          <t>Graduate Software Engineer</t>
        </is>
      </c>
      <c r="E1558" s="7" t="inlineStr">
        <is>
          <t>Understanding Recruitment</t>
        </is>
      </c>
      <c r="F1558" s="8" t="inlineStr">
        <is>
          <t>Durham, England, UK</t>
        </is>
      </c>
      <c r="G1558" s="8" t="n"/>
      <c r="H1558" s="14" t="n"/>
      <c r="I1558" s="15">
        <f>IF($H1558="","",$H1558-TODAY())</f>
        <v/>
      </c>
      <c r="J1558" s="16" t="inlineStr">
        <is>
          <t>Open posting</t>
        </is>
      </c>
      <c r="K1558" s="8" t="inlineStr">
        <is>
          <t>filtered by keyword pre-scan</t>
        </is>
      </c>
      <c r="L1558" s="17" t="inlineStr">
        <is>
          <t>new</t>
        </is>
      </c>
      <c r="M1558" s="18" t="inlineStr"/>
      <c r="N1558" s="7" t="inlineStr">
        <is>
          <t>5df2078de581a466db6bff4097543e09fc23df4e</t>
        </is>
      </c>
      <c r="O1558" s="14" t="n">
        <v>46188</v>
      </c>
      <c r="P1558" s="7" t="inlineStr">
        <is>
          <t>jobspy</t>
        </is>
      </c>
      <c r="Q1558" s="8" t="inlineStr">
        <is>
          <t>c</t>
        </is>
      </c>
      <c r="R1558" s="8" t="inlineStr">
        <is>
          <t>Graduate Software Engineer embedded systems</t>
        </is>
      </c>
      <c r="S1558" s="19" t="n"/>
      <c r="T1558" s="19" t="n"/>
      <c r="U1558" s="14" t="n">
        <v>46194</v>
      </c>
      <c r="V1558" s="7" t="inlineStr">
        <is>
          <t>v2-cv-accuracy-13b988b18da8ea7d</t>
        </is>
      </c>
    </row>
    <row r="1559" ht="28" customHeight="1">
      <c r="A1559" s="12">
        <f>IF($L1559="applied","Applied",IF($L1559="interview","Interview",IF($L1559="offer","Offer",IF($L1559="rejected","Rejected",IF($L1559="ignore","Ignore",IF($L1559="archive","Archive",IF($L1559="closed","Closed",IF($B1559="","Unscored",IF(AND($B1559&gt;=8,OR($H1559="",$H1559-TODAY()&lt;=14)),"P1 Apply",IF($B1559&gt;=7,"P2 Strong",IF($B1559&gt;=5,"P3 Maybe","P4 Low")))))))))))</f>
        <v/>
      </c>
      <c r="B1559" s="13" t="n">
        <v>0.32</v>
      </c>
      <c r="C1559" s="12" t="inlineStr">
        <is>
          <t>Unspecified</t>
        </is>
      </c>
      <c r="D1559" s="8" t="inlineStr">
        <is>
          <t>Software Engineer</t>
        </is>
      </c>
      <c r="E1559" s="7" t="inlineStr">
        <is>
          <t>Bright Purple</t>
        </is>
      </c>
      <c r="F1559" s="8" t="inlineStr">
        <is>
          <t>Aberdeen, Scotland, UK</t>
        </is>
      </c>
      <c r="G1559" s="8" t="n"/>
      <c r="H1559" s="14" t="n"/>
      <c r="I1559" s="15">
        <f>IF($H1559="","",$H1559-TODAY())</f>
        <v/>
      </c>
      <c r="J1559" s="16" t="inlineStr">
        <is>
          <t>Open posting</t>
        </is>
      </c>
      <c r="K1559" s="8" t="inlineStr">
        <is>
          <t>filtered by keyword pre-scan</t>
        </is>
      </c>
      <c r="L1559" s="17" t="inlineStr">
        <is>
          <t>new</t>
        </is>
      </c>
      <c r="M1559" s="18" t="inlineStr"/>
      <c r="N1559" s="7" t="inlineStr">
        <is>
          <t>07a039338915b941647e282703d721d444589f0c</t>
        </is>
      </c>
      <c r="O1559" s="14" t="n">
        <v>46185</v>
      </c>
      <c r="P1559" s="7" t="inlineStr">
        <is>
          <t>jobspy</t>
        </is>
      </c>
      <c r="Q1559" s="8" t="inlineStr">
        <is>
          <t>c</t>
        </is>
      </c>
      <c r="R1559" s="8" t="inlineStr">
        <is>
          <t>Graduate Software Engineer embedded systems</t>
        </is>
      </c>
      <c r="S1559" s="19" t="n"/>
      <c r="T1559" s="19" t="n"/>
      <c r="U1559" s="14" t="n">
        <v>46194</v>
      </c>
      <c r="V1559" s="7" t="inlineStr">
        <is>
          <t>v2-cv-accuracy-13b988b18da8ea7d</t>
        </is>
      </c>
    </row>
    <row r="1560" ht="28" customHeight="1">
      <c r="A1560" s="12">
        <f>IF($L1560="applied","Applied",IF($L1560="interview","Interview",IF($L1560="offer","Offer",IF($L1560="rejected","Rejected",IF($L1560="ignore","Ignore",IF($L1560="archive","Archive",IF($L1560="closed","Closed",IF($B1560="","Unscored",IF(AND($B1560&gt;=8,OR($H1560="",$H1560-TODAY()&lt;=14)),"P1 Apply",IF($B1560&gt;=7,"P2 Strong",IF($B1560&gt;=5,"P3 Maybe","P4 Low")))))))))))</f>
        <v/>
      </c>
      <c r="B1560" s="13" t="n">
        <v>0.32</v>
      </c>
      <c r="C1560" s="12" t="inlineStr">
        <is>
          <t>Unspecified</t>
        </is>
      </c>
      <c r="D1560" s="8" t="inlineStr">
        <is>
          <t>Embedded Software Engineer</t>
        </is>
      </c>
      <c r="E1560" s="7" t="inlineStr">
        <is>
          <t>Oho Group</t>
        </is>
      </c>
      <c r="F1560" s="8" t="inlineStr">
        <is>
          <t>Cambridgeshire, England, UK</t>
        </is>
      </c>
      <c r="G1560" s="8" t="n"/>
      <c r="H1560" s="14" t="n"/>
      <c r="I1560" s="15">
        <f>IF($H1560="","",$H1560-TODAY())</f>
        <v/>
      </c>
      <c r="J1560" s="16" t="inlineStr">
        <is>
          <t>Open posting</t>
        </is>
      </c>
      <c r="K1560" s="8" t="inlineStr">
        <is>
          <t>filtered by keyword pre-scan</t>
        </is>
      </c>
      <c r="L1560" s="17" t="inlineStr">
        <is>
          <t>new</t>
        </is>
      </c>
      <c r="M1560" s="18" t="inlineStr"/>
      <c r="N1560" s="7" t="inlineStr">
        <is>
          <t>478da0c58f40c11b4684761c8a53e7a0bf8400d6</t>
        </is>
      </c>
      <c r="O1560" s="14" t="n">
        <v>46171</v>
      </c>
      <c r="P1560" s="7" t="inlineStr">
        <is>
          <t>jobspy</t>
        </is>
      </c>
      <c r="Q1560" s="8" t="inlineStr">
        <is>
          <t>c</t>
        </is>
      </c>
      <c r="R1560" s="8" t="inlineStr">
        <is>
          <t>Embedded Systems Graduate Engineer IoT</t>
        </is>
      </c>
      <c r="S1560" s="19" t="n"/>
      <c r="T1560" s="19" t="n"/>
      <c r="U1560" s="14" t="n">
        <v>46193</v>
      </c>
      <c r="V1560" s="7" t="inlineStr">
        <is>
          <t>v2-cv-accuracy-13b988b18da8ea7d</t>
        </is>
      </c>
    </row>
    <row r="1561" ht="28" customHeight="1">
      <c r="A1561" s="12">
        <f>IF($L1561="applied","Applied",IF($L1561="interview","Interview",IF($L1561="offer","Offer",IF($L1561="rejected","Rejected",IF($L1561="ignore","Ignore",IF($L1561="archive","Archive",IF($L1561="closed","Closed",IF($B1561="","Unscored",IF(AND($B1561&gt;=8,OR($H1561="",$H1561-TODAY()&lt;=14)),"P1 Apply",IF($B1561&gt;=7,"P2 Strong",IF($B1561&gt;=5,"P3 Maybe","P4 Low")))))))))))</f>
        <v/>
      </c>
      <c r="B1561" s="13" t="n">
        <v>0.27</v>
      </c>
      <c r="C1561" s="12" t="inlineStr">
        <is>
          <t>Junior</t>
        </is>
      </c>
      <c r="D1561" s="8" t="inlineStr">
        <is>
          <t>Junior Systems Developer</t>
        </is>
      </c>
      <c r="E1561" s="7" t="inlineStr">
        <is>
          <t>Invertek Drives</t>
        </is>
      </c>
      <c r="F1561" s="8" t="inlineStr">
        <is>
          <t>Welshpool, WLS, GB</t>
        </is>
      </c>
      <c r="G1561" s="8" t="n"/>
      <c r="H1561" s="14" t="n"/>
      <c r="I1561" s="15">
        <f>IF($H1561="","",$H1561-TODAY())</f>
        <v/>
      </c>
      <c r="J1561" s="16" t="inlineStr">
        <is>
          <t>Open posting</t>
        </is>
      </c>
      <c r="K1561" s="8" t="inlineStr">
        <is>
          <t>filtered by keyword pre-scan</t>
        </is>
      </c>
      <c r="L1561" s="17" t="inlineStr">
        <is>
          <t>new</t>
        </is>
      </c>
      <c r="M1561" s="18" t="inlineStr"/>
      <c r="N1561" s="7" t="inlineStr">
        <is>
          <t>f66ed2145ece843b6e56515ad71d18e0bc8ec974</t>
        </is>
      </c>
      <c r="O1561" s="14" t="n">
        <v>46188</v>
      </c>
      <c r="P1561" s="7" t="inlineStr">
        <is>
          <t>jobspy</t>
        </is>
      </c>
      <c r="Q1561" s="8" t="inlineStr">
        <is>
          <t>python, sql, javascript, git, software development</t>
        </is>
      </c>
      <c r="R1561" s="8" t="inlineStr">
        <is>
          <t>Junior Python Developer</t>
        </is>
      </c>
      <c r="S1561" s="19" t="n"/>
      <c r="T1561" s="19" t="n"/>
      <c r="U1561" s="14" t="n">
        <v>46191</v>
      </c>
      <c r="V1561" s="7" t="inlineStr">
        <is>
          <t>v2-cv-accuracy-13b988b18da8ea7d</t>
        </is>
      </c>
    </row>
    <row r="1562" ht="28" customHeight="1">
      <c r="A1562" s="12">
        <f>IF($L1562="applied","Applied",IF($L1562="interview","Interview",IF($L1562="offer","Offer",IF($L1562="rejected","Rejected",IF($L1562="ignore","Ignore",IF($L1562="archive","Archive",IF($L1562="closed","Closed",IF($B1562="","Unscored",IF(AND($B1562&gt;=8,OR($H1562="",$H1562-TODAY()&lt;=14)),"P1 Apply",IF($B1562&gt;=7,"P2 Strong",IF($B1562&gt;=5,"P3 Maybe","P4 Low")))))))))))</f>
        <v/>
      </c>
      <c r="B1562" s="13" t="n">
        <v>0.27</v>
      </c>
      <c r="C1562" s="12" t="inlineStr">
        <is>
          <t>Junior</t>
        </is>
      </c>
      <c r="D1562" s="8" t="inlineStr">
        <is>
          <t>Python Engineer (0–2 Yrs)</t>
        </is>
      </c>
      <c r="E1562" s="7" t="inlineStr">
        <is>
          <t>Efficienza Business Solutions Pvt. Ltd</t>
        </is>
      </c>
      <c r="F1562" s="8" t="inlineStr">
        <is>
          <t>Chennai, Tamil Nadu, India</t>
        </is>
      </c>
      <c r="G1562" s="8" t="n"/>
      <c r="H1562" s="14" t="n"/>
      <c r="I1562" s="15">
        <f>IF($H1562="","",$H1562-TODAY())</f>
        <v/>
      </c>
      <c r="J1562" s="16" t="inlineStr">
        <is>
          <t>Open posting</t>
        </is>
      </c>
      <c r="K1562" s="8" t="inlineStr">
        <is>
          <t>filtered by keyword pre-scan</t>
        </is>
      </c>
      <c r="L1562" s="17" t="inlineStr">
        <is>
          <t>new</t>
        </is>
      </c>
      <c r="M1562" s="18" t="inlineStr"/>
      <c r="N1562" s="7" t="inlineStr">
        <is>
          <t>f2b01d5409d5109e5c1010fb544e61b22be03111</t>
        </is>
      </c>
      <c r="O1562" s="14" t="n">
        <v>46176</v>
      </c>
      <c r="P1562" s="7" t="inlineStr">
        <is>
          <t>jobspy</t>
        </is>
      </c>
      <c r="Q1562" s="8" t="inlineStr">
        <is>
          <t>python, sql, git</t>
        </is>
      </c>
      <c r="R1562" s="8" t="inlineStr">
        <is>
          <t>graduate Junior Python Developer</t>
        </is>
      </c>
      <c r="S1562" s="19" t="n"/>
      <c r="T1562" s="19" t="n"/>
      <c r="U1562" s="14" t="n">
        <v>46191</v>
      </c>
      <c r="V1562" s="7" t="inlineStr">
        <is>
          <t>v2-cv-accuracy-13b988b18da8ea7d</t>
        </is>
      </c>
    </row>
    <row r="1563" ht="28" customHeight="1">
      <c r="A1563" s="12">
        <f>IF($L1563="applied","Applied",IF($L1563="interview","Interview",IF($L1563="offer","Offer",IF($L1563="rejected","Rejected",IF($L1563="ignore","Ignore",IF($L1563="archive","Archive",IF($L1563="closed","Closed",IF($B1563="","Unscored",IF(AND($B1563&gt;=8,OR($H1563="",$H1563-TODAY()&lt;=14)),"P1 Apply",IF($B1563&gt;=7,"P2 Strong",IF($B1563&gt;=5,"P3 Maybe","P4 Low")))))))))))</f>
        <v/>
      </c>
      <c r="B1563" s="13" t="n">
        <v>0.27</v>
      </c>
      <c r="C1563" s="12" t="inlineStr">
        <is>
          <t>Junior</t>
        </is>
      </c>
      <c r="D1563" s="8" t="inlineStr">
        <is>
          <t>Junior Systems Developer</t>
        </is>
      </c>
      <c r="E1563" s="7" t="inlineStr">
        <is>
          <t>Sumitomo Drive Technologies EMEIA</t>
        </is>
      </c>
      <c r="F1563" s="8" t="inlineStr">
        <is>
          <t>Welshpool, Wales, UK</t>
        </is>
      </c>
      <c r="G1563" s="8" t="n"/>
      <c r="H1563" s="14" t="n"/>
      <c r="I1563" s="15">
        <f>IF($H1563="","",$H1563-TODAY())</f>
        <v/>
      </c>
      <c r="J1563" s="16" t="inlineStr">
        <is>
          <t>Open posting</t>
        </is>
      </c>
      <c r="K1563" s="8" t="inlineStr">
        <is>
          <t>filtered by keyword pre-scan</t>
        </is>
      </c>
      <c r="L1563" s="17" t="inlineStr">
        <is>
          <t>new</t>
        </is>
      </c>
      <c r="M1563" s="18" t="inlineStr"/>
      <c r="N1563" s="7" t="inlineStr">
        <is>
          <t>a2c0533dd713c01c212f3f8ff05b0d4d400d27cf</t>
        </is>
      </c>
      <c r="O1563" s="14" t="n">
        <v>46178</v>
      </c>
      <c r="P1563" s="7" t="inlineStr">
        <is>
          <t>jobspy</t>
        </is>
      </c>
      <c r="Q1563" s="8" t="inlineStr">
        <is>
          <t>python, sql, javascript, git, software development</t>
        </is>
      </c>
      <c r="R1563" s="8" t="inlineStr">
        <is>
          <t>entry level Graduate Software Developer</t>
        </is>
      </c>
      <c r="S1563" s="19" t="n"/>
      <c r="T1563" s="19" t="n"/>
      <c r="U1563" s="14" t="n">
        <v>46191</v>
      </c>
      <c r="V1563" s="7" t="inlineStr">
        <is>
          <t>v2-cv-accuracy-13b988b18da8ea7d</t>
        </is>
      </c>
    </row>
    <row r="1564" ht="28" customHeight="1">
      <c r="A1564" s="12">
        <f>IF($L1564="applied","Applied",IF($L1564="interview","Interview",IF($L1564="offer","Offer",IF($L1564="rejected","Rejected",IF($L1564="ignore","Ignore",IF($L1564="archive","Archive",IF($L1564="closed","Closed",IF($B1564="","Unscored",IF(AND($B1564&gt;=8,OR($H1564="",$H1564-TODAY()&lt;=14)),"P1 Apply",IF($B1564&gt;=7,"P2 Strong",IF($B1564&gt;=5,"P3 Maybe","P4 Low")))))))))))</f>
        <v/>
      </c>
      <c r="B1564" s="13" t="n">
        <v>0.27</v>
      </c>
      <c r="C1564" s="12" t="inlineStr">
        <is>
          <t>Junior</t>
        </is>
      </c>
      <c r="D1564" s="8" t="inlineStr">
        <is>
          <t>Junior Software Developer</t>
        </is>
      </c>
      <c r="E1564" s="7" t="inlineStr">
        <is>
          <t>Helic &amp; Co</t>
        </is>
      </c>
      <c r="F1564" s="8" t="inlineStr"/>
      <c r="G1564" s="8" t="n"/>
      <c r="H1564" s="14" t="n"/>
      <c r="I1564" s="15">
        <f>IF($H1564="","",$H1564-TODAY())</f>
        <v/>
      </c>
      <c r="J1564" s="16" t="inlineStr">
        <is>
          <t>Open posting</t>
        </is>
      </c>
      <c r="K1564" s="8" t="inlineStr">
        <is>
          <t>filtered by keyword pre-scan</t>
        </is>
      </c>
      <c r="L1564" s="17" t="inlineStr">
        <is>
          <t>new</t>
        </is>
      </c>
      <c r="M1564" s="18" t="inlineStr"/>
      <c r="N1564" s="7" t="inlineStr">
        <is>
          <t>9818a5753fb11925aaaa48336d6bea742638bd98</t>
        </is>
      </c>
      <c r="O1564" s="14" t="n"/>
      <c r="P1564" s="7" t="inlineStr">
        <is>
          <t>jobspy</t>
        </is>
      </c>
      <c r="Q1564" s="8" t="inlineStr">
        <is>
          <t>python, sql, javascript, git, software development</t>
        </is>
      </c>
      <c r="R1564" s="8" t="inlineStr">
        <is>
          <t>junior/graduate Junior Python Developer</t>
        </is>
      </c>
      <c r="S1564" s="19" t="n"/>
      <c r="T1564" s="19" t="n"/>
      <c r="U1564" s="14" t="n">
        <v>46191</v>
      </c>
      <c r="V1564" s="7" t="inlineStr">
        <is>
          <t>v2-cv-accuracy-13b988b18da8ea7d</t>
        </is>
      </c>
    </row>
    <row r="1565" ht="28" customHeight="1">
      <c r="A1565" s="12">
        <f>IF($L1565="applied","Applied",IF($L1565="interview","Interview",IF($L1565="offer","Offer",IF($L1565="rejected","Rejected",IF($L1565="ignore","Ignore",IF($L1565="archive","Archive",IF($L1565="closed","Closed",IF($B1565="","Unscored",IF(AND($B1565&gt;=8,OR($H1565="",$H1565-TODAY()&lt;=14)),"P1 Apply",IF($B1565&gt;=7,"P2 Strong",IF($B1565&gt;=5,"P3 Maybe","P4 Low")))))))))))</f>
        <v/>
      </c>
      <c r="B1565" s="13" t="n">
        <v>0.2</v>
      </c>
      <c r="C1565" s="12" t="inlineStr">
        <is>
          <t>Junior</t>
        </is>
      </c>
      <c r="D1565" s="8" t="inlineStr">
        <is>
          <t>Junior Web Developer</t>
        </is>
      </c>
      <c r="E1565" s="7" t="inlineStr">
        <is>
          <t>Haystack</t>
        </is>
      </c>
      <c r="F1565" s="8" t="inlineStr">
        <is>
          <t>Bristol, England, UK</t>
        </is>
      </c>
      <c r="G1565" s="8" t="n"/>
      <c r="H1565" s="14" t="n"/>
      <c r="I1565" s="15">
        <f>IF($H1565="","",$H1565-TODAY())</f>
        <v/>
      </c>
      <c r="J1565" s="16" t="inlineStr">
        <is>
          <t>Open posting</t>
        </is>
      </c>
      <c r="K1565" s="8" t="inlineStr">
        <is>
          <t>filtered by keyword pre-scan</t>
        </is>
      </c>
      <c r="L1565" s="17" t="inlineStr">
        <is>
          <t>new</t>
        </is>
      </c>
      <c r="M1565" s="18" t="inlineStr"/>
      <c r="N1565" s="7" t="inlineStr">
        <is>
          <t>010eda832b3680b388b4a5a5766b3301907a7df7</t>
        </is>
      </c>
      <c r="O1565" s="14" t="n"/>
      <c r="P1565" s="7" t="inlineStr">
        <is>
          <t>jobspy</t>
        </is>
      </c>
      <c r="Q1565" s="8" t="inlineStr"/>
      <c r="R1565" s="8" t="inlineStr">
        <is>
          <t>entry level Full Stack Developer</t>
        </is>
      </c>
      <c r="S1565" s="19" t="n"/>
      <c r="T1565" s="19" t="n"/>
      <c r="U1565" s="14" t="n">
        <v>46192</v>
      </c>
      <c r="V1565" s="7" t="inlineStr">
        <is>
          <t>v2-cv-accuracy-13b988b18da8ea7d</t>
        </is>
      </c>
    </row>
    <row r="1566" ht="28" customHeight="1">
      <c r="A1566" s="12">
        <f>IF($L1566="applied","Applied",IF($L1566="interview","Interview",IF($L1566="offer","Offer",IF($L1566="rejected","Rejected",IF($L1566="ignore","Ignore",IF($L1566="archive","Archive",IF($L1566="closed","Closed",IF($B1566="","Unscored",IF(AND($B1566&gt;=8,OR($H1566="",$H1566-TODAY()&lt;=14)),"P1 Apply",IF($B1566&gt;=7,"P2 Strong",IF($B1566&gt;=5,"P3 Maybe","P4 Low")))))))))))</f>
        <v/>
      </c>
      <c r="B1566" s="13" t="n">
        <v>0.2</v>
      </c>
      <c r="C1566" s="12" t="inlineStr">
        <is>
          <t>Senior/Lead</t>
        </is>
      </c>
      <c r="D1566" s="8" t="inlineStr">
        <is>
          <t>Customer Engineer, India (Based in Mumbai)</t>
        </is>
      </c>
      <c r="E1566" s="7" t="inlineStr">
        <is>
          <t>Cloudflare</t>
        </is>
      </c>
      <c r="F1566" s="8" t="inlineStr">
        <is>
          <t>Remote India</t>
        </is>
      </c>
      <c r="G1566" s="8" t="n"/>
      <c r="H1566" s="14" t="n"/>
      <c r="I1566" s="15">
        <f>IF($H1566="","",$H1566-TODAY())</f>
        <v/>
      </c>
      <c r="J1566" s="16" t="inlineStr">
        <is>
          <t>Open posting</t>
        </is>
      </c>
      <c r="K1566" s="8" t="inlineStr">
        <is>
          <t>filtered by keyword pre-scan</t>
        </is>
      </c>
      <c r="L1566" s="17" t="inlineStr">
        <is>
          <t>new</t>
        </is>
      </c>
      <c r="M1566" s="18" t="inlineStr"/>
      <c r="N1566" s="7" t="inlineStr">
        <is>
          <t>8dedab5034521864f8e0bf7d30b6c51adc707a61</t>
        </is>
      </c>
      <c r="O1566" s="14" t="n">
        <v>46176</v>
      </c>
      <c r="P1566" s="7" t="inlineStr">
        <is>
          <t>greenhouse:cloudflare</t>
        </is>
      </c>
      <c r="Q1566" s="8" t="inlineStr"/>
      <c r="R1566" s="8" t="n"/>
      <c r="S1566" s="19" t="n"/>
      <c r="T1566" s="19" t="n"/>
      <c r="U1566" s="14" t="n">
        <v>46191</v>
      </c>
      <c r="V1566" s="7" t="inlineStr">
        <is>
          <t>v2-cv-accuracy-13b988b18da8ea7d</t>
        </is>
      </c>
    </row>
    <row r="1567" ht="28" customHeight="1">
      <c r="A1567" s="12">
        <f>IF($L1567="applied","Applied",IF($L1567="interview","Interview",IF($L1567="offer","Offer",IF($L1567="rejected","Rejected",IF($L1567="ignore","Ignore",IF($L1567="archive","Archive",IF($L1567="closed","Closed",IF($B1567="","Unscored",IF(AND($B1567&gt;=8,OR($H1567="",$H1567-TODAY()&lt;=14)),"P1 Apply",IF($B1567&gt;=7,"P2 Strong",IF($B1567&gt;=5,"P3 Maybe","P4 Low")))))))))))</f>
        <v/>
      </c>
      <c r="B1567" s="13" t="n">
        <v>0.2</v>
      </c>
      <c r="C1567" s="12" t="inlineStr">
        <is>
          <t>Senior/Lead</t>
        </is>
      </c>
      <c r="D1567" s="8" t="inlineStr">
        <is>
          <t>Customer Engineer, Territory (Malaysia and Singapore)</t>
        </is>
      </c>
      <c r="E1567" s="7" t="inlineStr">
        <is>
          <t>Cloudflare</t>
        </is>
      </c>
      <c r="F1567" s="8" t="inlineStr">
        <is>
          <t>Hybrid</t>
        </is>
      </c>
      <c r="G1567" s="8" t="n"/>
      <c r="H1567" s="14" t="n"/>
      <c r="I1567" s="15">
        <f>IF($H1567="","",$H1567-TODAY())</f>
        <v/>
      </c>
      <c r="J1567" s="16" t="inlineStr">
        <is>
          <t>Open posting</t>
        </is>
      </c>
      <c r="K1567" s="8" t="inlineStr">
        <is>
          <t>filtered by keyword pre-scan</t>
        </is>
      </c>
      <c r="L1567" s="17" t="inlineStr">
        <is>
          <t>new</t>
        </is>
      </c>
      <c r="M1567" s="18" t="inlineStr"/>
      <c r="N1567" s="7" t="inlineStr">
        <is>
          <t>b27abf91de3811bf1a3f9baf27b901869565dcfb</t>
        </is>
      </c>
      <c r="O1567" s="14" t="n">
        <v>46184</v>
      </c>
      <c r="P1567" s="7" t="inlineStr">
        <is>
          <t>greenhouse:cloudflare</t>
        </is>
      </c>
      <c r="Q1567" s="8" t="inlineStr"/>
      <c r="R1567" s="8" t="n"/>
      <c r="S1567" s="19" t="n"/>
      <c r="T1567" s="19" t="n"/>
      <c r="U1567" s="14" t="n">
        <v>46191</v>
      </c>
      <c r="V1567" s="7" t="inlineStr">
        <is>
          <t>v2-cv-accuracy-13b988b18da8ea7d</t>
        </is>
      </c>
    </row>
    <row r="1568" ht="28" customHeight="1">
      <c r="A1568" s="12">
        <f>IF($L1568="applied","Applied",IF($L1568="interview","Interview",IF($L1568="offer","Offer",IF($L1568="rejected","Rejected",IF($L1568="ignore","Ignore",IF($L1568="archive","Archive",IF($L1568="closed","Closed",IF($B1568="","Unscored",IF(AND($B1568&gt;=8,OR($H1568="",$H1568-TODAY()&lt;=14)),"P1 Apply",IF($B1568&gt;=7,"P2 Strong",IF($B1568&gt;=5,"P3 Maybe","P4 Low")))))))))))</f>
        <v/>
      </c>
      <c r="B1568" s="13" t="n">
        <v>0.2</v>
      </c>
      <c r="C1568" s="12" t="inlineStr">
        <is>
          <t>Mid-level</t>
        </is>
      </c>
      <c r="D1568" s="8" t="inlineStr">
        <is>
          <t>Data Scientist</t>
        </is>
      </c>
      <c r="E1568" s="7" t="inlineStr">
        <is>
          <t>Cloudflare</t>
        </is>
      </c>
      <c r="F1568" s="8" t="inlineStr">
        <is>
          <t>In-Office</t>
        </is>
      </c>
      <c r="G1568" s="8" t="n"/>
      <c r="H1568" s="14" t="n"/>
      <c r="I1568" s="15">
        <f>IF($H1568="","",$H1568-TODAY())</f>
        <v/>
      </c>
      <c r="J1568" s="16" t="inlineStr">
        <is>
          <t>Open posting</t>
        </is>
      </c>
      <c r="K1568" s="8" t="inlineStr">
        <is>
          <t>filtered by keyword pre-scan</t>
        </is>
      </c>
      <c r="L1568" s="17" t="inlineStr">
        <is>
          <t>new</t>
        </is>
      </c>
      <c r="M1568" s="18" t="inlineStr"/>
      <c r="N1568" s="7" t="inlineStr">
        <is>
          <t>5ed606b561ee21ba538ee0e5d7b9fc40a80f4e51</t>
        </is>
      </c>
      <c r="O1568" s="14" t="n">
        <v>46186</v>
      </c>
      <c r="P1568" s="7" t="inlineStr">
        <is>
          <t>greenhouse:cloudflare</t>
        </is>
      </c>
      <c r="Q1568" s="8" t="inlineStr"/>
      <c r="R1568" s="8" t="n"/>
      <c r="S1568" s="19" t="n"/>
      <c r="T1568" s="19" t="n"/>
      <c r="U1568" s="14" t="n">
        <v>46191</v>
      </c>
      <c r="V1568" s="7" t="inlineStr">
        <is>
          <t>v2-cv-accuracy-13b988b18da8ea7d</t>
        </is>
      </c>
    </row>
    <row r="1569" ht="28" customHeight="1">
      <c r="A1569" s="12">
        <f>IF($L1569="applied","Applied",IF($L1569="interview","Interview",IF($L1569="offer","Offer",IF($L1569="rejected","Rejected",IF($L1569="ignore","Ignore",IF($L1569="archive","Archive",IF($L1569="closed","Closed",IF($B1569="","Unscored",IF(AND($B1569&gt;=8,OR($H1569="",$H1569-TODAY()&lt;=14)),"P1 Apply",IF($B1569&gt;=7,"P2 Strong",IF($B1569&gt;=5,"P3 Maybe","P4 Low")))))))))))</f>
        <v/>
      </c>
      <c r="B1569" s="13" t="n">
        <v>0.2</v>
      </c>
      <c r="C1569" s="12" t="inlineStr">
        <is>
          <t>Mid-level</t>
        </is>
      </c>
      <c r="D1569" s="8" t="inlineStr">
        <is>
          <t>Distributed Systems Engineer, Analytical Database Platform</t>
        </is>
      </c>
      <c r="E1569" s="7" t="inlineStr">
        <is>
          <t>Cloudflare</t>
        </is>
      </c>
      <c r="F1569" s="8" t="inlineStr">
        <is>
          <t>Hybrid</t>
        </is>
      </c>
      <c r="G1569" s="8" t="n"/>
      <c r="H1569" s="14" t="n"/>
      <c r="I1569" s="15">
        <f>IF($H1569="","",$H1569-TODAY())</f>
        <v/>
      </c>
      <c r="J1569" s="16" t="inlineStr">
        <is>
          <t>Open posting</t>
        </is>
      </c>
      <c r="K1569" s="8" t="inlineStr">
        <is>
          <t>filtered by keyword pre-scan</t>
        </is>
      </c>
      <c r="L1569" s="17" t="inlineStr">
        <is>
          <t>new</t>
        </is>
      </c>
      <c r="M1569" s="18" t="inlineStr"/>
      <c r="N1569" s="7" t="inlineStr">
        <is>
          <t>ec7a334789ceee2513ee9060883a020190fe23b7</t>
        </is>
      </c>
      <c r="O1569" s="14" t="n">
        <v>46185</v>
      </c>
      <c r="P1569" s="7" t="inlineStr">
        <is>
          <t>greenhouse:cloudflare</t>
        </is>
      </c>
      <c r="Q1569" s="8" t="inlineStr"/>
      <c r="R1569" s="8" t="n"/>
      <c r="S1569" s="19" t="n"/>
      <c r="T1569" s="19" t="n"/>
      <c r="U1569" s="14" t="n">
        <v>46191</v>
      </c>
      <c r="V1569" s="7" t="inlineStr">
        <is>
          <t>v2-cv-accuracy-13b988b18da8ea7d</t>
        </is>
      </c>
    </row>
    <row r="1570" ht="28" customHeight="1">
      <c r="A1570" s="12">
        <f>IF($L1570="applied","Applied",IF($L1570="interview","Interview",IF($L1570="offer","Offer",IF($L1570="rejected","Rejected",IF($L1570="ignore","Ignore",IF($L1570="archive","Archive",IF($L1570="closed","Closed",IF($B1570="","Unscored",IF(AND($B1570&gt;=8,OR($H1570="",$H1570-TODAY()&lt;=14)),"P1 Apply",IF($B1570&gt;=7,"P2 Strong",IF($B1570&gt;=5,"P3 Maybe","P4 Low")))))))))))</f>
        <v/>
      </c>
      <c r="B1570" s="13" t="n">
        <v>0.2</v>
      </c>
      <c r="C1570" s="12" t="inlineStr">
        <is>
          <t>Mid-level</t>
        </is>
      </c>
      <c r="D1570" s="8" t="inlineStr">
        <is>
          <t>Distributed Systems Engineer - Data Platform - Analytics and Alerts</t>
        </is>
      </c>
      <c r="E1570" s="7" t="inlineStr">
        <is>
          <t>Cloudflare</t>
        </is>
      </c>
      <c r="F1570" s="8" t="inlineStr">
        <is>
          <t>Hybrid</t>
        </is>
      </c>
      <c r="G1570" s="8" t="n"/>
      <c r="H1570" s="14" t="n"/>
      <c r="I1570" s="15">
        <f>IF($H1570="","",$H1570-TODAY())</f>
        <v/>
      </c>
      <c r="J1570" s="16" t="inlineStr">
        <is>
          <t>Open posting</t>
        </is>
      </c>
      <c r="K1570" s="8" t="inlineStr">
        <is>
          <t>filtered by keyword pre-scan</t>
        </is>
      </c>
      <c r="L1570" s="17" t="inlineStr">
        <is>
          <t>new</t>
        </is>
      </c>
      <c r="M1570" s="18" t="inlineStr"/>
      <c r="N1570" s="7" t="inlineStr">
        <is>
          <t>496f56749a0d2d4f1621e74e1d82231487c9efe1</t>
        </is>
      </c>
      <c r="O1570" s="14" t="n">
        <v>46185</v>
      </c>
      <c r="P1570" s="7" t="inlineStr">
        <is>
          <t>greenhouse:cloudflare</t>
        </is>
      </c>
      <c r="Q1570" s="8" t="inlineStr"/>
      <c r="R1570" s="8" t="n"/>
      <c r="S1570" s="19" t="n"/>
      <c r="T1570" s="19" t="n"/>
      <c r="U1570" s="14" t="n">
        <v>46191</v>
      </c>
      <c r="V1570" s="7" t="inlineStr">
        <is>
          <t>v2-cv-accuracy-13b988b18da8ea7d</t>
        </is>
      </c>
    </row>
    <row r="1571" ht="28" customHeight="1">
      <c r="A1571" s="12">
        <f>IF($L1571="applied","Applied",IF($L1571="interview","Interview",IF($L1571="offer","Offer",IF($L1571="rejected","Rejected",IF($L1571="ignore","Ignore",IF($L1571="archive","Archive",IF($L1571="closed","Closed",IF($B1571="","Unscored",IF(AND($B1571&gt;=8,OR($H1571="",$H1571-TODAY()&lt;=14)),"P1 Apply",IF($B1571&gt;=7,"P2 Strong",IF($B1571&gt;=5,"P3 Maybe","P4 Low")))))))))))</f>
        <v/>
      </c>
      <c r="B1571" s="13" t="n">
        <v>0.2</v>
      </c>
      <c r="C1571" s="12" t="inlineStr">
        <is>
          <t>Mid-level</t>
        </is>
      </c>
      <c r="D1571" s="8" t="inlineStr">
        <is>
          <t>Distributed Systems Engineer - Data Platform (Delivery, Database, Retrieval)</t>
        </is>
      </c>
      <c r="E1571" s="7" t="inlineStr">
        <is>
          <t>Cloudflare</t>
        </is>
      </c>
      <c r="F1571" s="8" t="inlineStr">
        <is>
          <t>Hybrid</t>
        </is>
      </c>
      <c r="G1571" s="8" t="n"/>
      <c r="H1571" s="14" t="n"/>
      <c r="I1571" s="15">
        <f>IF($H1571="","",$H1571-TODAY())</f>
        <v/>
      </c>
      <c r="J1571" s="16" t="inlineStr">
        <is>
          <t>Open posting</t>
        </is>
      </c>
      <c r="K1571" s="8" t="inlineStr">
        <is>
          <t>filtered by keyword pre-scan</t>
        </is>
      </c>
      <c r="L1571" s="17" t="inlineStr">
        <is>
          <t>new</t>
        </is>
      </c>
      <c r="M1571" s="18" t="inlineStr"/>
      <c r="N1571" s="7" t="inlineStr">
        <is>
          <t>8295aadd0eae7233909e3ee4921022bd4b8fc910</t>
        </is>
      </c>
      <c r="O1571" s="14" t="n">
        <v>46185</v>
      </c>
      <c r="P1571" s="7" t="inlineStr">
        <is>
          <t>greenhouse:cloudflare</t>
        </is>
      </c>
      <c r="Q1571" s="8" t="inlineStr"/>
      <c r="R1571" s="8" t="n"/>
      <c r="S1571" s="19" t="n"/>
      <c r="T1571" s="19" t="n"/>
      <c r="U1571" s="14" t="n">
        <v>46191</v>
      </c>
      <c r="V1571" s="7" t="inlineStr">
        <is>
          <t>v2-cv-accuracy-13b988b18da8ea7d</t>
        </is>
      </c>
    </row>
    <row r="1572" ht="28" customHeight="1">
      <c r="A1572" s="12">
        <f>IF($L1572="applied","Applied",IF($L1572="interview","Interview",IF($L1572="offer","Offer",IF($L1572="rejected","Rejected",IF($L1572="ignore","Ignore",IF($L1572="archive","Archive",IF($L1572="closed","Closed",IF($B1572="","Unscored",IF(AND($B1572&gt;=8,OR($H1572="",$H1572-TODAY()&lt;=14)),"P1 Apply",IF($B1572&gt;=7,"P2 Strong",IF($B1572&gt;=5,"P3 Maybe","P4 Low")))))))))))</f>
        <v/>
      </c>
      <c r="B1572" s="13" t="n">
        <v>0.2</v>
      </c>
      <c r="C1572" s="12" t="inlineStr">
        <is>
          <t>Mid-level</t>
        </is>
      </c>
      <c r="D1572" s="8" t="inlineStr">
        <is>
          <t>Distributed Systems Engineer - Data Platform - Logs and Audit Logs</t>
        </is>
      </c>
      <c r="E1572" s="7" t="inlineStr">
        <is>
          <t>Cloudflare</t>
        </is>
      </c>
      <c r="F1572" s="8" t="inlineStr">
        <is>
          <t>Hybrid</t>
        </is>
      </c>
      <c r="G1572" s="8" t="n"/>
      <c r="H1572" s="14" t="n"/>
      <c r="I1572" s="15">
        <f>IF($H1572="","",$H1572-TODAY())</f>
        <v/>
      </c>
      <c r="J1572" s="16" t="inlineStr">
        <is>
          <t>Open posting</t>
        </is>
      </c>
      <c r="K1572" s="8" t="inlineStr">
        <is>
          <t>filtered by keyword pre-scan</t>
        </is>
      </c>
      <c r="L1572" s="17" t="inlineStr">
        <is>
          <t>new</t>
        </is>
      </c>
      <c r="M1572" s="18" t="inlineStr"/>
      <c r="N1572" s="7" t="inlineStr">
        <is>
          <t>57d9a9628dc6f518d37cf703ff3fa8a73de26675</t>
        </is>
      </c>
      <c r="O1572" s="14" t="n">
        <v>46185</v>
      </c>
      <c r="P1572" s="7" t="inlineStr">
        <is>
          <t>greenhouse:cloudflare</t>
        </is>
      </c>
      <c r="Q1572" s="8" t="inlineStr"/>
      <c r="R1572" s="8" t="n"/>
      <c r="S1572" s="19" t="n"/>
      <c r="T1572" s="19" t="n"/>
      <c r="U1572" s="14" t="n">
        <v>46191</v>
      </c>
      <c r="V1572" s="7" t="inlineStr">
        <is>
          <t>v2-cv-accuracy-13b988b18da8ea7d</t>
        </is>
      </c>
    </row>
    <row r="1573" ht="28" customHeight="1">
      <c r="A1573" s="12">
        <f>IF($L1573="applied","Applied",IF($L1573="interview","Interview",IF($L1573="offer","Offer",IF($L1573="rejected","Rejected",IF($L1573="ignore","Ignore",IF($L1573="archive","Archive",IF($L1573="closed","Closed",IF($B1573="","Unscored",IF(AND($B1573&gt;=8,OR($H1573="",$H1573-TODAY()&lt;=14)),"P1 Apply",IF($B1573&gt;=7,"P2 Strong",IF($B1573&gt;=5,"P3 Maybe","P4 Low")))))))))))</f>
        <v/>
      </c>
      <c r="B1573" s="13" t="n">
        <v>0.2</v>
      </c>
      <c r="C1573" s="12" t="inlineStr">
        <is>
          <t>Senior/Lead</t>
        </is>
      </c>
      <c r="D1573" s="8" t="inlineStr">
        <is>
          <t>Enterprise Customer Engineer, Singapore</t>
        </is>
      </c>
      <c r="E1573" s="7" t="inlineStr">
        <is>
          <t>Cloudflare</t>
        </is>
      </c>
      <c r="F1573" s="8" t="inlineStr">
        <is>
          <t>Hybrid</t>
        </is>
      </c>
      <c r="G1573" s="8" t="n"/>
      <c r="H1573" s="14" t="n"/>
      <c r="I1573" s="15">
        <f>IF($H1573="","",$H1573-TODAY())</f>
        <v/>
      </c>
      <c r="J1573" s="16" t="inlineStr">
        <is>
          <t>Open posting</t>
        </is>
      </c>
      <c r="K1573" s="8" t="inlineStr">
        <is>
          <t>filtered by keyword pre-scan</t>
        </is>
      </c>
      <c r="L1573" s="17" t="inlineStr">
        <is>
          <t>new</t>
        </is>
      </c>
      <c r="M1573" s="18" t="inlineStr"/>
      <c r="N1573" s="7" t="inlineStr">
        <is>
          <t>b367aa37c4e14badeb6a88f36d5cc8179aced3b3</t>
        </is>
      </c>
      <c r="O1573" s="14" t="n">
        <v>46184</v>
      </c>
      <c r="P1573" s="7" t="inlineStr">
        <is>
          <t>greenhouse:cloudflare</t>
        </is>
      </c>
      <c r="Q1573" s="8" t="inlineStr"/>
      <c r="R1573" s="8" t="n"/>
      <c r="S1573" s="19" t="n"/>
      <c r="T1573" s="19" t="n"/>
      <c r="U1573" s="14" t="n">
        <v>46191</v>
      </c>
      <c r="V1573" s="7" t="inlineStr">
        <is>
          <t>v2-cv-accuracy-13b988b18da8ea7d</t>
        </is>
      </c>
    </row>
    <row r="1574" ht="28" customHeight="1">
      <c r="A1574" s="12">
        <f>IF($L1574="applied","Applied",IF($L1574="interview","Interview",IF($L1574="offer","Offer",IF($L1574="rejected","Rejected",IF($L1574="ignore","Ignore",IF($L1574="archive","Archive",IF($L1574="closed","Closed",IF($B1574="","Unscored",IF(AND($B1574&gt;=8,OR($H1574="",$H1574-TODAY()&lt;=14)),"P1 Apply",IF($B1574&gt;=7,"P2 Strong",IF($B1574&gt;=5,"P3 Maybe","P4 Low")))))))))))</f>
        <v/>
      </c>
      <c r="B1574" s="13" t="n">
        <v>0.2</v>
      </c>
      <c r="C1574" s="12" t="inlineStr">
        <is>
          <t>Senior/Lead</t>
        </is>
      </c>
      <c r="D1574" s="8" t="inlineStr">
        <is>
          <t>Enterprise Customer Engineer, Thailand</t>
        </is>
      </c>
      <c r="E1574" s="7" t="inlineStr">
        <is>
          <t>Cloudflare</t>
        </is>
      </c>
      <c r="F1574" s="8" t="inlineStr">
        <is>
          <t>Hybrid</t>
        </is>
      </c>
      <c r="G1574" s="8" t="n"/>
      <c r="H1574" s="14" t="n"/>
      <c r="I1574" s="15">
        <f>IF($H1574="","",$H1574-TODAY())</f>
        <v/>
      </c>
      <c r="J1574" s="16" t="inlineStr">
        <is>
          <t>Open posting</t>
        </is>
      </c>
      <c r="K1574" s="8" t="inlineStr">
        <is>
          <t>filtered by keyword pre-scan</t>
        </is>
      </c>
      <c r="L1574" s="17" t="inlineStr">
        <is>
          <t>new</t>
        </is>
      </c>
      <c r="M1574" s="18" t="inlineStr"/>
      <c r="N1574" s="7" t="inlineStr">
        <is>
          <t>2208aff402fcd73b8d4cccdea293cffffd8bdaf7</t>
        </is>
      </c>
      <c r="O1574" s="14" t="n">
        <v>46184</v>
      </c>
      <c r="P1574" s="7" t="inlineStr">
        <is>
          <t>greenhouse:cloudflare</t>
        </is>
      </c>
      <c r="Q1574" s="8" t="inlineStr"/>
      <c r="R1574" s="8" t="n"/>
      <c r="S1574" s="19" t="n"/>
      <c r="T1574" s="19" t="n"/>
      <c r="U1574" s="14" t="n">
        <v>46191</v>
      </c>
      <c r="V1574" s="7" t="inlineStr">
        <is>
          <t>v2-cv-accuracy-13b988b18da8ea7d</t>
        </is>
      </c>
    </row>
    <row r="1575" ht="28" customHeight="1">
      <c r="A1575" s="12">
        <f>IF($L1575="applied","Applied",IF($L1575="interview","Interview",IF($L1575="offer","Offer",IF($L1575="rejected","Rejected",IF($L1575="ignore","Ignore",IF($L1575="archive","Archive",IF($L1575="closed","Closed",IF($B1575="","Unscored",IF(AND($B1575&gt;=8,OR($H1575="",$H1575-TODAY()&lt;=14)),"P1 Apply",IF($B1575&gt;=7,"P2 Strong",IF($B1575&gt;=5,"P3 Maybe","P4 Low")))))))))))</f>
        <v/>
      </c>
      <c r="B1575" s="13" t="n">
        <v>0.2</v>
      </c>
      <c r="C1575" s="12" t="inlineStr">
        <is>
          <t>Unspecified</t>
        </is>
      </c>
      <c r="D1575" s="8" t="inlineStr">
        <is>
          <t>Forward Deployed Engineer</t>
        </is>
      </c>
      <c r="E1575" s="7" t="inlineStr">
        <is>
          <t>Cloudflare</t>
        </is>
      </c>
      <c r="F1575" s="8" t="inlineStr">
        <is>
          <t>Hybrid</t>
        </is>
      </c>
      <c r="G1575" s="8" t="n"/>
      <c r="H1575" s="14" t="n"/>
      <c r="I1575" s="15">
        <f>IF($H1575="","",$H1575-TODAY())</f>
        <v/>
      </c>
      <c r="J1575" s="16" t="inlineStr">
        <is>
          <t>Open posting</t>
        </is>
      </c>
      <c r="K1575" s="8" t="inlineStr">
        <is>
          <t>filtered by keyword pre-scan</t>
        </is>
      </c>
      <c r="L1575" s="17" t="inlineStr">
        <is>
          <t>new</t>
        </is>
      </c>
      <c r="M1575" s="18" t="inlineStr"/>
      <c r="N1575" s="7" t="inlineStr">
        <is>
          <t>f97b24db173011e4a0fad6c29430425e08f5b3f9</t>
        </is>
      </c>
      <c r="O1575" s="14" t="n">
        <v>46181</v>
      </c>
      <c r="P1575" s="7" t="inlineStr">
        <is>
          <t>greenhouse:cloudflare</t>
        </is>
      </c>
      <c r="Q1575" s="8" t="inlineStr"/>
      <c r="R1575" s="8" t="n"/>
      <c r="S1575" s="19" t="n"/>
      <c r="T1575" s="19" t="n"/>
      <c r="U1575" s="14" t="n">
        <v>46191</v>
      </c>
      <c r="V1575" s="7" t="inlineStr">
        <is>
          <t>v2-cv-accuracy-13b988b18da8ea7d</t>
        </is>
      </c>
    </row>
    <row r="1576" ht="28" customHeight="1">
      <c r="A1576" s="12">
        <f>IF($L1576="applied","Applied",IF($L1576="interview","Interview",IF($L1576="offer","Offer",IF($L1576="rejected","Rejected",IF($L1576="ignore","Ignore",IF($L1576="archive","Archive",IF($L1576="closed","Closed",IF($B1576="","Unscored",IF(AND($B1576&gt;=8,OR($H1576="",$H1576-TODAY()&lt;=14)),"P1 Apply",IF($B1576&gt;=7,"P2 Strong",IF($B1576&gt;=5,"P3 Maybe","P4 Low")))))))))))</f>
        <v/>
      </c>
      <c r="B1576" s="13" t="n">
        <v>0.2</v>
      </c>
      <c r="C1576" s="12" t="inlineStr">
        <is>
          <t>Internship</t>
        </is>
      </c>
      <c r="D1576" s="8" t="inlineStr">
        <is>
          <t>GRC Team Intern (Summer 2026)</t>
        </is>
      </c>
      <c r="E1576" s="7" t="inlineStr">
        <is>
          <t>Cloudflare</t>
        </is>
      </c>
      <c r="F1576" s="8" t="inlineStr">
        <is>
          <t>In-Office</t>
        </is>
      </c>
      <c r="G1576" s="8" t="n"/>
      <c r="H1576" s="14" t="n"/>
      <c r="I1576" s="15">
        <f>IF($H1576="","",$H1576-TODAY())</f>
        <v/>
      </c>
      <c r="J1576" s="16" t="inlineStr">
        <is>
          <t>Open posting</t>
        </is>
      </c>
      <c r="K1576" s="8" t="inlineStr">
        <is>
          <t>filtered by keyword pre-scan</t>
        </is>
      </c>
      <c r="L1576" s="17" t="inlineStr">
        <is>
          <t>new</t>
        </is>
      </c>
      <c r="M1576" s="18" t="inlineStr"/>
      <c r="N1576" s="7" t="inlineStr">
        <is>
          <t>b4193e76d0cab31afa16099418ee6f2f4551b706</t>
        </is>
      </c>
      <c r="O1576" s="14" t="n">
        <v>46171</v>
      </c>
      <c r="P1576" s="7" t="inlineStr">
        <is>
          <t>greenhouse:cloudflare</t>
        </is>
      </c>
      <c r="Q1576" s="8" t="inlineStr"/>
      <c r="R1576" s="8" t="n"/>
      <c r="S1576" s="19" t="n"/>
      <c r="T1576" s="19" t="n"/>
      <c r="U1576" s="14" t="n">
        <v>46191</v>
      </c>
      <c r="V1576" s="7" t="inlineStr">
        <is>
          <t>v2-cv-accuracy-13b988b18da8ea7d</t>
        </is>
      </c>
    </row>
    <row r="1577" ht="28" customHeight="1">
      <c r="A1577" s="12">
        <f>IF($L1577="applied","Applied",IF($L1577="interview","Interview",IF($L1577="offer","Offer",IF($L1577="rejected","Rejected",IF($L1577="ignore","Ignore",IF($L1577="archive","Archive",IF($L1577="closed","Closed",IF($B1577="","Unscored",IF(AND($B1577&gt;=8,OR($H1577="",$H1577-TODAY()&lt;=14)),"P1 Apply",IF($B1577&gt;=7,"P2 Strong",IF($B1577&gt;=5,"P3 Maybe","P4 Low")))))))))))</f>
        <v/>
      </c>
      <c r="B1577" s="13" t="n">
        <v>0.2</v>
      </c>
      <c r="C1577" s="12" t="inlineStr">
        <is>
          <t>Unspecified</t>
        </is>
      </c>
      <c r="D1577" s="8" t="inlineStr">
        <is>
          <t>GTM Engineer</t>
        </is>
      </c>
      <c r="E1577" s="7" t="inlineStr">
        <is>
          <t>Cloudflare</t>
        </is>
      </c>
      <c r="F1577" s="8" t="inlineStr">
        <is>
          <t>Hybrid</t>
        </is>
      </c>
      <c r="G1577" s="8" t="n"/>
      <c r="H1577" s="14" t="n"/>
      <c r="I1577" s="15">
        <f>IF($H1577="","",$H1577-TODAY())</f>
        <v/>
      </c>
      <c r="J1577" s="16" t="inlineStr">
        <is>
          <t>Open posting</t>
        </is>
      </c>
      <c r="K1577" s="8" t="inlineStr">
        <is>
          <t>filtered by keyword pre-scan</t>
        </is>
      </c>
      <c r="L1577" s="17" t="inlineStr">
        <is>
          <t>new</t>
        </is>
      </c>
      <c r="M1577" s="18" t="inlineStr"/>
      <c r="N1577" s="7" t="inlineStr">
        <is>
          <t>3c240e4b77f955a8731f7bed4305b4cf51ccc31c</t>
        </is>
      </c>
      <c r="O1577" s="14" t="n">
        <v>46181</v>
      </c>
      <c r="P1577" s="7" t="inlineStr">
        <is>
          <t>greenhouse:cloudflare</t>
        </is>
      </c>
      <c r="Q1577" s="8" t="inlineStr"/>
      <c r="R1577" s="8" t="n"/>
      <c r="S1577" s="19" t="n"/>
      <c r="T1577" s="19" t="n"/>
      <c r="U1577" s="14" t="n">
        <v>46191</v>
      </c>
      <c r="V1577" s="7" t="inlineStr">
        <is>
          <t>v2-cv-accuracy-13b988b18da8ea7d</t>
        </is>
      </c>
    </row>
    <row r="1578" ht="28" customHeight="1">
      <c r="A1578" s="12">
        <f>IF($L1578="applied","Applied",IF($L1578="interview","Interview",IF($L1578="offer","Offer",IF($L1578="rejected","Rejected",IF($L1578="ignore","Ignore",IF($L1578="archive","Archive",IF($L1578="closed","Closed",IF($B1578="","Unscored",IF(AND($B1578&gt;=8,OR($H1578="",$H1578-TODAY()&lt;=14)),"P1 Apply",IF($B1578&gt;=7,"P2 Strong",IF($B1578&gt;=5,"P3 Maybe","P4 Low")))))))))))</f>
        <v/>
      </c>
      <c r="B1578" s="13" t="n">
        <v>0.2</v>
      </c>
      <c r="C1578" s="12" t="inlineStr">
        <is>
          <t>Unspecified</t>
        </is>
      </c>
      <c r="D1578" s="8" t="inlineStr">
        <is>
          <t>Litigation Counsel</t>
        </is>
      </c>
      <c r="E1578" s="7" t="inlineStr">
        <is>
          <t>Cloudflare</t>
        </is>
      </c>
      <c r="F1578" s="8" t="inlineStr">
        <is>
          <t>Hybrid</t>
        </is>
      </c>
      <c r="G1578" s="8" t="n"/>
      <c r="H1578" s="14" t="n"/>
      <c r="I1578" s="15">
        <f>IF($H1578="","",$H1578-TODAY())</f>
        <v/>
      </c>
      <c r="J1578" s="16" t="inlineStr">
        <is>
          <t>Open posting</t>
        </is>
      </c>
      <c r="K1578" s="8" t="inlineStr">
        <is>
          <t>filtered by keyword pre-scan</t>
        </is>
      </c>
      <c r="L1578" s="17" t="inlineStr">
        <is>
          <t>new</t>
        </is>
      </c>
      <c r="M1578" s="18" t="inlineStr"/>
      <c r="N1578" s="7" t="inlineStr">
        <is>
          <t>1cc0f93e9467e797e0b25a94cd566ebade7f3d78</t>
        </is>
      </c>
      <c r="O1578" s="14" t="n">
        <v>46175</v>
      </c>
      <c r="P1578" s="7" t="inlineStr">
        <is>
          <t>greenhouse:cloudflare</t>
        </is>
      </c>
      <c r="Q1578" s="8" t="inlineStr"/>
      <c r="R1578" s="8" t="n"/>
      <c r="S1578" s="19" t="n"/>
      <c r="T1578" s="19" t="n"/>
      <c r="U1578" s="14" t="n">
        <v>46191</v>
      </c>
      <c r="V1578" s="7" t="inlineStr">
        <is>
          <t>v2-cv-accuracy-13b988b18da8ea7d</t>
        </is>
      </c>
    </row>
    <row r="1579" ht="28" customHeight="1">
      <c r="A1579" s="12">
        <f>IF($L1579="applied","Applied",IF($L1579="interview","Interview",IF($L1579="offer","Offer",IF($L1579="rejected","Rejected",IF($L1579="ignore","Ignore",IF($L1579="archive","Archive",IF($L1579="closed","Closed",IF($B1579="","Unscored",IF(AND($B1579&gt;=8,OR($H1579="",$H1579-TODAY()&lt;=14)),"P1 Apply",IF($B1579&gt;=7,"P2 Strong",IF($B1579&gt;=5,"P3 Maybe","P4 Low")))))))))))</f>
        <v/>
      </c>
      <c r="B1579" s="13" t="n">
        <v>0.2</v>
      </c>
      <c r="C1579" s="12" t="inlineStr">
        <is>
          <t>Mid-level</t>
        </is>
      </c>
      <c r="D1579" s="8" t="inlineStr">
        <is>
          <t>Network Reliability Engineer</t>
        </is>
      </c>
      <c r="E1579" s="7" t="inlineStr">
        <is>
          <t>Cloudflare</t>
        </is>
      </c>
      <c r="F1579" s="8" t="inlineStr">
        <is>
          <t>Hybrid</t>
        </is>
      </c>
      <c r="G1579" s="8" t="n"/>
      <c r="H1579" s="14" t="n"/>
      <c r="I1579" s="15">
        <f>IF($H1579="","",$H1579-TODAY())</f>
        <v/>
      </c>
      <c r="J1579" s="16" t="inlineStr">
        <is>
          <t>Open posting</t>
        </is>
      </c>
      <c r="K1579" s="8" t="inlineStr">
        <is>
          <t>filtered by keyword pre-scan</t>
        </is>
      </c>
      <c r="L1579" s="17" t="inlineStr">
        <is>
          <t>new</t>
        </is>
      </c>
      <c r="M1579" s="18" t="inlineStr"/>
      <c r="N1579" s="7" t="inlineStr">
        <is>
          <t>3439941238668dc56e5041fb7a3a6d5d5d3a912b</t>
        </is>
      </c>
      <c r="O1579" s="14" t="n">
        <v>46182</v>
      </c>
      <c r="P1579" s="7" t="inlineStr">
        <is>
          <t>greenhouse:cloudflare</t>
        </is>
      </c>
      <c r="Q1579" s="8" t="inlineStr"/>
      <c r="R1579" s="8" t="n"/>
      <c r="S1579" s="19" t="n"/>
      <c r="T1579" s="19" t="n"/>
      <c r="U1579" s="14" t="n">
        <v>46191</v>
      </c>
      <c r="V1579" s="7" t="inlineStr">
        <is>
          <t>v2-cv-accuracy-13b988b18da8ea7d</t>
        </is>
      </c>
    </row>
    <row r="1580" ht="28" customHeight="1">
      <c r="A1580" s="12">
        <f>IF($L1580="applied","Applied",IF($L1580="interview","Interview",IF($L1580="offer","Offer",IF($L1580="rejected","Rejected",IF($L1580="ignore","Ignore",IF($L1580="archive","Archive",IF($L1580="closed","Closed",IF($B1580="","Unscored",IF(AND($B1580&gt;=8,OR($H1580="",$H1580-TODAY()&lt;=14)),"P1 Apply",IF($B1580&gt;=7,"P2 Strong",IF($B1580&gt;=5,"P3 Maybe","P4 Low")))))))))))</f>
        <v/>
      </c>
      <c r="B1580" s="13" t="n">
        <v>0.2</v>
      </c>
      <c r="C1580" s="12" t="inlineStr">
        <is>
          <t>Internship</t>
        </is>
      </c>
      <c r="D1580" s="8" t="inlineStr">
        <is>
          <t>People Operations Intern (July to December 2026)</t>
        </is>
      </c>
      <c r="E1580" s="7" t="inlineStr">
        <is>
          <t>Cloudflare</t>
        </is>
      </c>
      <c r="F1580" s="8" t="inlineStr">
        <is>
          <t>In-Office</t>
        </is>
      </c>
      <c r="G1580" s="8" t="n"/>
      <c r="H1580" s="14" t="n"/>
      <c r="I1580" s="15">
        <f>IF($H1580="","",$H1580-TODAY())</f>
        <v/>
      </c>
      <c r="J1580" s="16" t="inlineStr">
        <is>
          <t>Open posting</t>
        </is>
      </c>
      <c r="K1580" s="8" t="inlineStr">
        <is>
          <t>filtered by keyword pre-scan</t>
        </is>
      </c>
      <c r="L1580" s="17" t="inlineStr">
        <is>
          <t>new</t>
        </is>
      </c>
      <c r="M1580" s="18" t="inlineStr"/>
      <c r="N1580" s="7" t="inlineStr">
        <is>
          <t>cbdfccdf33f47e9bd03dab08e1759af6326db9d0</t>
        </is>
      </c>
      <c r="O1580" s="14" t="n">
        <v>46171</v>
      </c>
      <c r="P1580" s="7" t="inlineStr">
        <is>
          <t>greenhouse:cloudflare</t>
        </is>
      </c>
      <c r="Q1580" s="8" t="inlineStr"/>
      <c r="R1580" s="8" t="n"/>
      <c r="S1580" s="19" t="n"/>
      <c r="T1580" s="19" t="n"/>
      <c r="U1580" s="14" t="n">
        <v>46191</v>
      </c>
      <c r="V1580" s="7" t="inlineStr">
        <is>
          <t>v2-cv-accuracy-13b988b18da8ea7d</t>
        </is>
      </c>
    </row>
    <row r="1581" ht="28" customHeight="1">
      <c r="A1581" s="12">
        <f>IF($L1581="applied","Applied",IF($L1581="interview","Interview",IF($L1581="offer","Offer",IF($L1581="rejected","Rejected",IF($L1581="ignore","Ignore",IF($L1581="archive","Archive",IF($L1581="closed","Closed",IF($B1581="","Unscored",IF(AND($B1581&gt;=8,OR($H1581="",$H1581-TODAY()&lt;=14)),"P1 Apply",IF($B1581&gt;=7,"P2 Strong",IF($B1581&gt;=5,"P3 Maybe","P4 Low")))))))))))</f>
        <v/>
      </c>
      <c r="B1581" s="13" t="n">
        <v>0.2</v>
      </c>
      <c r="C1581" s="12" t="inlineStr">
        <is>
          <t>Internship</t>
        </is>
      </c>
      <c r="D1581" s="8" t="inlineStr">
        <is>
          <t>People Team Business Partner intern (July to December 2026)</t>
        </is>
      </c>
      <c r="E1581" s="7" t="inlineStr">
        <is>
          <t>Cloudflare</t>
        </is>
      </c>
      <c r="F1581" s="8" t="inlineStr">
        <is>
          <t>In-Office</t>
        </is>
      </c>
      <c r="G1581" s="8" t="n"/>
      <c r="H1581" s="14" t="n"/>
      <c r="I1581" s="15">
        <f>IF($H1581="","",$H1581-TODAY())</f>
        <v/>
      </c>
      <c r="J1581" s="16" t="inlineStr">
        <is>
          <t>Open posting</t>
        </is>
      </c>
      <c r="K1581" s="8" t="inlineStr">
        <is>
          <t>filtered by keyword pre-scan</t>
        </is>
      </c>
      <c r="L1581" s="17" t="inlineStr">
        <is>
          <t>new</t>
        </is>
      </c>
      <c r="M1581" s="18" t="inlineStr"/>
      <c r="N1581" s="7" t="inlineStr">
        <is>
          <t>f917176332f9d0d2a6db2c5dc0612b6e9357a4d0</t>
        </is>
      </c>
      <c r="O1581" s="14" t="n">
        <v>46171</v>
      </c>
      <c r="P1581" s="7" t="inlineStr">
        <is>
          <t>greenhouse:cloudflare</t>
        </is>
      </c>
      <c r="Q1581" s="8" t="inlineStr"/>
      <c r="R1581" s="8" t="n"/>
      <c r="S1581" s="19" t="n"/>
      <c r="T1581" s="19" t="n"/>
      <c r="U1581" s="14" t="n">
        <v>46191</v>
      </c>
      <c r="V1581" s="7" t="inlineStr">
        <is>
          <t>v2-cv-accuracy-13b988b18da8ea7d</t>
        </is>
      </c>
    </row>
    <row r="1582" ht="28" customHeight="1">
      <c r="A1582" s="12">
        <f>IF($L1582="applied","Applied",IF($L1582="interview","Interview",IF($L1582="offer","Offer",IF($L1582="rejected","Rejected",IF($L1582="ignore","Ignore",IF($L1582="archive","Archive",IF($L1582="closed","Closed",IF($B1582="","Unscored",IF(AND($B1582&gt;=8,OR($H1582="",$H1582-TODAY()&lt;=14)),"P1 Apply",IF($B1582&gt;=7,"P2 Strong",IF($B1582&gt;=5,"P3 Maybe","P4 Low")))))))))))</f>
        <v/>
      </c>
      <c r="B1582" s="13" t="n">
        <v>0.2</v>
      </c>
      <c r="C1582" s="12" t="inlineStr">
        <is>
          <t>Internship</t>
        </is>
      </c>
      <c r="D1582" s="8" t="inlineStr">
        <is>
          <t>Public Policy Intern, APJC (July to December 2026)</t>
        </is>
      </c>
      <c r="E1582" s="7" t="inlineStr">
        <is>
          <t>Cloudflare</t>
        </is>
      </c>
      <c r="F1582" s="8" t="inlineStr">
        <is>
          <t>In-Office</t>
        </is>
      </c>
      <c r="G1582" s="8" t="n"/>
      <c r="H1582" s="14" t="n"/>
      <c r="I1582" s="15">
        <f>IF($H1582="","",$H1582-TODAY())</f>
        <v/>
      </c>
      <c r="J1582" s="16" t="inlineStr">
        <is>
          <t>Open posting</t>
        </is>
      </c>
      <c r="K1582" s="8" t="inlineStr">
        <is>
          <t>filtered by keyword pre-scan</t>
        </is>
      </c>
      <c r="L1582" s="17" t="inlineStr">
        <is>
          <t>new</t>
        </is>
      </c>
      <c r="M1582" s="18" t="inlineStr"/>
      <c r="N1582" s="7" t="inlineStr">
        <is>
          <t>a0f40ebc88dbb539c7fece9f2dea2691f19b5882</t>
        </is>
      </c>
      <c r="O1582" s="14" t="n">
        <v>46185</v>
      </c>
      <c r="P1582" s="7" t="inlineStr">
        <is>
          <t>greenhouse:cloudflare</t>
        </is>
      </c>
      <c r="Q1582" s="8" t="inlineStr"/>
      <c r="R1582" s="8" t="n"/>
      <c r="S1582" s="19" t="n"/>
      <c r="T1582" s="19" t="n"/>
      <c r="U1582" s="14" t="n">
        <v>46191</v>
      </c>
      <c r="V1582" s="7" t="inlineStr">
        <is>
          <t>v2-cv-accuracy-13b988b18da8ea7d</t>
        </is>
      </c>
    </row>
    <row r="1583" ht="28" customHeight="1">
      <c r="A1583" s="12">
        <f>IF($L1583="applied","Applied",IF($L1583="interview","Interview",IF($L1583="offer","Offer",IF($L1583="rejected","Rejected",IF($L1583="ignore","Ignore",IF($L1583="archive","Archive",IF($L1583="closed","Closed",IF($B1583="","Unscored",IF(AND($B1583&gt;=8,OR($H1583="",$H1583-TODAY()&lt;=14)),"P1 Apply",IF($B1583&gt;=7,"P2 Strong",IF($B1583&gt;=5,"P3 Maybe","P4 Low")))))))))))</f>
        <v/>
      </c>
      <c r="B1583" s="13" t="n">
        <v>0.2</v>
      </c>
      <c r="C1583" s="12" t="inlineStr">
        <is>
          <t>Unspecified</t>
        </is>
      </c>
      <c r="D1583" s="8" t="inlineStr">
        <is>
          <t>Solutions Architect, AI/Cloudflare Developer Platform</t>
        </is>
      </c>
      <c r="E1583" s="7" t="inlineStr">
        <is>
          <t>Cloudflare</t>
        </is>
      </c>
      <c r="F1583" s="8" t="inlineStr">
        <is>
          <t>Hybrid</t>
        </is>
      </c>
      <c r="G1583" s="8" t="n"/>
      <c r="H1583" s="14" t="n"/>
      <c r="I1583" s="15">
        <f>IF($H1583="","",$H1583-TODAY())</f>
        <v/>
      </c>
      <c r="J1583" s="16" t="inlineStr">
        <is>
          <t>Open posting</t>
        </is>
      </c>
      <c r="K1583" s="8" t="inlineStr">
        <is>
          <t>filtered by keyword pre-scan</t>
        </is>
      </c>
      <c r="L1583" s="17" t="inlineStr">
        <is>
          <t>new</t>
        </is>
      </c>
      <c r="M1583" s="18" t="inlineStr"/>
      <c r="N1583" s="7" t="inlineStr">
        <is>
          <t>38939d5f7e71a61b1b694710a48871bd2c8ed804</t>
        </is>
      </c>
      <c r="O1583" s="14" t="n">
        <v>46171</v>
      </c>
      <c r="P1583" s="7" t="inlineStr">
        <is>
          <t>greenhouse:cloudflare</t>
        </is>
      </c>
      <c r="Q1583" s="8" t="inlineStr"/>
      <c r="R1583" s="8" t="n"/>
      <c r="S1583" s="19" t="n"/>
      <c r="T1583" s="19" t="n"/>
      <c r="U1583" s="14" t="n">
        <v>46191</v>
      </c>
      <c r="V1583" s="7" t="inlineStr">
        <is>
          <t>v2-cv-accuracy-13b988b18da8ea7d</t>
        </is>
      </c>
    </row>
    <row r="1584" ht="28" customHeight="1">
      <c r="A1584" s="12">
        <f>IF($L1584="applied","Applied",IF($L1584="interview","Interview",IF($L1584="offer","Offer",IF($L1584="rejected","Rejected",IF($L1584="ignore","Ignore",IF($L1584="archive","Archive",IF($L1584="closed","Closed",IF($B1584="","Unscored",IF(AND($B1584&gt;=8,OR($H1584="",$H1584-TODAY()&lt;=14)),"P1 Apply",IF($B1584&gt;=7,"P2 Strong",IF($B1584&gt;=5,"P3 Maybe","P4 Low")))))))))))</f>
        <v/>
      </c>
      <c r="B1584" s="13" t="n">
        <v>0.2</v>
      </c>
      <c r="C1584" s="12" t="inlineStr">
        <is>
          <t>Unspecified</t>
        </is>
      </c>
      <c r="D1584" s="8" t="inlineStr">
        <is>
          <t>Solutions Engineer, Central &amp; Eastern Europe - Czech Speaking</t>
        </is>
      </c>
      <c r="E1584" s="7" t="inlineStr">
        <is>
          <t>Cloudflare</t>
        </is>
      </c>
      <c r="F1584" s="8" t="inlineStr">
        <is>
          <t>Hybrid</t>
        </is>
      </c>
      <c r="G1584" s="8" t="n"/>
      <c r="H1584" s="14" t="n"/>
      <c r="I1584" s="15">
        <f>IF($H1584="","",$H1584-TODAY())</f>
        <v/>
      </c>
      <c r="J1584" s="16" t="inlineStr">
        <is>
          <t>Open posting</t>
        </is>
      </c>
      <c r="K1584" s="8" t="inlineStr">
        <is>
          <t>filtered by keyword pre-scan</t>
        </is>
      </c>
      <c r="L1584" s="17" t="inlineStr">
        <is>
          <t>new</t>
        </is>
      </c>
      <c r="M1584" s="18" t="inlineStr"/>
      <c r="N1584" s="7" t="inlineStr">
        <is>
          <t>82d8e59854b8fbccc924b175c8ef35090af466f7</t>
        </is>
      </c>
      <c r="O1584" s="14" t="n">
        <v>46182</v>
      </c>
      <c r="P1584" s="7" t="inlineStr">
        <is>
          <t>greenhouse:cloudflare</t>
        </is>
      </c>
      <c r="Q1584" s="8" t="inlineStr"/>
      <c r="R1584" s="8" t="n"/>
      <c r="S1584" s="19" t="n"/>
      <c r="T1584" s="19" t="n"/>
      <c r="U1584" s="14" t="n">
        <v>46191</v>
      </c>
      <c r="V1584" s="7" t="inlineStr">
        <is>
          <t>v2-cv-accuracy-13b988b18da8ea7d</t>
        </is>
      </c>
    </row>
    <row r="1585" ht="28" customHeight="1">
      <c r="A1585" s="12">
        <f>IF($L1585="applied","Applied",IF($L1585="interview","Interview",IF($L1585="offer","Offer",IF($L1585="rejected","Rejected",IF($L1585="ignore","Ignore",IF($L1585="archive","Archive",IF($L1585="closed","Closed",IF($B1585="","Unscored",IF(AND($B1585&gt;=8,OR($H1585="",$H1585-TODAY()&lt;=14)),"P1 Apply",IF($B1585&gt;=7,"P2 Strong",IF($B1585&gt;=5,"P3 Maybe","P4 Low")))))))))))</f>
        <v/>
      </c>
      <c r="B1585" s="13" t="n">
        <v>0.2</v>
      </c>
      <c r="C1585" s="12" t="inlineStr">
        <is>
          <t>Unspecified</t>
        </is>
      </c>
      <c r="D1585" s="8" t="inlineStr">
        <is>
          <t>Solutions Engineer, Central &amp; Eastern Europe - Hebrew Speaking</t>
        </is>
      </c>
      <c r="E1585" s="7" t="inlineStr">
        <is>
          <t>Cloudflare</t>
        </is>
      </c>
      <c r="F1585" s="8" t="inlineStr">
        <is>
          <t>Hybrid</t>
        </is>
      </c>
      <c r="G1585" s="8" t="n"/>
      <c r="H1585" s="14" t="n"/>
      <c r="I1585" s="15">
        <f>IF($H1585="","",$H1585-TODAY())</f>
        <v/>
      </c>
      <c r="J1585" s="16" t="inlineStr">
        <is>
          <t>Open posting</t>
        </is>
      </c>
      <c r="K1585" s="8" t="inlineStr">
        <is>
          <t>filtered by keyword pre-scan</t>
        </is>
      </c>
      <c r="L1585" s="17" t="inlineStr">
        <is>
          <t>new</t>
        </is>
      </c>
      <c r="M1585" s="18" t="inlineStr"/>
      <c r="N1585" s="7" t="inlineStr">
        <is>
          <t>17ee79bcffcb13021266b9890fda012666830f5f</t>
        </is>
      </c>
      <c r="O1585" s="14" t="n">
        <v>46182</v>
      </c>
      <c r="P1585" s="7" t="inlineStr">
        <is>
          <t>greenhouse:cloudflare</t>
        </is>
      </c>
      <c r="Q1585" s="8" t="inlineStr"/>
      <c r="R1585" s="8" t="n"/>
      <c r="S1585" s="19" t="n"/>
      <c r="T1585" s="19" t="n"/>
      <c r="U1585" s="14" t="n">
        <v>46191</v>
      </c>
      <c r="V1585" s="7" t="inlineStr">
        <is>
          <t>v2-cv-accuracy-13b988b18da8ea7d</t>
        </is>
      </c>
    </row>
    <row r="1586" ht="28" customHeight="1">
      <c r="A1586" s="12">
        <f>IF($L1586="applied","Applied",IF($L1586="interview","Interview",IF($L1586="offer","Offer",IF($L1586="rejected","Rejected",IF($L1586="ignore","Ignore",IF($L1586="archive","Archive",IF($L1586="closed","Closed",IF($B1586="","Unscored",IF(AND($B1586&gt;=8,OR($H1586="",$H1586-TODAY()&lt;=14)),"P1 Apply",IF($B1586&gt;=7,"P2 Strong",IF($B1586&gt;=5,"P3 Maybe","P4 Low")))))))))))</f>
        <v/>
      </c>
      <c r="B1586" s="13" t="n">
        <v>0.2</v>
      </c>
      <c r="C1586" s="12" t="inlineStr">
        <is>
          <t>Unspecified</t>
        </is>
      </c>
      <c r="D1586" s="8" t="inlineStr">
        <is>
          <t>Systems Engineer, MAPS</t>
        </is>
      </c>
      <c r="E1586" s="7" t="inlineStr">
        <is>
          <t>Cloudflare</t>
        </is>
      </c>
      <c r="F1586" s="8" t="inlineStr">
        <is>
          <t>Hybrid</t>
        </is>
      </c>
      <c r="G1586" s="8" t="n"/>
      <c r="H1586" s="14" t="n"/>
      <c r="I1586" s="15">
        <f>IF($H1586="","",$H1586-TODAY())</f>
        <v/>
      </c>
      <c r="J1586" s="16" t="inlineStr">
        <is>
          <t>Open posting</t>
        </is>
      </c>
      <c r="K1586" s="8" t="inlineStr">
        <is>
          <t>filtered by keyword pre-scan</t>
        </is>
      </c>
      <c r="L1586" s="17" t="inlineStr">
        <is>
          <t>new</t>
        </is>
      </c>
      <c r="M1586" s="18" t="inlineStr"/>
      <c r="N1586" s="7" t="inlineStr">
        <is>
          <t>5a559cfd5fa326d1ceb492f8c5c7d1c60867090a</t>
        </is>
      </c>
      <c r="O1586" s="14" t="n">
        <v>46181</v>
      </c>
      <c r="P1586" s="7" t="inlineStr">
        <is>
          <t>greenhouse:cloudflare</t>
        </is>
      </c>
      <c r="Q1586" s="8" t="inlineStr"/>
      <c r="R1586" s="8" t="n"/>
      <c r="S1586" s="19" t="n"/>
      <c r="T1586" s="19" t="n"/>
      <c r="U1586" s="14" t="n">
        <v>46191</v>
      </c>
      <c r="V1586" s="7" t="inlineStr">
        <is>
          <t>v2-cv-accuracy-13b988b18da8ea7d</t>
        </is>
      </c>
    </row>
    <row r="1587" ht="28" customHeight="1">
      <c r="A1587" s="12">
        <f>IF($L1587="applied","Applied",IF($L1587="interview","Interview",IF($L1587="offer","Offer",IF($L1587="rejected","Rejected",IF($L1587="ignore","Ignore",IF($L1587="archive","Archive",IF($L1587="closed","Closed",IF($B1587="","Unscored",IF(AND($B1587&gt;=8,OR($H1587="",$H1587-TODAY()&lt;=14)),"P1 Apply",IF($B1587&gt;=7,"P2 Strong",IF($B1587&gt;=5,"P3 Maybe","P4 Low")))))))))))</f>
        <v/>
      </c>
      <c r="B1587" s="13" t="n">
        <v>0.2</v>
      </c>
      <c r="C1587" s="12" t="inlineStr">
        <is>
          <t>Graduate/Entry</t>
        </is>
      </c>
      <c r="D1587" s="8" t="inlineStr">
        <is>
          <t>Graduate Project Engineer</t>
        </is>
      </c>
      <c r="E1587" s="7" t="inlineStr">
        <is>
          <t>Crowder Consulting</t>
        </is>
      </c>
      <c r="F1587" s="8" t="inlineStr">
        <is>
          <t>Birkenhead, ENG, GB</t>
        </is>
      </c>
      <c r="G1587" s="8" t="n"/>
      <c r="H1587" s="14" t="n"/>
      <c r="I1587" s="15">
        <f>IF($H1587="","",$H1587-TODAY())</f>
        <v/>
      </c>
      <c r="J1587" s="16" t="inlineStr">
        <is>
          <t>Open posting</t>
        </is>
      </c>
      <c r="K1587" s="8" t="inlineStr">
        <is>
          <t>filtered by keyword pre-scan</t>
        </is>
      </c>
      <c r="L1587" s="17" t="inlineStr">
        <is>
          <t>new</t>
        </is>
      </c>
      <c r="M1587" s="18" t="inlineStr"/>
      <c r="N1587" s="7" t="inlineStr">
        <is>
          <t>65f8e3486b6eb01a587795db631a20c600c06014</t>
        </is>
      </c>
      <c r="O1587" s="14" t="n">
        <v>46189</v>
      </c>
      <c r="P1587" s="7" t="inlineStr">
        <is>
          <t>jobspy</t>
        </is>
      </c>
      <c r="Q1587" s="8" t="inlineStr"/>
      <c r="R1587" s="8" t="inlineStr">
        <is>
          <t>Graduate Software Developer</t>
        </is>
      </c>
      <c r="S1587" s="19" t="n"/>
      <c r="T1587" s="19" t="n"/>
      <c r="U1587" s="14" t="n">
        <v>46191</v>
      </c>
      <c r="V1587" s="7" t="inlineStr">
        <is>
          <t>v2-cv-accuracy-13b988b18da8ea7d</t>
        </is>
      </c>
    </row>
    <row r="1588" ht="28" customHeight="1">
      <c r="A1588" s="12">
        <f>IF($L1588="applied","Applied",IF($L1588="interview","Interview",IF($L1588="offer","Offer",IF($L1588="rejected","Rejected",IF($L1588="ignore","Ignore",IF($L1588="archive","Archive",IF($L1588="closed","Closed",IF($B1588="","Unscored",IF(AND($B1588&gt;=8,OR($H1588="",$H1588-TODAY()&lt;=14)),"P1 Apply",IF($B1588&gt;=7,"P2 Strong",IF($B1588&gt;=5,"P3 Maybe","P4 Low")))))))))))</f>
        <v/>
      </c>
      <c r="B1588" s="13" t="n">
        <v>0.2</v>
      </c>
      <c r="C1588" s="12" t="inlineStr">
        <is>
          <t>Senior/Lead</t>
        </is>
      </c>
      <c r="D1588" s="8" t="inlineStr">
        <is>
          <t>Accounts Payable Assistant</t>
        </is>
      </c>
      <c r="E1588" s="7" t="inlineStr">
        <is>
          <t>Rebellion</t>
        </is>
      </c>
      <c r="F1588" s="8" t="inlineStr">
        <is>
          <t>Oxford, ENG, GB</t>
        </is>
      </c>
      <c r="G1588" s="8" t="n"/>
      <c r="H1588" s="14" t="n"/>
      <c r="I1588" s="15">
        <f>IF($H1588="","",$H1588-TODAY())</f>
        <v/>
      </c>
      <c r="J1588" s="16" t="inlineStr">
        <is>
          <t>Open posting</t>
        </is>
      </c>
      <c r="K1588" s="8" t="inlineStr">
        <is>
          <t>filtered by keyword pre-scan</t>
        </is>
      </c>
      <c r="L1588" s="17" t="inlineStr">
        <is>
          <t>new</t>
        </is>
      </c>
      <c r="M1588" s="18" t="inlineStr"/>
      <c r="N1588" s="7" t="inlineStr">
        <is>
          <t>ad54505293f5577cd059f37d26671141d475cdba</t>
        </is>
      </c>
      <c r="O1588" s="14" t="n">
        <v>46189</v>
      </c>
      <c r="P1588" s="7" t="inlineStr">
        <is>
          <t>jobspy</t>
        </is>
      </c>
      <c r="Q1588" s="8" t="inlineStr"/>
      <c r="R1588" s="8" t="inlineStr">
        <is>
          <t>Graduate Software Developer</t>
        </is>
      </c>
      <c r="S1588" s="19" t="n"/>
      <c r="T1588" s="19" t="n"/>
      <c r="U1588" s="14" t="n">
        <v>46191</v>
      </c>
      <c r="V1588" s="7" t="inlineStr">
        <is>
          <t>v2-cv-accuracy-13b988b18da8ea7d</t>
        </is>
      </c>
    </row>
    <row r="1589" ht="28" customHeight="1">
      <c r="A1589" s="12">
        <f>IF($L1589="applied","Applied",IF($L1589="interview","Interview",IF($L1589="offer","Offer",IF($L1589="rejected","Rejected",IF($L1589="ignore","Ignore",IF($L1589="archive","Archive",IF($L1589="closed","Closed",IF($B1589="","Unscored",IF(AND($B1589&gt;=8,OR($H1589="",$H1589-TODAY()&lt;=14)),"P1 Apply",IF($B1589&gt;=7,"P2 Strong",IF($B1589&gt;=5,"P3 Maybe","P4 Low")))))))))))</f>
        <v/>
      </c>
      <c r="B1589" s="13" t="n">
        <v>0.2</v>
      </c>
      <c r="C1589" s="12" t="inlineStr">
        <is>
          <t>Junior</t>
        </is>
      </c>
      <c r="D1589" s="8" t="inlineStr">
        <is>
          <t>Chartered Structural Engineer</t>
        </is>
      </c>
      <c r="E1589" s="7" t="inlineStr">
        <is>
          <t>Continental Market Trading</t>
        </is>
      </c>
      <c r="F1589" s="8" t="inlineStr">
        <is>
          <t>London, ENG, GB</t>
        </is>
      </c>
      <c r="G1589" s="8" t="n"/>
      <c r="H1589" s="14" t="n"/>
      <c r="I1589" s="15">
        <f>IF($H1589="","",$H1589-TODAY())</f>
        <v/>
      </c>
      <c r="J1589" s="16" t="inlineStr">
        <is>
          <t>Open posting</t>
        </is>
      </c>
      <c r="K1589" s="8" t="inlineStr">
        <is>
          <t>filtered by keyword pre-scan</t>
        </is>
      </c>
      <c r="L1589" s="17" t="inlineStr">
        <is>
          <t>new</t>
        </is>
      </c>
      <c r="M1589" s="18" t="inlineStr"/>
      <c r="N1589" s="7" t="inlineStr">
        <is>
          <t>8888b568605a7857a5e772474cca905949ed7451</t>
        </is>
      </c>
      <c r="O1589" s="14" t="n">
        <v>46188</v>
      </c>
      <c r="P1589" s="7" t="inlineStr">
        <is>
          <t>jobspy</t>
        </is>
      </c>
      <c r="Q1589" s="8" t="inlineStr"/>
      <c r="R1589" s="8" t="inlineStr">
        <is>
          <t>Graduate Software Developer</t>
        </is>
      </c>
      <c r="S1589" s="19" t="n"/>
      <c r="T1589" s="19" t="n"/>
      <c r="U1589" s="14" t="n">
        <v>46191</v>
      </c>
      <c r="V1589" s="7" t="inlineStr">
        <is>
          <t>v2-cv-accuracy-13b988b18da8ea7d</t>
        </is>
      </c>
    </row>
    <row r="1590" ht="28" customHeight="1">
      <c r="A1590" s="12">
        <f>IF($L1590="applied","Applied",IF($L1590="interview","Interview",IF($L1590="offer","Offer",IF($L1590="rejected","Rejected",IF($L1590="ignore","Ignore",IF($L1590="archive","Archive",IF($L1590="closed","Closed",IF($B1590="","Unscored",IF(AND($B1590&gt;=8,OR($H1590="",$H1590-TODAY()&lt;=14)),"P1 Apply",IF($B1590&gt;=7,"P2 Strong",IF($B1590&gt;=5,"P3 Maybe","P4 Low")))))))))))</f>
        <v/>
      </c>
      <c r="B1590" s="13" t="n">
        <v>0.2</v>
      </c>
      <c r="C1590" s="12" t="inlineStr">
        <is>
          <t>Graduate/Entry</t>
        </is>
      </c>
      <c r="D1590" s="8" t="inlineStr">
        <is>
          <t>Graduate Software Engineer</t>
        </is>
      </c>
      <c r="E1590" s="7" t="inlineStr">
        <is>
          <t>CityGrad</t>
        </is>
      </c>
      <c r="F1590" s="8" t="inlineStr">
        <is>
          <t>London Area, United Kingdom</t>
        </is>
      </c>
      <c r="G1590" s="8" t="n"/>
      <c r="H1590" s="14" t="n"/>
      <c r="I1590" s="15">
        <f>IF($H1590="","",$H1590-TODAY())</f>
        <v/>
      </c>
      <c r="J1590" s="16" t="inlineStr">
        <is>
          <t>Open posting</t>
        </is>
      </c>
      <c r="K1590" s="8" t="inlineStr">
        <is>
          <t>filtered by keyword pre-scan</t>
        </is>
      </c>
      <c r="L1590" s="17" t="inlineStr">
        <is>
          <t>new</t>
        </is>
      </c>
      <c r="M1590" s="18" t="inlineStr"/>
      <c r="N1590" s="7" t="inlineStr">
        <is>
          <t>f5ef7a30f707340a82b1e12da1ad532db85c519b</t>
        </is>
      </c>
      <c r="O1590" s="14" t="n">
        <v>46183</v>
      </c>
      <c r="P1590" s="7" t="inlineStr">
        <is>
          <t>jobspy</t>
        </is>
      </c>
      <c r="Q1590" s="8" t="inlineStr"/>
      <c r="R1590" s="8" t="inlineStr">
        <is>
          <t>Graduate Software Developer</t>
        </is>
      </c>
      <c r="S1590" s="19" t="n"/>
      <c r="T1590" s="19" t="n"/>
      <c r="U1590" s="14" t="n">
        <v>46191</v>
      </c>
      <c r="V1590" s="7" t="inlineStr">
        <is>
          <t>v2-cv-accuracy-13b988b18da8ea7d</t>
        </is>
      </c>
    </row>
    <row r="1591" ht="28" customHeight="1">
      <c r="A1591" s="12">
        <f>IF($L1591="applied","Applied",IF($L1591="interview","Interview",IF($L1591="offer","Offer",IF($L1591="rejected","Rejected",IF($L1591="ignore","Ignore",IF($L1591="archive","Archive",IF($L1591="closed","Closed",IF($B1591="","Unscored",IF(AND($B1591&gt;=8,OR($H1591="",$H1591-TODAY()&lt;=14)),"P1 Apply",IF($B1591&gt;=7,"P2 Strong",IF($B1591&gt;=5,"P3 Maybe","P4 Low")))))))))))</f>
        <v/>
      </c>
      <c r="B1591" s="13" t="n">
        <v>0.2</v>
      </c>
      <c r="C1591" s="12" t="inlineStr">
        <is>
          <t>Junior</t>
        </is>
      </c>
      <c r="D1591" s="8" t="inlineStr">
        <is>
          <t>Junior Software Engineer</t>
        </is>
      </c>
      <c r="E1591" s="7" t="inlineStr">
        <is>
          <t>hackajob</t>
        </is>
      </c>
      <c r="F1591" s="8" t="inlineStr">
        <is>
          <t>London, England, UK</t>
        </is>
      </c>
      <c r="G1591" s="8" t="n"/>
      <c r="H1591" s="14" t="n"/>
      <c r="I1591" s="15">
        <f>IF($H1591="","",$H1591-TODAY())</f>
        <v/>
      </c>
      <c r="J1591" s="16" t="inlineStr">
        <is>
          <t>Open posting</t>
        </is>
      </c>
      <c r="K1591" s="8" t="inlineStr">
        <is>
          <t>filtered by keyword pre-scan</t>
        </is>
      </c>
      <c r="L1591" s="17" t="inlineStr">
        <is>
          <t>new</t>
        </is>
      </c>
      <c r="M1591" s="18" t="inlineStr"/>
      <c r="N1591" s="7" t="inlineStr">
        <is>
          <t>0487cf1fcab26cf000f4ef2ca5f2846059efa385</t>
        </is>
      </c>
      <c r="O1591" s="14" t="n">
        <v>46175</v>
      </c>
      <c r="P1591" s="7" t="inlineStr">
        <is>
          <t>jobspy</t>
        </is>
      </c>
      <c r="Q1591" s="8" t="inlineStr"/>
      <c r="R1591" s="8" t="inlineStr">
        <is>
          <t>Graduate Software Developer</t>
        </is>
      </c>
      <c r="S1591" s="19" t="n"/>
      <c r="T1591" s="19" t="n"/>
      <c r="U1591" s="14" t="n">
        <v>46191</v>
      </c>
      <c r="V1591" s="7" t="inlineStr">
        <is>
          <t>v2-cv-accuracy-13b988b18da8ea7d</t>
        </is>
      </c>
    </row>
    <row r="1592" ht="28" customHeight="1">
      <c r="A1592" s="12">
        <f>IF($L1592="applied","Applied",IF($L1592="interview","Interview",IF($L1592="offer","Offer",IF($L1592="rejected","Rejected",IF($L1592="ignore","Ignore",IF($L1592="archive","Archive",IF($L1592="closed","Closed",IF($B1592="","Unscored",IF(AND($B1592&gt;=8,OR($H1592="",$H1592-TODAY()&lt;=14)),"P1 Apply",IF($B1592&gt;=7,"P2 Strong",IF($B1592&gt;=5,"P3 Maybe","P4 Low")))))))))))</f>
        <v/>
      </c>
      <c r="B1592" s="13" t="n">
        <v>0.2</v>
      </c>
      <c r="C1592" s="12" t="inlineStr">
        <is>
          <t>Senior/Lead</t>
        </is>
      </c>
      <c r="D1592" s="8" t="inlineStr">
        <is>
          <t>Oracle HCM Engineer</t>
        </is>
      </c>
      <c r="E1592" s="7" t="inlineStr">
        <is>
          <t>Ocado Logistics</t>
        </is>
      </c>
      <c r="F1592" s="8" t="inlineStr">
        <is>
          <t>England, United Kingdom</t>
        </is>
      </c>
      <c r="G1592" s="8" t="n"/>
      <c r="H1592" s="14" t="n"/>
      <c r="I1592" s="15">
        <f>IF($H1592="","",$H1592-TODAY())</f>
        <v/>
      </c>
      <c r="J1592" s="16" t="inlineStr">
        <is>
          <t>Open posting</t>
        </is>
      </c>
      <c r="K1592" s="8" t="inlineStr">
        <is>
          <t>filtered by keyword pre-scan</t>
        </is>
      </c>
      <c r="L1592" s="17" t="inlineStr">
        <is>
          <t>new</t>
        </is>
      </c>
      <c r="M1592" s="18" t="inlineStr"/>
      <c r="N1592" s="7" t="inlineStr">
        <is>
          <t>ed99cf4b689a7ee857b6d4906400744af36ef35e</t>
        </is>
      </c>
      <c r="O1592" s="14" t="n">
        <v>46177</v>
      </c>
      <c r="P1592" s="7" t="inlineStr">
        <is>
          <t>jobspy</t>
        </is>
      </c>
      <c r="Q1592" s="8" t="inlineStr"/>
      <c r="R1592" s="8" t="inlineStr">
        <is>
          <t>entry level Graduate Software Developer</t>
        </is>
      </c>
      <c r="S1592" s="19" t="n"/>
      <c r="T1592" s="19" t="n"/>
      <c r="U1592" s="14" t="n">
        <v>46191</v>
      </c>
      <c r="V1592" s="7" t="inlineStr">
        <is>
          <t>v2-cv-accuracy-13b988b18da8ea7d</t>
        </is>
      </c>
    </row>
    <row r="1593" ht="28" customHeight="1">
      <c r="A1593" s="12">
        <f>IF($L1593="applied","Applied",IF($L1593="interview","Interview",IF($L1593="offer","Offer",IF($L1593="rejected","Rejected",IF($L1593="ignore","Ignore",IF($L1593="archive","Archive",IF($L1593="closed","Closed",IF($B1593="","Unscored",IF(AND($B1593&gt;=8,OR($H1593="",$H1593-TODAY()&lt;=14)),"P1 Apply",IF($B1593&gt;=7,"P2 Strong",IF($B1593&gt;=5,"P3 Maybe","P4 Low")))))))))))</f>
        <v/>
      </c>
      <c r="B1593" s="13" t="n">
        <v>0.2</v>
      </c>
      <c r="C1593" s="12" t="inlineStr">
        <is>
          <t>Junior</t>
        </is>
      </c>
      <c r="D1593" s="8" t="inlineStr">
        <is>
          <t>Integration Engineer</t>
        </is>
      </c>
      <c r="E1593" s="7" t="inlineStr">
        <is>
          <t>Oliver Bernard</t>
        </is>
      </c>
      <c r="F1593" s="8" t="inlineStr">
        <is>
          <t>London Area, United Kingdom</t>
        </is>
      </c>
      <c r="G1593" s="8" t="n"/>
      <c r="H1593" s="14" t="n"/>
      <c r="I1593" s="15">
        <f>IF($H1593="","",$H1593-TODAY())</f>
        <v/>
      </c>
      <c r="J1593" s="16" t="inlineStr">
        <is>
          <t>Open posting</t>
        </is>
      </c>
      <c r="K1593" s="8" t="inlineStr">
        <is>
          <t>filtered by keyword pre-scan</t>
        </is>
      </c>
      <c r="L1593" s="17" t="inlineStr">
        <is>
          <t>new</t>
        </is>
      </c>
      <c r="M1593" s="18" t="inlineStr"/>
      <c r="N1593" s="7" t="inlineStr">
        <is>
          <t>2fbbd9ddabd47cc96fc4931b7f2d29e39cdb74d0</t>
        </is>
      </c>
      <c r="O1593" s="14" t="n">
        <v>46174</v>
      </c>
      <c r="P1593" s="7" t="inlineStr">
        <is>
          <t>jobspy</t>
        </is>
      </c>
      <c r="Q1593" s="8" t="inlineStr"/>
      <c r="R1593" s="8" t="inlineStr">
        <is>
          <t>entry level Graduate Software Developer</t>
        </is>
      </c>
      <c r="S1593" s="19" t="n"/>
      <c r="T1593" s="19" t="n"/>
      <c r="U1593" s="14" t="n">
        <v>46191</v>
      </c>
      <c r="V1593" s="7" t="inlineStr">
        <is>
          <t>v2-cv-accuracy-13b988b18da8ea7d</t>
        </is>
      </c>
    </row>
    <row r="1594" ht="28" customHeight="1">
      <c r="A1594" s="12">
        <f>IF($L1594="applied","Applied",IF($L1594="interview","Interview",IF($L1594="offer","Offer",IF($L1594="rejected","Rejected",IF($L1594="ignore","Ignore",IF($L1594="archive","Archive",IF($L1594="closed","Closed",IF($B1594="","Unscored",IF(AND($B1594&gt;=8,OR($H1594="",$H1594-TODAY()&lt;=14)),"P1 Apply",IF($B1594&gt;=7,"P2 Strong",IF($B1594&gt;=5,"P3 Maybe","P4 Low")))))))))))</f>
        <v/>
      </c>
      <c r="B1594" s="13" t="n">
        <v>0.2</v>
      </c>
      <c r="C1594" s="12" t="inlineStr">
        <is>
          <t>Junior</t>
        </is>
      </c>
      <c r="D1594" s="8" t="inlineStr">
        <is>
          <t>Junior C++ Developer</t>
        </is>
      </c>
      <c r="E1594" s="7" t="inlineStr">
        <is>
          <t>Noir</t>
        </is>
      </c>
      <c r="F1594" s="8" t="inlineStr">
        <is>
          <t>Manchester, England, UK</t>
        </is>
      </c>
      <c r="G1594" s="8" t="n"/>
      <c r="H1594" s="14" t="n"/>
      <c r="I1594" s="15">
        <f>IF($H1594="","",$H1594-TODAY())</f>
        <v/>
      </c>
      <c r="J1594" s="16" t="inlineStr">
        <is>
          <t>Open posting</t>
        </is>
      </c>
      <c r="K1594" s="8" t="inlineStr">
        <is>
          <t>filtered by keyword pre-scan</t>
        </is>
      </c>
      <c r="L1594" s="17" t="inlineStr">
        <is>
          <t>new</t>
        </is>
      </c>
      <c r="M1594" s="18" t="inlineStr"/>
      <c r="N1594" s="7" t="inlineStr">
        <is>
          <t>44e8464b004a49efb29b1a7dcc20e4059d60bef1</t>
        </is>
      </c>
      <c r="O1594" s="14" t="n">
        <v>46182</v>
      </c>
      <c r="P1594" s="7" t="inlineStr">
        <is>
          <t>jobspy</t>
        </is>
      </c>
      <c r="Q1594" s="8" t="inlineStr"/>
      <c r="R1594" s="8" t="inlineStr">
        <is>
          <t>junior/graduate Junior Python Developer</t>
        </is>
      </c>
      <c r="S1594" s="19" t="n"/>
      <c r="T1594" s="19" t="n"/>
      <c r="U1594" s="14" t="n">
        <v>46191</v>
      </c>
      <c r="V1594" s="7" t="inlineStr">
        <is>
          <t>v2-cv-accuracy-13b988b18da8ea7d</t>
        </is>
      </c>
    </row>
    <row r="1595" ht="28" customHeight="1">
      <c r="A1595" s="12">
        <f>IF($L1595="applied","Applied",IF($L1595="interview","Interview",IF($L1595="offer","Offer",IF($L1595="rejected","Rejected",IF($L1595="ignore","Ignore",IF($L1595="archive","Archive",IF($L1595="closed","Closed",IF($B1595="","Unscored",IF(AND($B1595&gt;=8,OR($H1595="",$H1595-TODAY()&lt;=14)),"P1 Apply",IF($B1595&gt;=7,"P2 Strong",IF($B1595&gt;=5,"P3 Maybe","P4 Low")))))))))))</f>
        <v/>
      </c>
      <c r="B1595" s="13" t="n">
        <v>0.2</v>
      </c>
      <c r="C1595" s="12" t="inlineStr">
        <is>
          <t>Senior/Lead</t>
        </is>
      </c>
      <c r="D1595" s="8" t="inlineStr">
        <is>
          <t>React Developer</t>
        </is>
      </c>
      <c r="E1595" s="7" t="inlineStr">
        <is>
          <t>Deloitte</t>
        </is>
      </c>
      <c r="F1595" s="8" t="inlineStr">
        <is>
          <t>City Of London, England, UK</t>
        </is>
      </c>
      <c r="G1595" s="8" t="n"/>
      <c r="H1595" s="14" t="n"/>
      <c r="I1595" s="15">
        <f>IF($H1595="","",$H1595-TODAY())</f>
        <v/>
      </c>
      <c r="J1595" s="16" t="inlineStr">
        <is>
          <t>Open posting</t>
        </is>
      </c>
      <c r="K1595" s="8" t="inlineStr">
        <is>
          <t>filtered by keyword pre-scan</t>
        </is>
      </c>
      <c r="L1595" s="17" t="inlineStr">
        <is>
          <t>new</t>
        </is>
      </c>
      <c r="M1595" s="18" t="inlineStr"/>
      <c r="N1595" s="7" t="inlineStr">
        <is>
          <t>482ae70d784ff0776bc671aebe97f06d6aa0d745</t>
        </is>
      </c>
      <c r="O1595" s="14" t="n"/>
      <c r="P1595" s="7" t="inlineStr">
        <is>
          <t>jobspy</t>
        </is>
      </c>
      <c r="Q1595" s="8" t="inlineStr"/>
      <c r="R1595" s="8" t="inlineStr">
        <is>
          <t>Full Stack Developer Sheffield</t>
        </is>
      </c>
      <c r="S1595" s="19" t="n"/>
      <c r="T1595" s="19" t="n"/>
      <c r="U1595" s="14" t="n">
        <v>46191</v>
      </c>
      <c r="V1595" s="7" t="inlineStr">
        <is>
          <t>v2-cv-accuracy-13b988b18da8ea7d</t>
        </is>
      </c>
    </row>
    <row r="1596" ht="28" customHeight="1">
      <c r="A1596" s="12">
        <f>IF($L1596="applied","Applied",IF($L1596="interview","Interview",IF($L1596="offer","Offer",IF($L1596="rejected","Rejected",IF($L1596="ignore","Ignore",IF($L1596="archive","Archive",IF($L1596="closed","Closed",IF($B1596="","Unscored",IF(AND($B1596&gt;=8,OR($H1596="",$H1596-TODAY()&lt;=14)),"P1 Apply",IF($B1596&gt;=7,"P2 Strong",IF($B1596&gt;=5,"P3 Maybe","P4 Low")))))))))))</f>
        <v/>
      </c>
      <c r="B1596" s="13" t="n">
        <v>0.2</v>
      </c>
      <c r="C1596" s="12" t="inlineStr">
        <is>
          <t>Internship</t>
        </is>
      </c>
      <c r="D1596" s="8" t="inlineStr">
        <is>
          <t>Full-Stack Developer Intern, Music &amp; Audio</t>
        </is>
      </c>
      <c r="E1596" s="7" t="inlineStr">
        <is>
          <t>Melotech</t>
        </is>
      </c>
      <c r="F1596" s="8" t="inlineStr">
        <is>
          <t>London, England, UK</t>
        </is>
      </c>
      <c r="G1596" s="8" t="n"/>
      <c r="H1596" s="14" t="n"/>
      <c r="I1596" s="15">
        <f>IF($H1596="","",$H1596-TODAY())</f>
        <v/>
      </c>
      <c r="J1596" s="16" t="inlineStr">
        <is>
          <t>Open posting</t>
        </is>
      </c>
      <c r="K1596" s="8" t="inlineStr">
        <is>
          <t>filtered by keyword pre-scan</t>
        </is>
      </c>
      <c r="L1596" s="17" t="inlineStr">
        <is>
          <t>new</t>
        </is>
      </c>
      <c r="M1596" s="18" t="inlineStr"/>
      <c r="N1596" s="7" t="inlineStr">
        <is>
          <t>c401e76a1e484efcc6e1b7b06c4e4a12b76b7878</t>
        </is>
      </c>
      <c r="O1596" s="14" t="n">
        <v>46170</v>
      </c>
      <c r="P1596" s="7" t="inlineStr">
        <is>
          <t>jobspy</t>
        </is>
      </c>
      <c r="Q1596" s="8" t="inlineStr"/>
      <c r="R1596" s="8" t="inlineStr">
        <is>
          <t>junior Full Stack Developer</t>
        </is>
      </c>
      <c r="S1596" s="19" t="n"/>
      <c r="T1596" s="19" t="n"/>
      <c r="U1596" s="14" t="n">
        <v>46191</v>
      </c>
      <c r="V1596" s="7" t="inlineStr">
        <is>
          <t>v2-cv-accuracy-13b988b18da8ea7d</t>
        </is>
      </c>
    </row>
    <row r="1597" ht="28" customHeight="1">
      <c r="A1597" s="12">
        <f>IF($L1597="applied","Applied",IF($L1597="interview","Interview",IF($L1597="offer","Offer",IF($L1597="rejected","Rejected",IF($L1597="ignore","Ignore",IF($L1597="archive","Archive",IF($L1597="closed","Closed",IF($B1597="","Unscored",IF(AND($B1597&gt;=8,OR($H1597="",$H1597-TODAY()&lt;=14)),"P1 Apply",IF($B1597&gt;=7,"P2 Strong",IF($B1597&gt;=5,"P3 Maybe","P4 Low")))))))))))</f>
        <v/>
      </c>
      <c r="B1597" s="13" t="n">
        <v>0.2</v>
      </c>
      <c r="C1597" s="12" t="inlineStr">
        <is>
          <t>Mid-level</t>
        </is>
      </c>
      <c r="D1597" s="8" t="inlineStr">
        <is>
          <t>Service Delivery Engineer Fixed Term</t>
        </is>
      </c>
      <c r="E1597" s="7" t="inlineStr">
        <is>
          <t>CPM UK</t>
        </is>
      </c>
      <c r="F1597" s="8" t="inlineStr">
        <is>
          <t>Stokenchurch, England, UK</t>
        </is>
      </c>
      <c r="G1597" s="8" t="n"/>
      <c r="H1597" s="14" t="n"/>
      <c r="I1597" s="15">
        <f>IF($H1597="","",$H1597-TODAY())</f>
        <v/>
      </c>
      <c r="J1597" s="16" t="inlineStr">
        <is>
          <t>Open posting</t>
        </is>
      </c>
      <c r="K1597" s="8" t="inlineStr">
        <is>
          <t>filtered by keyword pre-scan</t>
        </is>
      </c>
      <c r="L1597" s="17" t="inlineStr">
        <is>
          <t>new</t>
        </is>
      </c>
      <c r="M1597" s="18" t="inlineStr"/>
      <c r="N1597" s="7" t="inlineStr">
        <is>
          <t>6972eb322a97fcd6e422231d2bd8fecf0cdf949b</t>
        </is>
      </c>
      <c r="O1597" s="14" t="n">
        <v>46187</v>
      </c>
      <c r="P1597" s="7" t="inlineStr">
        <is>
          <t>jobspy</t>
        </is>
      </c>
      <c r="Q1597" s="8" t="inlineStr"/>
      <c r="R1597" s="8" t="inlineStr">
        <is>
          <t>entry level Graduate Software Developer</t>
        </is>
      </c>
      <c r="S1597" s="19" t="n"/>
      <c r="T1597" s="19" t="n"/>
      <c r="U1597" s="14" t="n">
        <v>46191</v>
      </c>
      <c r="V1597" s="7" t="inlineStr">
        <is>
          <t>v2-cv-accuracy-13b988b18da8ea7d</t>
        </is>
      </c>
    </row>
    <row r="1598" ht="28" customHeight="1">
      <c r="A1598" s="12">
        <f>IF($L1598="applied","Applied",IF($L1598="interview","Interview",IF($L1598="offer","Offer",IF($L1598="rejected","Rejected",IF($L1598="ignore","Ignore",IF($L1598="archive","Archive",IF($L1598="closed","Closed",IF($B1598="","Unscored",IF(AND($B1598&gt;=8,OR($H1598="",$H1598-TODAY()&lt;=14)),"P1 Apply",IF($B1598&gt;=7,"P2 Strong",IF($B1598&gt;=5,"P3 Maybe","P4 Low")))))))))))</f>
        <v/>
      </c>
      <c r="B1598" s="13" t="n">
        <v>0.2</v>
      </c>
      <c r="C1598" s="12" t="inlineStr">
        <is>
          <t>Junior</t>
        </is>
      </c>
      <c r="D1598" s="8" t="inlineStr">
        <is>
          <t>Junior C# Full Stack Engineer (197637)</t>
        </is>
      </c>
      <c r="E1598" s="7" t="inlineStr">
        <is>
          <t>Harnham</t>
        </is>
      </c>
      <c r="F1598" s="8" t="inlineStr">
        <is>
          <t>London Area, United Kingdom</t>
        </is>
      </c>
      <c r="G1598" s="8" t="n"/>
      <c r="H1598" s="14" t="n"/>
      <c r="I1598" s="15">
        <f>IF($H1598="","",$H1598-TODAY())</f>
        <v/>
      </c>
      <c r="J1598" s="16" t="inlineStr">
        <is>
          <t>Open posting</t>
        </is>
      </c>
      <c r="K1598" s="8" t="inlineStr">
        <is>
          <t>filtered by keyword pre-scan</t>
        </is>
      </c>
      <c r="L1598" s="17" t="inlineStr">
        <is>
          <t>new</t>
        </is>
      </c>
      <c r="M1598" s="18" t="inlineStr"/>
      <c r="N1598" s="7" t="inlineStr">
        <is>
          <t>98f6847c4441430bba81e47a8ed9cf307d344710</t>
        </is>
      </c>
      <c r="O1598" s="14" t="n"/>
      <c r="P1598" s="7" t="inlineStr">
        <is>
          <t>jobspy</t>
        </is>
      </c>
      <c r="Q1598" s="8" t="inlineStr"/>
      <c r="R1598" s="8" t="inlineStr">
        <is>
          <t>entry level Full Stack Developer</t>
        </is>
      </c>
      <c r="S1598" s="19" t="n"/>
      <c r="T1598" s="19" t="n"/>
      <c r="U1598" s="14" t="n">
        <v>46191</v>
      </c>
      <c r="V1598" s="7" t="inlineStr">
        <is>
          <t>v2-cv-accuracy-13b988b18da8ea7d</t>
        </is>
      </c>
    </row>
    <row r="1599" ht="28" customHeight="1">
      <c r="A1599" s="12">
        <f>IF($L1599="applied","Applied",IF($L1599="interview","Interview",IF($L1599="offer","Offer",IF($L1599="rejected","Rejected",IF($L1599="ignore","Ignore",IF($L1599="archive","Archive",IF($L1599="closed","Closed",IF($B1599="","Unscored",IF(AND($B1599&gt;=8,OR($H1599="",$H1599-TODAY()&lt;=14)),"P1 Apply",IF($B1599&gt;=7,"P2 Strong",IF($B1599&gt;=5,"P3 Maybe","P4 Low")))))))))))</f>
        <v/>
      </c>
      <c r="B1599" s="13" t="n">
        <v>0.2</v>
      </c>
      <c r="C1599" s="12" t="inlineStr">
        <is>
          <t>Unspecified</t>
        </is>
      </c>
      <c r="D1599" s="8" t="inlineStr">
        <is>
          <t>Java Specialist</t>
        </is>
      </c>
      <c r="E1599" s="7" t="inlineStr">
        <is>
          <t>Q1 Technologies, Inc.</t>
        </is>
      </c>
      <c r="F1599" s="8" t="inlineStr">
        <is>
          <t>Bournemouth, England, UK</t>
        </is>
      </c>
      <c r="G1599" s="8" t="n"/>
      <c r="H1599" s="14" t="n"/>
      <c r="I1599" s="15">
        <f>IF($H1599="","",$H1599-TODAY())</f>
        <v/>
      </c>
      <c r="J1599" s="16" t="inlineStr">
        <is>
          <t>Open posting</t>
        </is>
      </c>
      <c r="K1599" s="8" t="inlineStr">
        <is>
          <t>filtered by keyword pre-scan</t>
        </is>
      </c>
      <c r="L1599" s="17" t="inlineStr">
        <is>
          <t>new</t>
        </is>
      </c>
      <c r="M1599" s="18" t="inlineStr"/>
      <c r="N1599" s="7" t="inlineStr">
        <is>
          <t>0865a833368a41ba3e3e9d5365c982d7766aa107</t>
        </is>
      </c>
      <c r="O1599" s="14" t="n">
        <v>46190</v>
      </c>
      <c r="P1599" s="7" t="inlineStr">
        <is>
          <t>jobspy</t>
        </is>
      </c>
      <c r="Q1599" s="8" t="inlineStr"/>
      <c r="R1599" s="8" t="inlineStr">
        <is>
          <t>graduate Full Stack Developer</t>
        </is>
      </c>
      <c r="S1599" s="19" t="n"/>
      <c r="T1599" s="19" t="n"/>
      <c r="U1599" s="14" t="n">
        <v>46191</v>
      </c>
      <c r="V1599" s="7" t="inlineStr">
        <is>
          <t>v2-cv-accuracy-13b988b18da8ea7d</t>
        </is>
      </c>
    </row>
    <row r="1600" ht="28" customHeight="1">
      <c r="A1600" s="12">
        <f>IF($L1600="applied","Applied",IF($L1600="interview","Interview",IF($L1600="offer","Offer",IF($L1600="rejected","Rejected",IF($L1600="ignore","Ignore",IF($L1600="archive","Archive",IF($L1600="closed","Closed",IF($B1600="","Unscored",IF(AND($B1600&gt;=8,OR($H1600="",$H1600-TODAY()&lt;=14)),"P1 Apply",IF($B1600&gt;=7,"P2 Strong",IF($B1600&gt;=5,"P3 Maybe","P4 Low")))))))))))</f>
        <v/>
      </c>
      <c r="B1600" s="13" t="n">
        <v>0.06</v>
      </c>
      <c r="C1600" s="12" t="inlineStr">
        <is>
          <t>Senior/Lead</t>
        </is>
      </c>
      <c r="D1600" s="8" t="inlineStr">
        <is>
          <t>Developer</t>
        </is>
      </c>
      <c r="E1600" s="7" t="inlineStr">
        <is>
          <t>SureView Systems</t>
        </is>
      </c>
      <c r="F1600" s="8" t="inlineStr">
        <is>
          <t>Swansea, Wales, UK</t>
        </is>
      </c>
      <c r="G1600" s="8" t="n"/>
      <c r="H1600" s="14" t="n"/>
      <c r="I1600" s="15">
        <f>IF($H1600="","",$H1600-TODAY())</f>
        <v/>
      </c>
      <c r="J1600" s="16" t="inlineStr">
        <is>
          <t>Open posting</t>
        </is>
      </c>
      <c r="K1600" s="8" t="inlineStr">
        <is>
          <t>filtered by keyword pre-scan</t>
        </is>
      </c>
      <c r="L1600" s="17" t="inlineStr">
        <is>
          <t>new</t>
        </is>
      </c>
      <c r="M1600" s="18" t="inlineStr"/>
      <c r="N1600" s="7" t="inlineStr">
        <is>
          <t>54ba3d7a77578b41a885e7d9a0c427aa0e631fd4</t>
        </is>
      </c>
      <c r="O1600" s="14" t="n">
        <v>46169</v>
      </c>
      <c r="P1600" s="7" t="inlineStr">
        <is>
          <t>jobspy</t>
        </is>
      </c>
      <c r="Q1600" s="8" t="inlineStr">
        <is>
          <t>sql, javascript, git, software development</t>
        </is>
      </c>
      <c r="R1600" s="8" t="inlineStr">
        <is>
          <t>graduate Graduate Software Developer</t>
        </is>
      </c>
      <c r="S1600" s="19" t="n"/>
      <c r="T1600" s="19" t="n"/>
      <c r="U1600" s="14" t="n">
        <v>46191</v>
      </c>
      <c r="V1600" s="7" t="inlineStr">
        <is>
          <t>v2-cv-accuracy-13b988b18da8ea7d</t>
        </is>
      </c>
    </row>
    <row r="1601" ht="28" customHeight="1">
      <c r="A1601" s="12">
        <f>IF($L1601="applied","Applied",IF($L1601="interview","Interview",IF($L1601="offer","Offer",IF($L1601="rejected","Rejected",IF($L1601="ignore","Ignore",IF($L1601="archive","Archive",IF($L1601="closed","Closed",IF($B1601="","Unscored",IF(AND($B1601&gt;=8,OR($H1601="",$H1601-TODAY()&lt;=14)),"P1 Apply",IF($B1601&gt;=7,"P2 Strong",IF($B1601&gt;=5,"P3 Maybe","P4 Low")))))))))))</f>
        <v/>
      </c>
      <c r="B1601" s="13" t="n">
        <v>0.06</v>
      </c>
      <c r="C1601" s="12" t="inlineStr">
        <is>
          <t>Mid-level</t>
        </is>
      </c>
      <c r="D1601" s="8" t="inlineStr">
        <is>
          <t>Mid-Level Full Stack Developer</t>
        </is>
      </c>
      <c r="E1601" s="7" t="inlineStr">
        <is>
          <t>Manchester Digital</t>
        </is>
      </c>
      <c r="F1601" s="8" t="inlineStr">
        <is>
          <t>Manchester, England, UK</t>
        </is>
      </c>
      <c r="G1601" s="8" t="n"/>
      <c r="H1601" s="14" t="n"/>
      <c r="I1601" s="15">
        <f>IF($H1601="","",$H1601-TODAY())</f>
        <v/>
      </c>
      <c r="J1601" s="16" t="inlineStr">
        <is>
          <t>Open posting</t>
        </is>
      </c>
      <c r="K1601" s="8" t="inlineStr">
        <is>
          <t>filtered by keyword pre-scan</t>
        </is>
      </c>
      <c r="L1601" s="17" t="inlineStr">
        <is>
          <t>new</t>
        </is>
      </c>
      <c r="M1601" s="18" t="inlineStr"/>
      <c r="N1601" s="7" t="inlineStr">
        <is>
          <t>6d31454640623d5905f9ce61b2922858c910bae4</t>
        </is>
      </c>
      <c r="O1601" s="14" t="n">
        <v>46188</v>
      </c>
      <c r="P1601" s="7" t="inlineStr">
        <is>
          <t>jobspy</t>
        </is>
      </c>
      <c r="Q1601" s="8" t="inlineStr">
        <is>
          <t>python, sql, software development</t>
        </is>
      </c>
      <c r="R1601" s="8" t="inlineStr">
        <is>
          <t>Full Stack Developer Sheffield</t>
        </is>
      </c>
      <c r="S1601" s="19" t="n"/>
      <c r="T1601" s="19" t="n"/>
      <c r="U1601" s="14" t="n">
        <v>46191</v>
      </c>
      <c r="V1601" s="7" t="inlineStr">
        <is>
          <t>v2-cv-accuracy-13b988b18da8ea7d</t>
        </is>
      </c>
    </row>
    <row r="1602" ht="28" customHeight="1">
      <c r="A1602" s="12">
        <f>IF($L1602="applied","Applied",IF($L1602="interview","Interview",IF($L1602="offer","Offer",IF($L1602="rejected","Rejected",IF($L1602="ignore","Ignore",IF($L1602="archive","Archive",IF($L1602="closed","Closed",IF($B1602="","Unscored",IF(AND($B1602&gt;=8,OR($H1602="",$H1602-TODAY()&lt;=14)),"P1 Apply",IF($B1602&gt;=7,"P2 Strong",IF($B1602&gt;=5,"P3 Maybe","P4 Low")))))))))))</f>
        <v/>
      </c>
      <c r="B1602" s="13" t="n">
        <v>0.06</v>
      </c>
      <c r="C1602" s="12" t="inlineStr">
        <is>
          <t>Mid-level</t>
        </is>
      </c>
      <c r="D1602" s="8" t="inlineStr">
        <is>
          <t>Mid Level Full Stack Developer</t>
        </is>
      </c>
      <c r="E1602" s="7" t="inlineStr">
        <is>
          <t>UK Biobank</t>
        </is>
      </c>
      <c r="F1602" s="8" t="inlineStr">
        <is>
          <t>Manchester Area, United Kingdom</t>
        </is>
      </c>
      <c r="G1602" s="8" t="n"/>
      <c r="H1602" s="14" t="n"/>
      <c r="I1602" s="15">
        <f>IF($H1602="","",$H1602-TODAY())</f>
        <v/>
      </c>
      <c r="J1602" s="16" t="inlineStr">
        <is>
          <t>Open posting</t>
        </is>
      </c>
      <c r="K1602" s="8" t="inlineStr">
        <is>
          <t>filtered by keyword pre-scan</t>
        </is>
      </c>
      <c r="L1602" s="17" t="inlineStr">
        <is>
          <t>new</t>
        </is>
      </c>
      <c r="M1602" s="18" t="inlineStr"/>
      <c r="N1602" s="7" t="inlineStr">
        <is>
          <t>0b3eba4dc9cdbbf5bf2c3870bd31b4a1424ac9d1</t>
        </is>
      </c>
      <c r="O1602" s="14" t="n">
        <v>46178</v>
      </c>
      <c r="P1602" s="7" t="inlineStr">
        <is>
          <t>jobspy</t>
        </is>
      </c>
      <c r="Q1602" s="8" t="inlineStr">
        <is>
          <t>python, sql, software development</t>
        </is>
      </c>
      <c r="R1602" s="8" t="inlineStr">
        <is>
          <t>Junior Python Developer Sheffield</t>
        </is>
      </c>
      <c r="S1602" s="19" t="n"/>
      <c r="T1602" s="19" t="n"/>
      <c r="U1602" s="14" t="n">
        <v>46191</v>
      </c>
      <c r="V1602" s="7" t="inlineStr">
        <is>
          <t>v2-cv-accuracy-13b988b18da8ea7d</t>
        </is>
      </c>
    </row>
    <row r="1603" ht="28" customHeight="1">
      <c r="A1603" s="12">
        <f>IF($L1603="applied","Applied",IF($L1603="interview","Interview",IF($L1603="offer","Offer",IF($L1603="rejected","Rejected",IF($L1603="ignore","Ignore",IF($L1603="archive","Archive",IF($L1603="closed","Closed",IF($B1603="","Unscored",IF(AND($B1603&gt;=8,OR($H1603="",$H1603-TODAY()&lt;=14)),"P1 Apply",IF($B1603&gt;=7,"P2 Strong",IF($B1603&gt;=5,"P3 Maybe","P4 Low")))))))))))</f>
        <v/>
      </c>
      <c r="B1603" s="13" t="n">
        <v>0</v>
      </c>
      <c r="C1603" s="12" t="inlineStr">
        <is>
          <t>Senior/Lead</t>
        </is>
      </c>
      <c r="D1603" s="8" t="inlineStr">
        <is>
          <t>Principal SLT Test Engineer</t>
        </is>
      </c>
      <c r="E1603" s="7" t="inlineStr">
        <is>
          <t>Graphcore</t>
        </is>
      </c>
      <c r="F1603" s="8" t="inlineStr">
        <is>
          <t>Austin, Texas, United States</t>
        </is>
      </c>
      <c r="G1603" s="8" t="n"/>
      <c r="H1603" s="14" t="n"/>
      <c r="I1603" s="15">
        <f>IF($H1603="","",$H1603-TODAY())</f>
        <v/>
      </c>
      <c r="J1603" s="16" t="inlineStr">
        <is>
          <t>Open posting</t>
        </is>
      </c>
      <c r="K1603" s="8" t="inlineStr">
        <is>
          <t>filtered by keyword pre-scan</t>
        </is>
      </c>
      <c r="L1603" s="17" t="inlineStr">
        <is>
          <t>new</t>
        </is>
      </c>
      <c r="M1603" s="18" t="inlineStr"/>
      <c r="N1603" s="7" t="inlineStr">
        <is>
          <t>81d5f6385a0d1d71fe5b1d1ff61fff573afe9e44</t>
        </is>
      </c>
      <c r="O1603" s="14" t="n">
        <v>46197</v>
      </c>
      <c r="P1603" s="7" t="inlineStr">
        <is>
          <t>greenhouse:graphcore</t>
        </is>
      </c>
      <c r="Q1603" s="8" t="inlineStr">
        <is>
          <t>c</t>
        </is>
      </c>
      <c r="R1603" s="8" t="n"/>
      <c r="S1603" s="19" t="n"/>
      <c r="T1603" s="19" t="n"/>
      <c r="U1603" s="14" t="n">
        <v>46198</v>
      </c>
      <c r="V1603" s="7" t="inlineStr">
        <is>
          <t>v2-cv-accuracy-13b988b18da8ea7d</t>
        </is>
      </c>
    </row>
    <row r="1604" ht="28" customHeight="1">
      <c r="A1604" s="12">
        <f>IF($L1604="applied","Applied",IF($L1604="interview","Interview",IF($L1604="offer","Offer",IF($L1604="rejected","Rejected",IF($L1604="ignore","Ignore",IF($L1604="archive","Archive",IF($L1604="closed","Closed",IF($B1604="","Unscored",IF(AND($B1604&gt;=8,OR($H1604="",$H1604-TODAY()&lt;=14)),"P1 Apply",IF($B1604&gt;=7,"P2 Strong",IF($B1604&gt;=5,"P3 Maybe","P4 Low")))))))))))</f>
        <v/>
      </c>
      <c r="B1604" s="13" t="n">
        <v>0</v>
      </c>
      <c r="C1604" s="12" t="inlineStr">
        <is>
          <t>Senior/Lead</t>
        </is>
      </c>
      <c r="D1604" s="8" t="inlineStr">
        <is>
          <t>Senior Group Strategy Manager</t>
        </is>
      </c>
      <c r="E1604" s="7" t="inlineStr">
        <is>
          <t>Monzo</t>
        </is>
      </c>
      <c r="F1604" s="8" t="inlineStr">
        <is>
          <t>London</t>
        </is>
      </c>
      <c r="G1604" s="8" t="n"/>
      <c r="H1604" s="14" t="n"/>
      <c r="I1604" s="15">
        <f>IF($H1604="","",$H1604-TODAY())</f>
        <v/>
      </c>
      <c r="J1604" s="16" t="inlineStr">
        <is>
          <t>Open posting</t>
        </is>
      </c>
      <c r="K1604" s="8" t="inlineStr">
        <is>
          <t>filtered by keyword pre-scan</t>
        </is>
      </c>
      <c r="L1604" s="17" t="inlineStr">
        <is>
          <t>new</t>
        </is>
      </c>
      <c r="M1604" s="18" t="inlineStr"/>
      <c r="N1604" s="7" t="inlineStr">
        <is>
          <t>bf864a0088c89bcf4b304c97cbecc61bfaf5cd08</t>
        </is>
      </c>
      <c r="O1604" s="14" t="n">
        <v>46198</v>
      </c>
      <c r="P1604" s="7" t="inlineStr">
        <is>
          <t>greenhouse:monzo</t>
        </is>
      </c>
      <c r="Q1604" s="8" t="inlineStr">
        <is>
          <t>c</t>
        </is>
      </c>
      <c r="R1604" s="8" t="n"/>
      <c r="S1604" s="19" t="n"/>
      <c r="T1604" s="19" t="n"/>
      <c r="U1604" s="14" t="n">
        <v>46198</v>
      </c>
      <c r="V1604" s="7" t="inlineStr">
        <is>
          <t>v2-cv-accuracy-13b988b18da8ea7d</t>
        </is>
      </c>
    </row>
    <row r="1605" ht="28" customHeight="1">
      <c r="A1605" s="12">
        <f>IF($L1605="applied","Applied",IF($L1605="interview","Interview",IF($L1605="offer","Offer",IF($L1605="rejected","Rejected",IF($L1605="ignore","Ignore",IF($L1605="archive","Archive",IF($L1605="closed","Closed",IF($B1605="","Unscored",IF(AND($B1605&gt;=8,OR($H1605="",$H1605-TODAY()&lt;=14)),"P1 Apply",IF($B1605&gt;=7,"P2 Strong",IF($B1605&gt;=5,"P3 Maybe","P4 Low")))))))))))</f>
        <v/>
      </c>
      <c r="B1605" s="13" t="n">
        <v>0</v>
      </c>
      <c r="C1605" s="12" t="inlineStr">
        <is>
          <t>Senior/Lead</t>
        </is>
      </c>
      <c r="D1605" s="8" t="inlineStr">
        <is>
          <t>Engineer / Staff / Sr. Staff Engineer - CPU Verification (RAS)</t>
        </is>
      </c>
      <c r="E1605" s="7" t="inlineStr">
        <is>
          <t>SiFive</t>
        </is>
      </c>
      <c r="F1605" s="8" t="inlineStr">
        <is>
          <t>Hyderabad, India</t>
        </is>
      </c>
      <c r="G1605" s="8" t="n"/>
      <c r="H1605" s="14" t="n"/>
      <c r="I1605" s="15">
        <f>IF($H1605="","",$H1605-TODAY())</f>
        <v/>
      </c>
      <c r="J1605" s="16" t="inlineStr">
        <is>
          <t>Open posting</t>
        </is>
      </c>
      <c r="K1605" s="8" t="inlineStr">
        <is>
          <t>filtered by keyword pre-scan</t>
        </is>
      </c>
      <c r="L1605" s="17" t="inlineStr">
        <is>
          <t>new</t>
        </is>
      </c>
      <c r="M1605" s="18" t="inlineStr"/>
      <c r="N1605" s="7" t="inlineStr">
        <is>
          <t>8a3cea178d50f508b4515088b66a5647e8dbca0c</t>
        </is>
      </c>
      <c r="O1605" s="14" t="n"/>
      <c r="P1605" s="7" t="inlineStr">
        <is>
          <t>workday</t>
        </is>
      </c>
      <c r="Q1605" s="8" t="inlineStr">
        <is>
          <t>c</t>
        </is>
      </c>
      <c r="R1605" s="8" t="n"/>
      <c r="S1605" s="19" t="n"/>
      <c r="T1605" s="19" t="n"/>
      <c r="U1605" s="14" t="n">
        <v>46198</v>
      </c>
      <c r="V1605" s="7" t="inlineStr">
        <is>
          <t>v2-cv-accuracy-13b988b18da8ea7d</t>
        </is>
      </c>
    </row>
    <row r="1606" ht="28" customHeight="1">
      <c r="A1606" s="12">
        <f>IF($L1606="applied","Applied",IF($L1606="interview","Interview",IF($L1606="offer","Offer",IF($L1606="rejected","Rejected",IF($L1606="ignore","Ignore",IF($L1606="archive","Archive",IF($L1606="closed","Closed",IF($B1606="","Unscored",IF(AND($B1606&gt;=8,OR($H1606="",$H1606-TODAY()&lt;=14)),"P1 Apply",IF($B1606&gt;=7,"P2 Strong",IF($B1606&gt;=5,"P3 Maybe","P4 Low")))))))))))</f>
        <v/>
      </c>
      <c r="B1606" s="13" t="n">
        <v>0</v>
      </c>
      <c r="C1606" s="12" t="inlineStr">
        <is>
          <t>Unspecified</t>
        </is>
      </c>
      <c r="D1606" s="8" t="inlineStr">
        <is>
          <t>System Software Engineer</t>
        </is>
      </c>
      <c r="E1606" s="7" t="inlineStr">
        <is>
          <t>SiFive</t>
        </is>
      </c>
      <c r="F1606" s="8" t="inlineStr">
        <is>
          <t>Hsinchu, Taiwan</t>
        </is>
      </c>
      <c r="G1606" s="8" t="n"/>
      <c r="H1606" s="14" t="n"/>
      <c r="I1606" s="15">
        <f>IF($H1606="","",$H1606-TODAY())</f>
        <v/>
      </c>
      <c r="J1606" s="16" t="inlineStr">
        <is>
          <t>Open posting</t>
        </is>
      </c>
      <c r="K1606" s="8" t="inlineStr">
        <is>
          <t>filtered by keyword pre-scan</t>
        </is>
      </c>
      <c r="L1606" s="17" t="inlineStr">
        <is>
          <t>new</t>
        </is>
      </c>
      <c r="M1606" s="18" t="inlineStr"/>
      <c r="N1606" s="7" t="inlineStr">
        <is>
          <t>b78d08dd9e1f69c6e0412b7e4c66f5962f5ff164</t>
        </is>
      </c>
      <c r="O1606" s="14" t="n"/>
      <c r="P1606" s="7" t="inlineStr">
        <is>
          <t>workday</t>
        </is>
      </c>
      <c r="Q1606" s="8" t="inlineStr"/>
      <c r="R1606" s="8" t="n"/>
      <c r="S1606" s="19" t="n"/>
      <c r="T1606" s="19" t="n"/>
      <c r="U1606" s="14" t="n">
        <v>46198</v>
      </c>
      <c r="V1606" s="7" t="inlineStr">
        <is>
          <t>v2-cv-accuracy-13b988b18da8ea7d</t>
        </is>
      </c>
    </row>
    <row r="1607" ht="28" customHeight="1">
      <c r="A1607" s="12">
        <f>IF($L1607="applied","Applied",IF($L1607="interview","Interview",IF($L1607="offer","Offer",IF($L1607="rejected","Rejected",IF($L1607="ignore","Ignore",IF($L1607="archive","Archive",IF($L1607="closed","Closed",IF($B1607="","Unscored",IF(AND($B1607&gt;=8,OR($H1607="",$H1607-TODAY()&lt;=14)),"P1 Apply",IF($B1607&gt;=7,"P2 Strong",IF($B1607&gt;=5,"P3 Maybe","P4 Low")))))))))))</f>
        <v/>
      </c>
      <c r="B1607" s="13" t="n">
        <v>0</v>
      </c>
      <c r="C1607" s="12" t="inlineStr">
        <is>
          <t>Senior/Lead</t>
        </is>
      </c>
      <c r="D1607" s="8" t="inlineStr">
        <is>
          <t>Staff Engineer - DV</t>
        </is>
      </c>
      <c r="E1607" s="7" t="inlineStr">
        <is>
          <t>SiFive</t>
        </is>
      </c>
      <c r="F1607" s="8" t="inlineStr">
        <is>
          <t>Bengaluru, Karnataka, India</t>
        </is>
      </c>
      <c r="G1607" s="8" t="n"/>
      <c r="H1607" s="14" t="n"/>
      <c r="I1607" s="15">
        <f>IF($H1607="","",$H1607-TODAY())</f>
        <v/>
      </c>
      <c r="J1607" s="16" t="inlineStr">
        <is>
          <t>Open posting</t>
        </is>
      </c>
      <c r="K1607" s="8" t="inlineStr">
        <is>
          <t>filtered by keyword pre-scan</t>
        </is>
      </c>
      <c r="L1607" s="17" t="inlineStr">
        <is>
          <t>new</t>
        </is>
      </c>
      <c r="M1607" s="18" t="inlineStr"/>
      <c r="N1607" s="7" t="inlineStr">
        <is>
          <t>4d0360513169751121a2171c100f30d7eba3b9cc</t>
        </is>
      </c>
      <c r="O1607" s="14" t="n"/>
      <c r="P1607" s="7" t="inlineStr">
        <is>
          <t>workday</t>
        </is>
      </c>
      <c r="Q1607" s="8" t="inlineStr"/>
      <c r="R1607" s="8" t="n"/>
      <c r="S1607" s="19" t="n"/>
      <c r="T1607" s="19" t="n"/>
      <c r="U1607" s="14" t="n">
        <v>46198</v>
      </c>
      <c r="V1607" s="7" t="inlineStr">
        <is>
          <t>v2-cv-accuracy-13b988b18da8ea7d</t>
        </is>
      </c>
    </row>
    <row r="1608" ht="28" customHeight="1">
      <c r="A1608" s="12">
        <f>IF($L1608="applied","Applied",IF($L1608="interview","Interview",IF($L1608="offer","Offer",IF($L1608="rejected","Rejected",IF($L1608="ignore","Ignore",IF($L1608="archive","Archive",IF($L1608="closed","Closed",IF($B1608="","Unscored",IF(AND($B1608&gt;=8,OR($H1608="",$H1608-TODAY()&lt;=14)),"P1 Apply",IF($B1608&gt;=7,"P2 Strong",IF($B1608&gt;=5,"P3 Maybe","P4 Low")))))))))))</f>
        <v/>
      </c>
      <c r="B1608" s="13" t="n">
        <v>0</v>
      </c>
      <c r="C1608" s="12" t="inlineStr">
        <is>
          <t>Senior/Lead</t>
        </is>
      </c>
      <c r="D1608" s="8" t="inlineStr">
        <is>
          <t>Senior Supply Chain Planner</t>
        </is>
      </c>
      <c r="E1608" s="7" t="inlineStr">
        <is>
          <t>Dyson</t>
        </is>
      </c>
      <c r="F1608" s="8" t="inlineStr">
        <is>
          <t>Malaysia - Global Development Campus, Johor Bahru</t>
        </is>
      </c>
      <c r="G1608" s="8" t="n"/>
      <c r="H1608" s="14" t="n"/>
      <c r="I1608" s="15">
        <f>IF($H1608="","",$H1608-TODAY())</f>
        <v/>
      </c>
      <c r="J1608" s="16" t="inlineStr">
        <is>
          <t>Open posting</t>
        </is>
      </c>
      <c r="K1608" s="8" t="inlineStr">
        <is>
          <t>filtered by keyword pre-scan</t>
        </is>
      </c>
      <c r="L1608" s="17" t="inlineStr">
        <is>
          <t>new</t>
        </is>
      </c>
      <c r="M1608" s="18" t="inlineStr"/>
      <c r="N1608" s="7" t="inlineStr">
        <is>
          <t>0d986f16b2d8e7b698ca7bff172f55edcd92ee7f</t>
        </is>
      </c>
      <c r="O1608" s="14" t="n"/>
      <c r="P1608" s="7" t="inlineStr">
        <is>
          <t>workday</t>
        </is>
      </c>
      <c r="Q1608" s="8" t="inlineStr">
        <is>
          <t>c</t>
        </is>
      </c>
      <c r="R1608" s="8" t="n"/>
      <c r="S1608" s="19" t="n"/>
      <c r="T1608" s="19" t="n"/>
      <c r="U1608" s="14" t="n">
        <v>46198</v>
      </c>
      <c r="V1608" s="7" t="inlineStr">
        <is>
          <t>v2-cv-accuracy-13b988b18da8ea7d</t>
        </is>
      </c>
    </row>
    <row r="1609" ht="28" customHeight="1">
      <c r="A1609" s="12">
        <f>IF($L1609="applied","Applied",IF($L1609="interview","Interview",IF($L1609="offer","Offer",IF($L1609="rejected","Rejected",IF($L1609="ignore","Ignore",IF($L1609="archive","Archive",IF($L1609="closed","Closed",IF($B1609="","Unscored",IF(AND($B1609&gt;=8,OR($H1609="",$H1609-TODAY()&lt;=14)),"P1 Apply",IF($B1609&gt;=7,"P2 Strong",IF($B1609&gt;=5,"P3 Maybe","P4 Low")))))))))))</f>
        <v/>
      </c>
      <c r="B1609" s="13" t="n">
        <v>0</v>
      </c>
      <c r="C1609" s="12" t="inlineStr">
        <is>
          <t>Manager/Owner</t>
        </is>
      </c>
      <c r="D1609" s="8" t="inlineStr">
        <is>
          <t>Global Planning Manager</t>
        </is>
      </c>
      <c r="E1609" s="7" t="inlineStr">
        <is>
          <t>Dyson</t>
        </is>
      </c>
      <c r="F1609" s="8" t="inlineStr">
        <is>
          <t>Singapore - Technology Centre</t>
        </is>
      </c>
      <c r="G1609" s="8" t="n"/>
      <c r="H1609" s="14" t="n"/>
      <c r="I1609" s="15">
        <f>IF($H1609="","",$H1609-TODAY())</f>
        <v/>
      </c>
      <c r="J1609" s="16" t="inlineStr">
        <is>
          <t>Open posting</t>
        </is>
      </c>
      <c r="K1609" s="8" t="inlineStr">
        <is>
          <t>filtered by keyword pre-scan</t>
        </is>
      </c>
      <c r="L1609" s="17" t="inlineStr">
        <is>
          <t>new</t>
        </is>
      </c>
      <c r="M1609" s="18" t="inlineStr"/>
      <c r="N1609" s="7" t="inlineStr">
        <is>
          <t>74d12656cb883e75fdb78ebc68fbed5614e94b1c</t>
        </is>
      </c>
      <c r="O1609" s="14" t="n"/>
      <c r="P1609" s="7" t="inlineStr">
        <is>
          <t>workday</t>
        </is>
      </c>
      <c r="Q1609" s="8" t="inlineStr"/>
      <c r="R1609" s="8" t="n"/>
      <c r="S1609" s="19" t="n"/>
      <c r="T1609" s="19" t="n"/>
      <c r="U1609" s="14" t="n">
        <v>46198</v>
      </c>
      <c r="V1609" s="7" t="inlineStr">
        <is>
          <t>v2-cv-accuracy-13b988b18da8ea7d</t>
        </is>
      </c>
    </row>
    <row r="1610" ht="28" customHeight="1">
      <c r="A1610" s="12">
        <f>IF($L1610="applied","Applied",IF($L1610="interview","Interview",IF($L1610="offer","Offer",IF($L1610="rejected","Rejected",IF($L1610="ignore","Ignore",IF($L1610="archive","Archive",IF($L1610="closed","Closed",IF($B1610="","Unscored",IF(AND($B1610&gt;=8,OR($H1610="",$H1610-TODAY()&lt;=14)),"P1 Apply",IF($B1610&gt;=7,"P2 Strong",IF($B1610&gt;=5,"P3 Maybe","P4 Low")))))))))))</f>
        <v/>
      </c>
      <c r="B1610" s="13" t="n">
        <v>0</v>
      </c>
      <c r="C1610" s="12" t="inlineStr">
        <is>
          <t>Manager/Owner</t>
        </is>
      </c>
      <c r="D1610" s="8" t="inlineStr">
        <is>
          <t>Global Materials Planning &amp; Optimization Manager</t>
        </is>
      </c>
      <c r="E1610" s="7" t="inlineStr">
        <is>
          <t>Dyson</t>
        </is>
      </c>
      <c r="F1610" s="8" t="inlineStr">
        <is>
          <t>Singapore - Technology Centre</t>
        </is>
      </c>
      <c r="G1610" s="8" t="n"/>
      <c r="H1610" s="14" t="n"/>
      <c r="I1610" s="15">
        <f>IF($H1610="","",$H1610-TODAY())</f>
        <v/>
      </c>
      <c r="J1610" s="16" t="inlineStr">
        <is>
          <t>Open posting</t>
        </is>
      </c>
      <c r="K1610" s="8" t="inlineStr">
        <is>
          <t>filtered by keyword pre-scan</t>
        </is>
      </c>
      <c r="L1610" s="17" t="inlineStr">
        <is>
          <t>new</t>
        </is>
      </c>
      <c r="M1610" s="18" t="inlineStr"/>
      <c r="N1610" s="7" t="inlineStr">
        <is>
          <t>28592142057a8e276f03f75688dc7bcfb354d1d3</t>
        </is>
      </c>
      <c r="O1610" s="14" t="n"/>
      <c r="P1610" s="7" t="inlineStr">
        <is>
          <t>workday</t>
        </is>
      </c>
      <c r="Q1610" s="8" t="inlineStr"/>
      <c r="R1610" s="8" t="n"/>
      <c r="S1610" s="19" t="n"/>
      <c r="T1610" s="19" t="n"/>
      <c r="U1610" s="14" t="n">
        <v>46198</v>
      </c>
      <c r="V1610" s="7" t="inlineStr">
        <is>
          <t>v2-cv-accuracy-13b988b18da8ea7d</t>
        </is>
      </c>
    </row>
    <row r="1611" ht="28" customHeight="1">
      <c r="A1611" s="12">
        <f>IF($L1611="applied","Applied",IF($L1611="interview","Interview",IF($L1611="offer","Offer",IF($L1611="rejected","Rejected",IF($L1611="ignore","Ignore",IF($L1611="archive","Archive",IF($L1611="closed","Closed",IF($B1611="","Unscored",IF(AND($B1611&gt;=8,OR($H1611="",$H1611-TODAY()&lt;=14)),"P1 Apply",IF($B1611&gt;=7,"P2 Strong",IF($B1611&gt;=5,"P3 Maybe","P4 Low")))))))))))</f>
        <v/>
      </c>
      <c r="B1611" s="13" t="n">
        <v>0</v>
      </c>
      <c r="C1611" s="12" t="inlineStr">
        <is>
          <t>Senior/Lead</t>
        </is>
      </c>
      <c r="D1611" s="8" t="inlineStr">
        <is>
          <t>Global B2B Lead Category Analyst</t>
        </is>
      </c>
      <c r="E1611" s="7" t="inlineStr">
        <is>
          <t>Dyson</t>
        </is>
      </c>
      <c r="F1611" s="8" t="inlineStr">
        <is>
          <t>Singapore - St James Power Station Headquarters</t>
        </is>
      </c>
      <c r="G1611" s="8" t="n"/>
      <c r="H1611" s="14" t="n"/>
      <c r="I1611" s="15">
        <f>IF($H1611="","",$H1611-TODAY())</f>
        <v/>
      </c>
      <c r="J1611" s="16" t="inlineStr">
        <is>
          <t>Open posting</t>
        </is>
      </c>
      <c r="K1611" s="8" t="inlineStr">
        <is>
          <t>filtered by keyword pre-scan</t>
        </is>
      </c>
      <c r="L1611" s="17" t="inlineStr">
        <is>
          <t>new</t>
        </is>
      </c>
      <c r="M1611" s="18" t="inlineStr"/>
      <c r="N1611" s="7" t="inlineStr">
        <is>
          <t>aea570e1e8ea5dffec7847bd6572145b5a2c8780</t>
        </is>
      </c>
      <c r="O1611" s="14" t="n"/>
      <c r="P1611" s="7" t="inlineStr">
        <is>
          <t>workday</t>
        </is>
      </c>
      <c r="Q1611" s="8" t="inlineStr">
        <is>
          <t>c</t>
        </is>
      </c>
      <c r="R1611" s="8" t="n"/>
      <c r="S1611" s="19" t="n"/>
      <c r="T1611" s="19" t="n"/>
      <c r="U1611" s="14" t="n">
        <v>46198</v>
      </c>
      <c r="V1611" s="7" t="inlineStr">
        <is>
          <t>v2-cv-accuracy-13b988b18da8ea7d</t>
        </is>
      </c>
    </row>
    <row r="1612" ht="28" customHeight="1">
      <c r="A1612" s="12">
        <f>IF($L1612="applied","Applied",IF($L1612="interview","Interview",IF($L1612="offer","Offer",IF($L1612="rejected","Rejected",IF($L1612="ignore","Ignore",IF($L1612="archive","Archive",IF($L1612="closed","Closed",IF($B1612="","Unscored",IF(AND($B1612&gt;=8,OR($H1612="",$H1612-TODAY()&lt;=14)),"P1 Apply",IF($B1612&gt;=7,"P2 Strong",IF($B1612&gt;=5,"P3 Maybe","P4 Low")))))))))))</f>
        <v/>
      </c>
      <c r="B1612" s="13" t="n">
        <v>0</v>
      </c>
      <c r="C1612" s="12" t="inlineStr">
        <is>
          <t>Senior/Lead</t>
        </is>
      </c>
      <c r="D1612" s="8" t="inlineStr">
        <is>
          <t>Senior Business Development Manager</t>
        </is>
      </c>
      <c r="E1612" s="7" t="inlineStr">
        <is>
          <t>Dyson</t>
        </is>
      </c>
      <c r="F1612" s="8" t="inlineStr">
        <is>
          <t>Taiwan - Taipei Office</t>
        </is>
      </c>
      <c r="G1612" s="8" t="n"/>
      <c r="H1612" s="14" t="n"/>
      <c r="I1612" s="15">
        <f>IF($H1612="","",$H1612-TODAY())</f>
        <v/>
      </c>
      <c r="J1612" s="16" t="inlineStr">
        <is>
          <t>Open posting</t>
        </is>
      </c>
      <c r="K1612" s="8" t="inlineStr">
        <is>
          <t>filtered by keyword pre-scan</t>
        </is>
      </c>
      <c r="L1612" s="17" t="inlineStr">
        <is>
          <t>new</t>
        </is>
      </c>
      <c r="M1612" s="18" t="inlineStr"/>
      <c r="N1612" s="7" t="inlineStr">
        <is>
          <t>43755d38a73cf809fa546db35fc81fc3537065ec</t>
        </is>
      </c>
      <c r="O1612" s="14" t="n"/>
      <c r="P1612" s="7" t="inlineStr">
        <is>
          <t>workday</t>
        </is>
      </c>
      <c r="Q1612" s="8" t="inlineStr"/>
      <c r="R1612" s="8" t="n"/>
      <c r="S1612" s="19" t="n"/>
      <c r="T1612" s="19" t="n"/>
      <c r="U1612" s="14" t="n">
        <v>46198</v>
      </c>
      <c r="V1612" s="7" t="inlineStr">
        <is>
          <t>v2-cv-accuracy-13b988b18da8ea7d</t>
        </is>
      </c>
    </row>
    <row r="1613" ht="28" customHeight="1">
      <c r="A1613" s="12">
        <f>IF($L1613="applied","Applied",IF($L1613="interview","Interview",IF($L1613="offer","Offer",IF($L1613="rejected","Rejected",IF($L1613="ignore","Ignore",IF($L1613="archive","Archive",IF($L1613="closed","Closed",IF($B1613="","Unscored",IF(AND($B1613&gt;=8,OR($H1613="",$H1613-TODAY()&lt;=14)),"P1 Apply",IF($B1613&gt;=7,"P2 Strong",IF($B1613&gt;=5,"P3 Maybe","P4 Low")))))))))))</f>
        <v/>
      </c>
      <c r="B1613" s="13" t="n">
        <v>0</v>
      </c>
      <c r="C1613" s="12" t="inlineStr">
        <is>
          <t>Senior/Lead</t>
        </is>
      </c>
      <c r="D1613" s="8" t="inlineStr">
        <is>
          <t>Senior CPU Performance Engineer</t>
        </is>
      </c>
      <c r="E1613" s="7" t="inlineStr">
        <is>
          <t>Arm</t>
        </is>
      </c>
      <c r="F1613" s="8" t="inlineStr">
        <is>
          <t>Cambridge, England, UK</t>
        </is>
      </c>
      <c r="G1613" s="8" t="n"/>
      <c r="H1613" s="14" t="n"/>
      <c r="I1613" s="15">
        <f>IF($H1613="","",$H1613-TODAY())</f>
        <v/>
      </c>
      <c r="J1613" s="16" t="inlineStr">
        <is>
          <t>Open posting</t>
        </is>
      </c>
      <c r="K1613" s="8" t="inlineStr">
        <is>
          <t>filtered by keyword pre-scan</t>
        </is>
      </c>
      <c r="L1613" s="17" t="inlineStr">
        <is>
          <t>new</t>
        </is>
      </c>
      <c r="M1613" s="18" t="inlineStr"/>
      <c r="N1613" s="7" t="inlineStr">
        <is>
          <t>7b20f84dc6bcdfdfdbbd3933654bbe64923bb22c</t>
        </is>
      </c>
      <c r="O1613" s="14" t="n">
        <v>46192</v>
      </c>
      <c r="P1613" s="7" t="inlineStr">
        <is>
          <t>jobspy</t>
        </is>
      </c>
      <c r="Q1613" s="8" t="inlineStr">
        <is>
          <t>python, fpga, c, hardware design</t>
        </is>
      </c>
      <c r="R1613" s="8" t="inlineStr">
        <is>
          <t>Graduate Hardware Engineer FPGA embedded systems</t>
        </is>
      </c>
      <c r="S1613" s="19" t="n"/>
      <c r="T1613" s="19" t="n"/>
      <c r="U1613" s="14" t="n">
        <v>46198</v>
      </c>
      <c r="V1613" s="7" t="inlineStr">
        <is>
          <t>v2-cv-accuracy-13b988b18da8ea7d</t>
        </is>
      </c>
    </row>
    <row r="1614" ht="28" customHeight="1">
      <c r="A1614" s="12">
        <f>IF($L1614="applied","Applied",IF($L1614="interview","Interview",IF($L1614="offer","Offer",IF($L1614="rejected","Rejected",IF($L1614="ignore","Ignore",IF($L1614="archive","Archive",IF($L1614="closed","Closed",IF($B1614="","Unscored",IF(AND($B1614&gt;=8,OR($H1614="",$H1614-TODAY()&lt;=14)),"P1 Apply",IF($B1614&gt;=7,"P2 Strong",IF($B1614&gt;=5,"P3 Maybe","P4 Low")))))))))))</f>
        <v/>
      </c>
      <c r="B1614" s="13" t="n">
        <v>0</v>
      </c>
      <c r="C1614" s="12" t="inlineStr">
        <is>
          <t>Senior/Lead</t>
        </is>
      </c>
      <c r="D1614" s="8" t="inlineStr">
        <is>
          <t>Senior Digital Verification Engineer</t>
        </is>
      </c>
      <c r="E1614" s="7" t="inlineStr">
        <is>
          <t>NXP Semiconductors</t>
        </is>
      </c>
      <c r="F1614" s="8" t="inlineStr">
        <is>
          <t>Glasgow, Scotland, UK</t>
        </is>
      </c>
      <c r="G1614" s="8" t="n"/>
      <c r="H1614" s="14" t="n"/>
      <c r="I1614" s="15">
        <f>IF($H1614="","",$H1614-TODAY())</f>
        <v/>
      </c>
      <c r="J1614" s="16" t="inlineStr">
        <is>
          <t>Open posting</t>
        </is>
      </c>
      <c r="K1614" s="8" t="inlineStr">
        <is>
          <t>filtered by keyword pre-scan</t>
        </is>
      </c>
      <c r="L1614" s="17" t="inlineStr">
        <is>
          <t>new</t>
        </is>
      </c>
      <c r="M1614" s="18" t="inlineStr"/>
      <c r="N1614" s="7" t="inlineStr">
        <is>
          <t>f252a7f3467cbb3bc609f0fbe98520b4ee0913a3</t>
        </is>
      </c>
      <c r="O1614" s="14" t="n">
        <v>46196</v>
      </c>
      <c r="P1614" s="7" t="inlineStr">
        <is>
          <t>jobspy</t>
        </is>
      </c>
      <c r="Q1614" s="8" t="inlineStr">
        <is>
          <t>verilog, git, c, hardware design</t>
        </is>
      </c>
      <c r="R1614" s="8" t="inlineStr">
        <is>
          <t>Graduate Verification Engineer digital design Verilog</t>
        </is>
      </c>
      <c r="S1614" s="19" t="n"/>
      <c r="T1614" s="19" t="n"/>
      <c r="U1614" s="14" t="n">
        <v>46198</v>
      </c>
      <c r="V1614" s="7" t="inlineStr">
        <is>
          <t>v2-cv-accuracy-13b988b18da8ea7d</t>
        </is>
      </c>
    </row>
    <row r="1615" ht="28" customHeight="1">
      <c r="A1615" s="12">
        <f>IF($L1615="applied","Applied",IF($L1615="interview","Interview",IF($L1615="offer","Offer",IF($L1615="rejected","Rejected",IF($L1615="ignore","Ignore",IF($L1615="archive","Archive",IF($L1615="closed","Closed",IF($B1615="","Unscored",IF(AND($B1615&gt;=8,OR($H1615="",$H1615-TODAY()&lt;=14)),"P1 Apply",IF($B1615&gt;=7,"P2 Strong",IF($B1615&gt;=5,"P3 Maybe","P4 Low")))))))))))</f>
        <v/>
      </c>
      <c r="B1615" s="13" t="n">
        <v>0</v>
      </c>
      <c r="C1615" s="12" t="inlineStr">
        <is>
          <t>Senior/Lead</t>
        </is>
      </c>
      <c r="D1615" s="8" t="inlineStr">
        <is>
          <t>Staff Engineer, Design Verification Engineer</t>
        </is>
      </c>
      <c r="E1615" s="7" t="inlineStr">
        <is>
          <t>Analog Devices</t>
        </is>
      </c>
      <c r="F1615" s="8" t="inlineStr">
        <is>
          <t>Edinburgh, Scotland, UK</t>
        </is>
      </c>
      <c r="G1615" s="8" t="n"/>
      <c r="H1615" s="14" t="n"/>
      <c r="I1615" s="15">
        <f>IF($H1615="","",$H1615-TODAY())</f>
        <v/>
      </c>
      <c r="J1615" s="16" t="inlineStr">
        <is>
          <t>Open posting</t>
        </is>
      </c>
      <c r="K1615" s="8" t="inlineStr">
        <is>
          <t>filtered by keyword pre-scan</t>
        </is>
      </c>
      <c r="L1615" s="17" t="inlineStr">
        <is>
          <t>new</t>
        </is>
      </c>
      <c r="M1615" s="18" t="inlineStr"/>
      <c r="N1615" s="7" t="inlineStr">
        <is>
          <t>6449e857389f3aac6da2ea90a74f59dccbd83ec1</t>
        </is>
      </c>
      <c r="O1615" s="14" t="n">
        <v>46191</v>
      </c>
      <c r="P1615" s="7" t="inlineStr">
        <is>
          <t>jobspy</t>
        </is>
      </c>
      <c r="Q1615" s="8" t="inlineStr">
        <is>
          <t>python, verilog, git, c, digital design</t>
        </is>
      </c>
      <c r="R1615" s="8" t="inlineStr">
        <is>
          <t>Graduate Verification Engineer digital design Verilog</t>
        </is>
      </c>
      <c r="S1615" s="19" t="n"/>
      <c r="T1615" s="19" t="n"/>
      <c r="U1615" s="14" t="n">
        <v>46198</v>
      </c>
      <c r="V1615" s="7" t="inlineStr">
        <is>
          <t>v2-cv-accuracy-13b988b18da8ea7d</t>
        </is>
      </c>
    </row>
    <row r="1616" ht="28" customHeight="1">
      <c r="A1616" s="12">
        <f>IF($L1616="applied","Applied",IF($L1616="interview","Interview",IF($L1616="offer","Offer",IF($L1616="rejected","Rejected",IF($L1616="ignore","Ignore",IF($L1616="archive","Archive",IF($L1616="closed","Closed",IF($B1616="","Unscored",IF(AND($B1616&gt;=8,OR($H1616="",$H1616-TODAY()&lt;=14)),"P1 Apply",IF($B1616&gt;=7,"P2 Strong",IF($B1616&gt;=5,"P3 Maybe","P4 Low")))))))))))</f>
        <v/>
      </c>
      <c r="B1616" s="13" t="n">
        <v>0</v>
      </c>
      <c r="C1616" s="12" t="inlineStr">
        <is>
          <t>Senior/Lead</t>
        </is>
      </c>
      <c r="D1616" s="8" t="inlineStr">
        <is>
          <t>Senior Engineer (ML Engineer)</t>
        </is>
      </c>
      <c r="E1616" s="7" t="inlineStr">
        <is>
          <t>Graphcore</t>
        </is>
      </c>
      <c r="F1616" s="8" t="inlineStr">
        <is>
          <t>Cambridge, UK</t>
        </is>
      </c>
      <c r="G1616" s="8" t="n"/>
      <c r="H1616" s="14" t="n"/>
      <c r="I1616" s="15">
        <f>IF($H1616="","",$H1616-TODAY())</f>
        <v/>
      </c>
      <c r="J1616" s="16" t="inlineStr">
        <is>
          <t>Open posting</t>
        </is>
      </c>
      <c r="K1616" s="8" t="inlineStr">
        <is>
          <t>filtered by keyword pre-scan</t>
        </is>
      </c>
      <c r="L1616" s="17" t="inlineStr">
        <is>
          <t>new</t>
        </is>
      </c>
      <c r="M1616" s="18" t="inlineStr"/>
      <c r="N1616" s="7" t="inlineStr">
        <is>
          <t>bd61eb9cc2e91e50c9d64f85f5211ee43dfb63eb</t>
        </is>
      </c>
      <c r="O1616" s="14" t="n">
        <v>46198</v>
      </c>
      <c r="P1616" s="7" t="inlineStr">
        <is>
          <t>greenhouse:graphcore</t>
        </is>
      </c>
      <c r="Q1616" s="8" t="inlineStr">
        <is>
          <t>python, c</t>
        </is>
      </c>
      <c r="R1616" s="8" t="n"/>
      <c r="S1616" s="19" t="n"/>
      <c r="T1616" s="19" t="n"/>
      <c r="U1616" s="14" t="n">
        <v>46198</v>
      </c>
      <c r="V1616" s="7" t="inlineStr">
        <is>
          <t>v2-cv-accuracy-13b988b18da8ea7d</t>
        </is>
      </c>
    </row>
    <row r="1617" ht="28" customHeight="1">
      <c r="A1617" s="12">
        <f>IF($L1617="applied","Applied",IF($L1617="interview","Interview",IF($L1617="offer","Offer",IF($L1617="rejected","Rejected",IF($L1617="ignore","Ignore",IF($L1617="archive","Archive",IF($L1617="closed","Closed",IF($B1617="","Unscored",IF(AND($B1617&gt;=8,OR($H1617="",$H1617-TODAY()&lt;=14)),"P1 Apply",IF($B1617&gt;=7,"P2 Strong",IF($B1617&gt;=5,"P3 Maybe","P4 Low")))))))))))</f>
        <v/>
      </c>
      <c r="B1617" s="13" t="n">
        <v>0</v>
      </c>
      <c r="C1617" s="12" t="inlineStr">
        <is>
          <t>Senior/Lead</t>
        </is>
      </c>
      <c r="D1617" s="8" t="inlineStr">
        <is>
          <t>Senior Engineer (ML Engineer)</t>
        </is>
      </c>
      <c r="E1617" s="7" t="inlineStr">
        <is>
          <t>Graphcore</t>
        </is>
      </c>
      <c r="F1617" s="8" t="inlineStr">
        <is>
          <t>London, UK</t>
        </is>
      </c>
      <c r="G1617" s="8" t="n"/>
      <c r="H1617" s="14" t="n"/>
      <c r="I1617" s="15">
        <f>IF($H1617="","",$H1617-TODAY())</f>
        <v/>
      </c>
      <c r="J1617" s="16" t="inlineStr">
        <is>
          <t>Open posting</t>
        </is>
      </c>
      <c r="K1617" s="8" t="inlineStr">
        <is>
          <t>filtered by keyword pre-scan</t>
        </is>
      </c>
      <c r="L1617" s="17" t="inlineStr">
        <is>
          <t>new</t>
        </is>
      </c>
      <c r="M1617" s="18" t="inlineStr"/>
      <c r="N1617" s="7" t="inlineStr">
        <is>
          <t>00a0a95e0413e39c6a86a4f383f84f32a63d3561</t>
        </is>
      </c>
      <c r="O1617" s="14" t="n">
        <v>46198</v>
      </c>
      <c r="P1617" s="7" t="inlineStr">
        <is>
          <t>greenhouse:graphcore</t>
        </is>
      </c>
      <c r="Q1617" s="8" t="inlineStr">
        <is>
          <t>python, c</t>
        </is>
      </c>
      <c r="R1617" s="8" t="n"/>
      <c r="S1617" s="19" t="n"/>
      <c r="T1617" s="19" t="n"/>
      <c r="U1617" s="14" t="n">
        <v>46198</v>
      </c>
      <c r="V1617" s="7" t="inlineStr">
        <is>
          <t>v2-cv-accuracy-13b988b18da8ea7d</t>
        </is>
      </c>
    </row>
    <row r="1618" ht="28" customHeight="1">
      <c r="A1618" s="12">
        <f>IF($L1618="applied","Applied",IF($L1618="interview","Interview",IF($L1618="offer","Offer",IF($L1618="rejected","Rejected",IF($L1618="ignore","Ignore",IF($L1618="archive","Archive",IF($L1618="closed","Closed",IF($B1618="","Unscored",IF(AND($B1618&gt;=8,OR($H1618="",$H1618-TODAY()&lt;=14)),"P1 Apply",IF($B1618&gt;=7,"P2 Strong",IF($B1618&gt;=5,"P3 Maybe","P4 Low")))))))))))</f>
        <v/>
      </c>
      <c r="B1618" s="13" t="n">
        <v>0</v>
      </c>
      <c r="C1618" s="12" t="inlineStr">
        <is>
          <t>Senior/Lead</t>
        </is>
      </c>
      <c r="D1618" s="8" t="inlineStr">
        <is>
          <t>Senior Engineer (ML Engineer)</t>
        </is>
      </c>
      <c r="E1618" s="7" t="inlineStr">
        <is>
          <t>Graphcore</t>
        </is>
      </c>
      <c r="F1618" s="8" t="inlineStr">
        <is>
          <t>Bristol, UK</t>
        </is>
      </c>
      <c r="G1618" s="8" t="n"/>
      <c r="H1618" s="14" t="n"/>
      <c r="I1618" s="15">
        <f>IF($H1618="","",$H1618-TODAY())</f>
        <v/>
      </c>
      <c r="J1618" s="16" t="inlineStr">
        <is>
          <t>Open posting</t>
        </is>
      </c>
      <c r="K1618" s="8" t="inlineStr">
        <is>
          <t>filtered by keyword pre-scan</t>
        </is>
      </c>
      <c r="L1618" s="17" t="inlineStr">
        <is>
          <t>new</t>
        </is>
      </c>
      <c r="M1618" s="18" t="inlineStr"/>
      <c r="N1618" s="7" t="inlineStr">
        <is>
          <t>b422a629722a0932046ee87b46102fcf925754f8</t>
        </is>
      </c>
      <c r="O1618" s="14" t="n">
        <v>46198</v>
      </c>
      <c r="P1618" s="7" t="inlineStr">
        <is>
          <t>greenhouse:graphcore</t>
        </is>
      </c>
      <c r="Q1618" s="8" t="inlineStr">
        <is>
          <t>python, c</t>
        </is>
      </c>
      <c r="R1618" s="8" t="n"/>
      <c r="S1618" s="19" t="n"/>
      <c r="T1618" s="19" t="n"/>
      <c r="U1618" s="14" t="n">
        <v>46198</v>
      </c>
      <c r="V1618" s="7" t="inlineStr">
        <is>
          <t>v2-cv-accuracy-13b988b18da8ea7d</t>
        </is>
      </c>
    </row>
    <row r="1619" ht="28" customHeight="1">
      <c r="A1619" s="12">
        <f>IF($L1619="applied","Applied",IF($L1619="interview","Interview",IF($L1619="offer","Offer",IF($L1619="rejected","Rejected",IF($L1619="ignore","Ignore",IF($L1619="archive","Archive",IF($L1619="closed","Closed",IF($B1619="","Unscored",IF(AND($B1619&gt;=8,OR($H1619="",$H1619-TODAY()&lt;=14)),"P1 Apply",IF($B1619&gt;=7,"P2 Strong",IF($B1619&gt;=5,"P3 Maybe","P4 Low")))))))))))</f>
        <v/>
      </c>
      <c r="B1619" s="13" t="n">
        <v>0</v>
      </c>
      <c r="C1619" s="12" t="inlineStr">
        <is>
          <t>Senior/Lead</t>
        </is>
      </c>
      <c r="D1619" s="8" t="inlineStr">
        <is>
          <t>Senior Signal Integrity Engineer</t>
        </is>
      </c>
      <c r="E1619" s="7" t="inlineStr">
        <is>
          <t>Graphcore</t>
        </is>
      </c>
      <c r="F1619" s="8" t="inlineStr">
        <is>
          <t>Austin, Texas, United States</t>
        </is>
      </c>
      <c r="G1619" s="8" t="n"/>
      <c r="H1619" s="14" t="n"/>
      <c r="I1619" s="15">
        <f>IF($H1619="","",$H1619-TODAY())</f>
        <v/>
      </c>
      <c r="J1619" s="16" t="inlineStr">
        <is>
          <t>Open posting</t>
        </is>
      </c>
      <c r="K1619" s="8" t="inlineStr">
        <is>
          <t>filtered by keyword pre-scan</t>
        </is>
      </c>
      <c r="L1619" s="17" t="inlineStr">
        <is>
          <t>new</t>
        </is>
      </c>
      <c r="M1619" s="18" t="inlineStr"/>
      <c r="N1619" s="7" t="inlineStr">
        <is>
          <t>446516e8ab4ffe85fa5c7023ebda7327a2c3dca4</t>
        </is>
      </c>
      <c r="O1619" s="14" t="n">
        <v>46198</v>
      </c>
      <c r="P1619" s="7" t="inlineStr">
        <is>
          <t>greenhouse:graphcore</t>
        </is>
      </c>
      <c r="Q1619" s="8" t="inlineStr">
        <is>
          <t>c</t>
        </is>
      </c>
      <c r="R1619" s="8" t="n"/>
      <c r="S1619" s="19" t="n"/>
      <c r="T1619" s="19" t="n"/>
      <c r="U1619" s="14" t="n">
        <v>46198</v>
      </c>
      <c r="V1619" s="7" t="inlineStr">
        <is>
          <t>v2-cv-accuracy-13b988b18da8ea7d</t>
        </is>
      </c>
    </row>
    <row r="1620" ht="28" customHeight="1">
      <c r="A1620" s="12">
        <f>IF($L1620="applied","Applied",IF($L1620="interview","Interview",IF($L1620="offer","Offer",IF($L1620="rejected","Rejected",IF($L1620="ignore","Ignore",IF($L1620="archive","Archive",IF($L1620="closed","Closed",IF($B1620="","Unscored",IF(AND($B1620&gt;=8,OR($H1620="",$H1620-TODAY()&lt;=14)),"P1 Apply",IF($B1620&gt;=7,"P2 Strong",IF($B1620&gt;=5,"P3 Maybe","P4 Low")))))))))))</f>
        <v/>
      </c>
      <c r="B1620" s="13" t="n">
        <v>0</v>
      </c>
      <c r="C1620" s="12" t="inlineStr">
        <is>
          <t>Senior/Lead</t>
        </is>
      </c>
      <c r="D1620" s="8" t="inlineStr">
        <is>
          <t>Senior Software Engineer (ML QA)</t>
        </is>
      </c>
      <c r="E1620" s="7" t="inlineStr">
        <is>
          <t>Graphcore</t>
        </is>
      </c>
      <c r="F1620" s="8" t="inlineStr">
        <is>
          <t>Cambridge, UK</t>
        </is>
      </c>
      <c r="G1620" s="8" t="n"/>
      <c r="H1620" s="14" t="n"/>
      <c r="I1620" s="15">
        <f>IF($H1620="","",$H1620-TODAY())</f>
        <v/>
      </c>
      <c r="J1620" s="16" t="inlineStr">
        <is>
          <t>Open posting</t>
        </is>
      </c>
      <c r="K1620" s="8" t="inlineStr">
        <is>
          <t>filtered by keyword pre-scan</t>
        </is>
      </c>
      <c r="L1620" s="17" t="inlineStr">
        <is>
          <t>new</t>
        </is>
      </c>
      <c r="M1620" s="18" t="inlineStr"/>
      <c r="N1620" s="7" t="inlineStr">
        <is>
          <t>766d8ed9af41bbb53e80c61e546aadaebd2a5f8e</t>
        </is>
      </c>
      <c r="O1620" s="14" t="n">
        <v>46198</v>
      </c>
      <c r="P1620" s="7" t="inlineStr">
        <is>
          <t>greenhouse:graphcore</t>
        </is>
      </c>
      <c r="Q1620" s="8" t="inlineStr">
        <is>
          <t>python, c</t>
        </is>
      </c>
      <c r="R1620" s="8" t="n"/>
      <c r="S1620" s="19" t="n"/>
      <c r="T1620" s="19" t="n"/>
      <c r="U1620" s="14" t="n">
        <v>46198</v>
      </c>
      <c r="V1620" s="7" t="inlineStr">
        <is>
          <t>v2-cv-accuracy-13b988b18da8ea7d</t>
        </is>
      </c>
    </row>
    <row r="1621" ht="28" customHeight="1">
      <c r="A1621" s="12">
        <f>IF($L1621="applied","Applied",IF($L1621="interview","Interview",IF($L1621="offer","Offer",IF($L1621="rejected","Rejected",IF($L1621="ignore","Ignore",IF($L1621="archive","Archive",IF($L1621="closed","Closed",IF($B1621="","Unscored",IF(AND($B1621&gt;=8,OR($H1621="",$H1621-TODAY()&lt;=14)),"P1 Apply",IF($B1621&gt;=7,"P2 Strong",IF($B1621&gt;=5,"P3 Maybe","P4 Low")))))))))))</f>
        <v/>
      </c>
      <c r="B1621" s="13" t="n">
        <v>0</v>
      </c>
      <c r="C1621" s="12" t="inlineStr">
        <is>
          <t>Senior/Lead</t>
        </is>
      </c>
      <c r="D1621" s="8" t="inlineStr">
        <is>
          <t>Senior Software Engineer (ML QA)</t>
        </is>
      </c>
      <c r="E1621" s="7" t="inlineStr">
        <is>
          <t>Graphcore</t>
        </is>
      </c>
      <c r="F1621" s="8" t="inlineStr">
        <is>
          <t>Bristol, UK</t>
        </is>
      </c>
      <c r="G1621" s="8" t="n"/>
      <c r="H1621" s="14" t="n"/>
      <c r="I1621" s="15">
        <f>IF($H1621="","",$H1621-TODAY())</f>
        <v/>
      </c>
      <c r="J1621" s="16" t="inlineStr">
        <is>
          <t>Open posting</t>
        </is>
      </c>
      <c r="K1621" s="8" t="inlineStr">
        <is>
          <t>filtered by keyword pre-scan</t>
        </is>
      </c>
      <c r="L1621" s="17" t="inlineStr">
        <is>
          <t>new</t>
        </is>
      </c>
      <c r="M1621" s="18" t="inlineStr"/>
      <c r="N1621" s="7" t="inlineStr">
        <is>
          <t>7fbdb62370d7245053e6389c87b3b472a5915254</t>
        </is>
      </c>
      <c r="O1621" s="14" t="n">
        <v>46198</v>
      </c>
      <c r="P1621" s="7" t="inlineStr">
        <is>
          <t>greenhouse:graphcore</t>
        </is>
      </c>
      <c r="Q1621" s="8" t="inlineStr">
        <is>
          <t>python, c</t>
        </is>
      </c>
      <c r="R1621" s="8" t="n"/>
      <c r="S1621" s="19" t="n"/>
      <c r="T1621" s="19" t="n"/>
      <c r="U1621" s="14" t="n">
        <v>46198</v>
      </c>
      <c r="V1621" s="7" t="inlineStr">
        <is>
          <t>v2-cv-accuracy-13b988b18da8ea7d</t>
        </is>
      </c>
    </row>
    <row r="1622" ht="28" customHeight="1">
      <c r="A1622" s="12">
        <f>IF($L1622="applied","Applied",IF($L1622="interview","Interview",IF($L1622="offer","Offer",IF($L1622="rejected","Rejected",IF($L1622="ignore","Ignore",IF($L1622="archive","Archive",IF($L1622="closed","Closed",IF($B1622="","Unscored",IF(AND($B1622&gt;=8,OR($H1622="",$H1622-TODAY()&lt;=14)),"P1 Apply",IF($B1622&gt;=7,"P2 Strong",IF($B1622&gt;=5,"P3 Maybe","P4 Low")))))))))))</f>
        <v/>
      </c>
      <c r="B1622" s="13" t="n">
        <v>0</v>
      </c>
      <c r="C1622" s="12" t="inlineStr">
        <is>
          <t>Senior/Lead</t>
        </is>
      </c>
      <c r="D1622" s="8" t="inlineStr">
        <is>
          <t>Senior Software Engineer (ML QA)</t>
        </is>
      </c>
      <c r="E1622" s="7" t="inlineStr">
        <is>
          <t>Graphcore</t>
        </is>
      </c>
      <c r="F1622" s="8" t="inlineStr">
        <is>
          <t>London, UK</t>
        </is>
      </c>
      <c r="G1622" s="8" t="n"/>
      <c r="H1622" s="14" t="n"/>
      <c r="I1622" s="15">
        <f>IF($H1622="","",$H1622-TODAY())</f>
        <v/>
      </c>
      <c r="J1622" s="16" t="inlineStr">
        <is>
          <t>Open posting</t>
        </is>
      </c>
      <c r="K1622" s="8" t="inlineStr">
        <is>
          <t>filtered by keyword pre-scan</t>
        </is>
      </c>
      <c r="L1622" s="17" t="inlineStr">
        <is>
          <t>new</t>
        </is>
      </c>
      <c r="M1622" s="18" t="inlineStr"/>
      <c r="N1622" s="7" t="inlineStr">
        <is>
          <t>5889d2cafc929e9b71ca7b389d895d745ca296ae</t>
        </is>
      </c>
      <c r="O1622" s="14" t="n">
        <v>46198</v>
      </c>
      <c r="P1622" s="7" t="inlineStr">
        <is>
          <t>greenhouse:graphcore</t>
        </is>
      </c>
      <c r="Q1622" s="8" t="inlineStr">
        <is>
          <t>python, c</t>
        </is>
      </c>
      <c r="R1622" s="8" t="n"/>
      <c r="S1622" s="19" t="n"/>
      <c r="T1622" s="19" t="n"/>
      <c r="U1622" s="14" t="n">
        <v>46198</v>
      </c>
      <c r="V1622" s="7" t="inlineStr">
        <is>
          <t>v2-cv-accuracy-13b988b18da8ea7d</t>
        </is>
      </c>
    </row>
    <row r="1623" ht="28" customHeight="1">
      <c r="A1623" s="12">
        <f>IF($L1623="applied","Applied",IF($L1623="interview","Interview",IF($L1623="offer","Offer",IF($L1623="rejected","Rejected",IF($L1623="ignore","Ignore",IF($L1623="archive","Archive",IF($L1623="closed","Closed",IF($B1623="","Unscored",IF(AND($B1623&gt;=8,OR($H1623="",$H1623-TODAY()&lt;=14)),"P1 Apply",IF($B1623&gt;=7,"P2 Strong",IF($B1623&gt;=5,"P3 Maybe","P4 Low")))))))))))</f>
        <v/>
      </c>
      <c r="B1623" s="13" t="n">
        <v>0</v>
      </c>
      <c r="C1623" s="12" t="inlineStr">
        <is>
          <t>Senior/Lead</t>
        </is>
      </c>
      <c r="D1623" s="8" t="inlineStr">
        <is>
          <t>Staff Engineer (ML Engineer)</t>
        </is>
      </c>
      <c r="E1623" s="7" t="inlineStr">
        <is>
          <t>Graphcore</t>
        </is>
      </c>
      <c r="F1623" s="8" t="inlineStr">
        <is>
          <t>Cambridge, UK</t>
        </is>
      </c>
      <c r="G1623" s="8" t="n"/>
      <c r="H1623" s="14" t="n"/>
      <c r="I1623" s="15">
        <f>IF($H1623="","",$H1623-TODAY())</f>
        <v/>
      </c>
      <c r="J1623" s="16" t="inlineStr">
        <is>
          <t>Open posting</t>
        </is>
      </c>
      <c r="K1623" s="8" t="inlineStr">
        <is>
          <t>filtered by keyword pre-scan</t>
        </is>
      </c>
      <c r="L1623" s="17" t="inlineStr">
        <is>
          <t>new</t>
        </is>
      </c>
      <c r="M1623" s="18" t="inlineStr"/>
      <c r="N1623" s="7" t="inlineStr">
        <is>
          <t>c9e8afa02da54ff16ffb8efc394e0d05fea52d2c</t>
        </is>
      </c>
      <c r="O1623" s="14" t="n">
        <v>46198</v>
      </c>
      <c r="P1623" s="7" t="inlineStr">
        <is>
          <t>greenhouse:graphcore</t>
        </is>
      </c>
      <c r="Q1623" s="8" t="inlineStr">
        <is>
          <t>python, c</t>
        </is>
      </c>
      <c r="R1623" s="8" t="n"/>
      <c r="S1623" s="19" t="n"/>
      <c r="T1623" s="19" t="n"/>
      <c r="U1623" s="14" t="n">
        <v>46198</v>
      </c>
      <c r="V1623" s="7" t="inlineStr">
        <is>
          <t>v2-cv-accuracy-13b988b18da8ea7d</t>
        </is>
      </c>
    </row>
    <row r="1624" ht="28" customHeight="1">
      <c r="A1624" s="12">
        <f>IF($L1624="applied","Applied",IF($L1624="interview","Interview",IF($L1624="offer","Offer",IF($L1624="rejected","Rejected",IF($L1624="ignore","Ignore",IF($L1624="archive","Archive",IF($L1624="closed","Closed",IF($B1624="","Unscored",IF(AND($B1624&gt;=8,OR($H1624="",$H1624-TODAY()&lt;=14)),"P1 Apply",IF($B1624&gt;=7,"P2 Strong",IF($B1624&gt;=5,"P3 Maybe","P4 Low")))))))))))</f>
        <v/>
      </c>
      <c r="B1624" s="13" t="n">
        <v>0</v>
      </c>
      <c r="C1624" s="12" t="inlineStr">
        <is>
          <t>Senior/Lead</t>
        </is>
      </c>
      <c r="D1624" s="8" t="inlineStr">
        <is>
          <t>Staff Engineer (ML Engineer)</t>
        </is>
      </c>
      <c r="E1624" s="7" t="inlineStr">
        <is>
          <t>Graphcore</t>
        </is>
      </c>
      <c r="F1624" s="8" t="inlineStr">
        <is>
          <t>Bristol, UK</t>
        </is>
      </c>
      <c r="G1624" s="8" t="n"/>
      <c r="H1624" s="14" t="n"/>
      <c r="I1624" s="15">
        <f>IF($H1624="","",$H1624-TODAY())</f>
        <v/>
      </c>
      <c r="J1624" s="16" t="inlineStr">
        <is>
          <t>Open posting</t>
        </is>
      </c>
      <c r="K1624" s="8" t="inlineStr">
        <is>
          <t>filtered by keyword pre-scan</t>
        </is>
      </c>
      <c r="L1624" s="17" t="inlineStr">
        <is>
          <t>new</t>
        </is>
      </c>
      <c r="M1624" s="18" t="inlineStr"/>
      <c r="N1624" s="7" t="inlineStr">
        <is>
          <t>e1bce0e9afd6eca867fb4b842fbca2a508ae1606</t>
        </is>
      </c>
      <c r="O1624" s="14" t="n">
        <v>46198</v>
      </c>
      <c r="P1624" s="7" t="inlineStr">
        <is>
          <t>greenhouse:graphcore</t>
        </is>
      </c>
      <c r="Q1624" s="8" t="inlineStr">
        <is>
          <t>python, c</t>
        </is>
      </c>
      <c r="R1624" s="8" t="n"/>
      <c r="S1624" s="19" t="n"/>
      <c r="T1624" s="19" t="n"/>
      <c r="U1624" s="14" t="n">
        <v>46198</v>
      </c>
      <c r="V1624" s="7" t="inlineStr">
        <is>
          <t>v2-cv-accuracy-13b988b18da8ea7d</t>
        </is>
      </c>
    </row>
    <row r="1625" ht="28" customHeight="1">
      <c r="A1625" s="12">
        <f>IF($L1625="applied","Applied",IF($L1625="interview","Interview",IF($L1625="offer","Offer",IF($L1625="rejected","Rejected",IF($L1625="ignore","Ignore",IF($L1625="archive","Archive",IF($L1625="closed","Closed",IF($B1625="","Unscored",IF(AND($B1625&gt;=8,OR($H1625="",$H1625-TODAY()&lt;=14)),"P1 Apply",IF($B1625&gt;=7,"P2 Strong",IF($B1625&gt;=5,"P3 Maybe","P4 Low")))))))))))</f>
        <v/>
      </c>
      <c r="B1625" s="13" t="n">
        <v>0</v>
      </c>
      <c r="C1625" s="12" t="inlineStr">
        <is>
          <t>Senior/Lead</t>
        </is>
      </c>
      <c r="D1625" s="8" t="inlineStr">
        <is>
          <t>Staff Engineer (ML Engineer)</t>
        </is>
      </c>
      <c r="E1625" s="7" t="inlineStr">
        <is>
          <t>Graphcore</t>
        </is>
      </c>
      <c r="F1625" s="8" t="inlineStr">
        <is>
          <t>London, UK</t>
        </is>
      </c>
      <c r="G1625" s="8" t="n"/>
      <c r="H1625" s="14" t="n"/>
      <c r="I1625" s="15">
        <f>IF($H1625="","",$H1625-TODAY())</f>
        <v/>
      </c>
      <c r="J1625" s="16" t="inlineStr">
        <is>
          <t>Open posting</t>
        </is>
      </c>
      <c r="K1625" s="8" t="inlineStr">
        <is>
          <t>filtered by keyword pre-scan</t>
        </is>
      </c>
      <c r="L1625" s="17" t="inlineStr">
        <is>
          <t>new</t>
        </is>
      </c>
      <c r="M1625" s="18" t="inlineStr"/>
      <c r="N1625" s="7" t="inlineStr">
        <is>
          <t>7327130c7d66ecb3f9935d46226da8aade3a9ee3</t>
        </is>
      </c>
      <c r="O1625" s="14" t="n">
        <v>46198</v>
      </c>
      <c r="P1625" s="7" t="inlineStr">
        <is>
          <t>greenhouse:graphcore</t>
        </is>
      </c>
      <c r="Q1625" s="8" t="inlineStr">
        <is>
          <t>python, c</t>
        </is>
      </c>
      <c r="R1625" s="8" t="n"/>
      <c r="S1625" s="19" t="n"/>
      <c r="T1625" s="19" t="n"/>
      <c r="U1625" s="14" t="n">
        <v>46198</v>
      </c>
      <c r="V1625" s="7" t="inlineStr">
        <is>
          <t>v2-cv-accuracy-13b988b18da8ea7d</t>
        </is>
      </c>
    </row>
    <row r="1626" ht="28" customHeight="1">
      <c r="A1626" s="12">
        <f>IF($L1626="applied","Applied",IF($L1626="interview","Interview",IF($L1626="offer","Offer",IF($L1626="rejected","Rejected",IF($L1626="ignore","Ignore",IF($L1626="archive","Archive",IF($L1626="closed","Closed",IF($B1626="","Unscored",IF(AND($B1626&gt;=8,OR($H1626="",$H1626-TODAY()&lt;=14)),"P1 Apply",IF($B1626&gt;=7,"P2 Strong",IF($B1626&gt;=5,"P3 Maybe","P4 Low")))))))))))</f>
        <v/>
      </c>
      <c r="B1626" s="13" t="n">
        <v>0</v>
      </c>
      <c r="C1626" s="12" t="inlineStr">
        <is>
          <t>Senior/Lead</t>
        </is>
      </c>
      <c r="D1626" s="8" t="inlineStr">
        <is>
          <t>Senior Trading Operations Specialist</t>
        </is>
      </c>
      <c r="E1626" s="7" t="inlineStr">
        <is>
          <t>Dyson</t>
        </is>
      </c>
      <c r="F1626" s="8" t="inlineStr">
        <is>
          <t>Netherlands - Amsterdam Office</t>
        </is>
      </c>
      <c r="G1626" s="8" t="n"/>
      <c r="H1626" s="14" t="n"/>
      <c r="I1626" s="15">
        <f>IF($H1626="","",$H1626-TODAY())</f>
        <v/>
      </c>
      <c r="J1626" s="16" t="inlineStr">
        <is>
          <t>Open posting</t>
        </is>
      </c>
      <c r="K1626" s="8" t="inlineStr">
        <is>
          <t>filtered by keyword pre-scan</t>
        </is>
      </c>
      <c r="L1626" s="17" t="inlineStr">
        <is>
          <t>new</t>
        </is>
      </c>
      <c r="M1626" s="18" t="inlineStr"/>
      <c r="N1626" s="7" t="inlineStr">
        <is>
          <t>e28233d1acdcf36c5001fe0073314e9a30a29da0</t>
        </is>
      </c>
      <c r="O1626" s="14" t="n"/>
      <c r="P1626" s="7" t="inlineStr">
        <is>
          <t>workday</t>
        </is>
      </c>
      <c r="Q1626" s="8" t="inlineStr">
        <is>
          <t>c</t>
        </is>
      </c>
      <c r="R1626" s="8" t="n"/>
      <c r="S1626" s="19" t="n"/>
      <c r="T1626" s="19" t="n"/>
      <c r="U1626" s="14" t="n">
        <v>46198</v>
      </c>
      <c r="V1626" s="7" t="inlineStr">
        <is>
          <t>v2-cv-accuracy-13b988b18da8ea7d</t>
        </is>
      </c>
    </row>
    <row r="1627" ht="28" customHeight="1">
      <c r="A1627" s="12">
        <f>IF($L1627="applied","Applied",IF($L1627="interview","Interview",IF($L1627="offer","Offer",IF($L1627="rejected","Rejected",IF($L1627="ignore","Ignore",IF($L1627="archive","Archive",IF($L1627="closed","Closed",IF($B1627="","Unscored",IF(AND($B1627&gt;=8,OR($H1627="",$H1627-TODAY()&lt;=14)),"P1 Apply",IF($B1627&gt;=7,"P2 Strong",IF($B1627&gt;=5,"P3 Maybe","P4 Low")))))))))))</f>
        <v/>
      </c>
      <c r="B1627" s="13" t="n">
        <v>0</v>
      </c>
      <c r="C1627" s="12" t="inlineStr">
        <is>
          <t>Unspecified</t>
        </is>
      </c>
      <c r="D1627" s="8" t="inlineStr">
        <is>
          <t>Stylist</t>
        </is>
      </c>
      <c r="E1627" s="7" t="inlineStr">
        <is>
          <t>Dyson</t>
        </is>
      </c>
      <c r="F1627" s="8" t="inlineStr">
        <is>
          <t>Netherlands - Utrecht De Bijenkorf Demo Store</t>
        </is>
      </c>
      <c r="G1627" s="8" t="n"/>
      <c r="H1627" s="14" t="n"/>
      <c r="I1627" s="15">
        <f>IF($H1627="","",$H1627-TODAY())</f>
        <v/>
      </c>
      <c r="J1627" s="16" t="inlineStr">
        <is>
          <t>Open posting</t>
        </is>
      </c>
      <c r="K1627" s="8" t="inlineStr">
        <is>
          <t>filtered by keyword pre-scan</t>
        </is>
      </c>
      <c r="L1627" s="17" t="inlineStr">
        <is>
          <t>new</t>
        </is>
      </c>
      <c r="M1627" s="18" t="inlineStr"/>
      <c r="N1627" s="7" t="inlineStr">
        <is>
          <t>a3253f6d904081b49a63a8c9d230faccacdb5dd7</t>
        </is>
      </c>
      <c r="O1627" s="14" t="n"/>
      <c r="P1627" s="7" t="inlineStr">
        <is>
          <t>workday</t>
        </is>
      </c>
      <c r="Q1627" s="8" t="inlineStr"/>
      <c r="R1627" s="8" t="n"/>
      <c r="S1627" s="19" t="n"/>
      <c r="T1627" s="19" t="n"/>
      <c r="U1627" s="14" t="n">
        <v>46198</v>
      </c>
      <c r="V1627" s="7" t="inlineStr">
        <is>
          <t>v2-cv-accuracy-13b988b18da8ea7d</t>
        </is>
      </c>
    </row>
    <row r="1628" ht="28" customHeight="1">
      <c r="A1628" s="12">
        <f>IF($L1628="applied","Applied",IF($L1628="interview","Interview",IF($L1628="offer","Offer",IF($L1628="rejected","Rejected",IF($L1628="ignore","Ignore",IF($L1628="archive","Archive",IF($L1628="closed","Closed",IF($B1628="","Unscored",IF(AND($B1628&gt;=8,OR($H1628="",$H1628-TODAY()&lt;=14)),"P1 Apply",IF($B1628&gt;=7,"P2 Strong",IF($B1628&gt;=5,"P3 Maybe","P4 Low")))))))))))</f>
        <v/>
      </c>
      <c r="B1628" s="13" t="n">
        <v>0</v>
      </c>
      <c r="C1628" s="12" t="inlineStr">
        <is>
          <t>Senior/Lead</t>
        </is>
      </c>
      <c r="D1628" s="8" t="inlineStr">
        <is>
          <t>Power Systems/ HV Director- North</t>
        </is>
      </c>
      <c r="E1628" s="7" t="inlineStr">
        <is>
          <t>Arup</t>
        </is>
      </c>
      <c r="F1628" s="8" t="inlineStr">
        <is>
          <t>Glasgow, SCT, GB</t>
        </is>
      </c>
      <c r="G1628" s="8" t="n"/>
      <c r="H1628" s="14" t="n"/>
      <c r="I1628" s="15">
        <f>IF($H1628="","",$H1628-TODAY())</f>
        <v/>
      </c>
      <c r="J1628" s="16" t="inlineStr">
        <is>
          <t>Open posting</t>
        </is>
      </c>
      <c r="K1628" s="8" t="inlineStr">
        <is>
          <t>filtered by keyword pre-scan</t>
        </is>
      </c>
      <c r="L1628" s="17" t="inlineStr">
        <is>
          <t>new</t>
        </is>
      </c>
      <c r="M1628" s="18" t="inlineStr"/>
      <c r="N1628" s="7" t="inlineStr">
        <is>
          <t>b3d61a20a41ab4bad67c78adaee75e9591d7ebc7</t>
        </is>
      </c>
      <c r="O1628" s="14" t="n">
        <v>46197</v>
      </c>
      <c r="P1628" s="7" t="inlineStr">
        <is>
          <t>jobspy</t>
        </is>
      </c>
      <c r="Q1628" s="8" t="inlineStr">
        <is>
          <t>git, c</t>
        </is>
      </c>
      <c r="R1628" s="8" t="inlineStr">
        <is>
          <t>Graduate Electronics Engineer Sheffield</t>
        </is>
      </c>
      <c r="S1628" s="19" t="n"/>
      <c r="T1628" s="19" t="n"/>
      <c r="U1628" s="14" t="n">
        <v>46198</v>
      </c>
      <c r="V1628" s="7" t="inlineStr">
        <is>
          <t>v2-cv-accuracy-13b988b18da8ea7d</t>
        </is>
      </c>
    </row>
    <row r="1629" ht="28" customHeight="1">
      <c r="A1629" s="12">
        <f>IF($L1629="applied","Applied",IF($L1629="interview","Interview",IF($L1629="offer","Offer",IF($L1629="rejected","Rejected",IF($L1629="ignore","Ignore",IF($L1629="archive","Archive",IF($L1629="closed","Closed",IF($B1629="","Unscored",IF(AND($B1629&gt;=8,OR($H1629="",$H1629-TODAY()&lt;=14)),"P1 Apply",IF($B1629&gt;=7,"P2 Strong",IF($B1629&gt;=5,"P3 Maybe","P4 Low")))))))))))</f>
        <v/>
      </c>
      <c r="B1629" s="13" t="n">
        <v>0</v>
      </c>
      <c r="C1629" s="12" t="inlineStr">
        <is>
          <t>Senior/Lead</t>
        </is>
      </c>
      <c r="D1629" s="8" t="inlineStr">
        <is>
          <t>Senior FullStack Engineer</t>
        </is>
      </c>
      <c r="E1629" s="7" t="inlineStr">
        <is>
          <t>Abound</t>
        </is>
      </c>
      <c r="F1629" s="8" t="inlineStr">
        <is>
          <t>London, England, UK</t>
        </is>
      </c>
      <c r="G1629" s="8" t="n"/>
      <c r="H1629" s="14" t="n"/>
      <c r="I1629" s="15">
        <f>IF($H1629="","",$H1629-TODAY())</f>
        <v/>
      </c>
      <c r="J1629" s="16" t="inlineStr">
        <is>
          <t>Open posting</t>
        </is>
      </c>
      <c r="K1629" s="8" t="inlineStr">
        <is>
          <t>filtered by keyword pre-scan</t>
        </is>
      </c>
      <c r="L1629" s="17" t="inlineStr">
        <is>
          <t>new</t>
        </is>
      </c>
      <c r="M1629" s="18" t="inlineStr"/>
      <c r="N1629" s="7" t="inlineStr">
        <is>
          <t>47389f9b5692c64279c5f8f3396a7d1e2eaf42ea</t>
        </is>
      </c>
      <c r="O1629" s="14" t="n">
        <v>46190</v>
      </c>
      <c r="P1629" s="7" t="inlineStr">
        <is>
          <t>jobspy</t>
        </is>
      </c>
      <c r="Q1629" s="8" t="inlineStr">
        <is>
          <t>python, sql, mysql, docker, git</t>
        </is>
      </c>
      <c r="R1629" s="8" t="inlineStr">
        <is>
          <t>Junior Python Developer backend SQL Docker</t>
        </is>
      </c>
      <c r="S1629" s="19" t="n"/>
      <c r="T1629" s="19" t="n"/>
      <c r="U1629" s="14" t="n">
        <v>46198</v>
      </c>
      <c r="V1629" s="7" t="inlineStr">
        <is>
          <t>v2-cv-accuracy-13b988b18da8ea7d</t>
        </is>
      </c>
    </row>
    <row r="1630" ht="28" customHeight="1">
      <c r="A1630" s="12">
        <f>IF($L1630="applied","Applied",IF($L1630="interview","Interview",IF($L1630="offer","Offer",IF($L1630="rejected","Rejected",IF($L1630="ignore","Ignore",IF($L1630="archive","Archive",IF($L1630="closed","Closed",IF($B1630="","Unscored",IF(AND($B1630&gt;=8,OR($H1630="",$H1630-TODAY()&lt;=14)),"P1 Apply",IF($B1630&gt;=7,"P2 Strong",IF($B1630&gt;=5,"P3 Maybe","P4 Low")))))))))))</f>
        <v/>
      </c>
      <c r="B1630" s="13" t="n">
        <v>0</v>
      </c>
      <c r="C1630" s="12" t="inlineStr">
        <is>
          <t>Senior/Lead</t>
        </is>
      </c>
      <c r="D1630" s="8" t="inlineStr">
        <is>
          <t>Senior Backend Engineer</t>
        </is>
      </c>
      <c r="E1630" s="7" t="inlineStr">
        <is>
          <t>SumUp</t>
        </is>
      </c>
      <c r="F1630" s="8" t="inlineStr">
        <is>
          <t>London, England, UK</t>
        </is>
      </c>
      <c r="G1630" s="8" t="n"/>
      <c r="H1630" s="14" t="n"/>
      <c r="I1630" s="15">
        <f>IF($H1630="","",$H1630-TODAY())</f>
        <v/>
      </c>
      <c r="J1630" s="16" t="inlineStr">
        <is>
          <t>Open posting</t>
        </is>
      </c>
      <c r="K1630" s="8" t="inlineStr">
        <is>
          <t>filtered by keyword pre-scan</t>
        </is>
      </c>
      <c r="L1630" s="17" t="inlineStr">
        <is>
          <t>new</t>
        </is>
      </c>
      <c r="M1630" s="18" t="inlineStr"/>
      <c r="N1630" s="7" t="inlineStr">
        <is>
          <t>8d109284420746de384de38e11202df2238bbaf0</t>
        </is>
      </c>
      <c r="O1630" s="14" t="n">
        <v>46185</v>
      </c>
      <c r="P1630" s="7" t="inlineStr">
        <is>
          <t>jobspy</t>
        </is>
      </c>
      <c r="Q1630" s="8" t="inlineStr">
        <is>
          <t>python, sql, docker, kubernetes, c</t>
        </is>
      </c>
      <c r="R1630" s="8" t="inlineStr">
        <is>
          <t>Junior Python Developer backend SQL Docker</t>
        </is>
      </c>
      <c r="S1630" s="19" t="n"/>
      <c r="T1630" s="19" t="n"/>
      <c r="U1630" s="14" t="n">
        <v>46198</v>
      </c>
      <c r="V1630" s="7" t="inlineStr">
        <is>
          <t>v2-cv-accuracy-13b988b18da8ea7d</t>
        </is>
      </c>
    </row>
    <row r="1631" ht="28" customHeight="1">
      <c r="A1631" s="12">
        <f>IF($L1631="applied","Applied",IF($L1631="interview","Interview",IF($L1631="offer","Offer",IF($L1631="rejected","Rejected",IF($L1631="ignore","Ignore",IF($L1631="archive","Archive",IF($L1631="closed","Closed",IF($B1631="","Unscored",IF(AND($B1631&gt;=8,OR($H1631="",$H1631-TODAY()&lt;=14)),"P1 Apply",IF($B1631&gt;=7,"P2 Strong",IF($B1631&gt;=5,"P3 Maybe","P4 Low")))))))))))</f>
        <v/>
      </c>
      <c r="B1631" s="13" t="n">
        <v>0</v>
      </c>
      <c r="C1631" s="12" t="inlineStr">
        <is>
          <t>Senior/Lead</t>
        </is>
      </c>
      <c r="D1631" s="8" t="inlineStr">
        <is>
          <t>Senior Data Engineer</t>
        </is>
      </c>
      <c r="E1631" s="7" t="inlineStr">
        <is>
          <t>XYZ Reality</t>
        </is>
      </c>
      <c r="F1631" s="8" t="inlineStr">
        <is>
          <t>London, England, UK</t>
        </is>
      </c>
      <c r="G1631" s="8" t="n"/>
      <c r="H1631" s="14" t="n"/>
      <c r="I1631" s="15">
        <f>IF($H1631="","",$H1631-TODAY())</f>
        <v/>
      </c>
      <c r="J1631" s="16" t="inlineStr">
        <is>
          <t>Open posting</t>
        </is>
      </c>
      <c r="K1631" s="8" t="inlineStr">
        <is>
          <t>filtered by keyword pre-scan</t>
        </is>
      </c>
      <c r="L1631" s="17" t="inlineStr">
        <is>
          <t>new</t>
        </is>
      </c>
      <c r="M1631" s="18" t="inlineStr"/>
      <c r="N1631" s="7" t="inlineStr">
        <is>
          <t>059838ee5a26445d0b94e1651dda9b7568add857</t>
        </is>
      </c>
      <c r="O1631" s="14" t="n">
        <v>46183</v>
      </c>
      <c r="P1631" s="7" t="inlineStr">
        <is>
          <t>jobspy</t>
        </is>
      </c>
      <c r="Q1631" s="8" t="inlineStr">
        <is>
          <t>python, sql, docker, kubernetes, git</t>
        </is>
      </c>
      <c r="R1631" s="8" t="inlineStr">
        <is>
          <t>Graduate Data Engineer Python SQL backend pipeline</t>
        </is>
      </c>
      <c r="S1631" s="19" t="n"/>
      <c r="T1631" s="19" t="n"/>
      <c r="U1631" s="14" t="n">
        <v>46198</v>
      </c>
      <c r="V1631" s="7" t="inlineStr">
        <is>
          <t>v2-cv-accuracy-13b988b18da8ea7d</t>
        </is>
      </c>
    </row>
    <row r="1632" ht="28" customHeight="1">
      <c r="A1632" s="12">
        <f>IF($L1632="applied","Applied",IF($L1632="interview","Interview",IF($L1632="offer","Offer",IF($L1632="rejected","Rejected",IF($L1632="ignore","Ignore",IF($L1632="archive","Archive",IF($L1632="closed","Closed",IF($B1632="","Unscored",IF(AND($B1632&gt;=8,OR($H1632="",$H1632-TODAY()&lt;=14)),"P1 Apply",IF($B1632&gt;=7,"P2 Strong",IF($B1632&gt;=5,"P3 Maybe","P4 Low")))))))))))</f>
        <v/>
      </c>
      <c r="B1632" s="13" t="n">
        <v>0</v>
      </c>
      <c r="C1632" s="12" t="inlineStr">
        <is>
          <t>Senior/Lead</t>
        </is>
      </c>
      <c r="D1632" s="8" t="inlineStr">
        <is>
          <t>Principal Debug Validation Engineer</t>
        </is>
      </c>
      <c r="E1632" s="7" t="inlineStr">
        <is>
          <t>Graphcore</t>
        </is>
      </c>
      <c r="F1632" s="8" t="inlineStr">
        <is>
          <t>Austin, Texas, United States</t>
        </is>
      </c>
      <c r="G1632" s="8" t="n"/>
      <c r="H1632" s="14" t="n"/>
      <c r="I1632" s="15">
        <f>IF($H1632="","",$H1632-TODAY())</f>
        <v/>
      </c>
      <c r="J1632" s="16" t="inlineStr">
        <is>
          <t>Open posting</t>
        </is>
      </c>
      <c r="K1632" s="8" t="inlineStr">
        <is>
          <t>filtered by keyword pre-scan</t>
        </is>
      </c>
      <c r="L1632" s="17" t="inlineStr">
        <is>
          <t>new</t>
        </is>
      </c>
      <c r="M1632" s="18" t="inlineStr"/>
      <c r="N1632" s="7" t="inlineStr">
        <is>
          <t>f3b8cd1793b2d067c98cf94cec8860be6853a49e</t>
        </is>
      </c>
      <c r="O1632" s="14" t="n">
        <v>46198</v>
      </c>
      <c r="P1632" s="7" t="inlineStr">
        <is>
          <t>greenhouse:graphcore</t>
        </is>
      </c>
      <c r="Q1632" s="8" t="inlineStr">
        <is>
          <t>python, fpga, git, c</t>
        </is>
      </c>
      <c r="R1632" s="8" t="n"/>
      <c r="S1632" s="19" t="n"/>
      <c r="T1632" s="19" t="n"/>
      <c r="U1632" s="14" t="n">
        <v>46198</v>
      </c>
      <c r="V1632" s="7" t="inlineStr">
        <is>
          <t>v2-cv-accuracy-13b988b18da8ea7d</t>
        </is>
      </c>
    </row>
    <row r="1633" ht="28" customHeight="1">
      <c r="A1633" s="12">
        <f>IF($L1633="applied","Applied",IF($L1633="interview","Interview",IF($L1633="offer","Offer",IF($L1633="rejected","Rejected",IF($L1633="ignore","Ignore",IF($L1633="archive","Archive",IF($L1633="closed","Closed",IF($B1633="","Unscored",IF(AND($B1633&gt;=8,OR($H1633="",$H1633-TODAY()&lt;=14)),"P1 Apply",IF($B1633&gt;=7,"P2 Strong",IF($B1633&gt;=5,"P3 Maybe","P4 Low")))))))))))</f>
        <v/>
      </c>
      <c r="B1633" s="13" t="n">
        <v>0</v>
      </c>
      <c r="C1633" s="12" t="inlineStr">
        <is>
          <t>Senior/Lead</t>
        </is>
      </c>
      <c r="D1633" s="8" t="inlineStr">
        <is>
          <t>Senior Debug Validation Engineer</t>
        </is>
      </c>
      <c r="E1633" s="7" t="inlineStr">
        <is>
          <t>Graphcore</t>
        </is>
      </c>
      <c r="F1633" s="8" t="inlineStr">
        <is>
          <t>Austin, Texas, United States</t>
        </is>
      </c>
      <c r="G1633" s="8" t="n"/>
      <c r="H1633" s="14" t="n"/>
      <c r="I1633" s="15">
        <f>IF($H1633="","",$H1633-TODAY())</f>
        <v/>
      </c>
      <c r="J1633" s="16" t="inlineStr">
        <is>
          <t>Open posting</t>
        </is>
      </c>
      <c r="K1633" s="8" t="inlineStr">
        <is>
          <t>filtered by keyword pre-scan</t>
        </is>
      </c>
      <c r="L1633" s="17" t="inlineStr">
        <is>
          <t>new</t>
        </is>
      </c>
      <c r="M1633" s="18" t="inlineStr"/>
      <c r="N1633" s="7" t="inlineStr">
        <is>
          <t>ffeadda9b0f7fc2842c906621e7f2a52a03c4710</t>
        </is>
      </c>
      <c r="O1633" s="14" t="n">
        <v>46198</v>
      </c>
      <c r="P1633" s="7" t="inlineStr">
        <is>
          <t>greenhouse:graphcore</t>
        </is>
      </c>
      <c r="Q1633" s="8" t="inlineStr">
        <is>
          <t>python, git, c</t>
        </is>
      </c>
      <c r="R1633" s="8" t="n"/>
      <c r="S1633" s="19" t="n"/>
      <c r="T1633" s="19" t="n"/>
      <c r="U1633" s="14" t="n">
        <v>46198</v>
      </c>
      <c r="V1633" s="7" t="inlineStr">
        <is>
          <t>v2-cv-accuracy-13b988b18da8ea7d</t>
        </is>
      </c>
    </row>
    <row r="1634" ht="28" customHeight="1">
      <c r="A1634" s="12">
        <f>IF($L1634="applied","Applied",IF($L1634="interview","Interview",IF($L1634="offer","Offer",IF($L1634="rejected","Rejected",IF($L1634="ignore","Ignore",IF($L1634="archive","Archive",IF($L1634="closed","Closed",IF($B1634="","Unscored",IF(AND($B1634&gt;=8,OR($H1634="",$H1634-TODAY()&lt;=14)),"P1 Apply",IF($B1634&gt;=7,"P2 Strong",IF($B1634&gt;=5,"P3 Maybe","P4 Low")))))))))))</f>
        <v/>
      </c>
      <c r="B1634" s="13" t="n">
        <v>0</v>
      </c>
      <c r="C1634" s="12" t="inlineStr">
        <is>
          <t>Senior/Lead</t>
        </is>
      </c>
      <c r="D1634" s="8" t="inlineStr">
        <is>
          <t>Staff SLT Test Engineer</t>
        </is>
      </c>
      <c r="E1634" s="7" t="inlineStr">
        <is>
          <t>Graphcore</t>
        </is>
      </c>
      <c r="F1634" s="8" t="inlineStr">
        <is>
          <t>Austin, Texas, United States</t>
        </is>
      </c>
      <c r="G1634" s="8" t="n"/>
      <c r="H1634" s="14" t="n"/>
      <c r="I1634" s="15">
        <f>IF($H1634="","",$H1634-TODAY())</f>
        <v/>
      </c>
      <c r="J1634" s="16" t="inlineStr">
        <is>
          <t>Open posting</t>
        </is>
      </c>
      <c r="K1634" s="8" t="inlineStr">
        <is>
          <t>filtered by keyword pre-scan</t>
        </is>
      </c>
      <c r="L1634" s="17" t="inlineStr">
        <is>
          <t>new</t>
        </is>
      </c>
      <c r="M1634" s="18" t="inlineStr"/>
      <c r="N1634" s="7" t="inlineStr">
        <is>
          <t>3a37040ed88ee6be3ea4144e8b52c9e5193b0cd3</t>
        </is>
      </c>
      <c r="O1634" s="14" t="n">
        <v>46198</v>
      </c>
      <c r="P1634" s="7" t="inlineStr">
        <is>
          <t>greenhouse:graphcore</t>
        </is>
      </c>
      <c r="Q1634" s="8" t="inlineStr">
        <is>
          <t>c</t>
        </is>
      </c>
      <c r="R1634" s="8" t="n"/>
      <c r="S1634" s="19" t="n"/>
      <c r="T1634" s="19" t="n"/>
      <c r="U1634" s="14" t="n">
        <v>46198</v>
      </c>
      <c r="V1634" s="7" t="inlineStr">
        <is>
          <t>v2-cv-accuracy-13b988b18da8ea7d</t>
        </is>
      </c>
    </row>
    <row r="1635" ht="28" customHeight="1">
      <c r="A1635" s="12">
        <f>IF($L1635="applied","Applied",IF($L1635="interview","Interview",IF($L1635="offer","Offer",IF($L1635="rejected","Rejected",IF($L1635="ignore","Ignore",IF($L1635="archive","Archive",IF($L1635="closed","Closed",IF($B1635="","Unscored",IF(AND($B1635&gt;=8,OR($H1635="",$H1635-TODAY()&lt;=14)),"P1 Apply",IF($B1635&gt;=7,"P2 Strong",IF($B1635&gt;=5,"P3 Maybe","P4 Low")))))))))))</f>
        <v/>
      </c>
      <c r="B1635" s="13" t="n">
        <v>0</v>
      </c>
      <c r="C1635" s="12" t="inlineStr">
        <is>
          <t>Senior/Lead</t>
        </is>
      </c>
      <c r="D1635" s="8" t="inlineStr">
        <is>
          <t>Senior Solutions Engineering Manager, West</t>
        </is>
      </c>
      <c r="E1635" s="7" t="inlineStr">
        <is>
          <t>Cloudflare</t>
        </is>
      </c>
      <c r="F1635" s="8" t="inlineStr">
        <is>
          <t>Distributed</t>
        </is>
      </c>
      <c r="G1635" s="8" t="n"/>
      <c r="H1635" s="14" t="n"/>
      <c r="I1635" s="15">
        <f>IF($H1635="","",$H1635-TODAY())</f>
        <v/>
      </c>
      <c r="J1635" s="16" t="inlineStr">
        <is>
          <t>Open posting</t>
        </is>
      </c>
      <c r="K1635" s="8" t="inlineStr">
        <is>
          <t>filtered by keyword pre-scan</t>
        </is>
      </c>
      <c r="L1635" s="17" t="inlineStr">
        <is>
          <t>new</t>
        </is>
      </c>
      <c r="M1635" s="18" t="inlineStr"/>
      <c r="N1635" s="7" t="inlineStr">
        <is>
          <t>21d7ed2c3fbd621303d64d499a8caad9cc2b3c48</t>
        </is>
      </c>
      <c r="O1635" s="14" t="n">
        <v>46198</v>
      </c>
      <c r="P1635" s="7" t="inlineStr">
        <is>
          <t>greenhouse:cloudflare</t>
        </is>
      </c>
      <c r="Q1635" s="8" t="inlineStr">
        <is>
          <t>c</t>
        </is>
      </c>
      <c r="R1635" s="8" t="n"/>
      <c r="S1635" s="19" t="n"/>
      <c r="T1635" s="19" t="n"/>
      <c r="U1635" s="14" t="n">
        <v>46198</v>
      </c>
      <c r="V1635" s="7" t="inlineStr">
        <is>
          <t>v2-cv-accuracy-13b988b18da8ea7d</t>
        </is>
      </c>
    </row>
    <row r="1636" ht="28" customHeight="1">
      <c r="A1636" s="12">
        <f>IF($L1636="applied","Applied",IF($L1636="interview","Interview",IF($L1636="offer","Offer",IF($L1636="rejected","Rejected",IF($L1636="ignore","Ignore",IF($L1636="archive","Archive",IF($L1636="closed","Closed",IF($B1636="","Unscored",IF(AND($B1636&gt;=8,OR($H1636="",$H1636-TODAY()&lt;=14)),"P1 Apply",IF($B1636&gt;=7,"P2 Strong",IF($B1636&gt;=5,"P3 Maybe","P4 Low")))))))))))</f>
        <v/>
      </c>
      <c r="B1636" s="13" t="n">
        <v>0</v>
      </c>
      <c r="C1636" s="12" t="inlineStr">
        <is>
          <t>Senior/Lead</t>
        </is>
      </c>
      <c r="D1636" s="8" t="inlineStr">
        <is>
          <t>Digital Infrastructure Design - Senior Engineer</t>
        </is>
      </c>
      <c r="E1636" s="7" t="inlineStr">
        <is>
          <t>WSP in the UK &amp; Ireland</t>
        </is>
      </c>
      <c r="F1636" s="8" t="inlineStr">
        <is>
          <t>Bristol, England, UK</t>
        </is>
      </c>
      <c r="G1636" s="8" t="n"/>
      <c r="H1636" s="14" t="n"/>
      <c r="I1636" s="15">
        <f>IF($H1636="","",$H1636-TODAY())</f>
        <v/>
      </c>
      <c r="J1636" s="16" t="inlineStr">
        <is>
          <t>Open posting</t>
        </is>
      </c>
      <c r="K1636" s="8" t="inlineStr">
        <is>
          <t>filtered by keyword pre-scan</t>
        </is>
      </c>
      <c r="L1636" s="17" t="inlineStr">
        <is>
          <t>new</t>
        </is>
      </c>
      <c r="M1636" s="18" t="inlineStr"/>
      <c r="N1636" s="7" t="inlineStr">
        <is>
          <t>f72203cb0b886794d589a152fe83a8696293a338</t>
        </is>
      </c>
      <c r="O1636" s="14" t="n">
        <v>46182</v>
      </c>
      <c r="P1636" s="7" t="inlineStr">
        <is>
          <t>jobspy</t>
        </is>
      </c>
      <c r="Q1636" s="8" t="inlineStr">
        <is>
          <t>git, c, digital design</t>
        </is>
      </c>
      <c r="R1636" s="8" t="inlineStr">
        <is>
          <t>Graduate Digital Design Engineer FPGA</t>
        </is>
      </c>
      <c r="S1636" s="19" t="n"/>
      <c r="T1636" s="19" t="n"/>
      <c r="U1636" s="14" t="n">
        <v>46198</v>
      </c>
      <c r="V1636" s="7" t="inlineStr">
        <is>
          <t>v2-cv-accuracy-13b988b18da8ea7d</t>
        </is>
      </c>
    </row>
    <row r="1637" ht="28" customHeight="1">
      <c r="A1637" s="12">
        <f>IF($L1637="applied","Applied",IF($L1637="interview","Interview",IF($L1637="offer","Offer",IF($L1637="rejected","Rejected",IF($L1637="ignore","Ignore",IF($L1637="archive","Archive",IF($L1637="closed","Closed",IF($B1637="","Unscored",IF(AND($B1637&gt;=8,OR($H1637="",$H1637-TODAY()&lt;=14)),"P1 Apply",IF($B1637&gt;=7,"P2 Strong",IF($B1637&gt;=5,"P3 Maybe","P4 Low")))))))))))</f>
        <v/>
      </c>
      <c r="B1637" s="13" t="n">
        <v>0</v>
      </c>
      <c r="C1637" s="12" t="inlineStr">
        <is>
          <t>Senior/Lead</t>
        </is>
      </c>
      <c r="D1637" s="8" t="inlineStr">
        <is>
          <t>Senior Embedded Software Engineer (M/F/D)</t>
        </is>
      </c>
      <c r="E1637" s="7" t="inlineStr">
        <is>
          <t>Baker Hughes</t>
        </is>
      </c>
      <c r="F1637" s="8" t="inlineStr">
        <is>
          <t>Nailsea, England, UK</t>
        </is>
      </c>
      <c r="G1637" s="8" t="n"/>
      <c r="H1637" s="14" t="n"/>
      <c r="I1637" s="15">
        <f>IF($H1637="","",$H1637-TODAY())</f>
        <v/>
      </c>
      <c r="J1637" s="16" t="inlineStr">
        <is>
          <t>Open posting</t>
        </is>
      </c>
      <c r="K1637" s="8" t="inlineStr">
        <is>
          <t>filtered by keyword pre-scan</t>
        </is>
      </c>
      <c r="L1637" s="17" t="inlineStr">
        <is>
          <t>new</t>
        </is>
      </c>
      <c r="M1637" s="18" t="inlineStr"/>
      <c r="N1637" s="7" t="inlineStr">
        <is>
          <t>0db9adecbf56846beaaf570a6351b83647479356</t>
        </is>
      </c>
      <c r="O1637" s="14" t="n">
        <v>46197</v>
      </c>
      <c r="P1637" s="7" t="inlineStr">
        <is>
          <t>jobspy</t>
        </is>
      </c>
      <c r="Q1637" s="8" t="inlineStr">
        <is>
          <t>python, git, c</t>
        </is>
      </c>
      <c r="R1637" s="8" t="inlineStr">
        <is>
          <t>Junior Embedded Software Engineer Python C</t>
        </is>
      </c>
      <c r="S1637" s="19" t="n"/>
      <c r="T1637" s="19" t="n"/>
      <c r="U1637" s="14" t="n">
        <v>46198</v>
      </c>
      <c r="V1637" s="7" t="inlineStr">
        <is>
          <t>v2-cv-accuracy-13b988b18da8ea7d</t>
        </is>
      </c>
    </row>
    <row r="1638" ht="28" customHeight="1">
      <c r="A1638" s="12">
        <f>IF($L1638="applied","Applied",IF($L1638="interview","Interview",IF($L1638="offer","Offer",IF($L1638="rejected","Rejected",IF($L1638="ignore","Ignore",IF($L1638="archive","Archive",IF($L1638="closed","Closed",IF($B1638="","Unscored",IF(AND($B1638&gt;=8,OR($H1638="",$H1638-TODAY()&lt;=14)),"P1 Apply",IF($B1638&gt;=7,"P2 Strong",IF($B1638&gt;=5,"P3 Maybe","P4 Low")))))))))))</f>
        <v/>
      </c>
      <c r="B1638" s="13" t="n">
        <v>0</v>
      </c>
      <c r="C1638" s="12" t="inlineStr">
        <is>
          <t>Senior/Lead</t>
        </is>
      </c>
      <c r="D1638" s="8" t="inlineStr">
        <is>
          <t>Principal Embedded Software and Controls Engineer</t>
        </is>
      </c>
      <c r="E1638" s="7" t="inlineStr">
        <is>
          <t>Hypermotive</t>
        </is>
      </c>
      <c r="F1638" s="8" t="inlineStr">
        <is>
          <t>Lutterworth, England, UK</t>
        </is>
      </c>
      <c r="G1638" s="8" t="n"/>
      <c r="H1638" s="14" t="n"/>
      <c r="I1638" s="15">
        <f>IF($H1638="","",$H1638-TODAY())</f>
        <v/>
      </c>
      <c r="J1638" s="16" t="inlineStr">
        <is>
          <t>Open posting</t>
        </is>
      </c>
      <c r="K1638" s="8" t="inlineStr">
        <is>
          <t>filtered by keyword pre-scan</t>
        </is>
      </c>
      <c r="L1638" s="17" t="inlineStr">
        <is>
          <t>new</t>
        </is>
      </c>
      <c r="M1638" s="18" t="inlineStr"/>
      <c r="N1638" s="7" t="inlineStr">
        <is>
          <t>773214f91c08afc7683315bf9e62e29f163abba8</t>
        </is>
      </c>
      <c r="O1638" s="14" t="n">
        <v>46195</v>
      </c>
      <c r="P1638" s="7" t="inlineStr">
        <is>
          <t>jobspy</t>
        </is>
      </c>
      <c r="Q1638" s="8" t="inlineStr">
        <is>
          <t>python, c</t>
        </is>
      </c>
      <c r="R1638" s="8" t="inlineStr">
        <is>
          <t>Junior Embedded Software Engineer Python C</t>
        </is>
      </c>
      <c r="S1638" s="19" t="n"/>
      <c r="T1638" s="19" t="n"/>
      <c r="U1638" s="14" t="n">
        <v>46198</v>
      </c>
      <c r="V1638" s="7" t="inlineStr">
        <is>
          <t>v2-cv-accuracy-13b988b18da8ea7d</t>
        </is>
      </c>
    </row>
    <row r="1639" ht="28" customHeight="1">
      <c r="A1639" s="12">
        <f>IF($L1639="applied","Applied",IF($L1639="interview","Interview",IF($L1639="offer","Offer",IF($L1639="rejected","Rejected",IF($L1639="ignore","Ignore",IF($L1639="archive","Archive",IF($L1639="closed","Closed",IF($B1639="","Unscored",IF(AND($B1639&gt;=8,OR($H1639="",$H1639-TODAY()&lt;=14)),"P1 Apply",IF($B1639&gt;=7,"P2 Strong",IF($B1639&gt;=5,"P3 Maybe","P4 Low")))))))))))</f>
        <v/>
      </c>
      <c r="B1639" s="13" t="n">
        <v>0</v>
      </c>
      <c r="C1639" s="12" t="inlineStr">
        <is>
          <t>Senior/Lead</t>
        </is>
      </c>
      <c r="D1639" s="8" t="inlineStr">
        <is>
          <t>Senior Embedded &amp; Control Software Engineer</t>
        </is>
      </c>
      <c r="E1639" s="7" t="inlineStr">
        <is>
          <t>AB Dynamics</t>
        </is>
      </c>
      <c r="F1639" s="8" t="inlineStr">
        <is>
          <t>Bradford-On-Avon, England, UK</t>
        </is>
      </c>
      <c r="G1639" s="8" t="n"/>
      <c r="H1639" s="14" t="n"/>
      <c r="I1639" s="15">
        <f>IF($H1639="","",$H1639-TODAY())</f>
        <v/>
      </c>
      <c r="J1639" s="16" t="inlineStr">
        <is>
          <t>Open posting</t>
        </is>
      </c>
      <c r="K1639" s="8" t="inlineStr">
        <is>
          <t>filtered by keyword pre-scan</t>
        </is>
      </c>
      <c r="L1639" s="17" t="inlineStr">
        <is>
          <t>new</t>
        </is>
      </c>
      <c r="M1639" s="18" t="inlineStr"/>
      <c r="N1639" s="7" t="inlineStr">
        <is>
          <t>8116245a13cd924b9d335c7eab51b641b9ebe01d</t>
        </is>
      </c>
      <c r="O1639" s="14" t="n">
        <v>46188</v>
      </c>
      <c r="P1639" s="7" t="inlineStr">
        <is>
          <t>jobspy</t>
        </is>
      </c>
      <c r="Q1639" s="8" t="inlineStr">
        <is>
          <t>python, c, embedded systems</t>
        </is>
      </c>
      <c r="R1639" s="8" t="inlineStr">
        <is>
          <t>Junior Embedded Software Engineer Python C</t>
        </is>
      </c>
      <c r="S1639" s="19" t="n"/>
      <c r="T1639" s="19" t="n"/>
      <c r="U1639" s="14" t="n">
        <v>46198</v>
      </c>
      <c r="V1639" s="7" t="inlineStr">
        <is>
          <t>v2-cv-accuracy-13b988b18da8ea7d</t>
        </is>
      </c>
    </row>
    <row r="1640" ht="28" customHeight="1">
      <c r="A1640" s="12">
        <f>IF($L1640="applied","Applied",IF($L1640="interview","Interview",IF($L1640="offer","Offer",IF($L1640="rejected","Rejected",IF($L1640="ignore","Ignore",IF($L1640="archive","Archive",IF($L1640="closed","Closed",IF($B1640="","Unscored",IF(AND($B1640&gt;=8,OR($H1640="",$H1640-TODAY()&lt;=14)),"P1 Apply",IF($B1640&gt;=7,"P2 Strong",IF($B1640&gt;=5,"P3 Maybe","P4 Low")))))))))))</f>
        <v/>
      </c>
      <c r="B1640" s="13" t="n">
        <v>0</v>
      </c>
      <c r="C1640" s="12" t="inlineStr">
        <is>
          <t>Senior/Lead</t>
        </is>
      </c>
      <c r="D1640" s="8" t="inlineStr">
        <is>
          <t>Senior Software Developer / Senior Embedded Linux Software Engineer</t>
        </is>
      </c>
      <c r="E1640" s="7" t="inlineStr">
        <is>
          <t>hackajob</t>
        </is>
      </c>
      <c r="F1640" s="8" t="inlineStr">
        <is>
          <t>Cambridge, England, UK</t>
        </is>
      </c>
      <c r="G1640" s="8" t="n"/>
      <c r="H1640" s="14" t="n"/>
      <c r="I1640" s="15">
        <f>IF($H1640="","",$H1640-TODAY())</f>
        <v/>
      </c>
      <c r="J1640" s="16" t="inlineStr">
        <is>
          <t>Open posting</t>
        </is>
      </c>
      <c r="K1640" s="8" t="inlineStr">
        <is>
          <t>filtered by keyword pre-scan</t>
        </is>
      </c>
      <c r="L1640" s="17" t="inlineStr">
        <is>
          <t>new</t>
        </is>
      </c>
      <c r="M1640" s="18" t="inlineStr"/>
      <c r="N1640" s="7" t="inlineStr">
        <is>
          <t>fe9c66511ed1f15c7e1fa1312ea243bf22033ca4</t>
        </is>
      </c>
      <c r="O1640" s="14" t="n">
        <v>46185</v>
      </c>
      <c r="P1640" s="7" t="inlineStr">
        <is>
          <t>jobspy</t>
        </is>
      </c>
      <c r="Q1640" s="8" t="inlineStr">
        <is>
          <t>python, git, c</t>
        </is>
      </c>
      <c r="R1640" s="8" t="inlineStr">
        <is>
          <t>Junior Embedded Software Engineer Python C</t>
        </is>
      </c>
      <c r="S1640" s="19" t="n"/>
      <c r="T1640" s="19" t="n"/>
      <c r="U1640" s="14" t="n">
        <v>46198</v>
      </c>
      <c r="V1640" s="7" t="inlineStr">
        <is>
          <t>v2-cv-accuracy-13b988b18da8ea7d</t>
        </is>
      </c>
    </row>
    <row r="1641" ht="28" customHeight="1">
      <c r="A1641" s="12">
        <f>IF($L1641="applied","Applied",IF($L1641="interview","Interview",IF($L1641="offer","Offer",IF($L1641="rejected","Rejected",IF($L1641="ignore","Ignore",IF($L1641="archive","Archive",IF($L1641="closed","Closed",IF($B1641="","Unscored",IF(AND($B1641&gt;=8,OR($H1641="",$H1641-TODAY()&lt;=14)),"P1 Apply",IF($B1641&gt;=7,"P2 Strong",IF($B1641&gt;=5,"P3 Maybe","P4 Low")))))))))))</f>
        <v/>
      </c>
      <c r="B1641" s="13" t="n">
        <v>0</v>
      </c>
      <c r="C1641" s="12" t="inlineStr">
        <is>
          <t>Senior/Lead</t>
        </is>
      </c>
      <c r="D1641" s="8" t="inlineStr">
        <is>
          <t>Senior Cloud Software Engineer</t>
        </is>
      </c>
      <c r="E1641" s="7" t="inlineStr">
        <is>
          <t>Graphcore</t>
        </is>
      </c>
      <c r="F1641" s="8" t="inlineStr">
        <is>
          <t>Gdańsk, Pomeranian Voivodeship, Poland</t>
        </is>
      </c>
      <c r="G1641" s="8" t="n"/>
      <c r="H1641" s="14" t="n"/>
      <c r="I1641" s="15">
        <f>IF($H1641="","",$H1641-TODAY())</f>
        <v/>
      </c>
      <c r="J1641" s="16" t="inlineStr">
        <is>
          <t>Open posting</t>
        </is>
      </c>
      <c r="K1641" s="8" t="inlineStr">
        <is>
          <t>filtered by keyword pre-scan</t>
        </is>
      </c>
      <c r="L1641" s="17" t="inlineStr">
        <is>
          <t>new</t>
        </is>
      </c>
      <c r="M1641" s="18" t="inlineStr"/>
      <c r="N1641" s="7" t="inlineStr">
        <is>
          <t>2323f9b0cf1fa3386ed3ef55387e836715f533c4</t>
        </is>
      </c>
      <c r="O1641" s="14" t="n">
        <v>46197</v>
      </c>
      <c r="P1641" s="7" t="inlineStr">
        <is>
          <t>greenhouse:graphcore</t>
        </is>
      </c>
      <c r="Q1641" s="8" t="inlineStr">
        <is>
          <t>kubernetes, c</t>
        </is>
      </c>
      <c r="R1641" s="8" t="n"/>
      <c r="S1641" s="19" t="n"/>
      <c r="T1641" s="19" t="n"/>
      <c r="U1641" s="14" t="n">
        <v>46197</v>
      </c>
      <c r="V1641" s="7" t="inlineStr">
        <is>
          <t>v2-cv-accuracy-13b988b18da8ea7d</t>
        </is>
      </c>
    </row>
    <row r="1642" ht="28" customHeight="1">
      <c r="A1642" s="12">
        <f>IF($L1642="applied","Applied",IF($L1642="interview","Interview",IF($L1642="offer","Offer",IF($L1642="rejected","Rejected",IF($L1642="ignore","Ignore",IF($L1642="archive","Archive",IF($L1642="closed","Closed",IF($B1642="","Unscored",IF(AND($B1642&gt;=8,OR($H1642="",$H1642-TODAY()&lt;=14)),"P1 Apply",IF($B1642&gt;=7,"P2 Strong",IF($B1642&gt;=5,"P3 Maybe","P4 Low")))))))))))</f>
        <v/>
      </c>
      <c r="B1642" s="13" t="n">
        <v>0</v>
      </c>
      <c r="C1642" s="12" t="inlineStr">
        <is>
          <t>Senior/Lead</t>
        </is>
      </c>
      <c r="D1642" s="8" t="inlineStr">
        <is>
          <t>Staff Cloud Software Engineer</t>
        </is>
      </c>
      <c r="E1642" s="7" t="inlineStr">
        <is>
          <t>Graphcore</t>
        </is>
      </c>
      <c r="F1642" s="8" t="inlineStr">
        <is>
          <t>Gdańsk, Pomeranian Voivodeship, Poland</t>
        </is>
      </c>
      <c r="G1642" s="8" t="n"/>
      <c r="H1642" s="14" t="n"/>
      <c r="I1642" s="15">
        <f>IF($H1642="","",$H1642-TODAY())</f>
        <v/>
      </c>
      <c r="J1642" s="16" t="inlineStr">
        <is>
          <t>Open posting</t>
        </is>
      </c>
      <c r="K1642" s="8" t="inlineStr">
        <is>
          <t>filtered by keyword pre-scan</t>
        </is>
      </c>
      <c r="L1642" s="17" t="inlineStr">
        <is>
          <t>new</t>
        </is>
      </c>
      <c r="M1642" s="18" t="inlineStr"/>
      <c r="N1642" s="7" t="inlineStr">
        <is>
          <t>8540b7f65ca5cc28a892fcd99ca03394ec10b9f6</t>
        </is>
      </c>
      <c r="O1642" s="14" t="n">
        <v>46197</v>
      </c>
      <c r="P1642" s="7" t="inlineStr">
        <is>
          <t>greenhouse:graphcore</t>
        </is>
      </c>
      <c r="Q1642" s="8" t="inlineStr">
        <is>
          <t>kubernetes, c</t>
        </is>
      </c>
      <c r="R1642" s="8" t="n"/>
      <c r="S1642" s="19" t="n"/>
      <c r="T1642" s="19" t="n"/>
      <c r="U1642" s="14" t="n">
        <v>46197</v>
      </c>
      <c r="V1642" s="7" t="inlineStr">
        <is>
          <t>v2-cv-accuracy-13b988b18da8ea7d</t>
        </is>
      </c>
    </row>
    <row r="1643" ht="28" customHeight="1">
      <c r="A1643" s="12">
        <f>IF($L1643="applied","Applied",IF($L1643="interview","Interview",IF($L1643="offer","Offer",IF($L1643="rejected","Rejected",IF($L1643="ignore","Ignore",IF($L1643="archive","Archive",IF($L1643="closed","Closed",IF($B1643="","Unscored",IF(AND($B1643&gt;=8,OR($H1643="",$H1643-TODAY()&lt;=14)),"P1 Apply",IF($B1643&gt;=7,"P2 Strong",IF($B1643&gt;=5,"P3 Maybe","P4 Low")))))))))))</f>
        <v/>
      </c>
      <c r="B1643" s="13" t="n">
        <v>0</v>
      </c>
      <c r="C1643" s="12" t="inlineStr">
        <is>
          <t>Senior/Lead</t>
        </is>
      </c>
      <c r="D1643" s="8" t="inlineStr">
        <is>
          <t>Staff Analytics Engineer</t>
        </is>
      </c>
      <c r="E1643" s="7" t="inlineStr">
        <is>
          <t>Monzo</t>
        </is>
      </c>
      <c r="F1643" s="8" t="inlineStr">
        <is>
          <t>Cardiff, London or Remote (UK)</t>
        </is>
      </c>
      <c r="G1643" s="8" t="n"/>
      <c r="H1643" s="14" t="n"/>
      <c r="I1643" s="15">
        <f>IF($H1643="","",$H1643-TODAY())</f>
        <v/>
      </c>
      <c r="J1643" s="16" t="inlineStr">
        <is>
          <t>Open posting</t>
        </is>
      </c>
      <c r="K1643" s="8" t="inlineStr">
        <is>
          <t>filtered by keyword pre-scan</t>
        </is>
      </c>
      <c r="L1643" s="17" t="inlineStr">
        <is>
          <t>new</t>
        </is>
      </c>
      <c r="M1643" s="18" t="inlineStr"/>
      <c r="N1643" s="7" t="inlineStr">
        <is>
          <t>e81302664133a8e5a4858866e033b051327afb8a</t>
        </is>
      </c>
      <c r="O1643" s="14" t="n">
        <v>46197</v>
      </c>
      <c r="P1643" s="7" t="inlineStr">
        <is>
          <t>greenhouse:monzo</t>
        </is>
      </c>
      <c r="Q1643" s="8" t="inlineStr">
        <is>
          <t>c</t>
        </is>
      </c>
      <c r="R1643" s="8" t="n"/>
      <c r="S1643" s="19" t="n"/>
      <c r="T1643" s="19" t="n"/>
      <c r="U1643" s="14" t="n">
        <v>46197</v>
      </c>
      <c r="V1643" s="7" t="inlineStr">
        <is>
          <t>v2-cv-accuracy-13b988b18da8ea7d</t>
        </is>
      </c>
    </row>
    <row r="1644" ht="28" customHeight="1">
      <c r="A1644" s="12">
        <f>IF($L1644="applied","Applied",IF($L1644="interview","Interview",IF($L1644="offer","Offer",IF($L1644="rejected","Rejected",IF($L1644="ignore","Ignore",IF($L1644="archive","Archive",IF($L1644="closed","Closed",IF($B1644="","Unscored",IF(AND($B1644&gt;=8,OR($H1644="",$H1644-TODAY()&lt;=14)),"P1 Apply",IF($B1644&gt;=7,"P2 Strong",IF($B1644&gt;=5,"P3 Maybe","P4 Low")))))))))))</f>
        <v/>
      </c>
      <c r="B1644" s="13" t="n">
        <v>0</v>
      </c>
      <c r="C1644" s="12" t="inlineStr">
        <is>
          <t>Senior/Lead</t>
        </is>
      </c>
      <c r="D1644" s="8" t="inlineStr">
        <is>
          <t>Senior Field Solutions Engineer</t>
        </is>
      </c>
      <c r="E1644" s="7" t="inlineStr">
        <is>
          <t>Cloudflare</t>
        </is>
      </c>
      <c r="F1644" s="8" t="inlineStr">
        <is>
          <t>Hybrid</t>
        </is>
      </c>
      <c r="G1644" s="8" t="n"/>
      <c r="H1644" s="14" t="n"/>
      <c r="I1644" s="15">
        <f>IF($H1644="","",$H1644-TODAY())</f>
        <v/>
      </c>
      <c r="J1644" s="16" t="inlineStr">
        <is>
          <t>Open posting</t>
        </is>
      </c>
      <c r="K1644" s="8" t="inlineStr">
        <is>
          <t>filtered by keyword pre-scan</t>
        </is>
      </c>
      <c r="L1644" s="17" t="inlineStr">
        <is>
          <t>new</t>
        </is>
      </c>
      <c r="M1644" s="18" t="inlineStr"/>
      <c r="N1644" s="7" t="inlineStr">
        <is>
          <t>d6f60f3e7bc9324da9cab998e1b52c4dc0226561</t>
        </is>
      </c>
      <c r="O1644" s="14" t="n">
        <v>46196</v>
      </c>
      <c r="P1644" s="7" t="inlineStr">
        <is>
          <t>greenhouse:cloudflare</t>
        </is>
      </c>
      <c r="Q1644" s="8" t="inlineStr">
        <is>
          <t>c</t>
        </is>
      </c>
      <c r="R1644" s="8" t="n"/>
      <c r="S1644" s="19" t="n"/>
      <c r="T1644" s="19" t="n"/>
      <c r="U1644" s="14" t="n">
        <v>46197</v>
      </c>
      <c r="V1644" s="7" t="inlineStr">
        <is>
          <t>v2-cv-accuracy-13b988b18da8ea7d</t>
        </is>
      </c>
    </row>
    <row r="1645" ht="28" customHeight="1">
      <c r="A1645" s="12">
        <f>IF($L1645="applied","Applied",IF($L1645="interview","Interview",IF($L1645="offer","Offer",IF($L1645="rejected","Rejected",IF($L1645="ignore","Ignore",IF($L1645="archive","Archive",IF($L1645="closed","Closed",IF($B1645="","Unscored",IF(AND($B1645&gt;=8,OR($H1645="",$H1645-TODAY()&lt;=14)),"P1 Apply",IF($B1645&gt;=7,"P2 Strong",IF($B1645&gt;=5,"P3 Maybe","P4 Low")))))))))))</f>
        <v/>
      </c>
      <c r="B1645" s="13" t="n">
        <v>0</v>
      </c>
      <c r="C1645" s="12" t="inlineStr">
        <is>
          <t>Senior/Lead</t>
        </is>
      </c>
      <c r="D1645" s="8" t="inlineStr">
        <is>
          <t>Senior Communications Manager, Floorcare</t>
        </is>
      </c>
      <c r="E1645" s="7" t="inlineStr">
        <is>
          <t>Dyson</t>
        </is>
      </c>
      <c r="F1645" s="8" t="inlineStr">
        <is>
          <t>United Kingdom - London Press Office</t>
        </is>
      </c>
      <c r="G1645" s="8" t="n"/>
      <c r="H1645" s="14" t="n"/>
      <c r="I1645" s="15">
        <f>IF($H1645="","",$H1645-TODAY())</f>
        <v/>
      </c>
      <c r="J1645" s="16" t="inlineStr">
        <is>
          <t>Open posting</t>
        </is>
      </c>
      <c r="K1645" s="8" t="inlineStr">
        <is>
          <t>filtered by keyword pre-scan</t>
        </is>
      </c>
      <c r="L1645" s="17" t="inlineStr">
        <is>
          <t>new</t>
        </is>
      </c>
      <c r="M1645" s="18" t="inlineStr"/>
      <c r="N1645" s="7" t="inlineStr">
        <is>
          <t>20980b517cd965f1201879e0797bb05d5c38c080</t>
        </is>
      </c>
      <c r="O1645" s="14" t="n"/>
      <c r="P1645" s="7" t="inlineStr">
        <is>
          <t>workday</t>
        </is>
      </c>
      <c r="Q1645" s="8" t="inlineStr">
        <is>
          <t>c</t>
        </is>
      </c>
      <c r="R1645" s="8" t="n"/>
      <c r="S1645" s="19" t="n"/>
      <c r="T1645" s="19" t="n"/>
      <c r="U1645" s="14" t="n">
        <v>46197</v>
      </c>
      <c r="V1645" s="7" t="inlineStr">
        <is>
          <t>v2-cv-accuracy-13b988b18da8ea7d</t>
        </is>
      </c>
    </row>
    <row r="1646" ht="28" customHeight="1">
      <c r="A1646" s="12">
        <f>IF($L1646="applied","Applied",IF($L1646="interview","Interview",IF($L1646="offer","Offer",IF($L1646="rejected","Rejected",IF($L1646="ignore","Ignore",IF($L1646="archive","Archive",IF($L1646="closed","Closed",IF($B1646="","Unscored",IF(AND($B1646&gt;=8,OR($H1646="",$H1646-TODAY()&lt;=14)),"P1 Apply",IF($B1646&gt;=7,"P2 Strong",IF($B1646&gt;=5,"P3 Maybe","P4 Low")))))))))))</f>
        <v/>
      </c>
      <c r="B1646" s="13" t="n">
        <v>0</v>
      </c>
      <c r="C1646" s="12" t="inlineStr">
        <is>
          <t>Senior/Lead</t>
        </is>
      </c>
      <c r="D1646" s="8" t="inlineStr">
        <is>
          <t>Senior Devops Engineer (JIRA Admin)</t>
        </is>
      </c>
      <c r="E1646" s="7" t="inlineStr">
        <is>
          <t>Dyson</t>
        </is>
      </c>
      <c r="F1646" s="8" t="inlineStr">
        <is>
          <t>Malaysia - Global Development Campus, Johor Bahru</t>
        </is>
      </c>
      <c r="G1646" s="8" t="n"/>
      <c r="H1646" s="14" t="n"/>
      <c r="I1646" s="15">
        <f>IF($H1646="","",$H1646-TODAY())</f>
        <v/>
      </c>
      <c r="J1646" s="16" t="inlineStr">
        <is>
          <t>Open posting</t>
        </is>
      </c>
      <c r="K1646" s="8" t="inlineStr">
        <is>
          <t>filtered by keyword pre-scan</t>
        </is>
      </c>
      <c r="L1646" s="17" t="inlineStr">
        <is>
          <t>new</t>
        </is>
      </c>
      <c r="M1646" s="18" t="inlineStr"/>
      <c r="N1646" s="7" t="inlineStr">
        <is>
          <t>73fd8aba39bc64bae9eecead24c4b63cd5d48c30</t>
        </is>
      </c>
      <c r="O1646" s="14" t="n"/>
      <c r="P1646" s="7" t="inlineStr">
        <is>
          <t>workday</t>
        </is>
      </c>
      <c r="Q1646" s="8" t="inlineStr"/>
      <c r="R1646" s="8" t="n"/>
      <c r="S1646" s="19" t="n"/>
      <c r="T1646" s="19" t="n"/>
      <c r="U1646" s="14" t="n">
        <v>46197</v>
      </c>
      <c r="V1646" s="7" t="inlineStr">
        <is>
          <t>v2-cv-accuracy-13b988b18da8ea7d</t>
        </is>
      </c>
    </row>
    <row r="1647" ht="28" customHeight="1">
      <c r="A1647" s="12">
        <f>IF($L1647="applied","Applied",IF($L1647="interview","Interview",IF($L1647="offer","Offer",IF($L1647="rejected","Rejected",IF($L1647="ignore","Ignore",IF($L1647="archive","Archive",IF($L1647="closed","Closed",IF($B1647="","Unscored",IF(AND($B1647&gt;=8,OR($H1647="",$H1647-TODAY()&lt;=14)),"P1 Apply",IF($B1647&gt;=7,"P2 Strong",IF($B1647&gt;=5,"P3 Maybe","P4 Low")))))))))))</f>
        <v/>
      </c>
      <c r="B1647" s="13" t="n">
        <v>0</v>
      </c>
      <c r="C1647" s="12" t="inlineStr">
        <is>
          <t>Manager/Owner</t>
        </is>
      </c>
      <c r="D1647" s="8" t="inlineStr">
        <is>
          <t>CRM Manager</t>
        </is>
      </c>
      <c r="E1647" s="7" t="inlineStr">
        <is>
          <t>Dyson</t>
        </is>
      </c>
      <c r="F1647" s="8" t="inlineStr">
        <is>
          <t>Singapore - St James Power Station Headquarters</t>
        </is>
      </c>
      <c r="G1647" s="8" t="n"/>
      <c r="H1647" s="14" t="n"/>
      <c r="I1647" s="15">
        <f>IF($H1647="","",$H1647-TODAY())</f>
        <v/>
      </c>
      <c r="J1647" s="16" t="inlineStr">
        <is>
          <t>Open posting</t>
        </is>
      </c>
      <c r="K1647" s="8" t="inlineStr">
        <is>
          <t>filtered by keyword pre-scan</t>
        </is>
      </c>
      <c r="L1647" s="17" t="inlineStr">
        <is>
          <t>new</t>
        </is>
      </c>
      <c r="M1647" s="18" t="inlineStr"/>
      <c r="N1647" s="7" t="inlineStr">
        <is>
          <t>6d02ff97e7a45d85ed0d6fe9080523aa0a4b9c5c</t>
        </is>
      </c>
      <c r="O1647" s="14" t="n"/>
      <c r="P1647" s="7" t="inlineStr">
        <is>
          <t>workday</t>
        </is>
      </c>
      <c r="Q1647" s="8" t="inlineStr">
        <is>
          <t>c</t>
        </is>
      </c>
      <c r="R1647" s="8" t="n"/>
      <c r="S1647" s="19" t="n"/>
      <c r="T1647" s="19" t="n"/>
      <c r="U1647" s="14" t="n">
        <v>46197</v>
      </c>
      <c r="V1647" s="7" t="inlineStr">
        <is>
          <t>v2-cv-accuracy-13b988b18da8ea7d</t>
        </is>
      </c>
    </row>
    <row r="1648" ht="28" customHeight="1">
      <c r="A1648" s="12">
        <f>IF($L1648="applied","Applied",IF($L1648="interview","Interview",IF($L1648="offer","Offer",IF($L1648="rejected","Rejected",IF($L1648="ignore","Ignore",IF($L1648="archive","Archive",IF($L1648="closed","Closed",IF($B1648="","Unscored",IF(AND($B1648&gt;=8,OR($H1648="",$H1648-TODAY()&lt;=14)),"P1 Apply",IF($B1648&gt;=7,"P2 Strong",IF($B1648&gt;=5,"P3 Maybe","P4 Low")))))))))))</f>
        <v/>
      </c>
      <c r="B1648" s="13" t="n">
        <v>0</v>
      </c>
      <c r="C1648" s="12" t="inlineStr">
        <is>
          <t>Senior/Lead</t>
        </is>
      </c>
      <c r="D1648" s="8" t="inlineStr">
        <is>
          <t>Senior Commercial Manager (12-month Maternity Cover)</t>
        </is>
      </c>
      <c r="E1648" s="7" t="inlineStr">
        <is>
          <t>Dyson</t>
        </is>
      </c>
      <c r="F1648" s="8" t="inlineStr">
        <is>
          <t>Singapore - St James Power Station Headquarters</t>
        </is>
      </c>
      <c r="G1648" s="8" t="n"/>
      <c r="H1648" s="14" t="n"/>
      <c r="I1648" s="15">
        <f>IF($H1648="","",$H1648-TODAY())</f>
        <v/>
      </c>
      <c r="J1648" s="16" t="inlineStr">
        <is>
          <t>Open posting</t>
        </is>
      </c>
      <c r="K1648" s="8" t="inlineStr">
        <is>
          <t>filtered by keyword pre-scan</t>
        </is>
      </c>
      <c r="L1648" s="17" t="inlineStr">
        <is>
          <t>new</t>
        </is>
      </c>
      <c r="M1648" s="18" t="inlineStr"/>
      <c r="N1648" s="7" t="inlineStr">
        <is>
          <t>7820b0022332f8577a3f52069abcffd0a425b150</t>
        </is>
      </c>
      <c r="O1648" s="14" t="n"/>
      <c r="P1648" s="7" t="inlineStr">
        <is>
          <t>workday</t>
        </is>
      </c>
      <c r="Q1648" s="8" t="inlineStr">
        <is>
          <t>c</t>
        </is>
      </c>
      <c r="R1648" s="8" t="n"/>
      <c r="S1648" s="19" t="n"/>
      <c r="T1648" s="19" t="n"/>
      <c r="U1648" s="14" t="n">
        <v>46197</v>
      </c>
      <c r="V1648" s="7" t="inlineStr">
        <is>
          <t>v2-cv-accuracy-13b988b18da8ea7d</t>
        </is>
      </c>
    </row>
    <row r="1649" ht="28" customHeight="1">
      <c r="A1649" s="12">
        <f>IF($L1649="applied","Applied",IF($L1649="interview","Interview",IF($L1649="offer","Offer",IF($L1649="rejected","Rejected",IF($L1649="ignore","Ignore",IF($L1649="archive","Archive",IF($L1649="closed","Closed",IF($B1649="","Unscored",IF(AND($B1649&gt;=8,OR($H1649="",$H1649-TODAY()&lt;=14)),"P1 Apply",IF($B1649&gt;=7,"P2 Strong",IF($B1649&gt;=5,"P3 Maybe","P4 Low")))))))))))</f>
        <v/>
      </c>
      <c r="B1649" s="13" t="n">
        <v>0</v>
      </c>
      <c r="C1649" s="12" t="inlineStr">
        <is>
          <t>Senior/Lead</t>
        </is>
      </c>
      <c r="D1649" s="8" t="inlineStr">
        <is>
          <t>Senior Backend Engineer</t>
        </is>
      </c>
      <c r="E1649" s="7" t="inlineStr">
        <is>
          <t>Publicis Groupe UK</t>
        </is>
      </c>
      <c r="F1649" s="8" t="inlineStr">
        <is>
          <t>London, England, UK</t>
        </is>
      </c>
      <c r="G1649" s="8" t="n"/>
      <c r="H1649" s="14" t="n"/>
      <c r="I1649" s="15">
        <f>IF($H1649="","",$H1649-TODAY())</f>
        <v/>
      </c>
      <c r="J1649" s="16" t="inlineStr">
        <is>
          <t>Open posting</t>
        </is>
      </c>
      <c r="K1649" s="8" t="inlineStr">
        <is>
          <t>filtered by keyword pre-scan</t>
        </is>
      </c>
      <c r="L1649" s="17" t="inlineStr">
        <is>
          <t>new</t>
        </is>
      </c>
      <c r="M1649" s="18" t="inlineStr"/>
      <c r="N1649" s="7" t="inlineStr">
        <is>
          <t>d66a8739e4ee07e06f32e01ae2fcc975bff7905f</t>
        </is>
      </c>
      <c r="O1649" s="14" t="n">
        <v>46194</v>
      </c>
      <c r="P1649" s="7" t="inlineStr">
        <is>
          <t>jobspy</t>
        </is>
      </c>
      <c r="Q1649" s="8" t="inlineStr">
        <is>
          <t>python, git, c, backend development</t>
        </is>
      </c>
      <c r="R1649" s="8" t="inlineStr">
        <is>
          <t>Junior Python Developer backend Docker Kubernetes</t>
        </is>
      </c>
      <c r="S1649" s="19" t="n"/>
      <c r="T1649" s="19" t="n"/>
      <c r="U1649" s="14" t="n">
        <v>46197</v>
      </c>
      <c r="V1649" s="7" t="inlineStr">
        <is>
          <t>v2-cv-accuracy-13b988b18da8ea7d</t>
        </is>
      </c>
    </row>
    <row r="1650" ht="28" customHeight="1">
      <c r="A1650" s="12">
        <f>IF($L1650="applied","Applied",IF($L1650="interview","Interview",IF($L1650="offer","Offer",IF($L1650="rejected","Rejected",IF($L1650="ignore","Ignore",IF($L1650="archive","Archive",IF($L1650="closed","Closed",IF($B1650="","Unscored",IF(AND($B1650&gt;=8,OR($H1650="",$H1650-TODAY()&lt;=14)),"P1 Apply",IF($B1650&gt;=7,"P2 Strong",IF($B1650&gt;=5,"P3 Maybe","P4 Low")))))))))))</f>
        <v/>
      </c>
      <c r="B1650" s="13" t="n">
        <v>0</v>
      </c>
      <c r="C1650" s="12" t="inlineStr">
        <is>
          <t>Senior/Lead</t>
        </is>
      </c>
      <c r="D1650" s="8" t="inlineStr">
        <is>
          <t>Senior Full Stack Engineer</t>
        </is>
      </c>
      <c r="E1650" s="7" t="inlineStr">
        <is>
          <t>Humanoid</t>
        </is>
      </c>
      <c r="F1650" s="8" t="inlineStr">
        <is>
          <t>London Area, United Kingdom</t>
        </is>
      </c>
      <c r="G1650" s="8" t="n"/>
      <c r="H1650" s="14" t="n"/>
      <c r="I1650" s="15">
        <f>IF($H1650="","",$H1650-TODAY())</f>
        <v/>
      </c>
      <c r="J1650" s="16" t="inlineStr">
        <is>
          <t>Open posting</t>
        </is>
      </c>
      <c r="K1650" s="8" t="inlineStr">
        <is>
          <t>filtered by keyword pre-scan</t>
        </is>
      </c>
      <c r="L1650" s="17" t="inlineStr">
        <is>
          <t>new</t>
        </is>
      </c>
      <c r="M1650" s="18" t="inlineStr"/>
      <c r="N1650" s="7" t="inlineStr">
        <is>
          <t>34d5b068716b76c543815699745aecc5f44a906a</t>
        </is>
      </c>
      <c r="O1650" s="14" t="n">
        <v>46188</v>
      </c>
      <c r="P1650" s="7" t="inlineStr">
        <is>
          <t>jobspy</t>
        </is>
      </c>
      <c r="Q1650" s="8" t="inlineStr">
        <is>
          <t>python, docker, kubernetes, c, javascript</t>
        </is>
      </c>
      <c r="R1650" s="8" t="inlineStr">
        <is>
          <t>Junior Python Developer backend Docker Kubernetes</t>
        </is>
      </c>
      <c r="S1650" s="19" t="n"/>
      <c r="T1650" s="19" t="n"/>
      <c r="U1650" s="14" t="n">
        <v>46197</v>
      </c>
      <c r="V1650" s="7" t="inlineStr">
        <is>
          <t>v2-cv-accuracy-13b988b18da8ea7d</t>
        </is>
      </c>
    </row>
    <row r="1651" ht="28" customHeight="1">
      <c r="A1651" s="12">
        <f>IF($L1651="applied","Applied",IF($L1651="interview","Interview",IF($L1651="offer","Offer",IF($L1651="rejected","Rejected",IF($L1651="ignore","Ignore",IF($L1651="archive","Archive",IF($L1651="closed","Closed",IF($B1651="","Unscored",IF(AND($B1651&gt;=8,OR($H1651="",$H1651-TODAY()&lt;=14)),"P1 Apply",IF($B1651&gt;=7,"P2 Strong",IF($B1651&gt;=5,"P3 Maybe","P4 Low")))))))))))</f>
        <v/>
      </c>
      <c r="B1651" s="13" t="n">
        <v>0</v>
      </c>
      <c r="C1651" s="12" t="inlineStr">
        <is>
          <t>Senior/Lead</t>
        </is>
      </c>
      <c r="D1651" s="8" t="inlineStr">
        <is>
          <t>Senior Full-Stack Engineer (React/Python) (+ Equity) at YC-backed AI-native enterprise</t>
        </is>
      </c>
      <c r="E1651" s="7" t="inlineStr">
        <is>
          <t>TechTree</t>
        </is>
      </c>
      <c r="F1651" s="8" t="inlineStr">
        <is>
          <t>London, England, UK</t>
        </is>
      </c>
      <c r="G1651" s="8" t="n"/>
      <c r="H1651" s="14" t="n"/>
      <c r="I1651" s="15">
        <f>IF($H1651="","",$H1651-TODAY())</f>
        <v/>
      </c>
      <c r="J1651" s="16" t="inlineStr">
        <is>
          <t>Open posting</t>
        </is>
      </c>
      <c r="K1651" s="8" t="inlineStr">
        <is>
          <t>filtered by keyword pre-scan</t>
        </is>
      </c>
      <c r="L1651" s="17" t="inlineStr">
        <is>
          <t>new</t>
        </is>
      </c>
      <c r="M1651" s="18" t="inlineStr"/>
      <c r="N1651" s="7" t="inlineStr">
        <is>
          <t>92377d5685ae488a9c9ce10742364d3a304e416e</t>
        </is>
      </c>
      <c r="O1651" s="14" t="n">
        <v>46175</v>
      </c>
      <c r="P1651" s="7" t="inlineStr">
        <is>
          <t>jobspy</t>
        </is>
      </c>
      <c r="Q1651" s="8" t="inlineStr">
        <is>
          <t>python, sql, docker, kubernetes, git</t>
        </is>
      </c>
      <c r="R1651" s="8" t="inlineStr">
        <is>
          <t>Junior Python Developer backend Docker Kubernetes</t>
        </is>
      </c>
      <c r="S1651" s="19" t="n"/>
      <c r="T1651" s="19" t="n"/>
      <c r="U1651" s="14" t="n">
        <v>46197</v>
      </c>
      <c r="V1651" s="7" t="inlineStr">
        <is>
          <t>v2-cv-accuracy-13b988b18da8ea7d</t>
        </is>
      </c>
    </row>
    <row r="1652" ht="28" customHeight="1">
      <c r="A1652" s="12">
        <f>IF($L1652="applied","Applied",IF($L1652="interview","Interview",IF($L1652="offer","Offer",IF($L1652="rejected","Rejected",IF($L1652="ignore","Ignore",IF($L1652="archive","Archive",IF($L1652="closed","Closed",IF($B1652="","Unscored",IF(AND($B1652&gt;=8,OR($H1652="",$H1652-TODAY()&lt;=14)),"P1 Apply",IF($B1652&gt;=7,"P2 Strong",IF($B1652&gt;=5,"P3 Maybe","P4 Low")))))))))))</f>
        <v/>
      </c>
      <c r="B1652" s="13" t="n">
        <v>0</v>
      </c>
      <c r="C1652" s="12" t="inlineStr">
        <is>
          <t>Senior/Lead</t>
        </is>
      </c>
      <c r="D1652" s="8" t="inlineStr">
        <is>
          <t>Principal Software Architect</t>
        </is>
      </c>
      <c r="E1652" s="7" t="inlineStr">
        <is>
          <t>Graphcore</t>
        </is>
      </c>
      <c r="F1652" s="8" t="inlineStr">
        <is>
          <t>Cambridge, UK</t>
        </is>
      </c>
      <c r="G1652" s="8" t="n"/>
      <c r="H1652" s="14" t="n"/>
      <c r="I1652" s="15">
        <f>IF($H1652="","",$H1652-TODAY())</f>
        <v/>
      </c>
      <c r="J1652" s="16" t="inlineStr">
        <is>
          <t>Open posting</t>
        </is>
      </c>
      <c r="K1652" s="8" t="inlineStr">
        <is>
          <t>filtered by keyword pre-scan</t>
        </is>
      </c>
      <c r="L1652" s="17" t="inlineStr">
        <is>
          <t>new</t>
        </is>
      </c>
      <c r="M1652" s="18" t="inlineStr"/>
      <c r="N1652" s="7" t="inlineStr">
        <is>
          <t>480dc0ec037c663006ae24c9f4b7a7c9444b5770</t>
        </is>
      </c>
      <c r="O1652" s="14" t="n">
        <v>46197</v>
      </c>
      <c r="P1652" s="7" t="inlineStr">
        <is>
          <t>greenhouse:graphcore</t>
        </is>
      </c>
      <c r="Q1652" s="8" t="inlineStr">
        <is>
          <t>c</t>
        </is>
      </c>
      <c r="R1652" s="8" t="n"/>
      <c r="S1652" s="19" t="n"/>
      <c r="T1652" s="19" t="n"/>
      <c r="U1652" s="14" t="n">
        <v>46197</v>
      </c>
      <c r="V1652" s="7" t="inlineStr">
        <is>
          <t>v2-cv-accuracy-13b988b18da8ea7d</t>
        </is>
      </c>
    </row>
    <row r="1653" ht="28" customHeight="1">
      <c r="A1653" s="12">
        <f>IF($L1653="applied","Applied",IF($L1653="interview","Interview",IF($L1653="offer","Offer",IF($L1653="rejected","Rejected",IF($L1653="ignore","Ignore",IF($L1653="archive","Archive",IF($L1653="closed","Closed",IF($B1653="","Unscored",IF(AND($B1653&gt;=8,OR($H1653="",$H1653-TODAY()&lt;=14)),"P1 Apply",IF($B1653&gt;=7,"P2 Strong",IF($B1653&gt;=5,"P3 Maybe","P4 Low")))))))))))</f>
        <v/>
      </c>
      <c r="B1653" s="13" t="n">
        <v>0</v>
      </c>
      <c r="C1653" s="12" t="inlineStr">
        <is>
          <t>Senior/Lead</t>
        </is>
      </c>
      <c r="D1653" s="8" t="inlineStr">
        <is>
          <t>Senior Software Engineer</t>
        </is>
      </c>
      <c r="E1653" s="7" t="inlineStr">
        <is>
          <t>Graphcore</t>
        </is>
      </c>
      <c r="F1653" s="8" t="inlineStr">
        <is>
          <t>Gdańsk, Pomeranian Voivodeship, Poland</t>
        </is>
      </c>
      <c r="G1653" s="8" t="n"/>
      <c r="H1653" s="14" t="n"/>
      <c r="I1653" s="15">
        <f>IF($H1653="","",$H1653-TODAY())</f>
        <v/>
      </c>
      <c r="J1653" s="16" t="inlineStr">
        <is>
          <t>Open posting</t>
        </is>
      </c>
      <c r="K1653" s="8" t="inlineStr">
        <is>
          <t>filtered by keyword pre-scan</t>
        </is>
      </c>
      <c r="L1653" s="17" t="inlineStr">
        <is>
          <t>new</t>
        </is>
      </c>
      <c r="M1653" s="18" t="inlineStr"/>
      <c r="N1653" s="7" t="inlineStr">
        <is>
          <t>fee4056d9689922ccde080f8ceddae09de561eb1</t>
        </is>
      </c>
      <c r="O1653" s="14" t="n">
        <v>46197</v>
      </c>
      <c r="P1653" s="7" t="inlineStr">
        <is>
          <t>greenhouse:graphcore</t>
        </is>
      </c>
      <c r="Q1653" s="8" t="inlineStr">
        <is>
          <t>python, git, c</t>
        </is>
      </c>
      <c r="R1653" s="8" t="n"/>
      <c r="S1653" s="19" t="n"/>
      <c r="T1653" s="19" t="n"/>
      <c r="U1653" s="14" t="n">
        <v>46197</v>
      </c>
      <c r="V1653" s="7" t="inlineStr">
        <is>
          <t>v2-cv-accuracy-13b988b18da8ea7d</t>
        </is>
      </c>
    </row>
    <row r="1654" ht="28" customHeight="1">
      <c r="A1654" s="12">
        <f>IF($L1654="applied","Applied",IF($L1654="interview","Interview",IF($L1654="offer","Offer",IF($L1654="rejected","Rejected",IF($L1654="ignore","Ignore",IF($L1654="archive","Archive",IF($L1654="closed","Closed",IF($B1654="","Unscored",IF(AND($B1654&gt;=8,OR($H1654="",$H1654-TODAY()&lt;=14)),"P1 Apply",IF($B1654&gt;=7,"P2 Strong",IF($B1654&gt;=5,"P3 Maybe","P4 Low")))))))))))</f>
        <v/>
      </c>
      <c r="B1654" s="13" t="n">
        <v>0</v>
      </c>
      <c r="C1654" s="12" t="inlineStr">
        <is>
          <t>Senior/Lead</t>
        </is>
      </c>
      <c r="D1654" s="8" t="inlineStr">
        <is>
          <t>Senior Software Infrastructure Engineer</t>
        </is>
      </c>
      <c r="E1654" s="7" t="inlineStr">
        <is>
          <t>Graphcore</t>
        </is>
      </c>
      <c r="F1654" s="8" t="inlineStr">
        <is>
          <t>London, UK</t>
        </is>
      </c>
      <c r="G1654" s="8" t="n"/>
      <c r="H1654" s="14" t="n"/>
      <c r="I1654" s="15">
        <f>IF($H1654="","",$H1654-TODAY())</f>
        <v/>
      </c>
      <c r="J1654" s="16" t="inlineStr">
        <is>
          <t>Open posting</t>
        </is>
      </c>
      <c r="K1654" s="8" t="inlineStr">
        <is>
          <t>filtered by keyword pre-scan</t>
        </is>
      </c>
      <c r="L1654" s="17" t="inlineStr">
        <is>
          <t>new</t>
        </is>
      </c>
      <c r="M1654" s="18" t="inlineStr"/>
      <c r="N1654" s="7" t="inlineStr">
        <is>
          <t>dc0b4cd6232f12f380c3ea845e9d1bd39657ec6a</t>
        </is>
      </c>
      <c r="O1654" s="14" t="n">
        <v>46197</v>
      </c>
      <c r="P1654" s="7" t="inlineStr">
        <is>
          <t>greenhouse:graphcore</t>
        </is>
      </c>
      <c r="Q1654" s="8" t="inlineStr">
        <is>
          <t>python, docker, kubernetes, c</t>
        </is>
      </c>
      <c r="R1654" s="8" t="n"/>
      <c r="S1654" s="19" t="n"/>
      <c r="T1654" s="19" t="n"/>
      <c r="U1654" s="14" t="n">
        <v>46197</v>
      </c>
      <c r="V1654" s="7" t="inlineStr">
        <is>
          <t>v2-cv-accuracy-13b988b18da8ea7d</t>
        </is>
      </c>
    </row>
    <row r="1655" ht="28" customHeight="1">
      <c r="A1655" s="12">
        <f>IF($L1655="applied","Applied",IF($L1655="interview","Interview",IF($L1655="offer","Offer",IF($L1655="rejected","Rejected",IF($L1655="ignore","Ignore",IF($L1655="archive","Archive",IF($L1655="closed","Closed",IF($B1655="","Unscored",IF(AND($B1655&gt;=8,OR($H1655="",$H1655-TODAY()&lt;=14)),"P1 Apply",IF($B1655&gt;=7,"P2 Strong",IF($B1655&gt;=5,"P3 Maybe","P4 Low")))))))))))</f>
        <v/>
      </c>
      <c r="B1655" s="13" t="n">
        <v>0</v>
      </c>
      <c r="C1655" s="12" t="inlineStr">
        <is>
          <t>Senior/Lead</t>
        </is>
      </c>
      <c r="D1655" s="8" t="inlineStr">
        <is>
          <t>Senior Software Infrastructure Engineer</t>
        </is>
      </c>
      <c r="E1655" s="7" t="inlineStr">
        <is>
          <t>Graphcore</t>
        </is>
      </c>
      <c r="F1655" s="8" t="inlineStr">
        <is>
          <t>Gdańsk, Pomeranian Voivodeship, Poland</t>
        </is>
      </c>
      <c r="G1655" s="8" t="n"/>
      <c r="H1655" s="14" t="n"/>
      <c r="I1655" s="15">
        <f>IF($H1655="","",$H1655-TODAY())</f>
        <v/>
      </c>
      <c r="J1655" s="16" t="inlineStr">
        <is>
          <t>Open posting</t>
        </is>
      </c>
      <c r="K1655" s="8" t="inlineStr">
        <is>
          <t>filtered by keyword pre-scan</t>
        </is>
      </c>
      <c r="L1655" s="17" t="inlineStr">
        <is>
          <t>new</t>
        </is>
      </c>
      <c r="M1655" s="18" t="inlineStr"/>
      <c r="N1655" s="7" t="inlineStr">
        <is>
          <t>f2c84cdeeb53120bd8e3e615d35b58909507f3c8</t>
        </is>
      </c>
      <c r="O1655" s="14" t="n">
        <v>46197</v>
      </c>
      <c r="P1655" s="7" t="inlineStr">
        <is>
          <t>greenhouse:graphcore</t>
        </is>
      </c>
      <c r="Q1655" s="8" t="inlineStr">
        <is>
          <t>python, docker, kubernetes, c</t>
        </is>
      </c>
      <c r="R1655" s="8" t="n"/>
      <c r="S1655" s="19" t="n"/>
      <c r="T1655" s="19" t="n"/>
      <c r="U1655" s="14" t="n">
        <v>46197</v>
      </c>
      <c r="V1655" s="7" t="inlineStr">
        <is>
          <t>v2-cv-accuracy-13b988b18da8ea7d</t>
        </is>
      </c>
    </row>
    <row r="1656" ht="28" customHeight="1">
      <c r="A1656" s="12">
        <f>IF($L1656="applied","Applied",IF($L1656="interview","Interview",IF($L1656="offer","Offer",IF($L1656="rejected","Rejected",IF($L1656="ignore","Ignore",IF($L1656="archive","Archive",IF($L1656="closed","Closed",IF($B1656="","Unscored",IF(AND($B1656&gt;=8,OR($H1656="",$H1656-TODAY()&lt;=14)),"P1 Apply",IF($B1656&gt;=7,"P2 Strong",IF($B1656&gt;=5,"P3 Maybe","P4 Low")))))))))))</f>
        <v/>
      </c>
      <c r="B1656" s="13" t="n">
        <v>0</v>
      </c>
      <c r="C1656" s="12" t="inlineStr">
        <is>
          <t>Senior/Lead</t>
        </is>
      </c>
      <c r="D1656" s="8" t="inlineStr">
        <is>
          <t>Senior Software Infrastructure Engineer</t>
        </is>
      </c>
      <c r="E1656" s="7" t="inlineStr">
        <is>
          <t>Graphcore</t>
        </is>
      </c>
      <c r="F1656" s="8" t="inlineStr">
        <is>
          <t>Cambridge, UK</t>
        </is>
      </c>
      <c r="G1656" s="8" t="n"/>
      <c r="H1656" s="14" t="n"/>
      <c r="I1656" s="15">
        <f>IF($H1656="","",$H1656-TODAY())</f>
        <v/>
      </c>
      <c r="J1656" s="16" t="inlineStr">
        <is>
          <t>Open posting</t>
        </is>
      </c>
      <c r="K1656" s="8" t="inlineStr">
        <is>
          <t>filtered by keyword pre-scan</t>
        </is>
      </c>
      <c r="L1656" s="17" t="inlineStr">
        <is>
          <t>new</t>
        </is>
      </c>
      <c r="M1656" s="18" t="inlineStr"/>
      <c r="N1656" s="7" t="inlineStr">
        <is>
          <t>5265bf2db946672388a32d15fab48a31453eddb7</t>
        </is>
      </c>
      <c r="O1656" s="14" t="n">
        <v>46197</v>
      </c>
      <c r="P1656" s="7" t="inlineStr">
        <is>
          <t>greenhouse:graphcore</t>
        </is>
      </c>
      <c r="Q1656" s="8" t="inlineStr">
        <is>
          <t>python, docker, kubernetes, c</t>
        </is>
      </c>
      <c r="R1656" s="8" t="n"/>
      <c r="S1656" s="19" t="n"/>
      <c r="T1656" s="19" t="n"/>
      <c r="U1656" s="14" t="n">
        <v>46197</v>
      </c>
      <c r="V1656" s="7" t="inlineStr">
        <is>
          <t>v2-cv-accuracy-13b988b18da8ea7d</t>
        </is>
      </c>
    </row>
    <row r="1657" ht="28" customHeight="1">
      <c r="A1657" s="12">
        <f>IF($L1657="applied","Applied",IF($L1657="interview","Interview",IF($L1657="offer","Offer",IF($L1657="rejected","Rejected",IF($L1657="ignore","Ignore",IF($L1657="archive","Archive",IF($L1657="closed","Closed",IF($B1657="","Unscored",IF(AND($B1657&gt;=8,OR($H1657="",$H1657-TODAY()&lt;=14)),"P1 Apply",IF($B1657&gt;=7,"P2 Strong",IF($B1657&gt;=5,"P3 Maybe","P4 Low")))))))))))</f>
        <v/>
      </c>
      <c r="B1657" s="13" t="n">
        <v>0</v>
      </c>
      <c r="C1657" s="12" t="inlineStr">
        <is>
          <t>Senior/Lead</t>
        </is>
      </c>
      <c r="D1657" s="8" t="inlineStr">
        <is>
          <t>Senior Machine Learning Manager, Borrowing</t>
        </is>
      </c>
      <c r="E1657" s="7" t="inlineStr">
        <is>
          <t>Monzo</t>
        </is>
      </c>
      <c r="F1657" s="8" t="inlineStr">
        <is>
          <t>Cardiff, London or Remote (UK)</t>
        </is>
      </c>
      <c r="G1657" s="8" t="n"/>
      <c r="H1657" s="14" t="n"/>
      <c r="I1657" s="15">
        <f>IF($H1657="","",$H1657-TODAY())</f>
        <v/>
      </c>
      <c r="J1657" s="16" t="inlineStr">
        <is>
          <t>Open posting</t>
        </is>
      </c>
      <c r="K1657" s="8" t="inlineStr">
        <is>
          <t>filtered by keyword pre-scan</t>
        </is>
      </c>
      <c r="L1657" s="17" t="inlineStr">
        <is>
          <t>new</t>
        </is>
      </c>
      <c r="M1657" s="18" t="inlineStr"/>
      <c r="N1657" s="7" t="inlineStr">
        <is>
          <t>3d1ab5258b82bde4878db78722cfa3782c52ddd2</t>
        </is>
      </c>
      <c r="O1657" s="14" t="n">
        <v>46197</v>
      </c>
      <c r="P1657" s="7" t="inlineStr">
        <is>
          <t>greenhouse:monzo</t>
        </is>
      </c>
      <c r="Q1657" s="8" t="inlineStr">
        <is>
          <t>c</t>
        </is>
      </c>
      <c r="R1657" s="8" t="n"/>
      <c r="S1657" s="19" t="n"/>
      <c r="T1657" s="19" t="n"/>
      <c r="U1657" s="14" t="n">
        <v>46197</v>
      </c>
      <c r="V1657" s="7" t="inlineStr">
        <is>
          <t>v2-cv-accuracy-13b988b18da8ea7d</t>
        </is>
      </c>
    </row>
    <row r="1658" ht="28" customHeight="1">
      <c r="A1658" s="12">
        <f>IF($L1658="applied","Applied",IF($L1658="interview","Interview",IF($L1658="offer","Offer",IF($L1658="rejected","Rejected",IF($L1658="ignore","Ignore",IF($L1658="archive","Archive",IF($L1658="closed","Closed",IF($B1658="","Unscored",IF(AND($B1658&gt;=8,OR($H1658="",$H1658-TODAY()&lt;=14)),"P1 Apply",IF($B1658&gt;=7,"P2 Strong",IF($B1658&gt;=5,"P3 Maybe","P4 Low")))))))))))</f>
        <v/>
      </c>
      <c r="B1658" s="13" t="n">
        <v>0</v>
      </c>
      <c r="C1658" s="12" t="inlineStr">
        <is>
          <t>Senior/Lead</t>
        </is>
      </c>
      <c r="D1658" s="8" t="inlineStr">
        <is>
          <t>Senior / Staff / Sr. Staff Engineer - Design Verification</t>
        </is>
      </c>
      <c r="E1658" s="7" t="inlineStr">
        <is>
          <t>SiFive</t>
        </is>
      </c>
      <c r="F1658" s="8" t="inlineStr">
        <is>
          <t>Hyderabad, India</t>
        </is>
      </c>
      <c r="G1658" s="8" t="n"/>
      <c r="H1658" s="14" t="n"/>
      <c r="I1658" s="15">
        <f>IF($H1658="","",$H1658-TODAY())</f>
        <v/>
      </c>
      <c r="J1658" s="16" t="inlineStr">
        <is>
          <t>Open posting</t>
        </is>
      </c>
      <c r="K1658" s="8" t="inlineStr">
        <is>
          <t>filtered by keyword pre-scan</t>
        </is>
      </c>
      <c r="L1658" s="17" t="inlineStr">
        <is>
          <t>new</t>
        </is>
      </c>
      <c r="M1658" s="18" t="inlineStr"/>
      <c r="N1658" s="7" t="inlineStr">
        <is>
          <t>8d2a1931fbc4ec7bdf9172f13d0ed3f9a30c2dae</t>
        </is>
      </c>
      <c r="O1658" s="14" t="n"/>
      <c r="P1658" s="7" t="inlineStr">
        <is>
          <t>workday</t>
        </is>
      </c>
      <c r="Q1658" s="8" t="inlineStr">
        <is>
          <t>c</t>
        </is>
      </c>
      <c r="R1658" s="8" t="n"/>
      <c r="S1658" s="19" t="n"/>
      <c r="T1658" s="19" t="n"/>
      <c r="U1658" s="14" t="n">
        <v>46197</v>
      </c>
      <c r="V1658" s="7" t="inlineStr">
        <is>
          <t>v2-cv-accuracy-13b988b18da8ea7d</t>
        </is>
      </c>
    </row>
    <row r="1659" ht="28" customHeight="1">
      <c r="A1659" s="12">
        <f>IF($L1659="applied","Applied",IF($L1659="interview","Interview",IF($L1659="offer","Offer",IF($L1659="rejected","Rejected",IF($L1659="ignore","Ignore",IF($L1659="archive","Archive",IF($L1659="closed","Closed",IF($B1659="","Unscored",IF(AND($B1659&gt;=8,OR($H1659="",$H1659-TODAY()&lt;=14)),"P1 Apply",IF($B1659&gt;=7,"P2 Strong",IF($B1659&gt;=5,"P3 Maybe","P4 Low")))))))))))</f>
        <v/>
      </c>
      <c r="B1659" s="13" t="n">
        <v>0</v>
      </c>
      <c r="C1659" s="12" t="inlineStr">
        <is>
          <t>Senior/Lead</t>
        </is>
      </c>
      <c r="D1659" s="8" t="inlineStr">
        <is>
          <t>Senior Digital IC Design Engineer</t>
        </is>
      </c>
      <c r="E1659" s="7" t="inlineStr">
        <is>
          <t>Technify Talent</t>
        </is>
      </c>
      <c r="F1659" s="8" t="inlineStr">
        <is>
          <t>Cambridge, England, UK</t>
        </is>
      </c>
      <c r="G1659" s="8" t="n"/>
      <c r="H1659" s="14" t="n"/>
      <c r="I1659" s="15">
        <f>IF($H1659="","",$H1659-TODAY())</f>
        <v/>
      </c>
      <c r="J1659" s="16" t="inlineStr">
        <is>
          <t>Open posting</t>
        </is>
      </c>
      <c r="K1659" s="8" t="inlineStr">
        <is>
          <t>filtered by keyword pre-scan</t>
        </is>
      </c>
      <c r="L1659" s="17" t="inlineStr">
        <is>
          <t>new</t>
        </is>
      </c>
      <c r="M1659" s="18" t="inlineStr"/>
      <c r="N1659" s="7" t="inlineStr">
        <is>
          <t>7912b1222fb74e2cde7c8ea2680d1ae9b33efe8c</t>
        </is>
      </c>
      <c r="O1659" s="14" t="n">
        <v>46196</v>
      </c>
      <c r="P1659" s="7" t="inlineStr">
        <is>
          <t>jobspy</t>
        </is>
      </c>
      <c r="Q1659" s="8" t="inlineStr">
        <is>
          <t>python, verilog, git, c, digital design</t>
        </is>
      </c>
      <c r="R1659" s="8" t="inlineStr">
        <is>
          <t>Graduate Digital Design Engineer FPGA</t>
        </is>
      </c>
      <c r="S1659" s="19" t="n"/>
      <c r="T1659" s="19" t="n"/>
      <c r="U1659" s="14" t="n">
        <v>46197</v>
      </c>
      <c r="V1659" s="7" t="inlineStr">
        <is>
          <t>v2-cv-accuracy-13b988b18da8ea7d</t>
        </is>
      </c>
    </row>
    <row r="1660" ht="28" customHeight="1">
      <c r="A1660" s="12">
        <f>IF($L1660="applied","Applied",IF($L1660="interview","Interview",IF($L1660="offer","Offer",IF($L1660="rejected","Rejected",IF($L1660="ignore","Ignore",IF($L1660="archive","Archive",IF($L1660="closed","Closed",IF($B1660="","Unscored",IF(AND($B1660&gt;=8,OR($H1660="",$H1660-TODAY()&lt;=14)),"P1 Apply",IF($B1660&gt;=7,"P2 Strong",IF($B1660&gt;=5,"P3 Maybe","P4 Low")))))))))))</f>
        <v/>
      </c>
      <c r="B1660" s="13" t="n">
        <v>0</v>
      </c>
      <c r="C1660" s="12" t="inlineStr">
        <is>
          <t>Senior/Lead</t>
        </is>
      </c>
      <c r="D1660" s="8" t="inlineStr">
        <is>
          <t>Principal Solutions Engineer</t>
        </is>
      </c>
      <c r="E1660" s="7" t="inlineStr">
        <is>
          <t>Redwood Software Inc.</t>
        </is>
      </c>
      <c r="F1660" s="8" t="inlineStr">
        <is>
          <t>Burnham, ENG, GB</t>
        </is>
      </c>
      <c r="G1660" s="8" t="n"/>
      <c r="H1660" s="14" t="n"/>
      <c r="I1660" s="15">
        <f>IF($H1660="","",$H1660-TODAY())</f>
        <v/>
      </c>
      <c r="J1660" s="16" t="inlineStr">
        <is>
          <t>Open posting</t>
        </is>
      </c>
      <c r="K1660" s="8" t="inlineStr">
        <is>
          <t>filtered by keyword pre-scan</t>
        </is>
      </c>
      <c r="L1660" s="17" t="inlineStr">
        <is>
          <t>new</t>
        </is>
      </c>
      <c r="M1660" s="18" t="inlineStr"/>
      <c r="N1660" s="7" t="inlineStr">
        <is>
          <t>84c605ba52186f2c51cff84b37e34597f816f97a</t>
        </is>
      </c>
      <c r="O1660" s="14" t="n">
        <v>46196</v>
      </c>
      <c r="P1660" s="7" t="inlineStr">
        <is>
          <t>jobspy</t>
        </is>
      </c>
      <c r="Q1660" s="8" t="inlineStr">
        <is>
          <t>c</t>
        </is>
      </c>
      <c r="R1660" s="8" t="inlineStr">
        <is>
          <t>Junior Embedded Software Engineer C Python</t>
        </is>
      </c>
      <c r="S1660" s="19" t="n"/>
      <c r="T1660" s="19" t="n"/>
      <c r="U1660" s="14" t="n">
        <v>46197</v>
      </c>
      <c r="V1660" s="7" t="inlineStr">
        <is>
          <t>v2-cv-accuracy-13b988b18da8ea7d</t>
        </is>
      </c>
    </row>
    <row r="1661" ht="28" customHeight="1">
      <c r="A1661" s="12">
        <f>IF($L1661="applied","Applied",IF($L1661="interview","Interview",IF($L1661="offer","Offer",IF($L1661="rejected","Rejected",IF($L1661="ignore","Ignore",IF($L1661="archive","Archive",IF($L1661="closed","Closed",IF($B1661="","Unscored",IF(AND($B1661&gt;=8,OR($H1661="",$H1661-TODAY()&lt;=14)),"P1 Apply",IF($B1661&gt;=7,"P2 Strong",IF($B1661&gt;=5,"P3 Maybe","P4 Low")))))))))))</f>
        <v/>
      </c>
      <c r="B1661" s="13" t="n">
        <v>0</v>
      </c>
      <c r="C1661" s="12" t="inlineStr">
        <is>
          <t>Senior/Lead</t>
        </is>
      </c>
      <c r="D1661" s="8" t="inlineStr">
        <is>
          <t>Senior Principal System Technologist</t>
        </is>
      </c>
      <c r="E1661" s="7" t="inlineStr">
        <is>
          <t>Arm</t>
        </is>
      </c>
      <c r="F1661" s="8" t="inlineStr">
        <is>
          <t>Cambridge, England, UK</t>
        </is>
      </c>
      <c r="G1661" s="8" t="n"/>
      <c r="H1661" s="14" t="n"/>
      <c r="I1661" s="15">
        <f>IF($H1661="","",$H1661-TODAY())</f>
        <v/>
      </c>
      <c r="J1661" s="16" t="inlineStr">
        <is>
          <t>Open posting</t>
        </is>
      </c>
      <c r="K1661" s="8" t="inlineStr">
        <is>
          <t>filtered by keyword pre-scan</t>
        </is>
      </c>
      <c r="L1661" s="17" t="inlineStr">
        <is>
          <t>new</t>
        </is>
      </c>
      <c r="M1661" s="18" t="inlineStr"/>
      <c r="N1661" s="7" t="inlineStr">
        <is>
          <t>e15d4deb90ad75b976664f6ed5389114c1823779</t>
        </is>
      </c>
      <c r="O1661" s="14" t="n">
        <v>46194</v>
      </c>
      <c r="P1661" s="7" t="inlineStr">
        <is>
          <t>jobspy</t>
        </is>
      </c>
      <c r="Q1661" s="8" t="inlineStr">
        <is>
          <t>c</t>
        </is>
      </c>
      <c r="R1661" s="8" t="inlineStr">
        <is>
          <t>PhD Studentship computer architecture hardware</t>
        </is>
      </c>
      <c r="S1661" s="19" t="n"/>
      <c r="T1661" s="19" t="n"/>
      <c r="U1661" s="14" t="n">
        <v>46197</v>
      </c>
      <c r="V1661" s="7" t="inlineStr">
        <is>
          <t>v2-cv-accuracy-13b988b18da8ea7d</t>
        </is>
      </c>
    </row>
    <row r="1662" ht="28" customHeight="1">
      <c r="A1662" s="12">
        <f>IF($L1662="applied","Applied",IF($L1662="interview","Interview",IF($L1662="offer","Offer",IF($L1662="rejected","Rejected",IF($L1662="ignore","Ignore",IF($L1662="archive","Archive",IF($L1662="closed","Closed",IF($B1662="","Unscored",IF(AND($B1662&gt;=8,OR($H1662="",$H1662-TODAY()&lt;=14)),"P1 Apply",IF($B1662&gt;=7,"P2 Strong",IF($B1662&gt;=5,"P3 Maybe","P4 Low")))))))))))</f>
        <v/>
      </c>
      <c r="B1662" s="13" t="n">
        <v>0</v>
      </c>
      <c r="C1662" s="12" t="inlineStr">
        <is>
          <t>Senior/Lead</t>
        </is>
      </c>
      <c r="D1662" s="8" t="inlineStr">
        <is>
          <t>Senior Researcher - AI Computer Architecture</t>
        </is>
      </c>
      <c r="E1662" s="7" t="inlineStr">
        <is>
          <t>Microsoft</t>
        </is>
      </c>
      <c r="F1662" s="8" t="inlineStr">
        <is>
          <t>Cambridge, England, UK</t>
        </is>
      </c>
      <c r="G1662" s="8" t="n"/>
      <c r="H1662" s="14" t="n"/>
      <c r="I1662" s="15">
        <f>IF($H1662="","",$H1662-TODAY())</f>
        <v/>
      </c>
      <c r="J1662" s="16" t="inlineStr">
        <is>
          <t>Open posting</t>
        </is>
      </c>
      <c r="K1662" s="8" t="inlineStr">
        <is>
          <t>filtered by keyword pre-scan</t>
        </is>
      </c>
      <c r="L1662" s="17" t="inlineStr">
        <is>
          <t>new</t>
        </is>
      </c>
      <c r="M1662" s="18" t="inlineStr"/>
      <c r="N1662" s="7" t="inlineStr">
        <is>
          <t>c49c8ed446cca3724d44bf1d6459cbb59ec639ec</t>
        </is>
      </c>
      <c r="O1662" s="14" t="n">
        <v>46178</v>
      </c>
      <c r="P1662" s="7" t="inlineStr">
        <is>
          <t>jobspy</t>
        </is>
      </c>
      <c r="Q1662" s="8" t="inlineStr">
        <is>
          <t>c</t>
        </is>
      </c>
      <c r="R1662" s="8" t="inlineStr">
        <is>
          <t>PhD Studentship computer architecture hardware</t>
        </is>
      </c>
      <c r="S1662" s="19" t="n"/>
      <c r="T1662" s="19" t="n"/>
      <c r="U1662" s="14" t="n">
        <v>46197</v>
      </c>
      <c r="V1662" s="7" t="inlineStr">
        <is>
          <t>v2-cv-accuracy-13b988b18da8ea7d</t>
        </is>
      </c>
    </row>
    <row r="1663" ht="28" customHeight="1">
      <c r="A1663" s="12">
        <f>IF($L1663="applied","Applied",IF($L1663="interview","Interview",IF($L1663="offer","Offer",IF($L1663="rejected","Rejected",IF($L1663="ignore","Ignore",IF($L1663="archive","Archive",IF($L1663="closed","Closed",IF($B1663="","Unscored",IF(AND($B1663&gt;=8,OR($H1663="",$H1663-TODAY()&lt;=14)),"P1 Apply",IF($B1663&gt;=7,"P2 Strong",IF($B1663&gt;=5,"P3 Maybe","P4 Low")))))))))))</f>
        <v/>
      </c>
      <c r="B1663" s="13" t="n">
        <v>0</v>
      </c>
      <c r="C1663" s="12" t="inlineStr">
        <is>
          <t>Senior/Lead</t>
        </is>
      </c>
      <c r="D1663" s="8" t="inlineStr">
        <is>
          <t>Principal AI &amp; Compute Engineer, Workforce Development</t>
        </is>
      </c>
      <c r="E1663" s="7" t="inlineStr">
        <is>
          <t>Arm</t>
        </is>
      </c>
      <c r="F1663" s="8" t="inlineStr">
        <is>
          <t>Cambridge, England, UK</t>
        </is>
      </c>
      <c r="G1663" s="8" t="n"/>
      <c r="H1663" s="14" t="n"/>
      <c r="I1663" s="15">
        <f>IF($H1663="","",$H1663-TODAY())</f>
        <v/>
      </c>
      <c r="J1663" s="16" t="inlineStr">
        <is>
          <t>Open posting</t>
        </is>
      </c>
      <c r="K1663" s="8" t="inlineStr">
        <is>
          <t>filtered by keyword pre-scan</t>
        </is>
      </c>
      <c r="L1663" s="17" t="inlineStr">
        <is>
          <t>new</t>
        </is>
      </c>
      <c r="M1663" s="18" t="inlineStr"/>
      <c r="N1663" s="7" t="inlineStr">
        <is>
          <t>248b8917d5f96e39dce4fc6629e9c4e6d1c67970</t>
        </is>
      </c>
      <c r="O1663" s="14" t="n">
        <v>46176</v>
      </c>
      <c r="P1663" s="7" t="inlineStr">
        <is>
          <t>jobspy</t>
        </is>
      </c>
      <c r="Q1663" s="8" t="inlineStr">
        <is>
          <t>fpga, c, embedded systems</t>
        </is>
      </c>
      <c r="R1663" s="8" t="inlineStr">
        <is>
          <t>PhD Studentship computer architecture hardware</t>
        </is>
      </c>
      <c r="S1663" s="19" t="n"/>
      <c r="T1663" s="19" t="n"/>
      <c r="U1663" s="14" t="n">
        <v>46197</v>
      </c>
      <c r="V1663" s="7" t="inlineStr">
        <is>
          <t>v2-cv-accuracy-13b988b18da8ea7d</t>
        </is>
      </c>
    </row>
    <row r="1664" ht="28" customHeight="1">
      <c r="A1664" s="12">
        <f>IF($L1664="applied","Applied",IF($L1664="interview","Interview",IF($L1664="offer","Offer",IF($L1664="rejected","Rejected",IF($L1664="ignore","Ignore",IF($L1664="archive","Archive",IF($L1664="closed","Closed",IF($B1664="","Unscored",IF(AND($B1664&gt;=8,OR($H1664="",$H1664-TODAY()&lt;=14)),"P1 Apply",IF($B1664&gt;=7,"P2 Strong",IF($B1664&gt;=5,"P3 Maybe","P4 Low")))))))))))</f>
        <v/>
      </c>
      <c r="B1664" s="13" t="n">
        <v>0</v>
      </c>
      <c r="C1664" s="12" t="inlineStr">
        <is>
          <t>Senior/Lead</t>
        </is>
      </c>
      <c r="D1664" s="8" t="inlineStr">
        <is>
          <t>Senior Data Engineer</t>
        </is>
      </c>
      <c r="E1664" s="7" t="inlineStr">
        <is>
          <t>Keyrock</t>
        </is>
      </c>
      <c r="F1664" s="8" t="inlineStr">
        <is>
          <t>London, England, UK</t>
        </is>
      </c>
      <c r="G1664" s="8" t="n"/>
      <c r="H1664" s="14" t="n"/>
      <c r="I1664" s="15">
        <f>IF($H1664="","",$H1664-TODAY())</f>
        <v/>
      </c>
      <c r="J1664" s="16" t="inlineStr">
        <is>
          <t>Open posting</t>
        </is>
      </c>
      <c r="K1664" s="8" t="inlineStr">
        <is>
          <t>filtered by keyword pre-scan</t>
        </is>
      </c>
      <c r="L1664" s="17" t="inlineStr">
        <is>
          <t>new</t>
        </is>
      </c>
      <c r="M1664" s="18" t="inlineStr"/>
      <c r="N1664" s="7" t="inlineStr">
        <is>
          <t>4c87721e3ba4c303486a3bd9b145d2e6be4afc1d</t>
        </is>
      </c>
      <c r="O1664" s="14" t="n">
        <v>46184</v>
      </c>
      <c r="P1664" s="7" t="inlineStr">
        <is>
          <t>jobspy</t>
        </is>
      </c>
      <c r="Q1664" s="8" t="inlineStr">
        <is>
          <t>docker, git, c</t>
        </is>
      </c>
      <c r="R1664" s="8" t="inlineStr">
        <is>
          <t>Junior Data Engineer Python SQL Docker remote</t>
        </is>
      </c>
      <c r="S1664" s="19" t="n"/>
      <c r="T1664" s="19" t="n"/>
      <c r="U1664" s="14" t="n">
        <v>46197</v>
      </c>
      <c r="V1664" s="7" t="inlineStr">
        <is>
          <t>v2-cv-accuracy-13b988b18da8ea7d</t>
        </is>
      </c>
    </row>
    <row r="1665" ht="28" customHeight="1">
      <c r="A1665" s="12">
        <f>IF($L1665="applied","Applied",IF($L1665="interview","Interview",IF($L1665="offer","Offer",IF($L1665="rejected","Rejected",IF($L1665="ignore","Ignore",IF($L1665="archive","Archive",IF($L1665="closed","Closed",IF($B1665="","Unscored",IF(AND($B1665&gt;=8,OR($H1665="",$H1665-TODAY()&lt;=14)),"P1 Apply",IF($B1665&gt;=7,"P2 Strong",IF($B1665&gt;=5,"P3 Maybe","P4 Low")))))))))))</f>
        <v/>
      </c>
      <c r="B1665" s="13" t="n">
        <v>0</v>
      </c>
      <c r="C1665" s="12" t="inlineStr">
        <is>
          <t>Senior/Lead</t>
        </is>
      </c>
      <c r="D1665" s="8" t="inlineStr">
        <is>
          <t>Senior Data Engineer</t>
        </is>
      </c>
      <c r="E1665" s="7" t="inlineStr">
        <is>
          <t>Keyrock</t>
        </is>
      </c>
      <c r="F1665" s="8" t="inlineStr">
        <is>
          <t>London, England, UK</t>
        </is>
      </c>
      <c r="G1665" s="8" t="n"/>
      <c r="H1665" s="14" t="n"/>
      <c r="I1665" s="15">
        <f>IF($H1665="","",$H1665-TODAY())</f>
        <v/>
      </c>
      <c r="J1665" s="16" t="inlineStr">
        <is>
          <t>Open posting</t>
        </is>
      </c>
      <c r="K1665" s="8" t="inlineStr">
        <is>
          <t>filtered by keyword pre-scan</t>
        </is>
      </c>
      <c r="L1665" s="17" t="inlineStr">
        <is>
          <t>new</t>
        </is>
      </c>
      <c r="M1665" s="18" t="inlineStr"/>
      <c r="N1665" s="7" t="inlineStr">
        <is>
          <t>a4832e9afcd90d17272050d4a519303b8df287f5</t>
        </is>
      </c>
      <c r="O1665" s="14" t="n">
        <v>46184</v>
      </c>
      <c r="P1665" s="7" t="inlineStr">
        <is>
          <t>jobspy</t>
        </is>
      </c>
      <c r="Q1665" s="8" t="inlineStr">
        <is>
          <t>docker, git, c</t>
        </is>
      </c>
      <c r="R1665" s="8" t="inlineStr">
        <is>
          <t>Junior Data Engineer Python SQL Docker remote</t>
        </is>
      </c>
      <c r="S1665" s="19" t="n"/>
      <c r="T1665" s="19" t="n"/>
      <c r="U1665" s="14" t="n">
        <v>46197</v>
      </c>
      <c r="V1665" s="7" t="inlineStr">
        <is>
          <t>v2-cv-accuracy-13b988b18da8ea7d</t>
        </is>
      </c>
    </row>
    <row r="1666" ht="28" customHeight="1">
      <c r="A1666" s="12">
        <f>IF($L1666="applied","Applied",IF($L1666="interview","Interview",IF($L1666="offer","Offer",IF($L1666="rejected","Rejected",IF($L1666="ignore","Ignore",IF($L1666="archive","Archive",IF($L1666="closed","Closed",IF($B1666="","Unscored",IF(AND($B1666&gt;=8,OR($H1666="",$H1666-TODAY()&lt;=14)),"P1 Apply",IF($B1666&gt;=7,"P2 Strong",IF($B1666&gt;=5,"P3 Maybe","P4 Low")))))))))))</f>
        <v/>
      </c>
      <c r="B1666" s="13" t="n">
        <v>0</v>
      </c>
      <c r="C1666" s="12" t="inlineStr">
        <is>
          <t>Senior/Lead</t>
        </is>
      </c>
      <c r="D1666" s="8" t="inlineStr">
        <is>
          <t>Senior Data Engineer</t>
        </is>
      </c>
      <c r="E1666" s="7" t="inlineStr">
        <is>
          <t>Keyrock</t>
        </is>
      </c>
      <c r="F1666" s="8" t="inlineStr">
        <is>
          <t>City Of London, England, UK</t>
        </is>
      </c>
      <c r="G1666" s="8" t="n"/>
      <c r="H1666" s="14" t="n"/>
      <c r="I1666" s="15">
        <f>IF($H1666="","",$H1666-TODAY())</f>
        <v/>
      </c>
      <c r="J1666" s="16" t="inlineStr">
        <is>
          <t>Open posting</t>
        </is>
      </c>
      <c r="K1666" s="8" t="inlineStr">
        <is>
          <t>filtered by keyword pre-scan</t>
        </is>
      </c>
      <c r="L1666" s="17" t="inlineStr">
        <is>
          <t>new</t>
        </is>
      </c>
      <c r="M1666" s="18" t="inlineStr"/>
      <c r="N1666" s="7" t="inlineStr">
        <is>
          <t>12f1689572ca1878e86d587387fee0b84d077bd1</t>
        </is>
      </c>
      <c r="O1666" s="14" t="n">
        <v>46184</v>
      </c>
      <c r="P1666" s="7" t="inlineStr">
        <is>
          <t>jobspy</t>
        </is>
      </c>
      <c r="Q1666" s="8" t="inlineStr">
        <is>
          <t>docker, git, c</t>
        </is>
      </c>
      <c r="R1666" s="8" t="inlineStr">
        <is>
          <t>Junior Data Engineer Python SQL Docker remote</t>
        </is>
      </c>
      <c r="S1666" s="19" t="n"/>
      <c r="T1666" s="19" t="n"/>
      <c r="U1666" s="14" t="n">
        <v>46197</v>
      </c>
      <c r="V1666" s="7" t="inlineStr">
        <is>
          <t>v2-cv-accuracy-13b988b18da8ea7d</t>
        </is>
      </c>
    </row>
    <row r="1667" ht="28" customHeight="1">
      <c r="A1667" s="12">
        <f>IF($L1667="applied","Applied",IF($L1667="interview","Interview",IF($L1667="offer","Offer",IF($L1667="rejected","Rejected",IF($L1667="ignore","Ignore",IF($L1667="archive","Archive",IF($L1667="closed","Closed",IF($B1667="","Unscored",IF(AND($B1667&gt;=8,OR($H1667="",$H1667-TODAY()&lt;=14)),"P1 Apply",IF($B1667&gt;=7,"P2 Strong",IF($B1667&gt;=5,"P3 Maybe","P4 Low")))))))))))</f>
        <v/>
      </c>
      <c r="B1667" s="13" t="n">
        <v>0</v>
      </c>
      <c r="C1667" s="12" t="inlineStr">
        <is>
          <t>Senior/Lead</t>
        </is>
      </c>
      <c r="D1667" s="8" t="inlineStr">
        <is>
          <t>Senior Data Engineer</t>
        </is>
      </c>
      <c r="E1667" s="7" t="inlineStr">
        <is>
          <t>Ageas UK</t>
        </is>
      </c>
      <c r="F1667" s="8" t="inlineStr">
        <is>
          <t>Chandler's Ford, England, UK</t>
        </is>
      </c>
      <c r="G1667" s="8" t="n"/>
      <c r="H1667" s="14" t="n"/>
      <c r="I1667" s="15">
        <f>IF($H1667="","",$H1667-TODAY())</f>
        <v/>
      </c>
      <c r="J1667" s="16" t="inlineStr">
        <is>
          <t>Open posting</t>
        </is>
      </c>
      <c r="K1667" s="8" t="inlineStr">
        <is>
          <t>filtered by keyword pre-scan</t>
        </is>
      </c>
      <c r="L1667" s="17" t="inlineStr">
        <is>
          <t>new</t>
        </is>
      </c>
      <c r="M1667" s="18" t="inlineStr"/>
      <c r="N1667" s="7" t="inlineStr">
        <is>
          <t>795eaa613c72d2427560deeb615e5e4f3f9a2cfb</t>
        </is>
      </c>
      <c r="O1667" s="14" t="n">
        <v>46182</v>
      </c>
      <c r="P1667" s="7" t="inlineStr">
        <is>
          <t>jobspy</t>
        </is>
      </c>
      <c r="Q1667" s="8" t="inlineStr">
        <is>
          <t>python, sql, docker, kubernetes, git</t>
        </is>
      </c>
      <c r="R1667" s="8" t="inlineStr">
        <is>
          <t>Junior Data Engineer Python SQL Docker remote</t>
        </is>
      </c>
      <c r="S1667" s="19" t="n"/>
      <c r="T1667" s="19" t="n"/>
      <c r="U1667" s="14" t="n">
        <v>46197</v>
      </c>
      <c r="V1667" s="7" t="inlineStr">
        <is>
          <t>v2-cv-accuracy-13b988b18da8ea7d</t>
        </is>
      </c>
    </row>
    <row r="1668" ht="28" customHeight="1">
      <c r="A1668" s="12">
        <f>IF($L1668="applied","Applied",IF($L1668="interview","Interview",IF($L1668="offer","Offer",IF($L1668="rejected","Rejected",IF($L1668="ignore","Ignore",IF($L1668="archive","Archive",IF($L1668="closed","Closed",IF($B1668="","Unscored",IF(AND($B1668&gt;=8,OR($H1668="",$H1668-TODAY()&lt;=14)),"P1 Apply",IF($B1668&gt;=7,"P2 Strong",IF($B1668&gt;=5,"P3 Maybe","P4 Low")))))))))))</f>
        <v/>
      </c>
      <c r="B1668" s="13" t="n">
        <v>0</v>
      </c>
      <c r="C1668" s="12" t="inlineStr">
        <is>
          <t>Senior/Lead</t>
        </is>
      </c>
      <c r="D1668" s="8" t="inlineStr">
        <is>
          <t>Senior Software Engineer - Advertising Analytics</t>
        </is>
      </c>
      <c r="E1668" s="7" t="inlineStr">
        <is>
          <t>Roku</t>
        </is>
      </c>
      <c r="F1668" s="8" t="inlineStr">
        <is>
          <t>Cambridge, England, UK</t>
        </is>
      </c>
      <c r="G1668" s="8" t="n"/>
      <c r="H1668" s="14" t="n"/>
      <c r="I1668" s="15">
        <f>IF($H1668="","",$H1668-TODAY())</f>
        <v/>
      </c>
      <c r="J1668" s="16" t="inlineStr">
        <is>
          <t>Open posting</t>
        </is>
      </c>
      <c r="K1668" s="8" t="inlineStr">
        <is>
          <t>filtered by keyword pre-scan</t>
        </is>
      </c>
      <c r="L1668" s="17" t="inlineStr">
        <is>
          <t>new</t>
        </is>
      </c>
      <c r="M1668" s="18" t="inlineStr"/>
      <c r="N1668" s="7" t="inlineStr">
        <is>
          <t>b877244d63f2c1ecca869f5bd76ac4cb0abaa71d</t>
        </is>
      </c>
      <c r="O1668" s="14" t="n">
        <v>46176</v>
      </c>
      <c r="P1668" s="7" t="inlineStr">
        <is>
          <t>jobspy</t>
        </is>
      </c>
      <c r="Q1668" s="8" t="inlineStr">
        <is>
          <t>c</t>
        </is>
      </c>
      <c r="R1668" s="8" t="inlineStr">
        <is>
          <t>Junior Data Engineer Python SQL Docker remote</t>
        </is>
      </c>
      <c r="S1668" s="19" t="n"/>
      <c r="T1668" s="19" t="n"/>
      <c r="U1668" s="14" t="n">
        <v>46197</v>
      </c>
      <c r="V1668" s="7" t="inlineStr">
        <is>
          <t>v2-cv-accuracy-13b988b18da8ea7d</t>
        </is>
      </c>
    </row>
    <row r="1669" ht="28" customHeight="1">
      <c r="A1669" s="12">
        <f>IF($L1669="applied","Applied",IF($L1669="interview","Interview",IF($L1669="offer","Offer",IF($L1669="rejected","Rejected",IF($L1669="ignore","Ignore",IF($L1669="archive","Archive",IF($L1669="closed","Closed",IF($B1669="","Unscored",IF(AND($B1669&gt;=8,OR($H1669="",$H1669-TODAY()&lt;=14)),"P1 Apply",IF($B1669&gt;=7,"P2 Strong",IF($B1669&gt;=5,"P3 Maybe","P4 Low")))))))))))</f>
        <v/>
      </c>
      <c r="B1669" s="13" t="n">
        <v>0</v>
      </c>
      <c r="C1669" s="12" t="inlineStr">
        <is>
          <t>Senior/Lead</t>
        </is>
      </c>
      <c r="D1669" s="8" t="inlineStr">
        <is>
          <t>Senior Software Engineer - Advertising Analytics</t>
        </is>
      </c>
      <c r="E1669" s="7" t="inlineStr">
        <is>
          <t>Roku</t>
        </is>
      </c>
      <c r="F1669" s="8" t="inlineStr">
        <is>
          <t>Salford, England, UK</t>
        </is>
      </c>
      <c r="G1669" s="8" t="n"/>
      <c r="H1669" s="14" t="n"/>
      <c r="I1669" s="15">
        <f>IF($H1669="","",$H1669-TODAY())</f>
        <v/>
      </c>
      <c r="J1669" s="16" t="inlineStr">
        <is>
          <t>Open posting</t>
        </is>
      </c>
      <c r="K1669" s="8" t="inlineStr">
        <is>
          <t>filtered by keyword pre-scan</t>
        </is>
      </c>
      <c r="L1669" s="17" t="inlineStr">
        <is>
          <t>new</t>
        </is>
      </c>
      <c r="M1669" s="18" t="inlineStr"/>
      <c r="N1669" s="7" t="inlineStr">
        <is>
          <t>495cb0a48e8df9ebb6208a4c9c6b708dbfe0bf73</t>
        </is>
      </c>
      <c r="O1669" s="14" t="n">
        <v>46176</v>
      </c>
      <c r="P1669" s="7" t="inlineStr">
        <is>
          <t>jobspy</t>
        </is>
      </c>
      <c r="Q1669" s="8" t="inlineStr">
        <is>
          <t>c</t>
        </is>
      </c>
      <c r="R1669" s="8" t="inlineStr">
        <is>
          <t>Junior Data Engineer Python SQL Docker remote</t>
        </is>
      </c>
      <c r="S1669" s="19" t="n"/>
      <c r="T1669" s="19" t="n"/>
      <c r="U1669" s="14" t="n">
        <v>46197</v>
      </c>
      <c r="V1669" s="7" t="inlineStr">
        <is>
          <t>v2-cv-accuracy-13b988b18da8ea7d</t>
        </is>
      </c>
    </row>
    <row r="1670" ht="28" customHeight="1">
      <c r="A1670" s="12">
        <f>IF($L1670="applied","Applied",IF($L1670="interview","Interview",IF($L1670="offer","Offer",IF($L1670="rejected","Rejected",IF($L1670="ignore","Ignore",IF($L1670="archive","Archive",IF($L1670="closed","Closed",IF($B1670="","Unscored",IF(AND($B1670&gt;=8,OR($H1670="",$H1670-TODAY()&lt;=14)),"P1 Apply",IF($B1670&gt;=7,"P2 Strong",IF($B1670&gt;=5,"P3 Maybe","P4 Low")))))))))))</f>
        <v/>
      </c>
      <c r="B1670" s="13" t="n">
        <v>0</v>
      </c>
      <c r="C1670" s="12" t="inlineStr">
        <is>
          <t>Manager/Owner</t>
        </is>
      </c>
      <c r="D1670" s="8" t="inlineStr">
        <is>
          <t>Supply Demand Planning Manager</t>
        </is>
      </c>
      <c r="E1670" s="7" t="inlineStr">
        <is>
          <t>Graphcore</t>
        </is>
      </c>
      <c r="F1670" s="8" t="inlineStr">
        <is>
          <t>US - Milpitas</t>
        </is>
      </c>
      <c r="G1670" s="8" t="n"/>
      <c r="H1670" s="14" t="n"/>
      <c r="I1670" s="15">
        <f>IF($H1670="","",$H1670-TODAY())</f>
        <v/>
      </c>
      <c r="J1670" s="16" t="inlineStr">
        <is>
          <t>Open posting</t>
        </is>
      </c>
      <c r="K1670" s="8" t="inlineStr">
        <is>
          <t>filtered by keyword pre-scan</t>
        </is>
      </c>
      <c r="L1670" s="17" t="inlineStr">
        <is>
          <t>new</t>
        </is>
      </c>
      <c r="M1670" s="18" t="inlineStr"/>
      <c r="N1670" s="7" t="inlineStr">
        <is>
          <t>93c269c8b50b73465c967c9f193f2683a2051992</t>
        </is>
      </c>
      <c r="O1670" s="14" t="n">
        <v>46197</v>
      </c>
      <c r="P1670" s="7" t="inlineStr">
        <is>
          <t>greenhouse:graphcore</t>
        </is>
      </c>
      <c r="Q1670" s="8" t="inlineStr">
        <is>
          <t>python, sql, c</t>
        </is>
      </c>
      <c r="R1670" s="8" t="n"/>
      <c r="S1670" s="19" t="n"/>
      <c r="T1670" s="19" t="n"/>
      <c r="U1670" s="14" t="n">
        <v>46197</v>
      </c>
      <c r="V1670" s="7" t="inlineStr">
        <is>
          <t>v2-cv-accuracy-13b988b18da8ea7d</t>
        </is>
      </c>
    </row>
    <row r="1671" ht="28" customHeight="1">
      <c r="A1671" s="12">
        <f>IF($L1671="applied","Applied",IF($L1671="interview","Interview",IF($L1671="offer","Offer",IF($L1671="rejected","Rejected",IF($L1671="ignore","Ignore",IF($L1671="archive","Archive",IF($L1671="closed","Closed",IF($B1671="","Unscored",IF(AND($B1671&gt;=8,OR($H1671="",$H1671-TODAY()&lt;=14)),"P1 Apply",IF($B1671&gt;=7,"P2 Strong",IF($B1671&gt;=5,"P3 Maybe","P4 Low")))))))))))</f>
        <v/>
      </c>
      <c r="B1671" s="13" t="n">
        <v>0</v>
      </c>
      <c r="C1671" s="12" t="inlineStr">
        <is>
          <t>Senior/Lead</t>
        </is>
      </c>
      <c r="D1671" s="8" t="inlineStr">
        <is>
          <t>Engineering Director, EU</t>
        </is>
      </c>
      <c r="E1671" s="7" t="inlineStr">
        <is>
          <t>Monzo</t>
        </is>
      </c>
      <c r="F1671" s="8" t="inlineStr">
        <is>
          <t>Cardiff, London or Remote (UK)</t>
        </is>
      </c>
      <c r="G1671" s="8" t="n"/>
      <c r="H1671" s="14" t="n"/>
      <c r="I1671" s="15">
        <f>IF($H1671="","",$H1671-TODAY())</f>
        <v/>
      </c>
      <c r="J1671" s="16" t="inlineStr">
        <is>
          <t>Open posting</t>
        </is>
      </c>
      <c r="K1671" s="8" t="inlineStr">
        <is>
          <t>filtered by keyword pre-scan</t>
        </is>
      </c>
      <c r="L1671" s="17" t="inlineStr">
        <is>
          <t>new</t>
        </is>
      </c>
      <c r="M1671" s="18" t="inlineStr"/>
      <c r="N1671" s="7" t="inlineStr">
        <is>
          <t>27d909c1225a3d7bee730f46fbce93ebd536155f</t>
        </is>
      </c>
      <c r="O1671" s="14" t="n">
        <v>46197</v>
      </c>
      <c r="P1671" s="7" t="inlineStr">
        <is>
          <t>greenhouse:monzo</t>
        </is>
      </c>
      <c r="Q1671" s="8" t="inlineStr">
        <is>
          <t>c</t>
        </is>
      </c>
      <c r="R1671" s="8" t="n"/>
      <c r="S1671" s="19" t="n"/>
      <c r="T1671" s="19" t="n"/>
      <c r="U1671" s="14" t="n">
        <v>46197</v>
      </c>
      <c r="V1671" s="7" t="inlineStr">
        <is>
          <t>v2-cv-accuracy-13b988b18da8ea7d</t>
        </is>
      </c>
    </row>
    <row r="1672" ht="28" customHeight="1">
      <c r="A1672" s="12">
        <f>IF($L1672="applied","Applied",IF($L1672="interview","Interview",IF($L1672="offer","Offer",IF($L1672="rejected","Rejected",IF($L1672="ignore","Ignore",IF($L1672="archive","Archive",IF($L1672="closed","Closed",IF($B1672="","Unscored",IF(AND($B1672&gt;=8,OR($H1672="",$H1672-TODAY()&lt;=14)),"P1 Apply",IF($B1672&gt;=7,"P2 Strong",IF($B1672&gt;=5,"P3 Maybe","P4 Low")))))))))))</f>
        <v/>
      </c>
      <c r="B1672" s="13" t="n">
        <v>0</v>
      </c>
      <c r="C1672" s="12" t="inlineStr">
        <is>
          <t>Senior/Lead</t>
        </is>
      </c>
      <c r="D1672" s="8" t="inlineStr">
        <is>
          <t>Principal Design Engineer</t>
        </is>
      </c>
      <c r="E1672" s="7" t="inlineStr">
        <is>
          <t>Dyson</t>
        </is>
      </c>
      <c r="F1672" s="8" t="inlineStr">
        <is>
          <t>Philippines - Technology Campus</t>
        </is>
      </c>
      <c r="G1672" s="8" t="n"/>
      <c r="H1672" s="14" t="n"/>
      <c r="I1672" s="15">
        <f>IF($H1672="","",$H1672-TODAY())</f>
        <v/>
      </c>
      <c r="J1672" s="16" t="inlineStr">
        <is>
          <t>Open posting</t>
        </is>
      </c>
      <c r="K1672" s="8" t="inlineStr">
        <is>
          <t>filtered by keyword pre-scan</t>
        </is>
      </c>
      <c r="L1672" s="17" t="inlineStr">
        <is>
          <t>new</t>
        </is>
      </c>
      <c r="M1672" s="18" t="inlineStr"/>
      <c r="N1672" s="7" t="inlineStr">
        <is>
          <t>b76242d7dc0712f26179c90066a59691a6781c3d</t>
        </is>
      </c>
      <c r="O1672" s="14" t="n"/>
      <c r="P1672" s="7" t="inlineStr">
        <is>
          <t>workday</t>
        </is>
      </c>
      <c r="Q1672" s="8" t="inlineStr">
        <is>
          <t>c</t>
        </is>
      </c>
      <c r="R1672" s="8" t="n"/>
      <c r="S1672" s="19" t="n"/>
      <c r="T1672" s="19" t="n"/>
      <c r="U1672" s="14" t="n">
        <v>46196</v>
      </c>
      <c r="V1672" s="7" t="inlineStr">
        <is>
          <t>v2-cv-accuracy-13b988b18da8ea7d</t>
        </is>
      </c>
    </row>
    <row r="1673" ht="28" customHeight="1">
      <c r="A1673" s="12">
        <f>IF($L1673="applied","Applied",IF($L1673="interview","Interview",IF($L1673="offer","Offer",IF($L1673="rejected","Rejected",IF($L1673="ignore","Ignore",IF($L1673="archive","Archive",IF($L1673="closed","Closed",IF($B1673="","Unscored",IF(AND($B1673&gt;=8,OR($H1673="",$H1673-TODAY()&lt;=14)),"P1 Apply",IF($B1673&gt;=7,"P2 Strong",IF($B1673&gt;=5,"P3 Maybe","P4 Low")))))))))))</f>
        <v/>
      </c>
      <c r="B1673" s="13" t="n">
        <v>0</v>
      </c>
      <c r="C1673" s="12" t="inlineStr">
        <is>
          <t>Senior/Lead</t>
        </is>
      </c>
      <c r="D1673" s="8" t="inlineStr">
        <is>
          <t>Senior Embedded Software Engineer</t>
        </is>
      </c>
      <c r="E1673" s="7" t="inlineStr">
        <is>
          <t>Platform Recruitment</t>
        </is>
      </c>
      <c r="F1673" s="8" t="inlineStr">
        <is>
          <t>Northampton, England, UK</t>
        </is>
      </c>
      <c r="G1673" s="8" t="n"/>
      <c r="H1673" s="14" t="n"/>
      <c r="I1673" s="15">
        <f>IF($H1673="","",$H1673-TODAY())</f>
        <v/>
      </c>
      <c r="J1673" s="16" t="inlineStr">
        <is>
          <t>Open posting</t>
        </is>
      </c>
      <c r="K1673" s="8" t="inlineStr">
        <is>
          <t>filtered by keyword pre-scan</t>
        </is>
      </c>
      <c r="L1673" s="17" t="inlineStr">
        <is>
          <t>new</t>
        </is>
      </c>
      <c r="M1673" s="18" t="inlineStr"/>
      <c r="N1673" s="7" t="inlineStr">
        <is>
          <t>17107a4b8de1f4627d7b44f314e60aed86ed4c8f</t>
        </is>
      </c>
      <c r="O1673" s="14" t="n"/>
      <c r="P1673" s="7" t="inlineStr">
        <is>
          <t>jobspy</t>
        </is>
      </c>
      <c r="Q1673" s="8" t="inlineStr">
        <is>
          <t>python, c, javascript, embedded systems</t>
        </is>
      </c>
      <c r="R1673" s="8" t="inlineStr">
        <is>
          <t>Graduate Embedded Software Engineer C Python</t>
        </is>
      </c>
      <c r="S1673" s="19" t="n"/>
      <c r="T1673" s="19" t="n"/>
      <c r="U1673" s="14" t="n">
        <v>46196</v>
      </c>
      <c r="V1673" s="7" t="inlineStr">
        <is>
          <t>v2-cv-accuracy-13b988b18da8ea7d</t>
        </is>
      </c>
    </row>
    <row r="1674" ht="28" customHeight="1">
      <c r="A1674" s="12">
        <f>IF($L1674="applied","Applied",IF($L1674="interview","Interview",IF($L1674="offer","Offer",IF($L1674="rejected","Rejected",IF($L1674="ignore","Ignore",IF($L1674="archive","Archive",IF($L1674="closed","Closed",IF($B1674="","Unscored",IF(AND($B1674&gt;=8,OR($H1674="",$H1674-TODAY()&lt;=14)),"P1 Apply",IF($B1674&gt;=7,"P2 Strong",IF($B1674&gt;=5,"P3 Maybe","P4 Low")))))))))))</f>
        <v/>
      </c>
      <c r="B1674" s="13" t="n">
        <v>0</v>
      </c>
      <c r="C1674" s="12" t="inlineStr">
        <is>
          <t>Senior/Lead</t>
        </is>
      </c>
      <c r="D1674" s="8" t="inlineStr">
        <is>
          <t>Lead Python Engineer</t>
        </is>
      </c>
      <c r="E1674" s="7" t="inlineStr">
        <is>
          <t>Lendable</t>
        </is>
      </c>
      <c r="F1674" s="8" t="inlineStr">
        <is>
          <t>London, England, UK</t>
        </is>
      </c>
      <c r="G1674" s="8" t="n"/>
      <c r="H1674" s="14" t="n"/>
      <c r="I1674" s="15">
        <f>IF($H1674="","",$H1674-TODAY())</f>
        <v/>
      </c>
      <c r="J1674" s="16" t="inlineStr">
        <is>
          <t>Open posting</t>
        </is>
      </c>
      <c r="K1674" s="8" t="inlineStr">
        <is>
          <t>filtered by keyword pre-scan</t>
        </is>
      </c>
      <c r="L1674" s="17" t="inlineStr">
        <is>
          <t>new</t>
        </is>
      </c>
      <c r="M1674" s="18" t="inlineStr"/>
      <c r="N1674" s="7" t="inlineStr">
        <is>
          <t>8f858df762ea2404906f8be37d94c204a99f4a0b</t>
        </is>
      </c>
      <c r="O1674" s="14" t="n">
        <v>46191</v>
      </c>
      <c r="P1674" s="7" t="inlineStr">
        <is>
          <t>jobspy</t>
        </is>
      </c>
      <c r="Q1674" s="8" t="inlineStr">
        <is>
          <t>python, docker, kubernetes, c</t>
        </is>
      </c>
      <c r="R1674" s="8" t="inlineStr">
        <is>
          <t>Junior Python Developer backend Docker Kubernetes</t>
        </is>
      </c>
      <c r="S1674" s="19" t="n"/>
      <c r="T1674" s="19" t="n"/>
      <c r="U1674" s="14" t="n">
        <v>46196</v>
      </c>
      <c r="V1674" s="7" t="inlineStr">
        <is>
          <t>v2-cv-accuracy-13b988b18da8ea7d</t>
        </is>
      </c>
    </row>
    <row r="1675" ht="28" customHeight="1">
      <c r="A1675" s="12">
        <f>IF($L1675="applied","Applied",IF($L1675="interview","Interview",IF($L1675="offer","Offer",IF($L1675="rejected","Rejected",IF($L1675="ignore","Ignore",IF($L1675="archive","Archive",IF($L1675="closed","Closed",IF($B1675="","Unscored",IF(AND($B1675&gt;=8,OR($H1675="",$H1675-TODAY()&lt;=14)),"P1 Apply",IF($B1675&gt;=7,"P2 Strong",IF($B1675&gt;=5,"P3 Maybe","P4 Low")))))))))))</f>
        <v/>
      </c>
      <c r="B1675" s="13" t="n">
        <v>0</v>
      </c>
      <c r="C1675" s="12" t="inlineStr">
        <is>
          <t>Senior/Lead</t>
        </is>
      </c>
      <c r="D1675" s="8" t="inlineStr">
        <is>
          <t>Lead Python Engineer</t>
        </is>
      </c>
      <c r="E1675" s="7" t="inlineStr">
        <is>
          <t>hackajob</t>
        </is>
      </c>
      <c r="F1675" s="8" t="inlineStr">
        <is>
          <t>London, England, UK</t>
        </is>
      </c>
      <c r="G1675" s="8" t="n"/>
      <c r="H1675" s="14" t="n"/>
      <c r="I1675" s="15">
        <f>IF($H1675="","",$H1675-TODAY())</f>
        <v/>
      </c>
      <c r="J1675" s="16" t="inlineStr">
        <is>
          <t>Open posting</t>
        </is>
      </c>
      <c r="K1675" s="8" t="inlineStr">
        <is>
          <t>filtered by keyword pre-scan</t>
        </is>
      </c>
      <c r="L1675" s="17" t="inlineStr">
        <is>
          <t>new</t>
        </is>
      </c>
      <c r="M1675" s="18" t="inlineStr"/>
      <c r="N1675" s="7" t="inlineStr">
        <is>
          <t>cbbb18c9d9d60916b749243e727d8ad08311dcd4</t>
        </is>
      </c>
      <c r="O1675" s="14" t="n">
        <v>46185</v>
      </c>
      <c r="P1675" s="7" t="inlineStr">
        <is>
          <t>jobspy</t>
        </is>
      </c>
      <c r="Q1675" s="8" t="inlineStr">
        <is>
          <t>python, docker, kubernetes, c</t>
        </is>
      </c>
      <c r="R1675" s="8" t="inlineStr">
        <is>
          <t>Junior Python Developer backend Docker Kubernetes</t>
        </is>
      </c>
      <c r="S1675" s="19" t="n"/>
      <c r="T1675" s="19" t="n"/>
      <c r="U1675" s="14" t="n">
        <v>46196</v>
      </c>
      <c r="V1675" s="7" t="inlineStr">
        <is>
          <t>v2-cv-accuracy-13b988b18da8ea7d</t>
        </is>
      </c>
    </row>
    <row r="1676" ht="28" customHeight="1">
      <c r="A1676" s="12">
        <f>IF($L1676="applied","Applied",IF($L1676="interview","Interview",IF($L1676="offer","Offer",IF($L1676="rejected","Rejected",IF($L1676="ignore","Ignore",IF($L1676="archive","Archive",IF($L1676="closed","Closed",IF($B1676="","Unscored",IF(AND($B1676&gt;=8,OR($H1676="",$H1676-TODAY()&lt;=14)),"P1 Apply",IF($B1676&gt;=7,"P2 Strong",IF($B1676&gt;=5,"P3 Maybe","P4 Low")))))))))))</f>
        <v/>
      </c>
      <c r="B1676" s="13" t="n">
        <v>0</v>
      </c>
      <c r="C1676" s="12" t="inlineStr">
        <is>
          <t>Unspecified</t>
        </is>
      </c>
      <c r="D1676" s="8" t="inlineStr">
        <is>
          <t>Backend Developer | $70/hr Remote</t>
        </is>
      </c>
      <c r="E1676" s="7" t="inlineStr">
        <is>
          <t>Crossing Hurdles</t>
        </is>
      </c>
      <c r="F1676" s="8" t="inlineStr"/>
      <c r="G1676" s="8" t="n"/>
      <c r="H1676" s="14" t="n"/>
      <c r="I1676" s="15">
        <f>IF($H1676="","",$H1676-TODAY())</f>
        <v/>
      </c>
      <c r="J1676" s="16" t="inlineStr">
        <is>
          <t>Open posting</t>
        </is>
      </c>
      <c r="K1676" s="8" t="inlineStr">
        <is>
          <t>filtered by keyword pre-scan</t>
        </is>
      </c>
      <c r="L1676" s="17" t="inlineStr">
        <is>
          <t>new</t>
        </is>
      </c>
      <c r="M1676" s="18" t="inlineStr"/>
      <c r="N1676" s="7" t="inlineStr">
        <is>
          <t>9763f3a83541604f86b3d15b9733e928d62737e7</t>
        </is>
      </c>
      <c r="O1676" s="14" t="n">
        <v>46178</v>
      </c>
      <c r="P1676" s="7" t="inlineStr">
        <is>
          <t>jobspy</t>
        </is>
      </c>
      <c r="Q1676" s="8" t="inlineStr">
        <is>
          <t>python, sql, docker, kubernetes, c</t>
        </is>
      </c>
      <c r="R1676" s="8" t="inlineStr">
        <is>
          <t>Junior Python Developer backend Docker Kubernetes</t>
        </is>
      </c>
      <c r="S1676" s="19" t="n"/>
      <c r="T1676" s="19" t="n"/>
      <c r="U1676" s="14" t="n">
        <v>46196</v>
      </c>
      <c r="V1676" s="7" t="inlineStr">
        <is>
          <t>v2-cv-accuracy-13b988b18da8ea7d</t>
        </is>
      </c>
    </row>
    <row r="1677" ht="28" customHeight="1">
      <c r="A1677" s="12">
        <f>IF($L1677="applied","Applied",IF($L1677="interview","Interview",IF($L1677="offer","Offer",IF($L1677="rejected","Rejected",IF($L1677="ignore","Ignore",IF($L1677="archive","Archive",IF($L1677="closed","Closed",IF($B1677="","Unscored",IF(AND($B1677&gt;=8,OR($H1677="",$H1677-TODAY()&lt;=14)),"P1 Apply",IF($B1677&gt;=7,"P2 Strong",IF($B1677&gt;=5,"P3 Maybe","P4 Low")))))))))))</f>
        <v/>
      </c>
      <c r="B1677" s="13" t="n">
        <v>0</v>
      </c>
      <c r="C1677" s="12" t="inlineStr">
        <is>
          <t>Senior/Lead</t>
        </is>
      </c>
      <c r="D1677" s="8" t="inlineStr">
        <is>
          <t>Senior Backend Engineer</t>
        </is>
      </c>
      <c r="E1677" s="7" t="inlineStr">
        <is>
          <t>Deep Medical</t>
        </is>
      </c>
      <c r="F1677" s="8" t="inlineStr">
        <is>
          <t>Greater London, England, UK</t>
        </is>
      </c>
      <c r="G1677" s="8" t="n"/>
      <c r="H1677" s="14" t="n"/>
      <c r="I1677" s="15">
        <f>IF($H1677="","",$H1677-TODAY())</f>
        <v/>
      </c>
      <c r="J1677" s="16" t="inlineStr">
        <is>
          <t>Open posting</t>
        </is>
      </c>
      <c r="K1677" s="8" t="inlineStr">
        <is>
          <t>filtered by keyword pre-scan</t>
        </is>
      </c>
      <c r="L1677" s="17" t="inlineStr">
        <is>
          <t>new</t>
        </is>
      </c>
      <c r="M1677" s="18" t="inlineStr"/>
      <c r="N1677" s="7" t="inlineStr">
        <is>
          <t>10273f7327e24d5fdca0751d6442d2beff3f8091</t>
        </is>
      </c>
      <c r="O1677" s="14" t="n">
        <v>46177</v>
      </c>
      <c r="P1677" s="7" t="inlineStr">
        <is>
          <t>jobspy</t>
        </is>
      </c>
      <c r="Q1677" s="8" t="inlineStr">
        <is>
          <t>python, docker, kubernetes, c</t>
        </is>
      </c>
      <c r="R1677" s="8" t="inlineStr">
        <is>
          <t>Junior Python Developer backend Docker Kubernetes</t>
        </is>
      </c>
      <c r="S1677" s="19" t="n"/>
      <c r="T1677" s="19" t="n"/>
      <c r="U1677" s="14" t="n">
        <v>46196</v>
      </c>
      <c r="V1677" s="7" t="inlineStr">
        <is>
          <t>v2-cv-accuracy-13b988b18da8ea7d</t>
        </is>
      </c>
    </row>
    <row r="1678" ht="28" customHeight="1">
      <c r="A1678" s="12">
        <f>IF($L1678="applied","Applied",IF($L1678="interview","Interview",IF($L1678="offer","Offer",IF($L1678="rejected","Rejected",IF($L1678="ignore","Ignore",IF($L1678="archive","Archive",IF($L1678="closed","Closed",IF($B1678="","Unscored",IF(AND($B1678&gt;=8,OR($H1678="",$H1678-TODAY()&lt;=14)),"P1 Apply",IF($B1678&gt;=7,"P2 Strong",IF($B1678&gt;=5,"P3 Maybe","P4 Low")))))))))))</f>
        <v/>
      </c>
      <c r="B1678" s="13" t="n">
        <v>0</v>
      </c>
      <c r="C1678" s="12" t="inlineStr">
        <is>
          <t>Senior/Lead</t>
        </is>
      </c>
      <c r="D1678" s="8" t="inlineStr">
        <is>
          <t>Senior Python and LLM Developer</t>
        </is>
      </c>
      <c r="E1678" s="7" t="inlineStr">
        <is>
          <t>Mphasis</t>
        </is>
      </c>
      <c r="F1678" s="8" t="inlineStr">
        <is>
          <t>London Area, United Kingdom</t>
        </is>
      </c>
      <c r="G1678" s="8" t="n"/>
      <c r="H1678" s="14" t="n"/>
      <c r="I1678" s="15">
        <f>IF($H1678="","",$H1678-TODAY())</f>
        <v/>
      </c>
      <c r="J1678" s="16" t="inlineStr">
        <is>
          <t>Open posting</t>
        </is>
      </c>
      <c r="K1678" s="8" t="inlineStr">
        <is>
          <t>filtered by keyword pre-scan</t>
        </is>
      </c>
      <c r="L1678" s="17" t="inlineStr">
        <is>
          <t>new</t>
        </is>
      </c>
      <c r="M1678" s="18" t="inlineStr"/>
      <c r="N1678" s="7" t="inlineStr">
        <is>
          <t>6a91f3b6010fe60f07640b058f939470070e27d3</t>
        </is>
      </c>
      <c r="O1678" s="14" t="n">
        <v>46175</v>
      </c>
      <c r="P1678" s="7" t="inlineStr">
        <is>
          <t>jobspy</t>
        </is>
      </c>
      <c r="Q1678" s="8" t="inlineStr">
        <is>
          <t>python, sql, docker, kubernetes, git</t>
        </is>
      </c>
      <c r="R1678" s="8" t="inlineStr">
        <is>
          <t>Junior Python Developer backend Docker Kubernetes</t>
        </is>
      </c>
      <c r="S1678" s="19" t="n"/>
      <c r="T1678" s="19" t="n"/>
      <c r="U1678" s="14" t="n">
        <v>46196</v>
      </c>
      <c r="V1678" s="7" t="inlineStr">
        <is>
          <t>v2-cv-accuracy-13b988b18da8ea7d</t>
        </is>
      </c>
    </row>
    <row r="1679" ht="28" customHeight="1">
      <c r="A1679" s="12">
        <f>IF($L1679="applied","Applied",IF($L1679="interview","Interview",IF($L1679="offer","Offer",IF($L1679="rejected","Rejected",IF($L1679="ignore","Ignore",IF($L1679="archive","Archive",IF($L1679="closed","Closed",IF($B1679="","Unscored",IF(AND($B1679&gt;=8,OR($H1679="",$H1679-TODAY()&lt;=14)),"P1 Apply",IF($B1679&gt;=7,"P2 Strong",IF($B1679&gt;=5,"P3 Maybe","P4 Low")))))))))))</f>
        <v/>
      </c>
      <c r="B1679" s="13" t="n">
        <v>0</v>
      </c>
      <c r="C1679" s="12" t="inlineStr">
        <is>
          <t>Mid-level</t>
        </is>
      </c>
      <c r="D1679" s="8" t="inlineStr">
        <is>
          <t>Full Stack Developer</t>
        </is>
      </c>
      <c r="E1679" s="7" t="inlineStr">
        <is>
          <t>Addition</t>
        </is>
      </c>
      <c r="F1679" s="8" t="inlineStr">
        <is>
          <t>Farnborough, England, UK</t>
        </is>
      </c>
      <c r="G1679" s="8" t="n"/>
      <c r="H1679" s="14" t="n"/>
      <c r="I1679" s="15">
        <f>IF($H1679="","",$H1679-TODAY())</f>
        <v/>
      </c>
      <c r="J1679" s="16" t="inlineStr">
        <is>
          <t>Open posting</t>
        </is>
      </c>
      <c r="K1679" s="8" t="inlineStr">
        <is>
          <t>filtered by keyword pre-scan</t>
        </is>
      </c>
      <c r="L1679" s="17" t="inlineStr">
        <is>
          <t>new</t>
        </is>
      </c>
      <c r="M1679" s="18" t="inlineStr"/>
      <c r="N1679" s="7" t="inlineStr">
        <is>
          <t>b58f3444dd5d2c157b3b9584cba657d1e4380257</t>
        </is>
      </c>
      <c r="O1679" s="14" t="n">
        <v>46175</v>
      </c>
      <c r="P1679" s="7" t="inlineStr">
        <is>
          <t>jobspy</t>
        </is>
      </c>
      <c r="Q1679" s="8" t="inlineStr">
        <is>
          <t>python, sql, docker, kubernetes, git</t>
        </is>
      </c>
      <c r="R1679" s="8" t="inlineStr">
        <is>
          <t>Junior Python Developer backend Docker Kubernetes</t>
        </is>
      </c>
      <c r="S1679" s="19" t="n"/>
      <c r="T1679" s="19" t="n"/>
      <c r="U1679" s="14" t="n">
        <v>46196</v>
      </c>
      <c r="V1679" s="7" t="inlineStr">
        <is>
          <t>v2-cv-accuracy-13b988b18da8ea7d</t>
        </is>
      </c>
    </row>
    <row r="1680" ht="28" customHeight="1">
      <c r="A1680" s="12">
        <f>IF($L1680="applied","Applied",IF($L1680="interview","Interview",IF($L1680="offer","Offer",IF($L1680="rejected","Rejected",IF($L1680="ignore","Ignore",IF($L1680="archive","Archive",IF($L1680="closed","Closed",IF($B1680="","Unscored",IF(AND($B1680&gt;=8,OR($H1680="",$H1680-TODAY()&lt;=14)),"P1 Apply",IF($B1680&gt;=7,"P2 Strong",IF($B1680&gt;=5,"P3 Maybe","P4 Low")))))))))))</f>
        <v/>
      </c>
      <c r="B1680" s="13" t="n">
        <v>0</v>
      </c>
      <c r="C1680" s="12" t="inlineStr">
        <is>
          <t>Unspecified</t>
        </is>
      </c>
      <c r="D1680" s="8" t="inlineStr">
        <is>
          <t>Software Engineer | $75/hr Remote</t>
        </is>
      </c>
      <c r="E1680" s="7" t="inlineStr">
        <is>
          <t>Crossing Hurdles</t>
        </is>
      </c>
      <c r="F1680" s="8" t="inlineStr"/>
      <c r="G1680" s="8" t="n"/>
      <c r="H1680" s="14" t="n"/>
      <c r="I1680" s="15">
        <f>IF($H1680="","",$H1680-TODAY())</f>
        <v/>
      </c>
      <c r="J1680" s="16" t="inlineStr">
        <is>
          <t>Open posting</t>
        </is>
      </c>
      <c r="K1680" s="8" t="inlineStr">
        <is>
          <t>filtered by keyword pre-scan</t>
        </is>
      </c>
      <c r="L1680" s="17" t="inlineStr">
        <is>
          <t>new</t>
        </is>
      </c>
      <c r="M1680" s="18" t="inlineStr"/>
      <c r="N1680" s="7" t="inlineStr">
        <is>
          <t>1d6188ea35c8ee7f1078832c579cd88d70d300b6</t>
        </is>
      </c>
      <c r="O1680" s="14" t="n">
        <v>46192</v>
      </c>
      <c r="P1680" s="7" t="inlineStr">
        <is>
          <t>jobspy</t>
        </is>
      </c>
      <c r="Q1680" s="8" t="inlineStr">
        <is>
          <t>python, c, javascript</t>
        </is>
      </c>
      <c r="R1680" s="8" t="inlineStr">
        <is>
          <t>Graduate Software Engineer Python JavaScript remote</t>
        </is>
      </c>
      <c r="S1680" s="19" t="n"/>
      <c r="T1680" s="19" t="n"/>
      <c r="U1680" s="14" t="n">
        <v>46196</v>
      </c>
      <c r="V1680" s="7" t="inlineStr">
        <is>
          <t>v2-cv-accuracy-13b988b18da8ea7d</t>
        </is>
      </c>
    </row>
    <row r="1681" ht="28" customHeight="1">
      <c r="A1681" s="12">
        <f>IF($L1681="applied","Applied",IF($L1681="interview","Interview",IF($L1681="offer","Offer",IF($L1681="rejected","Rejected",IF($L1681="ignore","Ignore",IF($L1681="archive","Archive",IF($L1681="closed","Closed",IF($B1681="","Unscored",IF(AND($B1681&gt;=8,OR($H1681="",$H1681-TODAY()&lt;=14)),"P1 Apply",IF($B1681&gt;=7,"P2 Strong",IF($B1681&gt;=5,"P3 Maybe","P4 Low")))))))))))</f>
        <v/>
      </c>
      <c r="B1681" s="13" t="n">
        <v>0</v>
      </c>
      <c r="C1681" s="12" t="inlineStr">
        <is>
          <t>Unspecified</t>
        </is>
      </c>
      <c r="D1681" s="8" t="inlineStr">
        <is>
          <t>Software Engineer (Code Review &amp; Quality) | $80/hr Remote</t>
        </is>
      </c>
      <c r="E1681" s="7" t="inlineStr">
        <is>
          <t>Crossing Hurdles</t>
        </is>
      </c>
      <c r="F1681" s="8" t="inlineStr"/>
      <c r="G1681" s="8" t="n"/>
      <c r="H1681" s="14" t="n"/>
      <c r="I1681" s="15">
        <f>IF($H1681="","",$H1681-TODAY())</f>
        <v/>
      </c>
      <c r="J1681" s="16" t="inlineStr">
        <is>
          <t>Open posting</t>
        </is>
      </c>
      <c r="K1681" s="8" t="inlineStr">
        <is>
          <t>filtered by keyword pre-scan</t>
        </is>
      </c>
      <c r="L1681" s="17" t="inlineStr">
        <is>
          <t>new</t>
        </is>
      </c>
      <c r="M1681" s="18" t="inlineStr"/>
      <c r="N1681" s="7" t="inlineStr">
        <is>
          <t>4bfcbc1ef94c844afa1aef5f8effe5b0830747b2</t>
        </is>
      </c>
      <c r="O1681" s="14" t="n">
        <v>46179</v>
      </c>
      <c r="P1681" s="7" t="inlineStr">
        <is>
          <t>jobspy</t>
        </is>
      </c>
      <c r="Q1681" s="8" t="inlineStr">
        <is>
          <t>python, git, c, javascript</t>
        </is>
      </c>
      <c r="R1681" s="8" t="inlineStr">
        <is>
          <t>Graduate Software Engineer Python JavaScript remote</t>
        </is>
      </c>
      <c r="S1681" s="19" t="n"/>
      <c r="T1681" s="19" t="n"/>
      <c r="U1681" s="14" t="n">
        <v>46196</v>
      </c>
      <c r="V1681" s="7" t="inlineStr">
        <is>
          <t>v2-cv-accuracy-13b988b18da8ea7d</t>
        </is>
      </c>
    </row>
    <row r="1682" ht="28" customHeight="1">
      <c r="A1682" s="12">
        <f>IF($L1682="applied","Applied",IF($L1682="interview","Interview",IF($L1682="offer","Offer",IF($L1682="rejected","Rejected",IF($L1682="ignore","Ignore",IF($L1682="archive","Archive",IF($L1682="closed","Closed",IF($B1682="","Unscored",IF(AND($B1682&gt;=8,OR($H1682="",$H1682-TODAY()&lt;=14)),"P1 Apply",IF($B1682&gt;=7,"P2 Strong",IF($B1682&gt;=5,"P3 Maybe","P4 Low")))))))))))</f>
        <v/>
      </c>
      <c r="B1682" s="13" t="n">
        <v>0</v>
      </c>
      <c r="C1682" s="12" t="inlineStr">
        <is>
          <t>Unspecified</t>
        </is>
      </c>
      <c r="D1682" s="8" t="inlineStr">
        <is>
          <t>Coding Specialist (Multi-Language) | $40/hr Remote</t>
        </is>
      </c>
      <c r="E1682" s="7" t="inlineStr">
        <is>
          <t>Crossing Hurdles</t>
        </is>
      </c>
      <c r="F1682" s="8" t="inlineStr"/>
      <c r="G1682" s="8" t="n"/>
      <c r="H1682" s="14" t="n"/>
      <c r="I1682" s="15">
        <f>IF($H1682="","",$H1682-TODAY())</f>
        <v/>
      </c>
      <c r="J1682" s="16" t="inlineStr">
        <is>
          <t>Open posting</t>
        </is>
      </c>
      <c r="K1682" s="8" t="inlineStr">
        <is>
          <t>filtered by keyword pre-scan</t>
        </is>
      </c>
      <c r="L1682" s="17" t="inlineStr">
        <is>
          <t>new</t>
        </is>
      </c>
      <c r="M1682" s="18" t="inlineStr"/>
      <c r="N1682" s="7" t="inlineStr">
        <is>
          <t>cf36e8196c52ba6400cd03c3954811f913953d61</t>
        </is>
      </c>
      <c r="O1682" s="14" t="n">
        <v>46178</v>
      </c>
      <c r="P1682" s="7" t="inlineStr">
        <is>
          <t>jobspy</t>
        </is>
      </c>
      <c r="Q1682" s="8" t="inlineStr">
        <is>
          <t>python, api integration, git, c, javascript</t>
        </is>
      </c>
      <c r="R1682" s="8" t="inlineStr">
        <is>
          <t>Graduate Software Engineer Python JavaScript remote</t>
        </is>
      </c>
      <c r="S1682" s="19" t="n"/>
      <c r="T1682" s="19" t="n"/>
      <c r="U1682" s="14" t="n">
        <v>46196</v>
      </c>
      <c r="V1682" s="7" t="inlineStr">
        <is>
          <t>v2-cv-accuracy-13b988b18da8ea7d</t>
        </is>
      </c>
    </row>
    <row r="1683" ht="28" customHeight="1">
      <c r="A1683" s="12">
        <f>IF($L1683="applied","Applied",IF($L1683="interview","Interview",IF($L1683="offer","Offer",IF($L1683="rejected","Rejected",IF($L1683="ignore","Ignore",IF($L1683="archive","Archive",IF($L1683="closed","Closed",IF($B1683="","Unscored",IF(AND($B1683&gt;=8,OR($H1683="",$H1683-TODAY()&lt;=14)),"P1 Apply",IF($B1683&gt;=7,"P2 Strong",IF($B1683&gt;=5,"P3 Maybe","P4 Low")))))))))))</f>
        <v/>
      </c>
      <c r="B1683" s="13" t="n">
        <v>0</v>
      </c>
      <c r="C1683" s="12" t="inlineStr">
        <is>
          <t>Unspecified</t>
        </is>
      </c>
      <c r="D1683" s="8" t="inlineStr">
        <is>
          <t>Software Engineer (Python, React) | $90/hr Remote</t>
        </is>
      </c>
      <c r="E1683" s="7" t="inlineStr">
        <is>
          <t>Crossing Hurdles</t>
        </is>
      </c>
      <c r="F1683" s="8" t="inlineStr"/>
      <c r="G1683" s="8" t="n"/>
      <c r="H1683" s="14" t="n"/>
      <c r="I1683" s="15">
        <f>IF($H1683="","",$H1683-TODAY())</f>
        <v/>
      </c>
      <c r="J1683" s="16" t="inlineStr">
        <is>
          <t>Open posting</t>
        </is>
      </c>
      <c r="K1683" s="8" t="inlineStr">
        <is>
          <t>filtered by keyword pre-scan</t>
        </is>
      </c>
      <c r="L1683" s="17" t="inlineStr">
        <is>
          <t>new</t>
        </is>
      </c>
      <c r="M1683" s="18" t="inlineStr"/>
      <c r="N1683" s="7" t="inlineStr">
        <is>
          <t>f57697dc0f1831a9af00fc3f3d216eeabf3adf18</t>
        </is>
      </c>
      <c r="O1683" s="14" t="n"/>
      <c r="P1683" s="7" t="inlineStr">
        <is>
          <t>jobspy</t>
        </is>
      </c>
      <c r="Q1683" s="8" t="inlineStr">
        <is>
          <t>python, sql, mysql, docker, git</t>
        </is>
      </c>
      <c r="R1683" s="8" t="inlineStr">
        <is>
          <t>Graduate Software Engineer Python JavaScript remote</t>
        </is>
      </c>
      <c r="S1683" s="19" t="n"/>
      <c r="T1683" s="19" t="n"/>
      <c r="U1683" s="14" t="n">
        <v>46196</v>
      </c>
      <c r="V1683" s="7" t="inlineStr">
        <is>
          <t>v2-cv-accuracy-13b988b18da8ea7d</t>
        </is>
      </c>
    </row>
    <row r="1684" ht="28" customHeight="1">
      <c r="A1684" s="12">
        <f>IF($L1684="applied","Applied",IF($L1684="interview","Interview",IF($L1684="offer","Offer",IF($L1684="rejected","Rejected",IF($L1684="ignore","Ignore",IF($L1684="archive","Archive",IF($L1684="closed","Closed",IF($B1684="","Unscored",IF(AND($B1684&gt;=8,OR($H1684="",$H1684-TODAY()&lt;=14)),"P1 Apply",IF($B1684&gt;=7,"P2 Strong",IF($B1684&gt;=5,"P3 Maybe","P4 Low")))))))))))</f>
        <v/>
      </c>
      <c r="B1684" s="13" t="n">
        <v>0</v>
      </c>
      <c r="C1684" s="12" t="inlineStr">
        <is>
          <t>Senior/Lead</t>
        </is>
      </c>
      <c r="D1684" s="8" t="inlineStr">
        <is>
          <t>Embedded Systems Lead</t>
        </is>
      </c>
      <c r="E1684" s="7" t="inlineStr">
        <is>
          <t>Unicorn Biotechnologies</t>
        </is>
      </c>
      <c r="F1684" s="8" t="inlineStr">
        <is>
          <t>Sheffield, England, UK</t>
        </is>
      </c>
      <c r="G1684" s="8" t="n"/>
      <c r="H1684" s="14" t="n"/>
      <c r="I1684" s="15">
        <f>IF($H1684="","",$H1684-TODAY())</f>
        <v/>
      </c>
      <c r="J1684" s="16" t="inlineStr">
        <is>
          <t>Open posting</t>
        </is>
      </c>
      <c r="K1684" s="8" t="inlineStr">
        <is>
          <t>filtered by keyword pre-scan</t>
        </is>
      </c>
      <c r="L1684" s="17" t="inlineStr">
        <is>
          <t>new</t>
        </is>
      </c>
      <c r="M1684" s="18" t="inlineStr"/>
      <c r="N1684" s="7" t="inlineStr">
        <is>
          <t>a27e72150f91f661823456cc8c1ba4a49fc76e20</t>
        </is>
      </c>
      <c r="O1684" s="14" t="n">
        <v>46183</v>
      </c>
      <c r="P1684" s="7" t="inlineStr">
        <is>
          <t>jobspy</t>
        </is>
      </c>
      <c r="Q1684" s="8" t="inlineStr">
        <is>
          <t>python, stm32, c, embedded systems, hardware design</t>
        </is>
      </c>
      <c r="R1684" s="8" t="inlineStr">
        <is>
          <t>EngD Research Engineer electronics embedded systems</t>
        </is>
      </c>
      <c r="S1684" s="19" t="n"/>
      <c r="T1684" s="19" t="n"/>
      <c r="U1684" s="14" t="n">
        <v>46196</v>
      </c>
      <c r="V1684" s="7" t="inlineStr">
        <is>
          <t>v2-cv-accuracy-13b988b18da8ea7d</t>
        </is>
      </c>
    </row>
    <row r="1685" ht="28" customHeight="1">
      <c r="A1685" s="12">
        <f>IF($L1685="applied","Applied",IF($L1685="interview","Interview",IF($L1685="offer","Offer",IF($L1685="rejected","Rejected",IF($L1685="ignore","Ignore",IF($L1685="archive","Archive",IF($L1685="closed","Closed",IF($B1685="","Unscored",IF(AND($B1685&gt;=8,OR($H1685="",$H1685-TODAY()&lt;=14)),"P1 Apply",IF($B1685&gt;=7,"P2 Strong",IF($B1685&gt;=5,"P3 Maybe","P4 Low")))))))))))</f>
        <v/>
      </c>
      <c r="B1685" s="13" t="n">
        <v>0</v>
      </c>
      <c r="C1685" s="12" t="inlineStr">
        <is>
          <t>Senior/Lead</t>
        </is>
      </c>
      <c r="D1685" s="8" t="inlineStr">
        <is>
          <t>Software Integration &amp; Verification Lead</t>
        </is>
      </c>
      <c r="E1685" s="7" t="inlineStr">
        <is>
          <t>ALTEN</t>
        </is>
      </c>
      <c r="F1685" s="8" t="inlineStr">
        <is>
          <t>Reading, England, UK</t>
        </is>
      </c>
      <c r="G1685" s="8" t="n"/>
      <c r="H1685" s="14" t="n"/>
      <c r="I1685" s="15">
        <f>IF($H1685="","",$H1685-TODAY())</f>
        <v/>
      </c>
      <c r="J1685" s="16" t="inlineStr">
        <is>
          <t>Open posting</t>
        </is>
      </c>
      <c r="K1685" s="8" t="inlineStr">
        <is>
          <t>filtered by keyword pre-scan</t>
        </is>
      </c>
      <c r="L1685" s="17" t="inlineStr">
        <is>
          <t>new</t>
        </is>
      </c>
      <c r="M1685" s="18" t="inlineStr"/>
      <c r="N1685" s="7" t="inlineStr">
        <is>
          <t>43eb1c30acdd1465d996fd75783533f9f823c460</t>
        </is>
      </c>
      <c r="O1685" s="14" t="n">
        <v>46176</v>
      </c>
      <c r="P1685" s="7" t="inlineStr">
        <is>
          <t>jobspy</t>
        </is>
      </c>
      <c r="Q1685" s="8" t="inlineStr">
        <is>
          <t>docker, c, embedded systems</t>
        </is>
      </c>
      <c r="R1685" s="8" t="inlineStr">
        <is>
          <t>EngD Research Engineer electronics embedded systems</t>
        </is>
      </c>
      <c r="S1685" s="19" t="n"/>
      <c r="T1685" s="19" t="n"/>
      <c r="U1685" s="14" t="n">
        <v>46196</v>
      </c>
      <c r="V1685" s="7" t="inlineStr">
        <is>
          <t>v2-cv-accuracy-13b988b18da8ea7d</t>
        </is>
      </c>
    </row>
    <row r="1686" ht="28" customHeight="1">
      <c r="A1686" s="12">
        <f>IF($L1686="applied","Applied",IF($L1686="interview","Interview",IF($L1686="offer","Offer",IF($L1686="rejected","Rejected",IF($L1686="ignore","Ignore",IF($L1686="archive","Archive",IF($L1686="closed","Closed",IF($B1686="","Unscored",IF(AND($B1686&gt;=8,OR($H1686="",$H1686-TODAY()&lt;=14)),"P1 Apply",IF($B1686&gt;=7,"P2 Strong",IF($B1686&gt;=5,"P3 Maybe","P4 Low")))))))))))</f>
        <v/>
      </c>
      <c r="B1686" s="13" t="n">
        <v>0</v>
      </c>
      <c r="C1686" s="12" t="inlineStr">
        <is>
          <t>Senior/Lead</t>
        </is>
      </c>
      <c r="D1686" s="8" t="inlineStr">
        <is>
          <t>Software Integration &amp; Verification Lead</t>
        </is>
      </c>
      <c r="E1686" s="7" t="inlineStr">
        <is>
          <t>ALTEN LTD - UK</t>
        </is>
      </c>
      <c r="F1686" s="8" t="inlineStr">
        <is>
          <t>Reading, England, UK</t>
        </is>
      </c>
      <c r="G1686" s="8" t="n"/>
      <c r="H1686" s="14" t="n"/>
      <c r="I1686" s="15">
        <f>IF($H1686="","",$H1686-TODAY())</f>
        <v/>
      </c>
      <c r="J1686" s="16" t="inlineStr">
        <is>
          <t>Open posting</t>
        </is>
      </c>
      <c r="K1686" s="8" t="inlineStr">
        <is>
          <t>filtered by keyword pre-scan</t>
        </is>
      </c>
      <c r="L1686" s="17" t="inlineStr">
        <is>
          <t>new</t>
        </is>
      </c>
      <c r="M1686" s="18" t="inlineStr"/>
      <c r="N1686" s="7" t="inlineStr">
        <is>
          <t>666d3eab61963d0d38d87f4161b25993ad10938a</t>
        </is>
      </c>
      <c r="O1686" s="14" t="n">
        <v>46176</v>
      </c>
      <c r="P1686" s="7" t="inlineStr">
        <is>
          <t>jobspy</t>
        </is>
      </c>
      <c r="Q1686" s="8" t="inlineStr">
        <is>
          <t>docker, c, embedded systems</t>
        </is>
      </c>
      <c r="R1686" s="8" t="inlineStr">
        <is>
          <t>EngD Research Engineer electronics embedded systems</t>
        </is>
      </c>
      <c r="S1686" s="19" t="n"/>
      <c r="T1686" s="19" t="n"/>
      <c r="U1686" s="14" t="n">
        <v>46196</v>
      </c>
      <c r="V1686" s="7" t="inlineStr">
        <is>
          <t>v2-cv-accuracy-13b988b18da8ea7d</t>
        </is>
      </c>
    </row>
    <row r="1687" ht="28" customHeight="1">
      <c r="A1687" s="12">
        <f>IF($L1687="applied","Applied",IF($L1687="interview","Interview",IF($L1687="offer","Offer",IF($L1687="rejected","Rejected",IF($L1687="ignore","Ignore",IF($L1687="archive","Archive",IF($L1687="closed","Closed",IF($B1687="","Unscored",IF(AND($B1687&gt;=8,OR($H1687="",$H1687-TODAY()&lt;=14)),"P1 Apply",IF($B1687&gt;=7,"P2 Strong",IF($B1687&gt;=5,"P3 Maybe","P4 Low")))))))))))</f>
        <v/>
      </c>
      <c r="B1687" s="13" t="n">
        <v>0</v>
      </c>
      <c r="C1687" s="12" t="inlineStr">
        <is>
          <t>Senior/Lead</t>
        </is>
      </c>
      <c r="D1687" s="8" t="inlineStr">
        <is>
          <t>Senior Flutter Developer</t>
        </is>
      </c>
      <c r="E1687" s="7" t="inlineStr">
        <is>
          <t>iO Associates</t>
        </is>
      </c>
      <c r="F1687" s="8" t="inlineStr">
        <is>
          <t>Scotland, United Kingdom</t>
        </is>
      </c>
      <c r="G1687" s="8" t="n"/>
      <c r="H1687" s="14" t="n"/>
      <c r="I1687" s="15">
        <f>IF($H1687="","",$H1687-TODAY())</f>
        <v/>
      </c>
      <c r="J1687" s="16" t="inlineStr">
        <is>
          <t>Open posting</t>
        </is>
      </c>
      <c r="K1687" s="8" t="inlineStr">
        <is>
          <t>filtered by keyword pre-scan</t>
        </is>
      </c>
      <c r="L1687" s="17" t="inlineStr">
        <is>
          <t>new</t>
        </is>
      </c>
      <c r="M1687" s="18" t="inlineStr"/>
      <c r="N1687" s="7" t="inlineStr">
        <is>
          <t>baae7297d802d9252aba8e082bfc40eff90c2af9</t>
        </is>
      </c>
      <c r="O1687" s="14" t="n"/>
      <c r="P1687" s="7" t="inlineStr">
        <is>
          <t>jobspy</t>
        </is>
      </c>
      <c r="Q1687" s="8" t="inlineStr">
        <is>
          <t>c, embedded systems</t>
        </is>
      </c>
      <c r="R1687" s="8" t="inlineStr">
        <is>
          <t>EngD Research Engineer electronics embedded systems</t>
        </is>
      </c>
      <c r="S1687" s="19" t="n"/>
      <c r="T1687" s="19" t="n"/>
      <c r="U1687" s="14" t="n">
        <v>46196</v>
      </c>
      <c r="V1687" s="7" t="inlineStr">
        <is>
          <t>v2-cv-accuracy-13b988b18da8ea7d</t>
        </is>
      </c>
    </row>
    <row r="1688" ht="28" customHeight="1">
      <c r="A1688" s="12">
        <f>IF($L1688="applied","Applied",IF($L1688="interview","Interview",IF($L1688="offer","Offer",IF($L1688="rejected","Rejected",IF($L1688="ignore","Ignore",IF($L1688="archive","Archive",IF($L1688="closed","Closed",IF($B1688="","Unscored",IF(AND($B1688&gt;=8,OR($H1688="",$H1688-TODAY()&lt;=14)),"P1 Apply",IF($B1688&gt;=7,"P2 Strong",IF($B1688&gt;=5,"P3 Maybe","P4 Low")))))))))))</f>
        <v/>
      </c>
      <c r="B1688" s="13" t="n">
        <v>0</v>
      </c>
      <c r="C1688" s="12" t="inlineStr">
        <is>
          <t>Manager/Owner</t>
        </is>
      </c>
      <c r="D1688" s="8" t="inlineStr">
        <is>
          <t>Credit Model Validation Manager</t>
        </is>
      </c>
      <c r="E1688" s="7" t="inlineStr">
        <is>
          <t>Monzo</t>
        </is>
      </c>
      <c r="F1688" s="8" t="inlineStr">
        <is>
          <t>Cardiff, London or Remote (UK)</t>
        </is>
      </c>
      <c r="G1688" s="8" t="n"/>
      <c r="H1688" s="14" t="n"/>
      <c r="I1688" s="15">
        <f>IF($H1688="","",$H1688-TODAY())</f>
        <v/>
      </c>
      <c r="J1688" s="16" t="inlineStr">
        <is>
          <t>Open posting</t>
        </is>
      </c>
      <c r="K1688" s="8" t="inlineStr">
        <is>
          <t>filtered by keyword pre-scan</t>
        </is>
      </c>
      <c r="L1688" s="17" t="inlineStr">
        <is>
          <t>new</t>
        </is>
      </c>
      <c r="M1688" s="18" t="inlineStr"/>
      <c r="N1688" s="7" t="inlineStr">
        <is>
          <t>3566f0f47adb0a90b97604bb3035a6b8ade6f2b1</t>
        </is>
      </c>
      <c r="O1688" s="14" t="n">
        <v>46196</v>
      </c>
      <c r="P1688" s="7" t="inlineStr">
        <is>
          <t>greenhouse:monzo</t>
        </is>
      </c>
      <c r="Q1688" s="8" t="inlineStr">
        <is>
          <t>c</t>
        </is>
      </c>
      <c r="R1688" s="8" t="n"/>
      <c r="S1688" s="19" t="n"/>
      <c r="T1688" s="19" t="n"/>
      <c r="U1688" s="14" t="n">
        <v>46196</v>
      </c>
      <c r="V1688" s="7" t="inlineStr">
        <is>
          <t>v2-cv-accuracy-13b988b18da8ea7d</t>
        </is>
      </c>
    </row>
    <row r="1689" ht="28" customHeight="1">
      <c r="A1689" s="12">
        <f>IF($L1689="applied","Applied",IF($L1689="interview","Interview",IF($L1689="offer","Offer",IF($L1689="rejected","Rejected",IF($L1689="ignore","Ignore",IF($L1689="archive","Archive",IF($L1689="closed","Closed",IF($B1689="","Unscored",IF(AND($B1689&gt;=8,OR($H1689="",$H1689-TODAY()&lt;=14)),"P1 Apply",IF($B1689&gt;=7,"P2 Strong",IF($B1689&gt;=5,"P3 Maybe","P4 Low")))))))))))</f>
        <v/>
      </c>
      <c r="B1689" s="13" t="n">
        <v>0</v>
      </c>
      <c r="C1689" s="12" t="inlineStr">
        <is>
          <t>Senior/Lead</t>
        </is>
      </c>
      <c r="D1689" s="8" t="inlineStr">
        <is>
          <t>Credit Risk Director, Business Borrowing</t>
        </is>
      </c>
      <c r="E1689" s="7" t="inlineStr">
        <is>
          <t>Monzo</t>
        </is>
      </c>
      <c r="F1689" s="8" t="inlineStr">
        <is>
          <t>Cardiff, London or Remote (UK)</t>
        </is>
      </c>
      <c r="G1689" s="8" t="n"/>
      <c r="H1689" s="14" t="n"/>
      <c r="I1689" s="15">
        <f>IF($H1689="","",$H1689-TODAY())</f>
        <v/>
      </c>
      <c r="J1689" s="16" t="inlineStr">
        <is>
          <t>Open posting</t>
        </is>
      </c>
      <c r="K1689" s="8" t="inlineStr">
        <is>
          <t>filtered by keyword pre-scan</t>
        </is>
      </c>
      <c r="L1689" s="17" t="inlineStr">
        <is>
          <t>new</t>
        </is>
      </c>
      <c r="M1689" s="18" t="inlineStr"/>
      <c r="N1689" s="7" t="inlineStr">
        <is>
          <t>3ee18e7bf624ebb9a8468c5384bb0282daaff2f8</t>
        </is>
      </c>
      <c r="O1689" s="14" t="n">
        <v>46196</v>
      </c>
      <c r="P1689" s="7" t="inlineStr">
        <is>
          <t>greenhouse:monzo</t>
        </is>
      </c>
      <c r="Q1689" s="8" t="inlineStr">
        <is>
          <t>c</t>
        </is>
      </c>
      <c r="R1689" s="8" t="n"/>
      <c r="S1689" s="19" t="n"/>
      <c r="T1689" s="19" t="n"/>
      <c r="U1689" s="14" t="n">
        <v>46196</v>
      </c>
      <c r="V1689" s="7" t="inlineStr">
        <is>
          <t>v2-cv-accuracy-13b988b18da8ea7d</t>
        </is>
      </c>
    </row>
    <row r="1690" ht="28" customHeight="1">
      <c r="A1690" s="12">
        <f>IF($L1690="applied","Applied",IF($L1690="interview","Interview",IF($L1690="offer","Offer",IF($L1690="rejected","Rejected",IF($L1690="ignore","Ignore",IF($L1690="archive","Archive",IF($L1690="closed","Closed",IF($B1690="","Unscored",IF(AND($B1690&gt;=8,OR($H1690="",$H1690-TODAY()&lt;=14)),"P1 Apply",IF($B1690&gt;=7,"P2 Strong",IF($B1690&gt;=5,"P3 Maybe","P4 Low")))))))))))</f>
        <v/>
      </c>
      <c r="B1690" s="13" t="n">
        <v>0</v>
      </c>
      <c r="C1690" s="12" t="inlineStr">
        <is>
          <t>Senior/Lead</t>
        </is>
      </c>
      <c r="D1690" s="8" t="inlineStr">
        <is>
          <t>Data Director, Workforce Systems &amp; Service Performance</t>
        </is>
      </c>
      <c r="E1690" s="7" t="inlineStr">
        <is>
          <t>Monzo</t>
        </is>
      </c>
      <c r="F1690" s="8" t="inlineStr">
        <is>
          <t>Cardiff, London or Remote (UK); London</t>
        </is>
      </c>
      <c r="G1690" s="8" t="n"/>
      <c r="H1690" s="14" t="n"/>
      <c r="I1690" s="15">
        <f>IF($H1690="","",$H1690-TODAY())</f>
        <v/>
      </c>
      <c r="J1690" s="16" t="inlineStr">
        <is>
          <t>Open posting</t>
        </is>
      </c>
      <c r="K1690" s="8" t="inlineStr">
        <is>
          <t>filtered by keyword pre-scan</t>
        </is>
      </c>
      <c r="L1690" s="17" t="inlineStr">
        <is>
          <t>new</t>
        </is>
      </c>
      <c r="M1690" s="18" t="inlineStr"/>
      <c r="N1690" s="7" t="inlineStr">
        <is>
          <t>7093ffe26af5190ae788d3a646d46a92c1ddcbca</t>
        </is>
      </c>
      <c r="O1690" s="14" t="n">
        <v>46196</v>
      </c>
      <c r="P1690" s="7" t="inlineStr">
        <is>
          <t>greenhouse:monzo</t>
        </is>
      </c>
      <c r="Q1690" s="8" t="inlineStr">
        <is>
          <t>c</t>
        </is>
      </c>
      <c r="R1690" s="8" t="n"/>
      <c r="S1690" s="19" t="n"/>
      <c r="T1690" s="19" t="n"/>
      <c r="U1690" s="14" t="n">
        <v>46196</v>
      </c>
      <c r="V1690" s="7" t="inlineStr">
        <is>
          <t>v2-cv-accuracy-13b988b18da8ea7d</t>
        </is>
      </c>
    </row>
    <row r="1691" ht="28" customHeight="1">
      <c r="A1691" s="12">
        <f>IF($L1691="applied","Applied",IF($L1691="interview","Interview",IF($L1691="offer","Offer",IF($L1691="rejected","Rejected",IF($L1691="ignore","Ignore",IF($L1691="archive","Archive",IF($L1691="closed","Closed",IF($B1691="","Unscored",IF(AND($B1691&gt;=8,OR($H1691="",$H1691-TODAY()&lt;=14)),"P1 Apply",IF($B1691&gt;=7,"P2 Strong",IF($B1691&gt;=5,"P3 Maybe","P4 Low")))))))))))</f>
        <v/>
      </c>
      <c r="B1691" s="13" t="n">
        <v>0</v>
      </c>
      <c r="C1691" s="12" t="inlineStr">
        <is>
          <t>Senior/Lead</t>
        </is>
      </c>
      <c r="D1691" s="8" t="inlineStr">
        <is>
          <t>Director of Partnerships</t>
        </is>
      </c>
      <c r="E1691" s="7" t="inlineStr">
        <is>
          <t>Monzo</t>
        </is>
      </c>
      <c r="F1691" s="8" t="inlineStr">
        <is>
          <t>London</t>
        </is>
      </c>
      <c r="G1691" s="8" t="n"/>
      <c r="H1691" s="14" t="n"/>
      <c r="I1691" s="15">
        <f>IF($H1691="","",$H1691-TODAY())</f>
        <v/>
      </c>
      <c r="J1691" s="16" t="inlineStr">
        <is>
          <t>Open posting</t>
        </is>
      </c>
      <c r="K1691" s="8" t="inlineStr">
        <is>
          <t>filtered by keyword pre-scan</t>
        </is>
      </c>
      <c r="L1691" s="17" t="inlineStr">
        <is>
          <t>new</t>
        </is>
      </c>
      <c r="M1691" s="18" t="inlineStr"/>
      <c r="N1691" s="7" t="inlineStr">
        <is>
          <t>bc0e082a529e5b11247b9bfd0eb6f06b3d73d558</t>
        </is>
      </c>
      <c r="O1691" s="14" t="n">
        <v>46196</v>
      </c>
      <c r="P1691" s="7" t="inlineStr">
        <is>
          <t>greenhouse:monzo</t>
        </is>
      </c>
      <c r="Q1691" s="8" t="inlineStr">
        <is>
          <t>c</t>
        </is>
      </c>
      <c r="R1691" s="8" t="n"/>
      <c r="S1691" s="19" t="n"/>
      <c r="T1691" s="19" t="n"/>
      <c r="U1691" s="14" t="n">
        <v>46196</v>
      </c>
      <c r="V1691" s="7" t="inlineStr">
        <is>
          <t>v2-cv-accuracy-13b988b18da8ea7d</t>
        </is>
      </c>
    </row>
    <row r="1692" ht="28" customHeight="1">
      <c r="A1692" s="12">
        <f>IF($L1692="applied","Applied",IF($L1692="interview","Interview",IF($L1692="offer","Offer",IF($L1692="rejected","Rejected",IF($L1692="ignore","Ignore",IF($L1692="archive","Archive",IF($L1692="closed","Closed",IF($B1692="","Unscored",IF(AND($B1692&gt;=8,OR($H1692="",$H1692-TODAY()&lt;=14)),"P1 Apply",IF($B1692&gt;=7,"P2 Strong",IF($B1692&gt;=5,"P3 Maybe","P4 Low")))))))))))</f>
        <v/>
      </c>
      <c r="B1692" s="13" t="n">
        <v>0</v>
      </c>
      <c r="C1692" s="12" t="inlineStr">
        <is>
          <t>Manager/Owner</t>
        </is>
      </c>
      <c r="D1692" s="8" t="inlineStr">
        <is>
          <t>PR Manager, Expansion Markets</t>
        </is>
      </c>
      <c r="E1692" s="7" t="inlineStr">
        <is>
          <t>Monzo</t>
        </is>
      </c>
      <c r="F1692" s="8" t="inlineStr">
        <is>
          <t>Barcelona</t>
        </is>
      </c>
      <c r="G1692" s="8" t="n"/>
      <c r="H1692" s="14" t="n"/>
      <c r="I1692" s="15">
        <f>IF($H1692="","",$H1692-TODAY())</f>
        <v/>
      </c>
      <c r="J1692" s="16" t="inlineStr">
        <is>
          <t>Open posting</t>
        </is>
      </c>
      <c r="K1692" s="8" t="inlineStr">
        <is>
          <t>filtered by keyword pre-scan</t>
        </is>
      </c>
      <c r="L1692" s="17" t="inlineStr">
        <is>
          <t>new</t>
        </is>
      </c>
      <c r="M1692" s="18" t="inlineStr"/>
      <c r="N1692" s="7" t="inlineStr">
        <is>
          <t>ece17b88f3869cbd5f735cfeffeb23932cae51a1</t>
        </is>
      </c>
      <c r="O1692" s="14" t="n">
        <v>46196</v>
      </c>
      <c r="P1692" s="7" t="inlineStr">
        <is>
          <t>greenhouse:monzo</t>
        </is>
      </c>
      <c r="Q1692" s="8" t="inlineStr">
        <is>
          <t>c</t>
        </is>
      </c>
      <c r="R1692" s="8" t="n"/>
      <c r="S1692" s="19" t="n"/>
      <c r="T1692" s="19" t="n"/>
      <c r="U1692" s="14" t="n">
        <v>46196</v>
      </c>
      <c r="V1692" s="7" t="inlineStr">
        <is>
          <t>v2-cv-accuracy-13b988b18da8ea7d</t>
        </is>
      </c>
    </row>
    <row r="1693" ht="28" customHeight="1">
      <c r="A1693" s="12">
        <f>IF($L1693="applied","Applied",IF($L1693="interview","Interview",IF($L1693="offer","Offer",IF($L1693="rejected","Rejected",IF($L1693="ignore","Ignore",IF($L1693="archive","Archive",IF($L1693="closed","Closed",IF($B1693="","Unscored",IF(AND($B1693&gt;=8,OR($H1693="",$H1693-TODAY()&lt;=14)),"P1 Apply",IF($B1693&gt;=7,"P2 Strong",IF($B1693&gt;=5,"P3 Maybe","P4 Low")))))))))))</f>
        <v/>
      </c>
      <c r="B1693" s="13" t="n">
        <v>0</v>
      </c>
      <c r="C1693" s="12" t="inlineStr">
        <is>
          <t>Manager/Owner</t>
        </is>
      </c>
      <c r="D1693" s="8" t="inlineStr">
        <is>
          <t>PR Manager, Expansion Markets</t>
        </is>
      </c>
      <c r="E1693" s="7" t="inlineStr">
        <is>
          <t>Monzo</t>
        </is>
      </c>
      <c r="F1693" s="8" t="inlineStr">
        <is>
          <t>Madrid</t>
        </is>
      </c>
      <c r="G1693" s="8" t="n"/>
      <c r="H1693" s="14" t="n"/>
      <c r="I1693" s="15">
        <f>IF($H1693="","",$H1693-TODAY())</f>
        <v/>
      </c>
      <c r="J1693" s="16" t="inlineStr">
        <is>
          <t>Open posting</t>
        </is>
      </c>
      <c r="K1693" s="8" t="inlineStr">
        <is>
          <t>filtered by keyword pre-scan</t>
        </is>
      </c>
      <c r="L1693" s="17" t="inlineStr">
        <is>
          <t>new</t>
        </is>
      </c>
      <c r="M1693" s="18" t="inlineStr"/>
      <c r="N1693" s="7" t="inlineStr">
        <is>
          <t>ffca8c8d0f73f3c05e736942d4bf16bf97fae432</t>
        </is>
      </c>
      <c r="O1693" s="14" t="n">
        <v>46196</v>
      </c>
      <c r="P1693" s="7" t="inlineStr">
        <is>
          <t>greenhouse:monzo</t>
        </is>
      </c>
      <c r="Q1693" s="8" t="inlineStr">
        <is>
          <t>c</t>
        </is>
      </c>
      <c r="R1693" s="8" t="n"/>
      <c r="S1693" s="19" t="n"/>
      <c r="T1693" s="19" t="n"/>
      <c r="U1693" s="14" t="n">
        <v>46196</v>
      </c>
      <c r="V1693" s="7" t="inlineStr">
        <is>
          <t>v2-cv-accuracy-13b988b18da8ea7d</t>
        </is>
      </c>
    </row>
    <row r="1694" ht="28" customHeight="1">
      <c r="A1694" s="12">
        <f>IF($L1694="applied","Applied",IF($L1694="interview","Interview",IF($L1694="offer","Offer",IF($L1694="rejected","Rejected",IF($L1694="ignore","Ignore",IF($L1694="archive","Archive",IF($L1694="closed","Closed",IF($B1694="","Unscored",IF(AND($B1694&gt;=8,OR($H1694="",$H1694-TODAY()&lt;=14)),"P1 Apply",IF($B1694&gt;=7,"P2 Strong",IF($B1694&gt;=5,"P3 Maybe","P4 Low")))))))))))</f>
        <v/>
      </c>
      <c r="B1694" s="13" t="n">
        <v>0</v>
      </c>
      <c r="C1694" s="12" t="inlineStr">
        <is>
          <t>Senior/Lead</t>
        </is>
      </c>
      <c r="D1694" s="8" t="inlineStr">
        <is>
          <t>Amazon Senior Performance Manager</t>
        </is>
      </c>
      <c r="E1694" s="7" t="inlineStr">
        <is>
          <t>Dyson</t>
        </is>
      </c>
      <c r="F1694" s="8" t="inlineStr">
        <is>
          <t>Netherlands - Amsterdam Office</t>
        </is>
      </c>
      <c r="G1694" s="8" t="n"/>
      <c r="H1694" s="14" t="n"/>
      <c r="I1694" s="15">
        <f>IF($H1694="","",$H1694-TODAY())</f>
        <v/>
      </c>
      <c r="J1694" s="16" t="inlineStr">
        <is>
          <t>Open posting</t>
        </is>
      </c>
      <c r="K1694" s="8" t="inlineStr">
        <is>
          <t>filtered by keyword pre-scan</t>
        </is>
      </c>
      <c r="L1694" s="17" t="inlineStr">
        <is>
          <t>new</t>
        </is>
      </c>
      <c r="M1694" s="18" t="inlineStr"/>
      <c r="N1694" s="7" t="inlineStr">
        <is>
          <t>c6dd089fc61c05c5a07c3f91ce865b9e61aa0ecb</t>
        </is>
      </c>
      <c r="O1694" s="14" t="n"/>
      <c r="P1694" s="7" t="inlineStr">
        <is>
          <t>workday</t>
        </is>
      </c>
      <c r="Q1694" s="8" t="inlineStr">
        <is>
          <t>c</t>
        </is>
      </c>
      <c r="R1694" s="8" t="n"/>
      <c r="S1694" s="19" t="n"/>
      <c r="T1694" s="19" t="n"/>
      <c r="U1694" s="14" t="n">
        <v>46196</v>
      </c>
      <c r="V1694" s="7" t="inlineStr">
        <is>
          <t>v2-cv-accuracy-13b988b18da8ea7d</t>
        </is>
      </c>
    </row>
    <row r="1695" ht="28" customHeight="1">
      <c r="A1695" s="12">
        <f>IF($L1695="applied","Applied",IF($L1695="interview","Interview",IF($L1695="offer","Offer",IF($L1695="rejected","Rejected",IF($L1695="ignore","Ignore",IF($L1695="archive","Archive",IF($L1695="closed","Closed",IF($B1695="","Unscored",IF(AND($B1695&gt;=8,OR($H1695="",$H1695-TODAY()&lt;=14)),"P1 Apply",IF($B1695&gt;=7,"P2 Strong",IF($B1695&gt;=5,"P3 Maybe","P4 Low")))))))))))</f>
        <v/>
      </c>
      <c r="B1695" s="13" t="n">
        <v>0</v>
      </c>
      <c r="C1695" s="12" t="inlineStr">
        <is>
          <t>Unspecified</t>
        </is>
      </c>
      <c r="D1695" s="8" t="inlineStr">
        <is>
          <t>Dyson Expert - Sanliurfa Piazza AVM (Part Time)</t>
        </is>
      </c>
      <c r="E1695" s="7" t="inlineStr">
        <is>
          <t>Dyson</t>
        </is>
      </c>
      <c r="F1695" s="8" t="inlineStr">
        <is>
          <t>Turkey - Sanliurfa Piazza Demo Zone</t>
        </is>
      </c>
      <c r="G1695" s="8" t="n"/>
      <c r="H1695" s="14" t="n"/>
      <c r="I1695" s="15">
        <f>IF($H1695="","",$H1695-TODAY())</f>
        <v/>
      </c>
      <c r="J1695" s="16" t="inlineStr">
        <is>
          <t>Open posting</t>
        </is>
      </c>
      <c r="K1695" s="8" t="inlineStr">
        <is>
          <t>filtered by keyword pre-scan</t>
        </is>
      </c>
      <c r="L1695" s="17" t="inlineStr">
        <is>
          <t>new</t>
        </is>
      </c>
      <c r="M1695" s="18" t="inlineStr"/>
      <c r="N1695" s="7" t="inlineStr">
        <is>
          <t>0f0c2dbe5fcbcbe6180ed3bd463c96202e78e037</t>
        </is>
      </c>
      <c r="O1695" s="14" t="n"/>
      <c r="P1695" s="7" t="inlineStr">
        <is>
          <t>workday</t>
        </is>
      </c>
      <c r="Q1695" s="8" t="inlineStr"/>
      <c r="R1695" s="8" t="n"/>
      <c r="S1695" s="19" t="n"/>
      <c r="T1695" s="19" t="n"/>
      <c r="U1695" s="14" t="n">
        <v>46196</v>
      </c>
      <c r="V1695" s="7" t="inlineStr">
        <is>
          <t>v2-cv-accuracy-13b988b18da8ea7d</t>
        </is>
      </c>
    </row>
    <row r="1696" ht="28" customHeight="1">
      <c r="A1696" s="12">
        <f>IF($L1696="applied","Applied",IF($L1696="interview","Interview",IF($L1696="offer","Offer",IF($L1696="rejected","Rejected",IF($L1696="ignore","Ignore",IF($L1696="archive","Archive",IF($L1696="closed","Closed",IF($B1696="","Unscored",IF(AND($B1696&gt;=8,OR($H1696="",$H1696-TODAY()&lt;=14)),"P1 Apply",IF($B1696&gt;=7,"P2 Strong",IF($B1696&gt;=5,"P3 Maybe","P4 Low")))))))))))</f>
        <v/>
      </c>
      <c r="B1696" s="13" t="n">
        <v>0</v>
      </c>
      <c r="C1696" s="12" t="inlineStr">
        <is>
          <t>Unspecified</t>
        </is>
      </c>
      <c r="D1696" s="8" t="inlineStr">
        <is>
          <t>Dyson Expert - Kahramanmaraş Piazza AVM (Part Time)</t>
        </is>
      </c>
      <c r="E1696" s="7" t="inlineStr">
        <is>
          <t>Dyson</t>
        </is>
      </c>
      <c r="F1696" s="8" t="inlineStr">
        <is>
          <t>Turkey - Kahramanmaras Piazza Demo Zone</t>
        </is>
      </c>
      <c r="G1696" s="8" t="n"/>
      <c r="H1696" s="14" t="n"/>
      <c r="I1696" s="15">
        <f>IF($H1696="","",$H1696-TODAY())</f>
        <v/>
      </c>
      <c r="J1696" s="16" t="inlineStr">
        <is>
          <t>Open posting</t>
        </is>
      </c>
      <c r="K1696" s="8" t="inlineStr">
        <is>
          <t>filtered by keyword pre-scan</t>
        </is>
      </c>
      <c r="L1696" s="17" t="inlineStr">
        <is>
          <t>new</t>
        </is>
      </c>
      <c r="M1696" s="18" t="inlineStr"/>
      <c r="N1696" s="7" t="inlineStr">
        <is>
          <t>3c3928ff1546d087ab225b42019f717ab27a62a9</t>
        </is>
      </c>
      <c r="O1696" s="14" t="n"/>
      <c r="P1696" s="7" t="inlineStr">
        <is>
          <t>workday</t>
        </is>
      </c>
      <c r="Q1696" s="8" t="inlineStr"/>
      <c r="R1696" s="8" t="n"/>
      <c r="S1696" s="19" t="n"/>
      <c r="T1696" s="19" t="n"/>
      <c r="U1696" s="14" t="n">
        <v>46196</v>
      </c>
      <c r="V1696" s="7" t="inlineStr">
        <is>
          <t>v2-cv-accuracy-13b988b18da8ea7d</t>
        </is>
      </c>
    </row>
    <row r="1697" ht="28" customHeight="1">
      <c r="A1697" s="12">
        <f>IF($L1697="applied","Applied",IF($L1697="interview","Interview",IF($L1697="offer","Offer",IF($L1697="rejected","Rejected",IF($L1697="ignore","Ignore",IF($L1697="archive","Archive",IF($L1697="closed","Closed",IF($B1697="","Unscored",IF(AND($B1697&gt;=8,OR($H1697="",$H1697-TODAY()&lt;=14)),"P1 Apply",IF($B1697&gt;=7,"P2 Strong",IF($B1697&gt;=5,"P3 Maybe","P4 Low")))))))))))</f>
        <v/>
      </c>
      <c r="B1697" s="13" t="n">
        <v>0</v>
      </c>
      <c r="C1697" s="12" t="inlineStr">
        <is>
          <t>Senior/Lead</t>
        </is>
      </c>
      <c r="D1697" s="8" t="inlineStr">
        <is>
          <t>Senior Software Engineer - C++, System Software</t>
        </is>
      </c>
      <c r="E1697" s="7" t="inlineStr">
        <is>
          <t>Roku</t>
        </is>
      </c>
      <c r="F1697" s="8" t="inlineStr">
        <is>
          <t>Cambridge, England, UK</t>
        </is>
      </c>
      <c r="G1697" s="8" t="n"/>
      <c r="H1697" s="14" t="n"/>
      <c r="I1697" s="15">
        <f>IF($H1697="","",$H1697-TODAY())</f>
        <v/>
      </c>
      <c r="J1697" s="16" t="inlineStr">
        <is>
          <t>Open posting</t>
        </is>
      </c>
      <c r="K1697" s="8" t="inlineStr">
        <is>
          <t>filtered by keyword pre-scan</t>
        </is>
      </c>
      <c r="L1697" s="17" t="inlineStr">
        <is>
          <t>new</t>
        </is>
      </c>
      <c r="M1697" s="18" t="inlineStr"/>
      <c r="N1697" s="7" t="inlineStr">
        <is>
          <t>981053dd4f29f45f7a55ddc12e11437a77314f12</t>
        </is>
      </c>
      <c r="O1697" s="14" t="n">
        <v>46177</v>
      </c>
      <c r="P1697" s="7" t="inlineStr">
        <is>
          <t>jobspy</t>
        </is>
      </c>
      <c r="Q1697" s="8" t="inlineStr">
        <is>
          <t>c</t>
        </is>
      </c>
      <c r="R1697" s="8" t="inlineStr">
        <is>
          <t>Graduate Software Engineer embedded systems Python</t>
        </is>
      </c>
      <c r="S1697" s="19" t="n"/>
      <c r="T1697" s="19" t="n"/>
      <c r="U1697" s="14" t="n">
        <v>46196</v>
      </c>
      <c r="V1697" s="7" t="inlineStr">
        <is>
          <t>v2-cv-accuracy-13b988b18da8ea7d</t>
        </is>
      </c>
    </row>
    <row r="1698" ht="28" customHeight="1">
      <c r="A1698" s="12">
        <f>IF($L1698="applied","Applied",IF($L1698="interview","Interview",IF($L1698="offer","Offer",IF($L1698="rejected","Rejected",IF($L1698="ignore","Ignore",IF($L1698="archive","Archive",IF($L1698="closed","Closed",IF($B1698="","Unscored",IF(AND($B1698&gt;=8,OR($H1698="",$H1698-TODAY()&lt;=14)),"P1 Apply",IF($B1698&gt;=7,"P2 Strong",IF($B1698&gt;=5,"P3 Maybe","P4 Low")))))))))))</f>
        <v/>
      </c>
      <c r="B1698" s="13" t="n">
        <v>0</v>
      </c>
      <c r="C1698" s="12" t="inlineStr">
        <is>
          <t>Manager/Owner</t>
        </is>
      </c>
      <c r="D1698" s="8" t="inlineStr">
        <is>
          <t>Wireless Network Manager</t>
        </is>
      </c>
      <c r="E1698" s="7" t="inlineStr">
        <is>
          <t>NBCUniversal</t>
        </is>
      </c>
      <c r="F1698" s="8" t="inlineStr">
        <is>
          <t>Bedford, England, UK</t>
        </is>
      </c>
      <c r="G1698" s="8" t="n"/>
      <c r="H1698" s="14" t="n"/>
      <c r="I1698" s="15">
        <f>IF($H1698="","",$H1698-TODAY())</f>
        <v/>
      </c>
      <c r="J1698" s="16" t="inlineStr">
        <is>
          <t>Open posting</t>
        </is>
      </c>
      <c r="K1698" s="8" t="inlineStr">
        <is>
          <t>filtered by keyword pre-scan</t>
        </is>
      </c>
      <c r="L1698" s="17" t="inlineStr">
        <is>
          <t>new</t>
        </is>
      </c>
      <c r="M1698" s="18" t="inlineStr"/>
      <c r="N1698" s="7" t="inlineStr">
        <is>
          <t>60e173aa0009e4ba737c429fb563aea4851c5b8f</t>
        </is>
      </c>
      <c r="O1698" s="14" t="n">
        <v>46192</v>
      </c>
      <c r="P1698" s="7" t="inlineStr">
        <is>
          <t>jobspy</t>
        </is>
      </c>
      <c r="Q1698" s="8" t="inlineStr">
        <is>
          <t>lorawan, git, c</t>
        </is>
      </c>
      <c r="R1698" s="8" t="inlineStr">
        <is>
          <t>PhD Studentship IoT wireless communications</t>
        </is>
      </c>
      <c r="S1698" s="19" t="n"/>
      <c r="T1698" s="19" t="n"/>
      <c r="U1698" s="14" t="n">
        <v>46196</v>
      </c>
      <c r="V1698" s="7" t="inlineStr">
        <is>
          <t>v2-cv-accuracy-13b988b18da8ea7d</t>
        </is>
      </c>
    </row>
    <row r="1699" ht="28" customHeight="1">
      <c r="A1699" s="12">
        <f>IF($L1699="applied","Applied",IF($L1699="interview","Interview",IF($L1699="offer","Offer",IF($L1699="rejected","Rejected",IF($L1699="ignore","Ignore",IF($L1699="archive","Archive",IF($L1699="closed","Closed",IF($B1699="","Unscored",IF(AND($B1699&gt;=8,OR($H1699="",$H1699-TODAY()&lt;=14)),"P1 Apply",IF($B1699&gt;=7,"P2 Strong",IF($B1699&gt;=5,"P3 Maybe","P4 Low")))))))))))</f>
        <v/>
      </c>
      <c r="B1699" s="13" t="n">
        <v>0</v>
      </c>
      <c r="C1699" s="12" t="inlineStr">
        <is>
          <t>Senior/Lead</t>
        </is>
      </c>
      <c r="D1699" s="8" t="inlineStr">
        <is>
          <t>Senior Asset &amp; Inventory Operations Coordinator</t>
        </is>
      </c>
      <c r="E1699" s="7" t="inlineStr">
        <is>
          <t>Graphcore</t>
        </is>
      </c>
      <c r="F1699" s="8" t="inlineStr">
        <is>
          <t>Austin, Texas, United States</t>
        </is>
      </c>
      <c r="G1699" s="8" t="n"/>
      <c r="H1699" s="14" t="n"/>
      <c r="I1699" s="15">
        <f>IF($H1699="","",$H1699-TODAY())</f>
        <v/>
      </c>
      <c r="J1699" s="16" t="inlineStr">
        <is>
          <t>Open posting</t>
        </is>
      </c>
      <c r="K1699" s="8" t="inlineStr">
        <is>
          <t>filtered by keyword pre-scan</t>
        </is>
      </c>
      <c r="L1699" s="17" t="inlineStr">
        <is>
          <t>new</t>
        </is>
      </c>
      <c r="M1699" s="18" t="inlineStr"/>
      <c r="N1699" s="7" t="inlineStr">
        <is>
          <t>1fd6367871eaa53ebdbd3a13ad7ff396b7e99ef4</t>
        </is>
      </c>
      <c r="O1699" s="14" t="n">
        <v>46196</v>
      </c>
      <c r="P1699" s="7" t="inlineStr">
        <is>
          <t>greenhouse:graphcore</t>
        </is>
      </c>
      <c r="Q1699" s="8" t="inlineStr">
        <is>
          <t>c</t>
        </is>
      </c>
      <c r="R1699" s="8" t="n"/>
      <c r="S1699" s="19" t="n"/>
      <c r="T1699" s="19" t="n"/>
      <c r="U1699" s="14" t="n">
        <v>46196</v>
      </c>
      <c r="V1699" s="7" t="inlineStr">
        <is>
          <t>v2-cv-accuracy-13b988b18da8ea7d</t>
        </is>
      </c>
    </row>
    <row r="1700" ht="28" customHeight="1">
      <c r="A1700" s="12">
        <f>IF($L1700="applied","Applied",IF($L1700="interview","Interview",IF($L1700="offer","Offer",IF($L1700="rejected","Rejected",IF($L1700="ignore","Ignore",IF($L1700="archive","Archive",IF($L1700="closed","Closed",IF($B1700="","Unscored",IF(AND($B1700&gt;=8,OR($H1700="",$H1700-TODAY()&lt;=14)),"P1 Apply",IF($B1700&gt;=7,"P2 Strong",IF($B1700&gt;=5,"P3 Maybe","P4 Low")))))))))))</f>
        <v/>
      </c>
      <c r="B1700" s="13" t="n">
        <v>0</v>
      </c>
      <c r="C1700" s="12" t="inlineStr">
        <is>
          <t>Senior/Lead</t>
        </is>
      </c>
      <c r="D1700" s="8" t="inlineStr">
        <is>
          <t>Principal AI Security Engineer</t>
        </is>
      </c>
      <c r="E1700" s="7" t="inlineStr">
        <is>
          <t>Cerebras</t>
        </is>
      </c>
      <c r="F1700" s="8" t="inlineStr">
        <is>
          <t>Remote, California, United States; Sunnyvale CA or Toronto Canada</t>
        </is>
      </c>
      <c r="G1700" s="8" t="n"/>
      <c r="H1700" s="14" t="n"/>
      <c r="I1700" s="15">
        <f>IF($H1700="","",$H1700-TODAY())</f>
        <v/>
      </c>
      <c r="J1700" s="16" t="inlineStr">
        <is>
          <t>Open posting</t>
        </is>
      </c>
      <c r="K1700" s="8" t="inlineStr">
        <is>
          <t>filtered by keyword pre-scan</t>
        </is>
      </c>
      <c r="L1700" s="17" t="inlineStr">
        <is>
          <t>new</t>
        </is>
      </c>
      <c r="M1700" s="18" t="inlineStr"/>
      <c r="N1700" s="7" t="inlineStr">
        <is>
          <t>c1b0b5d8bfe78755ac70bdca7f315e5dcb34e626</t>
        </is>
      </c>
      <c r="O1700" s="14" t="n">
        <v>46196</v>
      </c>
      <c r="P1700" s="7" t="inlineStr">
        <is>
          <t>greenhouse:cerebrassystems</t>
        </is>
      </c>
      <c r="Q1700" s="8" t="inlineStr">
        <is>
          <t>git, c</t>
        </is>
      </c>
      <c r="R1700" s="8" t="n"/>
      <c r="S1700" s="19" t="n"/>
      <c r="T1700" s="19" t="n"/>
      <c r="U1700" s="14" t="n">
        <v>46196</v>
      </c>
      <c r="V1700" s="7" t="inlineStr">
        <is>
          <t>v2-cv-accuracy-13b988b18da8ea7d</t>
        </is>
      </c>
    </row>
    <row r="1701" ht="28" customHeight="1">
      <c r="A1701" s="12">
        <f>IF($L1701="applied","Applied",IF($L1701="interview","Interview",IF($L1701="offer","Offer",IF($L1701="rejected","Rejected",IF($L1701="ignore","Ignore",IF($L1701="archive","Archive",IF($L1701="closed","Closed",IF($B1701="","Unscored",IF(AND($B1701&gt;=8,OR($H1701="",$H1701-TODAY()&lt;=14)),"P1 Apply",IF($B1701&gt;=7,"P2 Strong",IF($B1701&gt;=5,"P3 Maybe","P4 Low")))))))))))</f>
        <v/>
      </c>
      <c r="B1701" s="13" t="n">
        <v>0</v>
      </c>
      <c r="C1701" s="12" t="inlineStr">
        <is>
          <t>Senior/Lead</t>
        </is>
      </c>
      <c r="D1701" s="8" t="inlineStr">
        <is>
          <t>Principal Network Security Architect</t>
        </is>
      </c>
      <c r="E1701" s="7" t="inlineStr">
        <is>
          <t>Cerebras</t>
        </is>
      </c>
      <c r="F1701" s="8" t="inlineStr">
        <is>
          <t>Remote, California, United States; Sunnyvale CA or Toronto Canada</t>
        </is>
      </c>
      <c r="G1701" s="8" t="n"/>
      <c r="H1701" s="14" t="n"/>
      <c r="I1701" s="15">
        <f>IF($H1701="","",$H1701-TODAY())</f>
        <v/>
      </c>
      <c r="J1701" s="16" t="inlineStr">
        <is>
          <t>Open posting</t>
        </is>
      </c>
      <c r="K1701" s="8" t="inlineStr">
        <is>
          <t>filtered by keyword pre-scan</t>
        </is>
      </c>
      <c r="L1701" s="17" t="inlineStr">
        <is>
          <t>new</t>
        </is>
      </c>
      <c r="M1701" s="18" t="inlineStr"/>
      <c r="N1701" s="7" t="inlineStr">
        <is>
          <t>c2e328c022ee1c03052cfe9f852de3e8d6a806b4</t>
        </is>
      </c>
      <c r="O1701" s="14" t="n">
        <v>46196</v>
      </c>
      <c r="P1701" s="7" t="inlineStr">
        <is>
          <t>greenhouse:cerebrassystems</t>
        </is>
      </c>
      <c r="Q1701" s="8" t="inlineStr">
        <is>
          <t>c</t>
        </is>
      </c>
      <c r="R1701" s="8" t="n"/>
      <c r="S1701" s="19" t="n"/>
      <c r="T1701" s="19" t="n"/>
      <c r="U1701" s="14" t="n">
        <v>46196</v>
      </c>
      <c r="V1701" s="7" t="inlineStr">
        <is>
          <t>v2-cv-accuracy-13b988b18da8ea7d</t>
        </is>
      </c>
    </row>
    <row r="1702" ht="28" customHeight="1">
      <c r="A1702" s="12">
        <f>IF($L1702="applied","Applied",IF($L1702="interview","Interview",IF($L1702="offer","Offer",IF($L1702="rejected","Rejected",IF($L1702="ignore","Ignore",IF($L1702="archive","Archive",IF($L1702="closed","Closed",IF($B1702="","Unscored",IF(AND($B1702&gt;=8,OR($H1702="",$H1702-TODAY()&lt;=14)),"P1 Apply",IF($B1702&gt;=7,"P2 Strong",IF($B1702&gt;=5,"P3 Maybe","P4 Low")))))))))))</f>
        <v/>
      </c>
      <c r="B1702" s="13" t="n">
        <v>0</v>
      </c>
      <c r="C1702" s="12" t="inlineStr">
        <is>
          <t>Senior/Lead</t>
        </is>
      </c>
      <c r="D1702" s="8" t="inlineStr">
        <is>
          <t>Senior Python Developer - Up to £140k</t>
        </is>
      </c>
      <c r="E1702" s="7" t="inlineStr">
        <is>
          <t>Oliver Bernard</t>
        </is>
      </c>
      <c r="F1702" s="8" t="inlineStr">
        <is>
          <t>London Area, United Kingdom</t>
        </is>
      </c>
      <c r="G1702" s="8" t="n"/>
      <c r="H1702" s="14" t="n"/>
      <c r="I1702" s="15">
        <f>IF($H1702="","",$H1702-TODAY())</f>
        <v/>
      </c>
      <c r="J1702" s="16" t="inlineStr">
        <is>
          <t>Open posting</t>
        </is>
      </c>
      <c r="K1702" s="8" t="inlineStr">
        <is>
          <t>filtered by keyword pre-scan</t>
        </is>
      </c>
      <c r="L1702" s="17" t="inlineStr">
        <is>
          <t>new</t>
        </is>
      </c>
      <c r="M1702" s="18" t="inlineStr"/>
      <c r="N1702" s="7" t="inlineStr">
        <is>
          <t>64f83222ec390667f0cda9b648dcdb3a6137d29e</t>
        </is>
      </c>
      <c r="O1702" s="14" t="n">
        <v>46182</v>
      </c>
      <c r="P1702" s="7" t="inlineStr">
        <is>
          <t>jobspy</t>
        </is>
      </c>
      <c r="Q1702" s="8" t="inlineStr">
        <is>
          <t>python, sql, c</t>
        </is>
      </c>
      <c r="R1702" s="8" t="inlineStr">
        <is>
          <t>Junior Python Developer backend SQL Docker</t>
        </is>
      </c>
      <c r="S1702" s="19" t="n"/>
      <c r="T1702" s="19" t="n"/>
      <c r="U1702" s="14" t="n">
        <v>46196</v>
      </c>
      <c r="V1702" s="7" t="inlineStr">
        <is>
          <t>v2-cv-accuracy-13b988b18da8ea7d</t>
        </is>
      </c>
    </row>
    <row r="1703" ht="28" customHeight="1">
      <c r="A1703" s="12">
        <f>IF($L1703="applied","Applied",IF($L1703="interview","Interview",IF($L1703="offer","Offer",IF($L1703="rejected","Rejected",IF($L1703="ignore","Ignore",IF($L1703="archive","Archive",IF($L1703="closed","Closed",IF($B1703="","Unscored",IF(AND($B1703&gt;=8,OR($H1703="",$H1703-TODAY()&lt;=14)),"P1 Apply",IF($B1703&gt;=7,"P2 Strong",IF($B1703&gt;=5,"P3 Maybe","P4 Low")))))))))))</f>
        <v/>
      </c>
      <c r="B1703" s="13" t="n">
        <v>0</v>
      </c>
      <c r="C1703" s="12" t="inlineStr">
        <is>
          <t>Senior/Lead</t>
        </is>
      </c>
      <c r="D1703" s="8" t="inlineStr">
        <is>
          <t>Senior Python Developer - Up to £140k</t>
        </is>
      </c>
      <c r="E1703" s="7" t="inlineStr">
        <is>
          <t>Oliver Bernard</t>
        </is>
      </c>
      <c r="F1703" s="8" t="inlineStr">
        <is>
          <t>London Area, United Kingdom</t>
        </is>
      </c>
      <c r="G1703" s="8" t="n"/>
      <c r="H1703" s="14" t="n"/>
      <c r="I1703" s="15">
        <f>IF($H1703="","",$H1703-TODAY())</f>
        <v/>
      </c>
      <c r="J1703" s="16" t="inlineStr">
        <is>
          <t>Open posting</t>
        </is>
      </c>
      <c r="K1703" s="8" t="inlineStr">
        <is>
          <t>filtered by keyword pre-scan</t>
        </is>
      </c>
      <c r="L1703" s="17" t="inlineStr">
        <is>
          <t>new</t>
        </is>
      </c>
      <c r="M1703" s="18" t="inlineStr"/>
      <c r="N1703" s="7" t="inlineStr">
        <is>
          <t>a035158266ef043b03451189cf170017b8285e31</t>
        </is>
      </c>
      <c r="O1703" s="14" t="n">
        <v>46175</v>
      </c>
      <c r="P1703" s="7" t="inlineStr">
        <is>
          <t>jobspy</t>
        </is>
      </c>
      <c r="Q1703" s="8" t="inlineStr">
        <is>
          <t>python, sql, c</t>
        </is>
      </c>
      <c r="R1703" s="8" t="inlineStr">
        <is>
          <t>Junior Python Developer backend SQL Docker</t>
        </is>
      </c>
      <c r="S1703" s="19" t="n"/>
      <c r="T1703" s="19" t="n"/>
      <c r="U1703" s="14" t="n">
        <v>46196</v>
      </c>
      <c r="V1703" s="7" t="inlineStr">
        <is>
          <t>v2-cv-accuracy-13b988b18da8ea7d</t>
        </is>
      </c>
    </row>
    <row r="1704" ht="28" customHeight="1">
      <c r="A1704" s="12">
        <f>IF($L1704="applied","Applied",IF($L1704="interview","Interview",IF($L1704="offer","Offer",IF($L1704="rejected","Rejected",IF($L1704="ignore","Ignore",IF($L1704="archive","Archive",IF($L1704="closed","Closed",IF($B1704="","Unscored",IF(AND($B1704&gt;=8,OR($H1704="",$H1704-TODAY()&lt;=14)),"P1 Apply",IF($B1704&gt;=7,"P2 Strong",IF($B1704&gt;=5,"P3 Maybe","P4 Low")))))))))))</f>
        <v/>
      </c>
      <c r="B1704" s="13" t="n">
        <v>0</v>
      </c>
      <c r="C1704" s="12" t="inlineStr">
        <is>
          <t>Senior/Lead</t>
        </is>
      </c>
      <c r="D1704" s="8" t="inlineStr">
        <is>
          <t>Senior Backend Software Engineer (Python)</t>
        </is>
      </c>
      <c r="E1704" s="7" t="inlineStr">
        <is>
          <t>NLPatent</t>
        </is>
      </c>
      <c r="F1704" s="8" t="inlineStr">
        <is>
          <t>London, England, UK</t>
        </is>
      </c>
      <c r="G1704" s="8" t="n"/>
      <c r="H1704" s="14" t="n"/>
      <c r="I1704" s="15">
        <f>IF($H1704="","",$H1704-TODAY())</f>
        <v/>
      </c>
      <c r="J1704" s="16" t="inlineStr">
        <is>
          <t>Open posting</t>
        </is>
      </c>
      <c r="K1704" s="8" t="inlineStr">
        <is>
          <t>filtered by keyword pre-scan</t>
        </is>
      </c>
      <c r="L1704" s="17" t="inlineStr">
        <is>
          <t>new</t>
        </is>
      </c>
      <c r="M1704" s="18" t="inlineStr"/>
      <c r="N1704" s="7" t="inlineStr">
        <is>
          <t>1dd84da01d5c1b2506a369d1c5d11cd549d3b415</t>
        </is>
      </c>
      <c r="O1704" s="14" t="n">
        <v>46168</v>
      </c>
      <c r="P1704" s="7" t="inlineStr">
        <is>
          <t>jobspy</t>
        </is>
      </c>
      <c r="Q1704" s="8" t="inlineStr">
        <is>
          <t>python, sql, docker, c</t>
        </is>
      </c>
      <c r="R1704" s="8" t="inlineStr">
        <is>
          <t>Junior Python Developer backend SQL Docker</t>
        </is>
      </c>
      <c r="S1704" s="19" t="n"/>
      <c r="T1704" s="19" t="n"/>
      <c r="U1704" s="14" t="n">
        <v>46196</v>
      </c>
      <c r="V1704" s="7" t="inlineStr">
        <is>
          <t>v2-cv-accuracy-13b988b18da8ea7d</t>
        </is>
      </c>
    </row>
    <row r="1705" ht="28" customHeight="1">
      <c r="A1705" s="12">
        <f>IF($L1705="applied","Applied",IF($L1705="interview","Interview",IF($L1705="offer","Offer",IF($L1705="rejected","Rejected",IF($L1705="ignore","Ignore",IF($L1705="archive","Archive",IF($L1705="closed","Closed",IF($B1705="","Unscored",IF(AND($B1705&gt;=8,OR($H1705="",$H1705-TODAY()&lt;=14)),"P1 Apply",IF($B1705&gt;=7,"P2 Strong",IF($B1705&gt;=5,"P3 Maybe","P4 Low")))))))))))</f>
        <v/>
      </c>
      <c r="B1705" s="13" t="n">
        <v>0</v>
      </c>
      <c r="C1705" s="12" t="inlineStr">
        <is>
          <t>Senior/Lead</t>
        </is>
      </c>
      <c r="D1705" s="8" t="inlineStr">
        <is>
          <t>Staff/Principal Logical Design Engineer</t>
        </is>
      </c>
      <c r="E1705" s="7" t="inlineStr">
        <is>
          <t>Graphcore</t>
        </is>
      </c>
      <c r="F1705" s="8" t="inlineStr">
        <is>
          <t>Bristol, UK</t>
        </is>
      </c>
      <c r="G1705" s="8" t="n"/>
      <c r="H1705" s="14" t="n"/>
      <c r="I1705" s="15">
        <f>IF($H1705="","",$H1705-TODAY())</f>
        <v/>
      </c>
      <c r="J1705" s="16" t="inlineStr">
        <is>
          <t>Open posting</t>
        </is>
      </c>
      <c r="K1705" s="8" t="inlineStr">
        <is>
          <t>filtered by keyword pre-scan</t>
        </is>
      </c>
      <c r="L1705" s="17" t="inlineStr">
        <is>
          <t>new</t>
        </is>
      </c>
      <c r="M1705" s="18" t="inlineStr"/>
      <c r="N1705" s="7" t="inlineStr">
        <is>
          <t>f7ea3bf7af2c15f3f6a5c025896dc9fcdd56a7c0</t>
        </is>
      </c>
      <c r="O1705" s="14" t="n">
        <v>46195</v>
      </c>
      <c r="P1705" s="7" t="inlineStr">
        <is>
          <t>greenhouse:graphcore</t>
        </is>
      </c>
      <c r="Q1705" s="8" t="inlineStr">
        <is>
          <t>python, verilog, git, c, digital design</t>
        </is>
      </c>
      <c r="R1705" s="8" t="n"/>
      <c r="S1705" s="19" t="n"/>
      <c r="T1705" s="19" t="n"/>
      <c r="U1705" s="14" t="n">
        <v>46195</v>
      </c>
      <c r="V1705" s="7" t="inlineStr">
        <is>
          <t>v2-cv-accuracy-13b988b18da8ea7d</t>
        </is>
      </c>
    </row>
    <row r="1706" ht="28" customHeight="1">
      <c r="A1706" s="12">
        <f>IF($L1706="applied","Applied",IF($L1706="interview","Interview",IF($L1706="offer","Offer",IF($L1706="rejected","Rejected",IF($L1706="ignore","Ignore",IF($L1706="archive","Archive",IF($L1706="closed","Closed",IF($B1706="","Unscored",IF(AND($B1706&gt;=8,OR($H1706="",$H1706-TODAY()&lt;=14)),"P1 Apply",IF($B1706&gt;=7,"P2 Strong",IF($B1706&gt;=5,"P3 Maybe","P4 Low")))))))))))</f>
        <v/>
      </c>
      <c r="B1706" s="13" t="n">
        <v>0</v>
      </c>
      <c r="C1706" s="12" t="inlineStr">
        <is>
          <t>Manager/Owner</t>
        </is>
      </c>
      <c r="D1706" s="8" t="inlineStr">
        <is>
          <t>Data Science Manager</t>
        </is>
      </c>
      <c r="E1706" s="7" t="inlineStr">
        <is>
          <t>GoCardless</t>
        </is>
      </c>
      <c r="F1706" s="8" t="inlineStr">
        <is>
          <t>Lisbon, Portugal</t>
        </is>
      </c>
      <c r="G1706" s="8" t="n"/>
      <c r="H1706" s="14" t="n"/>
      <c r="I1706" s="15">
        <f>IF($H1706="","",$H1706-TODAY())</f>
        <v/>
      </c>
      <c r="J1706" s="16" t="inlineStr">
        <is>
          <t>Open posting</t>
        </is>
      </c>
      <c r="K1706" s="8" t="inlineStr">
        <is>
          <t>filtered by keyword pre-scan</t>
        </is>
      </c>
      <c r="L1706" s="17" t="inlineStr">
        <is>
          <t>new</t>
        </is>
      </c>
      <c r="M1706" s="18" t="inlineStr"/>
      <c r="N1706" s="7" t="inlineStr">
        <is>
          <t>33090a08f88071066f8a206117effbe5b6bf09d4</t>
        </is>
      </c>
      <c r="O1706" s="14" t="n">
        <v>46195</v>
      </c>
      <c r="P1706" s="7" t="inlineStr">
        <is>
          <t>greenhouse:gocardless</t>
        </is>
      </c>
      <c r="Q1706" s="8" t="inlineStr">
        <is>
          <t>python, sql, c</t>
        </is>
      </c>
      <c r="R1706" s="8" t="n"/>
      <c r="S1706" s="19" t="n"/>
      <c r="T1706" s="19" t="n"/>
      <c r="U1706" s="14" t="n">
        <v>46195</v>
      </c>
      <c r="V1706" s="7" t="inlineStr">
        <is>
          <t>v2-cv-accuracy-13b988b18da8ea7d</t>
        </is>
      </c>
    </row>
    <row r="1707" ht="28" customHeight="1">
      <c r="A1707" s="12">
        <f>IF($L1707="applied","Applied",IF($L1707="interview","Interview",IF($L1707="offer","Offer",IF($L1707="rejected","Rejected",IF($L1707="ignore","Ignore",IF($L1707="archive","Archive",IF($L1707="closed","Closed",IF($B1707="","Unscored",IF(AND($B1707&gt;=8,OR($H1707="",$H1707-TODAY()&lt;=14)),"P1 Apply",IF($B1707&gt;=7,"P2 Strong",IF($B1707&gt;=5,"P3 Maybe","P4 Low")))))))))))</f>
        <v/>
      </c>
      <c r="B1707" s="13" t="n">
        <v>0</v>
      </c>
      <c r="C1707" s="12" t="inlineStr">
        <is>
          <t>Senior/Lead</t>
        </is>
      </c>
      <c r="D1707" s="8" t="inlineStr">
        <is>
          <t>Senior Data Scientist, Fraud Prevention</t>
        </is>
      </c>
      <c r="E1707" s="7" t="inlineStr">
        <is>
          <t>GoCardless</t>
        </is>
      </c>
      <c r="F1707" s="8" t="inlineStr">
        <is>
          <t>Lisbon, Portugal</t>
        </is>
      </c>
      <c r="G1707" s="8" t="n"/>
      <c r="H1707" s="14" t="n"/>
      <c r="I1707" s="15">
        <f>IF($H1707="","",$H1707-TODAY())</f>
        <v/>
      </c>
      <c r="J1707" s="16" t="inlineStr">
        <is>
          <t>Open posting</t>
        </is>
      </c>
      <c r="K1707" s="8" t="inlineStr">
        <is>
          <t>filtered by keyword pre-scan</t>
        </is>
      </c>
      <c r="L1707" s="17" t="inlineStr">
        <is>
          <t>new</t>
        </is>
      </c>
      <c r="M1707" s="18" t="inlineStr"/>
      <c r="N1707" s="7" t="inlineStr">
        <is>
          <t>3e56aafc401398794a5b18b017e7fdbc38af2b53</t>
        </is>
      </c>
      <c r="O1707" s="14" t="n">
        <v>46195</v>
      </c>
      <c r="P1707" s="7" t="inlineStr">
        <is>
          <t>greenhouse:gocardless</t>
        </is>
      </c>
      <c r="Q1707" s="8" t="inlineStr">
        <is>
          <t>python, sql, git, c</t>
        </is>
      </c>
      <c r="R1707" s="8" t="n"/>
      <c r="S1707" s="19" t="n"/>
      <c r="T1707" s="19" t="n"/>
      <c r="U1707" s="14" t="n">
        <v>46195</v>
      </c>
      <c r="V1707" s="7" t="inlineStr">
        <is>
          <t>v2-cv-accuracy-13b988b18da8ea7d</t>
        </is>
      </c>
    </row>
    <row r="1708" ht="28" customHeight="1">
      <c r="A1708" s="12">
        <f>IF($L1708="applied","Applied",IF($L1708="interview","Interview",IF($L1708="offer","Offer",IF($L1708="rejected","Rejected",IF($L1708="ignore","Ignore",IF($L1708="archive","Archive",IF($L1708="closed","Closed",IF($B1708="","Unscored",IF(AND($B1708&gt;=8,OR($H1708="",$H1708-TODAY()&lt;=14)),"P1 Apply",IF($B1708&gt;=7,"P2 Strong",IF($B1708&gt;=5,"P3 Maybe","P4 Low")))))))))))</f>
        <v/>
      </c>
      <c r="B1708" s="13" t="n">
        <v>0</v>
      </c>
      <c r="C1708" s="12" t="inlineStr">
        <is>
          <t>Senior/Lead</t>
        </is>
      </c>
      <c r="D1708" s="8" t="inlineStr">
        <is>
          <t>Senior Data Scientist, Payment Intelligence</t>
        </is>
      </c>
      <c r="E1708" s="7" t="inlineStr">
        <is>
          <t>GoCardless</t>
        </is>
      </c>
      <c r="F1708" s="8" t="inlineStr">
        <is>
          <t>Lisbon, Portugal</t>
        </is>
      </c>
      <c r="G1708" s="8" t="n"/>
      <c r="H1708" s="14" t="n"/>
      <c r="I1708" s="15">
        <f>IF($H1708="","",$H1708-TODAY())</f>
        <v/>
      </c>
      <c r="J1708" s="16" t="inlineStr">
        <is>
          <t>Open posting</t>
        </is>
      </c>
      <c r="K1708" s="8" t="inlineStr">
        <is>
          <t>filtered by keyword pre-scan</t>
        </is>
      </c>
      <c r="L1708" s="17" t="inlineStr">
        <is>
          <t>new</t>
        </is>
      </c>
      <c r="M1708" s="18" t="inlineStr"/>
      <c r="N1708" s="7" t="inlineStr">
        <is>
          <t>eac925e59e1a808ca52483205462daa33bd4cd2f</t>
        </is>
      </c>
      <c r="O1708" s="14" t="n">
        <v>46195</v>
      </c>
      <c r="P1708" s="7" t="inlineStr">
        <is>
          <t>greenhouse:gocardless</t>
        </is>
      </c>
      <c r="Q1708" s="8" t="inlineStr">
        <is>
          <t>python, sql, c</t>
        </is>
      </c>
      <c r="R1708" s="8" t="n"/>
      <c r="S1708" s="19" t="n"/>
      <c r="T1708" s="19" t="n"/>
      <c r="U1708" s="14" t="n">
        <v>46195</v>
      </c>
      <c r="V1708" s="7" t="inlineStr">
        <is>
          <t>v2-cv-accuracy-13b988b18da8ea7d</t>
        </is>
      </c>
    </row>
    <row r="1709" ht="28" customHeight="1">
      <c r="A1709" s="12">
        <f>IF($L1709="applied","Applied",IF($L1709="interview","Interview",IF($L1709="offer","Offer",IF($L1709="rejected","Rejected",IF($L1709="ignore","Ignore",IF($L1709="archive","Archive",IF($L1709="closed","Closed",IF($B1709="","Unscored",IF(AND($B1709&gt;=8,OR($H1709="",$H1709-TODAY()&lt;=14)),"P1 Apply",IF($B1709&gt;=7,"P2 Strong",IF($B1709&gt;=5,"P3 Maybe","P4 Low")))))))))))</f>
        <v/>
      </c>
      <c r="B1709" s="13" t="n">
        <v>0</v>
      </c>
      <c r="C1709" s="12" t="inlineStr">
        <is>
          <t>Unspecified</t>
        </is>
      </c>
      <c r="D1709" s="8" t="inlineStr">
        <is>
          <t>Assistant Store Leader</t>
        </is>
      </c>
      <c r="E1709" s="7" t="inlineStr">
        <is>
          <t>Dyson</t>
        </is>
      </c>
      <c r="F1709" s="8" t="inlineStr">
        <is>
          <t>Spain - Barcelona La Maquinista Demo Store</t>
        </is>
      </c>
      <c r="G1709" s="8" t="n"/>
      <c r="H1709" s="14" t="n"/>
      <c r="I1709" s="15">
        <f>IF($H1709="","",$H1709-TODAY())</f>
        <v/>
      </c>
      <c r="J1709" s="16" t="inlineStr">
        <is>
          <t>Open posting</t>
        </is>
      </c>
      <c r="K1709" s="8" t="inlineStr">
        <is>
          <t>filtered by keyword pre-scan</t>
        </is>
      </c>
      <c r="L1709" s="17" t="inlineStr">
        <is>
          <t>new</t>
        </is>
      </c>
      <c r="M1709" s="18" t="inlineStr"/>
      <c r="N1709" s="7" t="inlineStr">
        <is>
          <t>b09ab2699587116ec60d08495db794209aac1af4</t>
        </is>
      </c>
      <c r="O1709" s="14" t="n"/>
      <c r="P1709" s="7" t="inlineStr">
        <is>
          <t>workday</t>
        </is>
      </c>
      <c r="Q1709" s="8" t="inlineStr"/>
      <c r="R1709" s="8" t="n"/>
      <c r="S1709" s="19" t="n"/>
      <c r="T1709" s="19" t="n"/>
      <c r="U1709" s="14" t="n">
        <v>46195</v>
      </c>
      <c r="V1709" s="7" t="inlineStr">
        <is>
          <t>v2-cv-accuracy-13b988b18da8ea7d</t>
        </is>
      </c>
    </row>
    <row r="1710" ht="28" customHeight="1">
      <c r="A1710" s="12">
        <f>IF($L1710="applied","Applied",IF($L1710="interview","Interview",IF($L1710="offer","Offer",IF($L1710="rejected","Rejected",IF($L1710="ignore","Ignore",IF($L1710="archive","Archive",IF($L1710="closed","Closed",IF($B1710="","Unscored",IF(AND($B1710&gt;=8,OR($H1710="",$H1710-TODAY()&lt;=14)),"P1 Apply",IF($B1710&gt;=7,"P2 Strong",IF($B1710&gt;=5,"P3 Maybe","P4 Low")))))))))))</f>
        <v/>
      </c>
      <c r="B1710" s="13" t="n">
        <v>0</v>
      </c>
      <c r="C1710" s="12" t="inlineStr">
        <is>
          <t>Senior/Lead</t>
        </is>
      </c>
      <c r="D1710" s="8" t="inlineStr">
        <is>
          <t>Training Senior Executive</t>
        </is>
      </c>
      <c r="E1710" s="7" t="inlineStr">
        <is>
          <t>Dyson</t>
        </is>
      </c>
      <c r="F1710" s="8" t="inlineStr">
        <is>
          <t>Turkey - Country Remote</t>
        </is>
      </c>
      <c r="G1710" s="8" t="n"/>
      <c r="H1710" s="14" t="n"/>
      <c r="I1710" s="15">
        <f>IF($H1710="","",$H1710-TODAY())</f>
        <v/>
      </c>
      <c r="J1710" s="16" t="inlineStr">
        <is>
          <t>Open posting</t>
        </is>
      </c>
      <c r="K1710" s="8" t="inlineStr">
        <is>
          <t>filtered by keyword pre-scan</t>
        </is>
      </c>
      <c r="L1710" s="17" t="inlineStr">
        <is>
          <t>new</t>
        </is>
      </c>
      <c r="M1710" s="18" t="inlineStr"/>
      <c r="N1710" s="7" t="inlineStr">
        <is>
          <t>ae864bd7277f4c271a4697fb795fba93703d35eb</t>
        </is>
      </c>
      <c r="O1710" s="14" t="n"/>
      <c r="P1710" s="7" t="inlineStr">
        <is>
          <t>workday</t>
        </is>
      </c>
      <c r="Q1710" s="8" t="inlineStr">
        <is>
          <t>c</t>
        </is>
      </c>
      <c r="R1710" s="8" t="n"/>
      <c r="S1710" s="19" t="n"/>
      <c r="T1710" s="19" t="n"/>
      <c r="U1710" s="14" t="n">
        <v>46195</v>
      </c>
      <c r="V1710" s="7" t="inlineStr">
        <is>
          <t>v2-cv-accuracy-13b988b18da8ea7d</t>
        </is>
      </c>
    </row>
    <row r="1711" ht="28" customHeight="1">
      <c r="A1711" s="12">
        <f>IF($L1711="applied","Applied",IF($L1711="interview","Interview",IF($L1711="offer","Offer",IF($L1711="rejected","Rejected",IF($L1711="ignore","Ignore",IF($L1711="archive","Archive",IF($L1711="closed","Closed",IF($B1711="","Unscored",IF(AND($B1711&gt;=8,OR($H1711="",$H1711-TODAY()&lt;=14)),"P1 Apply",IF($B1711&gt;=7,"P2 Strong",IF($B1711&gt;=5,"P3 Maybe","P4 Low")))))))))))</f>
        <v/>
      </c>
      <c r="B1711" s="13" t="n">
        <v>0</v>
      </c>
      <c r="C1711" s="12" t="inlineStr">
        <is>
          <t>Senior/Lead</t>
        </is>
      </c>
      <c r="D1711" s="8" t="inlineStr">
        <is>
          <t>Lead Insight Engineer</t>
        </is>
      </c>
      <c r="E1711" s="7" t="inlineStr">
        <is>
          <t>Dyson</t>
        </is>
      </c>
      <c r="F1711" s="8" t="inlineStr">
        <is>
          <t>Singapore - St James Power Station Headquarters</t>
        </is>
      </c>
      <c r="G1711" s="8" t="n"/>
      <c r="H1711" s="14" t="n"/>
      <c r="I1711" s="15">
        <f>IF($H1711="","",$H1711-TODAY())</f>
        <v/>
      </c>
      <c r="J1711" s="16" t="inlineStr">
        <is>
          <t>Open posting</t>
        </is>
      </c>
      <c r="K1711" s="8" t="inlineStr">
        <is>
          <t>filtered by keyword pre-scan</t>
        </is>
      </c>
      <c r="L1711" s="17" t="inlineStr">
        <is>
          <t>new</t>
        </is>
      </c>
      <c r="M1711" s="18" t="inlineStr"/>
      <c r="N1711" s="7" t="inlineStr">
        <is>
          <t>c97991b9c6096f14077248a9232626f046539a49</t>
        </is>
      </c>
      <c r="O1711" s="14" t="n"/>
      <c r="P1711" s="7" t="inlineStr">
        <is>
          <t>workday</t>
        </is>
      </c>
      <c r="Q1711" s="8" t="inlineStr"/>
      <c r="R1711" s="8" t="n"/>
      <c r="S1711" s="19" t="n"/>
      <c r="T1711" s="19" t="n"/>
      <c r="U1711" s="14" t="n">
        <v>46195</v>
      </c>
      <c r="V1711" s="7" t="inlineStr">
        <is>
          <t>v2-cv-accuracy-13b988b18da8ea7d</t>
        </is>
      </c>
    </row>
    <row r="1712" ht="28" customHeight="1">
      <c r="A1712" s="12">
        <f>IF($L1712="applied","Applied",IF($L1712="interview","Interview",IF($L1712="offer","Offer",IF($L1712="rejected","Rejected",IF($L1712="ignore","Ignore",IF($L1712="archive","Archive",IF($L1712="closed","Closed",IF($B1712="","Unscored",IF(AND($B1712&gt;=8,OR($H1712="",$H1712-TODAY()&lt;=14)),"P1 Apply",IF($B1712&gt;=7,"P2 Strong",IF($B1712&gt;=5,"P3 Maybe","P4 Low")))))))))))</f>
        <v/>
      </c>
      <c r="B1712" s="13" t="n">
        <v>0</v>
      </c>
      <c r="C1712" s="12" t="inlineStr">
        <is>
          <t>Senior/Lead</t>
        </is>
      </c>
      <c r="D1712" s="8" t="inlineStr">
        <is>
          <t>Senior Compliance and Approvals Engineer</t>
        </is>
      </c>
      <c r="E1712" s="7" t="inlineStr">
        <is>
          <t>Dyson</t>
        </is>
      </c>
      <c r="F1712" s="8" t="inlineStr">
        <is>
          <t>China - Shenzhen Office</t>
        </is>
      </c>
      <c r="G1712" s="8" t="n"/>
      <c r="H1712" s="14" t="n"/>
      <c r="I1712" s="15">
        <f>IF($H1712="","",$H1712-TODAY())</f>
        <v/>
      </c>
      <c r="J1712" s="16" t="inlineStr">
        <is>
          <t>Open posting</t>
        </is>
      </c>
      <c r="K1712" s="8" t="inlineStr">
        <is>
          <t>filtered by keyword pre-scan</t>
        </is>
      </c>
      <c r="L1712" s="17" t="inlineStr">
        <is>
          <t>new</t>
        </is>
      </c>
      <c r="M1712" s="18" t="inlineStr"/>
      <c r="N1712" s="7" t="inlineStr">
        <is>
          <t>e05c6f4af7ec7ca75de1426393837917d424d3fd</t>
        </is>
      </c>
      <c r="O1712" s="14" t="n"/>
      <c r="P1712" s="7" t="inlineStr">
        <is>
          <t>workday</t>
        </is>
      </c>
      <c r="Q1712" s="8" t="inlineStr">
        <is>
          <t>c</t>
        </is>
      </c>
      <c r="R1712" s="8" t="n"/>
      <c r="S1712" s="19" t="n"/>
      <c r="T1712" s="19" t="n"/>
      <c r="U1712" s="14" t="n">
        <v>46195</v>
      </c>
      <c r="V1712" s="7" t="inlineStr">
        <is>
          <t>v2-cv-accuracy-13b988b18da8ea7d</t>
        </is>
      </c>
    </row>
    <row r="1713" ht="28" customHeight="1">
      <c r="A1713" s="12">
        <f>IF($L1713="applied","Applied",IF($L1713="interview","Interview",IF($L1713="offer","Offer",IF($L1713="rejected","Rejected",IF($L1713="ignore","Ignore",IF($L1713="archive","Archive",IF($L1713="closed","Closed",IF($B1713="","Unscored",IF(AND($B1713&gt;=8,OR($H1713="",$H1713-TODAY()&lt;=14)),"P1 Apply",IF($B1713&gt;=7,"P2 Strong",IF($B1713&gt;=5,"P3 Maybe","P4 Low")))))))))))</f>
        <v/>
      </c>
      <c r="B1713" s="13" t="n">
        <v>0</v>
      </c>
      <c r="C1713" s="12" t="inlineStr">
        <is>
          <t>Senior/Lead</t>
        </is>
      </c>
      <c r="D1713" s="8" t="inlineStr">
        <is>
          <t>Lead Insight Engineer</t>
        </is>
      </c>
      <c r="E1713" s="7" t="inlineStr">
        <is>
          <t>Dyson</t>
        </is>
      </c>
      <c r="F1713" s="8" t="inlineStr">
        <is>
          <t>Philippines - Technology Campus</t>
        </is>
      </c>
      <c r="G1713" s="8" t="n"/>
      <c r="H1713" s="14" t="n"/>
      <c r="I1713" s="15">
        <f>IF($H1713="","",$H1713-TODAY())</f>
        <v/>
      </c>
      <c r="J1713" s="16" t="inlineStr">
        <is>
          <t>Open posting</t>
        </is>
      </c>
      <c r="K1713" s="8" t="inlineStr">
        <is>
          <t>filtered by keyword pre-scan</t>
        </is>
      </c>
      <c r="L1713" s="17" t="inlineStr">
        <is>
          <t>new</t>
        </is>
      </c>
      <c r="M1713" s="18" t="inlineStr"/>
      <c r="N1713" s="7" t="inlineStr">
        <is>
          <t>7acc1bcbf90c18d9f0fd241819e31fd3fac8e9cd</t>
        </is>
      </c>
      <c r="O1713" s="14" t="n"/>
      <c r="P1713" s="7" t="inlineStr">
        <is>
          <t>workday</t>
        </is>
      </c>
      <c r="Q1713" s="8" t="inlineStr"/>
      <c r="R1713" s="8" t="n"/>
      <c r="S1713" s="19" t="n"/>
      <c r="T1713" s="19" t="n"/>
      <c r="U1713" s="14" t="n">
        <v>46195</v>
      </c>
      <c r="V1713" s="7" t="inlineStr">
        <is>
          <t>v2-cv-accuracy-13b988b18da8ea7d</t>
        </is>
      </c>
    </row>
    <row r="1714" ht="28" customHeight="1">
      <c r="A1714" s="12">
        <f>IF($L1714="applied","Applied",IF($L1714="interview","Interview",IF($L1714="offer","Offer",IF($L1714="rejected","Rejected",IF($L1714="ignore","Ignore",IF($L1714="archive","Archive",IF($L1714="closed","Closed",IF($B1714="","Unscored",IF(AND($B1714&gt;=8,OR($H1714="",$H1714-TODAY()&lt;=14)),"P1 Apply",IF($B1714&gt;=7,"P2 Strong",IF($B1714&gt;=5,"P3 Maybe","P4 Low")))))))))))</f>
        <v/>
      </c>
      <c r="B1714" s="13" t="n">
        <v>0</v>
      </c>
      <c r="C1714" s="12" t="inlineStr">
        <is>
          <t>Manager/Owner</t>
        </is>
      </c>
      <c r="D1714" s="8" t="inlineStr">
        <is>
          <t>Quality Manager</t>
        </is>
      </c>
      <c r="E1714" s="7" t="inlineStr">
        <is>
          <t>Dyson</t>
        </is>
      </c>
      <c r="F1714" s="8" t="inlineStr">
        <is>
          <t>Republic of Korea - Seoul Office</t>
        </is>
      </c>
      <c r="G1714" s="8" t="n"/>
      <c r="H1714" s="14" t="n"/>
      <c r="I1714" s="15">
        <f>IF($H1714="","",$H1714-TODAY())</f>
        <v/>
      </c>
      <c r="J1714" s="16" t="inlineStr">
        <is>
          <t>Open posting</t>
        </is>
      </c>
      <c r="K1714" s="8" t="inlineStr">
        <is>
          <t>filtered by keyword pre-scan</t>
        </is>
      </c>
      <c r="L1714" s="17" t="inlineStr">
        <is>
          <t>new</t>
        </is>
      </c>
      <c r="M1714" s="18" t="inlineStr"/>
      <c r="N1714" s="7" t="inlineStr">
        <is>
          <t>b28a95efc826008d8913f1d75187e1da28d442df</t>
        </is>
      </c>
      <c r="O1714" s="14" t="n"/>
      <c r="P1714" s="7" t="inlineStr">
        <is>
          <t>workday</t>
        </is>
      </c>
      <c r="Q1714" s="8" t="inlineStr"/>
      <c r="R1714" s="8" t="n"/>
      <c r="S1714" s="19" t="n"/>
      <c r="T1714" s="19" t="n"/>
      <c r="U1714" s="14" t="n">
        <v>46195</v>
      </c>
      <c r="V1714" s="7" t="inlineStr">
        <is>
          <t>v2-cv-accuracy-13b988b18da8ea7d</t>
        </is>
      </c>
    </row>
    <row r="1715" ht="28" customHeight="1">
      <c r="A1715" s="12">
        <f>IF($L1715="applied","Applied",IF($L1715="interview","Interview",IF($L1715="offer","Offer",IF($L1715="rejected","Rejected",IF($L1715="ignore","Ignore",IF($L1715="archive","Archive",IF($L1715="closed","Closed",IF($B1715="","Unscored",IF(AND($B1715&gt;=8,OR($H1715="",$H1715-TODAY()&lt;=14)),"P1 Apply",IF($B1715&gt;=7,"P2 Strong",IF($B1715&gt;=5,"P3 Maybe","P4 Low")))))))))))</f>
        <v/>
      </c>
      <c r="B1715" s="13" t="n">
        <v>0</v>
      </c>
      <c r="C1715" s="12" t="inlineStr">
        <is>
          <t>Senior/Lead</t>
        </is>
      </c>
      <c r="D1715" s="8" t="inlineStr">
        <is>
          <t>Senior Embedded Systems Engineer</t>
        </is>
      </c>
      <c r="E1715" s="7" t="inlineStr">
        <is>
          <t>IC Resources</t>
        </is>
      </c>
      <c r="F1715" s="8" t="inlineStr">
        <is>
          <t>Gloucestershire, England, UK</t>
        </is>
      </c>
      <c r="G1715" s="8" t="n"/>
      <c r="H1715" s="14" t="n"/>
      <c r="I1715" s="15">
        <f>IF($H1715="","",$H1715-TODAY())</f>
        <v/>
      </c>
      <c r="J1715" s="16" t="inlineStr">
        <is>
          <t>Open posting</t>
        </is>
      </c>
      <c r="K1715" s="8" t="inlineStr">
        <is>
          <t>filtered by keyword pre-scan</t>
        </is>
      </c>
      <c r="L1715" s="17" t="inlineStr">
        <is>
          <t>new</t>
        </is>
      </c>
      <c r="M1715" s="18" t="inlineStr"/>
      <c r="N1715" s="7" t="inlineStr">
        <is>
          <t>c0b2b88430cbda8c6aca0045b02bcc6736b9eb59</t>
        </is>
      </c>
      <c r="O1715" s="14" t="n">
        <v>46185</v>
      </c>
      <c r="P1715" s="7" t="inlineStr">
        <is>
          <t>jobspy</t>
        </is>
      </c>
      <c r="Q1715" s="8" t="inlineStr">
        <is>
          <t>python, stm32, c, embedded systems</t>
        </is>
      </c>
      <c r="R1715" s="8" t="inlineStr">
        <is>
          <t>Junior Embedded Systems Engineer STM32</t>
        </is>
      </c>
      <c r="S1715" s="19" t="n"/>
      <c r="T1715" s="19" t="n"/>
      <c r="U1715" s="14" t="n">
        <v>46195</v>
      </c>
      <c r="V1715" s="7" t="inlineStr">
        <is>
          <t>v2-cv-accuracy-13b988b18da8ea7d</t>
        </is>
      </c>
    </row>
    <row r="1716" ht="28" customHeight="1">
      <c r="A1716" s="12">
        <f>IF($L1716="applied","Applied",IF($L1716="interview","Interview",IF($L1716="offer","Offer",IF($L1716="rejected","Rejected",IF($L1716="ignore","Ignore",IF($L1716="archive","Archive",IF($L1716="closed","Closed",IF($B1716="","Unscored",IF(AND($B1716&gt;=8,OR($H1716="",$H1716-TODAY()&lt;=14)),"P1 Apply",IF($B1716&gt;=7,"P2 Strong",IF($B1716&gt;=5,"P3 Maybe","P4 Low")))))))))))</f>
        <v/>
      </c>
      <c r="B1716" s="13" t="n">
        <v>0</v>
      </c>
      <c r="C1716" s="12" t="inlineStr">
        <is>
          <t>Senior/Lead</t>
        </is>
      </c>
      <c r="D1716" s="8" t="inlineStr">
        <is>
          <t>Principal Embedded Software Engineer</t>
        </is>
      </c>
      <c r="E1716" s="7" t="inlineStr">
        <is>
          <t>Platform Recruitment</t>
        </is>
      </c>
      <c r="F1716" s="8" t="inlineStr">
        <is>
          <t>Cambridge, England, UK</t>
        </is>
      </c>
      <c r="G1716" s="8" t="n"/>
      <c r="H1716" s="14" t="n"/>
      <c r="I1716" s="15">
        <f>IF($H1716="","",$H1716-TODAY())</f>
        <v/>
      </c>
      <c r="J1716" s="16" t="inlineStr">
        <is>
          <t>Open posting</t>
        </is>
      </c>
      <c r="K1716" s="8" t="inlineStr">
        <is>
          <t>filtered by keyword pre-scan</t>
        </is>
      </c>
      <c r="L1716" s="17" t="inlineStr">
        <is>
          <t>new</t>
        </is>
      </c>
      <c r="M1716" s="18" t="inlineStr"/>
      <c r="N1716" s="7" t="inlineStr">
        <is>
          <t>84fb64af89f7d3ed5f944027b334903b5fcaa57c</t>
        </is>
      </c>
      <c r="O1716" s="14" t="n"/>
      <c r="P1716" s="7" t="inlineStr">
        <is>
          <t>jobspy</t>
        </is>
      </c>
      <c r="Q1716" s="8" t="inlineStr">
        <is>
          <t>fpga, c, embedded systems</t>
        </is>
      </c>
      <c r="R1716" s="8" t="inlineStr">
        <is>
          <t>Junior Embedded Systems Engineer STM32</t>
        </is>
      </c>
      <c r="S1716" s="19" t="n"/>
      <c r="T1716" s="19" t="n"/>
      <c r="U1716" s="14" t="n">
        <v>46195</v>
      </c>
      <c r="V1716" s="7" t="inlineStr">
        <is>
          <t>v2-cv-accuracy-13b988b18da8ea7d</t>
        </is>
      </c>
    </row>
    <row r="1717" ht="28" customHeight="1">
      <c r="A1717" s="12">
        <f>IF($L1717="applied","Applied",IF($L1717="interview","Interview",IF($L1717="offer","Offer",IF($L1717="rejected","Rejected",IF($L1717="ignore","Ignore",IF($L1717="archive","Archive",IF($L1717="closed","Closed",IF($B1717="","Unscored",IF(AND($B1717&gt;=8,OR($H1717="",$H1717-TODAY()&lt;=14)),"P1 Apply",IF($B1717&gt;=7,"P2 Strong",IF($B1717&gt;=5,"P3 Maybe","P4 Low")))))))))))</f>
        <v/>
      </c>
      <c r="B1717" s="13" t="n">
        <v>0</v>
      </c>
      <c r="C1717" s="12" t="inlineStr">
        <is>
          <t>Senior/Lead</t>
        </is>
      </c>
      <c r="D1717" s="8" t="inlineStr">
        <is>
          <t>Senior Cloud Migration Engineer</t>
        </is>
      </c>
      <c r="E1717" s="7" t="inlineStr">
        <is>
          <t>Quantiphi</t>
        </is>
      </c>
      <c r="F1717" s="8" t="inlineStr"/>
      <c r="G1717" s="8" t="n"/>
      <c r="H1717" s="14" t="n"/>
      <c r="I1717" s="15">
        <f>IF($H1717="","",$H1717-TODAY())</f>
        <v/>
      </c>
      <c r="J1717" s="16" t="inlineStr">
        <is>
          <t>Open posting</t>
        </is>
      </c>
      <c r="K1717" s="8" t="inlineStr">
        <is>
          <t>filtered by keyword pre-scan</t>
        </is>
      </c>
      <c r="L1717" s="17" t="inlineStr">
        <is>
          <t>new</t>
        </is>
      </c>
      <c r="M1717" s="18" t="inlineStr"/>
      <c r="N1717" s="7" t="inlineStr">
        <is>
          <t>0e81e6f91329b28eb63c5f99bd394aeabbb0c147</t>
        </is>
      </c>
      <c r="O1717" s="14" t="n">
        <v>46186</v>
      </c>
      <c r="P1717" s="7" t="inlineStr">
        <is>
          <t>jobspy</t>
        </is>
      </c>
      <c r="Q1717" s="8" t="inlineStr">
        <is>
          <t>python, sql, docker, kubernetes, git</t>
        </is>
      </c>
      <c r="R1717" s="8" t="inlineStr">
        <is>
          <t>Platform Engineer graduate Python Docker remote</t>
        </is>
      </c>
      <c r="S1717" s="19" t="n"/>
      <c r="T1717" s="19" t="n"/>
      <c r="U1717" s="14" t="n">
        <v>46195</v>
      </c>
      <c r="V1717" s="7" t="inlineStr">
        <is>
          <t>v2-cv-accuracy-13b988b18da8ea7d</t>
        </is>
      </c>
    </row>
    <row r="1718" ht="28" customHeight="1">
      <c r="A1718" s="12">
        <f>IF($L1718="applied","Applied",IF($L1718="interview","Interview",IF($L1718="offer","Offer",IF($L1718="rejected","Rejected",IF($L1718="ignore","Ignore",IF($L1718="archive","Archive",IF($L1718="closed","Closed",IF($B1718="","Unscored",IF(AND($B1718&gt;=8,OR($H1718="",$H1718-TODAY()&lt;=14)),"P1 Apply",IF($B1718&gt;=7,"P2 Strong",IF($B1718&gt;=5,"P3 Maybe","P4 Low")))))))))))</f>
        <v/>
      </c>
      <c r="B1718" s="13" t="n">
        <v>0</v>
      </c>
      <c r="C1718" s="12" t="inlineStr">
        <is>
          <t>Senior/Lead</t>
        </is>
      </c>
      <c r="D1718" s="8" t="inlineStr">
        <is>
          <t>Lead Engineer (AI Platform)</t>
        </is>
      </c>
      <c r="E1718" s="7" t="inlineStr">
        <is>
          <t>Napier AI</t>
        </is>
      </c>
      <c r="F1718" s="8" t="inlineStr">
        <is>
          <t>London, England, UK</t>
        </is>
      </c>
      <c r="G1718" s="8" t="n"/>
      <c r="H1718" s="14" t="n"/>
      <c r="I1718" s="15">
        <f>IF($H1718="","",$H1718-TODAY())</f>
        <v/>
      </c>
      <c r="J1718" s="16" t="inlineStr">
        <is>
          <t>Open posting</t>
        </is>
      </c>
      <c r="K1718" s="8" t="inlineStr">
        <is>
          <t>filtered by keyword pre-scan</t>
        </is>
      </c>
      <c r="L1718" s="17" t="inlineStr">
        <is>
          <t>new</t>
        </is>
      </c>
      <c r="M1718" s="18" t="inlineStr"/>
      <c r="N1718" s="7" t="inlineStr">
        <is>
          <t>5d1c8255d7f5e88c8db9ea83f4edf2b61b42b690</t>
        </is>
      </c>
      <c r="O1718" s="14" t="n">
        <v>46179</v>
      </c>
      <c r="P1718" s="7" t="inlineStr">
        <is>
          <t>jobspy</t>
        </is>
      </c>
      <c r="Q1718" s="8" t="inlineStr">
        <is>
          <t>python, docker, kubernetes, git, c</t>
        </is>
      </c>
      <c r="R1718" s="8" t="inlineStr">
        <is>
          <t>Platform Engineer graduate Python Docker remote</t>
        </is>
      </c>
      <c r="S1718" s="19" t="n"/>
      <c r="T1718" s="19" t="n"/>
      <c r="U1718" s="14" t="n">
        <v>46195</v>
      </c>
      <c r="V1718" s="7" t="inlineStr">
        <is>
          <t>v2-cv-accuracy-13b988b18da8ea7d</t>
        </is>
      </c>
    </row>
    <row r="1719" ht="28" customHeight="1">
      <c r="A1719" s="12">
        <f>IF($L1719="applied","Applied",IF($L1719="interview","Interview",IF($L1719="offer","Offer",IF($L1719="rejected","Rejected",IF($L1719="ignore","Ignore",IF($L1719="archive","Archive",IF($L1719="closed","Closed",IF($B1719="","Unscored",IF(AND($B1719&gt;=8,OR($H1719="",$H1719-TODAY()&lt;=14)),"P1 Apply",IF($B1719&gt;=7,"P2 Strong",IF($B1719&gt;=5,"P3 Maybe","P4 Low")))))))))))</f>
        <v/>
      </c>
      <c r="B1719" s="13" t="n">
        <v>0</v>
      </c>
      <c r="C1719" s="12" t="inlineStr">
        <is>
          <t>Manager/Owner</t>
        </is>
      </c>
      <c r="D1719" s="8" t="inlineStr">
        <is>
          <t>Customer Success Manager I</t>
        </is>
      </c>
      <c r="E1719" s="7" t="inlineStr">
        <is>
          <t>GoCardless</t>
        </is>
      </c>
      <c r="F1719" s="8" t="inlineStr">
        <is>
          <t>Leeds, UK</t>
        </is>
      </c>
      <c r="G1719" s="8" t="n"/>
      <c r="H1719" s="14" t="n"/>
      <c r="I1719" s="15">
        <f>IF($H1719="","",$H1719-TODAY())</f>
        <v/>
      </c>
      <c r="J1719" s="16" t="inlineStr">
        <is>
          <t>Open posting</t>
        </is>
      </c>
      <c r="K1719" s="8" t="inlineStr">
        <is>
          <t>filtered by keyword pre-scan</t>
        </is>
      </c>
      <c r="L1719" s="17" t="inlineStr">
        <is>
          <t>new</t>
        </is>
      </c>
      <c r="M1719" s="18" t="inlineStr"/>
      <c r="N1719" s="7" t="inlineStr">
        <is>
          <t>4a6cfa8fb871fbb19ab12e46227c7adc72381dde</t>
        </is>
      </c>
      <c r="O1719" s="14" t="n">
        <v>46195</v>
      </c>
      <c r="P1719" s="7" t="inlineStr">
        <is>
          <t>greenhouse:gocardless</t>
        </is>
      </c>
      <c r="Q1719" s="8" t="inlineStr">
        <is>
          <t>c</t>
        </is>
      </c>
      <c r="R1719" s="8" t="n"/>
      <c r="S1719" s="19" t="n"/>
      <c r="T1719" s="19" t="n"/>
      <c r="U1719" s="14" t="n">
        <v>46195</v>
      </c>
      <c r="V1719" s="7" t="inlineStr">
        <is>
          <t>v2-cv-accuracy-13b988b18da8ea7d</t>
        </is>
      </c>
    </row>
    <row r="1720" ht="28" customHeight="1">
      <c r="A1720" s="12">
        <f>IF($L1720="applied","Applied",IF($L1720="interview","Interview",IF($L1720="offer","Offer",IF($L1720="rejected","Rejected",IF($L1720="ignore","Ignore",IF($L1720="archive","Archive",IF($L1720="closed","Closed",IF($B1720="","Unscored",IF(AND($B1720&gt;=8,OR($H1720="",$H1720-TODAY()&lt;=14)),"P1 Apply",IF($B1720&gt;=7,"P2 Strong",IF($B1720&gt;=5,"P3 Maybe","P4 Low")))))))))))</f>
        <v/>
      </c>
      <c r="B1720" s="13" t="n">
        <v>0</v>
      </c>
      <c r="C1720" s="12" t="inlineStr">
        <is>
          <t>Unspecified</t>
        </is>
      </c>
      <c r="D1720" s="8" t="inlineStr">
        <is>
          <t>Business Development Representative - Danish, Norwegian or Swedish Speaking</t>
        </is>
      </c>
      <c r="E1720" s="7" t="inlineStr">
        <is>
          <t>Cloudflare</t>
        </is>
      </c>
      <c r="F1720" s="8" t="inlineStr">
        <is>
          <t>Hybrid</t>
        </is>
      </c>
      <c r="G1720" s="8" t="n"/>
      <c r="H1720" s="14" t="n"/>
      <c r="I1720" s="15">
        <f>IF($H1720="","",$H1720-TODAY())</f>
        <v/>
      </c>
      <c r="J1720" s="16" t="inlineStr">
        <is>
          <t>Open posting</t>
        </is>
      </c>
      <c r="K1720" s="8" t="inlineStr">
        <is>
          <t>filtered by keyword pre-scan</t>
        </is>
      </c>
      <c r="L1720" s="17" t="inlineStr">
        <is>
          <t>new</t>
        </is>
      </c>
      <c r="M1720" s="18" t="inlineStr"/>
      <c r="N1720" s="7" t="inlineStr">
        <is>
          <t>60a0fb345b2960681be7b281bd96fc6979fc151c</t>
        </is>
      </c>
      <c r="O1720" s="14" t="n">
        <v>46195</v>
      </c>
      <c r="P1720" s="7" t="inlineStr">
        <is>
          <t>greenhouse:cloudflare</t>
        </is>
      </c>
      <c r="Q1720" s="8" t="inlineStr">
        <is>
          <t>c</t>
        </is>
      </c>
      <c r="R1720" s="8" t="n"/>
      <c r="S1720" s="19" t="n"/>
      <c r="T1720" s="19" t="n"/>
      <c r="U1720" s="14" t="n">
        <v>46195</v>
      </c>
      <c r="V1720" s="7" t="inlineStr">
        <is>
          <t>v2-cv-accuracy-13b988b18da8ea7d</t>
        </is>
      </c>
    </row>
    <row r="1721" ht="28" customHeight="1">
      <c r="A1721" s="12">
        <f>IF($L1721="applied","Applied",IF($L1721="interview","Interview",IF($L1721="offer","Offer",IF($L1721="rejected","Rejected",IF($L1721="ignore","Ignore",IF($L1721="archive","Archive",IF($L1721="closed","Closed",IF($B1721="","Unscored",IF(AND($B1721&gt;=8,OR($H1721="",$H1721-TODAY()&lt;=14)),"P1 Apply",IF($B1721&gt;=7,"P2 Strong",IF($B1721&gt;=5,"P3 Maybe","P4 Low")))))))))))</f>
        <v/>
      </c>
      <c r="B1721" s="13" t="n">
        <v>0</v>
      </c>
      <c r="C1721" s="12" t="inlineStr">
        <is>
          <t>Unspecified</t>
        </is>
      </c>
      <c r="D1721" s="8" t="inlineStr">
        <is>
          <t>Business Development Representative - Dutch Speaking</t>
        </is>
      </c>
      <c r="E1721" s="7" t="inlineStr">
        <is>
          <t>Cloudflare</t>
        </is>
      </c>
      <c r="F1721" s="8" t="inlineStr">
        <is>
          <t>Hybrid</t>
        </is>
      </c>
      <c r="G1721" s="8" t="n"/>
      <c r="H1721" s="14" t="n"/>
      <c r="I1721" s="15">
        <f>IF($H1721="","",$H1721-TODAY())</f>
        <v/>
      </c>
      <c r="J1721" s="16" t="inlineStr">
        <is>
          <t>Open posting</t>
        </is>
      </c>
      <c r="K1721" s="8" t="inlineStr">
        <is>
          <t>filtered by keyword pre-scan</t>
        </is>
      </c>
      <c r="L1721" s="17" t="inlineStr">
        <is>
          <t>new</t>
        </is>
      </c>
      <c r="M1721" s="18" t="inlineStr"/>
      <c r="N1721" s="7" t="inlineStr">
        <is>
          <t>678211f622c0f68cb4ba2bfbab5ba3eb00650854</t>
        </is>
      </c>
      <c r="O1721" s="14" t="n">
        <v>46195</v>
      </c>
      <c r="P1721" s="7" t="inlineStr">
        <is>
          <t>greenhouse:cloudflare</t>
        </is>
      </c>
      <c r="Q1721" s="8" t="inlineStr">
        <is>
          <t>c</t>
        </is>
      </c>
      <c r="R1721" s="8" t="n"/>
      <c r="S1721" s="19" t="n"/>
      <c r="T1721" s="19" t="n"/>
      <c r="U1721" s="14" t="n">
        <v>46195</v>
      </c>
      <c r="V1721" s="7" t="inlineStr">
        <is>
          <t>v2-cv-accuracy-13b988b18da8ea7d</t>
        </is>
      </c>
    </row>
    <row r="1722" ht="28" customHeight="1">
      <c r="A1722" s="12">
        <f>IF($L1722="applied","Applied",IF($L1722="interview","Interview",IF($L1722="offer","Offer",IF($L1722="rejected","Rejected",IF($L1722="ignore","Ignore",IF($L1722="archive","Archive",IF($L1722="closed","Closed",IF($B1722="","Unscored",IF(AND($B1722&gt;=8,OR($H1722="",$H1722-TODAY()&lt;=14)),"P1 Apply",IF($B1722&gt;=7,"P2 Strong",IF($B1722&gt;=5,"P3 Maybe","P4 Low")))))))))))</f>
        <v/>
      </c>
      <c r="B1722" s="13" t="n">
        <v>0</v>
      </c>
      <c r="C1722" s="12" t="inlineStr">
        <is>
          <t>Manager/Owner</t>
        </is>
      </c>
      <c r="D1722" s="8" t="inlineStr">
        <is>
          <t>Area Manager</t>
        </is>
      </c>
      <c r="E1722" s="7" t="inlineStr">
        <is>
          <t>Dyson</t>
        </is>
      </c>
      <c r="F1722" s="8" t="inlineStr">
        <is>
          <t>Netherlands - Amsterdam Office</t>
        </is>
      </c>
      <c r="G1722" s="8" t="n"/>
      <c r="H1722" s="14" t="n"/>
      <c r="I1722" s="15">
        <f>IF($H1722="","",$H1722-TODAY())</f>
        <v/>
      </c>
      <c r="J1722" s="16" t="inlineStr">
        <is>
          <t>Open posting</t>
        </is>
      </c>
      <c r="K1722" s="8" t="inlineStr">
        <is>
          <t>filtered by keyword pre-scan</t>
        </is>
      </c>
      <c r="L1722" s="17" t="inlineStr">
        <is>
          <t>new</t>
        </is>
      </c>
      <c r="M1722" s="18" t="inlineStr"/>
      <c r="N1722" s="7" t="inlineStr">
        <is>
          <t>676e5888b73db18d55098938e986a89243ca949d</t>
        </is>
      </c>
      <c r="O1722" s="14" t="n"/>
      <c r="P1722" s="7" t="inlineStr">
        <is>
          <t>workday</t>
        </is>
      </c>
      <c r="Q1722" s="8" t="inlineStr"/>
      <c r="R1722" s="8" t="n"/>
      <c r="S1722" s="19" t="n"/>
      <c r="T1722" s="19" t="n"/>
      <c r="U1722" s="14" t="n">
        <v>46195</v>
      </c>
      <c r="V1722" s="7" t="inlineStr">
        <is>
          <t>v2-cv-accuracy-13b988b18da8ea7d</t>
        </is>
      </c>
    </row>
    <row r="1723" ht="28" customHeight="1">
      <c r="A1723" s="12">
        <f>IF($L1723="applied","Applied",IF($L1723="interview","Interview",IF($L1723="offer","Offer",IF($L1723="rejected","Rejected",IF($L1723="ignore","Ignore",IF($L1723="archive","Archive",IF($L1723="closed","Closed",IF($B1723="","Unscored",IF(AND($B1723&gt;=8,OR($H1723="",$H1723-TODAY()&lt;=14)),"P1 Apply",IF($B1723&gt;=7,"P2 Strong",IF($B1723&gt;=5,"P3 Maybe","P4 Low")))))))))))</f>
        <v/>
      </c>
      <c r="B1723" s="13" t="n">
        <v>0</v>
      </c>
      <c r="C1723" s="12" t="inlineStr">
        <is>
          <t>Senior/Lead</t>
        </is>
      </c>
      <c r="D1723" s="8" t="inlineStr">
        <is>
          <t>Senior Python Full Stack Engineer</t>
        </is>
      </c>
      <c r="E1723" s="7" t="inlineStr">
        <is>
          <t>Version 1</t>
        </is>
      </c>
      <c r="F1723" s="8" t="inlineStr">
        <is>
          <t>Belfast, Northern Ireland, UK</t>
        </is>
      </c>
      <c r="G1723" s="8" t="n"/>
      <c r="H1723" s="14" t="n"/>
      <c r="I1723" s="15">
        <f>IF($H1723="","",$H1723-TODAY())</f>
        <v/>
      </c>
      <c r="J1723" s="16" t="inlineStr">
        <is>
          <t>Open posting</t>
        </is>
      </c>
      <c r="K1723" s="8" t="inlineStr">
        <is>
          <t>filtered by keyword pre-scan</t>
        </is>
      </c>
      <c r="L1723" s="17" t="inlineStr">
        <is>
          <t>new</t>
        </is>
      </c>
      <c r="M1723" s="18" t="inlineStr"/>
      <c r="N1723" s="7" t="inlineStr">
        <is>
          <t>725513cd4fa9b3c1919e67663cab9edea896b75b</t>
        </is>
      </c>
      <c r="O1723" s="14" t="n">
        <v>46176</v>
      </c>
      <c r="P1723" s="7" t="inlineStr">
        <is>
          <t>jobspy</t>
        </is>
      </c>
      <c r="Q1723" s="8" t="inlineStr">
        <is>
          <t>python, docker, kubernetes, c, javascript</t>
        </is>
      </c>
      <c r="R1723" s="8" t="inlineStr">
        <is>
          <t>Junior Full Stack Developer JavaScript Python remote</t>
        </is>
      </c>
      <c r="S1723" s="19" t="n"/>
      <c r="T1723" s="19" t="n"/>
      <c r="U1723" s="14" t="n">
        <v>46195</v>
      </c>
      <c r="V1723" s="7" t="inlineStr">
        <is>
          <t>v2-cv-accuracy-13b988b18da8ea7d</t>
        </is>
      </c>
    </row>
    <row r="1724" ht="28" customHeight="1">
      <c r="A1724" s="12">
        <f>IF($L1724="applied","Applied",IF($L1724="interview","Interview",IF($L1724="offer","Offer",IF($L1724="rejected","Rejected",IF($L1724="ignore","Ignore",IF($L1724="archive","Archive",IF($L1724="closed","Closed",IF($B1724="","Unscored",IF(AND($B1724&gt;=8,OR($H1724="",$H1724-TODAY()&lt;=14)),"P1 Apply",IF($B1724&gt;=7,"P2 Strong",IF($B1724&gt;=5,"P3 Maybe","P4 Low")))))))))))</f>
        <v/>
      </c>
      <c r="B1724" s="13" t="n">
        <v>0</v>
      </c>
      <c r="C1724" s="12" t="inlineStr">
        <is>
          <t>Senior/Lead</t>
        </is>
      </c>
      <c r="D1724" s="8" t="inlineStr">
        <is>
          <t>Senior Fullstack / Cloud Engineer</t>
        </is>
      </c>
      <c r="E1724" s="7" t="inlineStr">
        <is>
          <t>huru</t>
        </is>
      </c>
      <c r="F1724" s="8" t="inlineStr">
        <is>
          <t>Tetbury, England, UK</t>
        </is>
      </c>
      <c r="G1724" s="8" t="n"/>
      <c r="H1724" s="14" t="n"/>
      <c r="I1724" s="15">
        <f>IF($H1724="","",$H1724-TODAY())</f>
        <v/>
      </c>
      <c r="J1724" s="16" t="inlineStr">
        <is>
          <t>Open posting</t>
        </is>
      </c>
      <c r="K1724" s="8" t="inlineStr">
        <is>
          <t>filtered by keyword pre-scan</t>
        </is>
      </c>
      <c r="L1724" s="17" t="inlineStr">
        <is>
          <t>new</t>
        </is>
      </c>
      <c r="M1724" s="18" t="inlineStr"/>
      <c r="N1724" s="7" t="inlineStr">
        <is>
          <t>aac2424ce0978d3bbb56cbec7838216af4098aeb</t>
        </is>
      </c>
      <c r="O1724" s="14" t="n">
        <v>46169</v>
      </c>
      <c r="P1724" s="7" t="inlineStr">
        <is>
          <t>jobspy</t>
        </is>
      </c>
      <c r="Q1724" s="8" t="inlineStr">
        <is>
          <t>python, kubernetes, git, c, javascript</t>
        </is>
      </c>
      <c r="R1724" s="8" t="inlineStr">
        <is>
          <t>Junior Full Stack Developer JavaScript Python remote</t>
        </is>
      </c>
      <c r="S1724" s="19" t="n"/>
      <c r="T1724" s="19" t="n"/>
      <c r="U1724" s="14" t="n">
        <v>46195</v>
      </c>
      <c r="V1724" s="7" t="inlineStr">
        <is>
          <t>v2-cv-accuracy-13b988b18da8ea7d</t>
        </is>
      </c>
    </row>
    <row r="1725" ht="28" customHeight="1">
      <c r="A1725" s="12">
        <f>IF($L1725="applied","Applied",IF($L1725="interview","Interview",IF($L1725="offer","Offer",IF($L1725="rejected","Rejected",IF($L1725="ignore","Ignore",IF($L1725="archive","Archive",IF($L1725="closed","Closed",IF($B1725="","Unscored",IF(AND($B1725&gt;=8,OR($H1725="",$H1725-TODAY()&lt;=14)),"P1 Apply",IF($B1725&gt;=7,"P2 Strong",IF($B1725&gt;=5,"P3 Maybe","P4 Low")))))))))))</f>
        <v/>
      </c>
      <c r="B1725" s="13" t="n">
        <v>0</v>
      </c>
      <c r="C1725" s="12" t="inlineStr">
        <is>
          <t>Senior/Lead</t>
        </is>
      </c>
      <c r="D1725" s="8" t="inlineStr">
        <is>
          <t>Senior Full Stack Engineer: Offsite Discovery</t>
        </is>
      </c>
      <c r="E1725" s="7" t="inlineStr">
        <is>
          <t>Constructor</t>
        </is>
      </c>
      <c r="F1725" s="8" t="inlineStr"/>
      <c r="G1725" s="8" t="n"/>
      <c r="H1725" s="14" t="n"/>
      <c r="I1725" s="15">
        <f>IF($H1725="","",$H1725-TODAY())</f>
        <v/>
      </c>
      <c r="J1725" s="16" t="inlineStr">
        <is>
          <t>Open posting</t>
        </is>
      </c>
      <c r="K1725" s="8" t="inlineStr">
        <is>
          <t>filtered by keyword pre-scan</t>
        </is>
      </c>
      <c r="L1725" s="17" t="inlineStr">
        <is>
          <t>new</t>
        </is>
      </c>
      <c r="M1725" s="18" t="inlineStr"/>
      <c r="N1725" s="7" t="inlineStr">
        <is>
          <t>e3820b711d3892f416f31c7f00a8a7be7bc4b80a</t>
        </is>
      </c>
      <c r="O1725" s="14" t="n">
        <v>46168</v>
      </c>
      <c r="P1725" s="7" t="inlineStr">
        <is>
          <t>jobspy</t>
        </is>
      </c>
      <c r="Q1725" s="8" t="inlineStr">
        <is>
          <t>python, sql, mysql, c, javascript</t>
        </is>
      </c>
      <c r="R1725" s="8" t="inlineStr">
        <is>
          <t>Junior Full Stack Developer JavaScript Python remote</t>
        </is>
      </c>
      <c r="S1725" s="19" t="n"/>
      <c r="T1725" s="19" t="n"/>
      <c r="U1725" s="14" t="n">
        <v>46195</v>
      </c>
      <c r="V1725" s="7" t="inlineStr">
        <is>
          <t>v2-cv-accuracy-13b988b18da8ea7d</t>
        </is>
      </c>
    </row>
    <row r="1726" ht="28" customHeight="1">
      <c r="A1726" s="12">
        <f>IF($L1726="applied","Applied",IF($L1726="interview","Interview",IF($L1726="offer","Offer",IF($L1726="rejected","Rejected",IF($L1726="ignore","Ignore",IF($L1726="archive","Archive",IF($L1726="closed","Closed",IF($B1726="","Unscored",IF(AND($B1726&gt;=8,OR($H1726="",$H1726-TODAY()&lt;=14)),"P1 Apply",IF($B1726&gt;=7,"P2 Strong",IF($B1726&gt;=5,"P3 Maybe","P4 Low")))))))))))</f>
        <v/>
      </c>
      <c r="B1726" s="13" t="n">
        <v>0</v>
      </c>
      <c r="C1726" s="12" t="inlineStr">
        <is>
          <t>Senior/Lead</t>
        </is>
      </c>
      <c r="D1726" s="8" t="inlineStr">
        <is>
          <t>Principal People Team Business Partner - GTM</t>
        </is>
      </c>
      <c r="E1726" s="7" t="inlineStr">
        <is>
          <t>Cloudflare</t>
        </is>
      </c>
      <c r="F1726" s="8" t="inlineStr">
        <is>
          <t>Hybrid</t>
        </is>
      </c>
      <c r="G1726" s="8" t="n"/>
      <c r="H1726" s="14" t="n"/>
      <c r="I1726" s="15">
        <f>IF($H1726="","",$H1726-TODAY())</f>
        <v/>
      </c>
      <c r="J1726" s="16" t="inlineStr">
        <is>
          <t>Open posting</t>
        </is>
      </c>
      <c r="K1726" s="8" t="inlineStr">
        <is>
          <t>filtered by keyword pre-scan</t>
        </is>
      </c>
      <c r="L1726" s="17" t="inlineStr">
        <is>
          <t>new</t>
        </is>
      </c>
      <c r="M1726" s="18" t="inlineStr"/>
      <c r="N1726" s="7" t="inlineStr">
        <is>
          <t>d7cd0f059aaccba2e4e8135946129e34ff14272f</t>
        </is>
      </c>
      <c r="O1726" s="14" t="n">
        <v>46195</v>
      </c>
      <c r="P1726" s="7" t="inlineStr">
        <is>
          <t>greenhouse:cloudflare</t>
        </is>
      </c>
      <c r="Q1726" s="8" t="inlineStr">
        <is>
          <t>c</t>
        </is>
      </c>
      <c r="R1726" s="8" t="n"/>
      <c r="S1726" s="19" t="n"/>
      <c r="T1726" s="19" t="n"/>
      <c r="U1726" s="14" t="n">
        <v>46195</v>
      </c>
      <c r="V1726" s="7" t="inlineStr">
        <is>
          <t>v2-cv-accuracy-13b988b18da8ea7d</t>
        </is>
      </c>
    </row>
    <row r="1727" ht="28" customHeight="1">
      <c r="A1727" s="12">
        <f>IF($L1727="applied","Applied",IF($L1727="interview","Interview",IF($L1727="offer","Offer",IF($L1727="rejected","Rejected",IF($L1727="ignore","Ignore",IF($L1727="archive","Archive",IF($L1727="closed","Closed",IF($B1727="","Unscored",IF(AND($B1727&gt;=8,OR($H1727="",$H1727-TODAY()&lt;=14)),"P1 Apply",IF($B1727&gt;=7,"P2 Strong",IF($B1727&gt;=5,"P3 Maybe","P4 Low")))))))))))</f>
        <v/>
      </c>
      <c r="B1727" s="13" t="n">
        <v>0</v>
      </c>
      <c r="C1727" s="12" t="inlineStr">
        <is>
          <t>Senior/Lead</t>
        </is>
      </c>
      <c r="D1727" s="8" t="inlineStr">
        <is>
          <t>Senior Data Scientist</t>
        </is>
      </c>
      <c r="E1727" s="7" t="inlineStr">
        <is>
          <t>Cloudflare</t>
        </is>
      </c>
      <c r="F1727" s="8" t="inlineStr">
        <is>
          <t>Hybrid</t>
        </is>
      </c>
      <c r="G1727" s="8" t="n"/>
      <c r="H1727" s="14" t="n"/>
      <c r="I1727" s="15">
        <f>IF($H1727="","",$H1727-TODAY())</f>
        <v/>
      </c>
      <c r="J1727" s="16" t="inlineStr">
        <is>
          <t>Open posting</t>
        </is>
      </c>
      <c r="K1727" s="8" t="inlineStr">
        <is>
          <t>filtered by keyword pre-scan</t>
        </is>
      </c>
      <c r="L1727" s="17" t="inlineStr">
        <is>
          <t>new</t>
        </is>
      </c>
      <c r="M1727" s="18" t="inlineStr"/>
      <c r="N1727" s="7" t="inlineStr">
        <is>
          <t>890a9fb5984ae3770d29be3263bf96c207a83ac1</t>
        </is>
      </c>
      <c r="O1727" s="14" t="n">
        <v>46195</v>
      </c>
      <c r="P1727" s="7" t="inlineStr">
        <is>
          <t>greenhouse:cloudflare</t>
        </is>
      </c>
      <c r="Q1727" s="8" t="inlineStr">
        <is>
          <t>python, c</t>
        </is>
      </c>
      <c r="R1727" s="8" t="n"/>
      <c r="S1727" s="19" t="n"/>
      <c r="T1727" s="19" t="n"/>
      <c r="U1727" s="14" t="n">
        <v>46195</v>
      </c>
      <c r="V1727" s="7" t="inlineStr">
        <is>
          <t>v2-cv-accuracy-13b988b18da8ea7d</t>
        </is>
      </c>
    </row>
    <row r="1728" ht="28" customHeight="1">
      <c r="A1728" s="12">
        <f>IF($L1728="applied","Applied",IF($L1728="interview","Interview",IF($L1728="offer","Offer",IF($L1728="rejected","Rejected",IF($L1728="ignore","Ignore",IF($L1728="archive","Archive",IF($L1728="closed","Closed",IF($B1728="","Unscored",IF(AND($B1728&gt;=8,OR($H1728="",$H1728-TODAY()&lt;=14)),"P1 Apply",IF($B1728&gt;=7,"P2 Strong",IF($B1728&gt;=5,"P3 Maybe","P4 Low")))))))))))</f>
        <v/>
      </c>
      <c r="B1728" s="13" t="n">
        <v>0</v>
      </c>
      <c r="C1728" s="12" t="inlineStr">
        <is>
          <t>Mid-level</t>
        </is>
      </c>
      <c r="D1728" s="8" t="inlineStr">
        <is>
          <t>System Engineer, Cloudflare Hyperdrive</t>
        </is>
      </c>
      <c r="E1728" s="7" t="inlineStr">
        <is>
          <t>Cloudflare</t>
        </is>
      </c>
      <c r="F1728" s="8" t="inlineStr">
        <is>
          <t>Hybrid</t>
        </is>
      </c>
      <c r="G1728" s="8" t="n"/>
      <c r="H1728" s="14" t="n"/>
      <c r="I1728" s="15">
        <f>IF($H1728="","",$H1728-TODAY())</f>
        <v/>
      </c>
      <c r="J1728" s="16" t="inlineStr">
        <is>
          <t>Open posting</t>
        </is>
      </c>
      <c r="K1728" s="8" t="inlineStr">
        <is>
          <t>filtered by keyword pre-scan</t>
        </is>
      </c>
      <c r="L1728" s="17" t="inlineStr">
        <is>
          <t>new</t>
        </is>
      </c>
      <c r="M1728" s="18" t="inlineStr"/>
      <c r="N1728" s="7" t="inlineStr">
        <is>
          <t>c44d6c3324c6dc7c412431f944b0d61270cd2f45</t>
        </is>
      </c>
      <c r="O1728" s="14" t="n">
        <v>46195</v>
      </c>
      <c r="P1728" s="7" t="inlineStr">
        <is>
          <t>greenhouse:cloudflare</t>
        </is>
      </c>
      <c r="Q1728" s="8" t="inlineStr">
        <is>
          <t>c</t>
        </is>
      </c>
      <c r="R1728" s="8" t="n"/>
      <c r="S1728" s="19" t="n"/>
      <c r="T1728" s="19" t="n"/>
      <c r="U1728" s="14" t="n">
        <v>46195</v>
      </c>
      <c r="V1728" s="7" t="inlineStr">
        <is>
          <t>v2-cv-accuracy-13b988b18da8ea7d</t>
        </is>
      </c>
    </row>
    <row r="1729" ht="28" customHeight="1">
      <c r="A1729" s="12">
        <f>IF($L1729="applied","Applied",IF($L1729="interview","Interview",IF($L1729="offer","Offer",IF($L1729="rejected","Rejected",IF($L1729="ignore","Ignore",IF($L1729="archive","Archive",IF($L1729="closed","Closed",IF($B1729="","Unscored",IF(AND($B1729&gt;=8,OR($H1729="",$H1729-TODAY()&lt;=14)),"P1 Apply",IF($B1729&gt;=7,"P2 Strong",IF($B1729&gt;=5,"P3 Maybe","P4 Low")))))))))))</f>
        <v/>
      </c>
      <c r="B1729" s="13" t="n">
        <v>0</v>
      </c>
      <c r="C1729" s="12" t="inlineStr">
        <is>
          <t>Senior/Lead</t>
        </is>
      </c>
      <c r="D1729" s="8" t="inlineStr">
        <is>
          <t>Staff Characterisation Engineer</t>
        </is>
      </c>
      <c r="E1729" s="7" t="inlineStr">
        <is>
          <t>Semtech</t>
        </is>
      </c>
      <c r="F1729" s="8" t="inlineStr">
        <is>
          <t>Bristol, England, UK</t>
        </is>
      </c>
      <c r="G1729" s="8" t="n"/>
      <c r="H1729" s="14" t="n"/>
      <c r="I1729" s="15">
        <f>IF($H1729="","",$H1729-TODAY())</f>
        <v/>
      </c>
      <c r="J1729" s="16" t="inlineStr">
        <is>
          <t>Open posting</t>
        </is>
      </c>
      <c r="K1729" s="8" t="inlineStr">
        <is>
          <t>filtered by keyword pre-scan</t>
        </is>
      </c>
      <c r="L1729" s="17" t="inlineStr">
        <is>
          <t>new</t>
        </is>
      </c>
      <c r="M1729" s="18" t="inlineStr"/>
      <c r="N1729" s="7" t="inlineStr">
        <is>
          <t>d43b4ac1e9ec422e13c57ae3e5983a9a829311c6</t>
        </is>
      </c>
      <c r="O1729" s="14" t="n">
        <v>46178</v>
      </c>
      <c r="P1729" s="7" t="inlineStr">
        <is>
          <t>jobspy</t>
        </is>
      </c>
      <c r="Q1729" s="8" t="inlineStr">
        <is>
          <t>python, c</t>
        </is>
      </c>
      <c r="R1729" s="8" t="inlineStr">
        <is>
          <t>Graduate Electronics Engineer Sheffield</t>
        </is>
      </c>
      <c r="S1729" s="19" t="n"/>
      <c r="T1729" s="19" t="n"/>
      <c r="U1729" s="14" t="n">
        <v>46195</v>
      </c>
      <c r="V1729" s="7" t="inlineStr">
        <is>
          <t>v2-cv-accuracy-13b988b18da8ea7d</t>
        </is>
      </c>
    </row>
    <row r="1730" ht="28" customHeight="1">
      <c r="A1730" s="12">
        <f>IF($L1730="applied","Applied",IF($L1730="interview","Interview",IF($L1730="offer","Offer",IF($L1730="rejected","Rejected",IF($L1730="ignore","Ignore",IF($L1730="archive","Archive",IF($L1730="closed","Closed",IF($B1730="","Unscored",IF(AND($B1730&gt;=8,OR($H1730="",$H1730-TODAY()&lt;=14)),"P1 Apply",IF($B1730&gt;=7,"P2 Strong",IF($B1730&gt;=5,"P3 Maybe","P4 Low")))))))))))</f>
        <v/>
      </c>
      <c r="B1730" s="13" t="n">
        <v>0</v>
      </c>
      <c r="C1730" s="12" t="inlineStr">
        <is>
          <t>Senior/Lead</t>
        </is>
      </c>
      <c r="D1730" s="8" t="inlineStr">
        <is>
          <t>Senior Java Developer - Newcastle</t>
        </is>
      </c>
      <c r="E1730" s="7" t="inlineStr">
        <is>
          <t>Accenture</t>
        </is>
      </c>
      <c r="F1730" s="8" t="inlineStr">
        <is>
          <t>Newcastle upon Tyne, ENG, GB</t>
        </is>
      </c>
      <c r="G1730" s="8" t="n"/>
      <c r="H1730" s="14" t="n"/>
      <c r="I1730" s="15">
        <f>IF($H1730="","",$H1730-TODAY())</f>
        <v/>
      </c>
      <c r="J1730" s="16" t="inlineStr">
        <is>
          <t>Open posting</t>
        </is>
      </c>
      <c r="K1730" s="8" t="inlineStr">
        <is>
          <t>filtered by keyword pre-scan</t>
        </is>
      </c>
      <c r="L1730" s="17" t="inlineStr">
        <is>
          <t>new</t>
        </is>
      </c>
      <c r="M1730" s="18" t="inlineStr"/>
      <c r="N1730" s="7" t="inlineStr">
        <is>
          <t>0d36bba1a2be138000e2c28f8c235a570ff55bb0</t>
        </is>
      </c>
      <c r="O1730" s="14" t="n">
        <v>46195</v>
      </c>
      <c r="P1730" s="7" t="inlineStr">
        <is>
          <t>jobspy</t>
        </is>
      </c>
      <c r="Q1730" s="8" t="inlineStr">
        <is>
          <t>python, sql, mysql, c</t>
        </is>
      </c>
      <c r="R1730" s="8" t="inlineStr">
        <is>
          <t>Junior Python Developer backend SQL</t>
        </is>
      </c>
      <c r="S1730" s="19" t="n"/>
      <c r="T1730" s="19" t="n"/>
      <c r="U1730" s="14" t="n">
        <v>46195</v>
      </c>
      <c r="V1730" s="7" t="inlineStr">
        <is>
          <t>v2-cv-accuracy-13b988b18da8ea7d</t>
        </is>
      </c>
    </row>
    <row r="1731" ht="28" customHeight="1">
      <c r="A1731" s="12">
        <f>IF($L1731="applied","Applied",IF($L1731="interview","Interview",IF($L1731="offer","Offer",IF($L1731="rejected","Rejected",IF($L1731="ignore","Ignore",IF($L1731="archive","Archive",IF($L1731="closed","Closed",IF($B1731="","Unscored",IF(AND($B1731&gt;=8,OR($H1731="",$H1731-TODAY()&lt;=14)),"P1 Apply",IF($B1731&gt;=7,"P2 Strong",IF($B1731&gt;=5,"P3 Maybe","P4 Low")))))))))))</f>
        <v/>
      </c>
      <c r="B1731" s="13" t="n">
        <v>0</v>
      </c>
      <c r="C1731" s="12" t="inlineStr">
        <is>
          <t>Senior/Lead</t>
        </is>
      </c>
      <c r="D1731" s="8" t="inlineStr">
        <is>
          <t>Senior Power and Performance Validation Engineer</t>
        </is>
      </c>
      <c r="E1731" s="7" t="inlineStr">
        <is>
          <t>Graphcore</t>
        </is>
      </c>
      <c r="F1731" s="8" t="inlineStr">
        <is>
          <t>Austin, Texas, United States</t>
        </is>
      </c>
      <c r="G1731" s="8" t="n"/>
      <c r="H1731" s="14" t="n"/>
      <c r="I1731" s="15">
        <f>IF($H1731="","",$H1731-TODAY())</f>
        <v/>
      </c>
      <c r="J1731" s="16" t="inlineStr">
        <is>
          <t>Open posting</t>
        </is>
      </c>
      <c r="K1731" s="8" t="inlineStr">
        <is>
          <t>filtered by keyword pre-scan</t>
        </is>
      </c>
      <c r="L1731" s="17" t="inlineStr">
        <is>
          <t>new</t>
        </is>
      </c>
      <c r="M1731" s="18" t="inlineStr"/>
      <c r="N1731" s="7" t="inlineStr">
        <is>
          <t>ace1c4e25a3ddc5efddc3552d05facbe562cd221</t>
        </is>
      </c>
      <c r="O1731" s="14" t="n">
        <v>46195</v>
      </c>
      <c r="P1731" s="7" t="inlineStr">
        <is>
          <t>greenhouse:graphcore</t>
        </is>
      </c>
      <c r="Q1731" s="8" t="inlineStr">
        <is>
          <t>python, c</t>
        </is>
      </c>
      <c r="R1731" s="8" t="n"/>
      <c r="S1731" s="19" t="n"/>
      <c r="T1731" s="19" t="n"/>
      <c r="U1731" s="14" t="n">
        <v>46195</v>
      </c>
      <c r="V1731" s="7" t="inlineStr">
        <is>
          <t>v2-cv-accuracy-13b988b18da8ea7d</t>
        </is>
      </c>
    </row>
    <row r="1732" ht="28" customHeight="1">
      <c r="A1732" s="12">
        <f>IF($L1732="applied","Applied",IF($L1732="interview","Interview",IF($L1732="offer","Offer",IF($L1732="rejected","Rejected",IF($L1732="ignore","Ignore",IF($L1732="archive","Archive",IF($L1732="closed","Closed",IF($B1732="","Unscored",IF(AND($B1732&gt;=8,OR($H1732="",$H1732-TODAY()&lt;=14)),"P1 Apply",IF($B1732&gt;=7,"P2 Strong",IF($B1732&gt;=5,"P3 Maybe","P4 Low")))))))))))</f>
        <v/>
      </c>
      <c r="B1732" s="13" t="n">
        <v>0</v>
      </c>
      <c r="C1732" s="12" t="inlineStr">
        <is>
          <t>Senior/Lead</t>
        </is>
      </c>
      <c r="D1732" s="8" t="inlineStr">
        <is>
          <t>Staff-Power and Performance Validation Engineer</t>
        </is>
      </c>
      <c r="E1732" s="7" t="inlineStr">
        <is>
          <t>Graphcore</t>
        </is>
      </c>
      <c r="F1732" s="8" t="inlineStr">
        <is>
          <t>Austin, Texas, United States</t>
        </is>
      </c>
      <c r="G1732" s="8" t="n"/>
      <c r="H1732" s="14" t="n"/>
      <c r="I1732" s="15">
        <f>IF($H1732="","",$H1732-TODAY())</f>
        <v/>
      </c>
      <c r="J1732" s="16" t="inlineStr">
        <is>
          <t>Open posting</t>
        </is>
      </c>
      <c r="K1732" s="8" t="inlineStr">
        <is>
          <t>filtered by keyword pre-scan</t>
        </is>
      </c>
      <c r="L1732" s="17" t="inlineStr">
        <is>
          <t>new</t>
        </is>
      </c>
      <c r="M1732" s="18" t="inlineStr"/>
      <c r="N1732" s="7" t="inlineStr">
        <is>
          <t>3d53d6882016cae2ed241d0a16857fee9f4e25d5</t>
        </is>
      </c>
      <c r="O1732" s="14" t="n">
        <v>46195</v>
      </c>
      <c r="P1732" s="7" t="inlineStr">
        <is>
          <t>greenhouse:graphcore</t>
        </is>
      </c>
      <c r="Q1732" s="8" t="inlineStr">
        <is>
          <t>python, c</t>
        </is>
      </c>
      <c r="R1732" s="8" t="n"/>
      <c r="S1732" s="19" t="n"/>
      <c r="T1732" s="19" t="n"/>
      <c r="U1732" s="14" t="n">
        <v>46195</v>
      </c>
      <c r="V1732" s="7" t="inlineStr">
        <is>
          <t>v2-cv-accuracy-13b988b18da8ea7d</t>
        </is>
      </c>
    </row>
    <row r="1733" ht="28" customHeight="1">
      <c r="A1733" s="12">
        <f>IF($L1733="applied","Applied",IF($L1733="interview","Interview",IF($L1733="offer","Offer",IF($L1733="rejected","Rejected",IF($L1733="ignore","Ignore",IF($L1733="archive","Archive",IF($L1733="closed","Closed",IF($B1733="","Unscored",IF(AND($B1733&gt;=8,OR($H1733="",$H1733-TODAY()&lt;=14)),"P1 Apply",IF($B1733&gt;=7,"P2 Strong",IF($B1733&gt;=5,"P3 Maybe","P4 Low")))))))))))</f>
        <v/>
      </c>
      <c r="B1733" s="13" t="n">
        <v>0</v>
      </c>
      <c r="C1733" s="12" t="inlineStr">
        <is>
          <t>Senior/Lead</t>
        </is>
      </c>
      <c r="D1733" s="8" t="inlineStr">
        <is>
          <t>Senior PCB Layout Engineer</t>
        </is>
      </c>
      <c r="E1733" s="7" t="inlineStr">
        <is>
          <t>L3Harris</t>
        </is>
      </c>
      <c r="F1733" s="8" t="inlineStr">
        <is>
          <t>Tewkesbury, ENG, GB</t>
        </is>
      </c>
      <c r="G1733" s="8" t="n"/>
      <c r="H1733" s="14" t="n"/>
      <c r="I1733" s="15">
        <f>IF($H1733="","",$H1733-TODAY())</f>
        <v/>
      </c>
      <c r="J1733" s="16" t="inlineStr">
        <is>
          <t>Open posting</t>
        </is>
      </c>
      <c r="K1733" s="8" t="inlineStr">
        <is>
          <t>filtered by keyword pre-scan</t>
        </is>
      </c>
      <c r="L1733" s="17" t="inlineStr">
        <is>
          <t>new</t>
        </is>
      </c>
      <c r="M1733" s="18" t="inlineStr"/>
      <c r="N1733" s="7" t="inlineStr">
        <is>
          <t>82e23d9fe59d2a6b1ab9eb51c60f02bb50853611</t>
        </is>
      </c>
      <c r="O1733" s="14" t="n">
        <v>46184</v>
      </c>
      <c r="P1733" s="7" t="inlineStr">
        <is>
          <t>jobspy</t>
        </is>
      </c>
      <c r="Q1733" s="8" t="inlineStr">
        <is>
          <t>fpga, git, c</t>
        </is>
      </c>
      <c r="R1733" s="8" t="inlineStr">
        <is>
          <t>Junior FPGA Engineer digital design UK</t>
        </is>
      </c>
      <c r="S1733" s="19" t="n"/>
      <c r="T1733" s="19" t="n"/>
      <c r="U1733" s="14" t="n">
        <v>46195</v>
      </c>
      <c r="V1733" s="7" t="inlineStr">
        <is>
          <t>v2-cv-accuracy-13b988b18da8ea7d</t>
        </is>
      </c>
    </row>
    <row r="1734" ht="28" customHeight="1">
      <c r="A1734" s="12">
        <f>IF($L1734="applied","Applied",IF($L1734="interview","Interview",IF($L1734="offer","Offer",IF($L1734="rejected","Rejected",IF($L1734="ignore","Ignore",IF($L1734="archive","Archive",IF($L1734="closed","Closed",IF($B1734="","Unscored",IF(AND($B1734&gt;=8,OR($H1734="",$H1734-TODAY()&lt;=14)),"P1 Apply",IF($B1734&gt;=7,"P2 Strong",IF($B1734&gt;=5,"P3 Maybe","P4 Low")))))))))))</f>
        <v/>
      </c>
      <c r="B1734" s="13" t="n">
        <v>0</v>
      </c>
      <c r="C1734" s="12" t="inlineStr">
        <is>
          <t>Senior/Lead</t>
        </is>
      </c>
      <c r="D1734" s="8" t="inlineStr">
        <is>
          <t>Senior Staff Research/Standardization Specialist</t>
        </is>
      </c>
      <c r="E1734" s="7" t="inlineStr">
        <is>
          <t>Nokia</t>
        </is>
      </c>
      <c r="F1734" s="8" t="inlineStr">
        <is>
          <t>Cambridge, England, UK</t>
        </is>
      </c>
      <c r="G1734" s="8" t="n"/>
      <c r="H1734" s="14" t="n"/>
      <c r="I1734" s="15">
        <f>IF($H1734="","",$H1734-TODAY())</f>
        <v/>
      </c>
      <c r="J1734" s="16" t="inlineStr">
        <is>
          <t>Open posting</t>
        </is>
      </c>
      <c r="K1734" s="8" t="inlineStr">
        <is>
          <t>filtered by keyword pre-scan</t>
        </is>
      </c>
      <c r="L1734" s="17" t="inlineStr">
        <is>
          <t>new</t>
        </is>
      </c>
      <c r="M1734" s="18" t="inlineStr"/>
      <c r="N1734" s="7" t="inlineStr">
        <is>
          <t>8624673ee20c3a5d7a66935501cb1c65b4fd40cb</t>
        </is>
      </c>
      <c r="O1734" s="14" t="n">
        <v>46181</v>
      </c>
      <c r="P1734" s="7" t="inlineStr">
        <is>
          <t>jobspy</t>
        </is>
      </c>
      <c r="Q1734" s="8" t="inlineStr">
        <is>
          <t>c</t>
        </is>
      </c>
      <c r="R1734" s="8" t="inlineStr">
        <is>
          <t>PhD Studentship Wireless Communications LoRaWAN IoT</t>
        </is>
      </c>
      <c r="S1734" s="19" t="n"/>
      <c r="T1734" s="19" t="n"/>
      <c r="U1734" s="14" t="n">
        <v>46195</v>
      </c>
      <c r="V1734" s="7" t="inlineStr">
        <is>
          <t>v2-cv-accuracy-13b988b18da8ea7d</t>
        </is>
      </c>
    </row>
    <row r="1735" ht="28" customHeight="1">
      <c r="A1735" s="12">
        <f>IF($L1735="applied","Applied",IF($L1735="interview","Interview",IF($L1735="offer","Offer",IF($L1735="rejected","Rejected",IF($L1735="ignore","Ignore",IF($L1735="archive","Archive",IF($L1735="closed","Closed",IF($B1735="","Unscored",IF(AND($B1735&gt;=8,OR($H1735="",$H1735-TODAY()&lt;=14)),"P1 Apply",IF($B1735&gt;=7,"P2 Strong",IF($B1735&gt;=5,"P3 Maybe","P4 Low")))))))))))</f>
        <v/>
      </c>
      <c r="B1735" s="13" t="n">
        <v>0</v>
      </c>
      <c r="C1735" s="12" t="inlineStr">
        <is>
          <t>Senior/Lead</t>
        </is>
      </c>
      <c r="D1735" s="8" t="inlineStr">
        <is>
          <t>Senior REVIT Technician</t>
        </is>
      </c>
      <c r="E1735" s="7" t="inlineStr">
        <is>
          <t>Kier Group</t>
        </is>
      </c>
      <c r="F1735" s="8" t="inlineStr">
        <is>
          <t>Salford, ENG, GB</t>
        </is>
      </c>
      <c r="G1735" s="8" t="n"/>
      <c r="H1735" s="14" t="n"/>
      <c r="I1735" s="15">
        <f>IF($H1735="","",$H1735-TODAY())</f>
        <v/>
      </c>
      <c r="J1735" s="16" t="inlineStr">
        <is>
          <t>Open posting</t>
        </is>
      </c>
      <c r="K1735" s="8" t="inlineStr">
        <is>
          <t>filtered by keyword pre-scan</t>
        </is>
      </c>
      <c r="L1735" s="17" t="inlineStr">
        <is>
          <t>new</t>
        </is>
      </c>
      <c r="M1735" s="18" t="inlineStr"/>
      <c r="N1735" s="7" t="inlineStr">
        <is>
          <t>c0f961dc9338f3331b036af77ba39103e6732515</t>
        </is>
      </c>
      <c r="O1735" s="14" t="n">
        <v>46178</v>
      </c>
      <c r="P1735" s="7" t="inlineStr">
        <is>
          <t>jobspy</t>
        </is>
      </c>
      <c r="Q1735" s="8" t="inlineStr">
        <is>
          <t>c</t>
        </is>
      </c>
      <c r="R1735" s="8" t="inlineStr">
        <is>
          <t>Graduate Computer Engineer digital design</t>
        </is>
      </c>
      <c r="S1735" s="19" t="n"/>
      <c r="T1735" s="19" t="n"/>
      <c r="U1735" s="14" t="n">
        <v>46194</v>
      </c>
      <c r="V1735" s="7" t="inlineStr">
        <is>
          <t>v2-cv-accuracy-13b988b18da8ea7d</t>
        </is>
      </c>
    </row>
    <row r="1736" ht="28" customHeight="1">
      <c r="A1736" s="12">
        <f>IF($L1736="applied","Applied",IF($L1736="interview","Interview",IF($L1736="offer","Offer",IF($L1736="rejected","Rejected",IF($L1736="ignore","Ignore",IF($L1736="archive","Archive",IF($L1736="closed","Closed",IF($B1736="","Unscored",IF(AND($B1736&gt;=8,OR($H1736="",$H1736-TODAY()&lt;=14)),"P1 Apply",IF($B1736&gt;=7,"P2 Strong",IF($B1736&gt;=5,"P3 Maybe","P4 Low")))))))))))</f>
        <v/>
      </c>
      <c r="B1736" s="13" t="n">
        <v>0</v>
      </c>
      <c r="C1736" s="12" t="inlineStr">
        <is>
          <t>Senior/Lead</t>
        </is>
      </c>
      <c r="D1736" s="8" t="inlineStr">
        <is>
          <t>Senior Structural Engineer</t>
        </is>
      </c>
      <c r="E1736" s="7" t="inlineStr">
        <is>
          <t>AECOM</t>
        </is>
      </c>
      <c r="F1736" s="8" t="inlineStr">
        <is>
          <t>Manchester, ENG, GB</t>
        </is>
      </c>
      <c r="G1736" s="8" t="n"/>
      <c r="H1736" s="14" t="n"/>
      <c r="I1736" s="15">
        <f>IF($H1736="","",$H1736-TODAY())</f>
        <v/>
      </c>
      <c r="J1736" s="16" t="inlineStr">
        <is>
          <t>Open posting</t>
        </is>
      </c>
      <c r="K1736" s="8" t="inlineStr">
        <is>
          <t>filtered by keyword pre-scan</t>
        </is>
      </c>
      <c r="L1736" s="17" t="inlineStr">
        <is>
          <t>new</t>
        </is>
      </c>
      <c r="M1736" s="18" t="inlineStr"/>
      <c r="N1736" s="7" t="inlineStr">
        <is>
          <t>d8edc048bdf46e34fae02d7ed96c7f5e0c4b7794</t>
        </is>
      </c>
      <c r="O1736" s="14" t="n">
        <v>46176</v>
      </c>
      <c r="P1736" s="7" t="inlineStr">
        <is>
          <t>jobspy</t>
        </is>
      </c>
      <c r="Q1736" s="8" t="inlineStr">
        <is>
          <t>git, c</t>
        </is>
      </c>
      <c r="R1736" s="8" t="inlineStr">
        <is>
          <t>Graduate Computer Engineer digital design</t>
        </is>
      </c>
      <c r="S1736" s="19" t="n"/>
      <c r="T1736" s="19" t="n"/>
      <c r="U1736" s="14" t="n">
        <v>46194</v>
      </c>
      <c r="V1736" s="7" t="inlineStr">
        <is>
          <t>v2-cv-accuracy-13b988b18da8ea7d</t>
        </is>
      </c>
    </row>
    <row r="1737" ht="28" customHeight="1">
      <c r="A1737" s="12">
        <f>IF($L1737="applied","Applied",IF($L1737="interview","Interview",IF($L1737="offer","Offer",IF($L1737="rejected","Rejected",IF($L1737="ignore","Ignore",IF($L1737="archive","Archive",IF($L1737="closed","Closed",IF($B1737="","Unscored",IF(AND($B1737&gt;=8,OR($H1737="",$H1737-TODAY()&lt;=14)),"P1 Apply",IF($B1737&gt;=7,"P2 Strong",IF($B1737&gt;=5,"P3 Maybe","P4 Low")))))))))))</f>
        <v/>
      </c>
      <c r="B1737" s="13" t="n">
        <v>0</v>
      </c>
      <c r="C1737" s="12" t="inlineStr">
        <is>
          <t>Manager/Owner</t>
        </is>
      </c>
      <c r="D1737" s="8" t="inlineStr">
        <is>
          <t>Commissioning Manager (13021)</t>
        </is>
      </c>
      <c r="E1737" s="7" t="inlineStr">
        <is>
          <t>Tilbury Douglas</t>
        </is>
      </c>
      <c r="F1737" s="8" t="inlineStr">
        <is>
          <t>Sheffield, ENG, GB</t>
        </is>
      </c>
      <c r="G1737" s="8" t="n"/>
      <c r="H1737" s="14" t="n"/>
      <c r="I1737" s="15">
        <f>IF($H1737="","",$H1737-TODAY())</f>
        <v/>
      </c>
      <c r="J1737" s="16" t="inlineStr">
        <is>
          <t>Open posting</t>
        </is>
      </c>
      <c r="K1737" s="8" t="inlineStr">
        <is>
          <t>filtered by keyword pre-scan</t>
        </is>
      </c>
      <c r="L1737" s="17" t="inlineStr">
        <is>
          <t>new</t>
        </is>
      </c>
      <c r="M1737" s="18" t="inlineStr"/>
      <c r="N1737" s="7" t="inlineStr">
        <is>
          <t>cb7816113f19faa4d82f8b2cd8981d33c5826e06</t>
        </is>
      </c>
      <c r="O1737" s="14" t="n">
        <v>46174</v>
      </c>
      <c r="P1737" s="7" t="inlineStr">
        <is>
          <t>jobspy</t>
        </is>
      </c>
      <c r="Q1737" s="8" t="inlineStr">
        <is>
          <t>git, c</t>
        </is>
      </c>
      <c r="R1737" s="8" t="inlineStr">
        <is>
          <t>Graduate Computer Engineer digital design</t>
        </is>
      </c>
      <c r="S1737" s="19" t="n"/>
      <c r="T1737" s="19" t="n"/>
      <c r="U1737" s="14" t="n">
        <v>46194</v>
      </c>
      <c r="V1737" s="7" t="inlineStr">
        <is>
          <t>v2-cv-accuracy-13b988b18da8ea7d</t>
        </is>
      </c>
    </row>
    <row r="1738" ht="28" customHeight="1">
      <c r="A1738" s="12">
        <f>IF($L1738="applied","Applied",IF($L1738="interview","Interview",IF($L1738="offer","Offer",IF($L1738="rejected","Rejected",IF($L1738="ignore","Ignore",IF($L1738="archive","Archive",IF($L1738="closed","Closed",IF($B1738="","Unscored",IF(AND($B1738&gt;=8,OR($H1738="",$H1738-TODAY()&lt;=14)),"P1 Apply",IF($B1738&gt;=7,"P2 Strong",IF($B1738&gt;=5,"P3 Maybe","P4 Low")))))))))))</f>
        <v/>
      </c>
      <c r="B1738" s="13" t="n">
        <v>0</v>
      </c>
      <c r="C1738" s="12" t="inlineStr">
        <is>
          <t>Senior/Lead</t>
        </is>
      </c>
      <c r="D1738" s="8" t="inlineStr">
        <is>
          <t>Principal People Team Business Partner - R&amp;D</t>
        </is>
      </c>
      <c r="E1738" s="7" t="inlineStr">
        <is>
          <t>Cloudflare</t>
        </is>
      </c>
      <c r="F1738" s="8" t="inlineStr">
        <is>
          <t>Hybrid</t>
        </is>
      </c>
      <c r="G1738" s="8" t="n"/>
      <c r="H1738" s="14" t="n"/>
      <c r="I1738" s="15">
        <f>IF($H1738="","",$H1738-TODAY())</f>
        <v/>
      </c>
      <c r="J1738" s="16" t="inlineStr">
        <is>
          <t>Open posting</t>
        </is>
      </c>
      <c r="K1738" s="8" t="inlineStr">
        <is>
          <t>filtered by keyword pre-scan</t>
        </is>
      </c>
      <c r="L1738" s="17" t="inlineStr">
        <is>
          <t>new</t>
        </is>
      </c>
      <c r="M1738" s="18" t="inlineStr"/>
      <c r="N1738" s="7" t="inlineStr">
        <is>
          <t>f2679b13c8dbb8a9778aebe96189f996114de102</t>
        </is>
      </c>
      <c r="O1738" s="14" t="n">
        <v>46194</v>
      </c>
      <c r="P1738" s="7" t="inlineStr">
        <is>
          <t>greenhouse:cloudflare</t>
        </is>
      </c>
      <c r="Q1738" s="8" t="inlineStr">
        <is>
          <t>c</t>
        </is>
      </c>
      <c r="R1738" s="8" t="n"/>
      <c r="S1738" s="19" t="n"/>
      <c r="T1738" s="19" t="n"/>
      <c r="U1738" s="14" t="n">
        <v>46194</v>
      </c>
      <c r="V1738" s="7" t="inlineStr">
        <is>
          <t>v2-cv-accuracy-13b988b18da8ea7d</t>
        </is>
      </c>
    </row>
    <row r="1739" ht="28" customHeight="1">
      <c r="A1739" s="12">
        <f>IF($L1739="applied","Applied",IF($L1739="interview","Interview",IF($L1739="offer","Offer",IF($L1739="rejected","Rejected",IF($L1739="ignore","Ignore",IF($L1739="archive","Archive",IF($L1739="closed","Closed",IF($B1739="","Unscored",IF(AND($B1739&gt;=8,OR($H1739="",$H1739-TODAY()&lt;=14)),"P1 Apply",IF($B1739&gt;=7,"P2 Strong",IF($B1739&gt;=5,"P3 Maybe","P4 Low")))))))))))</f>
        <v/>
      </c>
      <c r="B1739" s="13" t="n">
        <v>0</v>
      </c>
      <c r="C1739" s="12" t="inlineStr">
        <is>
          <t>Senior/Lead</t>
        </is>
      </c>
      <c r="D1739" s="8" t="inlineStr">
        <is>
          <t>Technical Director - AI</t>
        </is>
      </c>
      <c r="E1739" s="7" t="inlineStr">
        <is>
          <t>Valtech Group</t>
        </is>
      </c>
      <c r="F1739" s="8" t="inlineStr">
        <is>
          <t>London, ENG, GB</t>
        </is>
      </c>
      <c r="G1739" s="8" t="n"/>
      <c r="H1739" s="14" t="n"/>
      <c r="I1739" s="15">
        <f>IF($H1739="","",$H1739-TODAY())</f>
        <v/>
      </c>
      <c r="J1739" s="16" t="inlineStr">
        <is>
          <t>Open posting</t>
        </is>
      </c>
      <c r="K1739" s="8" t="inlineStr">
        <is>
          <t>filtered by keyword pre-scan</t>
        </is>
      </c>
      <c r="L1739" s="17" t="inlineStr">
        <is>
          <t>new</t>
        </is>
      </c>
      <c r="M1739" s="18" t="inlineStr"/>
      <c r="N1739" s="7" t="inlineStr">
        <is>
          <t>bc2233621444583e3cb98779e2353bb8dc53f13d</t>
        </is>
      </c>
      <c r="O1739" s="14" t="n">
        <v>46192</v>
      </c>
      <c r="P1739" s="7" t="inlineStr">
        <is>
          <t>jobspy</t>
        </is>
      </c>
      <c r="Q1739" s="8" t="inlineStr">
        <is>
          <t>git, c</t>
        </is>
      </c>
      <c r="R1739" s="8" t="inlineStr">
        <is>
          <t>Graduate Software Engineer embedded systems</t>
        </is>
      </c>
      <c r="S1739" s="19" t="n"/>
      <c r="T1739" s="19" t="n"/>
      <c r="U1739" s="14" t="n">
        <v>46194</v>
      </c>
      <c r="V1739" s="7" t="inlineStr">
        <is>
          <t>v2-cv-accuracy-13b988b18da8ea7d</t>
        </is>
      </c>
    </row>
    <row r="1740" ht="28" customHeight="1">
      <c r="A1740" s="12">
        <f>IF($L1740="applied","Applied",IF($L1740="interview","Interview",IF($L1740="offer","Offer",IF($L1740="rejected","Rejected",IF($L1740="ignore","Ignore",IF($L1740="archive","Archive",IF($L1740="closed","Closed",IF($B1740="","Unscored",IF(AND($B1740&gt;=8,OR($H1740="",$H1740-TODAY()&lt;=14)),"P1 Apply",IF($B1740&gt;=7,"P2 Strong",IF($B1740&gt;=5,"P3 Maybe","P4 Low")))))))))))</f>
        <v/>
      </c>
      <c r="B1740" s="13" t="n">
        <v>0</v>
      </c>
      <c r="C1740" s="12" t="inlineStr">
        <is>
          <t>Senior/Lead</t>
        </is>
      </c>
      <c r="D1740" s="8" t="inlineStr">
        <is>
          <t>Automation Test Lead</t>
        </is>
      </c>
      <c r="E1740" s="7" t="inlineStr">
        <is>
          <t>Sparta Global</t>
        </is>
      </c>
      <c r="F1740" s="8" t="inlineStr">
        <is>
          <t>Leeds, England, UK</t>
        </is>
      </c>
      <c r="G1740" s="8" t="n"/>
      <c r="H1740" s="14" t="n"/>
      <c r="I1740" s="15">
        <f>IF($H1740="","",$H1740-TODAY())</f>
        <v/>
      </c>
      <c r="J1740" s="16" t="inlineStr">
        <is>
          <t>Open posting</t>
        </is>
      </c>
      <c r="K1740" s="8" t="inlineStr">
        <is>
          <t>filtered by keyword pre-scan</t>
        </is>
      </c>
      <c r="L1740" s="17" t="inlineStr">
        <is>
          <t>new</t>
        </is>
      </c>
      <c r="M1740" s="18" t="inlineStr"/>
      <c r="N1740" s="7" t="inlineStr">
        <is>
          <t>5a24395ba94aaf7277d999049ee9c06ec1fd11a9</t>
        </is>
      </c>
      <c r="O1740" s="14" t="n">
        <v>46189</v>
      </c>
      <c r="P1740" s="7" t="inlineStr">
        <is>
          <t>jobspy</t>
        </is>
      </c>
      <c r="Q1740" s="8" t="inlineStr">
        <is>
          <t>python, git, c</t>
        </is>
      </c>
      <c r="R1740" s="8" t="inlineStr">
        <is>
          <t>Graduate Verification Engineer digital design</t>
        </is>
      </c>
      <c r="S1740" s="19" t="n"/>
      <c r="T1740" s="19" t="n"/>
      <c r="U1740" s="14" t="n">
        <v>46194</v>
      </c>
      <c r="V1740" s="7" t="inlineStr">
        <is>
          <t>v2-cv-accuracy-13b988b18da8ea7d</t>
        </is>
      </c>
    </row>
    <row r="1741" ht="28" customHeight="1">
      <c r="A1741" s="12">
        <f>IF($L1741="applied","Applied",IF($L1741="interview","Interview",IF($L1741="offer","Offer",IF($L1741="rejected","Rejected",IF($L1741="ignore","Ignore",IF($L1741="archive","Archive",IF($L1741="closed","Closed",IF($B1741="","Unscored",IF(AND($B1741&gt;=8,OR($H1741="",$H1741-TODAY()&lt;=14)),"P1 Apply",IF($B1741&gt;=7,"P2 Strong",IF($B1741&gt;=5,"P3 Maybe","P4 Low")))))))))))</f>
        <v/>
      </c>
      <c r="B1741" s="13" t="n">
        <v>0</v>
      </c>
      <c r="C1741" s="12" t="inlineStr">
        <is>
          <t>Senior/Lead</t>
        </is>
      </c>
      <c r="D1741" s="8" t="inlineStr">
        <is>
          <t>Staff Software Engineer</t>
        </is>
      </c>
      <c r="E1741" s="7" t="inlineStr">
        <is>
          <t>Arm</t>
        </is>
      </c>
      <c r="F1741" s="8" t="inlineStr">
        <is>
          <t>Cambridge, England, UK</t>
        </is>
      </c>
      <c r="G1741" s="8" t="n"/>
      <c r="H1741" s="14" t="n"/>
      <c r="I1741" s="15">
        <f>IF($H1741="","",$H1741-TODAY())</f>
        <v/>
      </c>
      <c r="J1741" s="16" t="inlineStr">
        <is>
          <t>Open posting</t>
        </is>
      </c>
      <c r="K1741" s="8" t="inlineStr">
        <is>
          <t>filtered by keyword pre-scan</t>
        </is>
      </c>
      <c r="L1741" s="17" t="inlineStr">
        <is>
          <t>new</t>
        </is>
      </c>
      <c r="M1741" s="18" t="inlineStr"/>
      <c r="N1741" s="7" t="inlineStr">
        <is>
          <t>a8b3d8b29257721acb92097fb74d7394339b7f69</t>
        </is>
      </c>
      <c r="O1741" s="14" t="n">
        <v>46175</v>
      </c>
      <c r="P1741" s="7" t="inlineStr">
        <is>
          <t>jobspy</t>
        </is>
      </c>
      <c r="Q1741" s="8" t="inlineStr">
        <is>
          <t>fpga, c</t>
        </is>
      </c>
      <c r="R1741" s="8" t="inlineStr">
        <is>
          <t>Firmware Engineer Raspberry Pi embedded systems</t>
        </is>
      </c>
      <c r="S1741" s="19" t="n"/>
      <c r="T1741" s="19" t="n"/>
      <c r="U1741" s="14" t="n">
        <v>46194</v>
      </c>
      <c r="V1741" s="7" t="inlineStr">
        <is>
          <t>v2-cv-accuracy-13b988b18da8ea7d</t>
        </is>
      </c>
    </row>
    <row r="1742" ht="28" customHeight="1">
      <c r="A1742" s="12">
        <f>IF($L1742="applied","Applied",IF($L1742="interview","Interview",IF($L1742="offer","Offer",IF($L1742="rejected","Rejected",IF($L1742="ignore","Ignore",IF($L1742="archive","Archive",IF($L1742="closed","Closed",IF($B1742="","Unscored",IF(AND($B1742&gt;=8,OR($H1742="",$H1742-TODAY()&lt;=14)),"P1 Apply",IF($B1742&gt;=7,"P2 Strong",IF($B1742&gt;=5,"P3 Maybe","P4 Low")))))))))))</f>
        <v/>
      </c>
      <c r="B1742" s="13" t="n">
        <v>0</v>
      </c>
      <c r="C1742" s="12" t="inlineStr">
        <is>
          <t>Senior/Lead</t>
        </is>
      </c>
      <c r="D1742" s="8" t="inlineStr">
        <is>
          <t>Senior Systems Engineer</t>
        </is>
      </c>
      <c r="E1742" s="7" t="inlineStr">
        <is>
          <t>Motorola Solutions</t>
        </is>
      </c>
      <c r="F1742" s="8" t="inlineStr">
        <is>
          <t>Cambridge, England, UK</t>
        </is>
      </c>
      <c r="G1742" s="8" t="n"/>
      <c r="H1742" s="14" t="n"/>
      <c r="I1742" s="15">
        <f>IF($H1742="","",$H1742-TODAY())</f>
        <v/>
      </c>
      <c r="J1742" s="16" t="inlineStr">
        <is>
          <t>Open posting</t>
        </is>
      </c>
      <c r="K1742" s="8" t="inlineStr">
        <is>
          <t>filtered by keyword pre-scan</t>
        </is>
      </c>
      <c r="L1742" s="17" t="inlineStr">
        <is>
          <t>new</t>
        </is>
      </c>
      <c r="M1742" s="18" t="inlineStr"/>
      <c r="N1742" s="7" t="inlineStr">
        <is>
          <t>0bba07237c16f91573548a73ac47c98c28df1324</t>
        </is>
      </c>
      <c r="O1742" s="14" t="n">
        <v>46184</v>
      </c>
      <c r="P1742" s="7" t="inlineStr">
        <is>
          <t>jobspy</t>
        </is>
      </c>
      <c r="Q1742" s="8" t="inlineStr">
        <is>
          <t>solidworks, c</t>
        </is>
      </c>
      <c r="R1742" s="8" t="inlineStr">
        <is>
          <t>Graduate Systems Engineer embedded hardware</t>
        </is>
      </c>
      <c r="S1742" s="19" t="n"/>
      <c r="T1742" s="19" t="n"/>
      <c r="U1742" s="14" t="n">
        <v>46194</v>
      </c>
      <c r="V1742" s="7" t="inlineStr">
        <is>
          <t>v2-cv-accuracy-13b988b18da8ea7d</t>
        </is>
      </c>
    </row>
    <row r="1743" ht="28" customHeight="1">
      <c r="A1743" s="12">
        <f>IF($L1743="applied","Applied",IF($L1743="interview","Interview",IF($L1743="offer","Offer",IF($L1743="rejected","Rejected",IF($L1743="ignore","Ignore",IF($L1743="archive","Archive",IF($L1743="closed","Closed",IF($B1743="","Unscored",IF(AND($B1743&gt;=8,OR($H1743="",$H1743-TODAY()&lt;=14)),"P1 Apply",IF($B1743&gt;=7,"P2 Strong",IF($B1743&gt;=5,"P3 Maybe","P4 Low")))))))))))</f>
        <v/>
      </c>
      <c r="B1743" s="13" t="n">
        <v>0</v>
      </c>
      <c r="C1743" s="12" t="inlineStr">
        <is>
          <t>Senior/Lead</t>
        </is>
      </c>
      <c r="D1743" s="8" t="inlineStr">
        <is>
          <t>Senior Quantum Systems Engineer - Quantum Computing</t>
        </is>
      </c>
      <c r="E1743" s="7" t="inlineStr">
        <is>
          <t>NVIDIA</t>
        </is>
      </c>
      <c r="F1743" s="8" t="inlineStr"/>
      <c r="G1743" s="8" t="n"/>
      <c r="H1743" s="14" t="n"/>
      <c r="I1743" s="15">
        <f>IF($H1743="","",$H1743-TODAY())</f>
        <v/>
      </c>
      <c r="J1743" s="16" t="inlineStr">
        <is>
          <t>Open posting</t>
        </is>
      </c>
      <c r="K1743" s="8" t="inlineStr">
        <is>
          <t>filtered by keyword pre-scan</t>
        </is>
      </c>
      <c r="L1743" s="17" t="inlineStr">
        <is>
          <t>new</t>
        </is>
      </c>
      <c r="M1743" s="18" t="inlineStr"/>
      <c r="N1743" s="7" t="inlineStr">
        <is>
          <t>ab614fc8fdb8f40ab6e581d31ea94e5ff6acee9e</t>
        </is>
      </c>
      <c r="O1743" s="14" t="n">
        <v>46177</v>
      </c>
      <c r="P1743" s="7" t="inlineStr">
        <is>
          <t>jobspy</t>
        </is>
      </c>
      <c r="Q1743" s="8" t="inlineStr">
        <is>
          <t>c</t>
        </is>
      </c>
      <c r="R1743" s="8" t="inlineStr">
        <is>
          <t>Graduate Systems Engineer embedded hardware</t>
        </is>
      </c>
      <c r="S1743" s="19" t="n"/>
      <c r="T1743" s="19" t="n"/>
      <c r="U1743" s="14" t="n">
        <v>46194</v>
      </c>
      <c r="V1743" s="7" t="inlineStr">
        <is>
          <t>v2-cv-accuracy-13b988b18da8ea7d</t>
        </is>
      </c>
    </row>
    <row r="1744" ht="28" customHeight="1">
      <c r="A1744" s="12">
        <f>IF($L1744="applied","Applied",IF($L1744="interview","Interview",IF($L1744="offer","Offer",IF($L1744="rejected","Rejected",IF($L1744="ignore","Ignore",IF($L1744="archive","Archive",IF($L1744="closed","Closed",IF($B1744="","Unscored",IF(AND($B1744&gt;=8,OR($H1744="",$H1744-TODAY()&lt;=14)),"P1 Apply",IF($B1744&gt;=7,"P2 Strong",IF($B1744&gt;=5,"P3 Maybe","P4 Low")))))))))))</f>
        <v/>
      </c>
      <c r="B1744" s="13" t="n">
        <v>0</v>
      </c>
      <c r="C1744" s="12" t="inlineStr">
        <is>
          <t>Senior/Lead</t>
        </is>
      </c>
      <c r="D1744" s="8" t="inlineStr">
        <is>
          <t>Senior System Engineer</t>
        </is>
      </c>
      <c r="E1744" s="7" t="inlineStr">
        <is>
          <t>Humanoid</t>
        </is>
      </c>
      <c r="F1744" s="8" t="inlineStr">
        <is>
          <t>London, England, UK</t>
        </is>
      </c>
      <c r="G1744" s="8" t="n"/>
      <c r="H1744" s="14" t="n"/>
      <c r="I1744" s="15">
        <f>IF($H1744="","",$H1744-TODAY())</f>
        <v/>
      </c>
      <c r="J1744" s="16" t="inlineStr">
        <is>
          <t>Open posting</t>
        </is>
      </c>
      <c r="K1744" s="8" t="inlineStr">
        <is>
          <t>filtered by keyword pre-scan</t>
        </is>
      </c>
      <c r="L1744" s="17" t="inlineStr">
        <is>
          <t>new</t>
        </is>
      </c>
      <c r="M1744" s="18" t="inlineStr"/>
      <c r="N1744" s="7" t="inlineStr">
        <is>
          <t>6620b59304dd8e8b93b47da5cf855ad07d1c0296</t>
        </is>
      </c>
      <c r="O1744" s="14" t="n">
        <v>46175</v>
      </c>
      <c r="P1744" s="7" t="inlineStr">
        <is>
          <t>jobspy</t>
        </is>
      </c>
      <c r="Q1744" s="8" t="inlineStr">
        <is>
          <t>c, embedded systems</t>
        </is>
      </c>
      <c r="R1744" s="8" t="inlineStr">
        <is>
          <t>Graduate Systems Engineer embedded hardware</t>
        </is>
      </c>
      <c r="S1744" s="19" t="n"/>
      <c r="T1744" s="19" t="n"/>
      <c r="U1744" s="14" t="n">
        <v>46194</v>
      </c>
      <c r="V1744" s="7" t="inlineStr">
        <is>
          <t>v2-cv-accuracy-13b988b18da8ea7d</t>
        </is>
      </c>
    </row>
    <row r="1745" ht="28" customHeight="1">
      <c r="A1745" s="12">
        <f>IF($L1745="applied","Applied",IF($L1745="interview","Interview",IF($L1745="offer","Offer",IF($L1745="rejected","Rejected",IF($L1745="ignore","Ignore",IF($L1745="archive","Archive",IF($L1745="closed","Closed",IF($B1745="","Unscored",IF(AND($B1745&gt;=8,OR($H1745="",$H1745-TODAY()&lt;=14)),"P1 Apply",IF($B1745&gt;=7,"P2 Strong",IF($B1745&gt;=5,"P3 Maybe","P4 Low")))))))))))</f>
        <v/>
      </c>
      <c r="B1745" s="13" t="n">
        <v>0</v>
      </c>
      <c r="C1745" s="12" t="inlineStr">
        <is>
          <t>Senior/Lead</t>
        </is>
      </c>
      <c r="D1745" s="8" t="inlineStr">
        <is>
          <t>Senior Android Systems Engineer</t>
        </is>
      </c>
      <c r="E1745" s="7" t="inlineStr">
        <is>
          <t>The Investigo Group</t>
        </is>
      </c>
      <c r="F1745" s="8" t="inlineStr"/>
      <c r="G1745" s="8" t="n"/>
      <c r="H1745" s="14" t="n"/>
      <c r="I1745" s="15">
        <f>IF($H1745="","",$H1745-TODAY())</f>
        <v/>
      </c>
      <c r="J1745" s="16" t="inlineStr">
        <is>
          <t>Open posting</t>
        </is>
      </c>
      <c r="K1745" s="8" t="inlineStr">
        <is>
          <t>filtered by keyword pre-scan</t>
        </is>
      </c>
      <c r="L1745" s="17" t="inlineStr">
        <is>
          <t>new</t>
        </is>
      </c>
      <c r="M1745" s="18" t="inlineStr"/>
      <c r="N1745" s="7" t="inlineStr">
        <is>
          <t>68964a4a3c282cf9da5171a4eb3643530c690ba4</t>
        </is>
      </c>
      <c r="O1745" s="14" t="n">
        <v>46168</v>
      </c>
      <c r="P1745" s="7" t="inlineStr">
        <is>
          <t>jobspy</t>
        </is>
      </c>
      <c r="Q1745" s="8" t="inlineStr">
        <is>
          <t>kubernetes, c</t>
        </is>
      </c>
      <c r="R1745" s="8" t="inlineStr">
        <is>
          <t>Graduate Systems Engineer embedded hardware</t>
        </is>
      </c>
      <c r="S1745" s="19" t="n"/>
      <c r="T1745" s="19" t="n"/>
      <c r="U1745" s="14" t="n">
        <v>46194</v>
      </c>
      <c r="V1745" s="7" t="inlineStr">
        <is>
          <t>v2-cv-accuracy-13b988b18da8ea7d</t>
        </is>
      </c>
    </row>
    <row r="1746" ht="28" customHeight="1">
      <c r="A1746" s="12">
        <f>IF($L1746="applied","Applied",IF($L1746="interview","Interview",IF($L1746="offer","Offer",IF($L1746="rejected","Rejected",IF($L1746="ignore","Ignore",IF($L1746="archive","Archive",IF($L1746="closed","Closed",IF($B1746="","Unscored",IF(AND($B1746&gt;=8,OR($H1746="",$H1746-TODAY()&lt;=14)),"P1 Apply",IF($B1746&gt;=7,"P2 Strong",IF($B1746&gt;=5,"P3 Maybe","P4 Low")))))))))))</f>
        <v/>
      </c>
      <c r="B1746" s="13" t="n">
        <v>0</v>
      </c>
      <c r="C1746" s="12" t="inlineStr">
        <is>
          <t>Senior/Lead</t>
        </is>
      </c>
      <c r="D1746" s="8" t="inlineStr">
        <is>
          <t>Senior Full Stack Developer</t>
        </is>
      </c>
      <c r="E1746" s="7" t="inlineStr">
        <is>
          <t>Myn</t>
        </is>
      </c>
      <c r="F1746" s="8" t="inlineStr">
        <is>
          <t>Greater London, England, UK</t>
        </is>
      </c>
      <c r="G1746" s="8" t="n"/>
      <c r="H1746" s="14" t="n"/>
      <c r="I1746" s="15">
        <f>IF($H1746="","",$H1746-TODAY())</f>
        <v/>
      </c>
      <c r="J1746" s="16" t="inlineStr">
        <is>
          <t>Open posting</t>
        </is>
      </c>
      <c r="K1746" s="8" t="inlineStr">
        <is>
          <t>filtered by keyword pre-scan</t>
        </is>
      </c>
      <c r="L1746" s="17" t="inlineStr">
        <is>
          <t>new</t>
        </is>
      </c>
      <c r="M1746" s="18" t="inlineStr"/>
      <c r="N1746" s="7" t="inlineStr">
        <is>
          <t>20bacd5dd530967abd0a05f4c029cd0359cb659e</t>
        </is>
      </c>
      <c r="O1746" s="14" t="n">
        <v>46189</v>
      </c>
      <c r="P1746" s="7" t="inlineStr">
        <is>
          <t>jobspy</t>
        </is>
      </c>
      <c r="Q1746" s="8" t="inlineStr">
        <is>
          <t>sql, git, c</t>
        </is>
      </c>
      <c r="R1746" s="8" t="inlineStr">
        <is>
          <t>Junior Python Developer SQL API integration</t>
        </is>
      </c>
      <c r="S1746" s="19" t="n"/>
      <c r="T1746" s="19" t="n"/>
      <c r="U1746" s="14" t="n">
        <v>46194</v>
      </c>
      <c r="V1746" s="7" t="inlineStr">
        <is>
          <t>v2-cv-accuracy-13b988b18da8ea7d</t>
        </is>
      </c>
    </row>
    <row r="1747" ht="28" customHeight="1">
      <c r="A1747" s="12">
        <f>IF($L1747="applied","Applied",IF($L1747="interview","Interview",IF($L1747="offer","Offer",IF($L1747="rejected","Rejected",IF($L1747="ignore","Ignore",IF($L1747="archive","Archive",IF($L1747="closed","Closed",IF($B1747="","Unscored",IF(AND($B1747&gt;=8,OR($H1747="",$H1747-TODAY()&lt;=14)),"P1 Apply",IF($B1747&gt;=7,"P2 Strong",IF($B1747&gt;=5,"P3 Maybe","P4 Low")))))))))))</f>
        <v/>
      </c>
      <c r="B1747" s="13" t="n">
        <v>0</v>
      </c>
      <c r="C1747" s="12" t="inlineStr">
        <is>
          <t>Senior/Lead</t>
        </is>
      </c>
      <c r="D1747" s="8" t="inlineStr">
        <is>
          <t>Senior Backend Engineer</t>
        </is>
      </c>
      <c r="E1747" s="7" t="inlineStr">
        <is>
          <t>XYZ Reality</t>
        </is>
      </c>
      <c r="F1747" s="8" t="inlineStr">
        <is>
          <t>London, England, UK</t>
        </is>
      </c>
      <c r="G1747" s="8" t="n"/>
      <c r="H1747" s="14" t="n"/>
      <c r="I1747" s="15">
        <f>IF($H1747="","",$H1747-TODAY())</f>
        <v/>
      </c>
      <c r="J1747" s="16" t="inlineStr">
        <is>
          <t>Open posting</t>
        </is>
      </c>
      <c r="K1747" s="8" t="inlineStr">
        <is>
          <t>filtered by keyword pre-scan</t>
        </is>
      </c>
      <c r="L1747" s="17" t="inlineStr">
        <is>
          <t>new</t>
        </is>
      </c>
      <c r="M1747" s="18" t="inlineStr"/>
      <c r="N1747" s="7" t="inlineStr">
        <is>
          <t>c737db8e989fa9ffe61186867c8874eb017fb11f</t>
        </is>
      </c>
      <c r="O1747" s="14" t="n">
        <v>46183</v>
      </c>
      <c r="P1747" s="7" t="inlineStr">
        <is>
          <t>jobspy</t>
        </is>
      </c>
      <c r="Q1747" s="8" t="inlineStr">
        <is>
          <t>sql, docker, kubernetes, git, c</t>
        </is>
      </c>
      <c r="R1747" s="8" t="inlineStr">
        <is>
          <t>Junior Python Developer SQL API integration</t>
        </is>
      </c>
      <c r="S1747" s="19" t="n"/>
      <c r="T1747" s="19" t="n"/>
      <c r="U1747" s="14" t="n">
        <v>46194</v>
      </c>
      <c r="V1747" s="7" t="inlineStr">
        <is>
          <t>v2-cv-accuracy-13b988b18da8ea7d</t>
        </is>
      </c>
    </row>
    <row r="1748" ht="28" customHeight="1">
      <c r="A1748" s="12">
        <f>IF($L1748="applied","Applied",IF($L1748="interview","Interview",IF($L1748="offer","Offer",IF($L1748="rejected","Rejected",IF($L1748="ignore","Ignore",IF($L1748="archive","Archive",IF($L1748="closed","Closed",IF($B1748="","Unscored",IF(AND($B1748&gt;=8,OR($H1748="",$H1748-TODAY()&lt;=14)),"P1 Apply",IF($B1748&gt;=7,"P2 Strong",IF($B1748&gt;=5,"P3 Maybe","P4 Low")))))))))))</f>
        <v/>
      </c>
      <c r="B1748" s="13" t="n">
        <v>0</v>
      </c>
      <c r="C1748" s="12" t="inlineStr">
        <is>
          <t>Senior/Lead</t>
        </is>
      </c>
      <c r="D1748" s="8" t="inlineStr">
        <is>
          <t>Lead UI / UX Full Stack Developer (React &amp; .NET)</t>
        </is>
      </c>
      <c r="E1748" s="7" t="inlineStr">
        <is>
          <t>ICS AI Ltd</t>
        </is>
      </c>
      <c r="F1748" s="8" t="inlineStr"/>
      <c r="G1748" s="8" t="n"/>
      <c r="H1748" s="14" t="n"/>
      <c r="I1748" s="15">
        <f>IF($H1748="","",$H1748-TODAY())</f>
        <v/>
      </c>
      <c r="J1748" s="16" t="inlineStr">
        <is>
          <t>Open posting</t>
        </is>
      </c>
      <c r="K1748" s="8" t="inlineStr">
        <is>
          <t>filtered by keyword pre-scan</t>
        </is>
      </c>
      <c r="L1748" s="17" t="inlineStr">
        <is>
          <t>new</t>
        </is>
      </c>
      <c r="M1748" s="18" t="inlineStr"/>
      <c r="N1748" s="7" t="inlineStr">
        <is>
          <t>502acedbb207107dd43a018dce9f43cfc4e44d81</t>
        </is>
      </c>
      <c r="O1748" s="14" t="n">
        <v>46182</v>
      </c>
      <c r="P1748" s="7" t="inlineStr">
        <is>
          <t>jobspy</t>
        </is>
      </c>
      <c r="Q1748" s="8" t="inlineStr">
        <is>
          <t>sql, api integration, git, c</t>
        </is>
      </c>
      <c r="R1748" s="8" t="inlineStr">
        <is>
          <t>Junior Python Developer SQL API integration</t>
        </is>
      </c>
      <c r="S1748" s="19" t="n"/>
      <c r="T1748" s="19" t="n"/>
      <c r="U1748" s="14" t="n">
        <v>46194</v>
      </c>
      <c r="V1748" s="7" t="inlineStr">
        <is>
          <t>v2-cv-accuracy-13b988b18da8ea7d</t>
        </is>
      </c>
    </row>
    <row r="1749" ht="28" customHeight="1">
      <c r="A1749" s="12">
        <f>IF($L1749="applied","Applied",IF($L1749="interview","Interview",IF($L1749="offer","Offer",IF($L1749="rejected","Rejected",IF($L1749="ignore","Ignore",IF($L1749="archive","Archive",IF($L1749="closed","Closed",IF($B1749="","Unscored",IF(AND($B1749&gt;=8,OR($H1749="",$H1749-TODAY()&lt;=14)),"P1 Apply",IF($B1749&gt;=7,"P2 Strong",IF($B1749&gt;=5,"P3 Maybe","P4 Low")))))))))))</f>
        <v/>
      </c>
      <c r="B1749" s="13" t="n">
        <v>0</v>
      </c>
      <c r="C1749" s="12" t="inlineStr">
        <is>
          <t>Senior/Lead</t>
        </is>
      </c>
      <c r="D1749" s="8" t="inlineStr">
        <is>
          <t>Senior Full Stack Engineer</t>
        </is>
      </c>
      <c r="E1749" s="7" t="inlineStr">
        <is>
          <t>Pharmacy2U | Certified B Corp</t>
        </is>
      </c>
      <c r="F1749" s="8" t="inlineStr">
        <is>
          <t>Greenford, England, UK</t>
        </is>
      </c>
      <c r="G1749" s="8" t="n"/>
      <c r="H1749" s="14" t="n"/>
      <c r="I1749" s="15">
        <f>IF($H1749="","",$H1749-TODAY())</f>
        <v/>
      </c>
      <c r="J1749" s="16" t="inlineStr">
        <is>
          <t>Open posting</t>
        </is>
      </c>
      <c r="K1749" s="8" t="inlineStr">
        <is>
          <t>filtered by keyword pre-scan</t>
        </is>
      </c>
      <c r="L1749" s="17" t="inlineStr">
        <is>
          <t>new</t>
        </is>
      </c>
      <c r="M1749" s="18" t="inlineStr"/>
      <c r="N1749" s="7" t="inlineStr">
        <is>
          <t>44c1f0fedf6c37ee67c49a7872a11442873c9f36</t>
        </is>
      </c>
      <c r="O1749" s="14" t="n">
        <v>46175</v>
      </c>
      <c r="P1749" s="7" t="inlineStr">
        <is>
          <t>jobspy</t>
        </is>
      </c>
      <c r="Q1749" s="8" t="inlineStr">
        <is>
          <t>sql, api integration, git, c</t>
        </is>
      </c>
      <c r="R1749" s="8" t="inlineStr">
        <is>
          <t>Junior Python Developer SQL API integration</t>
        </is>
      </c>
      <c r="S1749" s="19" t="n"/>
      <c r="T1749" s="19" t="n"/>
      <c r="U1749" s="14" t="n">
        <v>46194</v>
      </c>
      <c r="V1749" s="7" t="inlineStr">
        <is>
          <t>v2-cv-accuracy-13b988b18da8ea7d</t>
        </is>
      </c>
    </row>
    <row r="1750" ht="28" customHeight="1">
      <c r="A1750" s="12">
        <f>IF($L1750="applied","Applied",IF($L1750="interview","Interview",IF($L1750="offer","Offer",IF($L1750="rejected","Rejected",IF($L1750="ignore","Ignore",IF($L1750="archive","Archive",IF($L1750="closed","Closed",IF($B1750="","Unscored",IF(AND($B1750&gt;=8,OR($H1750="",$H1750-TODAY()&lt;=14)),"P1 Apply",IF($B1750&gt;=7,"P2 Strong",IF($B1750&gt;=5,"P3 Maybe","P4 Low")))))))))))</f>
        <v/>
      </c>
      <c r="B1750" s="13" t="n">
        <v>0</v>
      </c>
      <c r="C1750" s="12" t="inlineStr">
        <is>
          <t>Senior/Lead</t>
        </is>
      </c>
      <c r="D1750" s="8" t="inlineStr">
        <is>
          <t>Senior Full Stack Engineer</t>
        </is>
      </c>
      <c r="E1750" s="7" t="inlineStr">
        <is>
          <t>Pharmacy2U | Certified B Corp</t>
        </is>
      </c>
      <c r="F1750" s="8" t="inlineStr">
        <is>
          <t>Leeds, England, UK</t>
        </is>
      </c>
      <c r="G1750" s="8" t="n"/>
      <c r="H1750" s="14" t="n"/>
      <c r="I1750" s="15">
        <f>IF($H1750="","",$H1750-TODAY())</f>
        <v/>
      </c>
      <c r="J1750" s="16" t="inlineStr">
        <is>
          <t>Open posting</t>
        </is>
      </c>
      <c r="K1750" s="8" t="inlineStr">
        <is>
          <t>filtered by keyword pre-scan</t>
        </is>
      </c>
      <c r="L1750" s="17" t="inlineStr">
        <is>
          <t>new</t>
        </is>
      </c>
      <c r="M1750" s="18" t="inlineStr"/>
      <c r="N1750" s="7" t="inlineStr">
        <is>
          <t>2b5401889daebfe3835349db040f45aafbaccc74</t>
        </is>
      </c>
      <c r="O1750" s="14" t="n">
        <v>46174</v>
      </c>
      <c r="P1750" s="7" t="inlineStr">
        <is>
          <t>jobspy</t>
        </is>
      </c>
      <c r="Q1750" s="8" t="inlineStr">
        <is>
          <t>sql, api integration, git, c</t>
        </is>
      </c>
      <c r="R1750" s="8" t="inlineStr">
        <is>
          <t>Junior Python Developer SQL API integration</t>
        </is>
      </c>
      <c r="S1750" s="19" t="n"/>
      <c r="T1750" s="19" t="n"/>
      <c r="U1750" s="14" t="n">
        <v>46194</v>
      </c>
      <c r="V1750" s="7" t="inlineStr">
        <is>
          <t>v2-cv-accuracy-13b988b18da8ea7d</t>
        </is>
      </c>
    </row>
    <row r="1751" ht="28" customHeight="1">
      <c r="A1751" s="12">
        <f>IF($L1751="applied","Applied",IF($L1751="interview","Interview",IF($L1751="offer","Offer",IF($L1751="rejected","Rejected",IF($L1751="ignore","Ignore",IF($L1751="archive","Archive",IF($L1751="closed","Closed",IF($B1751="","Unscored",IF(AND($B1751&gt;=8,OR($H1751="",$H1751-TODAY()&lt;=14)),"P1 Apply",IF($B1751&gt;=7,"P2 Strong",IF($B1751&gt;=5,"P3 Maybe","P4 Low")))))))))))</f>
        <v/>
      </c>
      <c r="B1751" s="13" t="n">
        <v>0</v>
      </c>
      <c r="C1751" s="12" t="inlineStr">
        <is>
          <t>Senior/Lead</t>
        </is>
      </c>
      <c r="D1751" s="8" t="inlineStr">
        <is>
          <t>Senior Software Engineer - Robot Software</t>
        </is>
      </c>
      <c r="E1751" s="7" t="inlineStr">
        <is>
          <t>CMR Surgical</t>
        </is>
      </c>
      <c r="F1751" s="8" t="inlineStr">
        <is>
          <t>Cambridge, ENG, GB</t>
        </is>
      </c>
      <c r="G1751" s="8" t="n"/>
      <c r="H1751" s="14" t="n"/>
      <c r="I1751" s="15">
        <f>IF($H1751="","",$H1751-TODAY())</f>
        <v/>
      </c>
      <c r="J1751" s="16" t="inlineStr">
        <is>
          <t>Open posting</t>
        </is>
      </c>
      <c r="K1751" s="8" t="inlineStr">
        <is>
          <t>filtered by keyword pre-scan</t>
        </is>
      </c>
      <c r="L1751" s="17" t="inlineStr">
        <is>
          <t>new</t>
        </is>
      </c>
      <c r="M1751" s="18" t="inlineStr"/>
      <c r="N1751" s="7" t="inlineStr">
        <is>
          <t>38354549d1cdb1ac747ba8aa3c9c664b03897373</t>
        </is>
      </c>
      <c r="O1751" s="14" t="n">
        <v>46185</v>
      </c>
      <c r="P1751" s="7" t="inlineStr">
        <is>
          <t>jobspy</t>
        </is>
      </c>
      <c r="Q1751" s="8" t="inlineStr">
        <is>
          <t>python, c</t>
        </is>
      </c>
      <c r="R1751" s="8" t="inlineStr">
        <is>
          <t>Embedded Software Engineer C Python microcontroller</t>
        </is>
      </c>
      <c r="S1751" s="19" t="n"/>
      <c r="T1751" s="19" t="n"/>
      <c r="U1751" s="14" t="n">
        <v>46194</v>
      </c>
      <c r="V1751" s="7" t="inlineStr">
        <is>
          <t>v2-cv-accuracy-13b988b18da8ea7d</t>
        </is>
      </c>
    </row>
    <row r="1752" ht="28" customHeight="1">
      <c r="A1752" s="12">
        <f>IF($L1752="applied","Applied",IF($L1752="interview","Interview",IF($L1752="offer","Offer",IF($L1752="rejected","Rejected",IF($L1752="ignore","Ignore",IF($L1752="archive","Archive",IF($L1752="closed","Closed",IF($B1752="","Unscored",IF(AND($B1752&gt;=8,OR($H1752="",$H1752-TODAY()&lt;=14)),"P1 Apply",IF($B1752&gt;=7,"P2 Strong",IF($B1752&gt;=5,"P3 Maybe","P4 Low")))))))))))</f>
        <v/>
      </c>
      <c r="B1752" s="13" t="n">
        <v>0</v>
      </c>
      <c r="C1752" s="12" t="inlineStr">
        <is>
          <t>Senior/Lead</t>
        </is>
      </c>
      <c r="D1752" s="8" t="inlineStr">
        <is>
          <t>Senior Embedded Software Engineer</t>
        </is>
      </c>
      <c r="E1752" s="7" t="inlineStr">
        <is>
          <t>Spire</t>
        </is>
      </c>
      <c r="F1752" s="8" t="inlineStr">
        <is>
          <t>Glasgow, Scotland, UK</t>
        </is>
      </c>
      <c r="G1752" s="8" t="n"/>
      <c r="H1752" s="14" t="n"/>
      <c r="I1752" s="15">
        <f>IF($H1752="","",$H1752-TODAY())</f>
        <v/>
      </c>
      <c r="J1752" s="16" t="inlineStr">
        <is>
          <t>Open posting</t>
        </is>
      </c>
      <c r="K1752" s="8" t="inlineStr">
        <is>
          <t>filtered by keyword pre-scan</t>
        </is>
      </c>
      <c r="L1752" s="17" t="inlineStr">
        <is>
          <t>new</t>
        </is>
      </c>
      <c r="M1752" s="18" t="inlineStr"/>
      <c r="N1752" s="7" t="inlineStr">
        <is>
          <t>b7389fa1e78247ccad38ebcd0640478ff4279ccc</t>
        </is>
      </c>
      <c r="O1752" s="14" t="n">
        <v>46189</v>
      </c>
      <c r="P1752" s="7" t="inlineStr">
        <is>
          <t>jobspy</t>
        </is>
      </c>
      <c r="Q1752" s="8" t="inlineStr">
        <is>
          <t>python, git, c, embedded systems</t>
        </is>
      </c>
      <c r="R1752" s="8" t="inlineStr">
        <is>
          <t>Embedded Software Engineer C Python microcontroller</t>
        </is>
      </c>
      <c r="S1752" s="19" t="n"/>
      <c r="T1752" s="19" t="n"/>
      <c r="U1752" s="14" t="n">
        <v>46194</v>
      </c>
      <c r="V1752" s="7" t="inlineStr">
        <is>
          <t>v2-cv-accuracy-13b988b18da8ea7d</t>
        </is>
      </c>
    </row>
    <row r="1753" ht="28" customHeight="1">
      <c r="A1753" s="12">
        <f>IF($L1753="applied","Applied",IF($L1753="interview","Interview",IF($L1753="offer","Offer",IF($L1753="rejected","Rejected",IF($L1753="ignore","Ignore",IF($L1753="archive","Archive",IF($L1753="closed","Closed",IF($B1753="","Unscored",IF(AND($B1753&gt;=8,OR($H1753="",$H1753-TODAY()&lt;=14)),"P1 Apply",IF($B1753&gt;=7,"P2 Strong",IF($B1753&gt;=5,"P3 Maybe","P4 Low")))))))))))</f>
        <v/>
      </c>
      <c r="B1753" s="13" t="n">
        <v>0</v>
      </c>
      <c r="C1753" s="12" t="inlineStr">
        <is>
          <t>Senior/Lead</t>
        </is>
      </c>
      <c r="D1753" s="8" t="inlineStr">
        <is>
          <t>Senior Front End Design Engineer (Microarchitecture)</t>
        </is>
      </c>
      <c r="E1753" s="7" t="inlineStr">
        <is>
          <t>Cerebras</t>
        </is>
      </c>
      <c r="F1753" s="8" t="inlineStr">
        <is>
          <t>Bengaluru, Karnataka, India</t>
        </is>
      </c>
      <c r="G1753" s="8" t="n"/>
      <c r="H1753" s="14" t="n"/>
      <c r="I1753" s="15">
        <f>IF($H1753="","",$H1753-TODAY())</f>
        <v/>
      </c>
      <c r="J1753" s="16" t="inlineStr">
        <is>
          <t>Open posting</t>
        </is>
      </c>
      <c r="K1753" s="8" t="inlineStr">
        <is>
          <t>filtered by keyword pre-scan</t>
        </is>
      </c>
      <c r="L1753" s="17" t="inlineStr">
        <is>
          <t>new</t>
        </is>
      </c>
      <c r="M1753" s="18" t="inlineStr"/>
      <c r="N1753" s="7" t="inlineStr">
        <is>
          <t>3d0da90a41fa14fcc41eb2f156b848a10936d815</t>
        </is>
      </c>
      <c r="O1753" s="14" t="n">
        <v>46192</v>
      </c>
      <c r="P1753" s="7" t="inlineStr">
        <is>
          <t>greenhouse:cerebrassystems</t>
        </is>
      </c>
      <c r="Q1753" s="8" t="inlineStr">
        <is>
          <t>python, fpga, c</t>
        </is>
      </c>
      <c r="R1753" s="8" t="n"/>
      <c r="S1753" s="19" t="n"/>
      <c r="T1753" s="19" t="n"/>
      <c r="U1753" s="14" t="n">
        <v>46193</v>
      </c>
      <c r="V1753" s="7" t="inlineStr">
        <is>
          <t>v2-cv-accuracy-13b988b18da8ea7d</t>
        </is>
      </c>
    </row>
    <row r="1754" ht="28" customHeight="1">
      <c r="A1754" s="12">
        <f>IF($L1754="applied","Applied",IF($L1754="interview","Interview",IF($L1754="offer","Offer",IF($L1754="rejected","Rejected",IF($L1754="ignore","Ignore",IF($L1754="archive","Archive",IF($L1754="closed","Closed",IF($B1754="","Unscored",IF(AND($B1754&gt;=8,OR($H1754="",$H1754-TODAY()&lt;=14)),"P1 Apply",IF($B1754&gt;=7,"P2 Strong",IF($B1754&gt;=5,"P3 Maybe","P4 Low")))))))))))</f>
        <v/>
      </c>
      <c r="B1754" s="13" t="n">
        <v>0</v>
      </c>
      <c r="C1754" s="12" t="inlineStr">
        <is>
          <t>Senior/Lead</t>
        </is>
      </c>
      <c r="D1754" s="8" t="inlineStr">
        <is>
          <t>Staff Software Engineer, Inference Platform</t>
        </is>
      </c>
      <c r="E1754" s="7" t="inlineStr">
        <is>
          <t>Cerebras</t>
        </is>
      </c>
      <c r="F1754" s="8" t="inlineStr">
        <is>
          <t>Sunnyvale, CA</t>
        </is>
      </c>
      <c r="G1754" s="8" t="n"/>
      <c r="H1754" s="14" t="n"/>
      <c r="I1754" s="15">
        <f>IF($H1754="","",$H1754-TODAY())</f>
        <v/>
      </c>
      <c r="J1754" s="16" t="inlineStr">
        <is>
          <t>Open posting</t>
        </is>
      </c>
      <c r="K1754" s="8" t="inlineStr">
        <is>
          <t>filtered by keyword pre-scan</t>
        </is>
      </c>
      <c r="L1754" s="17" t="inlineStr">
        <is>
          <t>new</t>
        </is>
      </c>
      <c r="M1754" s="18" t="inlineStr"/>
      <c r="N1754" s="7" t="inlineStr">
        <is>
          <t>15189e5af113c1ad2be4478308f045472959484d</t>
        </is>
      </c>
      <c r="O1754" s="14" t="n">
        <v>46192</v>
      </c>
      <c r="P1754" s="7" t="inlineStr">
        <is>
          <t>greenhouse:cerebrassystems</t>
        </is>
      </c>
      <c r="Q1754" s="8" t="inlineStr">
        <is>
          <t>c</t>
        </is>
      </c>
      <c r="R1754" s="8" t="n"/>
      <c r="S1754" s="19" t="n"/>
      <c r="T1754" s="19" t="n"/>
      <c r="U1754" s="14" t="n">
        <v>46193</v>
      </c>
      <c r="V1754" s="7" t="inlineStr">
        <is>
          <t>v2-cv-accuracy-13b988b18da8ea7d</t>
        </is>
      </c>
    </row>
    <row r="1755" ht="28" customHeight="1">
      <c r="A1755" s="12">
        <f>IF($L1755="applied","Applied",IF($L1755="interview","Interview",IF($L1755="offer","Offer",IF($L1755="rejected","Rejected",IF($L1755="ignore","Ignore",IF($L1755="archive","Archive",IF($L1755="closed","Closed",IF($B1755="","Unscored",IF(AND($B1755&gt;=8,OR($H1755="",$H1755-TODAY()&lt;=14)),"P1 Apply",IF($B1755&gt;=7,"P2 Strong",IF($B1755&gt;=5,"P3 Maybe","P4 Low")))))))))))</f>
        <v/>
      </c>
      <c r="B1755" s="13" t="n">
        <v>0</v>
      </c>
      <c r="C1755" s="12" t="inlineStr">
        <is>
          <t>Unspecified</t>
        </is>
      </c>
      <c r="D1755" s="8" t="inlineStr">
        <is>
          <t>Engineer 1</t>
        </is>
      </c>
      <c r="E1755" s="7" t="inlineStr">
        <is>
          <t>SiFive</t>
        </is>
      </c>
      <c r="F1755" s="8" t="inlineStr">
        <is>
          <t>Hyderabad, India</t>
        </is>
      </c>
      <c r="G1755" s="8" t="n"/>
      <c r="H1755" s="14" t="n"/>
      <c r="I1755" s="15">
        <f>IF($H1755="","",$H1755-TODAY())</f>
        <v/>
      </c>
      <c r="J1755" s="16" t="inlineStr">
        <is>
          <t>Open posting</t>
        </is>
      </c>
      <c r="K1755" s="8" t="inlineStr">
        <is>
          <t>filtered by keyword pre-scan</t>
        </is>
      </c>
      <c r="L1755" s="17" t="inlineStr">
        <is>
          <t>new</t>
        </is>
      </c>
      <c r="M1755" s="18" t="inlineStr"/>
      <c r="N1755" s="7" t="inlineStr">
        <is>
          <t>860d8eddf3dcb1ed279a88e79ea1006eede2abc9</t>
        </is>
      </c>
      <c r="O1755" s="14" t="n"/>
      <c r="P1755" s="7" t="inlineStr">
        <is>
          <t>workday</t>
        </is>
      </c>
      <c r="Q1755" s="8" t="inlineStr"/>
      <c r="R1755" s="8" t="n"/>
      <c r="S1755" s="19" t="n"/>
      <c r="T1755" s="19" t="n"/>
      <c r="U1755" s="14" t="n">
        <v>46193</v>
      </c>
      <c r="V1755" s="7" t="inlineStr">
        <is>
          <t>v2-cv-accuracy-13b988b18da8ea7d</t>
        </is>
      </c>
    </row>
    <row r="1756" ht="28" customHeight="1">
      <c r="A1756" s="12">
        <f>IF($L1756="applied","Applied",IF($L1756="interview","Interview",IF($L1756="offer","Offer",IF($L1756="rejected","Rejected",IF($L1756="ignore","Ignore",IF($L1756="archive","Archive",IF($L1756="closed","Closed",IF($B1756="","Unscored",IF(AND($B1756&gt;=8,OR($H1756="",$H1756-TODAY()&lt;=14)),"P1 Apply",IF($B1756&gt;=7,"P2 Strong",IF($B1756&gt;=5,"P3 Maybe","P4 Low")))))))))))</f>
        <v/>
      </c>
      <c r="B1756" s="13" t="n">
        <v>0</v>
      </c>
      <c r="C1756" s="12" t="inlineStr">
        <is>
          <t>Senior/Lead</t>
        </is>
      </c>
      <c r="D1756" s="8" t="inlineStr">
        <is>
          <t>Senior Systems Engineer, User Support</t>
        </is>
      </c>
      <c r="E1756" s="7" t="inlineStr">
        <is>
          <t>ARCH EUROPE INSURANCE SERVICES LTD</t>
        </is>
      </c>
      <c r="F1756" s="8" t="inlineStr">
        <is>
          <t>Sheffield, England, UK</t>
        </is>
      </c>
      <c r="G1756" s="8" t="n"/>
      <c r="H1756" s="14" t="n"/>
      <c r="I1756" s="15">
        <f>IF($H1756="","",$H1756-TODAY())</f>
        <v/>
      </c>
      <c r="J1756" s="16" t="inlineStr">
        <is>
          <t>Open posting</t>
        </is>
      </c>
      <c r="K1756" s="8" t="inlineStr">
        <is>
          <t>filtered by keyword pre-scan</t>
        </is>
      </c>
      <c r="L1756" s="17" t="inlineStr">
        <is>
          <t>new</t>
        </is>
      </c>
      <c r="M1756" s="18" t="inlineStr"/>
      <c r="N1756" s="7" t="inlineStr">
        <is>
          <t>e2a03300fdf38a9f1defbf0090f22653b997c4aa</t>
        </is>
      </c>
      <c r="O1756" s="14" t="n">
        <v>46189</v>
      </c>
      <c r="P1756" s="7" t="inlineStr">
        <is>
          <t>jobspy</t>
        </is>
      </c>
      <c r="Q1756" s="8" t="inlineStr">
        <is>
          <t>c</t>
        </is>
      </c>
      <c r="R1756" s="8" t="inlineStr">
        <is>
          <t>Graduate Systems Engineer hardware software Sheffield</t>
        </is>
      </c>
      <c r="S1756" s="19" t="n"/>
      <c r="T1756" s="19" t="n"/>
      <c r="U1756" s="14" t="n">
        <v>46193</v>
      </c>
      <c r="V1756" s="7" t="inlineStr">
        <is>
          <t>v2-cv-accuracy-13b988b18da8ea7d</t>
        </is>
      </c>
    </row>
    <row r="1757" ht="28" customHeight="1">
      <c r="A1757" s="12">
        <f>IF($L1757="applied","Applied",IF($L1757="interview","Interview",IF($L1757="offer","Offer",IF($L1757="rejected","Rejected",IF($L1757="ignore","Ignore",IF($L1757="archive","Archive",IF($L1757="closed","Closed",IF($B1757="","Unscored",IF(AND($B1757&gt;=8,OR($H1757="",$H1757-TODAY()&lt;=14)),"P1 Apply",IF($B1757&gt;=7,"P2 Strong",IF($B1757&gt;=5,"P3 Maybe","P4 Low")))))))))))</f>
        <v/>
      </c>
      <c r="B1757" s="13" t="n">
        <v>0</v>
      </c>
      <c r="C1757" s="12" t="inlineStr">
        <is>
          <t>Senior/Lead</t>
        </is>
      </c>
      <c r="D1757" s="8" t="inlineStr">
        <is>
          <t>Senior Cybersecurity Engineer, Enterprise Services</t>
        </is>
      </c>
      <c r="E1757" s="7" t="inlineStr">
        <is>
          <t>Thales</t>
        </is>
      </c>
      <c r="F1757" s="8" t="inlineStr">
        <is>
          <t>Belfast, NIR, GB</t>
        </is>
      </c>
      <c r="G1757" s="8" t="n"/>
      <c r="H1757" s="14" t="n"/>
      <c r="I1757" s="15">
        <f>IF($H1757="","",$H1757-TODAY())</f>
        <v/>
      </c>
      <c r="J1757" s="16" t="inlineStr">
        <is>
          <t>Open posting</t>
        </is>
      </c>
      <c r="K1757" s="8" t="inlineStr">
        <is>
          <t>filtered by keyword pre-scan</t>
        </is>
      </c>
      <c r="L1757" s="17" t="inlineStr">
        <is>
          <t>new</t>
        </is>
      </c>
      <c r="M1757" s="18" t="inlineStr"/>
      <c r="N1757" s="7" t="inlineStr">
        <is>
          <t>09265a50a602cbc4b3866ccc7140ddc5d5bfe1c6</t>
        </is>
      </c>
      <c r="O1757" s="14" t="n">
        <v>46190</v>
      </c>
      <c r="P1757" s="7" t="inlineStr">
        <is>
          <t>jobspy</t>
        </is>
      </c>
      <c r="Q1757" s="8" t="inlineStr">
        <is>
          <t>python, sql, mysql, git, c</t>
        </is>
      </c>
      <c r="R1757" s="8" t="inlineStr">
        <is>
          <t>Junior Data Engineer SQL Python MySQL</t>
        </is>
      </c>
      <c r="S1757" s="19" t="n"/>
      <c r="T1757" s="19" t="n"/>
      <c r="U1757" s="14" t="n">
        <v>46193</v>
      </c>
      <c r="V1757" s="7" t="inlineStr">
        <is>
          <t>v2-cv-accuracy-13b988b18da8ea7d</t>
        </is>
      </c>
    </row>
    <row r="1758" ht="28" customHeight="1">
      <c r="A1758" s="12">
        <f>IF($L1758="applied","Applied",IF($L1758="interview","Interview",IF($L1758="offer","Offer",IF($L1758="rejected","Rejected",IF($L1758="ignore","Ignore",IF($L1758="archive","Archive",IF($L1758="closed","Closed",IF($B1758="","Unscored",IF(AND($B1758&gt;=8,OR($H1758="",$H1758-TODAY()&lt;=14)),"P1 Apply",IF($B1758&gt;=7,"P2 Strong",IF($B1758&gt;=5,"P3 Maybe","P4 Low")))))))))))</f>
        <v/>
      </c>
      <c r="B1758" s="13" t="n">
        <v>0</v>
      </c>
      <c r="C1758" s="12" t="inlineStr">
        <is>
          <t>Senior/Lead</t>
        </is>
      </c>
      <c r="D1758" s="8" t="inlineStr">
        <is>
          <t>Senior Software Engineer</t>
        </is>
      </c>
      <c r="E1758" s="7" t="inlineStr">
        <is>
          <t>Zzoomm</t>
        </is>
      </c>
      <c r="F1758" s="8" t="inlineStr">
        <is>
          <t>Remote, GB</t>
        </is>
      </c>
      <c r="G1758" s="8" t="n"/>
      <c r="H1758" s="14" t="n"/>
      <c r="I1758" s="15">
        <f>IF($H1758="","",$H1758-TODAY())</f>
        <v/>
      </c>
      <c r="J1758" s="16" t="inlineStr">
        <is>
          <t>Open posting</t>
        </is>
      </c>
      <c r="K1758" s="8" t="inlineStr">
        <is>
          <t>filtered by keyword pre-scan</t>
        </is>
      </c>
      <c r="L1758" s="17" t="inlineStr">
        <is>
          <t>new</t>
        </is>
      </c>
      <c r="M1758" s="18" t="inlineStr"/>
      <c r="N1758" s="7" t="inlineStr">
        <is>
          <t>affccaeee7d206ba05bcff8a680d72cdc627b437</t>
        </is>
      </c>
      <c r="O1758" s="14" t="n">
        <v>46177</v>
      </c>
      <c r="P1758" s="7" t="inlineStr">
        <is>
          <t>jobspy</t>
        </is>
      </c>
      <c r="Q1758" s="8" t="inlineStr">
        <is>
          <t>python, sql, mysql, kubernetes, git</t>
        </is>
      </c>
      <c r="R1758" s="8" t="inlineStr">
        <is>
          <t>Junior Data Engineer SQL Python MySQL</t>
        </is>
      </c>
      <c r="S1758" s="19" t="n"/>
      <c r="T1758" s="19" t="n"/>
      <c r="U1758" s="14" t="n">
        <v>46193</v>
      </c>
      <c r="V1758" s="7" t="inlineStr">
        <is>
          <t>v2-cv-accuracy-13b988b18da8ea7d</t>
        </is>
      </c>
    </row>
    <row r="1759" ht="28" customHeight="1">
      <c r="A1759" s="12">
        <f>IF($L1759="applied","Applied",IF($L1759="interview","Interview",IF($L1759="offer","Offer",IF($L1759="rejected","Rejected",IF($L1759="ignore","Ignore",IF($L1759="archive","Archive",IF($L1759="closed","Closed",IF($B1759="","Unscored",IF(AND($B1759&gt;=8,OR($H1759="",$H1759-TODAY()&lt;=14)),"P1 Apply",IF($B1759&gt;=7,"P2 Strong",IF($B1759&gt;=5,"P3 Maybe","P4 Low")))))))))))</f>
        <v/>
      </c>
      <c r="B1759" s="13" t="n">
        <v>0</v>
      </c>
      <c r="C1759" s="12" t="inlineStr">
        <is>
          <t>Senior/Lead</t>
        </is>
      </c>
      <c r="D1759" s="8" t="inlineStr">
        <is>
          <t>Senior Data Engineer</t>
        </is>
      </c>
      <c r="E1759" s="7" t="inlineStr">
        <is>
          <t>GSF Car Parts</t>
        </is>
      </c>
      <c r="F1759" s="8" t="inlineStr">
        <is>
          <t>Shareshill, England, UK</t>
        </is>
      </c>
      <c r="G1759" s="8" t="n"/>
      <c r="H1759" s="14" t="n"/>
      <c r="I1759" s="15">
        <f>IF($H1759="","",$H1759-TODAY())</f>
        <v/>
      </c>
      <c r="J1759" s="16" t="inlineStr">
        <is>
          <t>Open posting</t>
        </is>
      </c>
      <c r="K1759" s="8" t="inlineStr">
        <is>
          <t>filtered by keyword pre-scan</t>
        </is>
      </c>
      <c r="L1759" s="17" t="inlineStr">
        <is>
          <t>new</t>
        </is>
      </c>
      <c r="M1759" s="18" t="inlineStr"/>
      <c r="N1759" s="7" t="inlineStr">
        <is>
          <t>702d6f2455a766c19f26dada56462765343639d3</t>
        </is>
      </c>
      <c r="O1759" s="14" t="n">
        <v>46192</v>
      </c>
      <c r="P1759" s="7" t="inlineStr">
        <is>
          <t>jobspy</t>
        </is>
      </c>
      <c r="Q1759" s="8" t="inlineStr">
        <is>
          <t>python, sql, mysql, git, c</t>
        </is>
      </c>
      <c r="R1759" s="8" t="inlineStr">
        <is>
          <t>Junior Data Engineer SQL Python MySQL</t>
        </is>
      </c>
      <c r="S1759" s="19" t="n"/>
      <c r="T1759" s="19" t="n"/>
      <c r="U1759" s="14" t="n">
        <v>46193</v>
      </c>
      <c r="V1759" s="7" t="inlineStr">
        <is>
          <t>v2-cv-accuracy-13b988b18da8ea7d</t>
        </is>
      </c>
    </row>
    <row r="1760" ht="28" customHeight="1">
      <c r="A1760" s="12">
        <f>IF($L1760="applied","Applied",IF($L1760="interview","Interview",IF($L1760="offer","Offer",IF($L1760="rejected","Rejected",IF($L1760="ignore","Ignore",IF($L1760="archive","Archive",IF($L1760="closed","Closed",IF($B1760="","Unscored",IF(AND($B1760&gt;=8,OR($H1760="",$H1760-TODAY()&lt;=14)),"P1 Apply",IF($B1760&gt;=7,"P2 Strong",IF($B1760&gt;=5,"P3 Maybe","P4 Low")))))))))))</f>
        <v/>
      </c>
      <c r="B1760" s="13" t="n">
        <v>0</v>
      </c>
      <c r="C1760" s="12" t="inlineStr">
        <is>
          <t>Senior/Lead</t>
        </is>
      </c>
      <c r="D1760" s="8" t="inlineStr">
        <is>
          <t>Senior Analytics Engineer</t>
        </is>
      </c>
      <c r="E1760" s="7" t="inlineStr">
        <is>
          <t>GetGround</t>
        </is>
      </c>
      <c r="F1760" s="8" t="inlineStr">
        <is>
          <t>London Area, United Kingdom</t>
        </is>
      </c>
      <c r="G1760" s="8" t="n"/>
      <c r="H1760" s="14" t="n"/>
      <c r="I1760" s="15">
        <f>IF($H1760="","",$H1760-TODAY())</f>
        <v/>
      </c>
      <c r="J1760" s="16" t="inlineStr">
        <is>
          <t>Open posting</t>
        </is>
      </c>
      <c r="K1760" s="8" t="inlineStr">
        <is>
          <t>filtered by keyword pre-scan</t>
        </is>
      </c>
      <c r="L1760" s="17" t="inlineStr">
        <is>
          <t>new</t>
        </is>
      </c>
      <c r="M1760" s="18" t="inlineStr"/>
      <c r="N1760" s="7" t="inlineStr">
        <is>
          <t>beb3a1d6b0b832f0c5a797dcf8cbf3d92260ffb2</t>
        </is>
      </c>
      <c r="O1760" s="14" t="n">
        <v>46190</v>
      </c>
      <c r="P1760" s="7" t="inlineStr">
        <is>
          <t>jobspy</t>
        </is>
      </c>
      <c r="Q1760" s="8" t="inlineStr">
        <is>
          <t>python, sql, c</t>
        </is>
      </c>
      <c r="R1760" s="8" t="inlineStr">
        <is>
          <t>Junior Data Engineer SQL Python MySQL</t>
        </is>
      </c>
      <c r="S1760" s="19" t="n"/>
      <c r="T1760" s="19" t="n"/>
      <c r="U1760" s="14" t="n">
        <v>46193</v>
      </c>
      <c r="V1760" s="7" t="inlineStr">
        <is>
          <t>v2-cv-accuracy-13b988b18da8ea7d</t>
        </is>
      </c>
    </row>
    <row r="1761" ht="28" customHeight="1">
      <c r="A1761" s="12">
        <f>IF($L1761="applied","Applied",IF($L1761="interview","Interview",IF($L1761="offer","Offer",IF($L1761="rejected","Rejected",IF($L1761="ignore","Ignore",IF($L1761="archive","Archive",IF($L1761="closed","Closed",IF($B1761="","Unscored",IF(AND($B1761&gt;=8,OR($H1761="",$H1761-TODAY()&lt;=14)),"P1 Apply",IF($B1761&gt;=7,"P2 Strong",IF($B1761&gt;=5,"P3 Maybe","P4 Low")))))))))))</f>
        <v/>
      </c>
      <c r="B1761" s="13" t="n">
        <v>0</v>
      </c>
      <c r="C1761" s="12" t="inlineStr">
        <is>
          <t>Senior/Lead</t>
        </is>
      </c>
      <c r="D1761" s="8" t="inlineStr">
        <is>
          <t>Senior Data Engineer</t>
        </is>
      </c>
      <c r="E1761" s="7" t="inlineStr">
        <is>
          <t>Mirai Talent</t>
        </is>
      </c>
      <c r="F1761" s="8" t="inlineStr">
        <is>
          <t>Manchester Area, United Kingdom</t>
        </is>
      </c>
      <c r="G1761" s="8" t="n"/>
      <c r="H1761" s="14" t="n"/>
      <c r="I1761" s="15">
        <f>IF($H1761="","",$H1761-TODAY())</f>
        <v/>
      </c>
      <c r="J1761" s="16" t="inlineStr">
        <is>
          <t>Open posting</t>
        </is>
      </c>
      <c r="K1761" s="8" t="inlineStr">
        <is>
          <t>filtered by keyword pre-scan</t>
        </is>
      </c>
      <c r="L1761" s="17" t="inlineStr">
        <is>
          <t>new</t>
        </is>
      </c>
      <c r="M1761" s="18" t="inlineStr"/>
      <c r="N1761" s="7" t="inlineStr">
        <is>
          <t>a4c9ce0e2ade2de0b44134b84d4b9af744160df1</t>
        </is>
      </c>
      <c r="O1761" s="14" t="n">
        <v>46189</v>
      </c>
      <c r="P1761" s="7" t="inlineStr">
        <is>
          <t>jobspy</t>
        </is>
      </c>
      <c r="Q1761" s="8" t="inlineStr">
        <is>
          <t>python, sql, mysql, c</t>
        </is>
      </c>
      <c r="R1761" s="8" t="inlineStr">
        <is>
          <t>Junior Data Engineer SQL Python MySQL</t>
        </is>
      </c>
      <c r="S1761" s="19" t="n"/>
      <c r="T1761" s="19" t="n"/>
      <c r="U1761" s="14" t="n">
        <v>46193</v>
      </c>
      <c r="V1761" s="7" t="inlineStr">
        <is>
          <t>v2-cv-accuracy-13b988b18da8ea7d</t>
        </is>
      </c>
    </row>
    <row r="1762" ht="28" customHeight="1">
      <c r="A1762" s="12">
        <f>IF($L1762="applied","Applied",IF($L1762="interview","Interview",IF($L1762="offer","Offer",IF($L1762="rejected","Rejected",IF($L1762="ignore","Ignore",IF($L1762="archive","Archive",IF($L1762="closed","Closed",IF($B1762="","Unscored",IF(AND($B1762&gt;=8,OR($H1762="",$H1762-TODAY()&lt;=14)),"P1 Apply",IF($B1762&gt;=7,"P2 Strong",IF($B1762&gt;=5,"P3 Maybe","P4 Low")))))))))))</f>
        <v/>
      </c>
      <c r="B1762" s="13" t="n">
        <v>0</v>
      </c>
      <c r="C1762" s="12" t="inlineStr">
        <is>
          <t>Senior/Lead</t>
        </is>
      </c>
      <c r="D1762" s="8" t="inlineStr">
        <is>
          <t>Senior Software Engineer - Data Applications</t>
        </is>
      </c>
      <c r="E1762" s="7" t="inlineStr">
        <is>
          <t>monday.com</t>
        </is>
      </c>
      <c r="F1762" s="8" t="inlineStr">
        <is>
          <t>London, England, UK</t>
        </is>
      </c>
      <c r="G1762" s="8" t="n"/>
      <c r="H1762" s="14" t="n"/>
      <c r="I1762" s="15">
        <f>IF($H1762="","",$H1762-TODAY())</f>
        <v/>
      </c>
      <c r="J1762" s="16" t="inlineStr">
        <is>
          <t>Open posting</t>
        </is>
      </c>
      <c r="K1762" s="8" t="inlineStr">
        <is>
          <t>filtered by keyword pre-scan</t>
        </is>
      </c>
      <c r="L1762" s="17" t="inlineStr">
        <is>
          <t>new</t>
        </is>
      </c>
      <c r="M1762" s="18" t="inlineStr"/>
      <c r="N1762" s="7" t="inlineStr">
        <is>
          <t>0d717cb0365694ba3995b29c69dc9162963ee2b5</t>
        </is>
      </c>
      <c r="O1762" s="14" t="n">
        <v>46184</v>
      </c>
      <c r="P1762" s="7" t="inlineStr">
        <is>
          <t>jobspy</t>
        </is>
      </c>
      <c r="Q1762" s="8" t="inlineStr">
        <is>
          <t>sql, mysql, c</t>
        </is>
      </c>
      <c r="R1762" s="8" t="inlineStr">
        <is>
          <t>Junior Data Engineer SQL Python MySQL</t>
        </is>
      </c>
      <c r="S1762" s="19" t="n"/>
      <c r="T1762" s="19" t="n"/>
      <c r="U1762" s="14" t="n">
        <v>46193</v>
      </c>
      <c r="V1762" s="7" t="inlineStr">
        <is>
          <t>v2-cv-accuracy-13b988b18da8ea7d</t>
        </is>
      </c>
    </row>
    <row r="1763" ht="28" customHeight="1">
      <c r="A1763" s="12">
        <f>IF($L1763="applied","Applied",IF($L1763="interview","Interview",IF($L1763="offer","Offer",IF($L1763="rejected","Rejected",IF($L1763="ignore","Ignore",IF($L1763="archive","Archive",IF($L1763="closed","Closed",IF($B1763="","Unscored",IF(AND($B1763&gt;=8,OR($H1763="",$H1763-TODAY()&lt;=14)),"P1 Apply",IF($B1763&gt;=7,"P2 Strong",IF($B1763&gt;=5,"P3 Maybe","P4 Low")))))))))))</f>
        <v/>
      </c>
      <c r="B1763" s="13" t="n">
        <v>0</v>
      </c>
      <c r="C1763" s="12" t="inlineStr">
        <is>
          <t>Senior/Lead</t>
        </is>
      </c>
      <c r="D1763" s="8" t="inlineStr">
        <is>
          <t>Senior Data Engineer</t>
        </is>
      </c>
      <c r="E1763" s="7" t="inlineStr">
        <is>
          <t>Transform</t>
        </is>
      </c>
      <c r="F1763" s="8" t="inlineStr">
        <is>
          <t>Manchester Area, United Kingdom</t>
        </is>
      </c>
      <c r="G1763" s="8" t="n"/>
      <c r="H1763" s="14" t="n"/>
      <c r="I1763" s="15">
        <f>IF($H1763="","",$H1763-TODAY())</f>
        <v/>
      </c>
      <c r="J1763" s="16" t="inlineStr">
        <is>
          <t>Open posting</t>
        </is>
      </c>
      <c r="K1763" s="8" t="inlineStr">
        <is>
          <t>filtered by keyword pre-scan</t>
        </is>
      </c>
      <c r="L1763" s="17" t="inlineStr">
        <is>
          <t>new</t>
        </is>
      </c>
      <c r="M1763" s="18" t="inlineStr"/>
      <c r="N1763" s="7" t="inlineStr">
        <is>
          <t>8f3df3d7486578f4c1002d147472c7bd7902a72e</t>
        </is>
      </c>
      <c r="O1763" s="14" t="n">
        <v>46174</v>
      </c>
      <c r="P1763" s="7" t="inlineStr">
        <is>
          <t>jobspy</t>
        </is>
      </c>
      <c r="Q1763" s="8" t="inlineStr">
        <is>
          <t>python, sql, mysql, c</t>
        </is>
      </c>
      <c r="R1763" s="8" t="inlineStr">
        <is>
          <t>Junior Data Engineer SQL Python MySQL</t>
        </is>
      </c>
      <c r="S1763" s="19" t="n"/>
      <c r="T1763" s="19" t="n"/>
      <c r="U1763" s="14" t="n">
        <v>46193</v>
      </c>
      <c r="V1763" s="7" t="inlineStr">
        <is>
          <t>v2-cv-accuracy-13b988b18da8ea7d</t>
        </is>
      </c>
    </row>
    <row r="1764" ht="28" customHeight="1">
      <c r="A1764" s="12">
        <f>IF($L1764="applied","Applied",IF($L1764="interview","Interview",IF($L1764="offer","Offer",IF($L1764="rejected","Rejected",IF($L1764="ignore","Ignore",IF($L1764="archive","Archive",IF($L1764="closed","Closed",IF($B1764="","Unscored",IF(AND($B1764&gt;=8,OR($H1764="",$H1764-TODAY()&lt;=14)),"P1 Apply",IF($B1764&gt;=7,"P2 Strong",IF($B1764&gt;=5,"P3 Maybe","P4 Low")))))))))))</f>
        <v/>
      </c>
      <c r="B1764" s="13" t="n">
        <v>0</v>
      </c>
      <c r="C1764" s="12" t="inlineStr">
        <is>
          <t>Senior/Lead</t>
        </is>
      </c>
      <c r="D1764" s="8" t="inlineStr">
        <is>
          <t>Senior Data Engineer</t>
        </is>
      </c>
      <c r="E1764" s="7" t="inlineStr">
        <is>
          <t>Novatus</t>
        </is>
      </c>
      <c r="F1764" s="8" t="inlineStr">
        <is>
          <t>London Area, United Kingdom</t>
        </is>
      </c>
      <c r="G1764" s="8" t="n"/>
      <c r="H1764" s="14" t="n"/>
      <c r="I1764" s="15">
        <f>IF($H1764="","",$H1764-TODAY())</f>
        <v/>
      </c>
      <c r="J1764" s="16" t="inlineStr">
        <is>
          <t>Open posting</t>
        </is>
      </c>
      <c r="K1764" s="8" t="inlineStr">
        <is>
          <t>filtered by keyword pre-scan</t>
        </is>
      </c>
      <c r="L1764" s="17" t="inlineStr">
        <is>
          <t>new</t>
        </is>
      </c>
      <c r="M1764" s="18" t="inlineStr"/>
      <c r="N1764" s="7" t="inlineStr">
        <is>
          <t>906620e2a84cde4cf0e54c72f1ac5667155d4240</t>
        </is>
      </c>
      <c r="O1764" s="14" t="n">
        <v>46168</v>
      </c>
      <c r="P1764" s="7" t="inlineStr">
        <is>
          <t>jobspy</t>
        </is>
      </c>
      <c r="Q1764" s="8" t="inlineStr">
        <is>
          <t>python, sql, mysql, c</t>
        </is>
      </c>
      <c r="R1764" s="8" t="inlineStr">
        <is>
          <t>Junior Data Engineer SQL Python MySQL</t>
        </is>
      </c>
      <c r="S1764" s="19" t="n"/>
      <c r="T1764" s="19" t="n"/>
      <c r="U1764" s="14" t="n">
        <v>46193</v>
      </c>
      <c r="V1764" s="7" t="inlineStr">
        <is>
          <t>v2-cv-accuracy-13b988b18da8ea7d</t>
        </is>
      </c>
    </row>
    <row r="1765" ht="28" customHeight="1">
      <c r="A1765" s="12">
        <f>IF($L1765="applied","Applied",IF($L1765="interview","Interview",IF($L1765="offer","Offer",IF($L1765="rejected","Rejected",IF($L1765="ignore","Ignore",IF($L1765="archive","Archive",IF($L1765="closed","Closed",IF($B1765="","Unscored",IF(AND($B1765&gt;=8,OR($H1765="",$H1765-TODAY()&lt;=14)),"P1 Apply",IF($B1765&gt;=7,"P2 Strong",IF($B1765&gt;=5,"P3 Maybe","P4 Low")))))))))))</f>
        <v/>
      </c>
      <c r="B1765" s="13" t="n">
        <v>0</v>
      </c>
      <c r="C1765" s="12" t="inlineStr">
        <is>
          <t>Senior/Lead</t>
        </is>
      </c>
      <c r="D1765" s="8" t="inlineStr">
        <is>
          <t>Senior Software Engineer - Data Applications</t>
        </is>
      </c>
      <c r="E1765" s="7" t="inlineStr">
        <is>
          <t>monday.com</t>
        </is>
      </c>
      <c r="F1765" s="8" t="inlineStr">
        <is>
          <t>London Area, United Kingdom</t>
        </is>
      </c>
      <c r="G1765" s="8" t="n"/>
      <c r="H1765" s="14" t="n"/>
      <c r="I1765" s="15">
        <f>IF($H1765="","",$H1765-TODAY())</f>
        <v/>
      </c>
      <c r="J1765" s="16" t="inlineStr">
        <is>
          <t>Open posting</t>
        </is>
      </c>
      <c r="K1765" s="8" t="inlineStr">
        <is>
          <t>filtered by keyword pre-scan</t>
        </is>
      </c>
      <c r="L1765" s="17" t="inlineStr">
        <is>
          <t>new</t>
        </is>
      </c>
      <c r="M1765" s="18" t="inlineStr"/>
      <c r="N1765" s="7" t="inlineStr">
        <is>
          <t>a479a1a062003d25c88c425b6676542f11b7d969</t>
        </is>
      </c>
      <c r="O1765" s="14" t="n">
        <v>46163</v>
      </c>
      <c r="P1765" s="7" t="inlineStr">
        <is>
          <t>jobspy</t>
        </is>
      </c>
      <c r="Q1765" s="8" t="inlineStr">
        <is>
          <t>sql, mysql, c</t>
        </is>
      </c>
      <c r="R1765" s="8" t="inlineStr">
        <is>
          <t>Junior Data Engineer SQL Python MySQL</t>
        </is>
      </c>
      <c r="S1765" s="19" t="n"/>
      <c r="T1765" s="19" t="n"/>
      <c r="U1765" s="14" t="n">
        <v>46193</v>
      </c>
      <c r="V1765" s="7" t="inlineStr">
        <is>
          <t>v2-cv-accuracy-13b988b18da8ea7d</t>
        </is>
      </c>
    </row>
    <row r="1766" ht="28" customHeight="1">
      <c r="A1766" s="12">
        <f>IF($L1766="applied","Applied",IF($L1766="interview","Interview",IF($L1766="offer","Offer",IF($L1766="rejected","Rejected",IF($L1766="ignore","Ignore",IF($L1766="archive","Archive",IF($L1766="closed","Closed",IF($B1766="","Unscored",IF(AND($B1766&gt;=8,OR($H1766="",$H1766-TODAY()&lt;=14)),"P1 Apply",IF($B1766&gt;=7,"P2 Strong",IF($B1766&gt;=5,"P3 Maybe","P4 Low")))))))))))</f>
        <v/>
      </c>
      <c r="B1766" s="13" t="n">
        <v>0</v>
      </c>
      <c r="C1766" s="12" t="inlineStr">
        <is>
          <t>Manager/Owner</t>
        </is>
      </c>
      <c r="D1766" s="8" t="inlineStr">
        <is>
          <t>Manager - Full-stack Developer - DE - TC - UKI - Belfast</t>
        </is>
      </c>
      <c r="E1766" s="7" t="inlineStr">
        <is>
          <t>EY</t>
        </is>
      </c>
      <c r="F1766" s="8" t="inlineStr">
        <is>
          <t>Belfast, NIR, GB</t>
        </is>
      </c>
      <c r="G1766" s="8" t="n"/>
      <c r="H1766" s="14" t="n"/>
      <c r="I1766" s="15">
        <f>IF($H1766="","",$H1766-TODAY())</f>
        <v/>
      </c>
      <c r="J1766" s="16" t="inlineStr">
        <is>
          <t>Open posting</t>
        </is>
      </c>
      <c r="K1766" s="8" t="inlineStr">
        <is>
          <t>filtered by keyword pre-scan</t>
        </is>
      </c>
      <c r="L1766" s="17" t="inlineStr">
        <is>
          <t>new</t>
        </is>
      </c>
      <c r="M1766" s="18" t="inlineStr"/>
      <c r="N1766" s="7" t="inlineStr">
        <is>
          <t>0663a68243b1667516065ef25a288560863af1ac</t>
        </is>
      </c>
      <c r="O1766" s="14" t="n">
        <v>46189</v>
      </c>
      <c r="P1766" s="7" t="inlineStr">
        <is>
          <t>jobspy</t>
        </is>
      </c>
      <c r="Q1766" s="8" t="inlineStr">
        <is>
          <t>sql, git, c, javascript</t>
        </is>
      </c>
      <c r="R1766" s="8" t="inlineStr">
        <is>
          <t>Junior Full Stack Developer JavaScript Node.js Python</t>
        </is>
      </c>
      <c r="S1766" s="19" t="n"/>
      <c r="T1766" s="19" t="n"/>
      <c r="U1766" s="14" t="n">
        <v>46193</v>
      </c>
      <c r="V1766" s="7" t="inlineStr">
        <is>
          <t>v2-cv-accuracy-13b988b18da8ea7d</t>
        </is>
      </c>
    </row>
    <row r="1767" ht="28" customHeight="1">
      <c r="A1767" s="12">
        <f>IF($L1767="applied","Applied",IF($L1767="interview","Interview",IF($L1767="offer","Offer",IF($L1767="rejected","Rejected",IF($L1767="ignore","Ignore",IF($L1767="archive","Archive",IF($L1767="closed","Closed",IF($B1767="","Unscored",IF(AND($B1767&gt;=8,OR($H1767="",$H1767-TODAY()&lt;=14)),"P1 Apply",IF($B1767&gt;=7,"P2 Strong",IF($B1767&gt;=5,"P3 Maybe","P4 Low")))))))))))</f>
        <v/>
      </c>
      <c r="B1767" s="13" t="n">
        <v>0</v>
      </c>
      <c r="C1767" s="12" t="inlineStr">
        <is>
          <t>Senior/Lead</t>
        </is>
      </c>
      <c r="D1767" s="8" t="inlineStr">
        <is>
          <t>Senior Developer – Enterprise Reporting &amp; Applications</t>
        </is>
      </c>
      <c r="E1767" s="7" t="inlineStr">
        <is>
          <t>SubSea Craft</t>
        </is>
      </c>
      <c r="F1767" s="8" t="inlineStr">
        <is>
          <t>Portsmouth, ENG, GB</t>
        </is>
      </c>
      <c r="G1767" s="8" t="n"/>
      <c r="H1767" s="14" t="n"/>
      <c r="I1767" s="15">
        <f>IF($H1767="","",$H1767-TODAY())</f>
        <v/>
      </c>
      <c r="J1767" s="16" t="inlineStr">
        <is>
          <t>Open posting</t>
        </is>
      </c>
      <c r="K1767" s="8" t="inlineStr">
        <is>
          <t>filtered by keyword pre-scan</t>
        </is>
      </c>
      <c r="L1767" s="17" t="inlineStr">
        <is>
          <t>new</t>
        </is>
      </c>
      <c r="M1767" s="18" t="inlineStr"/>
      <c r="N1767" s="7" t="inlineStr">
        <is>
          <t>0bd641442ff5401fdded510621540d3235f8e53f</t>
        </is>
      </c>
      <c r="O1767" s="14" t="n">
        <v>46171</v>
      </c>
      <c r="P1767" s="7" t="inlineStr">
        <is>
          <t>jobspy</t>
        </is>
      </c>
      <c r="Q1767" s="8" t="inlineStr">
        <is>
          <t>sql, c, javascript</t>
        </is>
      </c>
      <c r="R1767" s="8" t="inlineStr">
        <is>
          <t>Junior Full Stack Developer JavaScript Node.js Python</t>
        </is>
      </c>
      <c r="S1767" s="19" t="n"/>
      <c r="T1767" s="19" t="n"/>
      <c r="U1767" s="14" t="n">
        <v>46193</v>
      </c>
      <c r="V1767" s="7" t="inlineStr">
        <is>
          <t>v2-cv-accuracy-13b988b18da8ea7d</t>
        </is>
      </c>
    </row>
    <row r="1768" ht="28" customHeight="1">
      <c r="A1768" s="12">
        <f>IF($L1768="applied","Applied",IF($L1768="interview","Interview",IF($L1768="offer","Offer",IF($L1768="rejected","Rejected",IF($L1768="ignore","Ignore",IF($L1768="archive","Archive",IF($L1768="closed","Closed",IF($B1768="","Unscored",IF(AND($B1768&gt;=8,OR($H1768="",$H1768-TODAY()&lt;=14)),"P1 Apply",IF($B1768&gt;=7,"P2 Strong",IF($B1768&gt;=5,"P3 Maybe","P4 Low")))))))))))</f>
        <v/>
      </c>
      <c r="B1768" s="13" t="n">
        <v>0</v>
      </c>
      <c r="C1768" s="12" t="inlineStr">
        <is>
          <t>Unspecified</t>
        </is>
      </c>
      <c r="D1768" s="8" t="inlineStr">
        <is>
          <t>Frontend Developer | $70/hr Remote</t>
        </is>
      </c>
      <c r="E1768" s="7" t="inlineStr">
        <is>
          <t>Crossing Hurdles</t>
        </is>
      </c>
      <c r="F1768" s="8" t="inlineStr"/>
      <c r="G1768" s="8" t="n"/>
      <c r="H1768" s="14" t="n"/>
      <c r="I1768" s="15">
        <f>IF($H1768="","",$H1768-TODAY())</f>
        <v/>
      </c>
      <c r="J1768" s="16" t="inlineStr">
        <is>
          <t>Open posting</t>
        </is>
      </c>
      <c r="K1768" s="8" t="inlineStr">
        <is>
          <t>filtered by keyword pre-scan</t>
        </is>
      </c>
      <c r="L1768" s="17" t="inlineStr">
        <is>
          <t>new</t>
        </is>
      </c>
      <c r="M1768" s="18" t="inlineStr"/>
      <c r="N1768" s="7" t="inlineStr">
        <is>
          <t>f907f53cf4beafd937b42b1680c7622db7ce1a2d</t>
        </is>
      </c>
      <c r="O1768" s="14" t="n">
        <v>46178</v>
      </c>
      <c r="P1768" s="7" t="inlineStr">
        <is>
          <t>jobspy</t>
        </is>
      </c>
      <c r="Q1768" s="8" t="inlineStr">
        <is>
          <t>c, javascript</t>
        </is>
      </c>
      <c r="R1768" s="8" t="inlineStr">
        <is>
          <t>Junior Full Stack Developer JavaScript Node.js Python</t>
        </is>
      </c>
      <c r="S1768" s="19" t="n"/>
      <c r="T1768" s="19" t="n"/>
      <c r="U1768" s="14" t="n">
        <v>46193</v>
      </c>
      <c r="V1768" s="7" t="inlineStr">
        <is>
          <t>v2-cv-accuracy-13b988b18da8ea7d</t>
        </is>
      </c>
    </row>
    <row r="1769" ht="28" customHeight="1">
      <c r="A1769" s="12">
        <f>IF($L1769="applied","Applied",IF($L1769="interview","Interview",IF($L1769="offer","Offer",IF($L1769="rejected","Rejected",IF($L1769="ignore","Ignore",IF($L1769="archive","Archive",IF($L1769="closed","Closed",IF($B1769="","Unscored",IF(AND($B1769&gt;=8,OR($H1769="",$H1769-TODAY()&lt;=14)),"P1 Apply",IF($B1769&gt;=7,"P2 Strong",IF($B1769&gt;=5,"P3 Maybe","P4 Low")))))))))))</f>
        <v/>
      </c>
      <c r="B1769" s="13" t="n">
        <v>0</v>
      </c>
      <c r="C1769" s="12" t="inlineStr">
        <is>
          <t>Unspecified</t>
        </is>
      </c>
      <c r="D1769" s="8" t="inlineStr">
        <is>
          <t>Full-Stack Engineer (Frontend-focused) | $90/hr Remote</t>
        </is>
      </c>
      <c r="E1769" s="7" t="inlineStr">
        <is>
          <t>Crossing Hurdles</t>
        </is>
      </c>
      <c r="F1769" s="8" t="inlineStr"/>
      <c r="G1769" s="8" t="n"/>
      <c r="H1769" s="14" t="n"/>
      <c r="I1769" s="15">
        <f>IF($H1769="","",$H1769-TODAY())</f>
        <v/>
      </c>
      <c r="J1769" s="16" t="inlineStr">
        <is>
          <t>Open posting</t>
        </is>
      </c>
      <c r="K1769" s="8" t="inlineStr">
        <is>
          <t>filtered by keyword pre-scan</t>
        </is>
      </c>
      <c r="L1769" s="17" t="inlineStr">
        <is>
          <t>new</t>
        </is>
      </c>
      <c r="M1769" s="18" t="inlineStr"/>
      <c r="N1769" s="7" t="inlineStr">
        <is>
          <t>0ee53aad54f2b32e7667662e26d75728693b2f00</t>
        </is>
      </c>
      <c r="O1769" s="14" t="n">
        <v>46178</v>
      </c>
      <c r="P1769" s="7" t="inlineStr">
        <is>
          <t>jobspy</t>
        </is>
      </c>
      <c r="Q1769" s="8" t="inlineStr">
        <is>
          <t>python, c, backend development</t>
        </is>
      </c>
      <c r="R1769" s="8" t="inlineStr">
        <is>
          <t>Junior Full Stack Developer JavaScript Node.js Python</t>
        </is>
      </c>
      <c r="S1769" s="19" t="n"/>
      <c r="T1769" s="19" t="n"/>
      <c r="U1769" s="14" t="n">
        <v>46193</v>
      </c>
      <c r="V1769" s="7" t="inlineStr">
        <is>
          <t>v2-cv-accuracy-13b988b18da8ea7d</t>
        </is>
      </c>
    </row>
    <row r="1770" ht="28" customHeight="1">
      <c r="A1770" s="12">
        <f>IF($L1770="applied","Applied",IF($L1770="interview","Interview",IF($L1770="offer","Offer",IF($L1770="rejected","Rejected",IF($L1770="ignore","Ignore",IF($L1770="archive","Archive",IF($L1770="closed","Closed",IF($B1770="","Unscored",IF(AND($B1770&gt;=8,OR($H1770="",$H1770-TODAY()&lt;=14)),"P1 Apply",IF($B1770&gt;=7,"P2 Strong",IF($B1770&gt;=5,"P3 Maybe","P4 Low")))))))))))</f>
        <v/>
      </c>
      <c r="B1770" s="13" t="n">
        <v>0</v>
      </c>
      <c r="C1770" s="12" t="inlineStr">
        <is>
          <t>Senior/Lead</t>
        </is>
      </c>
      <c r="D1770" s="8" t="inlineStr">
        <is>
          <t>Staff Digital Design Engineer</t>
        </is>
      </c>
      <c r="E1770" s="7" t="inlineStr">
        <is>
          <t>IC Resources</t>
        </is>
      </c>
      <c r="F1770" s="8" t="inlineStr">
        <is>
          <t>Edinburgh, Scotland, UK</t>
        </is>
      </c>
      <c r="G1770" s="8" t="n"/>
      <c r="H1770" s="14" t="n"/>
      <c r="I1770" s="15">
        <f>IF($H1770="","",$H1770-TODAY())</f>
        <v/>
      </c>
      <c r="J1770" s="16" t="inlineStr">
        <is>
          <t>Open posting</t>
        </is>
      </c>
      <c r="K1770" s="8" t="inlineStr">
        <is>
          <t>filtered by keyword pre-scan</t>
        </is>
      </c>
      <c r="L1770" s="17" t="inlineStr">
        <is>
          <t>new</t>
        </is>
      </c>
      <c r="M1770" s="18" t="inlineStr"/>
      <c r="N1770" s="7" t="inlineStr">
        <is>
          <t>c0a8c2c3eb6f343cfa839dfa7ea6069d580b7a6f</t>
        </is>
      </c>
      <c r="O1770" s="14" t="n"/>
      <c r="P1770" s="7" t="inlineStr">
        <is>
          <t>jobspy</t>
        </is>
      </c>
      <c r="Q1770" s="8" t="inlineStr">
        <is>
          <t>verilog, git, c, digital design</t>
        </is>
      </c>
      <c r="R1770" s="8" t="inlineStr">
        <is>
          <t>Graduate Digital Design Engineer FPGA</t>
        </is>
      </c>
      <c r="S1770" s="19" t="n"/>
      <c r="T1770" s="19" t="n"/>
      <c r="U1770" s="14" t="n">
        <v>46193</v>
      </c>
      <c r="V1770" s="7" t="inlineStr">
        <is>
          <t>v2-cv-accuracy-13b988b18da8ea7d</t>
        </is>
      </c>
    </row>
    <row r="1771" ht="28" customHeight="1">
      <c r="A1771" s="12">
        <f>IF($L1771="applied","Applied",IF($L1771="interview","Interview",IF($L1771="offer","Offer",IF($L1771="rejected","Rejected",IF($L1771="ignore","Ignore",IF($L1771="archive","Archive",IF($L1771="closed","Closed",IF($B1771="","Unscored",IF(AND($B1771&gt;=8,OR($H1771="",$H1771-TODAY()&lt;=14)),"P1 Apply",IF($B1771&gt;=7,"P2 Strong",IF($B1771&gt;=5,"P3 Maybe","P4 Low")))))))))))</f>
        <v/>
      </c>
      <c r="B1771" s="13" t="n">
        <v>0</v>
      </c>
      <c r="C1771" s="12" t="inlineStr">
        <is>
          <t>Senior/Lead</t>
        </is>
      </c>
      <c r="D1771" s="8" t="inlineStr">
        <is>
          <t>Principal DSP Engineer</t>
        </is>
      </c>
      <c r="E1771" s="7" t="inlineStr">
        <is>
          <t>Platform Recruitment</t>
        </is>
      </c>
      <c r="F1771" s="8" t="inlineStr">
        <is>
          <t>Cambridge, England, UK</t>
        </is>
      </c>
      <c r="G1771" s="8" t="n"/>
      <c r="H1771" s="14" t="n"/>
      <c r="I1771" s="15">
        <f>IF($H1771="","",$H1771-TODAY())</f>
        <v/>
      </c>
      <c r="J1771" s="16" t="inlineStr">
        <is>
          <t>Open posting</t>
        </is>
      </c>
      <c r="K1771" s="8" t="inlineStr">
        <is>
          <t>filtered by keyword pre-scan</t>
        </is>
      </c>
      <c r="L1771" s="17" t="inlineStr">
        <is>
          <t>new</t>
        </is>
      </c>
      <c r="M1771" s="18" t="inlineStr"/>
      <c r="N1771" s="7" t="inlineStr">
        <is>
          <t>165ab61f9ee4e70e2370202d14e4dc5714d0e015</t>
        </is>
      </c>
      <c r="O1771" s="14" t="n">
        <v>46191</v>
      </c>
      <c r="P1771" s="7" t="inlineStr">
        <is>
          <t>jobspy</t>
        </is>
      </c>
      <c r="Q1771" s="8" t="inlineStr">
        <is>
          <t>python, c, dsp</t>
        </is>
      </c>
      <c r="R1771" s="8" t="inlineStr">
        <is>
          <t>Graduate Signal Processing Engineer DSP</t>
        </is>
      </c>
      <c r="S1771" s="19" t="n"/>
      <c r="T1771" s="19" t="n"/>
      <c r="U1771" s="14" t="n">
        <v>46193</v>
      </c>
      <c r="V1771" s="7" t="inlineStr">
        <is>
          <t>v2-cv-accuracy-13b988b18da8ea7d</t>
        </is>
      </c>
    </row>
    <row r="1772" ht="28" customHeight="1">
      <c r="A1772" s="12">
        <f>IF($L1772="applied","Applied",IF($L1772="interview","Interview",IF($L1772="offer","Offer",IF($L1772="rejected","Rejected",IF($L1772="ignore","Ignore",IF($L1772="archive","Archive",IF($L1772="closed","Closed",IF($B1772="","Unscored",IF(AND($B1772&gt;=8,OR($H1772="",$H1772-TODAY()&lt;=14)),"P1 Apply",IF($B1772&gt;=7,"P2 Strong",IF($B1772&gt;=5,"P3 Maybe","P4 Low")))))))))))</f>
        <v/>
      </c>
      <c r="B1772" s="13" t="n">
        <v>0</v>
      </c>
      <c r="C1772" s="12" t="inlineStr">
        <is>
          <t>Senior/Lead</t>
        </is>
      </c>
      <c r="D1772" s="8" t="inlineStr">
        <is>
          <t>Embedded Software Technical Lead</t>
        </is>
      </c>
      <c r="E1772" s="7" t="inlineStr">
        <is>
          <t>Spectrum IT Recruitment</t>
        </is>
      </c>
      <c r="F1772" s="8" t="inlineStr">
        <is>
          <t>Fareham, England, UK</t>
        </is>
      </c>
      <c r="G1772" s="8" t="n"/>
      <c r="H1772" s="14" t="n"/>
      <c r="I1772" s="15">
        <f>IF($H1772="","",$H1772-TODAY())</f>
        <v/>
      </c>
      <c r="J1772" s="16" t="inlineStr">
        <is>
          <t>Open posting</t>
        </is>
      </c>
      <c r="K1772" s="8" t="inlineStr">
        <is>
          <t>filtered by keyword pre-scan</t>
        </is>
      </c>
      <c r="L1772" s="17" t="inlineStr">
        <is>
          <t>new</t>
        </is>
      </c>
      <c r="M1772" s="18" t="inlineStr"/>
      <c r="N1772" s="7" t="inlineStr">
        <is>
          <t>6b583f1fee6cb71fe6f2c0c844507d75e9cd0b46</t>
        </is>
      </c>
      <c r="O1772" s="14" t="n">
        <v>46181</v>
      </c>
      <c r="P1772" s="7" t="inlineStr">
        <is>
          <t>jobspy</t>
        </is>
      </c>
      <c r="Q1772" s="8" t="inlineStr">
        <is>
          <t>c, dsp</t>
        </is>
      </c>
      <c r="R1772" s="8" t="inlineStr">
        <is>
          <t>Graduate Signal Processing Engineer DSP</t>
        </is>
      </c>
      <c r="S1772" s="19" t="n"/>
      <c r="T1772" s="19" t="n"/>
      <c r="U1772" s="14" t="n">
        <v>46193</v>
      </c>
      <c r="V1772" s="7" t="inlineStr">
        <is>
          <t>v2-cv-accuracy-13b988b18da8ea7d</t>
        </is>
      </c>
    </row>
    <row r="1773" ht="28" customHeight="1">
      <c r="A1773" s="12">
        <f>IF($L1773="applied","Applied",IF($L1773="interview","Interview",IF($L1773="offer","Offer",IF($L1773="rejected","Rejected",IF($L1773="ignore","Ignore",IF($L1773="archive","Archive",IF($L1773="closed","Closed",IF($B1773="","Unscored",IF(AND($B1773&gt;=8,OR($H1773="",$H1773-TODAY()&lt;=14)),"P1 Apply",IF($B1773&gt;=7,"P2 Strong",IF($B1773&gt;=5,"P3 Maybe","P4 Low")))))))))))</f>
        <v/>
      </c>
      <c r="B1773" s="13" t="n">
        <v>0</v>
      </c>
      <c r="C1773" s="12" t="inlineStr">
        <is>
          <t>Senior/Lead</t>
        </is>
      </c>
      <c r="D1773" s="8" t="inlineStr">
        <is>
          <t>Senior Data Engineer</t>
        </is>
      </c>
      <c r="E1773" s="7" t="inlineStr">
        <is>
          <t>Bionic Group</t>
        </is>
      </c>
      <c r="F1773" s="8" t="inlineStr">
        <is>
          <t>London, ENG, GB</t>
        </is>
      </c>
      <c r="G1773" s="8" t="n"/>
      <c r="H1773" s="14" t="n"/>
      <c r="I1773" s="15">
        <f>IF($H1773="","",$H1773-TODAY())</f>
        <v/>
      </c>
      <c r="J1773" s="16" t="inlineStr">
        <is>
          <t>Open posting</t>
        </is>
      </c>
      <c r="K1773" s="8" t="inlineStr">
        <is>
          <t>filtered by keyword pre-scan</t>
        </is>
      </c>
      <c r="L1773" s="17" t="inlineStr">
        <is>
          <t>new</t>
        </is>
      </c>
      <c r="M1773" s="18" t="inlineStr"/>
      <c r="N1773" s="7" t="inlineStr">
        <is>
          <t>9cf97ff82b4e95391bbc62be92dceada5f4f331d</t>
        </is>
      </c>
      <c r="O1773" s="14" t="n">
        <v>46192</v>
      </c>
      <c r="P1773" s="7" t="inlineStr">
        <is>
          <t>jobspy</t>
        </is>
      </c>
      <c r="Q1773" s="8" t="inlineStr">
        <is>
          <t>python, sql, api integration, git, c</t>
        </is>
      </c>
      <c r="R1773" s="8" t="inlineStr">
        <is>
          <t>Junior Data Engineer Python SQL pipeline</t>
        </is>
      </c>
      <c r="S1773" s="19" t="n"/>
      <c r="T1773" s="19" t="n"/>
      <c r="U1773" s="14" t="n">
        <v>46193</v>
      </c>
      <c r="V1773" s="7" t="inlineStr">
        <is>
          <t>v2-cv-accuracy-13b988b18da8ea7d</t>
        </is>
      </c>
    </row>
    <row r="1774" ht="28" customHeight="1">
      <c r="A1774" s="12">
        <f>IF($L1774="applied","Applied",IF($L1774="interview","Interview",IF($L1774="offer","Offer",IF($L1774="rejected","Rejected",IF($L1774="ignore","Ignore",IF($L1774="archive","Archive",IF($L1774="closed","Closed",IF($B1774="","Unscored",IF(AND($B1774&gt;=8,OR($H1774="",$H1774-TODAY()&lt;=14)),"P1 Apply",IF($B1774&gt;=7,"P2 Strong",IF($B1774&gt;=5,"P3 Maybe","P4 Low")))))))))))</f>
        <v/>
      </c>
      <c r="B1774" s="13" t="n">
        <v>0</v>
      </c>
      <c r="C1774" s="12" t="inlineStr">
        <is>
          <t>Senior/Lead</t>
        </is>
      </c>
      <c r="D1774" s="8" t="inlineStr">
        <is>
          <t>Senior Data Scientist</t>
        </is>
      </c>
      <c r="E1774" s="7" t="inlineStr">
        <is>
          <t>nan</t>
        </is>
      </c>
      <c r="F1774" s="8" t="inlineStr">
        <is>
          <t>Reading, ENG, GB</t>
        </is>
      </c>
      <c r="G1774" s="8" t="n"/>
      <c r="H1774" s="14" t="n"/>
      <c r="I1774" s="15">
        <f>IF($H1774="","",$H1774-TODAY())</f>
        <v/>
      </c>
      <c r="J1774" s="16" t="inlineStr">
        <is>
          <t>Open posting</t>
        </is>
      </c>
      <c r="K1774" s="8" t="inlineStr">
        <is>
          <t>filtered by keyword pre-scan</t>
        </is>
      </c>
      <c r="L1774" s="17" t="inlineStr">
        <is>
          <t>new</t>
        </is>
      </c>
      <c r="M1774" s="18" t="inlineStr"/>
      <c r="N1774" s="7" t="inlineStr">
        <is>
          <t>6317c392a28b8c05f0f8771d66fb1583163541ff</t>
        </is>
      </c>
      <c r="O1774" s="14" t="n">
        <v>46192</v>
      </c>
      <c r="P1774" s="7" t="inlineStr">
        <is>
          <t>jobspy</t>
        </is>
      </c>
      <c r="Q1774" s="8" t="inlineStr">
        <is>
          <t>c</t>
        </is>
      </c>
      <c r="R1774" s="8" t="inlineStr">
        <is>
          <t>Junior Data Engineer Python SQL pipeline</t>
        </is>
      </c>
      <c r="S1774" s="19" t="n"/>
      <c r="T1774" s="19" t="n"/>
      <c r="U1774" s="14" t="n">
        <v>46193</v>
      </c>
      <c r="V1774" s="7" t="inlineStr">
        <is>
          <t>v2-cv-accuracy-13b988b18da8ea7d</t>
        </is>
      </c>
    </row>
    <row r="1775" ht="28" customHeight="1">
      <c r="A1775" s="12">
        <f>IF($L1775="applied","Applied",IF($L1775="interview","Interview",IF($L1775="offer","Offer",IF($L1775="rejected","Rejected",IF($L1775="ignore","Ignore",IF($L1775="archive","Archive",IF($L1775="closed","Closed",IF($B1775="","Unscored",IF(AND($B1775&gt;=8,OR($H1775="",$H1775-TODAY()&lt;=14)),"P1 Apply",IF($B1775&gt;=7,"P2 Strong",IF($B1775&gt;=5,"P3 Maybe","P4 Low")))))))))))</f>
        <v/>
      </c>
      <c r="B1775" s="13" t="n">
        <v>0</v>
      </c>
      <c r="C1775" s="12" t="inlineStr">
        <is>
          <t>Manager/Owner</t>
        </is>
      </c>
      <c r="D1775" s="8" t="inlineStr">
        <is>
          <t>Data Science Manager</t>
        </is>
      </c>
      <c r="E1775" s="7" t="inlineStr">
        <is>
          <t>JMAN Group</t>
        </is>
      </c>
      <c r="F1775" s="8" t="inlineStr">
        <is>
          <t>London, ENG, GB</t>
        </is>
      </c>
      <c r="G1775" s="8" t="n"/>
      <c r="H1775" s="14" t="n"/>
      <c r="I1775" s="15">
        <f>IF($H1775="","",$H1775-TODAY())</f>
        <v/>
      </c>
      <c r="J1775" s="16" t="inlineStr">
        <is>
          <t>Open posting</t>
        </is>
      </c>
      <c r="K1775" s="8" t="inlineStr">
        <is>
          <t>filtered by keyword pre-scan</t>
        </is>
      </c>
      <c r="L1775" s="17" t="inlineStr">
        <is>
          <t>new</t>
        </is>
      </c>
      <c r="M1775" s="18" t="inlineStr"/>
      <c r="N1775" s="7" t="inlineStr">
        <is>
          <t>cc565c5e4637075a8fe5005693271d9730bd55f5</t>
        </is>
      </c>
      <c r="O1775" s="14" t="n">
        <v>46190</v>
      </c>
      <c r="P1775" s="7" t="inlineStr">
        <is>
          <t>jobspy</t>
        </is>
      </c>
      <c r="Q1775" s="8" t="inlineStr">
        <is>
          <t>python, sql, git, c</t>
        </is>
      </c>
      <c r="R1775" s="8" t="inlineStr">
        <is>
          <t>Junior Data Engineer Python SQL pipeline</t>
        </is>
      </c>
      <c r="S1775" s="19" t="n"/>
      <c r="T1775" s="19" t="n"/>
      <c r="U1775" s="14" t="n">
        <v>46193</v>
      </c>
      <c r="V1775" s="7" t="inlineStr">
        <is>
          <t>v2-cv-accuracy-13b988b18da8ea7d</t>
        </is>
      </c>
    </row>
    <row r="1776" ht="28" customHeight="1">
      <c r="A1776" s="12">
        <f>IF($L1776="applied","Applied",IF($L1776="interview","Interview",IF($L1776="offer","Offer",IF($L1776="rejected","Rejected",IF($L1776="ignore","Ignore",IF($L1776="archive","Archive",IF($L1776="closed","Closed",IF($B1776="","Unscored",IF(AND($B1776&gt;=8,OR($H1776="",$H1776-TODAY()&lt;=14)),"P1 Apply",IF($B1776&gt;=7,"P2 Strong",IF($B1776&gt;=5,"P3 Maybe","P4 Low")))))))))))</f>
        <v/>
      </c>
      <c r="B1776" s="13" t="n">
        <v>0</v>
      </c>
      <c r="C1776" s="12" t="inlineStr">
        <is>
          <t>Senior/Lead</t>
        </is>
      </c>
      <c r="D1776" s="8" t="inlineStr">
        <is>
          <t>Senior Data Engineer</t>
        </is>
      </c>
      <c r="E1776" s="7" t="inlineStr">
        <is>
          <t>NHBC</t>
        </is>
      </c>
      <c r="F1776" s="8" t="inlineStr">
        <is>
          <t>Milton Keynes, ENG, GB</t>
        </is>
      </c>
      <c r="G1776" s="8" t="n"/>
      <c r="H1776" s="14" t="n"/>
      <c r="I1776" s="15">
        <f>IF($H1776="","",$H1776-TODAY())</f>
        <v/>
      </c>
      <c r="J1776" s="16" t="inlineStr">
        <is>
          <t>Open posting</t>
        </is>
      </c>
      <c r="K1776" s="8" t="inlineStr">
        <is>
          <t>filtered by keyword pre-scan</t>
        </is>
      </c>
      <c r="L1776" s="17" t="inlineStr">
        <is>
          <t>new</t>
        </is>
      </c>
      <c r="M1776" s="18" t="inlineStr"/>
      <c r="N1776" s="7" t="inlineStr">
        <is>
          <t>1eee6cb51d63c4a752002f88169791fc36b244f4</t>
        </is>
      </c>
      <c r="O1776" s="14" t="n">
        <v>46189</v>
      </c>
      <c r="P1776" s="7" t="inlineStr">
        <is>
          <t>jobspy</t>
        </is>
      </c>
      <c r="Q1776" s="8" t="inlineStr">
        <is>
          <t>python, sql, c</t>
        </is>
      </c>
      <c r="R1776" s="8" t="inlineStr">
        <is>
          <t>Junior Data Engineer Python SQL pipeline</t>
        </is>
      </c>
      <c r="S1776" s="19" t="n"/>
      <c r="T1776" s="19" t="n"/>
      <c r="U1776" s="14" t="n">
        <v>46193</v>
      </c>
      <c r="V1776" s="7" t="inlineStr">
        <is>
          <t>v2-cv-accuracy-13b988b18da8ea7d</t>
        </is>
      </c>
    </row>
    <row r="1777" ht="28" customHeight="1">
      <c r="A1777" s="12">
        <f>IF($L1777="applied","Applied",IF($L1777="interview","Interview",IF($L1777="offer","Offer",IF($L1777="rejected","Rejected",IF($L1777="ignore","Ignore",IF($L1777="archive","Archive",IF($L1777="closed","Closed",IF($B1777="","Unscored",IF(AND($B1777&gt;=8,OR($H1777="",$H1777-TODAY()&lt;=14)),"P1 Apply",IF($B1777&gt;=7,"P2 Strong",IF($B1777&gt;=5,"P3 Maybe","P4 Low")))))))))))</f>
        <v/>
      </c>
      <c r="B1777" s="13" t="n">
        <v>0</v>
      </c>
      <c r="C1777" s="12" t="inlineStr">
        <is>
          <t>Senior/Lead</t>
        </is>
      </c>
      <c r="D1777" s="8" t="inlineStr">
        <is>
          <t>Senior Data Engineer</t>
        </is>
      </c>
      <c r="E1777" s="7" t="inlineStr">
        <is>
          <t>SSE PLC</t>
        </is>
      </c>
      <c r="F1777" s="8" t="inlineStr">
        <is>
          <t>Portsmouth, ENG, GB</t>
        </is>
      </c>
      <c r="G1777" s="8" t="n"/>
      <c r="H1777" s="14" t="n"/>
      <c r="I1777" s="15">
        <f>IF($H1777="","",$H1777-TODAY())</f>
        <v/>
      </c>
      <c r="J1777" s="16" t="inlineStr">
        <is>
          <t>Open posting</t>
        </is>
      </c>
      <c r="K1777" s="8" t="inlineStr">
        <is>
          <t>filtered by keyword pre-scan</t>
        </is>
      </c>
      <c r="L1777" s="17" t="inlineStr">
        <is>
          <t>new</t>
        </is>
      </c>
      <c r="M1777" s="18" t="inlineStr"/>
      <c r="N1777" s="7" t="inlineStr">
        <is>
          <t>e2a9ff2e12f020fb3be34325822498b1da49cc4a</t>
        </is>
      </c>
      <c r="O1777" s="14" t="n">
        <v>46189</v>
      </c>
      <c r="P1777" s="7" t="inlineStr">
        <is>
          <t>jobspy</t>
        </is>
      </c>
      <c r="Q1777" s="8" t="inlineStr">
        <is>
          <t>python, sql, c</t>
        </is>
      </c>
      <c r="R1777" s="8" t="inlineStr">
        <is>
          <t>Junior Data Engineer Python SQL pipeline</t>
        </is>
      </c>
      <c r="S1777" s="19" t="n"/>
      <c r="T1777" s="19" t="n"/>
      <c r="U1777" s="14" t="n">
        <v>46193</v>
      </c>
      <c r="V1777" s="7" t="inlineStr">
        <is>
          <t>v2-cv-accuracy-13b988b18da8ea7d</t>
        </is>
      </c>
    </row>
    <row r="1778" ht="28" customHeight="1">
      <c r="A1778" s="12">
        <f>IF($L1778="applied","Applied",IF($L1778="interview","Interview",IF($L1778="offer","Offer",IF($L1778="rejected","Rejected",IF($L1778="ignore","Ignore",IF($L1778="archive","Archive",IF($L1778="closed","Closed",IF($B1778="","Unscored",IF(AND($B1778&gt;=8,OR($H1778="",$H1778-TODAY()&lt;=14)),"P1 Apply",IF($B1778&gt;=7,"P2 Strong",IF($B1778&gt;=5,"P3 Maybe","P4 Low")))))))))))</f>
        <v/>
      </c>
      <c r="B1778" s="13" t="n">
        <v>0</v>
      </c>
      <c r="C1778" s="12" t="inlineStr">
        <is>
          <t>Senior/Lead</t>
        </is>
      </c>
      <c r="D1778" s="8" t="inlineStr">
        <is>
          <t>Senior Data Engineer - Full Stack</t>
        </is>
      </c>
      <c r="E1778" s="7" t="inlineStr">
        <is>
          <t>ESL FACEIT GROUP</t>
        </is>
      </c>
      <c r="F1778" s="8" t="inlineStr">
        <is>
          <t>London, ENG, GB</t>
        </is>
      </c>
      <c r="G1778" s="8" t="n"/>
      <c r="H1778" s="14" t="n"/>
      <c r="I1778" s="15">
        <f>IF($H1778="","",$H1778-TODAY())</f>
        <v/>
      </c>
      <c r="J1778" s="16" t="inlineStr">
        <is>
          <t>Open posting</t>
        </is>
      </c>
      <c r="K1778" s="8" t="inlineStr">
        <is>
          <t>filtered by keyword pre-scan</t>
        </is>
      </c>
      <c r="L1778" s="17" t="inlineStr">
        <is>
          <t>new</t>
        </is>
      </c>
      <c r="M1778" s="18" t="inlineStr"/>
      <c r="N1778" s="7" t="inlineStr">
        <is>
          <t>bc435d2d1fb7cb12a23e107280d22413b5e09399</t>
        </is>
      </c>
      <c r="O1778" s="14" t="n">
        <v>46189</v>
      </c>
      <c r="P1778" s="7" t="inlineStr">
        <is>
          <t>jobspy</t>
        </is>
      </c>
      <c r="Q1778" s="8" t="inlineStr">
        <is>
          <t>python, sql, c</t>
        </is>
      </c>
      <c r="R1778" s="8" t="inlineStr">
        <is>
          <t>Junior Data Engineer Python SQL pipeline</t>
        </is>
      </c>
      <c r="S1778" s="19" t="n"/>
      <c r="T1778" s="19" t="n"/>
      <c r="U1778" s="14" t="n">
        <v>46193</v>
      </c>
      <c r="V1778" s="7" t="inlineStr">
        <is>
          <t>v2-cv-accuracy-13b988b18da8ea7d</t>
        </is>
      </c>
    </row>
    <row r="1779" ht="28" customHeight="1">
      <c r="A1779" s="12">
        <f>IF($L1779="applied","Applied",IF($L1779="interview","Interview",IF($L1779="offer","Offer",IF($L1779="rejected","Rejected",IF($L1779="ignore","Ignore",IF($L1779="archive","Archive",IF($L1779="closed","Closed",IF($B1779="","Unscored",IF(AND($B1779&gt;=8,OR($H1779="",$H1779-TODAY()&lt;=14)),"P1 Apply",IF($B1779&gt;=7,"P2 Strong",IF($B1779&gt;=5,"P3 Maybe","P4 Low")))))))))))</f>
        <v/>
      </c>
      <c r="B1779" s="13" t="n">
        <v>0</v>
      </c>
      <c r="C1779" s="12" t="inlineStr">
        <is>
          <t>Senior/Lead</t>
        </is>
      </c>
      <c r="D1779" s="8" t="inlineStr">
        <is>
          <t>Senior Data Engineer</t>
        </is>
      </c>
      <c r="E1779" s="7" t="inlineStr">
        <is>
          <t>Barclays</t>
        </is>
      </c>
      <c r="F1779" s="8" t="inlineStr">
        <is>
          <t>London, ENG, GB</t>
        </is>
      </c>
      <c r="G1779" s="8" t="n"/>
      <c r="H1779" s="14" t="n"/>
      <c r="I1779" s="15">
        <f>IF($H1779="","",$H1779-TODAY())</f>
        <v/>
      </c>
      <c r="J1779" s="16" t="inlineStr">
        <is>
          <t>Open posting</t>
        </is>
      </c>
      <c r="K1779" s="8" t="inlineStr">
        <is>
          <t>filtered by keyword pre-scan</t>
        </is>
      </c>
      <c r="L1779" s="17" t="inlineStr">
        <is>
          <t>new</t>
        </is>
      </c>
      <c r="M1779" s="18" t="inlineStr"/>
      <c r="N1779" s="7" t="inlineStr">
        <is>
          <t>b4b067b88f3fa27ea581f7935dcd47c8a510af65</t>
        </is>
      </c>
      <c r="O1779" s="14" t="n">
        <v>46188</v>
      </c>
      <c r="P1779" s="7" t="inlineStr">
        <is>
          <t>jobspy</t>
        </is>
      </c>
      <c r="Q1779" s="8" t="inlineStr">
        <is>
          <t>python, sql, git, c</t>
        </is>
      </c>
      <c r="R1779" s="8" t="inlineStr">
        <is>
          <t>Junior Data Engineer Python SQL pipeline</t>
        </is>
      </c>
      <c r="S1779" s="19" t="n"/>
      <c r="T1779" s="19" t="n"/>
      <c r="U1779" s="14" t="n">
        <v>46193</v>
      </c>
      <c r="V1779" s="7" t="inlineStr">
        <is>
          <t>v2-cv-accuracy-13b988b18da8ea7d</t>
        </is>
      </c>
    </row>
    <row r="1780" ht="28" customHeight="1">
      <c r="A1780" s="12">
        <f>IF($L1780="applied","Applied",IF($L1780="interview","Interview",IF($L1780="offer","Offer",IF($L1780="rejected","Rejected",IF($L1780="ignore","Ignore",IF($L1780="archive","Archive",IF($L1780="closed","Closed",IF($B1780="","Unscored",IF(AND($B1780&gt;=8,OR($H1780="",$H1780-TODAY()&lt;=14)),"P1 Apply",IF($B1780&gt;=7,"P2 Strong",IF($B1780&gt;=5,"P3 Maybe","P4 Low")))))))))))</f>
        <v/>
      </c>
      <c r="B1780" s="13" t="n">
        <v>0</v>
      </c>
      <c r="C1780" s="12" t="inlineStr">
        <is>
          <t>Senior/Lead</t>
        </is>
      </c>
      <c r="D1780" s="8" t="inlineStr">
        <is>
          <t>Lead Data Engineer</t>
        </is>
      </c>
      <c r="E1780" s="7" t="inlineStr">
        <is>
          <t>Scrumconnect Consulting</t>
        </is>
      </c>
      <c r="F1780" s="8" t="inlineStr">
        <is>
          <t>Coventry, ENG, GB</t>
        </is>
      </c>
      <c r="G1780" s="8" t="n"/>
      <c r="H1780" s="14" t="n"/>
      <c r="I1780" s="15">
        <f>IF($H1780="","",$H1780-TODAY())</f>
        <v/>
      </c>
      <c r="J1780" s="16" t="inlineStr">
        <is>
          <t>Open posting</t>
        </is>
      </c>
      <c r="K1780" s="8" t="inlineStr">
        <is>
          <t>filtered by keyword pre-scan</t>
        </is>
      </c>
      <c r="L1780" s="17" t="inlineStr">
        <is>
          <t>new</t>
        </is>
      </c>
      <c r="M1780" s="18" t="inlineStr"/>
      <c r="N1780" s="7" t="inlineStr">
        <is>
          <t>c77588e2e03313d4e00da278714a7c00a41bda6a</t>
        </is>
      </c>
      <c r="O1780" s="14" t="n">
        <v>46188</v>
      </c>
      <c r="P1780" s="7" t="inlineStr">
        <is>
          <t>jobspy</t>
        </is>
      </c>
      <c r="Q1780" s="8" t="inlineStr">
        <is>
          <t>python, sql, git, c</t>
        </is>
      </c>
      <c r="R1780" s="8" t="inlineStr">
        <is>
          <t>Junior Data Engineer Python SQL pipeline</t>
        </is>
      </c>
      <c r="S1780" s="19" t="n"/>
      <c r="T1780" s="19" t="n"/>
      <c r="U1780" s="14" t="n">
        <v>46193</v>
      </c>
      <c r="V1780" s="7" t="inlineStr">
        <is>
          <t>v2-cv-accuracy-13b988b18da8ea7d</t>
        </is>
      </c>
    </row>
    <row r="1781" ht="28" customHeight="1">
      <c r="A1781" s="12">
        <f>IF($L1781="applied","Applied",IF($L1781="interview","Interview",IF($L1781="offer","Offer",IF($L1781="rejected","Rejected",IF($L1781="ignore","Ignore",IF($L1781="archive","Archive",IF($L1781="closed","Closed",IF($B1781="","Unscored",IF(AND($B1781&gt;=8,OR($H1781="",$H1781-TODAY()&lt;=14)),"P1 Apply",IF($B1781&gt;=7,"P2 Strong",IF($B1781&gt;=5,"P3 Maybe","P4 Low")))))))))))</f>
        <v/>
      </c>
      <c r="B1781" s="13" t="n">
        <v>0</v>
      </c>
      <c r="C1781" s="12" t="inlineStr">
        <is>
          <t>Junior</t>
        </is>
      </c>
      <c r="D1781" s="8" t="inlineStr">
        <is>
          <t>Data Engineering Leader</t>
        </is>
      </c>
      <c r="E1781" s="7" t="inlineStr">
        <is>
          <t>Cognite - AI for Industry</t>
        </is>
      </c>
      <c r="F1781" s="8" t="inlineStr">
        <is>
          <t>London, ENG, GB</t>
        </is>
      </c>
      <c r="G1781" s="8" t="n"/>
      <c r="H1781" s="14" t="n"/>
      <c r="I1781" s="15">
        <f>IF($H1781="","",$H1781-TODAY())</f>
        <v/>
      </c>
      <c r="J1781" s="16" t="inlineStr">
        <is>
          <t>Open posting</t>
        </is>
      </c>
      <c r="K1781" s="8" t="inlineStr">
        <is>
          <t>filtered by keyword pre-scan</t>
        </is>
      </c>
      <c r="L1781" s="17" t="inlineStr">
        <is>
          <t>new</t>
        </is>
      </c>
      <c r="M1781" s="18" t="inlineStr"/>
      <c r="N1781" s="7" t="inlineStr">
        <is>
          <t>0f981d42e4d1192024bb56d475233c393f8cd8c2</t>
        </is>
      </c>
      <c r="O1781" s="14" t="n">
        <v>46185</v>
      </c>
      <c r="P1781" s="7" t="inlineStr">
        <is>
          <t>jobspy</t>
        </is>
      </c>
      <c r="Q1781" s="8" t="inlineStr">
        <is>
          <t>git, c</t>
        </is>
      </c>
      <c r="R1781" s="8" t="inlineStr">
        <is>
          <t>Junior Data Engineer Python SQL pipeline</t>
        </is>
      </c>
      <c r="S1781" s="19" t="n"/>
      <c r="T1781" s="19" t="n"/>
      <c r="U1781" s="14" t="n">
        <v>46193</v>
      </c>
      <c r="V1781" s="7" t="inlineStr">
        <is>
          <t>v2-cv-accuracy-13b988b18da8ea7d</t>
        </is>
      </c>
    </row>
    <row r="1782" ht="28" customHeight="1">
      <c r="A1782" s="12">
        <f>IF($L1782="applied","Applied",IF($L1782="interview","Interview",IF($L1782="offer","Offer",IF($L1782="rejected","Rejected",IF($L1782="ignore","Ignore",IF($L1782="archive","Archive",IF($L1782="closed","Closed",IF($B1782="","Unscored",IF(AND($B1782&gt;=8,OR($H1782="",$H1782-TODAY()&lt;=14)),"P1 Apply",IF($B1782&gt;=7,"P2 Strong",IF($B1782&gt;=5,"P3 Maybe","P4 Low")))))))))))</f>
        <v/>
      </c>
      <c r="B1782" s="13" t="n">
        <v>0</v>
      </c>
      <c r="C1782" s="12" t="inlineStr">
        <is>
          <t>Senior/Lead</t>
        </is>
      </c>
      <c r="D1782" s="8" t="inlineStr">
        <is>
          <t>Senior Data Engineer</t>
        </is>
      </c>
      <c r="E1782" s="7" t="inlineStr">
        <is>
          <t>Legal 500</t>
        </is>
      </c>
      <c r="F1782" s="8" t="inlineStr">
        <is>
          <t>London Area, United Kingdom</t>
        </is>
      </c>
      <c r="G1782" s="8" t="n"/>
      <c r="H1782" s="14" t="n"/>
      <c r="I1782" s="15">
        <f>IF($H1782="","",$H1782-TODAY())</f>
        <v/>
      </c>
      <c r="J1782" s="16" t="inlineStr">
        <is>
          <t>Open posting</t>
        </is>
      </c>
      <c r="K1782" s="8" t="inlineStr">
        <is>
          <t>filtered by keyword pre-scan</t>
        </is>
      </c>
      <c r="L1782" s="17" t="inlineStr">
        <is>
          <t>new</t>
        </is>
      </c>
      <c r="M1782" s="18" t="inlineStr"/>
      <c r="N1782" s="7" t="inlineStr">
        <is>
          <t>aa1297f219a1756931712c40b4045f67dbe86f7e</t>
        </is>
      </c>
      <c r="O1782" s="14" t="n">
        <v>46192</v>
      </c>
      <c r="P1782" s="7" t="inlineStr">
        <is>
          <t>jobspy</t>
        </is>
      </c>
      <c r="Q1782" s="8" t="inlineStr">
        <is>
          <t>python, sql, git, c</t>
        </is>
      </c>
      <c r="R1782" s="8" t="inlineStr">
        <is>
          <t>Junior Data Engineer Python SQL pipeline</t>
        </is>
      </c>
      <c r="S1782" s="19" t="n"/>
      <c r="T1782" s="19" t="n"/>
      <c r="U1782" s="14" t="n">
        <v>46193</v>
      </c>
      <c r="V1782" s="7" t="inlineStr">
        <is>
          <t>v2-cv-accuracy-13b988b18da8ea7d</t>
        </is>
      </c>
    </row>
    <row r="1783" ht="28" customHeight="1">
      <c r="A1783" s="12">
        <f>IF($L1783="applied","Applied",IF($L1783="interview","Interview",IF($L1783="offer","Offer",IF($L1783="rejected","Rejected",IF($L1783="ignore","Ignore",IF($L1783="archive","Archive",IF($L1783="closed","Closed",IF($B1783="","Unscored",IF(AND($B1783&gt;=8,OR($H1783="",$H1783-TODAY()&lt;=14)),"P1 Apply",IF($B1783&gt;=7,"P2 Strong",IF($B1783&gt;=5,"P3 Maybe","P4 Low")))))))))))</f>
        <v/>
      </c>
      <c r="B1783" s="13" t="n">
        <v>0</v>
      </c>
      <c r="C1783" s="12" t="inlineStr">
        <is>
          <t>Senior/Lead</t>
        </is>
      </c>
      <c r="D1783" s="8" t="inlineStr">
        <is>
          <t>Senior Security Data Engineer</t>
        </is>
      </c>
      <c r="E1783" s="7" t="inlineStr">
        <is>
          <t>Obsidian Security</t>
        </is>
      </c>
      <c r="F1783" s="8" t="inlineStr">
        <is>
          <t>Cheltenham, England, UK</t>
        </is>
      </c>
      <c r="G1783" s="8" t="n"/>
      <c r="H1783" s="14" t="n"/>
      <c r="I1783" s="15">
        <f>IF($H1783="","",$H1783-TODAY())</f>
        <v/>
      </c>
      <c r="J1783" s="16" t="inlineStr">
        <is>
          <t>Open posting</t>
        </is>
      </c>
      <c r="K1783" s="8" t="inlineStr">
        <is>
          <t>filtered by keyword pre-scan</t>
        </is>
      </c>
      <c r="L1783" s="17" t="inlineStr">
        <is>
          <t>new</t>
        </is>
      </c>
      <c r="M1783" s="18" t="inlineStr"/>
      <c r="N1783" s="7" t="inlineStr">
        <is>
          <t>18edd1c029b365bf4142f6adf9d79e5cd2e3a7f0</t>
        </is>
      </c>
      <c r="O1783" s="14" t="n">
        <v>46189</v>
      </c>
      <c r="P1783" s="7" t="inlineStr">
        <is>
          <t>jobspy</t>
        </is>
      </c>
      <c r="Q1783" s="8" t="inlineStr">
        <is>
          <t>python, sql, c</t>
        </is>
      </c>
      <c r="R1783" s="8" t="inlineStr">
        <is>
          <t>Junior Data Engineer Python SQL pipeline</t>
        </is>
      </c>
      <c r="S1783" s="19" t="n"/>
      <c r="T1783" s="19" t="n"/>
      <c r="U1783" s="14" t="n">
        <v>46193</v>
      </c>
      <c r="V1783" s="7" t="inlineStr">
        <is>
          <t>v2-cv-accuracy-13b988b18da8ea7d</t>
        </is>
      </c>
    </row>
    <row r="1784" ht="28" customHeight="1">
      <c r="A1784" s="12">
        <f>IF($L1784="applied","Applied",IF($L1784="interview","Interview",IF($L1784="offer","Offer",IF($L1784="rejected","Rejected",IF($L1784="ignore","Ignore",IF($L1784="archive","Archive",IF($L1784="closed","Closed",IF($B1784="","Unscored",IF(AND($B1784&gt;=8,OR($H1784="",$H1784-TODAY()&lt;=14)),"P1 Apply",IF($B1784&gt;=7,"P2 Strong",IF($B1784&gt;=5,"P3 Maybe","P4 Low")))))))))))</f>
        <v/>
      </c>
      <c r="B1784" s="13" t="n">
        <v>0</v>
      </c>
      <c r="C1784" s="12" t="inlineStr">
        <is>
          <t>Senior/Lead</t>
        </is>
      </c>
      <c r="D1784" s="8" t="inlineStr">
        <is>
          <t>Senior Security Data Engineer</t>
        </is>
      </c>
      <c r="E1784" s="7" t="inlineStr">
        <is>
          <t>Obsidian Security</t>
        </is>
      </c>
      <c r="F1784" s="8" t="inlineStr">
        <is>
          <t>Salford, England, UK</t>
        </is>
      </c>
      <c r="G1784" s="8" t="n"/>
      <c r="H1784" s="14" t="n"/>
      <c r="I1784" s="15">
        <f>IF($H1784="","",$H1784-TODAY())</f>
        <v/>
      </c>
      <c r="J1784" s="16" t="inlineStr">
        <is>
          <t>Open posting</t>
        </is>
      </c>
      <c r="K1784" s="8" t="inlineStr">
        <is>
          <t>filtered by keyword pre-scan</t>
        </is>
      </c>
      <c r="L1784" s="17" t="inlineStr">
        <is>
          <t>new</t>
        </is>
      </c>
      <c r="M1784" s="18" t="inlineStr"/>
      <c r="N1784" s="7" t="inlineStr">
        <is>
          <t>35e466f931011bbbdb4a1fc2ebf9991af384bd17</t>
        </is>
      </c>
      <c r="O1784" s="14" t="n">
        <v>46189</v>
      </c>
      <c r="P1784" s="7" t="inlineStr">
        <is>
          <t>jobspy</t>
        </is>
      </c>
      <c r="Q1784" s="8" t="inlineStr">
        <is>
          <t>python, sql, c</t>
        </is>
      </c>
      <c r="R1784" s="8" t="inlineStr">
        <is>
          <t>Junior Data Engineer Python SQL pipeline</t>
        </is>
      </c>
      <c r="S1784" s="19" t="n"/>
      <c r="T1784" s="19" t="n"/>
      <c r="U1784" s="14" t="n">
        <v>46193</v>
      </c>
      <c r="V1784" s="7" t="inlineStr">
        <is>
          <t>v2-cv-accuracy-13b988b18da8ea7d</t>
        </is>
      </c>
    </row>
    <row r="1785" ht="28" customHeight="1">
      <c r="A1785" s="12">
        <f>IF($L1785="applied","Applied",IF($L1785="interview","Interview",IF($L1785="offer","Offer",IF($L1785="rejected","Rejected",IF($L1785="ignore","Ignore",IF($L1785="archive","Archive",IF($L1785="closed","Closed",IF($B1785="","Unscored",IF(AND($B1785&gt;=8,OR($H1785="",$H1785-TODAY()&lt;=14)),"P1 Apply",IF($B1785&gt;=7,"P2 Strong",IF($B1785&gt;=5,"P3 Maybe","P4 Low")))))))))))</f>
        <v/>
      </c>
      <c r="B1785" s="13" t="n">
        <v>0</v>
      </c>
      <c r="C1785" s="12" t="inlineStr">
        <is>
          <t>Senior/Lead</t>
        </is>
      </c>
      <c r="D1785" s="8" t="inlineStr">
        <is>
          <t>Senior Data Engineer</t>
        </is>
      </c>
      <c r="E1785" s="7" t="inlineStr">
        <is>
          <t>Softwire</t>
        </is>
      </c>
      <c r="F1785" s="8" t="inlineStr">
        <is>
          <t>London Area, United Kingdom</t>
        </is>
      </c>
      <c r="G1785" s="8" t="n"/>
      <c r="H1785" s="14" t="n"/>
      <c r="I1785" s="15">
        <f>IF($H1785="","",$H1785-TODAY())</f>
        <v/>
      </c>
      <c r="J1785" s="16" t="inlineStr">
        <is>
          <t>Open posting</t>
        </is>
      </c>
      <c r="K1785" s="8" t="inlineStr">
        <is>
          <t>filtered by keyword pre-scan</t>
        </is>
      </c>
      <c r="L1785" s="17" t="inlineStr">
        <is>
          <t>new</t>
        </is>
      </c>
      <c r="M1785" s="18" t="inlineStr"/>
      <c r="N1785" s="7" t="inlineStr">
        <is>
          <t>1fddc1346943ecff314c4a663708446b528f605b</t>
        </is>
      </c>
      <c r="O1785" s="14" t="n">
        <v>46188</v>
      </c>
      <c r="P1785" s="7" t="inlineStr">
        <is>
          <t>jobspy</t>
        </is>
      </c>
      <c r="Q1785" s="8" t="inlineStr">
        <is>
          <t>git, c</t>
        </is>
      </c>
      <c r="R1785" s="8" t="inlineStr">
        <is>
          <t>Junior Data Engineer Python SQL pipeline</t>
        </is>
      </c>
      <c r="S1785" s="19" t="n"/>
      <c r="T1785" s="19" t="n"/>
      <c r="U1785" s="14" t="n">
        <v>46193</v>
      </c>
      <c r="V1785" s="7" t="inlineStr">
        <is>
          <t>v2-cv-accuracy-13b988b18da8ea7d</t>
        </is>
      </c>
    </row>
    <row r="1786" ht="28" customHeight="1">
      <c r="A1786" s="12">
        <f>IF($L1786="applied","Applied",IF($L1786="interview","Interview",IF($L1786="offer","Offer",IF($L1786="rejected","Rejected",IF($L1786="ignore","Ignore",IF($L1786="archive","Archive",IF($L1786="closed","Closed",IF($B1786="","Unscored",IF(AND($B1786&gt;=8,OR($H1786="",$H1786-TODAY()&lt;=14)),"P1 Apply",IF($B1786&gt;=7,"P2 Strong",IF($B1786&gt;=5,"P3 Maybe","P4 Low")))))))))))</f>
        <v/>
      </c>
      <c r="B1786" s="13" t="n">
        <v>0</v>
      </c>
      <c r="C1786" s="12" t="inlineStr">
        <is>
          <t>Senior/Lead</t>
        </is>
      </c>
      <c r="D1786" s="8" t="inlineStr">
        <is>
          <t>Senior Software Engineer - Graph Analytics for Snowflake</t>
        </is>
      </c>
      <c r="E1786" s="7" t="inlineStr">
        <is>
          <t>Neo4j</t>
        </is>
      </c>
      <c r="F1786" s="8" t="inlineStr">
        <is>
          <t>London Area, United Kingdom</t>
        </is>
      </c>
      <c r="G1786" s="8" t="n"/>
      <c r="H1786" s="14" t="n"/>
      <c r="I1786" s="15">
        <f>IF($H1786="","",$H1786-TODAY())</f>
        <v/>
      </c>
      <c r="J1786" s="16" t="inlineStr">
        <is>
          <t>Open posting</t>
        </is>
      </c>
      <c r="K1786" s="8" t="inlineStr">
        <is>
          <t>filtered by keyword pre-scan</t>
        </is>
      </c>
      <c r="L1786" s="17" t="inlineStr">
        <is>
          <t>new</t>
        </is>
      </c>
      <c r="M1786" s="18" t="inlineStr"/>
      <c r="N1786" s="7" t="inlineStr">
        <is>
          <t>312a8228f4c65338243ffdca48358ba3cb83451e</t>
        </is>
      </c>
      <c r="O1786" s="14" t="n">
        <v>46186</v>
      </c>
      <c r="P1786" s="7" t="inlineStr">
        <is>
          <t>jobspy</t>
        </is>
      </c>
      <c r="Q1786" s="8" t="inlineStr">
        <is>
          <t>python, sql, docker, c</t>
        </is>
      </c>
      <c r="R1786" s="8" t="inlineStr">
        <is>
          <t>Junior Data Engineer Python SQL pipeline</t>
        </is>
      </c>
      <c r="S1786" s="19" t="n"/>
      <c r="T1786" s="19" t="n"/>
      <c r="U1786" s="14" t="n">
        <v>46193</v>
      </c>
      <c r="V1786" s="7" t="inlineStr">
        <is>
          <t>v2-cv-accuracy-13b988b18da8ea7d</t>
        </is>
      </c>
    </row>
    <row r="1787" ht="28" customHeight="1">
      <c r="A1787" s="12">
        <f>IF($L1787="applied","Applied",IF($L1787="interview","Interview",IF($L1787="offer","Offer",IF($L1787="rejected","Rejected",IF($L1787="ignore","Ignore",IF($L1787="archive","Archive",IF($L1787="closed","Closed",IF($B1787="","Unscored",IF(AND($B1787&gt;=8,OR($H1787="",$H1787-TODAY()&lt;=14)),"P1 Apply",IF($B1787&gt;=7,"P2 Strong",IF($B1787&gt;=5,"P3 Maybe","P4 Low")))))))))))</f>
        <v/>
      </c>
      <c r="B1787" s="13" t="n">
        <v>0</v>
      </c>
      <c r="C1787" s="12" t="inlineStr">
        <is>
          <t>Senior/Lead</t>
        </is>
      </c>
      <c r="D1787" s="8" t="inlineStr">
        <is>
          <t>Senior Data Engineer - Global People Data</t>
        </is>
      </c>
      <c r="E1787" s="7" t="inlineStr">
        <is>
          <t>WPP</t>
        </is>
      </c>
      <c r="F1787" s="8" t="inlineStr">
        <is>
          <t>London, England, UK</t>
        </is>
      </c>
      <c r="G1787" s="8" t="n"/>
      <c r="H1787" s="14" t="n"/>
      <c r="I1787" s="15">
        <f>IF($H1787="","",$H1787-TODAY())</f>
        <v/>
      </c>
      <c r="J1787" s="16" t="inlineStr">
        <is>
          <t>Open posting</t>
        </is>
      </c>
      <c r="K1787" s="8" t="inlineStr">
        <is>
          <t>filtered by keyword pre-scan</t>
        </is>
      </c>
      <c r="L1787" s="17" t="inlineStr">
        <is>
          <t>new</t>
        </is>
      </c>
      <c r="M1787" s="18" t="inlineStr"/>
      <c r="N1787" s="7" t="inlineStr">
        <is>
          <t>c387c9d20d5cefdadc3c50b473c4d2675e00cabc</t>
        </is>
      </c>
      <c r="O1787" s="14" t="n">
        <v>46178</v>
      </c>
      <c r="P1787" s="7" t="inlineStr">
        <is>
          <t>jobspy</t>
        </is>
      </c>
      <c r="Q1787" s="8" t="inlineStr">
        <is>
          <t>c</t>
        </is>
      </c>
      <c r="R1787" s="8" t="inlineStr">
        <is>
          <t>Junior Data Engineer Python SQL pipeline</t>
        </is>
      </c>
      <c r="S1787" s="19" t="n"/>
      <c r="T1787" s="19" t="n"/>
      <c r="U1787" s="14" t="n">
        <v>46193</v>
      </c>
      <c r="V1787" s="7" t="inlineStr">
        <is>
          <t>v2-cv-accuracy-13b988b18da8ea7d</t>
        </is>
      </c>
    </row>
    <row r="1788" ht="28" customHeight="1">
      <c r="A1788" s="12">
        <f>IF($L1788="applied","Applied",IF($L1788="interview","Interview",IF($L1788="offer","Offer",IF($L1788="rejected","Rejected",IF($L1788="ignore","Ignore",IF($L1788="archive","Archive",IF($L1788="closed","Closed",IF($B1788="","Unscored",IF(AND($B1788&gt;=8,OR($H1788="",$H1788-TODAY()&lt;=14)),"P1 Apply",IF($B1788&gt;=7,"P2 Strong",IF($B1788&gt;=5,"P3 Maybe","P4 Low")))))))))))</f>
        <v/>
      </c>
      <c r="B1788" s="13" t="n">
        <v>0</v>
      </c>
      <c r="C1788" s="12" t="inlineStr">
        <is>
          <t>Senior/Lead</t>
        </is>
      </c>
      <c r="D1788" s="8" t="inlineStr">
        <is>
          <t>Senior Data Engineer | Betty CA</t>
        </is>
      </c>
      <c r="E1788" s="7" t="inlineStr">
        <is>
          <t>Betty</t>
        </is>
      </c>
      <c r="F1788" s="8" t="inlineStr">
        <is>
          <t>London Area, United Kingdom</t>
        </is>
      </c>
      <c r="G1788" s="8" t="n"/>
      <c r="H1788" s="14" t="n"/>
      <c r="I1788" s="15">
        <f>IF($H1788="","",$H1788-TODAY())</f>
        <v/>
      </c>
      <c r="J1788" s="16" t="inlineStr">
        <is>
          <t>Open posting</t>
        </is>
      </c>
      <c r="K1788" s="8" t="inlineStr">
        <is>
          <t>filtered by keyword pre-scan</t>
        </is>
      </c>
      <c r="L1788" s="17" t="inlineStr">
        <is>
          <t>new</t>
        </is>
      </c>
      <c r="M1788" s="18" t="inlineStr"/>
      <c r="N1788" s="7" t="inlineStr">
        <is>
          <t>150529e8069d90e9c83607e5fa149476474ab477</t>
        </is>
      </c>
      <c r="O1788" s="14" t="n">
        <v>46177</v>
      </c>
      <c r="P1788" s="7" t="inlineStr">
        <is>
          <t>jobspy</t>
        </is>
      </c>
      <c r="Q1788" s="8" t="inlineStr">
        <is>
          <t>python, sql, docker, kubernetes, c</t>
        </is>
      </c>
      <c r="R1788" s="8" t="inlineStr">
        <is>
          <t>Junior Data Engineer Python SQL pipeline</t>
        </is>
      </c>
      <c r="S1788" s="19" t="n"/>
      <c r="T1788" s="19" t="n"/>
      <c r="U1788" s="14" t="n">
        <v>46193</v>
      </c>
      <c r="V1788" s="7" t="inlineStr">
        <is>
          <t>v2-cv-accuracy-13b988b18da8ea7d</t>
        </is>
      </c>
    </row>
    <row r="1789" ht="28" customHeight="1">
      <c r="A1789" s="12">
        <f>IF($L1789="applied","Applied",IF($L1789="interview","Interview",IF($L1789="offer","Offer",IF($L1789="rejected","Rejected",IF($L1789="ignore","Ignore",IF($L1789="archive","Archive",IF($L1789="closed","Closed",IF($B1789="","Unscored",IF(AND($B1789&gt;=8,OR($H1789="",$H1789-TODAY()&lt;=14)),"P1 Apply",IF($B1789&gt;=7,"P2 Strong",IF($B1789&gt;=5,"P3 Maybe","P4 Low")))))))))))</f>
        <v/>
      </c>
      <c r="B1789" s="13" t="n">
        <v>0</v>
      </c>
      <c r="C1789" s="12" t="inlineStr">
        <is>
          <t>Senior/Lead</t>
        </is>
      </c>
      <c r="D1789" s="8" t="inlineStr">
        <is>
          <t>Senior Site Reliability Engineer (Data &amp; Automation Focus)</t>
        </is>
      </c>
      <c r="E1789" s="7" t="inlineStr">
        <is>
          <t>SS&amp;C Technologies</t>
        </is>
      </c>
      <c r="F1789" s="8" t="inlineStr">
        <is>
          <t>England, United Kingdom</t>
        </is>
      </c>
      <c r="G1789" s="8" t="n"/>
      <c r="H1789" s="14" t="n"/>
      <c r="I1789" s="15">
        <f>IF($H1789="","",$H1789-TODAY())</f>
        <v/>
      </c>
      <c r="J1789" s="16" t="inlineStr">
        <is>
          <t>Open posting</t>
        </is>
      </c>
      <c r="K1789" s="8" t="inlineStr">
        <is>
          <t>filtered by keyword pre-scan</t>
        </is>
      </c>
      <c r="L1789" s="17" t="inlineStr">
        <is>
          <t>new</t>
        </is>
      </c>
      <c r="M1789" s="18" t="inlineStr"/>
      <c r="N1789" s="7" t="inlineStr">
        <is>
          <t>765e528d5ff4097681b9541bd568aedd7a501ad6</t>
        </is>
      </c>
      <c r="O1789" s="14" t="n">
        <v>46177</v>
      </c>
      <c r="P1789" s="7" t="inlineStr">
        <is>
          <t>jobspy</t>
        </is>
      </c>
      <c r="Q1789" s="8" t="inlineStr">
        <is>
          <t>python, sql, docker, kubernetes, git</t>
        </is>
      </c>
      <c r="R1789" s="8" t="inlineStr">
        <is>
          <t>Junior Data Engineer Python SQL pipeline</t>
        </is>
      </c>
      <c r="S1789" s="19" t="n"/>
      <c r="T1789" s="19" t="n"/>
      <c r="U1789" s="14" t="n">
        <v>46193</v>
      </c>
      <c r="V1789" s="7" t="inlineStr">
        <is>
          <t>v2-cv-accuracy-13b988b18da8ea7d</t>
        </is>
      </c>
    </row>
    <row r="1790" ht="28" customHeight="1">
      <c r="A1790" s="12">
        <f>IF($L1790="applied","Applied",IF($L1790="interview","Interview",IF($L1790="offer","Offer",IF($L1790="rejected","Rejected",IF($L1790="ignore","Ignore",IF($L1790="archive","Archive",IF($L1790="closed","Closed",IF($B1790="","Unscored",IF(AND($B1790&gt;=8,OR($H1790="",$H1790-TODAY()&lt;=14)),"P1 Apply",IF($B1790&gt;=7,"P2 Strong",IF($B1790&gt;=5,"P3 Maybe","P4 Low")))))))))))</f>
        <v/>
      </c>
      <c r="B1790" s="13" t="n">
        <v>0</v>
      </c>
      <c r="C1790" s="12" t="inlineStr">
        <is>
          <t>Senior/Lead</t>
        </is>
      </c>
      <c r="D1790" s="8" t="inlineStr">
        <is>
          <t>Senior Azure Data Engineer - Managed Services</t>
        </is>
      </c>
      <c r="E1790" s="7" t="inlineStr">
        <is>
          <t>Hippo</t>
        </is>
      </c>
      <c r="F1790" s="8" t="inlineStr">
        <is>
          <t>Leeds, England, UK</t>
        </is>
      </c>
      <c r="G1790" s="8" t="n"/>
      <c r="H1790" s="14" t="n"/>
      <c r="I1790" s="15">
        <f>IF($H1790="","",$H1790-TODAY())</f>
        <v/>
      </c>
      <c r="J1790" s="16" t="inlineStr">
        <is>
          <t>Open posting</t>
        </is>
      </c>
      <c r="K1790" s="8" t="inlineStr">
        <is>
          <t>filtered by keyword pre-scan</t>
        </is>
      </c>
      <c r="L1790" s="17" t="inlineStr">
        <is>
          <t>new</t>
        </is>
      </c>
      <c r="M1790" s="18" t="inlineStr"/>
      <c r="N1790" s="7" t="inlineStr">
        <is>
          <t>75c88faa443259cdaf0df44369d596f2f09ef0f3</t>
        </is>
      </c>
      <c r="O1790" s="14" t="n">
        <v>46174</v>
      </c>
      <c r="P1790" s="7" t="inlineStr">
        <is>
          <t>jobspy</t>
        </is>
      </c>
      <c r="Q1790" s="8" t="inlineStr">
        <is>
          <t>python, sql, git, c</t>
        </is>
      </c>
      <c r="R1790" s="8" t="inlineStr">
        <is>
          <t>Junior Data Engineer Python SQL pipeline</t>
        </is>
      </c>
      <c r="S1790" s="19" t="n"/>
      <c r="T1790" s="19" t="n"/>
      <c r="U1790" s="14" t="n">
        <v>46193</v>
      </c>
      <c r="V1790" s="7" t="inlineStr">
        <is>
          <t>v2-cv-accuracy-13b988b18da8ea7d</t>
        </is>
      </c>
    </row>
    <row r="1791" ht="28" customHeight="1">
      <c r="A1791" s="12">
        <f>IF($L1791="applied","Applied",IF($L1791="interview","Interview",IF($L1791="offer","Offer",IF($L1791="rejected","Rejected",IF($L1791="ignore","Ignore",IF($L1791="archive","Archive",IF($L1791="closed","Closed",IF($B1791="","Unscored",IF(AND($B1791&gt;=8,OR($H1791="",$H1791-TODAY()&lt;=14)),"P1 Apply",IF($B1791&gt;=7,"P2 Strong",IF($B1791&gt;=5,"P3 Maybe","P4 Low")))))))))))</f>
        <v/>
      </c>
      <c r="B1791" s="13" t="n">
        <v>0</v>
      </c>
      <c r="C1791" s="12" t="inlineStr">
        <is>
          <t>Senior/Lead</t>
        </is>
      </c>
      <c r="D1791" s="8" t="inlineStr">
        <is>
          <t>Senior Data Engineer (Databricks)</t>
        </is>
      </c>
      <c r="E1791" s="7" t="inlineStr">
        <is>
          <t>DATAPAO</t>
        </is>
      </c>
      <c r="F1791" s="8" t="inlineStr"/>
      <c r="G1791" s="8" t="n"/>
      <c r="H1791" s="14" t="n"/>
      <c r="I1791" s="15">
        <f>IF($H1791="","",$H1791-TODAY())</f>
        <v/>
      </c>
      <c r="J1791" s="16" t="inlineStr">
        <is>
          <t>Open posting</t>
        </is>
      </c>
      <c r="K1791" s="8" t="inlineStr">
        <is>
          <t>filtered by keyword pre-scan</t>
        </is>
      </c>
      <c r="L1791" s="17" t="inlineStr">
        <is>
          <t>new</t>
        </is>
      </c>
      <c r="M1791" s="18" t="inlineStr"/>
      <c r="N1791" s="7" t="inlineStr">
        <is>
          <t>652d8597536a0aadda0c7b47866af317c74857d8</t>
        </is>
      </c>
      <c r="O1791" s="14" t="n">
        <v>46169</v>
      </c>
      <c r="P1791" s="7" t="inlineStr">
        <is>
          <t>jobspy</t>
        </is>
      </c>
      <c r="Q1791" s="8" t="inlineStr">
        <is>
          <t>python, sql, c</t>
        </is>
      </c>
      <c r="R1791" s="8" t="inlineStr">
        <is>
          <t>Junior Data Engineer Python SQL pipeline</t>
        </is>
      </c>
      <c r="S1791" s="19" t="n"/>
      <c r="T1791" s="19" t="n"/>
      <c r="U1791" s="14" t="n">
        <v>46193</v>
      </c>
      <c r="V1791" s="7" t="inlineStr">
        <is>
          <t>v2-cv-accuracy-13b988b18da8ea7d</t>
        </is>
      </c>
    </row>
    <row r="1792" ht="28" customHeight="1">
      <c r="A1792" s="12">
        <f>IF($L1792="applied","Applied",IF($L1792="interview","Interview",IF($L1792="offer","Offer",IF($L1792="rejected","Rejected",IF($L1792="ignore","Ignore",IF($L1792="archive","Archive",IF($L1792="closed","Closed",IF($B1792="","Unscored",IF(AND($B1792&gt;=8,OR($H1792="",$H1792-TODAY()&lt;=14)),"P1 Apply",IF($B1792&gt;=7,"P2 Strong",IF($B1792&gt;=5,"P3 Maybe","P4 Low")))))))))))</f>
        <v/>
      </c>
      <c r="B1792" s="13" t="n">
        <v>0</v>
      </c>
      <c r="C1792" s="12" t="inlineStr">
        <is>
          <t>Unspecified</t>
        </is>
      </c>
      <c r="D1792" s="8" t="inlineStr">
        <is>
          <t>Application Developer</t>
        </is>
      </c>
      <c r="E1792" s="7" t="inlineStr">
        <is>
          <t>Thatcham Research</t>
        </is>
      </c>
      <c r="F1792" s="8" t="inlineStr">
        <is>
          <t>Thatcham, England, UK</t>
        </is>
      </c>
      <c r="G1792" s="8" t="n"/>
      <c r="H1792" s="14" t="n"/>
      <c r="I1792" s="15">
        <f>IF($H1792="","",$H1792-TODAY())</f>
        <v/>
      </c>
      <c r="J1792" s="16" t="inlineStr">
        <is>
          <t>Open posting</t>
        </is>
      </c>
      <c r="K1792" s="8" t="inlineStr">
        <is>
          <t>filtered by keyword pre-scan</t>
        </is>
      </c>
      <c r="L1792" s="17" t="inlineStr">
        <is>
          <t>new</t>
        </is>
      </c>
      <c r="M1792" s="18" t="inlineStr"/>
      <c r="N1792" s="7" t="inlineStr">
        <is>
          <t>a71c6a435ddc49858a9ce12d777b421da6fc081a</t>
        </is>
      </c>
      <c r="O1792" s="14" t="n">
        <v>46176</v>
      </c>
      <c r="P1792" s="7" t="inlineStr">
        <is>
          <t>jobspy</t>
        </is>
      </c>
      <c r="Q1792" s="8" t="inlineStr">
        <is>
          <t>python, sql, docker, kubernetes, git</t>
        </is>
      </c>
      <c r="R1792" s="8" t="inlineStr">
        <is>
          <t>Graduate Software Engineer Python Docker</t>
        </is>
      </c>
      <c r="S1792" s="19" t="n"/>
      <c r="T1792" s="19" t="n"/>
      <c r="U1792" s="14" t="n">
        <v>46193</v>
      </c>
      <c r="V1792" s="7" t="inlineStr">
        <is>
          <t>v2-cv-accuracy-13b988b18da8ea7d</t>
        </is>
      </c>
    </row>
    <row r="1793" ht="28" customHeight="1">
      <c r="A1793" s="12">
        <f>IF($L1793="applied","Applied",IF($L1793="interview","Interview",IF($L1793="offer","Offer",IF($L1793="rejected","Rejected",IF($L1793="ignore","Ignore",IF($L1793="archive","Archive",IF($L1793="closed","Closed",IF($B1793="","Unscored",IF(AND($B1793&gt;=8,OR($H1793="",$H1793-TODAY()&lt;=14)),"P1 Apply",IF($B1793&gt;=7,"P2 Strong",IF($B1793&gt;=5,"P3 Maybe","P4 Low")))))))))))</f>
        <v/>
      </c>
      <c r="B1793" s="13" t="n">
        <v>0</v>
      </c>
      <c r="C1793" s="12" t="inlineStr">
        <is>
          <t>Senior/Lead</t>
        </is>
      </c>
      <c r="D1793" s="8" t="inlineStr">
        <is>
          <t>Embedded Systems Lead</t>
        </is>
      </c>
      <c r="E1793" s="7" t="inlineStr">
        <is>
          <t>Unicorn Biotechnologies Ltd</t>
        </is>
      </c>
      <c r="F1793" s="8" t="inlineStr">
        <is>
          <t>Sheffield, ENG, GB</t>
        </is>
      </c>
      <c r="G1793" s="8" t="n"/>
      <c r="H1793" s="14" t="n"/>
      <c r="I1793" s="15">
        <f>IF($H1793="","",$H1793-TODAY())</f>
        <v/>
      </c>
      <c r="J1793" s="16" t="inlineStr">
        <is>
          <t>Open posting</t>
        </is>
      </c>
      <c r="K1793" s="8" t="inlineStr">
        <is>
          <t>filtered by keyword pre-scan</t>
        </is>
      </c>
      <c r="L1793" s="17" t="inlineStr">
        <is>
          <t>new</t>
        </is>
      </c>
      <c r="M1793" s="18" t="inlineStr"/>
      <c r="N1793" s="7" t="inlineStr">
        <is>
          <t>5e41428daaae6c2dd31b76e2f1d26df4e762eaca</t>
        </is>
      </c>
      <c r="O1793" s="14" t="n">
        <v>46177</v>
      </c>
      <c r="P1793" s="7" t="inlineStr">
        <is>
          <t>jobspy</t>
        </is>
      </c>
      <c r="Q1793" s="8" t="inlineStr">
        <is>
          <t>stm32, c, embedded systems, hardware design</t>
        </is>
      </c>
      <c r="R1793" s="8" t="inlineStr">
        <is>
          <t>Firmware Engineer Embedded C Microcontroller</t>
        </is>
      </c>
      <c r="S1793" s="19" t="n"/>
      <c r="T1793" s="19" t="n"/>
      <c r="U1793" s="14" t="n">
        <v>46193</v>
      </c>
      <c r="V1793" s="7" t="inlineStr">
        <is>
          <t>v2-cv-accuracy-13b988b18da8ea7d</t>
        </is>
      </c>
    </row>
    <row r="1794" ht="28" customHeight="1">
      <c r="A1794" s="12">
        <f>IF($L1794="applied","Applied",IF($L1794="interview","Interview",IF($L1794="offer","Offer",IF($L1794="rejected","Rejected",IF($L1794="ignore","Ignore",IF($L1794="archive","Archive",IF($L1794="closed","Closed",IF($B1794="","Unscored",IF(AND($B1794&gt;=8,OR($H1794="",$H1794-TODAY()&lt;=14)),"P1 Apply",IF($B1794&gt;=7,"P2 Strong",IF($B1794&gt;=5,"P3 Maybe","P4 Low")))))))))))</f>
        <v/>
      </c>
      <c r="B1794" s="13" t="n">
        <v>0</v>
      </c>
      <c r="C1794" s="12" t="inlineStr">
        <is>
          <t>Senior/Lead</t>
        </is>
      </c>
      <c r="D1794" s="8" t="inlineStr">
        <is>
          <t>Principal Embedded Crypto Software Developer (m/f/d)</t>
        </is>
      </c>
      <c r="E1794" s="7" t="inlineStr">
        <is>
          <t>NXP Semiconductors</t>
        </is>
      </c>
      <c r="F1794" s="8" t="inlineStr">
        <is>
          <t>Glasgow, Scotland, UK</t>
        </is>
      </c>
      <c r="G1794" s="8" t="n"/>
      <c r="H1794" s="14" t="n"/>
      <c r="I1794" s="15">
        <f>IF($H1794="","",$H1794-TODAY())</f>
        <v/>
      </c>
      <c r="J1794" s="16" t="inlineStr">
        <is>
          <t>Open posting</t>
        </is>
      </c>
      <c r="K1794" s="8" t="inlineStr">
        <is>
          <t>filtered by keyword pre-scan</t>
        </is>
      </c>
      <c r="L1794" s="17" t="inlineStr">
        <is>
          <t>new</t>
        </is>
      </c>
      <c r="M1794" s="18" t="inlineStr"/>
      <c r="N1794" s="7" t="inlineStr">
        <is>
          <t>69279a1960763378e0141321028623b429528f25</t>
        </is>
      </c>
      <c r="O1794" s="14" t="n">
        <v>46184</v>
      </c>
      <c r="P1794" s="7" t="inlineStr">
        <is>
          <t>jobspy</t>
        </is>
      </c>
      <c r="Q1794" s="8" t="inlineStr">
        <is>
          <t>c</t>
        </is>
      </c>
      <c r="R1794" s="8" t="inlineStr">
        <is>
          <t>Firmware Engineer Embedded C Microcontroller</t>
        </is>
      </c>
      <c r="S1794" s="19" t="n"/>
      <c r="T1794" s="19" t="n"/>
      <c r="U1794" s="14" t="n">
        <v>46193</v>
      </c>
      <c r="V1794" s="7" t="inlineStr">
        <is>
          <t>v2-cv-accuracy-13b988b18da8ea7d</t>
        </is>
      </c>
    </row>
    <row r="1795" ht="28" customHeight="1">
      <c r="A1795" s="12">
        <f>IF($L1795="applied","Applied",IF($L1795="interview","Interview",IF($L1795="offer","Offer",IF($L1795="rejected","Rejected",IF($L1795="ignore","Ignore",IF($L1795="archive","Archive",IF($L1795="closed","Closed",IF($B1795="","Unscored",IF(AND($B1795&gt;=8,OR($H1795="",$H1795-TODAY()&lt;=14)),"P1 Apply",IF($B1795&gt;=7,"P2 Strong",IF($B1795&gt;=5,"P3 Maybe","P4 Low")))))))))))</f>
        <v/>
      </c>
      <c r="B1795" s="13" t="n">
        <v>0</v>
      </c>
      <c r="C1795" s="12" t="inlineStr">
        <is>
          <t>Senior/Lead</t>
        </is>
      </c>
      <c r="D1795" s="8" t="inlineStr">
        <is>
          <t>Senior Design Engineer</t>
        </is>
      </c>
      <c r="E1795" s="7" t="inlineStr">
        <is>
          <t>Microchip Technology Inc.</t>
        </is>
      </c>
      <c r="F1795" s="8" t="inlineStr">
        <is>
          <t>Whiteley, England, UK</t>
        </is>
      </c>
      <c r="G1795" s="8" t="n"/>
      <c r="H1795" s="14" t="n"/>
      <c r="I1795" s="15">
        <f>IF($H1795="","",$H1795-TODAY())</f>
        <v/>
      </c>
      <c r="J1795" s="16" t="inlineStr">
        <is>
          <t>Open posting</t>
        </is>
      </c>
      <c r="K1795" s="8" t="inlineStr">
        <is>
          <t>filtered by keyword pre-scan</t>
        </is>
      </c>
      <c r="L1795" s="17" t="inlineStr">
        <is>
          <t>new</t>
        </is>
      </c>
      <c r="M1795" s="18" t="inlineStr"/>
      <c r="N1795" s="7" t="inlineStr">
        <is>
          <t>f4dd5c1aedac47fa5d47e9e5ac475f7281466a11</t>
        </is>
      </c>
      <c r="O1795" s="14" t="n">
        <v>46182</v>
      </c>
      <c r="P1795" s="7" t="inlineStr">
        <is>
          <t>jobspy</t>
        </is>
      </c>
      <c r="Q1795" s="8" t="inlineStr">
        <is>
          <t>python, verilog, git, c, embedded systems</t>
        </is>
      </c>
      <c r="R1795" s="8" t="inlineStr">
        <is>
          <t>Firmware Engineer Embedded C Microcontroller</t>
        </is>
      </c>
      <c r="S1795" s="19" t="n"/>
      <c r="T1795" s="19" t="n"/>
      <c r="U1795" s="14" t="n">
        <v>46193</v>
      </c>
      <c r="V1795" s="7" t="inlineStr">
        <is>
          <t>v2-cv-accuracy-13b988b18da8ea7d</t>
        </is>
      </c>
    </row>
    <row r="1796" ht="28" customHeight="1">
      <c r="A1796" s="12">
        <f>IF($L1796="applied","Applied",IF($L1796="interview","Interview",IF($L1796="offer","Offer",IF($L1796="rejected","Rejected",IF($L1796="ignore","Ignore",IF($L1796="archive","Archive",IF($L1796="closed","Closed",IF($B1796="","Unscored",IF(AND($B1796&gt;=8,OR($H1796="",$H1796-TODAY()&lt;=14)),"P1 Apply",IF($B1796&gt;=7,"P2 Strong",IF($B1796&gt;=5,"P3 Maybe","P4 Low")))))))))))</f>
        <v/>
      </c>
      <c r="B1796" s="13" t="n">
        <v>0</v>
      </c>
      <c r="C1796" s="12" t="inlineStr">
        <is>
          <t>Senior/Lead</t>
        </is>
      </c>
      <c r="D1796" s="8" t="inlineStr">
        <is>
          <t>Senior Embedded Systems Engineer</t>
        </is>
      </c>
      <c r="E1796" s="7" t="inlineStr">
        <is>
          <t>TipTopJob</t>
        </is>
      </c>
      <c r="F1796" s="8" t="inlineStr">
        <is>
          <t>Bicester, England, UK</t>
        </is>
      </c>
      <c r="G1796" s="8" t="n"/>
      <c r="H1796" s="14" t="n"/>
      <c r="I1796" s="15">
        <f>IF($H1796="","",$H1796-TODAY())</f>
        <v/>
      </c>
      <c r="J1796" s="16" t="inlineStr">
        <is>
          <t>Open posting</t>
        </is>
      </c>
      <c r="K1796" s="8" t="inlineStr">
        <is>
          <t>filtered by keyword pre-scan</t>
        </is>
      </c>
      <c r="L1796" s="17" t="inlineStr">
        <is>
          <t>new</t>
        </is>
      </c>
      <c r="M1796" s="18" t="inlineStr"/>
      <c r="N1796" s="7" t="inlineStr">
        <is>
          <t>f457f6467ef19d61e36607973e881b5fe67361c2</t>
        </is>
      </c>
      <c r="O1796" s="14" t="n">
        <v>46180</v>
      </c>
      <c r="P1796" s="7" t="inlineStr">
        <is>
          <t>jobspy</t>
        </is>
      </c>
      <c r="Q1796" s="8" t="inlineStr">
        <is>
          <t>git, c, embedded systems</t>
        </is>
      </c>
      <c r="R1796" s="8" t="inlineStr">
        <is>
          <t>Firmware Engineer Embedded C Microcontroller</t>
        </is>
      </c>
      <c r="S1796" s="19" t="n"/>
      <c r="T1796" s="19" t="n"/>
      <c r="U1796" s="14" t="n">
        <v>46193</v>
      </c>
      <c r="V1796" s="7" t="inlineStr">
        <is>
          <t>v2-cv-accuracy-13b988b18da8ea7d</t>
        </is>
      </c>
    </row>
    <row r="1797" ht="28" customHeight="1">
      <c r="A1797" s="12">
        <f>IF($L1797="applied","Applied",IF($L1797="interview","Interview",IF($L1797="offer","Offer",IF($L1797="rejected","Rejected",IF($L1797="ignore","Ignore",IF($L1797="archive","Archive",IF($L1797="closed","Closed",IF($B1797="","Unscored",IF(AND($B1797&gt;=8,OR($H1797="",$H1797-TODAY()&lt;=14)),"P1 Apply",IF($B1797&gt;=7,"P2 Strong",IF($B1797&gt;=5,"P3 Maybe","P4 Low")))))))))))</f>
        <v/>
      </c>
      <c r="B1797" s="13" t="n">
        <v>0</v>
      </c>
      <c r="C1797" s="12" t="inlineStr">
        <is>
          <t>Senior/Lead</t>
        </is>
      </c>
      <c r="D1797" s="8" t="inlineStr">
        <is>
          <t>Senior Software Developer</t>
        </is>
      </c>
      <c r="E1797" s="7" t="inlineStr">
        <is>
          <t>IKM Consultants</t>
        </is>
      </c>
      <c r="F1797" s="8" t="inlineStr">
        <is>
          <t>Aberdeen, SCT, GB</t>
        </is>
      </c>
      <c r="G1797" s="8" t="n"/>
      <c r="H1797" s="14" t="n"/>
      <c r="I1797" s="15">
        <f>IF($H1797="","",$H1797-TODAY())</f>
        <v/>
      </c>
      <c r="J1797" s="16" t="inlineStr">
        <is>
          <t>Open posting</t>
        </is>
      </c>
      <c r="K1797" s="8" t="inlineStr">
        <is>
          <t>filtered by keyword pre-scan</t>
        </is>
      </c>
      <c r="L1797" s="17" t="inlineStr">
        <is>
          <t>new</t>
        </is>
      </c>
      <c r="M1797" s="18" t="inlineStr"/>
      <c r="N1797" s="7" t="inlineStr">
        <is>
          <t>7247ade95cb6dcf6bb0cb340d22d45cb956d0919</t>
        </is>
      </c>
      <c r="O1797" s="14" t="n">
        <v>46192</v>
      </c>
      <c r="P1797" s="7" t="inlineStr">
        <is>
          <t>jobspy</t>
        </is>
      </c>
      <c r="Q1797" s="8" t="inlineStr">
        <is>
          <t>python, sql, docker, kubernetes, git</t>
        </is>
      </c>
      <c r="R1797" s="8" t="inlineStr">
        <is>
          <t>Junior Python Developer SQL Docker</t>
        </is>
      </c>
      <c r="S1797" s="19" t="n"/>
      <c r="T1797" s="19" t="n"/>
      <c r="U1797" s="14" t="n">
        <v>46193</v>
      </c>
      <c r="V1797" s="7" t="inlineStr">
        <is>
          <t>v2-cv-accuracy-13b988b18da8ea7d</t>
        </is>
      </c>
    </row>
    <row r="1798" ht="28" customHeight="1">
      <c r="A1798" s="12">
        <f>IF($L1798="applied","Applied",IF($L1798="interview","Interview",IF($L1798="offer","Offer",IF($L1798="rejected","Rejected",IF($L1798="ignore","Ignore",IF($L1798="archive","Archive",IF($L1798="closed","Closed",IF($B1798="","Unscored",IF(AND($B1798&gt;=8,OR($H1798="",$H1798-TODAY()&lt;=14)),"P1 Apply",IF($B1798&gt;=7,"P2 Strong",IF($B1798&gt;=5,"P3 Maybe","P4 Low")))))))))))</f>
        <v/>
      </c>
      <c r="B1798" s="13" t="n">
        <v>0</v>
      </c>
      <c r="C1798" s="12" t="inlineStr">
        <is>
          <t>Senior/Lead</t>
        </is>
      </c>
      <c r="D1798" s="8" t="inlineStr">
        <is>
          <t>Senior Software Developer</t>
        </is>
      </c>
      <c r="E1798" s="7" t="inlineStr">
        <is>
          <t>Once For All</t>
        </is>
      </c>
      <c r="F1798" s="8" t="inlineStr">
        <is>
          <t>Basingstoke, ENG, GB</t>
        </is>
      </c>
      <c r="G1798" s="8" t="n"/>
      <c r="H1798" s="14" t="n"/>
      <c r="I1798" s="15">
        <f>IF($H1798="","",$H1798-TODAY())</f>
        <v/>
      </c>
      <c r="J1798" s="16" t="inlineStr">
        <is>
          <t>Open posting</t>
        </is>
      </c>
      <c r="K1798" s="8" t="inlineStr">
        <is>
          <t>filtered by keyword pre-scan</t>
        </is>
      </c>
      <c r="L1798" s="17" t="inlineStr">
        <is>
          <t>new</t>
        </is>
      </c>
      <c r="M1798" s="18" t="inlineStr"/>
      <c r="N1798" s="7" t="inlineStr">
        <is>
          <t>a1ba4f45710d7236b7135132e34664b8439e69c1</t>
        </is>
      </c>
      <c r="O1798" s="14" t="n">
        <v>46169</v>
      </c>
      <c r="P1798" s="7" t="inlineStr">
        <is>
          <t>jobspy</t>
        </is>
      </c>
      <c r="Q1798" s="8" t="inlineStr">
        <is>
          <t>python, sql, docker, kubernetes, git</t>
        </is>
      </c>
      <c r="R1798" s="8" t="inlineStr">
        <is>
          <t>Junior Python Developer SQL Docker</t>
        </is>
      </c>
      <c r="S1798" s="19" t="n"/>
      <c r="T1798" s="19" t="n"/>
      <c r="U1798" s="14" t="n">
        <v>46193</v>
      </c>
      <c r="V1798" s="7" t="inlineStr">
        <is>
          <t>v2-cv-accuracy-13b988b18da8ea7d</t>
        </is>
      </c>
    </row>
    <row r="1799" ht="28" customHeight="1">
      <c r="A1799" s="12">
        <f>IF($L1799="applied","Applied",IF($L1799="interview","Interview",IF($L1799="offer","Offer",IF($L1799="rejected","Rejected",IF($L1799="ignore","Ignore",IF($L1799="archive","Archive",IF($L1799="closed","Closed",IF($B1799="","Unscored",IF(AND($B1799&gt;=8,OR($H1799="",$H1799-TODAY()&lt;=14)),"P1 Apply",IF($B1799&gt;=7,"P2 Strong",IF($B1799&gt;=5,"P3 Maybe","P4 Low")))))))))))</f>
        <v/>
      </c>
      <c r="B1799" s="13" t="n">
        <v>0</v>
      </c>
      <c r="C1799" s="12" t="inlineStr">
        <is>
          <t>Senior/Lead</t>
        </is>
      </c>
      <c r="D1799" s="8" t="inlineStr">
        <is>
          <t>Senior Backend Developer</t>
        </is>
      </c>
      <c r="E1799" s="7" t="inlineStr">
        <is>
          <t>Narwhal Labs</t>
        </is>
      </c>
      <c r="F1799" s="8" t="inlineStr">
        <is>
          <t>Bristol, ENG, GB</t>
        </is>
      </c>
      <c r="G1799" s="8" t="n"/>
      <c r="H1799" s="14" t="n"/>
      <c r="I1799" s="15">
        <f>IF($H1799="","",$H1799-TODAY())</f>
        <v/>
      </c>
      <c r="J1799" s="16" t="inlineStr">
        <is>
          <t>Open posting</t>
        </is>
      </c>
      <c r="K1799" s="8" t="inlineStr">
        <is>
          <t>filtered by keyword pre-scan</t>
        </is>
      </c>
      <c r="L1799" s="17" t="inlineStr">
        <is>
          <t>new</t>
        </is>
      </c>
      <c r="M1799" s="18" t="inlineStr"/>
      <c r="N1799" s="7" t="inlineStr">
        <is>
          <t>523ebdd27516a36e8151ef27292eb89c841f19f2</t>
        </is>
      </c>
      <c r="O1799" s="14" t="n">
        <v>46169</v>
      </c>
      <c r="P1799" s="7" t="inlineStr">
        <is>
          <t>jobspy</t>
        </is>
      </c>
      <c r="Q1799" s="8" t="inlineStr">
        <is>
          <t>python, sql, docker, kubernetes, c</t>
        </is>
      </c>
      <c r="R1799" s="8" t="inlineStr">
        <is>
          <t>Junior Python Developer SQL Docker</t>
        </is>
      </c>
      <c r="S1799" s="19" t="n"/>
      <c r="T1799" s="19" t="n"/>
      <c r="U1799" s="14" t="n">
        <v>46193</v>
      </c>
      <c r="V1799" s="7" t="inlineStr">
        <is>
          <t>v2-cv-accuracy-13b988b18da8ea7d</t>
        </is>
      </c>
    </row>
    <row r="1800" ht="28" customHeight="1">
      <c r="A1800" s="12">
        <f>IF($L1800="applied","Applied",IF($L1800="interview","Interview",IF($L1800="offer","Offer",IF($L1800="rejected","Rejected",IF($L1800="ignore","Ignore",IF($L1800="archive","Archive",IF($L1800="closed","Closed",IF($B1800="","Unscored",IF(AND($B1800&gt;=8,OR($H1800="",$H1800-TODAY()&lt;=14)),"P1 Apply",IF($B1800&gt;=7,"P2 Strong",IF($B1800&gt;=5,"P3 Maybe","P4 Low")))))))))))</f>
        <v/>
      </c>
      <c r="B1800" s="13" t="n">
        <v>0</v>
      </c>
      <c r="C1800" s="12" t="inlineStr">
        <is>
          <t>Senior/Lead</t>
        </is>
      </c>
      <c r="D1800" s="8" t="inlineStr">
        <is>
          <t>Principal Engineer</t>
        </is>
      </c>
      <c r="E1800" s="7" t="inlineStr">
        <is>
          <t>Coda Octopus Products Ltd</t>
        </is>
      </c>
      <c r="F1800" s="8" t="inlineStr">
        <is>
          <t>Edinburgh, SCT, GB</t>
        </is>
      </c>
      <c r="G1800" s="8" t="n"/>
      <c r="H1800" s="14" t="n"/>
      <c r="I1800" s="15">
        <f>IF($H1800="","",$H1800-TODAY())</f>
        <v/>
      </c>
      <c r="J1800" s="16" t="inlineStr">
        <is>
          <t>Open posting</t>
        </is>
      </c>
      <c r="K1800" s="8" t="inlineStr">
        <is>
          <t>filtered by keyword pre-scan</t>
        </is>
      </c>
      <c r="L1800" s="17" t="inlineStr">
        <is>
          <t>new</t>
        </is>
      </c>
      <c r="M1800" s="18" t="inlineStr"/>
      <c r="N1800" s="7" t="inlineStr">
        <is>
          <t>4911de1a0362173e60d550953357bcddd141dd12</t>
        </is>
      </c>
      <c r="O1800" s="14" t="n">
        <v>46192</v>
      </c>
      <c r="P1800" s="7" t="inlineStr">
        <is>
          <t>jobspy</t>
        </is>
      </c>
      <c r="Q1800" s="8" t="inlineStr">
        <is>
          <t>fpga, git, c, embedded systems, dsp</t>
        </is>
      </c>
      <c r="R1800" s="8" t="inlineStr">
        <is>
          <t>Embedded Systems Engineer FPGA DSP</t>
        </is>
      </c>
      <c r="S1800" s="19" t="n"/>
      <c r="T1800" s="19" t="n"/>
      <c r="U1800" s="14" t="n">
        <v>46193</v>
      </c>
      <c r="V1800" s="7" t="inlineStr">
        <is>
          <t>v2-cv-accuracy-13b988b18da8ea7d</t>
        </is>
      </c>
    </row>
    <row r="1801" ht="28" customHeight="1">
      <c r="A1801" s="12">
        <f>IF($L1801="applied","Applied",IF($L1801="interview","Interview",IF($L1801="offer","Offer",IF($L1801="rejected","Rejected",IF($L1801="ignore","Ignore",IF($L1801="archive","Archive",IF($L1801="closed","Closed",IF($B1801="","Unscored",IF(AND($B1801&gt;=8,OR($H1801="",$H1801-TODAY()&lt;=14)),"P1 Apply",IF($B1801&gt;=7,"P2 Strong",IF($B1801&gt;=5,"P3 Maybe","P4 Low")))))))))))</f>
        <v/>
      </c>
      <c r="B1801" s="13" t="n">
        <v>0</v>
      </c>
      <c r="C1801" s="12" t="inlineStr">
        <is>
          <t>Senior/Lead</t>
        </is>
      </c>
      <c r="D1801" s="8" t="inlineStr">
        <is>
          <t>Senior RF Engineer</t>
        </is>
      </c>
      <c r="E1801" s="7" t="inlineStr">
        <is>
          <t>IC Resources</t>
        </is>
      </c>
      <c r="F1801" s="8" t="inlineStr">
        <is>
          <t>Bristol, England, UK</t>
        </is>
      </c>
      <c r="G1801" s="8" t="n"/>
      <c r="H1801" s="14" t="n"/>
      <c r="I1801" s="15">
        <f>IF($H1801="","",$H1801-TODAY())</f>
        <v/>
      </c>
      <c r="J1801" s="16" t="inlineStr">
        <is>
          <t>Open posting</t>
        </is>
      </c>
      <c r="K1801" s="8" t="inlineStr">
        <is>
          <t>filtered by keyword pre-scan</t>
        </is>
      </c>
      <c r="L1801" s="17" t="inlineStr">
        <is>
          <t>new</t>
        </is>
      </c>
      <c r="M1801" s="18" t="inlineStr"/>
      <c r="N1801" s="7" t="inlineStr">
        <is>
          <t>3fe5d661d23da7dff9f3659699840ee3ed3170fd</t>
        </is>
      </c>
      <c r="O1801" s="14" t="n">
        <v>46189</v>
      </c>
      <c r="P1801" s="7" t="inlineStr">
        <is>
          <t>jobspy</t>
        </is>
      </c>
      <c r="Q1801" s="8" t="inlineStr">
        <is>
          <t>fpga, c, hardware design, dsp</t>
        </is>
      </c>
      <c r="R1801" s="8" t="inlineStr">
        <is>
          <t>Embedded Systems Engineer FPGA DSP</t>
        </is>
      </c>
      <c r="S1801" s="19" t="n"/>
      <c r="T1801" s="19" t="n"/>
      <c r="U1801" s="14" t="n">
        <v>46193</v>
      </c>
      <c r="V1801" s="7" t="inlineStr">
        <is>
          <t>v2-cv-accuracy-13b988b18da8ea7d</t>
        </is>
      </c>
    </row>
    <row r="1802" ht="28" customHeight="1">
      <c r="A1802" s="12">
        <f>IF($L1802="applied","Applied",IF($L1802="interview","Interview",IF($L1802="offer","Offer",IF($L1802="rejected","Rejected",IF($L1802="ignore","Ignore",IF($L1802="archive","Archive",IF($L1802="closed","Closed",IF($B1802="","Unscored",IF(AND($B1802&gt;=8,OR($H1802="",$H1802-TODAY()&lt;=14)),"P1 Apply",IF($B1802&gt;=7,"P2 Strong",IF($B1802&gt;=5,"P3 Maybe","P4 Low")))))))))))</f>
        <v/>
      </c>
      <c r="B1802" s="13" t="n">
        <v>0</v>
      </c>
      <c r="C1802" s="12" t="inlineStr">
        <is>
          <t>Senior/Lead</t>
        </is>
      </c>
      <c r="D1802" s="8" t="inlineStr">
        <is>
          <t>Lead Engineer</t>
        </is>
      </c>
      <c r="E1802" s="7" t="inlineStr">
        <is>
          <t>Advanced Energy</t>
        </is>
      </c>
      <c r="F1802" s="8" t="inlineStr">
        <is>
          <t>Littlehampton, England, UK</t>
        </is>
      </c>
      <c r="G1802" s="8" t="n"/>
      <c r="H1802" s="14" t="n"/>
      <c r="I1802" s="15">
        <f>IF($H1802="","",$H1802-TODAY())</f>
        <v/>
      </c>
      <c r="J1802" s="16" t="inlineStr">
        <is>
          <t>Open posting</t>
        </is>
      </c>
      <c r="K1802" s="8" t="inlineStr">
        <is>
          <t>filtered by keyword pre-scan</t>
        </is>
      </c>
      <c r="L1802" s="17" t="inlineStr">
        <is>
          <t>new</t>
        </is>
      </c>
      <c r="M1802" s="18" t="inlineStr"/>
      <c r="N1802" s="7" t="inlineStr">
        <is>
          <t>a98eca501a784472a8a0443946644ce5eecf579e</t>
        </is>
      </c>
      <c r="O1802" s="14" t="n">
        <v>46181</v>
      </c>
      <c r="P1802" s="7" t="inlineStr">
        <is>
          <t>jobspy</t>
        </is>
      </c>
      <c r="Q1802" s="8" t="inlineStr">
        <is>
          <t>fpga, stm32, git, c, digital design</t>
        </is>
      </c>
      <c r="R1802" s="8" t="inlineStr">
        <is>
          <t>Embedded Systems Engineer FPGA DSP</t>
        </is>
      </c>
      <c r="S1802" s="19" t="n"/>
      <c r="T1802" s="19" t="n"/>
      <c r="U1802" s="14" t="n">
        <v>46193</v>
      </c>
      <c r="V1802" s="7" t="inlineStr">
        <is>
          <t>v2-cv-accuracy-13b988b18da8ea7d</t>
        </is>
      </c>
    </row>
    <row r="1803" ht="28" customHeight="1">
      <c r="A1803" s="12">
        <f>IF($L1803="applied","Applied",IF($L1803="interview","Interview",IF($L1803="offer","Offer",IF($L1803="rejected","Rejected",IF($L1803="ignore","Ignore",IF($L1803="archive","Archive",IF($L1803="closed","Closed",IF($B1803="","Unscored",IF(AND($B1803&gt;=8,OR($H1803="",$H1803-TODAY()&lt;=14)),"P1 Apply",IF($B1803&gt;=7,"P2 Strong",IF($B1803&gt;=5,"P3 Maybe","P4 Low")))))))))))</f>
        <v/>
      </c>
      <c r="B1803" s="13" t="n">
        <v>0</v>
      </c>
      <c r="C1803" s="12" t="inlineStr">
        <is>
          <t>Senior/Lead</t>
        </is>
      </c>
      <c r="D1803" s="8" t="inlineStr">
        <is>
          <t>Mid/Senior Solution Architect</t>
        </is>
      </c>
      <c r="E1803" s="7" t="inlineStr">
        <is>
          <t>Multiverse Computing</t>
        </is>
      </c>
      <c r="F1803" s="8" t="inlineStr">
        <is>
          <t>London, ENG, GB</t>
        </is>
      </c>
      <c r="G1803" s="8" t="n"/>
      <c r="H1803" s="14" t="n"/>
      <c r="I1803" s="15">
        <f>IF($H1803="","",$H1803-TODAY())</f>
        <v/>
      </c>
      <c r="J1803" s="16" t="inlineStr">
        <is>
          <t>Open posting</t>
        </is>
      </c>
      <c r="K1803" s="8" t="inlineStr">
        <is>
          <t>filtered by keyword pre-scan</t>
        </is>
      </c>
      <c r="L1803" s="17" t="inlineStr">
        <is>
          <t>new</t>
        </is>
      </c>
      <c r="M1803" s="18" t="inlineStr"/>
      <c r="N1803" s="7" t="inlineStr">
        <is>
          <t>37537db5d37615dbf98143c25afaa254f460cbed</t>
        </is>
      </c>
      <c r="O1803" s="14" t="n">
        <v>46192</v>
      </c>
      <c r="P1803" s="7" t="inlineStr">
        <is>
          <t>jobspy</t>
        </is>
      </c>
      <c r="Q1803" s="8" t="inlineStr">
        <is>
          <t>python, sql, docker, kubernetes, c</t>
        </is>
      </c>
      <c r="R1803" s="8" t="inlineStr">
        <is>
          <t>Platform Engineer Docker Kubernetes Python</t>
        </is>
      </c>
      <c r="S1803" s="19" t="n"/>
      <c r="T1803" s="19" t="n"/>
      <c r="U1803" s="14" t="n">
        <v>46193</v>
      </c>
      <c r="V1803" s="7" t="inlineStr">
        <is>
          <t>v2-cv-accuracy-13b988b18da8ea7d</t>
        </is>
      </c>
    </row>
    <row r="1804" ht="28" customHeight="1">
      <c r="A1804" s="12">
        <f>IF($L1804="applied","Applied",IF($L1804="interview","Interview",IF($L1804="offer","Offer",IF($L1804="rejected","Rejected",IF($L1804="ignore","Ignore",IF($L1804="archive","Archive",IF($L1804="closed","Closed",IF($B1804="","Unscored",IF(AND($B1804&gt;=8,OR($H1804="",$H1804-TODAY()&lt;=14)),"P1 Apply",IF($B1804&gt;=7,"P2 Strong",IF($B1804&gt;=5,"P3 Maybe","P4 Low")))))))))))</f>
        <v/>
      </c>
      <c r="B1804" s="13" t="n">
        <v>0</v>
      </c>
      <c r="C1804" s="12" t="inlineStr">
        <is>
          <t>Senior/Lead</t>
        </is>
      </c>
      <c r="D1804" s="8" t="inlineStr">
        <is>
          <t>Senior Infrastructure Operations Engineer, Sovereign Operations, Wiltshire</t>
        </is>
      </c>
      <c r="E1804" s="7" t="inlineStr">
        <is>
          <t>Google</t>
        </is>
      </c>
      <c r="F1804" s="8" t="inlineStr">
        <is>
          <t>London, ENG, GB</t>
        </is>
      </c>
      <c r="G1804" s="8" t="n"/>
      <c r="H1804" s="14" t="n"/>
      <c r="I1804" s="15">
        <f>IF($H1804="","",$H1804-TODAY())</f>
        <v/>
      </c>
      <c r="J1804" s="16" t="inlineStr">
        <is>
          <t>Open posting</t>
        </is>
      </c>
      <c r="K1804" s="8" t="inlineStr">
        <is>
          <t>filtered by keyword pre-scan</t>
        </is>
      </c>
      <c r="L1804" s="17" t="inlineStr">
        <is>
          <t>new</t>
        </is>
      </c>
      <c r="M1804" s="18" t="inlineStr"/>
      <c r="N1804" s="7" t="inlineStr">
        <is>
          <t>c85edeb6571d70e95feaf5c4f68dd3c904c70272</t>
        </is>
      </c>
      <c r="O1804" s="14" t="n">
        <v>46192</v>
      </c>
      <c r="P1804" s="7" t="inlineStr">
        <is>
          <t>jobspy</t>
        </is>
      </c>
      <c r="Q1804" s="8" t="inlineStr">
        <is>
          <t>python, docker, kubernetes, c</t>
        </is>
      </c>
      <c r="R1804" s="8" t="inlineStr">
        <is>
          <t>Platform Engineer Docker Kubernetes Python</t>
        </is>
      </c>
      <c r="S1804" s="19" t="n"/>
      <c r="T1804" s="19" t="n"/>
      <c r="U1804" s="14" t="n">
        <v>46193</v>
      </c>
      <c r="V1804" s="7" t="inlineStr">
        <is>
          <t>v2-cv-accuracy-13b988b18da8ea7d</t>
        </is>
      </c>
    </row>
    <row r="1805" ht="28" customHeight="1">
      <c r="A1805" s="12">
        <f>IF($L1805="applied","Applied",IF($L1805="interview","Interview",IF($L1805="offer","Offer",IF($L1805="rejected","Rejected",IF($L1805="ignore","Ignore",IF($L1805="archive","Archive",IF($L1805="closed","Closed",IF($B1805="","Unscored",IF(AND($B1805&gt;=8,OR($H1805="",$H1805-TODAY()&lt;=14)),"P1 Apply",IF($B1805&gt;=7,"P2 Strong",IF($B1805&gt;=5,"P3 Maybe","P4 Low")))))))))))</f>
        <v/>
      </c>
      <c r="B1805" s="13" t="n">
        <v>0</v>
      </c>
      <c r="C1805" s="12" t="inlineStr">
        <is>
          <t>Senior/Lead</t>
        </is>
      </c>
      <c r="D1805" s="8" t="inlineStr">
        <is>
          <t>Senior Platform Engineer</t>
        </is>
      </c>
      <c r="E1805" s="7" t="inlineStr">
        <is>
          <t>Morgan Stanley</t>
        </is>
      </c>
      <c r="F1805" s="8" t="inlineStr">
        <is>
          <t>Glasgow, SCT, GB</t>
        </is>
      </c>
      <c r="G1805" s="8" t="n"/>
      <c r="H1805" s="14" t="n"/>
      <c r="I1805" s="15">
        <f>IF($H1805="","",$H1805-TODAY())</f>
        <v/>
      </c>
      <c r="J1805" s="16" t="inlineStr">
        <is>
          <t>Open posting</t>
        </is>
      </c>
      <c r="K1805" s="8" t="inlineStr">
        <is>
          <t>filtered by keyword pre-scan</t>
        </is>
      </c>
      <c r="L1805" s="17" t="inlineStr">
        <is>
          <t>new</t>
        </is>
      </c>
      <c r="M1805" s="18" t="inlineStr"/>
      <c r="N1805" s="7" t="inlineStr">
        <is>
          <t>5b23028707ecb3e2fe5a447d518ee883aea15867</t>
        </is>
      </c>
      <c r="O1805" s="14" t="n">
        <v>46192</v>
      </c>
      <c r="P1805" s="7" t="inlineStr">
        <is>
          <t>jobspy</t>
        </is>
      </c>
      <c r="Q1805" s="8" t="inlineStr">
        <is>
          <t>python, docker, kubernetes, git, c</t>
        </is>
      </c>
      <c r="R1805" s="8" t="inlineStr">
        <is>
          <t>Platform Engineer Docker Kubernetes Python</t>
        </is>
      </c>
      <c r="S1805" s="19" t="n"/>
      <c r="T1805" s="19" t="n"/>
      <c r="U1805" s="14" t="n">
        <v>46193</v>
      </c>
      <c r="V1805" s="7" t="inlineStr">
        <is>
          <t>v2-cv-accuracy-13b988b18da8ea7d</t>
        </is>
      </c>
    </row>
    <row r="1806" ht="28" customHeight="1">
      <c r="A1806" s="12">
        <f>IF($L1806="applied","Applied",IF($L1806="interview","Interview",IF($L1806="offer","Offer",IF($L1806="rejected","Rejected",IF($L1806="ignore","Ignore",IF($L1806="archive","Archive",IF($L1806="closed","Closed",IF($B1806="","Unscored",IF(AND($B1806&gt;=8,OR($H1806="",$H1806-TODAY()&lt;=14)),"P1 Apply",IF($B1806&gt;=7,"P2 Strong",IF($B1806&gt;=5,"P3 Maybe","P4 Low")))))))))))</f>
        <v/>
      </c>
      <c r="B1806" s="13" t="n">
        <v>0</v>
      </c>
      <c r="C1806" s="12" t="inlineStr">
        <is>
          <t>Senior/Lead</t>
        </is>
      </c>
      <c r="D1806" s="8" t="inlineStr">
        <is>
          <t>Senior HPC Engineer</t>
        </is>
      </c>
      <c r="E1806" s="7" t="inlineStr">
        <is>
          <t>Viridien</t>
        </is>
      </c>
      <c r="F1806" s="8" t="inlineStr">
        <is>
          <t>Haywards Heath, ENG, GB</t>
        </is>
      </c>
      <c r="G1806" s="8" t="n"/>
      <c r="H1806" s="14" t="n"/>
      <c r="I1806" s="15">
        <f>IF($H1806="","",$H1806-TODAY())</f>
        <v/>
      </c>
      <c r="J1806" s="16" t="inlineStr">
        <is>
          <t>Open posting</t>
        </is>
      </c>
      <c r="K1806" s="8" t="inlineStr">
        <is>
          <t>filtered by keyword pre-scan</t>
        </is>
      </c>
      <c r="L1806" s="17" t="inlineStr">
        <is>
          <t>new</t>
        </is>
      </c>
      <c r="M1806" s="18" t="inlineStr"/>
      <c r="N1806" s="7" t="inlineStr">
        <is>
          <t>6be54095faae14938a9dcbdb6a67c0f8cbc1f1e8</t>
        </is>
      </c>
      <c r="O1806" s="14" t="n">
        <v>46192</v>
      </c>
      <c r="P1806" s="7" t="inlineStr">
        <is>
          <t>jobspy</t>
        </is>
      </c>
      <c r="Q1806" s="8" t="inlineStr">
        <is>
          <t>python, docker, kubernetes, git, c</t>
        </is>
      </c>
      <c r="R1806" s="8" t="inlineStr">
        <is>
          <t>Platform Engineer Docker Kubernetes Python</t>
        </is>
      </c>
      <c r="S1806" s="19" t="n"/>
      <c r="T1806" s="19" t="n"/>
      <c r="U1806" s="14" t="n">
        <v>46193</v>
      </c>
      <c r="V1806" s="7" t="inlineStr">
        <is>
          <t>v2-cv-accuracy-13b988b18da8ea7d</t>
        </is>
      </c>
    </row>
    <row r="1807" ht="28" customHeight="1">
      <c r="A1807" s="12">
        <f>IF($L1807="applied","Applied",IF($L1807="interview","Interview",IF($L1807="offer","Offer",IF($L1807="rejected","Rejected",IF($L1807="ignore","Ignore",IF($L1807="archive","Archive",IF($L1807="closed","Closed",IF($B1807="","Unscored",IF(AND($B1807&gt;=8,OR($H1807="",$H1807-TODAY()&lt;=14)),"P1 Apply",IF($B1807&gt;=7,"P2 Strong",IF($B1807&gt;=5,"P3 Maybe","P4 Low")))))))))))</f>
        <v/>
      </c>
      <c r="B1807" s="13" t="n">
        <v>0</v>
      </c>
      <c r="C1807" s="12" t="inlineStr">
        <is>
          <t>Senior/Lead</t>
        </is>
      </c>
      <c r="D1807" s="8" t="inlineStr">
        <is>
          <t>Senior Data Engineer</t>
        </is>
      </c>
      <c r="E1807" s="7" t="inlineStr">
        <is>
          <t>MBDA</t>
        </is>
      </c>
      <c r="F1807" s="8" t="inlineStr">
        <is>
          <t>Bolton, ENG, GB</t>
        </is>
      </c>
      <c r="G1807" s="8" t="n"/>
      <c r="H1807" s="14" t="n"/>
      <c r="I1807" s="15">
        <f>IF($H1807="","",$H1807-TODAY())</f>
        <v/>
      </c>
      <c r="J1807" s="16" t="inlineStr">
        <is>
          <t>Open posting</t>
        </is>
      </c>
      <c r="K1807" s="8" t="inlineStr">
        <is>
          <t>filtered by keyword pre-scan</t>
        </is>
      </c>
      <c r="L1807" s="17" t="inlineStr">
        <is>
          <t>new</t>
        </is>
      </c>
      <c r="M1807" s="18" t="inlineStr"/>
      <c r="N1807" s="7" t="inlineStr">
        <is>
          <t>9113e2f630a4a686f4414960a38cbaa8a3013fd1</t>
        </is>
      </c>
      <c r="O1807" s="14" t="n">
        <v>46192</v>
      </c>
      <c r="P1807" s="7" t="inlineStr">
        <is>
          <t>jobspy</t>
        </is>
      </c>
      <c r="Q1807" s="8" t="inlineStr">
        <is>
          <t>python, sql, docker, kubernetes, git</t>
        </is>
      </c>
      <c r="R1807" s="8" t="inlineStr">
        <is>
          <t>Platform Engineer Docker Kubernetes Python</t>
        </is>
      </c>
      <c r="S1807" s="19" t="n"/>
      <c r="T1807" s="19" t="n"/>
      <c r="U1807" s="14" t="n">
        <v>46193</v>
      </c>
      <c r="V1807" s="7" t="inlineStr">
        <is>
          <t>v2-cv-accuracy-13b988b18da8ea7d</t>
        </is>
      </c>
    </row>
    <row r="1808" ht="28" customHeight="1">
      <c r="A1808" s="12">
        <f>IF($L1808="applied","Applied",IF($L1808="interview","Interview",IF($L1808="offer","Offer",IF($L1808="rejected","Rejected",IF($L1808="ignore","Ignore",IF($L1808="archive","Archive",IF($L1808="closed","Closed",IF($B1808="","Unscored",IF(AND($B1808&gt;=8,OR($H1808="",$H1808-TODAY()&lt;=14)),"P1 Apply",IF($B1808&gt;=7,"P2 Strong",IF($B1808&gt;=5,"P3 Maybe","P4 Low")))))))))))</f>
        <v/>
      </c>
      <c r="B1808" s="13" t="n">
        <v>0</v>
      </c>
      <c r="C1808" s="12" t="inlineStr">
        <is>
          <t>Senior/Lead</t>
        </is>
      </c>
      <c r="D1808" s="8" t="inlineStr">
        <is>
          <t>Senior Data Pipeline Engineer</t>
        </is>
      </c>
      <c r="E1808" s="7" t="inlineStr">
        <is>
          <t>Netbuilder</t>
        </is>
      </c>
      <c r="F1808" s="8" t="inlineStr">
        <is>
          <t>London, ENG, GB</t>
        </is>
      </c>
      <c r="G1808" s="8" t="n"/>
      <c r="H1808" s="14" t="n"/>
      <c r="I1808" s="15">
        <f>IF($H1808="","",$H1808-TODAY())</f>
        <v/>
      </c>
      <c r="J1808" s="16" t="inlineStr">
        <is>
          <t>Open posting</t>
        </is>
      </c>
      <c r="K1808" s="8" t="inlineStr">
        <is>
          <t>filtered by keyword pre-scan</t>
        </is>
      </c>
      <c r="L1808" s="17" t="inlineStr">
        <is>
          <t>new</t>
        </is>
      </c>
      <c r="M1808" s="18" t="inlineStr"/>
      <c r="N1808" s="7" t="inlineStr">
        <is>
          <t>36e68fa362e54a843846fd225e2dd617d665d336</t>
        </is>
      </c>
      <c r="O1808" s="14" t="n">
        <v>46192</v>
      </c>
      <c r="P1808" s="7" t="inlineStr">
        <is>
          <t>jobspy</t>
        </is>
      </c>
      <c r="Q1808" s="8" t="inlineStr">
        <is>
          <t>docker, kubernetes, git, c</t>
        </is>
      </c>
      <c r="R1808" s="8" t="inlineStr">
        <is>
          <t>Platform Engineer Docker Kubernetes Python</t>
        </is>
      </c>
      <c r="S1808" s="19" t="n"/>
      <c r="T1808" s="19" t="n"/>
      <c r="U1808" s="14" t="n">
        <v>46193</v>
      </c>
      <c r="V1808" s="7" t="inlineStr">
        <is>
          <t>v2-cv-accuracy-13b988b18da8ea7d</t>
        </is>
      </c>
    </row>
    <row r="1809" ht="28" customHeight="1">
      <c r="A1809" s="12">
        <f>IF($L1809="applied","Applied",IF($L1809="interview","Interview",IF($L1809="offer","Offer",IF($L1809="rejected","Rejected",IF($L1809="ignore","Ignore",IF($L1809="archive","Archive",IF($L1809="closed","Closed",IF($B1809="","Unscored",IF(AND($B1809&gt;=8,OR($H1809="",$H1809-TODAY()&lt;=14)),"P1 Apply",IF($B1809&gt;=7,"P2 Strong",IF($B1809&gt;=5,"P3 Maybe","P4 Low")))))))))))</f>
        <v/>
      </c>
      <c r="B1809" s="13" t="n">
        <v>0</v>
      </c>
      <c r="C1809" s="12" t="inlineStr">
        <is>
          <t>Senior/Lead</t>
        </is>
      </c>
      <c r="D1809" s="8" t="inlineStr">
        <is>
          <t>Senior Software Engineer - Cyber Security Configuration Assurance</t>
        </is>
      </c>
      <c r="E1809" s="7" t="inlineStr">
        <is>
          <t>Lloyds Banking Group</t>
        </is>
      </c>
      <c r="F1809" s="8" t="inlineStr">
        <is>
          <t>Leeds, ENG, GB</t>
        </is>
      </c>
      <c r="G1809" s="8" t="n"/>
      <c r="H1809" s="14" t="n"/>
      <c r="I1809" s="15">
        <f>IF($H1809="","",$H1809-TODAY())</f>
        <v/>
      </c>
      <c r="J1809" s="16" t="inlineStr">
        <is>
          <t>Open posting</t>
        </is>
      </c>
      <c r="K1809" s="8" t="inlineStr">
        <is>
          <t>filtered by keyword pre-scan</t>
        </is>
      </c>
      <c r="L1809" s="17" t="inlineStr">
        <is>
          <t>new</t>
        </is>
      </c>
      <c r="M1809" s="18" t="inlineStr"/>
      <c r="N1809" s="7" t="inlineStr">
        <is>
          <t>53889b35d69209eeaf305096fab98c5f50a2313b</t>
        </is>
      </c>
      <c r="O1809" s="14" t="n">
        <v>46191</v>
      </c>
      <c r="P1809" s="7" t="inlineStr">
        <is>
          <t>jobspy</t>
        </is>
      </c>
      <c r="Q1809" s="8" t="inlineStr">
        <is>
          <t>python, docker, kubernetes, git, c</t>
        </is>
      </c>
      <c r="R1809" s="8" t="inlineStr">
        <is>
          <t>Platform Engineer Docker Kubernetes Python</t>
        </is>
      </c>
      <c r="S1809" s="19" t="n"/>
      <c r="T1809" s="19" t="n"/>
      <c r="U1809" s="14" t="n">
        <v>46193</v>
      </c>
      <c r="V1809" s="7" t="inlineStr">
        <is>
          <t>v2-cv-accuracy-13b988b18da8ea7d</t>
        </is>
      </c>
    </row>
    <row r="1810" ht="28" customHeight="1">
      <c r="A1810" s="12">
        <f>IF($L1810="applied","Applied",IF($L1810="interview","Interview",IF($L1810="offer","Offer",IF($L1810="rejected","Rejected",IF($L1810="ignore","Ignore",IF($L1810="archive","Archive",IF($L1810="closed","Closed",IF($B1810="","Unscored",IF(AND($B1810&gt;=8,OR($H1810="",$H1810-TODAY()&lt;=14)),"P1 Apply",IF($B1810&gt;=7,"P2 Strong",IF($B1810&gt;=5,"P3 Maybe","P4 Low")))))))))))</f>
        <v/>
      </c>
      <c r="B1810" s="13" t="n">
        <v>0</v>
      </c>
      <c r="C1810" s="12" t="inlineStr">
        <is>
          <t>Senior/Lead</t>
        </is>
      </c>
      <c r="D1810" s="8" t="inlineStr">
        <is>
          <t>DevOps/Site Reliability Engineer, Junior/Mid/Senior (m/f/*)</t>
        </is>
      </c>
      <c r="E1810" s="7" t="inlineStr">
        <is>
          <t>Quaisr</t>
        </is>
      </c>
      <c r="F1810" s="8" t="inlineStr">
        <is>
          <t>London, ENG, GB</t>
        </is>
      </c>
      <c r="G1810" s="8" t="n"/>
      <c r="H1810" s="14" t="n"/>
      <c r="I1810" s="15">
        <f>IF($H1810="","",$H1810-TODAY())</f>
        <v/>
      </c>
      <c r="J1810" s="16" t="inlineStr">
        <is>
          <t>Open posting</t>
        </is>
      </c>
      <c r="K1810" s="8" t="inlineStr">
        <is>
          <t>filtered by keyword pre-scan</t>
        </is>
      </c>
      <c r="L1810" s="17" t="inlineStr">
        <is>
          <t>new</t>
        </is>
      </c>
      <c r="M1810" s="18" t="inlineStr"/>
      <c r="N1810" s="7" t="inlineStr">
        <is>
          <t>660c72d9359806de6ac0469a0c518577ca1fab3b</t>
        </is>
      </c>
      <c r="O1810" s="14" t="n">
        <v>46190</v>
      </c>
      <c r="P1810" s="7" t="inlineStr">
        <is>
          <t>jobspy</t>
        </is>
      </c>
      <c r="Q1810" s="8" t="inlineStr">
        <is>
          <t>python, docker, kubernetes, git, c</t>
        </is>
      </c>
      <c r="R1810" s="8" t="inlineStr">
        <is>
          <t>Platform Engineer Docker Kubernetes Python</t>
        </is>
      </c>
      <c r="S1810" s="19" t="n"/>
      <c r="T1810" s="19" t="n"/>
      <c r="U1810" s="14" t="n">
        <v>46193</v>
      </c>
      <c r="V1810" s="7" t="inlineStr">
        <is>
          <t>v2-cv-accuracy-13b988b18da8ea7d</t>
        </is>
      </c>
    </row>
    <row r="1811" ht="28" customHeight="1">
      <c r="A1811" s="12">
        <f>IF($L1811="applied","Applied",IF($L1811="interview","Interview",IF($L1811="offer","Offer",IF($L1811="rejected","Rejected",IF($L1811="ignore","Ignore",IF($L1811="archive","Archive",IF($L1811="closed","Closed",IF($B1811="","Unscored",IF(AND($B1811&gt;=8,OR($H1811="",$H1811-TODAY()&lt;=14)),"P1 Apply",IF($B1811&gt;=7,"P2 Strong",IF($B1811&gt;=5,"P3 Maybe","P4 Low")))))))))))</f>
        <v/>
      </c>
      <c r="B1811" s="13" t="n">
        <v>0</v>
      </c>
      <c r="C1811" s="12" t="inlineStr">
        <is>
          <t>Senior/Lead</t>
        </is>
      </c>
      <c r="D1811" s="8" t="inlineStr">
        <is>
          <t>Member of Technical Staff (Backend/Infrastructure Engineer, Search)</t>
        </is>
      </c>
      <c r="E1811" s="7" t="inlineStr">
        <is>
          <t>Perplexity</t>
        </is>
      </c>
      <c r="F1811" s="8" t="inlineStr">
        <is>
          <t>London, England, UK</t>
        </is>
      </c>
      <c r="G1811" s="8" t="n"/>
      <c r="H1811" s="14" t="n"/>
      <c r="I1811" s="15">
        <f>IF($H1811="","",$H1811-TODAY())</f>
        <v/>
      </c>
      <c r="J1811" s="16" t="inlineStr">
        <is>
          <t>Open posting</t>
        </is>
      </c>
      <c r="K1811" s="8" t="inlineStr">
        <is>
          <t>filtered by keyword pre-scan</t>
        </is>
      </c>
      <c r="L1811" s="17" t="inlineStr">
        <is>
          <t>new</t>
        </is>
      </c>
      <c r="M1811" s="18" t="inlineStr"/>
      <c r="N1811" s="7" t="inlineStr">
        <is>
          <t>08234785cb59c3c61f9537d298a1fc69ab335298</t>
        </is>
      </c>
      <c r="O1811" s="14" t="n">
        <v>46189</v>
      </c>
      <c r="P1811" s="7" t="inlineStr">
        <is>
          <t>jobspy</t>
        </is>
      </c>
      <c r="Q1811" s="8" t="inlineStr">
        <is>
          <t>python, c</t>
        </is>
      </c>
      <c r="R1811" s="8" t="inlineStr">
        <is>
          <t>Platform Engineer Docker Kubernetes Python</t>
        </is>
      </c>
      <c r="S1811" s="19" t="n"/>
      <c r="T1811" s="19" t="n"/>
      <c r="U1811" s="14" t="n">
        <v>46193</v>
      </c>
      <c r="V1811" s="7" t="inlineStr">
        <is>
          <t>v2-cv-accuracy-13b988b18da8ea7d</t>
        </is>
      </c>
    </row>
    <row r="1812" ht="28" customHeight="1">
      <c r="A1812" s="12">
        <f>IF($L1812="applied","Applied",IF($L1812="interview","Interview",IF($L1812="offer","Offer",IF($L1812="rejected","Rejected",IF($L1812="ignore","Ignore",IF($L1812="archive","Archive",IF($L1812="closed","Closed",IF($B1812="","Unscored",IF(AND($B1812&gt;=8,OR($H1812="",$H1812-TODAY()&lt;=14)),"P1 Apply",IF($B1812&gt;=7,"P2 Strong",IF($B1812&gt;=5,"P3 Maybe","P4 Low")))))))))))</f>
        <v/>
      </c>
      <c r="B1812" s="13" t="n">
        <v>0</v>
      </c>
      <c r="C1812" s="12" t="inlineStr">
        <is>
          <t>Senior/Lead</t>
        </is>
      </c>
      <c r="D1812" s="8" t="inlineStr">
        <is>
          <t>Senior Platform Engineer</t>
        </is>
      </c>
      <c r="E1812" s="7" t="inlineStr">
        <is>
          <t>Atarus</t>
        </is>
      </c>
      <c r="F1812" s="8" t="inlineStr">
        <is>
          <t>London Area, United Kingdom</t>
        </is>
      </c>
      <c r="G1812" s="8" t="n"/>
      <c r="H1812" s="14" t="n"/>
      <c r="I1812" s="15">
        <f>IF($H1812="","",$H1812-TODAY())</f>
        <v/>
      </c>
      <c r="J1812" s="16" t="inlineStr">
        <is>
          <t>Open posting</t>
        </is>
      </c>
      <c r="K1812" s="8" t="inlineStr">
        <is>
          <t>filtered by keyword pre-scan</t>
        </is>
      </c>
      <c r="L1812" s="17" t="inlineStr">
        <is>
          <t>new</t>
        </is>
      </c>
      <c r="M1812" s="18" t="inlineStr"/>
      <c r="N1812" s="7" t="inlineStr">
        <is>
          <t>73e4f87a16fbccd5b19bb76803127a39cf7a7cc5</t>
        </is>
      </c>
      <c r="O1812" s="14" t="n">
        <v>46189</v>
      </c>
      <c r="P1812" s="7" t="inlineStr">
        <is>
          <t>jobspy</t>
        </is>
      </c>
      <c r="Q1812" s="8" t="inlineStr">
        <is>
          <t>python, kubernetes, c</t>
        </is>
      </c>
      <c r="R1812" s="8" t="inlineStr">
        <is>
          <t>Platform Engineer Docker Kubernetes Python</t>
        </is>
      </c>
      <c r="S1812" s="19" t="n"/>
      <c r="T1812" s="19" t="n"/>
      <c r="U1812" s="14" t="n">
        <v>46193</v>
      </c>
      <c r="V1812" s="7" t="inlineStr">
        <is>
          <t>v2-cv-accuracy-13b988b18da8ea7d</t>
        </is>
      </c>
    </row>
    <row r="1813" ht="28" customHeight="1">
      <c r="A1813" s="12">
        <f>IF($L1813="applied","Applied",IF($L1813="interview","Interview",IF($L1813="offer","Offer",IF($L1813="rejected","Rejected",IF($L1813="ignore","Ignore",IF($L1813="archive","Archive",IF($L1813="closed","Closed",IF($B1813="","Unscored",IF(AND($B1813&gt;=8,OR($H1813="",$H1813-TODAY()&lt;=14)),"P1 Apply",IF($B1813&gt;=7,"P2 Strong",IF($B1813&gt;=5,"P3 Maybe","P4 Low")))))))))))</f>
        <v/>
      </c>
      <c r="B1813" s="13" t="n">
        <v>0</v>
      </c>
      <c r="C1813" s="12" t="inlineStr">
        <is>
          <t>Senior/Lead</t>
        </is>
      </c>
      <c r="D1813" s="8" t="inlineStr">
        <is>
          <t>Senior Platform Engineer</t>
        </is>
      </c>
      <c r="E1813" s="7" t="inlineStr">
        <is>
          <t>Automata</t>
        </is>
      </c>
      <c r="F1813" s="8" t="inlineStr">
        <is>
          <t>London, England, UK</t>
        </is>
      </c>
      <c r="G1813" s="8" t="n"/>
      <c r="H1813" s="14" t="n"/>
      <c r="I1813" s="15">
        <f>IF($H1813="","",$H1813-TODAY())</f>
        <v/>
      </c>
      <c r="J1813" s="16" t="inlineStr">
        <is>
          <t>Open posting</t>
        </is>
      </c>
      <c r="K1813" s="8" t="inlineStr">
        <is>
          <t>filtered by keyword pre-scan</t>
        </is>
      </c>
      <c r="L1813" s="17" t="inlineStr">
        <is>
          <t>new</t>
        </is>
      </c>
      <c r="M1813" s="18" t="inlineStr"/>
      <c r="N1813" s="7" t="inlineStr">
        <is>
          <t>aac85e684b736f85c924f5aeca47e8b1e8151a46</t>
        </is>
      </c>
      <c r="O1813" s="14" t="n"/>
      <c r="P1813" s="7" t="inlineStr">
        <is>
          <t>jobspy</t>
        </is>
      </c>
      <c r="Q1813" s="8" t="inlineStr">
        <is>
          <t>python, kubernetes, git, c</t>
        </is>
      </c>
      <c r="R1813" s="8" t="inlineStr">
        <is>
          <t>Platform Engineer Docker Kubernetes Python</t>
        </is>
      </c>
      <c r="S1813" s="19" t="n"/>
      <c r="T1813" s="19" t="n"/>
      <c r="U1813" s="14" t="n">
        <v>46193</v>
      </c>
      <c r="V1813" s="7" t="inlineStr">
        <is>
          <t>v2-cv-accuracy-13b988b18da8ea7d</t>
        </is>
      </c>
    </row>
    <row r="1814" ht="28" customHeight="1">
      <c r="A1814" s="12">
        <f>IF($L1814="applied","Applied",IF($L1814="interview","Interview",IF($L1814="offer","Offer",IF($L1814="rejected","Rejected",IF($L1814="ignore","Ignore",IF($L1814="archive","Archive",IF($L1814="closed","Closed",IF($B1814="","Unscored",IF(AND($B1814&gt;=8,OR($H1814="",$H1814-TODAY()&lt;=14)),"P1 Apply",IF($B1814&gt;=7,"P2 Strong",IF($B1814&gt;=5,"P3 Maybe","P4 Low")))))))))))</f>
        <v/>
      </c>
      <c r="B1814" s="13" t="n">
        <v>0</v>
      </c>
      <c r="C1814" s="12" t="inlineStr">
        <is>
          <t>Senior/Lead</t>
        </is>
      </c>
      <c r="D1814" s="8" t="inlineStr">
        <is>
          <t>Staff SerDes Design Engineer - DSP</t>
        </is>
      </c>
      <c r="E1814" s="7" t="inlineStr">
        <is>
          <t>AMD</t>
        </is>
      </c>
      <c r="F1814" s="8" t="inlineStr">
        <is>
          <t>Penicuik, Scotland, UK</t>
        </is>
      </c>
      <c r="G1814" s="8" t="n"/>
      <c r="H1814" s="14" t="n"/>
      <c r="I1814" s="15">
        <f>IF($H1814="","",$H1814-TODAY())</f>
        <v/>
      </c>
      <c r="J1814" s="16" t="inlineStr">
        <is>
          <t>Open posting</t>
        </is>
      </c>
      <c r="K1814" s="8" t="inlineStr">
        <is>
          <t>filtered by keyword pre-scan</t>
        </is>
      </c>
      <c r="L1814" s="17" t="inlineStr">
        <is>
          <t>new</t>
        </is>
      </c>
      <c r="M1814" s="18" t="inlineStr"/>
      <c r="N1814" s="7" t="inlineStr">
        <is>
          <t>67c20f3a13c429493f1d486cc7a3c4a8b6088a2a</t>
        </is>
      </c>
      <c r="O1814" s="14" t="n">
        <v>46191</v>
      </c>
      <c r="P1814" s="7" t="inlineStr">
        <is>
          <t>jobspy</t>
        </is>
      </c>
      <c r="Q1814" s="8" t="inlineStr">
        <is>
          <t>verilog, git, c, embedded systems, digital design</t>
        </is>
      </c>
      <c r="R1814" s="8" t="inlineStr">
        <is>
          <t>Signal Processing Engineer DSP FPGA</t>
        </is>
      </c>
      <c r="S1814" s="19" t="n"/>
      <c r="T1814" s="19" t="n"/>
      <c r="U1814" s="14" t="n">
        <v>46193</v>
      </c>
      <c r="V1814" s="7" t="inlineStr">
        <is>
          <t>v2-cv-accuracy-13b988b18da8ea7d</t>
        </is>
      </c>
    </row>
    <row r="1815" ht="28" customHeight="1">
      <c r="A1815" s="12">
        <f>IF($L1815="applied","Applied",IF($L1815="interview","Interview",IF($L1815="offer","Offer",IF($L1815="rejected","Rejected",IF($L1815="ignore","Ignore",IF($L1815="archive","Archive",IF($L1815="closed","Closed",IF($B1815="","Unscored",IF(AND($B1815&gt;=8,OR($H1815="",$H1815-TODAY()&lt;=14)),"P1 Apply",IF($B1815&gt;=7,"P2 Strong",IF($B1815&gt;=5,"P3 Maybe","P4 Low")))))))))))</f>
        <v/>
      </c>
      <c r="B1815" s="13" t="n">
        <v>0</v>
      </c>
      <c r="C1815" s="12" t="inlineStr">
        <is>
          <t>Senior/Lead</t>
        </is>
      </c>
      <c r="D1815" s="8" t="inlineStr">
        <is>
          <t>Verification / Senior Verification Engineer</t>
        </is>
      </c>
      <c r="E1815" s="7" t="inlineStr">
        <is>
          <t>Riverlane</t>
        </is>
      </c>
      <c r="F1815" s="8" t="inlineStr">
        <is>
          <t>Cambridge, England, UK</t>
        </is>
      </c>
      <c r="G1815" s="8" t="n"/>
      <c r="H1815" s="14" t="n"/>
      <c r="I1815" s="15">
        <f>IF($H1815="","",$H1815-TODAY())</f>
        <v/>
      </c>
      <c r="J1815" s="16" t="inlineStr">
        <is>
          <t>Open posting</t>
        </is>
      </c>
      <c r="K1815" s="8" t="inlineStr">
        <is>
          <t>filtered by keyword pre-scan</t>
        </is>
      </c>
      <c r="L1815" s="17" t="inlineStr">
        <is>
          <t>new</t>
        </is>
      </c>
      <c r="M1815" s="18" t="inlineStr"/>
      <c r="N1815" s="7" t="inlineStr">
        <is>
          <t>11147f440fdff86440475a8e2588cda047d99f95</t>
        </is>
      </c>
      <c r="O1815" s="14" t="n">
        <v>46184</v>
      </c>
      <c r="P1815" s="7" t="inlineStr">
        <is>
          <t>jobspy</t>
        </is>
      </c>
      <c r="Q1815" s="8" t="inlineStr">
        <is>
          <t>python, verilog, c, hardware design</t>
        </is>
      </c>
      <c r="R1815" s="8" t="inlineStr">
        <is>
          <t>Verification Engineer FPGA Verilog digital</t>
        </is>
      </c>
      <c r="S1815" s="19" t="n"/>
      <c r="T1815" s="19" t="n"/>
      <c r="U1815" s="14" t="n">
        <v>46193</v>
      </c>
      <c r="V1815" s="7" t="inlineStr">
        <is>
          <t>v2-cv-accuracy-13b988b18da8ea7d</t>
        </is>
      </c>
    </row>
    <row r="1816" ht="28" customHeight="1">
      <c r="A1816" s="12">
        <f>IF($L1816="applied","Applied",IF($L1816="interview","Interview",IF($L1816="offer","Offer",IF($L1816="rejected","Rejected",IF($L1816="ignore","Ignore",IF($L1816="archive","Archive",IF($L1816="closed","Closed",IF($B1816="","Unscored",IF(AND($B1816&gt;=8,OR($H1816="",$H1816-TODAY()&lt;=14)),"P1 Apply",IF($B1816&gt;=7,"P2 Strong",IF($B1816&gt;=5,"P3 Maybe","P4 Low")))))))))))</f>
        <v/>
      </c>
      <c r="B1816" s="13" t="n">
        <v>0</v>
      </c>
      <c r="C1816" s="12" t="inlineStr">
        <is>
          <t>Senior/Lead</t>
        </is>
      </c>
      <c r="D1816" s="8" t="inlineStr">
        <is>
          <t>Senior Backend Software Engineer (Python)</t>
        </is>
      </c>
      <c r="E1816" s="7" t="inlineStr">
        <is>
          <t>Anaplan</t>
        </is>
      </c>
      <c r="F1816" s="8" t="inlineStr">
        <is>
          <t>Manchester, ENG, GB</t>
        </is>
      </c>
      <c r="G1816" s="8" t="n"/>
      <c r="H1816" s="14" t="n"/>
      <c r="I1816" s="15">
        <f>IF($H1816="","",$H1816-TODAY())</f>
        <v/>
      </c>
      <c r="J1816" s="16" t="inlineStr">
        <is>
          <t>Open posting</t>
        </is>
      </c>
      <c r="K1816" s="8" t="inlineStr">
        <is>
          <t>filtered by keyword pre-scan</t>
        </is>
      </c>
      <c r="L1816" s="17" t="inlineStr">
        <is>
          <t>new</t>
        </is>
      </c>
      <c r="M1816" s="18" t="inlineStr"/>
      <c r="N1816" s="7" t="inlineStr">
        <is>
          <t>c0449476fe95b0caba969723b260aa9b608e86ed</t>
        </is>
      </c>
      <c r="O1816" s="14" t="n">
        <v>46185</v>
      </c>
      <c r="P1816" s="7" t="inlineStr">
        <is>
          <t>jobspy</t>
        </is>
      </c>
      <c r="Q1816" s="8" t="inlineStr">
        <is>
          <t>python, kubernetes, c</t>
        </is>
      </c>
      <c r="R1816" s="8" t="inlineStr">
        <is>
          <t>Junior Software Engineer Python backend</t>
        </is>
      </c>
      <c r="S1816" s="19" t="n"/>
      <c r="T1816" s="19" t="n"/>
      <c r="U1816" s="14" t="n">
        <v>46193</v>
      </c>
      <c r="V1816" s="7" t="inlineStr">
        <is>
          <t>v2-cv-accuracy-13b988b18da8ea7d</t>
        </is>
      </c>
    </row>
    <row r="1817" ht="28" customHeight="1">
      <c r="A1817" s="12">
        <f>IF($L1817="applied","Applied",IF($L1817="interview","Interview",IF($L1817="offer","Offer",IF($L1817="rejected","Rejected",IF($L1817="ignore","Ignore",IF($L1817="archive","Archive",IF($L1817="closed","Closed",IF($B1817="","Unscored",IF(AND($B1817&gt;=8,OR($H1817="",$H1817-TODAY()&lt;=14)),"P1 Apply",IF($B1817&gt;=7,"P2 Strong",IF($B1817&gt;=5,"P3 Maybe","P4 Low")))))))))))</f>
        <v/>
      </c>
      <c r="B1817" s="13" t="n">
        <v>0</v>
      </c>
      <c r="C1817" s="12" t="inlineStr">
        <is>
          <t>Senior/Lead</t>
        </is>
      </c>
      <c r="D1817" s="8" t="inlineStr">
        <is>
          <t>Senior Golang Software Engineer</t>
        </is>
      </c>
      <c r="E1817" s="7" t="inlineStr">
        <is>
          <t>Infosum</t>
        </is>
      </c>
      <c r="F1817" s="8" t="inlineStr">
        <is>
          <t>Basingstoke, ENG, GB</t>
        </is>
      </c>
      <c r="G1817" s="8" t="n"/>
      <c r="H1817" s="14" t="n"/>
      <c r="I1817" s="15">
        <f>IF($H1817="","",$H1817-TODAY())</f>
        <v/>
      </c>
      <c r="J1817" s="16" t="inlineStr">
        <is>
          <t>Open posting</t>
        </is>
      </c>
      <c r="K1817" s="8" t="inlineStr">
        <is>
          <t>filtered by keyword pre-scan</t>
        </is>
      </c>
      <c r="L1817" s="17" t="inlineStr">
        <is>
          <t>new</t>
        </is>
      </c>
      <c r="M1817" s="18" t="inlineStr"/>
      <c r="N1817" s="7" t="inlineStr">
        <is>
          <t>87b37f1588af2b2c6b19eec7ca312efb341e49d3</t>
        </is>
      </c>
      <c r="O1817" s="14" t="n">
        <v>46183</v>
      </c>
      <c r="P1817" s="7" t="inlineStr">
        <is>
          <t>jobspy</t>
        </is>
      </c>
      <c r="Q1817" s="8" t="inlineStr">
        <is>
          <t>python, sql, docker, kubernetes, c</t>
        </is>
      </c>
      <c r="R1817" s="8" t="inlineStr">
        <is>
          <t>Junior Software Engineer Python backend</t>
        </is>
      </c>
      <c r="S1817" s="19" t="n"/>
      <c r="T1817" s="19" t="n"/>
      <c r="U1817" s="14" t="n">
        <v>46193</v>
      </c>
      <c r="V1817" s="7" t="inlineStr">
        <is>
          <t>v2-cv-accuracy-13b988b18da8ea7d</t>
        </is>
      </c>
    </row>
    <row r="1818" ht="28" customHeight="1">
      <c r="A1818" s="12">
        <f>IF($L1818="applied","Applied",IF($L1818="interview","Interview",IF($L1818="offer","Offer",IF($L1818="rejected","Rejected",IF($L1818="ignore","Ignore",IF($L1818="archive","Archive",IF($L1818="closed","Closed",IF($B1818="","Unscored",IF(AND($B1818&gt;=8,OR($H1818="",$H1818-TODAY()&lt;=14)),"P1 Apply",IF($B1818&gt;=7,"P2 Strong",IF($B1818&gt;=5,"P3 Maybe","P4 Low")))))))))))</f>
        <v/>
      </c>
      <c r="B1818" s="13" t="n">
        <v>0</v>
      </c>
      <c r="C1818" s="12" t="inlineStr">
        <is>
          <t>Senior/Lead</t>
        </is>
      </c>
      <c r="D1818" s="8" t="inlineStr">
        <is>
          <t>Staff Software Engineer, Platform Engineering</t>
        </is>
      </c>
      <c r="E1818" s="7" t="inlineStr">
        <is>
          <t>CommandLink</t>
        </is>
      </c>
      <c r="F1818" s="8" t="inlineStr">
        <is>
          <t>Remote, GB</t>
        </is>
      </c>
      <c r="G1818" s="8" t="n"/>
      <c r="H1818" s="14" t="n"/>
      <c r="I1818" s="15">
        <f>IF($H1818="","",$H1818-TODAY())</f>
        <v/>
      </c>
      <c r="J1818" s="16" t="inlineStr">
        <is>
          <t>Open posting</t>
        </is>
      </c>
      <c r="K1818" s="8" t="inlineStr">
        <is>
          <t>filtered by keyword pre-scan</t>
        </is>
      </c>
      <c r="L1818" s="17" t="inlineStr">
        <is>
          <t>new</t>
        </is>
      </c>
      <c r="M1818" s="18" t="inlineStr"/>
      <c r="N1818" s="7" t="inlineStr">
        <is>
          <t>a213c780307c88eed3361d944a60dc87499d260d</t>
        </is>
      </c>
      <c r="O1818" s="14" t="n">
        <v>46183</v>
      </c>
      <c r="P1818" s="7" t="inlineStr">
        <is>
          <t>jobspy</t>
        </is>
      </c>
      <c r="Q1818" s="8" t="inlineStr">
        <is>
          <t>python, c</t>
        </is>
      </c>
      <c r="R1818" s="8" t="inlineStr">
        <is>
          <t>Junior Software Engineer Python backend</t>
        </is>
      </c>
      <c r="S1818" s="19" t="n"/>
      <c r="T1818" s="19" t="n"/>
      <c r="U1818" s="14" t="n">
        <v>46193</v>
      </c>
      <c r="V1818" s="7" t="inlineStr">
        <is>
          <t>v2-cv-accuracy-13b988b18da8ea7d</t>
        </is>
      </c>
    </row>
    <row r="1819" ht="28" customHeight="1">
      <c r="A1819" s="12">
        <f>IF($L1819="applied","Applied",IF($L1819="interview","Interview",IF($L1819="offer","Offer",IF($L1819="rejected","Rejected",IF($L1819="ignore","Ignore",IF($L1819="archive","Archive",IF($L1819="closed","Closed",IF($B1819="","Unscored",IF(AND($B1819&gt;=8,OR($H1819="",$H1819-TODAY()&lt;=14)),"P1 Apply",IF($B1819&gt;=7,"P2 Strong",IF($B1819&gt;=5,"P3 Maybe","P4 Low")))))))))))</f>
        <v/>
      </c>
      <c r="B1819" s="13" t="n">
        <v>0</v>
      </c>
      <c r="C1819" s="12" t="inlineStr">
        <is>
          <t>Senior/Lead</t>
        </is>
      </c>
      <c r="D1819" s="8" t="inlineStr">
        <is>
          <t>Staff Software Engineer - Data Solutions &amp; Measurement</t>
        </is>
      </c>
      <c r="E1819" s="7" t="inlineStr">
        <is>
          <t>CINT</t>
        </is>
      </c>
      <c r="F1819" s="8" t="inlineStr">
        <is>
          <t>Remote, GB</t>
        </is>
      </c>
      <c r="G1819" s="8" t="n"/>
      <c r="H1819" s="14" t="n"/>
      <c r="I1819" s="15">
        <f>IF($H1819="","",$H1819-TODAY())</f>
        <v/>
      </c>
      <c r="J1819" s="16" t="inlineStr">
        <is>
          <t>Open posting</t>
        </is>
      </c>
      <c r="K1819" s="8" t="inlineStr">
        <is>
          <t>filtered by keyword pre-scan</t>
        </is>
      </c>
      <c r="L1819" s="17" t="inlineStr">
        <is>
          <t>new</t>
        </is>
      </c>
      <c r="M1819" s="18" t="inlineStr"/>
      <c r="N1819" s="7" t="inlineStr">
        <is>
          <t>a40c94b062da9d54cf2335155079eb73de1acd33</t>
        </is>
      </c>
      <c r="O1819" s="14" t="n">
        <v>46178</v>
      </c>
      <c r="P1819" s="7" t="inlineStr">
        <is>
          <t>jobspy</t>
        </is>
      </c>
      <c r="Q1819" s="8" t="inlineStr">
        <is>
          <t>python, sql, docker, git, c</t>
        </is>
      </c>
      <c r="R1819" s="8" t="inlineStr">
        <is>
          <t>Junior Software Engineer Python backend</t>
        </is>
      </c>
      <c r="S1819" s="19" t="n"/>
      <c r="T1819" s="19" t="n"/>
      <c r="U1819" s="14" t="n">
        <v>46193</v>
      </c>
      <c r="V1819" s="7" t="inlineStr">
        <is>
          <t>v2-cv-accuracy-13b988b18da8ea7d</t>
        </is>
      </c>
    </row>
    <row r="1820" ht="28" customHeight="1">
      <c r="A1820" s="12">
        <f>IF($L1820="applied","Applied",IF($L1820="interview","Interview",IF($L1820="offer","Offer",IF($L1820="rejected","Rejected",IF($L1820="ignore","Ignore",IF($L1820="archive","Archive",IF($L1820="closed","Closed",IF($B1820="","Unscored",IF(AND($B1820&gt;=8,OR($H1820="",$H1820-TODAY()&lt;=14)),"P1 Apply",IF($B1820&gt;=7,"P2 Strong",IF($B1820&gt;=5,"P3 Maybe","P4 Low")))))))))))</f>
        <v/>
      </c>
      <c r="B1820" s="13" t="n">
        <v>0</v>
      </c>
      <c r="C1820" s="12" t="inlineStr">
        <is>
          <t>Senior/Lead</t>
        </is>
      </c>
      <c r="D1820" s="8" t="inlineStr">
        <is>
          <t>Staff Software Engineer</t>
        </is>
      </c>
      <c r="E1820" s="7" t="inlineStr">
        <is>
          <t>Opus 2 International</t>
        </is>
      </c>
      <c r="F1820" s="8" t="inlineStr">
        <is>
          <t>Edinburgh, SCT, GB</t>
        </is>
      </c>
      <c r="G1820" s="8" t="n"/>
      <c r="H1820" s="14" t="n"/>
      <c r="I1820" s="15">
        <f>IF($H1820="","",$H1820-TODAY())</f>
        <v/>
      </c>
      <c r="J1820" s="16" t="inlineStr">
        <is>
          <t>Open posting</t>
        </is>
      </c>
      <c r="K1820" s="8" t="inlineStr">
        <is>
          <t>filtered by keyword pre-scan</t>
        </is>
      </c>
      <c r="L1820" s="17" t="inlineStr">
        <is>
          <t>new</t>
        </is>
      </c>
      <c r="M1820" s="18" t="inlineStr"/>
      <c r="N1820" s="7" t="inlineStr">
        <is>
          <t>883c916d644f0950415c610b31e64dc0fa54d560</t>
        </is>
      </c>
      <c r="O1820" s="14" t="n">
        <v>46178</v>
      </c>
      <c r="P1820" s="7" t="inlineStr">
        <is>
          <t>jobspy</t>
        </is>
      </c>
      <c r="Q1820" s="8" t="inlineStr">
        <is>
          <t>python, kubernetes, c</t>
        </is>
      </c>
      <c r="R1820" s="8" t="inlineStr">
        <is>
          <t>Junior Software Engineer Python backend</t>
        </is>
      </c>
      <c r="S1820" s="19" t="n"/>
      <c r="T1820" s="19" t="n"/>
      <c r="U1820" s="14" t="n">
        <v>46193</v>
      </c>
      <c r="V1820" s="7" t="inlineStr">
        <is>
          <t>v2-cv-accuracy-13b988b18da8ea7d</t>
        </is>
      </c>
    </row>
    <row r="1821" ht="28" customHeight="1">
      <c r="A1821" s="12">
        <f>IF($L1821="applied","Applied",IF($L1821="interview","Interview",IF($L1821="offer","Offer",IF($L1821="rejected","Rejected",IF($L1821="ignore","Ignore",IF($L1821="archive","Archive",IF($L1821="closed","Closed",IF($B1821="","Unscored",IF(AND($B1821&gt;=8,OR($H1821="",$H1821-TODAY()&lt;=14)),"P1 Apply",IF($B1821&gt;=7,"P2 Strong",IF($B1821&gt;=5,"P3 Maybe","P4 Low")))))))))))</f>
        <v/>
      </c>
      <c r="B1821" s="13" t="n">
        <v>0</v>
      </c>
      <c r="C1821" s="12" t="inlineStr">
        <is>
          <t>Senior/Lead</t>
        </is>
      </c>
      <c r="D1821" s="8" t="inlineStr">
        <is>
          <t>Senior Software Engineer</t>
        </is>
      </c>
      <c r="E1821" s="7" t="inlineStr">
        <is>
          <t>Opus 2 International</t>
        </is>
      </c>
      <c r="F1821" s="8" t="inlineStr">
        <is>
          <t>Edinburgh, SCT, GB</t>
        </is>
      </c>
      <c r="G1821" s="8" t="n"/>
      <c r="H1821" s="14" t="n"/>
      <c r="I1821" s="15">
        <f>IF($H1821="","",$H1821-TODAY())</f>
        <v/>
      </c>
      <c r="J1821" s="16" t="inlineStr">
        <is>
          <t>Open posting</t>
        </is>
      </c>
      <c r="K1821" s="8" t="inlineStr">
        <is>
          <t>filtered by keyword pre-scan</t>
        </is>
      </c>
      <c r="L1821" s="17" t="inlineStr">
        <is>
          <t>new</t>
        </is>
      </c>
      <c r="M1821" s="18" t="inlineStr"/>
      <c r="N1821" s="7" t="inlineStr">
        <is>
          <t>46efa3642cb27be765fadc92a2b287de6a58ead6</t>
        </is>
      </c>
      <c r="O1821" s="14" t="n">
        <v>46178</v>
      </c>
      <c r="P1821" s="7" t="inlineStr">
        <is>
          <t>jobspy</t>
        </is>
      </c>
      <c r="Q1821" s="8" t="inlineStr">
        <is>
          <t>python, kubernetes, c</t>
        </is>
      </c>
      <c r="R1821" s="8" t="inlineStr">
        <is>
          <t>Junior Software Engineer Python backend</t>
        </is>
      </c>
      <c r="S1821" s="19" t="n"/>
      <c r="T1821" s="19" t="n"/>
      <c r="U1821" s="14" t="n">
        <v>46193</v>
      </c>
      <c r="V1821" s="7" t="inlineStr">
        <is>
          <t>v2-cv-accuracy-13b988b18da8ea7d</t>
        </is>
      </c>
    </row>
    <row r="1822" ht="28" customHeight="1">
      <c r="A1822" s="12">
        <f>IF($L1822="applied","Applied",IF($L1822="interview","Interview",IF($L1822="offer","Offer",IF($L1822="rejected","Rejected",IF($L1822="ignore","Ignore",IF($L1822="archive","Archive",IF($L1822="closed","Closed",IF($B1822="","Unscored",IF(AND($B1822&gt;=8,OR($H1822="",$H1822-TODAY()&lt;=14)),"P1 Apply",IF($B1822&gt;=7,"P2 Strong",IF($B1822&gt;=5,"P3 Maybe","P4 Low")))))))))))</f>
        <v/>
      </c>
      <c r="B1822" s="13" t="n">
        <v>0</v>
      </c>
      <c r="C1822" s="12" t="inlineStr">
        <is>
          <t>Senior/Lead</t>
        </is>
      </c>
      <c r="D1822" s="8" t="inlineStr">
        <is>
          <t>Senior Platform Engineer - Core - Platform (UK)</t>
        </is>
      </c>
      <c r="E1822" s="7" t="inlineStr">
        <is>
          <t>Fanatics Betting &amp; Gaming</t>
        </is>
      </c>
      <c r="F1822" s="8" t="inlineStr">
        <is>
          <t>London, ENG, GB</t>
        </is>
      </c>
      <c r="G1822" s="8" t="n"/>
      <c r="H1822" s="14" t="n"/>
      <c r="I1822" s="15">
        <f>IF($H1822="","",$H1822-TODAY())</f>
        <v/>
      </c>
      <c r="J1822" s="16" t="inlineStr">
        <is>
          <t>Open posting</t>
        </is>
      </c>
      <c r="K1822" s="8" t="inlineStr">
        <is>
          <t>filtered by keyword pre-scan</t>
        </is>
      </c>
      <c r="L1822" s="17" t="inlineStr">
        <is>
          <t>new</t>
        </is>
      </c>
      <c r="M1822" s="18" t="inlineStr"/>
      <c r="N1822" s="7" t="inlineStr">
        <is>
          <t>7816a5e3dc750c0b8b43141368f8b736eeefba22</t>
        </is>
      </c>
      <c r="O1822" s="14" t="n">
        <v>46178</v>
      </c>
      <c r="P1822" s="7" t="inlineStr">
        <is>
          <t>jobspy</t>
        </is>
      </c>
      <c r="Q1822" s="8" t="inlineStr">
        <is>
          <t>python, kubernetes, git, c, backend development</t>
        </is>
      </c>
      <c r="R1822" s="8" t="inlineStr">
        <is>
          <t>Junior Software Engineer Python backend</t>
        </is>
      </c>
      <c r="S1822" s="19" t="n"/>
      <c r="T1822" s="19" t="n"/>
      <c r="U1822" s="14" t="n">
        <v>46193</v>
      </c>
      <c r="V1822" s="7" t="inlineStr">
        <is>
          <t>v2-cv-accuracy-13b988b18da8ea7d</t>
        </is>
      </c>
    </row>
    <row r="1823" ht="28" customHeight="1">
      <c r="A1823" s="12">
        <f>IF($L1823="applied","Applied",IF($L1823="interview","Interview",IF($L1823="offer","Offer",IF($L1823="rejected","Rejected",IF($L1823="ignore","Ignore",IF($L1823="archive","Archive",IF($L1823="closed","Closed",IF($B1823="","Unscored",IF(AND($B1823&gt;=8,OR($H1823="",$H1823-TODAY()&lt;=14)),"P1 Apply",IF($B1823&gt;=7,"P2 Strong",IF($B1823&gt;=5,"P3 Maybe","P4 Low")))))))))))</f>
        <v/>
      </c>
      <c r="B1823" s="13" t="n">
        <v>0</v>
      </c>
      <c r="C1823" s="12" t="inlineStr">
        <is>
          <t>Senior/Lead</t>
        </is>
      </c>
      <c r="D1823" s="8" t="inlineStr">
        <is>
          <t>Senior Software Engineer (Backend)</t>
        </is>
      </c>
      <c r="E1823" s="7" t="inlineStr">
        <is>
          <t>4C Strategies</t>
        </is>
      </c>
      <c r="F1823" s="8" t="inlineStr">
        <is>
          <t>Warminster, ENG, GB</t>
        </is>
      </c>
      <c r="G1823" s="8" t="n"/>
      <c r="H1823" s="14" t="n"/>
      <c r="I1823" s="15">
        <f>IF($H1823="","",$H1823-TODAY())</f>
        <v/>
      </c>
      <c r="J1823" s="16" t="inlineStr">
        <is>
          <t>Open posting</t>
        </is>
      </c>
      <c r="K1823" s="8" t="inlineStr">
        <is>
          <t>filtered by keyword pre-scan</t>
        </is>
      </c>
      <c r="L1823" s="17" t="inlineStr">
        <is>
          <t>new</t>
        </is>
      </c>
      <c r="M1823" s="18" t="inlineStr"/>
      <c r="N1823" s="7" t="inlineStr">
        <is>
          <t>3c759d513afbbeb80fb98a56a0f58dc2e9405f73</t>
        </is>
      </c>
      <c r="O1823" s="14" t="n">
        <v>46176</v>
      </c>
      <c r="P1823" s="7" t="inlineStr">
        <is>
          <t>jobspy</t>
        </is>
      </c>
      <c r="Q1823" s="8" t="inlineStr">
        <is>
          <t>python, sql, c</t>
        </is>
      </c>
      <c r="R1823" s="8" t="inlineStr">
        <is>
          <t>Junior Software Engineer Python backend</t>
        </is>
      </c>
      <c r="S1823" s="19" t="n"/>
      <c r="T1823" s="19" t="n"/>
      <c r="U1823" s="14" t="n">
        <v>46193</v>
      </c>
      <c r="V1823" s="7" t="inlineStr">
        <is>
          <t>v2-cv-accuracy-13b988b18da8ea7d</t>
        </is>
      </c>
    </row>
    <row r="1824" ht="28" customHeight="1">
      <c r="A1824" s="12">
        <f>IF($L1824="applied","Applied",IF($L1824="interview","Interview",IF($L1824="offer","Offer",IF($L1824="rejected","Rejected",IF($L1824="ignore","Ignore",IF($L1824="archive","Archive",IF($L1824="closed","Closed",IF($B1824="","Unscored",IF(AND($B1824&gt;=8,OR($H1824="",$H1824-TODAY()&lt;=14)),"P1 Apply",IF($B1824&gt;=7,"P2 Strong",IF($B1824&gt;=5,"P3 Maybe","P4 Low")))))))))))</f>
        <v/>
      </c>
      <c r="B1824" s="13" t="n">
        <v>0</v>
      </c>
      <c r="C1824" s="12" t="inlineStr">
        <is>
          <t>Senior/Lead</t>
        </is>
      </c>
      <c r="D1824" s="8" t="inlineStr">
        <is>
          <t>Principal AI Performance Engineer</t>
        </is>
      </c>
      <c r="E1824" s="7" t="inlineStr">
        <is>
          <t>Graphcore</t>
        </is>
      </c>
      <c r="F1824" s="8" t="inlineStr">
        <is>
          <t>US - Milpitas</t>
        </is>
      </c>
      <c r="G1824" s="8" t="n"/>
      <c r="H1824" s="14" t="n"/>
      <c r="I1824" s="15">
        <f>IF($H1824="","",$H1824-TODAY())</f>
        <v/>
      </c>
      <c r="J1824" s="16" t="inlineStr">
        <is>
          <t>Open posting</t>
        </is>
      </c>
      <c r="K1824" s="8" t="inlineStr">
        <is>
          <t>filtered by keyword pre-scan</t>
        </is>
      </c>
      <c r="L1824" s="17" t="inlineStr">
        <is>
          <t>new</t>
        </is>
      </c>
      <c r="M1824" s="18" t="inlineStr"/>
      <c r="N1824" s="7" t="inlineStr">
        <is>
          <t>0ced0185cd58032d2a7fe2a4c33413ce5381d6a7</t>
        </is>
      </c>
      <c r="O1824" s="14" t="n">
        <v>46191</v>
      </c>
      <c r="P1824" s="7" t="inlineStr">
        <is>
          <t>greenhouse:graphcore</t>
        </is>
      </c>
      <c r="Q1824" s="8" t="inlineStr">
        <is>
          <t>python</t>
        </is>
      </c>
      <c r="R1824" s="8" t="n"/>
      <c r="S1824" s="19" t="n"/>
      <c r="T1824" s="19" t="n"/>
      <c r="U1824" s="14" t="n">
        <v>46192</v>
      </c>
      <c r="V1824" s="7" t="inlineStr">
        <is>
          <t>v2-cv-accuracy-13b988b18da8ea7d</t>
        </is>
      </c>
    </row>
    <row r="1825" ht="28" customHeight="1">
      <c r="A1825" s="12">
        <f>IF($L1825="applied","Applied",IF($L1825="interview","Interview",IF($L1825="offer","Offer",IF($L1825="rejected","Rejected",IF($L1825="ignore","Ignore",IF($L1825="archive","Archive",IF($L1825="closed","Closed",IF($B1825="","Unscored",IF(AND($B1825&gt;=8,OR($H1825="",$H1825-TODAY()&lt;=14)),"P1 Apply",IF($B1825&gt;=7,"P2 Strong",IF($B1825&gt;=5,"P3 Maybe","P4 Low")))))))))))</f>
        <v/>
      </c>
      <c r="B1825" s="13" t="n">
        <v>0</v>
      </c>
      <c r="C1825" s="12" t="inlineStr">
        <is>
          <t>Senior/Lead</t>
        </is>
      </c>
      <c r="D1825" s="8" t="inlineStr">
        <is>
          <t>Staff Debug Validation Engineer</t>
        </is>
      </c>
      <c r="E1825" s="7" t="inlineStr">
        <is>
          <t>Graphcore</t>
        </is>
      </c>
      <c r="F1825" s="8" t="inlineStr">
        <is>
          <t>Bengaluru, India</t>
        </is>
      </c>
      <c r="G1825" s="8" t="n"/>
      <c r="H1825" s="14" t="n"/>
      <c r="I1825" s="15">
        <f>IF($H1825="","",$H1825-TODAY())</f>
        <v/>
      </c>
      <c r="J1825" s="16" t="inlineStr">
        <is>
          <t>Open posting</t>
        </is>
      </c>
      <c r="K1825" s="8" t="inlineStr">
        <is>
          <t>filtered by keyword pre-scan</t>
        </is>
      </c>
      <c r="L1825" s="17" t="inlineStr">
        <is>
          <t>new</t>
        </is>
      </c>
      <c r="M1825" s="18" t="inlineStr"/>
      <c r="N1825" s="7" t="inlineStr">
        <is>
          <t>7a6fac8ff40a8349a00d1a54df76268825489225</t>
        </is>
      </c>
      <c r="O1825" s="14" t="n">
        <v>46192</v>
      </c>
      <c r="P1825" s="7" t="inlineStr">
        <is>
          <t>greenhouse:graphcore</t>
        </is>
      </c>
      <c r="Q1825" s="8" t="inlineStr">
        <is>
          <t>python, git</t>
        </is>
      </c>
      <c r="R1825" s="8" t="n"/>
      <c r="S1825" s="19" t="n"/>
      <c r="T1825" s="19" t="n"/>
      <c r="U1825" s="14" t="n">
        <v>46192</v>
      </c>
      <c r="V1825" s="7" t="inlineStr">
        <is>
          <t>v2-cv-accuracy-13b988b18da8ea7d</t>
        </is>
      </c>
    </row>
    <row r="1826" ht="28" customHeight="1">
      <c r="A1826" s="12">
        <f>IF($L1826="applied","Applied",IF($L1826="interview","Interview",IF($L1826="offer","Offer",IF($L1826="rejected","Rejected",IF($L1826="ignore","Ignore",IF($L1826="archive","Archive",IF($L1826="closed","Closed",IF($B1826="","Unscored",IF(AND($B1826&gt;=8,OR($H1826="",$H1826-TODAY()&lt;=14)),"P1 Apply",IF($B1826&gt;=7,"P2 Strong",IF($B1826&gt;=5,"P3 Maybe","P4 Low")))))))))))</f>
        <v/>
      </c>
      <c r="B1826" s="13" t="n">
        <v>0</v>
      </c>
      <c r="C1826" s="12" t="inlineStr">
        <is>
          <t>Senior/Lead</t>
        </is>
      </c>
      <c r="D1826" s="8" t="inlineStr">
        <is>
          <t>Senior Controls Manager, FTC</t>
        </is>
      </c>
      <c r="E1826" s="7" t="inlineStr">
        <is>
          <t>Monzo</t>
        </is>
      </c>
      <c r="F1826" s="8" t="inlineStr">
        <is>
          <t>London; Remote (UK)</t>
        </is>
      </c>
      <c r="G1826" s="8" t="n"/>
      <c r="H1826" s="14" t="n"/>
      <c r="I1826" s="15">
        <f>IF($H1826="","",$H1826-TODAY())</f>
        <v/>
      </c>
      <c r="J1826" s="16" t="inlineStr">
        <is>
          <t>Open posting</t>
        </is>
      </c>
      <c r="K1826" s="8" t="inlineStr">
        <is>
          <t>filtered by keyword pre-scan</t>
        </is>
      </c>
      <c r="L1826" s="17" t="inlineStr">
        <is>
          <t>new</t>
        </is>
      </c>
      <c r="M1826" s="18" t="inlineStr"/>
      <c r="N1826" s="7" t="inlineStr">
        <is>
          <t>87ba848be2f8782ef90bde6880b87519171e7a6d</t>
        </is>
      </c>
      <c r="O1826" s="14" t="n">
        <v>46192</v>
      </c>
      <c r="P1826" s="7" t="inlineStr">
        <is>
          <t>greenhouse:monzo</t>
        </is>
      </c>
      <c r="Q1826" s="8" t="inlineStr"/>
      <c r="R1826" s="8" t="n"/>
      <c r="S1826" s="19" t="n"/>
      <c r="T1826" s="19" t="n"/>
      <c r="U1826" s="14" t="n">
        <v>46192</v>
      </c>
      <c r="V1826" s="7" t="inlineStr">
        <is>
          <t>v2-cv-accuracy-13b988b18da8ea7d</t>
        </is>
      </c>
    </row>
    <row r="1827" ht="28" customHeight="1">
      <c r="A1827" s="12">
        <f>IF($L1827="applied","Applied",IF($L1827="interview","Interview",IF($L1827="offer","Offer",IF($L1827="rejected","Rejected",IF($L1827="ignore","Ignore",IF($L1827="archive","Archive",IF($L1827="closed","Closed",IF($B1827="","Unscored",IF(AND($B1827&gt;=8,OR($H1827="",$H1827-TODAY()&lt;=14)),"P1 Apply",IF($B1827&gt;=7,"P2 Strong",IF($B1827&gt;=5,"P3 Maybe","P4 Low")))))))))))</f>
        <v/>
      </c>
      <c r="B1827" s="13" t="n">
        <v>0</v>
      </c>
      <c r="C1827" s="12" t="inlineStr">
        <is>
          <t>Senior/Lead</t>
        </is>
      </c>
      <c r="D1827" s="8" t="inlineStr">
        <is>
          <t>Senior Data Engineer</t>
        </is>
      </c>
      <c r="E1827" s="7" t="inlineStr">
        <is>
          <t>Cloudflare</t>
        </is>
      </c>
      <c r="F1827" s="8" t="inlineStr">
        <is>
          <t>In-Office</t>
        </is>
      </c>
      <c r="G1827" s="8" t="n"/>
      <c r="H1827" s="14" t="n"/>
      <c r="I1827" s="15">
        <f>IF($H1827="","",$H1827-TODAY())</f>
        <v/>
      </c>
      <c r="J1827" s="16" t="inlineStr">
        <is>
          <t>Open posting</t>
        </is>
      </c>
      <c r="K1827" s="8" t="inlineStr">
        <is>
          <t>filtered by keyword pre-scan</t>
        </is>
      </c>
      <c r="L1827" s="17" t="inlineStr">
        <is>
          <t>new</t>
        </is>
      </c>
      <c r="M1827" s="18" t="inlineStr"/>
      <c r="N1827" s="7" t="inlineStr">
        <is>
          <t>c6059f850c138326c9bf18a1b78cac7a7a4a9df8</t>
        </is>
      </c>
      <c r="O1827" s="14" t="n">
        <v>46192</v>
      </c>
      <c r="P1827" s="7" t="inlineStr">
        <is>
          <t>greenhouse:cloudflare</t>
        </is>
      </c>
      <c r="Q1827" s="8" t="inlineStr"/>
      <c r="R1827" s="8" t="n"/>
      <c r="S1827" s="19" t="n"/>
      <c r="T1827" s="19" t="n"/>
      <c r="U1827" s="14" t="n">
        <v>46192</v>
      </c>
      <c r="V1827" s="7" t="inlineStr">
        <is>
          <t>v2-cv-accuracy-13b988b18da8ea7d</t>
        </is>
      </c>
    </row>
    <row r="1828" ht="28" customHeight="1">
      <c r="A1828" s="12">
        <f>IF($L1828="applied","Applied",IF($L1828="interview","Interview",IF($L1828="offer","Offer",IF($L1828="rejected","Rejected",IF($L1828="ignore","Ignore",IF($L1828="archive","Archive",IF($L1828="closed","Closed",IF($B1828="","Unscored",IF(AND($B1828&gt;=8,OR($H1828="",$H1828-TODAY()&lt;=14)),"P1 Apply",IF($B1828&gt;=7,"P2 Strong",IF($B1828&gt;=5,"P3 Maybe","P4 Low")))))))))))</f>
        <v/>
      </c>
      <c r="B1828" s="13" t="n">
        <v>0</v>
      </c>
      <c r="C1828" s="12" t="inlineStr">
        <is>
          <t>Unspecified</t>
        </is>
      </c>
      <c r="D1828" s="8" t="inlineStr">
        <is>
          <t>Engijneer 1</t>
        </is>
      </c>
      <c r="E1828" s="7" t="inlineStr">
        <is>
          <t>SiFive</t>
        </is>
      </c>
      <c r="F1828" s="8" t="inlineStr">
        <is>
          <t>Hyderabad, India</t>
        </is>
      </c>
      <c r="G1828" s="8" t="n"/>
      <c r="H1828" s="14" t="n"/>
      <c r="I1828" s="15">
        <f>IF($H1828="","",$H1828-TODAY())</f>
        <v/>
      </c>
      <c r="J1828" s="16" t="inlineStr">
        <is>
          <t>Open posting</t>
        </is>
      </c>
      <c r="K1828" s="8" t="inlineStr">
        <is>
          <t>filtered by keyword pre-scan</t>
        </is>
      </c>
      <c r="L1828" s="17" t="inlineStr">
        <is>
          <t>new</t>
        </is>
      </c>
      <c r="M1828" s="18" t="inlineStr"/>
      <c r="N1828" s="7" t="inlineStr">
        <is>
          <t>bde47c514bf19804c482c503dda2ee6c9da476ff</t>
        </is>
      </c>
      <c r="O1828" s="14" t="n"/>
      <c r="P1828" s="7" t="inlineStr">
        <is>
          <t>workday</t>
        </is>
      </c>
      <c r="Q1828" s="8" t="inlineStr"/>
      <c r="R1828" s="8" t="n"/>
      <c r="S1828" s="19" t="n"/>
      <c r="T1828" s="19" t="n"/>
      <c r="U1828" s="14" t="n">
        <v>46192</v>
      </c>
      <c r="V1828" s="7" t="inlineStr">
        <is>
          <t>v2-cv-accuracy-13b988b18da8ea7d</t>
        </is>
      </c>
    </row>
    <row r="1829" ht="28" customHeight="1">
      <c r="A1829" s="12">
        <f>IF($L1829="applied","Applied",IF($L1829="interview","Interview",IF($L1829="offer","Offer",IF($L1829="rejected","Rejected",IF($L1829="ignore","Ignore",IF($L1829="archive","Archive",IF($L1829="closed","Closed",IF($B1829="","Unscored",IF(AND($B1829&gt;=8,OR($H1829="",$H1829-TODAY()&lt;=14)),"P1 Apply",IF($B1829&gt;=7,"P2 Strong",IF($B1829&gt;=5,"P3 Maybe","P4 Low")))))))))))</f>
        <v/>
      </c>
      <c r="B1829" s="13" t="n">
        <v>0</v>
      </c>
      <c r="C1829" s="12" t="inlineStr">
        <is>
          <t>Senior/Lead</t>
        </is>
      </c>
      <c r="D1829" s="8" t="inlineStr">
        <is>
          <t>Staff Engineer - Formal Verification</t>
        </is>
      </c>
      <c r="E1829" s="7" t="inlineStr">
        <is>
          <t>SiFive</t>
        </is>
      </c>
      <c r="F1829" s="8" t="inlineStr">
        <is>
          <t>Bengaluru, Karnataka, India</t>
        </is>
      </c>
      <c r="G1829" s="8" t="n"/>
      <c r="H1829" s="14" t="n"/>
      <c r="I1829" s="15">
        <f>IF($H1829="","",$H1829-TODAY())</f>
        <v/>
      </c>
      <c r="J1829" s="16" t="inlineStr">
        <is>
          <t>Open posting</t>
        </is>
      </c>
      <c r="K1829" s="8" t="inlineStr">
        <is>
          <t>filtered by keyword pre-scan</t>
        </is>
      </c>
      <c r="L1829" s="17" t="inlineStr">
        <is>
          <t>new</t>
        </is>
      </c>
      <c r="M1829" s="18" t="inlineStr"/>
      <c r="N1829" s="7" t="inlineStr">
        <is>
          <t>574f32e3897508a4b1c6ae2799ea3f5bac39943b</t>
        </is>
      </c>
      <c r="O1829" s="14" t="n"/>
      <c r="P1829" s="7" t="inlineStr">
        <is>
          <t>workday</t>
        </is>
      </c>
      <c r="Q1829" s="8" t="inlineStr"/>
      <c r="R1829" s="8" t="n"/>
      <c r="S1829" s="19" t="n"/>
      <c r="T1829" s="19" t="n"/>
      <c r="U1829" s="14" t="n">
        <v>46192</v>
      </c>
      <c r="V1829" s="7" t="inlineStr">
        <is>
          <t>v2-cv-accuracy-13b988b18da8ea7d</t>
        </is>
      </c>
    </row>
    <row r="1830" ht="28" customHeight="1">
      <c r="A1830" s="12">
        <f>IF($L1830="applied","Applied",IF($L1830="interview","Interview",IF($L1830="offer","Offer",IF($L1830="rejected","Rejected",IF($L1830="ignore","Ignore",IF($L1830="archive","Archive",IF($L1830="closed","Closed",IF($B1830="","Unscored",IF(AND($B1830&gt;=8,OR($H1830="",$H1830-TODAY()&lt;=14)),"P1 Apply",IF($B1830&gt;=7,"P2 Strong",IF($B1830&gt;=5,"P3 Maybe","P4 Low")))))))))))</f>
        <v/>
      </c>
      <c r="B1830" s="13" t="n">
        <v>0</v>
      </c>
      <c r="C1830" s="12" t="inlineStr">
        <is>
          <t>Unspecified</t>
        </is>
      </c>
      <c r="D1830" s="8" t="inlineStr">
        <is>
          <t>Rewards Partner – EMEA  (m/v/x)</t>
        </is>
      </c>
      <c r="E1830" s="7" t="inlineStr">
        <is>
          <t>Dyson</t>
        </is>
      </c>
      <c r="F1830" s="8" t="inlineStr">
        <is>
          <t>Netherlands - Amsterdam Office</t>
        </is>
      </c>
      <c r="G1830" s="8" t="n"/>
      <c r="H1830" s="14" t="n"/>
      <c r="I1830" s="15">
        <f>IF($H1830="","",$H1830-TODAY())</f>
        <v/>
      </c>
      <c r="J1830" s="16" t="inlineStr">
        <is>
          <t>Open posting</t>
        </is>
      </c>
      <c r="K1830" s="8" t="inlineStr">
        <is>
          <t>filtered by keyword pre-scan</t>
        </is>
      </c>
      <c r="L1830" s="17" t="inlineStr">
        <is>
          <t>new</t>
        </is>
      </c>
      <c r="M1830" s="18" t="inlineStr"/>
      <c r="N1830" s="7" t="inlineStr">
        <is>
          <t>7dd47d724d3125574f2b5d62ea211f2fd807d5d0</t>
        </is>
      </c>
      <c r="O1830" s="14" t="n"/>
      <c r="P1830" s="7" t="inlineStr">
        <is>
          <t>workday</t>
        </is>
      </c>
      <c r="Q1830" s="8" t="inlineStr"/>
      <c r="R1830" s="8" t="n"/>
      <c r="S1830" s="19" t="n"/>
      <c r="T1830" s="19" t="n"/>
      <c r="U1830" s="14" t="n">
        <v>46192</v>
      </c>
      <c r="V1830" s="7" t="inlineStr">
        <is>
          <t>v2-cv-accuracy-13b988b18da8ea7d</t>
        </is>
      </c>
    </row>
    <row r="1831" ht="28" customHeight="1">
      <c r="A1831" s="12">
        <f>IF($L1831="applied","Applied",IF($L1831="interview","Interview",IF($L1831="offer","Offer",IF($L1831="rejected","Rejected",IF($L1831="ignore","Ignore",IF($L1831="archive","Archive",IF($L1831="closed","Closed",IF($B1831="","Unscored",IF(AND($B1831&gt;=8,OR($H1831="",$H1831-TODAY()&lt;=14)),"P1 Apply",IF($B1831&gt;=7,"P2 Strong",IF($B1831&gt;=5,"P3 Maybe","P4 Low")))))))))))</f>
        <v/>
      </c>
      <c r="B1831" s="13" t="n">
        <v>0</v>
      </c>
      <c r="C1831" s="12" t="inlineStr">
        <is>
          <t>Manager/Owner</t>
        </is>
      </c>
      <c r="D1831" s="8" t="inlineStr">
        <is>
          <t>Profit Protection Manager (m/v/x)</t>
        </is>
      </c>
      <c r="E1831" s="7" t="inlineStr">
        <is>
          <t>Dyson</t>
        </is>
      </c>
      <c r="F1831" s="8" t="inlineStr">
        <is>
          <t>Netherlands - Amsterdam Office</t>
        </is>
      </c>
      <c r="G1831" s="8" t="n"/>
      <c r="H1831" s="14" t="n"/>
      <c r="I1831" s="15">
        <f>IF($H1831="","",$H1831-TODAY())</f>
        <v/>
      </c>
      <c r="J1831" s="16" t="inlineStr">
        <is>
          <t>Open posting</t>
        </is>
      </c>
      <c r="K1831" s="8" t="inlineStr">
        <is>
          <t>filtered by keyword pre-scan</t>
        </is>
      </c>
      <c r="L1831" s="17" t="inlineStr">
        <is>
          <t>new</t>
        </is>
      </c>
      <c r="M1831" s="18" t="inlineStr"/>
      <c r="N1831" s="7" t="inlineStr">
        <is>
          <t>e5d201f83a369ebdb6300c4aee4af8c61f9f579b</t>
        </is>
      </c>
      <c r="O1831" s="14" t="n"/>
      <c r="P1831" s="7" t="inlineStr">
        <is>
          <t>workday</t>
        </is>
      </c>
      <c r="Q1831" s="8" t="inlineStr"/>
      <c r="R1831" s="8" t="n"/>
      <c r="S1831" s="19" t="n"/>
      <c r="T1831" s="19" t="n"/>
      <c r="U1831" s="14" t="n">
        <v>46192</v>
      </c>
      <c r="V1831" s="7" t="inlineStr">
        <is>
          <t>v2-cv-accuracy-13b988b18da8ea7d</t>
        </is>
      </c>
    </row>
    <row r="1832" ht="28" customHeight="1">
      <c r="A1832" s="12">
        <f>IF($L1832="applied","Applied",IF($L1832="interview","Interview",IF($L1832="offer","Offer",IF($L1832="rejected","Rejected",IF($L1832="ignore","Ignore",IF($L1832="archive","Archive",IF($L1832="closed","Closed",IF($B1832="","Unscored",IF(AND($B1832&gt;=8,OR($H1832="",$H1832-TODAY()&lt;=14)),"P1 Apply",IF($B1832&gt;=7,"P2 Strong",IF($B1832&gt;=5,"P3 Maybe","P4 Low")))))))))))</f>
        <v/>
      </c>
      <c r="B1832" s="13" t="n">
        <v>0</v>
      </c>
      <c r="C1832" s="12" t="inlineStr">
        <is>
          <t>Unspecified</t>
        </is>
      </c>
      <c r="D1832" s="8" t="inlineStr">
        <is>
          <t>Platform Content Specialist - Dyson.com</t>
        </is>
      </c>
      <c r="E1832" s="7" t="inlineStr">
        <is>
          <t>Dyson</t>
        </is>
      </c>
      <c r="F1832" s="8" t="inlineStr">
        <is>
          <t>Netherlands - Amsterdam Office</t>
        </is>
      </c>
      <c r="G1832" s="8" t="n"/>
      <c r="H1832" s="14" t="n"/>
      <c r="I1832" s="15">
        <f>IF($H1832="","",$H1832-TODAY())</f>
        <v/>
      </c>
      <c r="J1832" s="16" t="inlineStr">
        <is>
          <t>Open posting</t>
        </is>
      </c>
      <c r="K1832" s="8" t="inlineStr">
        <is>
          <t>filtered by keyword pre-scan</t>
        </is>
      </c>
      <c r="L1832" s="17" t="inlineStr">
        <is>
          <t>new</t>
        </is>
      </c>
      <c r="M1832" s="18" t="inlineStr"/>
      <c r="N1832" s="7" t="inlineStr">
        <is>
          <t>57a393f2c4e6f1e3ee8fd0535eeaec4d563851ba</t>
        </is>
      </c>
      <c r="O1832" s="14" t="n"/>
      <c r="P1832" s="7" t="inlineStr">
        <is>
          <t>workday</t>
        </is>
      </c>
      <c r="Q1832" s="8" t="inlineStr"/>
      <c r="R1832" s="8" t="n"/>
      <c r="S1832" s="19" t="n"/>
      <c r="T1832" s="19" t="n"/>
      <c r="U1832" s="14" t="n">
        <v>46192</v>
      </c>
      <c r="V1832" s="7" t="inlineStr">
        <is>
          <t>v2-cv-accuracy-13b988b18da8ea7d</t>
        </is>
      </c>
    </row>
    <row r="1833" ht="28" customHeight="1">
      <c r="A1833" s="12">
        <f>IF($L1833="applied","Applied",IF($L1833="interview","Interview",IF($L1833="offer","Offer",IF($L1833="rejected","Rejected",IF($L1833="ignore","Ignore",IF($L1833="archive","Archive",IF($L1833="closed","Closed",IF($B1833="","Unscored",IF(AND($B1833&gt;=8,OR($H1833="",$H1833-TODAY()&lt;=14)),"P1 Apply",IF($B1833&gt;=7,"P2 Strong",IF($B1833&gt;=5,"P3 Maybe","P4 Low")))))))))))</f>
        <v/>
      </c>
      <c r="B1833" s="13" t="n">
        <v>0</v>
      </c>
      <c r="C1833" s="12" t="inlineStr">
        <is>
          <t>Senior/Lead</t>
        </is>
      </c>
      <c r="D1833" s="8" t="inlineStr">
        <is>
          <t>Order to Cash Lead</t>
        </is>
      </c>
      <c r="E1833" s="7" t="inlineStr">
        <is>
          <t>Dyson</t>
        </is>
      </c>
      <c r="F1833" s="8" t="inlineStr">
        <is>
          <t>Poland - Krakow Office</t>
        </is>
      </c>
      <c r="G1833" s="8" t="n"/>
      <c r="H1833" s="14" t="n"/>
      <c r="I1833" s="15">
        <f>IF($H1833="","",$H1833-TODAY())</f>
        <v/>
      </c>
      <c r="J1833" s="16" t="inlineStr">
        <is>
          <t>Open posting</t>
        </is>
      </c>
      <c r="K1833" s="8" t="inlineStr">
        <is>
          <t>filtered by keyword pre-scan</t>
        </is>
      </c>
      <c r="L1833" s="17" t="inlineStr">
        <is>
          <t>new</t>
        </is>
      </c>
      <c r="M1833" s="18" t="inlineStr"/>
      <c r="N1833" s="7" t="inlineStr">
        <is>
          <t>f6d4c50295078f7f24f09844481902cfbe7e1cc2</t>
        </is>
      </c>
      <c r="O1833" s="14" t="n"/>
      <c r="P1833" s="7" t="inlineStr">
        <is>
          <t>workday</t>
        </is>
      </c>
      <c r="Q1833" s="8" t="inlineStr"/>
      <c r="R1833" s="8" t="n"/>
      <c r="S1833" s="19" t="n"/>
      <c r="T1833" s="19" t="n"/>
      <c r="U1833" s="14" t="n">
        <v>46192</v>
      </c>
      <c r="V1833" s="7" t="inlineStr">
        <is>
          <t>v2-cv-accuracy-13b988b18da8ea7d</t>
        </is>
      </c>
    </row>
    <row r="1834" ht="28" customHeight="1">
      <c r="A1834" s="12">
        <f>IF($L1834="applied","Applied",IF($L1834="interview","Interview",IF($L1834="offer","Offer",IF($L1834="rejected","Rejected",IF($L1834="ignore","Ignore",IF($L1834="archive","Archive",IF($L1834="closed","Closed",IF($B1834="","Unscored",IF(AND($B1834&gt;=8,OR($H1834="",$H1834-TODAY()&lt;=14)),"P1 Apply",IF($B1834&gt;=7,"P2 Strong",IF($B1834&gt;=5,"P3 Maybe","P4 Low")))))))))))</f>
        <v/>
      </c>
      <c r="B1834" s="13" t="n">
        <v>0</v>
      </c>
      <c r="C1834" s="12" t="inlineStr">
        <is>
          <t>Manager/Owner</t>
        </is>
      </c>
      <c r="D1834" s="8" t="inlineStr">
        <is>
          <t>Performance Media Manager</t>
        </is>
      </c>
      <c r="E1834" s="7" t="inlineStr">
        <is>
          <t>Dyson</t>
        </is>
      </c>
      <c r="F1834" s="8" t="inlineStr">
        <is>
          <t>France - Paris Office</t>
        </is>
      </c>
      <c r="G1834" s="8" t="n"/>
      <c r="H1834" s="14" t="n"/>
      <c r="I1834" s="15">
        <f>IF($H1834="","",$H1834-TODAY())</f>
        <v/>
      </c>
      <c r="J1834" s="16" t="inlineStr">
        <is>
          <t>Open posting</t>
        </is>
      </c>
      <c r="K1834" s="8" t="inlineStr">
        <is>
          <t>filtered by keyword pre-scan</t>
        </is>
      </c>
      <c r="L1834" s="17" t="inlineStr">
        <is>
          <t>new</t>
        </is>
      </c>
      <c r="M1834" s="18" t="inlineStr"/>
      <c r="N1834" s="7" t="inlineStr">
        <is>
          <t>6bc0d9af715e4299be462f955393ca9eb63c9892</t>
        </is>
      </c>
      <c r="O1834" s="14" t="n"/>
      <c r="P1834" s="7" t="inlineStr">
        <is>
          <t>workday</t>
        </is>
      </c>
      <c r="Q1834" s="8" t="inlineStr"/>
      <c r="R1834" s="8" t="n"/>
      <c r="S1834" s="19" t="n"/>
      <c r="T1834" s="19" t="n"/>
      <c r="U1834" s="14" t="n">
        <v>46192</v>
      </c>
      <c r="V1834" s="7" t="inlineStr">
        <is>
          <t>v2-cv-accuracy-13b988b18da8ea7d</t>
        </is>
      </c>
    </row>
    <row r="1835" ht="28" customHeight="1">
      <c r="A1835" s="12">
        <f>IF($L1835="applied","Applied",IF($L1835="interview","Interview",IF($L1835="offer","Offer",IF($L1835="rejected","Rejected",IF($L1835="ignore","Ignore",IF($L1835="archive","Archive",IF($L1835="closed","Closed",IF($B1835="","Unscored",IF(AND($B1835&gt;=8,OR($H1835="",$H1835-TODAY()&lt;=14)),"P1 Apply",IF($B1835&gt;=7,"P2 Strong",IF($B1835&gt;=5,"P3 Maybe","P4 Low")))))))))))</f>
        <v/>
      </c>
      <c r="B1835" s="13" t="n">
        <v>0</v>
      </c>
      <c r="C1835" s="12" t="inlineStr">
        <is>
          <t>Manager/Owner</t>
        </is>
      </c>
      <c r="D1835" s="8" t="inlineStr">
        <is>
          <t>Jr Area Manager</t>
        </is>
      </c>
      <c r="E1835" s="7" t="inlineStr">
        <is>
          <t>Dyson</t>
        </is>
      </c>
      <c r="F1835" s="8" t="inlineStr">
        <is>
          <t>Germany - Hessen Remote</t>
        </is>
      </c>
      <c r="G1835" s="8" t="n"/>
      <c r="H1835" s="14" t="n"/>
      <c r="I1835" s="15">
        <f>IF($H1835="","",$H1835-TODAY())</f>
        <v/>
      </c>
      <c r="J1835" s="16" t="inlineStr">
        <is>
          <t>Open posting</t>
        </is>
      </c>
      <c r="K1835" s="8" t="inlineStr">
        <is>
          <t>filtered by keyword pre-scan</t>
        </is>
      </c>
      <c r="L1835" s="17" t="inlineStr">
        <is>
          <t>new</t>
        </is>
      </c>
      <c r="M1835" s="18" t="inlineStr"/>
      <c r="N1835" s="7" t="inlineStr">
        <is>
          <t>183d969521b754059913fd3f7a6e5f068dc9cea8</t>
        </is>
      </c>
      <c r="O1835" s="14" t="n"/>
      <c r="P1835" s="7" t="inlineStr">
        <is>
          <t>workday</t>
        </is>
      </c>
      <c r="Q1835" s="8" t="inlineStr"/>
      <c r="R1835" s="8" t="n"/>
      <c r="S1835" s="19" t="n"/>
      <c r="T1835" s="19" t="n"/>
      <c r="U1835" s="14" t="n">
        <v>46192</v>
      </c>
      <c r="V1835" s="7" t="inlineStr">
        <is>
          <t>v2-cv-accuracy-13b988b18da8ea7d</t>
        </is>
      </c>
    </row>
    <row r="1836" ht="28" customHeight="1">
      <c r="A1836" s="12">
        <f>IF($L1836="applied","Applied",IF($L1836="interview","Interview",IF($L1836="offer","Offer",IF($L1836="rejected","Rejected",IF($L1836="ignore","Ignore",IF($L1836="archive","Archive",IF($L1836="closed","Closed",IF($B1836="","Unscored",IF(AND($B1836&gt;=8,OR($H1836="",$H1836-TODAY()&lt;=14)),"P1 Apply",IF($B1836&gt;=7,"P2 Strong",IF($B1836&gt;=5,"P3 Maybe","P4 Low")))))))))))</f>
        <v/>
      </c>
      <c r="B1836" s="13" t="n">
        <v>0</v>
      </c>
      <c r="C1836" s="12" t="inlineStr">
        <is>
          <t>Unspecified</t>
        </is>
      </c>
      <c r="D1836" s="8" t="inlineStr">
        <is>
          <t>Dyson Expert - Middlesbrough Teesside (Part Time)</t>
        </is>
      </c>
      <c r="E1836" s="7" t="inlineStr">
        <is>
          <t>Dyson</t>
        </is>
      </c>
      <c r="F1836" s="8" t="inlineStr">
        <is>
          <t>United Kingdom - England Remote</t>
        </is>
      </c>
      <c r="G1836" s="8" t="n"/>
      <c r="H1836" s="14" t="n"/>
      <c r="I1836" s="15">
        <f>IF($H1836="","",$H1836-TODAY())</f>
        <v/>
      </c>
      <c r="J1836" s="16" t="inlineStr">
        <is>
          <t>Open posting</t>
        </is>
      </c>
      <c r="K1836" s="8" t="inlineStr">
        <is>
          <t>filtered by keyword pre-scan</t>
        </is>
      </c>
      <c r="L1836" s="17" t="inlineStr">
        <is>
          <t>new</t>
        </is>
      </c>
      <c r="M1836" s="18" t="inlineStr"/>
      <c r="N1836" s="7" t="inlineStr">
        <is>
          <t>2b42b106e11787ef761f272e2fc34d8fe6d27799</t>
        </is>
      </c>
      <c r="O1836" s="14" t="n"/>
      <c r="P1836" s="7" t="inlineStr">
        <is>
          <t>workday</t>
        </is>
      </c>
      <c r="Q1836" s="8" t="inlineStr"/>
      <c r="R1836" s="8" t="n"/>
      <c r="S1836" s="19" t="n"/>
      <c r="T1836" s="19" t="n"/>
      <c r="U1836" s="14" t="n">
        <v>46192</v>
      </c>
      <c r="V1836" s="7" t="inlineStr">
        <is>
          <t>v2-cv-accuracy-13b988b18da8ea7d</t>
        </is>
      </c>
    </row>
    <row r="1837" ht="28" customHeight="1">
      <c r="A1837" s="12">
        <f>IF($L1837="applied","Applied",IF($L1837="interview","Interview",IF($L1837="offer","Offer",IF($L1837="rejected","Rejected",IF($L1837="ignore","Ignore",IF($L1837="archive","Archive",IF($L1837="closed","Closed",IF($B1837="","Unscored",IF(AND($B1837&gt;=8,OR($H1837="",$H1837-TODAY()&lt;=14)),"P1 Apply",IF($B1837&gt;=7,"P2 Strong",IF($B1837&gt;=5,"P3 Maybe","P4 Low")))))))))))</f>
        <v/>
      </c>
      <c r="B1837" s="13" t="n">
        <v>0</v>
      </c>
      <c r="C1837" s="12" t="inlineStr">
        <is>
          <t>Unspecified</t>
        </is>
      </c>
      <c r="D1837" s="8" t="inlineStr">
        <is>
          <t>Dyson Hair Stylist - Brown Thomas Cork</t>
        </is>
      </c>
      <c r="E1837" s="7" t="inlineStr">
        <is>
          <t>Dyson</t>
        </is>
      </c>
      <c r="F1837" s="8" t="inlineStr">
        <is>
          <t>Ireland - Country Remote</t>
        </is>
      </c>
      <c r="G1837" s="8" t="n"/>
      <c r="H1837" s="14" t="n"/>
      <c r="I1837" s="15">
        <f>IF($H1837="","",$H1837-TODAY())</f>
        <v/>
      </c>
      <c r="J1837" s="16" t="inlineStr">
        <is>
          <t>Open posting</t>
        </is>
      </c>
      <c r="K1837" s="8" t="inlineStr">
        <is>
          <t>filtered by keyword pre-scan</t>
        </is>
      </c>
      <c r="L1837" s="17" t="inlineStr">
        <is>
          <t>new</t>
        </is>
      </c>
      <c r="M1837" s="18" t="inlineStr"/>
      <c r="N1837" s="7" t="inlineStr">
        <is>
          <t>557bf003a4c6f37d2c4d5ea49a6c9ddfa33183ba</t>
        </is>
      </c>
      <c r="O1837" s="14" t="n"/>
      <c r="P1837" s="7" t="inlineStr">
        <is>
          <t>workday</t>
        </is>
      </c>
      <c r="Q1837" s="8" t="inlineStr"/>
      <c r="R1837" s="8" t="n"/>
      <c r="S1837" s="19" t="n"/>
      <c r="T1837" s="19" t="n"/>
      <c r="U1837" s="14" t="n">
        <v>46192</v>
      </c>
      <c r="V1837" s="7" t="inlineStr">
        <is>
          <t>v2-cv-accuracy-13b988b18da8ea7d</t>
        </is>
      </c>
    </row>
    <row r="1838" ht="28" customHeight="1">
      <c r="A1838" s="12">
        <f>IF($L1838="applied","Applied",IF($L1838="interview","Interview",IF($L1838="offer","Offer",IF($L1838="rejected","Rejected",IF($L1838="ignore","Ignore",IF($L1838="archive","Archive",IF($L1838="closed","Closed",IF($B1838="","Unscored",IF(AND($B1838&gt;=8,OR($H1838="",$H1838-TODAY()&lt;=14)),"P1 Apply",IF($B1838&gt;=7,"P2 Strong",IF($B1838&gt;=5,"P3 Maybe","P4 Low")))))))))))</f>
        <v/>
      </c>
      <c r="B1838" s="13" t="n">
        <v>0</v>
      </c>
      <c r="C1838" s="12" t="inlineStr">
        <is>
          <t>Manager/Owner</t>
        </is>
      </c>
      <c r="D1838" s="8" t="inlineStr">
        <is>
          <t>eCommerce Experience Manager</t>
        </is>
      </c>
      <c r="E1838" s="7" t="inlineStr">
        <is>
          <t>Dyson</t>
        </is>
      </c>
      <c r="F1838" s="8" t="inlineStr">
        <is>
          <t>Netherlands - Amsterdam Office</t>
        </is>
      </c>
      <c r="G1838" s="8" t="n"/>
      <c r="H1838" s="14" t="n"/>
      <c r="I1838" s="15">
        <f>IF($H1838="","",$H1838-TODAY())</f>
        <v/>
      </c>
      <c r="J1838" s="16" t="inlineStr">
        <is>
          <t>Open posting</t>
        </is>
      </c>
      <c r="K1838" s="8" t="inlineStr">
        <is>
          <t>filtered by keyword pre-scan</t>
        </is>
      </c>
      <c r="L1838" s="17" t="inlineStr">
        <is>
          <t>new</t>
        </is>
      </c>
      <c r="M1838" s="18" t="inlineStr"/>
      <c r="N1838" s="7" t="inlineStr">
        <is>
          <t>bf116d701dd67d8adcbdb96dd9bdf8109058ea4e</t>
        </is>
      </c>
      <c r="O1838" s="14" t="n"/>
      <c r="P1838" s="7" t="inlineStr">
        <is>
          <t>workday</t>
        </is>
      </c>
      <c r="Q1838" s="8" t="inlineStr"/>
      <c r="R1838" s="8" t="n"/>
      <c r="S1838" s="19" t="n"/>
      <c r="T1838" s="19" t="n"/>
      <c r="U1838" s="14" t="n">
        <v>46192</v>
      </c>
      <c r="V1838" s="7" t="inlineStr">
        <is>
          <t>v2-cv-accuracy-13b988b18da8ea7d</t>
        </is>
      </c>
    </row>
    <row r="1839" ht="28" customHeight="1">
      <c r="A1839" s="12">
        <f>IF($L1839="applied","Applied",IF($L1839="interview","Interview",IF($L1839="offer","Offer",IF($L1839="rejected","Rejected",IF($L1839="ignore","Ignore",IF($L1839="archive","Archive",IF($L1839="closed","Closed",IF($B1839="","Unscored",IF(AND($B1839&gt;=8,OR($H1839="",$H1839-TODAY()&lt;=14)),"P1 Apply",IF($B1839&gt;=7,"P2 Strong",IF($B1839&gt;=5,"P3 Maybe","P4 Low")))))))))))</f>
        <v/>
      </c>
      <c r="B1839" s="13" t="n">
        <v>0</v>
      </c>
      <c r="C1839" s="12" t="inlineStr">
        <is>
          <t>Unspecified</t>
        </is>
      </c>
      <c r="D1839" s="8" t="inlineStr">
        <is>
          <t>Workday Specialist</t>
        </is>
      </c>
      <c r="E1839" s="7" t="inlineStr">
        <is>
          <t>Dyson</t>
        </is>
      </c>
      <c r="F1839" s="8" t="inlineStr">
        <is>
          <t>Poland - Krakow Office</t>
        </is>
      </c>
      <c r="G1839" s="8" t="n"/>
      <c r="H1839" s="14" t="n"/>
      <c r="I1839" s="15">
        <f>IF($H1839="","",$H1839-TODAY())</f>
        <v/>
      </c>
      <c r="J1839" s="16" t="inlineStr">
        <is>
          <t>Open posting</t>
        </is>
      </c>
      <c r="K1839" s="8" t="inlineStr">
        <is>
          <t>filtered by keyword pre-scan</t>
        </is>
      </c>
      <c r="L1839" s="17" t="inlineStr">
        <is>
          <t>new</t>
        </is>
      </c>
      <c r="M1839" s="18" t="inlineStr"/>
      <c r="N1839" s="7" t="inlineStr">
        <is>
          <t>35507e3b1fdfa706b55dbb456a3d71f0b1b73648</t>
        </is>
      </c>
      <c r="O1839" s="14" t="n"/>
      <c r="P1839" s="7" t="inlineStr">
        <is>
          <t>workday</t>
        </is>
      </c>
      <c r="Q1839" s="8" t="inlineStr"/>
      <c r="R1839" s="8" t="n"/>
      <c r="S1839" s="19" t="n"/>
      <c r="T1839" s="19" t="n"/>
      <c r="U1839" s="14" t="n">
        <v>46192</v>
      </c>
      <c r="V1839" s="7" t="inlineStr">
        <is>
          <t>v2-cv-accuracy-13b988b18da8ea7d</t>
        </is>
      </c>
    </row>
    <row r="1840" ht="28" customHeight="1">
      <c r="A1840" s="12">
        <f>IF($L1840="applied","Applied",IF($L1840="interview","Interview",IF($L1840="offer","Offer",IF($L1840="rejected","Rejected",IF($L1840="ignore","Ignore",IF($L1840="archive","Archive",IF($L1840="closed","Closed",IF($B1840="","Unscored",IF(AND($B1840&gt;=8,OR($H1840="",$H1840-TODAY()&lt;=14)),"P1 Apply",IF($B1840&gt;=7,"P2 Strong",IF($B1840&gt;=5,"P3 Maybe","P4 Low")))))))))))</f>
        <v/>
      </c>
      <c r="B1840" s="13" t="n">
        <v>0</v>
      </c>
      <c r="C1840" s="12" t="inlineStr">
        <is>
          <t>Graduate/Entry</t>
        </is>
      </c>
      <c r="D1840" s="8" t="inlineStr">
        <is>
          <t>SKU Range Graduate Engineer</t>
        </is>
      </c>
      <c r="E1840" s="7" t="inlineStr">
        <is>
          <t>Dyson</t>
        </is>
      </c>
      <c r="F1840" s="8" t="inlineStr">
        <is>
          <t>Malaysia - Global Development Campus, Johor Bahru</t>
        </is>
      </c>
      <c r="G1840" s="8" t="n"/>
      <c r="H1840" s="14" t="n"/>
      <c r="I1840" s="15">
        <f>IF($H1840="","",$H1840-TODAY())</f>
        <v/>
      </c>
      <c r="J1840" s="16" t="inlineStr">
        <is>
          <t>Open posting</t>
        </is>
      </c>
      <c r="K1840" s="8" t="inlineStr">
        <is>
          <t>filtered by keyword pre-scan</t>
        </is>
      </c>
      <c r="L1840" s="17" t="inlineStr">
        <is>
          <t>new</t>
        </is>
      </c>
      <c r="M1840" s="18" t="inlineStr"/>
      <c r="N1840" s="7" t="inlineStr">
        <is>
          <t>b6d9f48d8ab68b80a3a46e2a8e9031ffae0c826c</t>
        </is>
      </c>
      <c r="O1840" s="14" t="n"/>
      <c r="P1840" s="7" t="inlineStr">
        <is>
          <t>workday</t>
        </is>
      </c>
      <c r="Q1840" s="8" t="inlineStr"/>
      <c r="R1840" s="8" t="n"/>
      <c r="S1840" s="19" t="n"/>
      <c r="T1840" s="19" t="n"/>
      <c r="U1840" s="14" t="n">
        <v>46192</v>
      </c>
      <c r="V1840" s="7" t="inlineStr">
        <is>
          <t>v2-cv-accuracy-13b988b18da8ea7d</t>
        </is>
      </c>
    </row>
    <row r="1841" ht="28" customHeight="1">
      <c r="A1841" s="12">
        <f>IF($L1841="applied","Applied",IF($L1841="interview","Interview",IF($L1841="offer","Offer",IF($L1841="rejected","Rejected",IF($L1841="ignore","Ignore",IF($L1841="archive","Archive",IF($L1841="closed","Closed",IF($B1841="","Unscored",IF(AND($B1841&gt;=8,OR($H1841="",$H1841-TODAY()&lt;=14)),"P1 Apply",IF($B1841&gt;=7,"P2 Strong",IF($B1841&gt;=5,"P3 Maybe","P4 Low")))))))))))</f>
        <v/>
      </c>
      <c r="B1841" s="13" t="n">
        <v>0</v>
      </c>
      <c r="C1841" s="12" t="inlineStr">
        <is>
          <t>Graduate/Entry</t>
        </is>
      </c>
      <c r="D1841" s="8" t="inlineStr">
        <is>
          <t>Graduate Product Engineer</t>
        </is>
      </c>
      <c r="E1841" s="7" t="inlineStr">
        <is>
          <t>Dyson</t>
        </is>
      </c>
      <c r="F1841" s="8" t="inlineStr">
        <is>
          <t>Malaysia - Global Development Campus, Johor Bahru</t>
        </is>
      </c>
      <c r="G1841" s="8" t="n"/>
      <c r="H1841" s="14" t="n"/>
      <c r="I1841" s="15">
        <f>IF($H1841="","",$H1841-TODAY())</f>
        <v/>
      </c>
      <c r="J1841" s="16" t="inlineStr">
        <is>
          <t>Open posting</t>
        </is>
      </c>
      <c r="K1841" s="8" t="inlineStr">
        <is>
          <t>filtered by keyword pre-scan</t>
        </is>
      </c>
      <c r="L1841" s="17" t="inlineStr">
        <is>
          <t>new</t>
        </is>
      </c>
      <c r="M1841" s="18" t="inlineStr"/>
      <c r="N1841" s="7" t="inlineStr">
        <is>
          <t>2ebf7a3f27bd9dab141b4a0709be8a32aff9e88e</t>
        </is>
      </c>
      <c r="O1841" s="14" t="n"/>
      <c r="P1841" s="7" t="inlineStr">
        <is>
          <t>workday</t>
        </is>
      </c>
      <c r="Q1841" s="8" t="inlineStr"/>
      <c r="R1841" s="8" t="n"/>
      <c r="S1841" s="19" t="n"/>
      <c r="T1841" s="19" t="n"/>
      <c r="U1841" s="14" t="n">
        <v>46192</v>
      </c>
      <c r="V1841" s="7" t="inlineStr">
        <is>
          <t>v2-cv-accuracy-13b988b18da8ea7d</t>
        </is>
      </c>
    </row>
    <row r="1842" ht="28" customHeight="1">
      <c r="A1842" s="12">
        <f>IF($L1842="applied","Applied",IF($L1842="interview","Interview",IF($L1842="offer","Offer",IF($L1842="rejected","Rejected",IF($L1842="ignore","Ignore",IF($L1842="archive","Archive",IF($L1842="closed","Closed",IF($B1842="","Unscored",IF(AND($B1842&gt;=8,OR($H1842="",$H1842-TODAY()&lt;=14)),"P1 Apply",IF($B1842&gt;=7,"P2 Strong",IF($B1842&gt;=5,"P3 Maybe","P4 Low")))))))))))</f>
        <v/>
      </c>
      <c r="B1842" s="13" t="n">
        <v>0</v>
      </c>
      <c r="C1842" s="12" t="inlineStr">
        <is>
          <t>Unspecified</t>
        </is>
      </c>
      <c r="D1842" s="8" t="inlineStr">
        <is>
          <t>C#/ .Net Software Developer (New Role)</t>
        </is>
      </c>
      <c r="E1842" s="7" t="inlineStr">
        <is>
          <t>RedRock Resourcing</t>
        </is>
      </c>
      <c r="F1842" s="8" t="inlineStr">
        <is>
          <t>Sheffield, England, UK</t>
        </is>
      </c>
      <c r="G1842" s="8" t="n"/>
      <c r="H1842" s="14" t="n"/>
      <c r="I1842" s="15">
        <f>IF($H1842="","",$H1842-TODAY())</f>
        <v/>
      </c>
      <c r="J1842" s="16" t="inlineStr">
        <is>
          <t>Open posting</t>
        </is>
      </c>
      <c r="K1842" s="8" t="inlineStr">
        <is>
          <t>filtered by keyword pre-scan</t>
        </is>
      </c>
      <c r="L1842" s="17" t="inlineStr">
        <is>
          <t>new</t>
        </is>
      </c>
      <c r="M1842" s="18" t="inlineStr"/>
      <c r="N1842" s="7" t="inlineStr">
        <is>
          <t>6ee990b47f70edff4eb5daab41f36b0cd40c23a9</t>
        </is>
      </c>
      <c r="O1842" s="14" t="n"/>
      <c r="P1842" s="7" t="inlineStr">
        <is>
          <t>jobspy</t>
        </is>
      </c>
      <c r="Q1842" s="8" t="inlineStr"/>
      <c r="R1842" s="8" t="inlineStr">
        <is>
          <t>Graduate Software Developer Sheffield</t>
        </is>
      </c>
      <c r="S1842" s="19" t="n"/>
      <c r="T1842" s="19" t="n"/>
      <c r="U1842" s="14" t="n">
        <v>46192</v>
      </c>
      <c r="V1842" s="7" t="inlineStr">
        <is>
          <t>v2-cv-accuracy-13b988b18da8ea7d</t>
        </is>
      </c>
    </row>
    <row r="1843" ht="28" customHeight="1">
      <c r="A1843" s="12">
        <f>IF($L1843="applied","Applied",IF($L1843="interview","Interview",IF($L1843="offer","Offer",IF($L1843="rejected","Rejected",IF($L1843="ignore","Ignore",IF($L1843="archive","Archive",IF($L1843="closed","Closed",IF($B1843="","Unscored",IF(AND($B1843&gt;=8,OR($H1843="",$H1843-TODAY()&lt;=14)),"P1 Apply",IF($B1843&gt;=7,"P2 Strong",IF($B1843&gt;=5,"P3 Maybe","P4 Low")))))))))))</f>
        <v/>
      </c>
      <c r="B1843" s="13" t="n">
        <v>0</v>
      </c>
      <c r="C1843" s="12" t="inlineStr">
        <is>
          <t>Unspecified</t>
        </is>
      </c>
      <c r="D1843" s="8" t="inlineStr">
        <is>
          <t>Software Developer (Angular) - Up to £55k</t>
        </is>
      </c>
      <c r="E1843" s="7" t="inlineStr">
        <is>
          <t>RedRock Resourcing</t>
        </is>
      </c>
      <c r="F1843" s="8" t="inlineStr">
        <is>
          <t>Sheffield, England, UK</t>
        </is>
      </c>
      <c r="G1843" s="8" t="n"/>
      <c r="H1843" s="14" t="n"/>
      <c r="I1843" s="15">
        <f>IF($H1843="","",$H1843-TODAY())</f>
        <v/>
      </c>
      <c r="J1843" s="16" t="inlineStr">
        <is>
          <t>Open posting</t>
        </is>
      </c>
      <c r="K1843" s="8" t="inlineStr">
        <is>
          <t>filtered by keyword pre-scan</t>
        </is>
      </c>
      <c r="L1843" s="17" t="inlineStr">
        <is>
          <t>new</t>
        </is>
      </c>
      <c r="M1843" s="18" t="inlineStr"/>
      <c r="N1843" s="7" t="inlineStr">
        <is>
          <t>52771db68ae984ff377055c2b61a035e8be8c4a5</t>
        </is>
      </c>
      <c r="O1843" s="14" t="n"/>
      <c r="P1843" s="7" t="inlineStr">
        <is>
          <t>jobspy</t>
        </is>
      </c>
      <c r="Q1843" s="8" t="inlineStr"/>
      <c r="R1843" s="8" t="inlineStr">
        <is>
          <t>Graduate Software Developer Sheffield</t>
        </is>
      </c>
      <c r="S1843" s="19" t="n"/>
      <c r="T1843" s="19" t="n"/>
      <c r="U1843" s="14" t="n">
        <v>46192</v>
      </c>
      <c r="V1843" s="7" t="inlineStr">
        <is>
          <t>v2-cv-accuracy-13b988b18da8ea7d</t>
        </is>
      </c>
    </row>
    <row r="1844" ht="28" customHeight="1">
      <c r="A1844" s="12">
        <f>IF($L1844="applied","Applied",IF($L1844="interview","Interview",IF($L1844="offer","Offer",IF($L1844="rejected","Rejected",IF($L1844="ignore","Ignore",IF($L1844="archive","Archive",IF($L1844="closed","Closed",IF($B1844="","Unscored",IF(AND($B1844&gt;=8,OR($H1844="",$H1844-TODAY()&lt;=14)),"P1 Apply",IF($B1844&gt;=7,"P2 Strong",IF($B1844&gt;=5,"P3 Maybe","P4 Low")))))))))))</f>
        <v/>
      </c>
      <c r="B1844" s="13" t="n">
        <v>0</v>
      </c>
      <c r="C1844" s="12" t="inlineStr">
        <is>
          <t>Senior/Lead</t>
        </is>
      </c>
      <c r="D1844" s="8" t="inlineStr">
        <is>
          <t>Automation Test Lead</t>
        </is>
      </c>
      <c r="E1844" s="7" t="inlineStr">
        <is>
          <t>Coforge</t>
        </is>
      </c>
      <c r="F1844" s="8" t="inlineStr">
        <is>
          <t>Sheffield, England, UK</t>
        </is>
      </c>
      <c r="G1844" s="8" t="n"/>
      <c r="H1844" s="14" t="n"/>
      <c r="I1844" s="15">
        <f>IF($H1844="","",$H1844-TODAY())</f>
        <v/>
      </c>
      <c r="J1844" s="16" t="inlineStr">
        <is>
          <t>Open posting</t>
        </is>
      </c>
      <c r="K1844" s="8" t="inlineStr">
        <is>
          <t>filtered by keyword pre-scan</t>
        </is>
      </c>
      <c r="L1844" s="17" t="inlineStr">
        <is>
          <t>new</t>
        </is>
      </c>
      <c r="M1844" s="18" t="inlineStr"/>
      <c r="N1844" s="7" t="inlineStr">
        <is>
          <t>cc3a0edc18b5d0f37d013ba68220eeb3562b08b2</t>
        </is>
      </c>
      <c r="O1844" s="14" t="n"/>
      <c r="P1844" s="7" t="inlineStr">
        <is>
          <t>jobspy</t>
        </is>
      </c>
      <c r="Q1844" s="8" t="inlineStr">
        <is>
          <t>sql</t>
        </is>
      </c>
      <c r="R1844" s="8" t="inlineStr">
        <is>
          <t>Graduate Software Developer Sheffield</t>
        </is>
      </c>
      <c r="S1844" s="19" t="n"/>
      <c r="T1844" s="19" t="n"/>
      <c r="U1844" s="14" t="n">
        <v>46192</v>
      </c>
      <c r="V1844" s="7" t="inlineStr">
        <is>
          <t>v2-cv-accuracy-13b988b18da8ea7d</t>
        </is>
      </c>
    </row>
    <row r="1845" ht="28" customHeight="1">
      <c r="A1845" s="12">
        <f>IF($L1845="applied","Applied",IF($L1845="interview","Interview",IF($L1845="offer","Offer",IF($L1845="rejected","Rejected",IF($L1845="ignore","Ignore",IF($L1845="archive","Archive",IF($L1845="closed","Closed",IF($B1845="","Unscored",IF(AND($B1845&gt;=8,OR($H1845="",$H1845-TODAY()&lt;=14)),"P1 Apply",IF($B1845&gt;=7,"P2 Strong",IF($B1845&gt;=5,"P3 Maybe","P4 Low")))))))))))</f>
        <v/>
      </c>
      <c r="B1845" s="13" t="n">
        <v>0</v>
      </c>
      <c r="C1845" s="12" t="inlineStr">
        <is>
          <t>Senior/Lead</t>
        </is>
      </c>
      <c r="D1845" s="8" t="inlineStr">
        <is>
          <t>Senior Developer</t>
        </is>
      </c>
      <c r="E1845" s="7" t="inlineStr">
        <is>
          <t>UK Home Office</t>
        </is>
      </c>
      <c r="F1845" s="8" t="inlineStr">
        <is>
          <t>Sheffield, England, UK</t>
        </is>
      </c>
      <c r="G1845" s="8" t="n"/>
      <c r="H1845" s="14" t="n"/>
      <c r="I1845" s="15">
        <f>IF($H1845="","",$H1845-TODAY())</f>
        <v/>
      </c>
      <c r="J1845" s="16" t="inlineStr">
        <is>
          <t>Open posting</t>
        </is>
      </c>
      <c r="K1845" s="8" t="inlineStr">
        <is>
          <t>filtered by keyword pre-scan</t>
        </is>
      </c>
      <c r="L1845" s="17" t="inlineStr">
        <is>
          <t>new</t>
        </is>
      </c>
      <c r="M1845" s="18" t="inlineStr"/>
      <c r="N1845" s="7" t="inlineStr">
        <is>
          <t>d81df86137c5dae47002ade4e6cca3fd45086b3a</t>
        </is>
      </c>
      <c r="O1845" s="14" t="n"/>
      <c r="P1845" s="7" t="inlineStr">
        <is>
          <t>jobspy</t>
        </is>
      </c>
      <c r="Q1845" s="8" t="inlineStr">
        <is>
          <t>python, sql, javascript, git</t>
        </is>
      </c>
      <c r="R1845" s="8" t="inlineStr">
        <is>
          <t>Graduate Software Developer Sheffield</t>
        </is>
      </c>
      <c r="S1845" s="19" t="n"/>
      <c r="T1845" s="19" t="n"/>
      <c r="U1845" s="14" t="n">
        <v>46192</v>
      </c>
      <c r="V1845" s="7" t="inlineStr">
        <is>
          <t>v2-cv-accuracy-13b988b18da8ea7d</t>
        </is>
      </c>
    </row>
    <row r="1846" ht="28" customHeight="1">
      <c r="A1846" s="12">
        <f>IF($L1846="applied","Applied",IF($L1846="interview","Interview",IF($L1846="offer","Offer",IF($L1846="rejected","Rejected",IF($L1846="ignore","Ignore",IF($L1846="archive","Archive",IF($L1846="closed","Closed",IF($B1846="","Unscored",IF(AND($B1846&gt;=8,OR($H1846="",$H1846-TODAY()&lt;=14)),"P1 Apply",IF($B1846&gt;=7,"P2 Strong",IF($B1846&gt;=5,"P3 Maybe","P4 Low")))))))))))</f>
        <v/>
      </c>
      <c r="B1846" s="13" t="n">
        <v>0</v>
      </c>
      <c r="C1846" s="12" t="inlineStr">
        <is>
          <t>Senior/Lead</t>
        </is>
      </c>
      <c r="D1846" s="8" t="inlineStr">
        <is>
          <t>Senior Developer</t>
        </is>
      </c>
      <c r="E1846" s="7" t="inlineStr">
        <is>
          <t>nan</t>
        </is>
      </c>
      <c r="F1846" s="8" t="inlineStr">
        <is>
          <t>East Kilbride, SCT, GB</t>
        </is>
      </c>
      <c r="G1846" s="8" t="n"/>
      <c r="H1846" s="14" t="n"/>
      <c r="I1846" s="15">
        <f>IF($H1846="","",$H1846-TODAY())</f>
        <v/>
      </c>
      <c r="J1846" s="16" t="inlineStr">
        <is>
          <t>Open posting</t>
        </is>
      </c>
      <c r="K1846" s="8" t="inlineStr">
        <is>
          <t>filtered by keyword pre-scan</t>
        </is>
      </c>
      <c r="L1846" s="17" t="inlineStr">
        <is>
          <t>new</t>
        </is>
      </c>
      <c r="M1846" s="18" t="inlineStr"/>
      <c r="N1846" s="7" t="inlineStr">
        <is>
          <t>c09afd44fcf71d0753f4d786822ddce53ec7ca86</t>
        </is>
      </c>
      <c r="O1846" s="14" t="n">
        <v>46178</v>
      </c>
      <c r="P1846" s="7" t="inlineStr">
        <is>
          <t>jobspy</t>
        </is>
      </c>
      <c r="Q1846" s="8" t="inlineStr">
        <is>
          <t>git, software development</t>
        </is>
      </c>
      <c r="R1846" s="8" t="inlineStr">
        <is>
          <t>junior Full Stack Developer</t>
        </is>
      </c>
      <c r="S1846" s="19" t="n"/>
      <c r="T1846" s="19" t="n"/>
      <c r="U1846" s="14" t="n">
        <v>46192</v>
      </c>
      <c r="V1846" s="7" t="inlineStr">
        <is>
          <t>v2-cv-accuracy-13b988b18da8ea7d</t>
        </is>
      </c>
    </row>
    <row r="1847" ht="28" customHeight="1">
      <c r="A1847" s="12">
        <f>IF($L1847="applied","Applied",IF($L1847="interview","Interview",IF($L1847="offer","Offer",IF($L1847="rejected","Rejected",IF($L1847="ignore","Ignore",IF($L1847="archive","Archive",IF($L1847="closed","Closed",IF($B1847="","Unscored",IF(AND($B1847&gt;=8,OR($H1847="",$H1847-TODAY()&lt;=14)),"P1 Apply",IF($B1847&gt;=7,"P2 Strong",IF($B1847&gt;=5,"P3 Maybe","P4 Low")))))))))))</f>
        <v/>
      </c>
      <c r="B1847" s="13" t="n">
        <v>0</v>
      </c>
      <c r="C1847" s="12" t="inlineStr">
        <is>
          <t>Manager/Owner</t>
        </is>
      </c>
      <c r="D1847" s="8" t="inlineStr">
        <is>
          <t>CRM Manager, Core Banking</t>
        </is>
      </c>
      <c r="E1847" s="7" t="inlineStr">
        <is>
          <t>Monzo</t>
        </is>
      </c>
      <c r="F1847" s="8" t="inlineStr">
        <is>
          <t>Cardiff, London or Remote (UK)</t>
        </is>
      </c>
      <c r="G1847" s="8" t="n"/>
      <c r="H1847" s="14" t="n"/>
      <c r="I1847" s="15">
        <f>IF($H1847="","",$H1847-TODAY())</f>
        <v/>
      </c>
      <c r="J1847" s="16" t="inlineStr">
        <is>
          <t>Open posting</t>
        </is>
      </c>
      <c r="K1847" s="8" t="inlineStr">
        <is>
          <t>filtered by keyword pre-scan</t>
        </is>
      </c>
      <c r="L1847" s="17" t="inlineStr">
        <is>
          <t>new</t>
        </is>
      </c>
      <c r="M1847" s="18" t="inlineStr"/>
      <c r="N1847" s="7" t="inlineStr">
        <is>
          <t>8562bd7b3eccba61073f3297d1ace1a88a13ff6d</t>
        </is>
      </c>
      <c r="O1847" s="14" t="n">
        <v>46192</v>
      </c>
      <c r="P1847" s="7" t="inlineStr">
        <is>
          <t>greenhouse:monzo</t>
        </is>
      </c>
      <c r="Q1847" s="8" t="inlineStr">
        <is>
          <t>c</t>
        </is>
      </c>
      <c r="R1847" s="8" t="n"/>
      <c r="S1847" s="19" t="n"/>
      <c r="T1847" s="19" t="n"/>
      <c r="U1847" s="14" t="n">
        <v>46192</v>
      </c>
      <c r="V1847" s="7" t="inlineStr">
        <is>
          <t>v2-cv-accuracy-13b988b18da8ea7d</t>
        </is>
      </c>
    </row>
    <row r="1848" ht="28" customHeight="1">
      <c r="A1848" s="12">
        <f>IF($L1848="applied","Applied",IF($L1848="interview","Interview",IF($L1848="offer","Offer",IF($L1848="rejected","Rejected",IF($L1848="ignore","Ignore",IF($L1848="archive","Archive",IF($L1848="closed","Closed",IF($B1848="","Unscored",IF(AND($B1848&gt;=8,OR($H1848="",$H1848-TODAY()&lt;=14)),"P1 Apply",IF($B1848&gt;=7,"P2 Strong",IF($B1848&gt;=5,"P3 Maybe","P4 Low")))))))))))</f>
        <v/>
      </c>
      <c r="B1848" s="13" t="n">
        <v>0</v>
      </c>
      <c r="C1848" s="12" t="inlineStr">
        <is>
          <t>Senior/Lead</t>
        </is>
      </c>
      <c r="D1848" s="8" t="inlineStr">
        <is>
          <t>Senior Influencer Strategist</t>
        </is>
      </c>
      <c r="E1848" s="7" t="inlineStr">
        <is>
          <t>Dyson</t>
        </is>
      </c>
      <c r="F1848" s="8" t="inlineStr">
        <is>
          <t>United Kingdom - London Press Office</t>
        </is>
      </c>
      <c r="G1848" s="8" t="n"/>
      <c r="H1848" s="14" t="n"/>
      <c r="I1848" s="15">
        <f>IF($H1848="","",$H1848-TODAY())</f>
        <v/>
      </c>
      <c r="J1848" s="16" t="inlineStr">
        <is>
          <t>Open posting</t>
        </is>
      </c>
      <c r="K1848" s="8" t="inlineStr">
        <is>
          <t>filtered by keyword pre-scan</t>
        </is>
      </c>
      <c r="L1848" s="17" t="inlineStr">
        <is>
          <t>new</t>
        </is>
      </c>
      <c r="M1848" s="18" t="inlineStr"/>
      <c r="N1848" s="7" t="inlineStr">
        <is>
          <t>9afd72317e36d4f1025d7e7fae7d62115d6b6795</t>
        </is>
      </c>
      <c r="O1848" s="14" t="n"/>
      <c r="P1848" s="7" t="inlineStr">
        <is>
          <t>workday</t>
        </is>
      </c>
      <c r="Q1848" s="8" t="inlineStr">
        <is>
          <t>c</t>
        </is>
      </c>
      <c r="R1848" s="8" t="n"/>
      <c r="S1848" s="19" t="n"/>
      <c r="T1848" s="19" t="n"/>
      <c r="U1848" s="14" t="n">
        <v>46192</v>
      </c>
      <c r="V1848" s="7" t="inlineStr">
        <is>
          <t>v2-cv-accuracy-13b988b18da8ea7d</t>
        </is>
      </c>
    </row>
    <row r="1849" ht="28" customHeight="1">
      <c r="A1849" s="12">
        <f>IF($L1849="applied","Applied",IF($L1849="interview","Interview",IF($L1849="offer","Offer",IF($L1849="rejected","Rejected",IF($L1849="ignore","Ignore",IF($L1849="archive","Archive",IF($L1849="closed","Closed",IF($B1849="","Unscored",IF(AND($B1849&gt;=8,OR($H1849="",$H1849-TODAY()&lt;=14)),"P1 Apply",IF($B1849&gt;=7,"P2 Strong",IF($B1849&gt;=5,"P3 Maybe","P4 Low")))))))))))</f>
        <v/>
      </c>
      <c r="B1849" s="13" t="n">
        <v>0</v>
      </c>
      <c r="C1849" s="12" t="inlineStr">
        <is>
          <t>Senior/Lead</t>
        </is>
      </c>
      <c r="D1849" s="8" t="inlineStr">
        <is>
          <t>Senior Embedded Software Engineer</t>
        </is>
      </c>
      <c r="E1849" s="7" t="inlineStr">
        <is>
          <t>Handicare</t>
        </is>
      </c>
      <c r="F1849" s="8" t="inlineStr">
        <is>
          <t>Kingswinford, ENG, GB</t>
        </is>
      </c>
      <c r="G1849" s="8" t="n"/>
      <c r="H1849" s="14" t="n"/>
      <c r="I1849" s="15">
        <f>IF($H1849="","",$H1849-TODAY())</f>
        <v/>
      </c>
      <c r="J1849" s="16" t="inlineStr">
        <is>
          <t>Open posting</t>
        </is>
      </c>
      <c r="K1849" s="8" t="inlineStr">
        <is>
          <t>filtered by keyword pre-scan</t>
        </is>
      </c>
      <c r="L1849" s="17" t="inlineStr">
        <is>
          <t>new</t>
        </is>
      </c>
      <c r="M1849" s="18" t="inlineStr"/>
      <c r="N1849" s="7" t="inlineStr">
        <is>
          <t>9399023d8fb211555a85947741facd2befd05c54</t>
        </is>
      </c>
      <c r="O1849" s="14" t="n">
        <v>46190</v>
      </c>
      <c r="P1849" s="7" t="inlineStr">
        <is>
          <t>jobspy</t>
        </is>
      </c>
      <c r="Q1849" s="8" t="inlineStr">
        <is>
          <t>stm32, git, c, embedded systems</t>
        </is>
      </c>
      <c r="R1849" s="8" t="inlineStr">
        <is>
          <t>Junior Embedded Software Engineer STM32 C</t>
        </is>
      </c>
      <c r="S1849" s="19" t="n"/>
      <c r="T1849" s="19" t="n"/>
      <c r="U1849" s="14" t="n">
        <v>46192</v>
      </c>
      <c r="V1849" s="7" t="inlineStr">
        <is>
          <t>v2-cv-accuracy-13b988b18da8ea7d</t>
        </is>
      </c>
    </row>
    <row r="1850" ht="28" customHeight="1">
      <c r="A1850" s="12">
        <f>IF($L1850="applied","Applied",IF($L1850="interview","Interview",IF($L1850="offer","Offer",IF($L1850="rejected","Rejected",IF($L1850="ignore","Ignore",IF($L1850="archive","Archive",IF($L1850="closed","Closed",IF($B1850="","Unscored",IF(AND($B1850&gt;=8,OR($H1850="",$H1850-TODAY()&lt;=14)),"P1 Apply",IF($B1850&gt;=7,"P2 Strong",IF($B1850&gt;=5,"P3 Maybe","P4 Low")))))))))))</f>
        <v/>
      </c>
      <c r="B1850" s="13" t="n">
        <v>0</v>
      </c>
      <c r="C1850" s="12" t="inlineStr">
        <is>
          <t>Senior/Lead</t>
        </is>
      </c>
      <c r="D1850" s="8" t="inlineStr">
        <is>
          <t>Senior Digital Design Engineer</t>
        </is>
      </c>
      <c r="E1850" s="7" t="inlineStr">
        <is>
          <t>Edison Smart®</t>
        </is>
      </c>
      <c r="F1850" s="8" t="inlineStr"/>
      <c r="G1850" s="8" t="n"/>
      <c r="H1850" s="14" t="n"/>
      <c r="I1850" s="15">
        <f>IF($H1850="","",$H1850-TODAY())</f>
        <v/>
      </c>
      <c r="J1850" s="16" t="inlineStr">
        <is>
          <t>Open posting</t>
        </is>
      </c>
      <c r="K1850" s="8" t="inlineStr">
        <is>
          <t>filtered by keyword pre-scan</t>
        </is>
      </c>
      <c r="L1850" s="17" t="inlineStr">
        <is>
          <t>new</t>
        </is>
      </c>
      <c r="M1850" s="18" t="inlineStr"/>
      <c r="N1850" s="7" t="inlineStr">
        <is>
          <t>6efd037e33df2cd6cacec9b676625a92a130d1de</t>
        </is>
      </c>
      <c r="O1850" s="14" t="n">
        <v>46181</v>
      </c>
      <c r="P1850" s="7" t="inlineStr">
        <is>
          <t>jobspy</t>
        </is>
      </c>
      <c r="Q1850" s="8" t="inlineStr">
        <is>
          <t>verilog, fpga, git, c, digital design</t>
        </is>
      </c>
      <c r="R1850" s="8" t="inlineStr">
        <is>
          <t>Graduate Digital Design Engineer FPGA Verilog</t>
        </is>
      </c>
      <c r="S1850" s="19" t="n"/>
      <c r="T1850" s="19" t="n"/>
      <c r="U1850" s="14" t="n">
        <v>46192</v>
      </c>
      <c r="V1850" s="7" t="inlineStr">
        <is>
          <t>v2-cv-accuracy-13b988b18da8ea7d</t>
        </is>
      </c>
    </row>
    <row r="1851" ht="28" customHeight="1">
      <c r="A1851" s="12">
        <f>IF($L1851="applied","Applied",IF($L1851="interview","Interview",IF($L1851="offer","Offer",IF($L1851="rejected","Rejected",IF($L1851="ignore","Ignore",IF($L1851="archive","Archive",IF($L1851="closed","Closed",IF($B1851="","Unscored",IF(AND($B1851&gt;=8,OR($H1851="",$H1851-TODAY()&lt;=14)),"P1 Apply",IF($B1851&gt;=7,"P2 Strong",IF($B1851&gt;=5,"P3 Maybe","P4 Low")))))))))))</f>
        <v/>
      </c>
      <c r="B1851" s="13" t="n">
        <v>0</v>
      </c>
      <c r="C1851" s="12" t="inlineStr">
        <is>
          <t>Senior/Lead</t>
        </is>
      </c>
      <c r="D1851" s="8" t="inlineStr">
        <is>
          <t>Staff Digital Design Engineer</t>
        </is>
      </c>
      <c r="E1851" s="7" t="inlineStr">
        <is>
          <t>AMD</t>
        </is>
      </c>
      <c r="F1851" s="8" t="inlineStr">
        <is>
          <t>Edinburgh, Scotland, UK</t>
        </is>
      </c>
      <c r="G1851" s="8" t="n"/>
      <c r="H1851" s="14" t="n"/>
      <c r="I1851" s="15">
        <f>IF($H1851="","",$H1851-TODAY())</f>
        <v/>
      </c>
      <c r="J1851" s="16" t="inlineStr">
        <is>
          <t>Open posting</t>
        </is>
      </c>
      <c r="K1851" s="8" t="inlineStr">
        <is>
          <t>filtered by keyword pre-scan</t>
        </is>
      </c>
      <c r="L1851" s="17" t="inlineStr">
        <is>
          <t>new</t>
        </is>
      </c>
      <c r="M1851" s="18" t="inlineStr"/>
      <c r="N1851" s="7" t="inlineStr">
        <is>
          <t>c80832a181133a75fc30b2f6c9056489595dbdc4</t>
        </is>
      </c>
      <c r="O1851" s="14" t="n">
        <v>46175</v>
      </c>
      <c r="P1851" s="7" t="inlineStr">
        <is>
          <t>jobspy</t>
        </is>
      </c>
      <c r="Q1851" s="8" t="inlineStr">
        <is>
          <t>python, verilog, fpga, git, c</t>
        </is>
      </c>
      <c r="R1851" s="8" t="inlineStr">
        <is>
          <t>Graduate Digital Design Engineer FPGA Verilog</t>
        </is>
      </c>
      <c r="S1851" s="19" t="n"/>
      <c r="T1851" s="19" t="n"/>
      <c r="U1851" s="14" t="n">
        <v>46192</v>
      </c>
      <c r="V1851" s="7" t="inlineStr">
        <is>
          <t>v2-cv-accuracy-13b988b18da8ea7d</t>
        </is>
      </c>
    </row>
    <row r="1852" ht="28" customHeight="1">
      <c r="A1852" s="12">
        <f>IF($L1852="applied","Applied",IF($L1852="interview","Interview",IF($L1852="offer","Offer",IF($L1852="rejected","Rejected",IF($L1852="ignore","Ignore",IF($L1852="archive","Archive",IF($L1852="closed","Closed",IF($B1852="","Unscored",IF(AND($B1852&gt;=8,OR($H1852="",$H1852-TODAY()&lt;=14)),"P1 Apply",IF($B1852&gt;=7,"P2 Strong",IF($B1852&gt;=5,"P3 Maybe","P4 Low")))))))))))</f>
        <v/>
      </c>
      <c r="B1852" s="13" t="n">
        <v>0</v>
      </c>
      <c r="C1852" s="12" t="inlineStr">
        <is>
          <t>Senior/Lead</t>
        </is>
      </c>
      <c r="D1852" s="8" t="inlineStr">
        <is>
          <t>Staff Linux Support Engineer</t>
        </is>
      </c>
      <c r="E1852" s="7" t="inlineStr">
        <is>
          <t>Arm</t>
        </is>
      </c>
      <c r="F1852" s="8" t="inlineStr">
        <is>
          <t>Cambridge, England, UK</t>
        </is>
      </c>
      <c r="G1852" s="8" t="n"/>
      <c r="H1852" s="14" t="n"/>
      <c r="I1852" s="15">
        <f>IF($H1852="","",$H1852-TODAY())</f>
        <v/>
      </c>
      <c r="J1852" s="16" t="inlineStr">
        <is>
          <t>Open posting</t>
        </is>
      </c>
      <c r="K1852" s="8" t="inlineStr">
        <is>
          <t>filtered by keyword pre-scan</t>
        </is>
      </c>
      <c r="L1852" s="17" t="inlineStr">
        <is>
          <t>new</t>
        </is>
      </c>
      <c r="M1852" s="18" t="inlineStr"/>
      <c r="N1852" s="7" t="inlineStr">
        <is>
          <t>784603b5a616c18a21874b3ec064b0fc6587b2fe</t>
        </is>
      </c>
      <c r="O1852" s="14" t="n">
        <v>46190</v>
      </c>
      <c r="P1852" s="7" t="inlineStr">
        <is>
          <t>jobspy</t>
        </is>
      </c>
      <c r="Q1852" s="8" t="inlineStr">
        <is>
          <t>c</t>
        </is>
      </c>
      <c r="R1852" s="8" t="inlineStr">
        <is>
          <t>Graduate Systems Engineer embedded hardware software</t>
        </is>
      </c>
      <c r="S1852" s="19" t="n"/>
      <c r="T1852" s="19" t="n"/>
      <c r="U1852" s="14" t="n">
        <v>46192</v>
      </c>
      <c r="V1852" s="7" t="inlineStr">
        <is>
          <t>v2-cv-accuracy-13b988b18da8ea7d</t>
        </is>
      </c>
    </row>
    <row r="1853" ht="28" customHeight="1">
      <c r="A1853" s="12">
        <f>IF($L1853="applied","Applied",IF($L1853="interview","Interview",IF($L1853="offer","Offer",IF($L1853="rejected","Rejected",IF($L1853="ignore","Ignore",IF($L1853="archive","Archive",IF($L1853="closed","Closed",IF($B1853="","Unscored",IF(AND($B1853&gt;=8,OR($H1853="",$H1853-TODAY()&lt;=14)),"P1 Apply",IF($B1853&gt;=7,"P2 Strong",IF($B1853&gt;=5,"P3 Maybe","P4 Low")))))))))))</f>
        <v/>
      </c>
      <c r="B1853" s="13" t="n">
        <v>0</v>
      </c>
      <c r="C1853" s="12" t="inlineStr">
        <is>
          <t>Senior/Lead</t>
        </is>
      </c>
      <c r="D1853" s="8" t="inlineStr">
        <is>
          <t>Senior Systems / Solutions Engineer</t>
        </is>
      </c>
      <c r="E1853" s="7" t="inlineStr">
        <is>
          <t>Auterion</t>
        </is>
      </c>
      <c r="F1853" s="8" t="inlineStr">
        <is>
          <t>London, England, UK</t>
        </is>
      </c>
      <c r="G1853" s="8" t="n"/>
      <c r="H1853" s="14" t="n"/>
      <c r="I1853" s="15">
        <f>IF($H1853="","",$H1853-TODAY())</f>
        <v/>
      </c>
      <c r="J1853" s="16" t="inlineStr">
        <is>
          <t>Open posting</t>
        </is>
      </c>
      <c r="K1853" s="8" t="inlineStr">
        <is>
          <t>filtered by keyword pre-scan</t>
        </is>
      </c>
      <c r="L1853" s="17" t="inlineStr">
        <is>
          <t>new</t>
        </is>
      </c>
      <c r="M1853" s="18" t="inlineStr"/>
      <c r="N1853" s="7" t="inlineStr">
        <is>
          <t>d438cde8fcfc4da482efebbf0eb220d2df01c98c</t>
        </is>
      </c>
      <c r="O1853" s="14" t="n">
        <v>46169</v>
      </c>
      <c r="P1853" s="7" t="inlineStr">
        <is>
          <t>jobspy</t>
        </is>
      </c>
      <c r="Q1853" s="8" t="inlineStr">
        <is>
          <t>c, embedded systems</t>
        </is>
      </c>
      <c r="R1853" s="8" t="inlineStr">
        <is>
          <t>Graduate Systems Engineer embedded hardware software</t>
        </is>
      </c>
      <c r="S1853" s="19" t="n"/>
      <c r="T1853" s="19" t="n"/>
      <c r="U1853" s="14" t="n">
        <v>46192</v>
      </c>
      <c r="V1853" s="7" t="inlineStr">
        <is>
          <t>v2-cv-accuracy-13b988b18da8ea7d</t>
        </is>
      </c>
    </row>
    <row r="1854" ht="28" customHeight="1">
      <c r="A1854" s="12">
        <f>IF($L1854="applied","Applied",IF($L1854="interview","Interview",IF($L1854="offer","Offer",IF($L1854="rejected","Rejected",IF($L1854="ignore","Ignore",IF($L1854="archive","Archive",IF($L1854="closed","Closed",IF($B1854="","Unscored",IF(AND($B1854&gt;=8,OR($H1854="",$H1854-TODAY()&lt;=14)),"P1 Apply",IF($B1854&gt;=7,"P2 Strong",IF($B1854&gt;=5,"P3 Maybe","P4 Low")))))))))))</f>
        <v/>
      </c>
      <c r="B1854" s="13" t="n">
        <v>0</v>
      </c>
      <c r="C1854" s="12" t="inlineStr">
        <is>
          <t>Junior</t>
        </is>
      </c>
      <c r="D1854" s="8" t="inlineStr">
        <is>
          <t>Data Engineer</t>
        </is>
      </c>
      <c r="E1854" s="7" t="inlineStr">
        <is>
          <t>Experis UK</t>
        </is>
      </c>
      <c r="F1854" s="8" t="inlineStr">
        <is>
          <t>Newcastle Upon Tyne, England, UK</t>
        </is>
      </c>
      <c r="G1854" s="8" t="n"/>
      <c r="H1854" s="14" t="n"/>
      <c r="I1854" s="15">
        <f>IF($H1854="","",$H1854-TODAY())</f>
        <v/>
      </c>
      <c r="J1854" s="16" t="inlineStr">
        <is>
          <t>Open posting</t>
        </is>
      </c>
      <c r="K1854" s="8" t="inlineStr">
        <is>
          <t>filtered by keyword pre-scan</t>
        </is>
      </c>
      <c r="L1854" s="17" t="inlineStr">
        <is>
          <t>new</t>
        </is>
      </c>
      <c r="M1854" s="18" t="inlineStr"/>
      <c r="N1854" s="7" t="inlineStr">
        <is>
          <t>02b4fa67c46d7e3ffe153f2efa189aed85a4fb5d</t>
        </is>
      </c>
      <c r="O1854" s="14" t="n">
        <v>46189</v>
      </c>
      <c r="P1854" s="7" t="inlineStr">
        <is>
          <t>jobspy</t>
        </is>
      </c>
      <c r="Q1854" s="8" t="inlineStr">
        <is>
          <t>python, sql, c</t>
        </is>
      </c>
      <c r="R1854" s="8" t="inlineStr">
        <is>
          <t>Graduate Data Engineer SQL Python pipeline</t>
        </is>
      </c>
      <c r="S1854" s="19" t="n"/>
      <c r="T1854" s="19" t="n"/>
      <c r="U1854" s="14" t="n">
        <v>46192</v>
      </c>
      <c r="V1854" s="7" t="inlineStr">
        <is>
          <t>v2-cv-accuracy-13b988b18da8ea7d</t>
        </is>
      </c>
    </row>
    <row r="1855" ht="28" customHeight="1">
      <c r="A1855" s="12">
        <f>IF($L1855="applied","Applied",IF($L1855="interview","Interview",IF($L1855="offer","Offer",IF($L1855="rejected","Rejected",IF($L1855="ignore","Ignore",IF($L1855="archive","Archive",IF($L1855="closed","Closed",IF($B1855="","Unscored",IF(AND($B1855&gt;=8,OR($H1855="",$H1855-TODAY()&lt;=14)),"P1 Apply",IF($B1855&gt;=7,"P2 Strong",IF($B1855&gt;=5,"P3 Maybe","P4 Low")))))))))))</f>
        <v/>
      </c>
      <c r="B1855" s="13" t="n">
        <v>0</v>
      </c>
      <c r="C1855" s="12" t="inlineStr">
        <is>
          <t>Unspecified</t>
        </is>
      </c>
      <c r="D1855" s="8" t="inlineStr">
        <is>
          <t>Data Engineer</t>
        </is>
      </c>
      <c r="E1855" s="7" t="inlineStr">
        <is>
          <t>Cyberteam</t>
        </is>
      </c>
      <c r="F1855" s="8" t="inlineStr">
        <is>
          <t>London Area, United Kingdom</t>
        </is>
      </c>
      <c r="G1855" s="8" t="n"/>
      <c r="H1855" s="14" t="n"/>
      <c r="I1855" s="15">
        <f>IF($H1855="","",$H1855-TODAY())</f>
        <v/>
      </c>
      <c r="J1855" s="16" t="inlineStr">
        <is>
          <t>Open posting</t>
        </is>
      </c>
      <c r="K1855" s="8" t="inlineStr">
        <is>
          <t>filtered by keyword pre-scan</t>
        </is>
      </c>
      <c r="L1855" s="17" t="inlineStr">
        <is>
          <t>new</t>
        </is>
      </c>
      <c r="M1855" s="18" t="inlineStr"/>
      <c r="N1855" s="7" t="inlineStr">
        <is>
          <t>5d01530962deb03687c030106f81acfbf59099c3</t>
        </is>
      </c>
      <c r="O1855" s="14" t="n">
        <v>46184</v>
      </c>
      <c r="P1855" s="7" t="inlineStr">
        <is>
          <t>jobspy</t>
        </is>
      </c>
      <c r="Q1855" s="8" t="inlineStr">
        <is>
          <t>python, sql, c</t>
        </is>
      </c>
      <c r="R1855" s="8" t="inlineStr">
        <is>
          <t>Graduate Data Engineer SQL Python pipeline</t>
        </is>
      </c>
      <c r="S1855" s="19" t="n"/>
      <c r="T1855" s="19" t="n"/>
      <c r="U1855" s="14" t="n">
        <v>46192</v>
      </c>
      <c r="V1855" s="7" t="inlineStr">
        <is>
          <t>v2-cv-accuracy-13b988b18da8ea7d</t>
        </is>
      </c>
    </row>
    <row r="1856" ht="28" customHeight="1">
      <c r="A1856" s="12">
        <f>IF($L1856="applied","Applied",IF($L1856="interview","Interview",IF($L1856="offer","Offer",IF($L1856="rejected","Rejected",IF($L1856="ignore","Ignore",IF($L1856="archive","Archive",IF($L1856="closed","Closed",IF($B1856="","Unscored",IF(AND($B1856&gt;=8,OR($H1856="",$H1856-TODAY()&lt;=14)),"P1 Apply",IF($B1856&gt;=7,"P2 Strong",IF($B1856&gt;=5,"P3 Maybe","P4 Low")))))))))))</f>
        <v/>
      </c>
      <c r="B1856" s="13" t="n">
        <v>0</v>
      </c>
      <c r="C1856" s="12" t="inlineStr">
        <is>
          <t>Senior/Lead</t>
        </is>
      </c>
      <c r="D1856" s="8" t="inlineStr">
        <is>
          <t>Lead Thermal Engineer</t>
        </is>
      </c>
      <c r="E1856" s="7" t="inlineStr">
        <is>
          <t>MBDA</t>
        </is>
      </c>
      <c r="F1856" s="8" t="inlineStr">
        <is>
          <t>Stevenage, ENG, GB</t>
        </is>
      </c>
      <c r="G1856" s="8" t="n"/>
      <c r="H1856" s="14" t="n"/>
      <c r="I1856" s="15">
        <f>IF($H1856="","",$H1856-TODAY())</f>
        <v/>
      </c>
      <c r="J1856" s="16" t="inlineStr">
        <is>
          <t>Open posting</t>
        </is>
      </c>
      <c r="K1856" s="8" t="inlineStr">
        <is>
          <t>filtered by keyword pre-scan</t>
        </is>
      </c>
      <c r="L1856" s="17" t="inlineStr">
        <is>
          <t>new</t>
        </is>
      </c>
      <c r="M1856" s="18" t="inlineStr"/>
      <c r="N1856" s="7" t="inlineStr">
        <is>
          <t>0f42285c19bc1812fd9f35109fdf95dc06bcbf4c</t>
        </is>
      </c>
      <c r="O1856" s="14" t="n">
        <v>46181</v>
      </c>
      <c r="P1856" s="7" t="inlineStr">
        <is>
          <t>jobspy</t>
        </is>
      </c>
      <c r="Q1856" s="8" t="inlineStr">
        <is>
          <t>python, c</t>
        </is>
      </c>
      <c r="R1856" s="8" t="inlineStr">
        <is>
          <t>Graduate Electronics Engineer remote UK</t>
        </is>
      </c>
      <c r="S1856" s="19" t="n"/>
      <c r="T1856" s="19" t="n"/>
      <c r="U1856" s="14" t="n">
        <v>46192</v>
      </c>
      <c r="V1856" s="7" t="inlineStr">
        <is>
          <t>v2-cv-accuracy-13b988b18da8ea7d</t>
        </is>
      </c>
    </row>
    <row r="1857" ht="28" customHeight="1">
      <c r="A1857" s="12">
        <f>IF($L1857="applied","Applied",IF($L1857="interview","Interview",IF($L1857="offer","Offer",IF($L1857="rejected","Rejected",IF($L1857="ignore","Ignore",IF($L1857="archive","Archive",IF($L1857="closed","Closed",IF($B1857="","Unscored",IF(AND($B1857&gt;=8,OR($H1857="",$H1857-TODAY()&lt;=14)),"P1 Apply",IF($B1857&gt;=7,"P2 Strong",IF($B1857&gt;=5,"P3 Maybe","P4 Low")))))))))))</f>
        <v/>
      </c>
      <c r="B1857" s="13" t="n">
        <v>0</v>
      </c>
      <c r="C1857" s="12" t="inlineStr">
        <is>
          <t>Senior/Lead</t>
        </is>
      </c>
      <c r="D1857" s="8" t="inlineStr">
        <is>
          <t>Senior Embedded Systems Engineer</t>
        </is>
      </c>
      <c r="E1857" s="7" t="inlineStr">
        <is>
          <t>Enterprise Recruitment Ltd</t>
        </is>
      </c>
      <c r="F1857" s="8" t="inlineStr">
        <is>
          <t>Nottingham, England, UK</t>
        </is>
      </c>
      <c r="G1857" s="8" t="n"/>
      <c r="H1857" s="14" t="n"/>
      <c r="I1857" s="15">
        <f>IF($H1857="","",$H1857-TODAY())</f>
        <v/>
      </c>
      <c r="J1857" s="16" t="inlineStr">
        <is>
          <t>Open posting</t>
        </is>
      </c>
      <c r="K1857" s="8" t="inlineStr">
        <is>
          <t>filtered by keyword pre-scan</t>
        </is>
      </c>
      <c r="L1857" s="17" t="inlineStr">
        <is>
          <t>new</t>
        </is>
      </c>
      <c r="M1857" s="18" t="inlineStr"/>
      <c r="N1857" s="7" t="inlineStr">
        <is>
          <t>627202878cb5bcc65a1cddff3be75aed533d9ca5</t>
        </is>
      </c>
      <c r="O1857" s="14" t="n"/>
      <c r="P1857" s="7" t="inlineStr">
        <is>
          <t>jobspy</t>
        </is>
      </c>
      <c r="Q1857" s="8" t="inlineStr">
        <is>
          <t>python, docker, c, embedded systems</t>
        </is>
      </c>
      <c r="R1857" s="8" t="inlineStr">
        <is>
          <t>Embedded Software Engineer Python C Raspberry Pi</t>
        </is>
      </c>
      <c r="S1857" s="19" t="n"/>
      <c r="T1857" s="19" t="n"/>
      <c r="U1857" s="14" t="n">
        <v>46192</v>
      </c>
      <c r="V1857" s="7" t="inlineStr">
        <is>
          <t>v2-cv-accuracy-13b988b18da8ea7d</t>
        </is>
      </c>
    </row>
    <row r="1858" ht="28" customHeight="1">
      <c r="A1858" s="12">
        <f>IF($L1858="applied","Applied",IF($L1858="interview","Interview",IF($L1858="offer","Offer",IF($L1858="rejected","Rejected",IF($L1858="ignore","Ignore",IF($L1858="archive","Archive",IF($L1858="closed","Closed",IF($B1858="","Unscored",IF(AND($B1858&gt;=8,OR($H1858="",$H1858-TODAY()&lt;=14)),"P1 Apply",IF($B1858&gt;=7,"P2 Strong",IF($B1858&gt;=5,"P3 Maybe","P4 Low")))))))))))</f>
        <v/>
      </c>
      <c r="B1858" s="13" t="n">
        <v>0</v>
      </c>
      <c r="C1858" s="12" t="inlineStr">
        <is>
          <t>Senior/Lead</t>
        </is>
      </c>
      <c r="D1858" s="8" t="inlineStr">
        <is>
          <t>Engineering Lab Infrastructure Lead</t>
        </is>
      </c>
      <c r="E1858" s="7" t="inlineStr">
        <is>
          <t>Graphcore</t>
        </is>
      </c>
      <c r="F1858" s="8" t="inlineStr">
        <is>
          <t>Bristol, UK</t>
        </is>
      </c>
      <c r="G1858" s="8" t="n"/>
      <c r="H1858" s="14" t="n"/>
      <c r="I1858" s="15">
        <f>IF($H1858="","",$H1858-TODAY())</f>
        <v/>
      </c>
      <c r="J1858" s="16" t="inlineStr">
        <is>
          <t>Open posting</t>
        </is>
      </c>
      <c r="K1858" s="8" t="inlineStr">
        <is>
          <t>filtered by keyword pre-scan</t>
        </is>
      </c>
      <c r="L1858" s="17" t="inlineStr">
        <is>
          <t>new</t>
        </is>
      </c>
      <c r="M1858" s="18" t="inlineStr"/>
      <c r="N1858" s="7" t="inlineStr">
        <is>
          <t>b8fa03857556ae7770a957daacc37403628c0ce6</t>
        </is>
      </c>
      <c r="O1858" s="14" t="n">
        <v>46192</v>
      </c>
      <c r="P1858" s="7" t="inlineStr">
        <is>
          <t>greenhouse:graphcore</t>
        </is>
      </c>
      <c r="Q1858" s="8" t="inlineStr">
        <is>
          <t>python, docker, kubernetes, git, c</t>
        </is>
      </c>
      <c r="R1858" s="8" t="n"/>
      <c r="S1858" s="19" t="n"/>
      <c r="T1858" s="19" t="n"/>
      <c r="U1858" s="14" t="n">
        <v>46192</v>
      </c>
      <c r="V1858" s="7" t="inlineStr">
        <is>
          <t>v2-cv-accuracy-13b988b18da8ea7d</t>
        </is>
      </c>
    </row>
    <row r="1859" ht="28" customHeight="1">
      <c r="A1859" s="12">
        <f>IF($L1859="applied","Applied",IF($L1859="interview","Interview",IF($L1859="offer","Offer",IF($L1859="rejected","Rejected",IF($L1859="ignore","Ignore",IF($L1859="archive","Archive",IF($L1859="closed","Closed",IF($B1859="","Unscored",IF(AND($B1859&gt;=8,OR($H1859="",$H1859-TODAY()&lt;=14)),"P1 Apply",IF($B1859&gt;=7,"P2 Strong",IF($B1859&gt;=5,"P3 Maybe","P4 Low")))))))))))</f>
        <v/>
      </c>
      <c r="B1859" s="13" t="n">
        <v>0</v>
      </c>
      <c r="C1859" s="12" t="inlineStr">
        <is>
          <t>Senior/Lead</t>
        </is>
      </c>
      <c r="D1859" s="8" t="inlineStr">
        <is>
          <t>Linux Engineering Lead</t>
        </is>
      </c>
      <c r="E1859" s="7" t="inlineStr">
        <is>
          <t>Graphcore</t>
        </is>
      </c>
      <c r="F1859" s="8" t="inlineStr">
        <is>
          <t>Bristol, UK</t>
        </is>
      </c>
      <c r="G1859" s="8" t="n"/>
      <c r="H1859" s="14" t="n"/>
      <c r="I1859" s="15">
        <f>IF($H1859="","",$H1859-TODAY())</f>
        <v/>
      </c>
      <c r="J1859" s="16" t="inlineStr">
        <is>
          <t>Open posting</t>
        </is>
      </c>
      <c r="K1859" s="8" t="inlineStr">
        <is>
          <t>filtered by keyword pre-scan</t>
        </is>
      </c>
      <c r="L1859" s="17" t="inlineStr">
        <is>
          <t>new</t>
        </is>
      </c>
      <c r="M1859" s="18" t="inlineStr"/>
      <c r="N1859" s="7" t="inlineStr">
        <is>
          <t>7b02ffc7f3fb7ed2158bd38cafd89e441d0c845d</t>
        </is>
      </c>
      <c r="O1859" s="14" t="n">
        <v>46192</v>
      </c>
      <c r="P1859" s="7" t="inlineStr">
        <is>
          <t>greenhouse:graphcore</t>
        </is>
      </c>
      <c r="Q1859" s="8" t="inlineStr">
        <is>
          <t>python, git, c</t>
        </is>
      </c>
      <c r="R1859" s="8" t="n"/>
      <c r="S1859" s="19" t="n"/>
      <c r="T1859" s="19" t="n"/>
      <c r="U1859" s="14" t="n">
        <v>46192</v>
      </c>
      <c r="V1859" s="7" t="inlineStr">
        <is>
          <t>v2-cv-accuracy-13b988b18da8ea7d</t>
        </is>
      </c>
    </row>
    <row r="1860" ht="28" customHeight="1">
      <c r="A1860" s="12">
        <f>IF($L1860="applied","Applied",IF($L1860="interview","Interview",IF($L1860="offer","Offer",IF($L1860="rejected","Rejected",IF($L1860="ignore","Ignore",IF($L1860="archive","Archive",IF($L1860="closed","Closed",IF($B1860="","Unscored",IF(AND($B1860&gt;=8,OR($H1860="",$H1860-TODAY()&lt;=14)),"P1 Apply",IF($B1860&gt;=7,"P2 Strong",IF($B1860&gt;=5,"P3 Maybe","P4 Low")))))))))))</f>
        <v/>
      </c>
      <c r="B1860" s="13" t="n">
        <v>0</v>
      </c>
      <c r="C1860" s="12" t="inlineStr">
        <is>
          <t>Senior/Lead</t>
        </is>
      </c>
      <c r="D1860" s="8" t="inlineStr">
        <is>
          <t>Senior Financial Crime Investigator - Business Banking</t>
        </is>
      </c>
      <c r="E1860" s="7" t="inlineStr">
        <is>
          <t>Monzo</t>
        </is>
      </c>
      <c r="F1860" s="8" t="inlineStr">
        <is>
          <t>Remote (UK)</t>
        </is>
      </c>
      <c r="G1860" s="8" t="n"/>
      <c r="H1860" s="14" t="n"/>
      <c r="I1860" s="15">
        <f>IF($H1860="","",$H1860-TODAY())</f>
        <v/>
      </c>
      <c r="J1860" s="16" t="inlineStr">
        <is>
          <t>Open posting</t>
        </is>
      </c>
      <c r="K1860" s="8" t="inlineStr">
        <is>
          <t>filtered by keyword pre-scan</t>
        </is>
      </c>
      <c r="L1860" s="17" t="inlineStr">
        <is>
          <t>new</t>
        </is>
      </c>
      <c r="M1860" s="18" t="inlineStr"/>
      <c r="N1860" s="7" t="inlineStr">
        <is>
          <t>44d200adad6558500e8d08d95e9868d13939720f</t>
        </is>
      </c>
      <c r="O1860" s="14" t="n">
        <v>46192</v>
      </c>
      <c r="P1860" s="7" t="inlineStr">
        <is>
          <t>greenhouse:monzo</t>
        </is>
      </c>
      <c r="Q1860" s="8" t="inlineStr">
        <is>
          <t>c</t>
        </is>
      </c>
      <c r="R1860" s="8" t="n"/>
      <c r="S1860" s="19" t="n"/>
      <c r="T1860" s="19" t="n"/>
      <c r="U1860" s="14" t="n">
        <v>46192</v>
      </c>
      <c r="V1860" s="7" t="inlineStr">
        <is>
          <t>v2-cv-accuracy-13b988b18da8ea7d</t>
        </is>
      </c>
    </row>
    <row r="1861" ht="28" customHeight="1">
      <c r="A1861" s="12">
        <f>IF($L1861="applied","Applied",IF($L1861="interview","Interview",IF($L1861="offer","Offer",IF($L1861="rejected","Rejected",IF($L1861="ignore","Ignore",IF($L1861="archive","Archive",IF($L1861="closed","Closed",IF($B1861="","Unscored",IF(AND($B1861&gt;=8,OR($H1861="",$H1861-TODAY()&lt;=14)),"P1 Apply",IF($B1861&gt;=7,"P2 Strong",IF($B1861&gt;=5,"P3 Maybe","P4 Low")))))))))))</f>
        <v/>
      </c>
      <c r="B1861" s="13" t="n">
        <v>0</v>
      </c>
      <c r="C1861" s="12" t="inlineStr">
        <is>
          <t>Manager/Owner</t>
        </is>
      </c>
      <c r="D1861" s="8" t="inlineStr">
        <is>
          <t>Treasury Risk Manager</t>
        </is>
      </c>
      <c r="E1861" s="7" t="inlineStr">
        <is>
          <t>Monzo</t>
        </is>
      </c>
      <c r="F1861" s="8" t="inlineStr">
        <is>
          <t>Cardiff, London or Remote (UK)</t>
        </is>
      </c>
      <c r="G1861" s="8" t="n"/>
      <c r="H1861" s="14" t="n"/>
      <c r="I1861" s="15">
        <f>IF($H1861="","",$H1861-TODAY())</f>
        <v/>
      </c>
      <c r="J1861" s="16" t="inlineStr">
        <is>
          <t>Open posting</t>
        </is>
      </c>
      <c r="K1861" s="8" t="inlineStr">
        <is>
          <t>filtered by keyword pre-scan</t>
        </is>
      </c>
      <c r="L1861" s="17" t="inlineStr">
        <is>
          <t>new</t>
        </is>
      </c>
      <c r="M1861" s="18" t="inlineStr"/>
      <c r="N1861" s="7" t="inlineStr">
        <is>
          <t>d617ea9318f5a8f045c3bf9a76928fb7fd3abd10</t>
        </is>
      </c>
      <c r="O1861" s="14" t="n">
        <v>46192</v>
      </c>
      <c r="P1861" s="7" t="inlineStr">
        <is>
          <t>greenhouse:monzo</t>
        </is>
      </c>
      <c r="Q1861" s="8" t="inlineStr">
        <is>
          <t>c</t>
        </is>
      </c>
      <c r="R1861" s="8" t="n"/>
      <c r="S1861" s="19" t="n"/>
      <c r="T1861" s="19" t="n"/>
      <c r="U1861" s="14" t="n">
        <v>46192</v>
      </c>
      <c r="V1861" s="7" t="inlineStr">
        <is>
          <t>v2-cv-accuracy-13b988b18da8ea7d</t>
        </is>
      </c>
    </row>
    <row r="1862" ht="28" customHeight="1">
      <c r="A1862" s="12">
        <f>IF($L1862="applied","Applied",IF($L1862="interview","Interview",IF($L1862="offer","Offer",IF($L1862="rejected","Rejected",IF($L1862="ignore","Ignore",IF($L1862="archive","Archive",IF($L1862="closed","Closed",IF($B1862="","Unscored",IF(AND($B1862&gt;=8,OR($H1862="",$H1862-TODAY()&lt;=14)),"P1 Apply",IF($B1862&gt;=7,"P2 Strong",IF($B1862&gt;=5,"P3 Maybe","P4 Low")))))))))))</f>
        <v/>
      </c>
      <c r="B1862" s="13" t="n">
        <v>0</v>
      </c>
      <c r="C1862" s="12" t="inlineStr">
        <is>
          <t>Senior/Lead</t>
        </is>
      </c>
      <c r="D1862" s="8" t="inlineStr">
        <is>
          <t>Systems Engineer - Time and synchronisation</t>
        </is>
      </c>
      <c r="E1862" s="7" t="inlineStr">
        <is>
          <t>GMV</t>
        </is>
      </c>
      <c r="F1862" s="8" t="inlineStr">
        <is>
          <t>Oxfordshire, England, UK</t>
        </is>
      </c>
      <c r="G1862" s="8" t="n"/>
      <c r="H1862" s="14" t="n"/>
      <c r="I1862" s="15">
        <f>IF($H1862="","",$H1862-TODAY())</f>
        <v/>
      </c>
      <c r="J1862" s="16" t="inlineStr">
        <is>
          <t>Open posting</t>
        </is>
      </c>
      <c r="K1862" s="8" t="inlineStr">
        <is>
          <t>filtered by keyword pre-scan</t>
        </is>
      </c>
      <c r="L1862" s="17" t="inlineStr">
        <is>
          <t>new</t>
        </is>
      </c>
      <c r="M1862" s="18" t="inlineStr"/>
      <c r="N1862" s="7" t="inlineStr">
        <is>
          <t>5a34a07c8437c6010621683f012b96ae8baaf4ef</t>
        </is>
      </c>
      <c r="O1862" s="14" t="n">
        <v>46184</v>
      </c>
      <c r="P1862" s="7" t="inlineStr">
        <is>
          <t>jobspy</t>
        </is>
      </c>
      <c r="Q1862" s="8" t="inlineStr">
        <is>
          <t>python, docker, git, c</t>
        </is>
      </c>
      <c r="R1862" s="8" t="inlineStr">
        <is>
          <t>Graduate Systems Engineer hardware software</t>
        </is>
      </c>
      <c r="S1862" s="19" t="n"/>
      <c r="T1862" s="19" t="n"/>
      <c r="U1862" s="14" t="n">
        <v>46192</v>
      </c>
      <c r="V1862" s="7" t="inlineStr">
        <is>
          <t>v2-cv-accuracy-13b988b18da8ea7d</t>
        </is>
      </c>
    </row>
    <row r="1863" ht="28" customHeight="1">
      <c r="A1863" s="12">
        <f>IF($L1863="applied","Applied",IF($L1863="interview","Interview",IF($L1863="offer","Offer",IF($L1863="rejected","Rejected",IF($L1863="ignore","Ignore",IF($L1863="archive","Archive",IF($L1863="closed","Closed",IF($B1863="","Unscored",IF(AND($B1863&gt;=8,OR($H1863="",$H1863-TODAY()&lt;=14)),"P1 Apply",IF($B1863&gt;=7,"P2 Strong",IF($B1863&gt;=5,"P3 Maybe","P4 Low")))))))))))</f>
        <v/>
      </c>
      <c r="B1863" s="13" t="n">
        <v>0</v>
      </c>
      <c r="C1863" s="12" t="inlineStr">
        <is>
          <t>Senior/Lead</t>
        </is>
      </c>
      <c r="D1863" s="8" t="inlineStr">
        <is>
          <t>Senior Systems Engineer</t>
        </is>
      </c>
      <c r="E1863" s="7" t="inlineStr">
        <is>
          <t>General Dynamics UK Limited</t>
        </is>
      </c>
      <c r="F1863" s="8" t="inlineStr">
        <is>
          <t>Hastings, England, UK</t>
        </is>
      </c>
      <c r="G1863" s="8" t="n"/>
      <c r="H1863" s="14" t="n"/>
      <c r="I1863" s="15">
        <f>IF($H1863="","",$H1863-TODAY())</f>
        <v/>
      </c>
      <c r="J1863" s="16" t="inlineStr">
        <is>
          <t>Open posting</t>
        </is>
      </c>
      <c r="K1863" s="8" t="inlineStr">
        <is>
          <t>filtered by keyword pre-scan</t>
        </is>
      </c>
      <c r="L1863" s="17" t="inlineStr">
        <is>
          <t>new</t>
        </is>
      </c>
      <c r="M1863" s="18" t="inlineStr"/>
      <c r="N1863" s="7" t="inlineStr">
        <is>
          <t>8f53f7e596b2cee66edbb27045e7f3a7c0d1eb2c</t>
        </is>
      </c>
      <c r="O1863" s="14" t="n">
        <v>46181</v>
      </c>
      <c r="P1863" s="7" t="inlineStr">
        <is>
          <t>jobspy</t>
        </is>
      </c>
      <c r="Q1863" s="8" t="inlineStr">
        <is>
          <t>c</t>
        </is>
      </c>
      <c r="R1863" s="8" t="inlineStr">
        <is>
          <t>Graduate Systems Engineer hardware software</t>
        </is>
      </c>
      <c r="S1863" s="19" t="n"/>
      <c r="T1863" s="19" t="n"/>
      <c r="U1863" s="14" t="n">
        <v>46192</v>
      </c>
      <c r="V1863" s="7" t="inlineStr">
        <is>
          <t>v2-cv-accuracy-13b988b18da8ea7d</t>
        </is>
      </c>
    </row>
    <row r="1864" ht="28" customHeight="1">
      <c r="A1864" s="12">
        <f>IF($L1864="applied","Applied",IF($L1864="interview","Interview",IF($L1864="offer","Offer",IF($L1864="rejected","Rejected",IF($L1864="ignore","Ignore",IF($L1864="archive","Archive",IF($L1864="closed","Closed",IF($B1864="","Unscored",IF(AND($B1864&gt;=8,OR($H1864="",$H1864-TODAY()&lt;=14)),"P1 Apply",IF($B1864&gt;=7,"P2 Strong",IF($B1864&gt;=5,"P3 Maybe","P4 Low")))))))))))</f>
        <v/>
      </c>
      <c r="B1864" s="13" t="n">
        <v>0</v>
      </c>
      <c r="C1864" s="12" t="inlineStr">
        <is>
          <t>Senior/Lead</t>
        </is>
      </c>
      <c r="D1864" s="8" t="inlineStr">
        <is>
          <t>Senior Systems Engineer</t>
        </is>
      </c>
      <c r="E1864" s="7" t="inlineStr">
        <is>
          <t>Indra Group UK &amp; Ireland</t>
        </is>
      </c>
      <c r="F1864" s="8" t="inlineStr">
        <is>
          <t>Market Deeping, England, UK</t>
        </is>
      </c>
      <c r="G1864" s="8" t="n"/>
      <c r="H1864" s="14" t="n"/>
      <c r="I1864" s="15">
        <f>IF($H1864="","",$H1864-TODAY())</f>
        <v/>
      </c>
      <c r="J1864" s="16" t="inlineStr">
        <is>
          <t>Open posting</t>
        </is>
      </c>
      <c r="K1864" s="8" t="inlineStr">
        <is>
          <t>filtered by keyword pre-scan</t>
        </is>
      </c>
      <c r="L1864" s="17" t="inlineStr">
        <is>
          <t>new</t>
        </is>
      </c>
      <c r="M1864" s="18" t="inlineStr"/>
      <c r="N1864" s="7" t="inlineStr">
        <is>
          <t>42b0adc07b1b256d60338be8fa4acf2982b32e30</t>
        </is>
      </c>
      <c r="O1864" s="14" t="n">
        <v>46178</v>
      </c>
      <c r="P1864" s="7" t="inlineStr">
        <is>
          <t>jobspy</t>
        </is>
      </c>
      <c r="Q1864" s="8" t="inlineStr">
        <is>
          <t>c, hardware design</t>
        </is>
      </c>
      <c r="R1864" s="8" t="inlineStr">
        <is>
          <t>Graduate Systems Engineer hardware software</t>
        </is>
      </c>
      <c r="S1864" s="19" t="n"/>
      <c r="T1864" s="19" t="n"/>
      <c r="U1864" s="14" t="n">
        <v>46192</v>
      </c>
      <c r="V1864" s="7" t="inlineStr">
        <is>
          <t>v2-cv-accuracy-13b988b18da8ea7d</t>
        </is>
      </c>
    </row>
    <row r="1865" ht="28" customHeight="1">
      <c r="A1865" s="12">
        <f>IF($L1865="applied","Applied",IF($L1865="interview","Interview",IF($L1865="offer","Offer",IF($L1865="rejected","Rejected",IF($L1865="ignore","Ignore",IF($L1865="archive","Archive",IF($L1865="closed","Closed",IF($B1865="","Unscored",IF(AND($B1865&gt;=8,OR($H1865="",$H1865-TODAY()&lt;=14)),"P1 Apply",IF($B1865&gt;=7,"P2 Strong",IF($B1865&gt;=5,"P3 Maybe","P4 Low")))))))))))</f>
        <v/>
      </c>
      <c r="B1865" s="13" t="n">
        <v>0</v>
      </c>
      <c r="C1865" s="12" t="inlineStr">
        <is>
          <t>Senior/Lead</t>
        </is>
      </c>
      <c r="D1865" s="8" t="inlineStr">
        <is>
          <t>Senior Support Systems Engineer</t>
        </is>
      </c>
      <c r="E1865" s="7" t="inlineStr">
        <is>
          <t>NewSpace Technical</t>
        </is>
      </c>
      <c r="F1865" s="8" t="inlineStr">
        <is>
          <t>Glasgow, Scotland, UK</t>
        </is>
      </c>
      <c r="G1865" s="8" t="n"/>
      <c r="H1865" s="14" t="n"/>
      <c r="I1865" s="15">
        <f>IF($H1865="","",$H1865-TODAY())</f>
        <v/>
      </c>
      <c r="J1865" s="16" t="inlineStr">
        <is>
          <t>Open posting</t>
        </is>
      </c>
      <c r="K1865" s="8" t="inlineStr">
        <is>
          <t>filtered by keyword pre-scan</t>
        </is>
      </c>
      <c r="L1865" s="17" t="inlineStr">
        <is>
          <t>new</t>
        </is>
      </c>
      <c r="M1865" s="18" t="inlineStr"/>
      <c r="N1865" s="7" t="inlineStr">
        <is>
          <t>833d9a5e50963a4d5561eac4bc5a8bf227a18712</t>
        </is>
      </c>
      <c r="O1865" s="14" t="n">
        <v>46177</v>
      </c>
      <c r="P1865" s="7" t="inlineStr">
        <is>
          <t>jobspy</t>
        </is>
      </c>
      <c r="Q1865" s="8" t="inlineStr">
        <is>
          <t>c</t>
        </is>
      </c>
      <c r="R1865" s="8" t="inlineStr">
        <is>
          <t>Graduate Systems Engineer hardware software</t>
        </is>
      </c>
      <c r="S1865" s="19" t="n"/>
      <c r="T1865" s="19" t="n"/>
      <c r="U1865" s="14" t="n">
        <v>46192</v>
      </c>
      <c r="V1865" s="7" t="inlineStr">
        <is>
          <t>v2-cv-accuracy-13b988b18da8ea7d</t>
        </is>
      </c>
    </row>
    <row r="1866" ht="28" customHeight="1">
      <c r="A1866" s="12">
        <f>IF($L1866="applied","Applied",IF($L1866="interview","Interview",IF($L1866="offer","Offer",IF($L1866="rejected","Rejected",IF($L1866="ignore","Ignore",IF($L1866="archive","Archive",IF($L1866="closed","Closed",IF($B1866="","Unscored",IF(AND($B1866&gt;=8,OR($H1866="",$H1866-TODAY()&lt;=14)),"P1 Apply",IF($B1866&gt;=7,"P2 Strong",IF($B1866&gt;=5,"P3 Maybe","P4 Low")))))))))))</f>
        <v/>
      </c>
      <c r="B1866" s="13" t="n">
        <v>0</v>
      </c>
      <c r="C1866" s="12" t="inlineStr">
        <is>
          <t>Senior/Lead</t>
        </is>
      </c>
      <c r="D1866" s="8" t="inlineStr">
        <is>
          <t>Senior System Engineer</t>
        </is>
      </c>
      <c r="E1866" s="7" t="inlineStr">
        <is>
          <t>HCLTech</t>
        </is>
      </c>
      <c r="F1866" s="8" t="inlineStr">
        <is>
          <t>Rocester, England, UK</t>
        </is>
      </c>
      <c r="G1866" s="8" t="n"/>
      <c r="H1866" s="14" t="n"/>
      <c r="I1866" s="15">
        <f>IF($H1866="","",$H1866-TODAY())</f>
        <v/>
      </c>
      <c r="J1866" s="16" t="inlineStr">
        <is>
          <t>Open posting</t>
        </is>
      </c>
      <c r="K1866" s="8" t="inlineStr">
        <is>
          <t>filtered by keyword pre-scan</t>
        </is>
      </c>
      <c r="L1866" s="17" t="inlineStr">
        <is>
          <t>new</t>
        </is>
      </c>
      <c r="M1866" s="18" t="inlineStr"/>
      <c r="N1866" s="7" t="inlineStr">
        <is>
          <t>5180665752e81da9981e955e4112bcb6a1cf368a</t>
        </is>
      </c>
      <c r="O1866" s="14" t="n">
        <v>46169</v>
      </c>
      <c r="P1866" s="7" t="inlineStr">
        <is>
          <t>jobspy</t>
        </is>
      </c>
      <c r="Q1866" s="8" t="inlineStr">
        <is>
          <t>git, c, embedded systems</t>
        </is>
      </c>
      <c r="R1866" s="8" t="inlineStr">
        <is>
          <t>Graduate Systems Engineer hardware software</t>
        </is>
      </c>
      <c r="S1866" s="19" t="n"/>
      <c r="T1866" s="19" t="n"/>
      <c r="U1866" s="14" t="n">
        <v>46192</v>
      </c>
      <c r="V1866" s="7" t="inlineStr">
        <is>
          <t>v2-cv-accuracy-13b988b18da8ea7d</t>
        </is>
      </c>
    </row>
    <row r="1867" ht="28" customHeight="1">
      <c r="A1867" s="12">
        <f>IF($L1867="applied","Applied",IF($L1867="interview","Interview",IF($L1867="offer","Offer",IF($L1867="rejected","Rejected",IF($L1867="ignore","Ignore",IF($L1867="archive","Archive",IF($L1867="closed","Closed",IF($B1867="","Unscored",IF(AND($B1867&gt;=8,OR($H1867="",$H1867-TODAY()&lt;=14)),"P1 Apply",IF($B1867&gt;=7,"P2 Strong",IF($B1867&gt;=5,"P3 Maybe","P4 Low")))))))))))</f>
        <v/>
      </c>
      <c r="B1867" s="13" t="n">
        <v>0</v>
      </c>
      <c r="C1867" s="12" t="inlineStr">
        <is>
          <t>Senior/Lead</t>
        </is>
      </c>
      <c r="D1867" s="8" t="inlineStr">
        <is>
          <t>Senior Embedded Software Engineer</t>
        </is>
      </c>
      <c r="E1867" s="7" t="inlineStr">
        <is>
          <t>X4 Technology</t>
        </is>
      </c>
      <c r="F1867" s="8" t="inlineStr">
        <is>
          <t>Birmingham, England, UK</t>
        </is>
      </c>
      <c r="G1867" s="8" t="n"/>
      <c r="H1867" s="14" t="n"/>
      <c r="I1867" s="15">
        <f>IF($H1867="","",$H1867-TODAY())</f>
        <v/>
      </c>
      <c r="J1867" s="16" t="inlineStr">
        <is>
          <t>Open posting</t>
        </is>
      </c>
      <c r="K1867" s="8" t="inlineStr">
        <is>
          <t>filtered by keyword pre-scan</t>
        </is>
      </c>
      <c r="L1867" s="17" t="inlineStr">
        <is>
          <t>new</t>
        </is>
      </c>
      <c r="M1867" s="18" t="inlineStr"/>
      <c r="N1867" s="7" t="inlineStr">
        <is>
          <t>f88f26ab3fd58e8223f1d3872830ce0e948f6aa3</t>
        </is>
      </c>
      <c r="O1867" s="14" t="n">
        <v>46191</v>
      </c>
      <c r="P1867" s="7" t="inlineStr">
        <is>
          <t>jobspy</t>
        </is>
      </c>
      <c r="Q1867" s="8" t="inlineStr">
        <is>
          <t>stm32, git, c</t>
        </is>
      </c>
      <c r="R1867" s="8" t="inlineStr">
        <is>
          <t>Junior Embedded Software Engineer STM32</t>
        </is>
      </c>
      <c r="S1867" s="19" t="n"/>
      <c r="T1867" s="19" t="n"/>
      <c r="U1867" s="14" t="n">
        <v>46192</v>
      </c>
      <c r="V1867" s="7" t="inlineStr">
        <is>
          <t>v2-cv-accuracy-13b988b18da8ea7d</t>
        </is>
      </c>
    </row>
    <row r="1868" ht="28" customHeight="1">
      <c r="A1868" s="12">
        <f>IF($L1868="applied","Applied",IF($L1868="interview","Interview",IF($L1868="offer","Offer",IF($L1868="rejected","Rejected",IF($L1868="ignore","Ignore",IF($L1868="archive","Archive",IF($L1868="closed","Closed",IF($B1868="","Unscored",IF(AND($B1868&gt;=8,OR($H1868="",$H1868-TODAY()&lt;=14)),"P1 Apply",IF($B1868&gt;=7,"P2 Strong",IF($B1868&gt;=5,"P3 Maybe","P4 Low")))))))))))</f>
        <v/>
      </c>
      <c r="B1868" s="13" t="n">
        <v>0</v>
      </c>
      <c r="C1868" s="12" t="inlineStr">
        <is>
          <t>Senior/Lead</t>
        </is>
      </c>
      <c r="D1868" s="8" t="inlineStr">
        <is>
          <t>Senior Embedded Software Engineer</t>
        </is>
      </c>
      <c r="E1868" s="7" t="inlineStr">
        <is>
          <t>KO2 Embedded Recruitment Solutions Ltd</t>
        </is>
      </c>
      <c r="F1868" s="8" t="inlineStr">
        <is>
          <t>Worthing, England, UK</t>
        </is>
      </c>
      <c r="G1868" s="8" t="n"/>
      <c r="H1868" s="14" t="n"/>
      <c r="I1868" s="15">
        <f>IF($H1868="","",$H1868-TODAY())</f>
        <v/>
      </c>
      <c r="J1868" s="16" t="inlineStr">
        <is>
          <t>Open posting</t>
        </is>
      </c>
      <c r="K1868" s="8" t="inlineStr">
        <is>
          <t>filtered by keyword pre-scan</t>
        </is>
      </c>
      <c r="L1868" s="17" t="inlineStr">
        <is>
          <t>new</t>
        </is>
      </c>
      <c r="M1868" s="18" t="inlineStr"/>
      <c r="N1868" s="7" t="inlineStr">
        <is>
          <t>26064c26f4ca2e1ce66716f49d7b1cf02c93d375</t>
        </is>
      </c>
      <c r="O1868" s="14" t="n"/>
      <c r="P1868" s="7" t="inlineStr">
        <is>
          <t>jobspy</t>
        </is>
      </c>
      <c r="Q1868" s="8" t="inlineStr">
        <is>
          <t>stm32, c, embedded systems</t>
        </is>
      </c>
      <c r="R1868" s="8" t="inlineStr">
        <is>
          <t>Junior Embedded Software Engineer STM32</t>
        </is>
      </c>
      <c r="S1868" s="19" t="n"/>
      <c r="T1868" s="19" t="n"/>
      <c r="U1868" s="14" t="n">
        <v>46192</v>
      </c>
      <c r="V1868" s="7" t="inlineStr">
        <is>
          <t>v2-cv-accuracy-13b988b18da8ea7d</t>
        </is>
      </c>
    </row>
    <row r="1869" ht="28" customHeight="1">
      <c r="A1869" s="12">
        <f>IF($L1869="applied","Applied",IF($L1869="interview","Interview",IF($L1869="offer","Offer",IF($L1869="rejected","Rejected",IF($L1869="ignore","Ignore",IF($L1869="archive","Archive",IF($L1869="closed","Closed",IF($B1869="","Unscored",IF(AND($B1869&gt;=8,OR($H1869="",$H1869-TODAY()&lt;=14)),"P1 Apply",IF($B1869&gt;=7,"P2 Strong",IF($B1869&gt;=5,"P3 Maybe","P4 Low")))))))))))</f>
        <v/>
      </c>
      <c r="B1869" s="13" t="n">
        <v>0</v>
      </c>
      <c r="C1869" s="12" t="inlineStr">
        <is>
          <t>Senior/Lead</t>
        </is>
      </c>
      <c r="D1869" s="8" t="inlineStr">
        <is>
          <t>Senior Embedded Software Engineer</t>
        </is>
      </c>
      <c r="E1869" s="7" t="inlineStr">
        <is>
          <t>X4 Technology</t>
        </is>
      </c>
      <c r="F1869" s="8" t="inlineStr">
        <is>
          <t>Birmingham, England, UK</t>
        </is>
      </c>
      <c r="G1869" s="8" t="n"/>
      <c r="H1869" s="14" t="n"/>
      <c r="I1869" s="15">
        <f>IF($H1869="","",$H1869-TODAY())</f>
        <v/>
      </c>
      <c r="J1869" s="16" t="inlineStr">
        <is>
          <t>Open posting</t>
        </is>
      </c>
      <c r="K1869" s="8" t="inlineStr">
        <is>
          <t>filtered by keyword pre-scan</t>
        </is>
      </c>
      <c r="L1869" s="17" t="inlineStr">
        <is>
          <t>new</t>
        </is>
      </c>
      <c r="M1869" s="18" t="inlineStr"/>
      <c r="N1869" s="7" t="inlineStr">
        <is>
          <t>2840d17db209c776cba9b1d966281ccc50174723</t>
        </is>
      </c>
      <c r="O1869" s="14" t="n"/>
      <c r="P1869" s="7" t="inlineStr">
        <is>
          <t>jobspy</t>
        </is>
      </c>
      <c r="Q1869" s="8" t="inlineStr">
        <is>
          <t>stm32, git, c</t>
        </is>
      </c>
      <c r="R1869" s="8" t="inlineStr">
        <is>
          <t>Junior Embedded Software Engineer STM32</t>
        </is>
      </c>
      <c r="S1869" s="19" t="n"/>
      <c r="T1869" s="19" t="n"/>
      <c r="U1869" s="14" t="n">
        <v>46192</v>
      </c>
      <c r="V1869" s="7" t="inlineStr">
        <is>
          <t>v2-cv-accuracy-13b988b18da8ea7d</t>
        </is>
      </c>
    </row>
    <row r="1870" ht="28" customHeight="1">
      <c r="A1870" s="12">
        <f>IF($L1870="applied","Applied",IF($L1870="interview","Interview",IF($L1870="offer","Offer",IF($L1870="rejected","Rejected",IF($L1870="ignore","Ignore",IF($L1870="archive","Archive",IF($L1870="closed","Closed",IF($B1870="","Unscored",IF(AND($B1870&gt;=8,OR($H1870="",$H1870-TODAY()&lt;=14)),"P1 Apply",IF($B1870&gt;=7,"P2 Strong",IF($B1870&gt;=5,"P3 Maybe","P4 Low")))))))))))</f>
        <v/>
      </c>
      <c r="B1870" s="13" t="n">
        <v>0</v>
      </c>
      <c r="C1870" s="12" t="inlineStr">
        <is>
          <t>Senior/Lead</t>
        </is>
      </c>
      <c r="D1870" s="8" t="inlineStr">
        <is>
          <t>Principal Design &amp; Verification Engineer - Datapath &amp; Algorithms</t>
        </is>
      </c>
      <c r="E1870" s="7" t="inlineStr">
        <is>
          <t>IC Resources</t>
        </is>
      </c>
      <c r="F1870" s="8" t="inlineStr">
        <is>
          <t>Cambridgeshire, England, UK</t>
        </is>
      </c>
      <c r="G1870" s="8" t="n"/>
      <c r="H1870" s="14" t="n"/>
      <c r="I1870" s="15">
        <f>IF($H1870="","",$H1870-TODAY())</f>
        <v/>
      </c>
      <c r="J1870" s="16" t="inlineStr">
        <is>
          <t>Open posting</t>
        </is>
      </c>
      <c r="K1870" s="8" t="inlineStr">
        <is>
          <t>filtered by keyword pre-scan</t>
        </is>
      </c>
      <c r="L1870" s="17" t="inlineStr">
        <is>
          <t>new</t>
        </is>
      </c>
      <c r="M1870" s="18" t="inlineStr"/>
      <c r="N1870" s="7" t="inlineStr">
        <is>
          <t>3a4d1d3beb09d0044b7c92223b19b7a593962ef6</t>
        </is>
      </c>
      <c r="O1870" s="14" t="n">
        <v>46189</v>
      </c>
      <c r="P1870" s="7" t="inlineStr">
        <is>
          <t>jobspy</t>
        </is>
      </c>
      <c r="Q1870" s="8" t="inlineStr">
        <is>
          <t>verilog, c</t>
        </is>
      </c>
      <c r="R1870" s="8" t="inlineStr">
        <is>
          <t>Graduate Digital Design Engineer FPGA</t>
        </is>
      </c>
      <c r="S1870" s="19" t="n"/>
      <c r="T1870" s="19" t="n"/>
      <c r="U1870" s="14" t="n">
        <v>46192</v>
      </c>
      <c r="V1870" s="7" t="inlineStr">
        <is>
          <t>v2-cv-accuracy-13b988b18da8ea7d</t>
        </is>
      </c>
    </row>
    <row r="1871" ht="28" customHeight="1">
      <c r="A1871" s="12">
        <f>IF($L1871="applied","Applied",IF($L1871="interview","Interview",IF($L1871="offer","Offer",IF($L1871="rejected","Rejected",IF($L1871="ignore","Ignore",IF($L1871="archive","Archive",IF($L1871="closed","Closed",IF($B1871="","Unscored",IF(AND($B1871&gt;=8,OR($H1871="",$H1871-TODAY()&lt;=14)),"P1 Apply",IF($B1871&gt;=7,"P2 Strong",IF($B1871&gt;=5,"P3 Maybe","P4 Low")))))))))))</f>
        <v/>
      </c>
      <c r="B1871" s="13" t="n">
        <v>0</v>
      </c>
      <c r="C1871" s="12" t="inlineStr">
        <is>
          <t>Senior/Lead</t>
        </is>
      </c>
      <c r="D1871" s="8" t="inlineStr">
        <is>
          <t>Principal Digital Design Engineer, Automotive</t>
        </is>
      </c>
      <c r="E1871" s="7" t="inlineStr">
        <is>
          <t>NXP Semiconductors</t>
        </is>
      </c>
      <c r="F1871" s="8" t="inlineStr">
        <is>
          <t>Glasgow, Scotland, UK</t>
        </is>
      </c>
      <c r="G1871" s="8" t="n"/>
      <c r="H1871" s="14" t="n"/>
      <c r="I1871" s="15">
        <f>IF($H1871="","",$H1871-TODAY())</f>
        <v/>
      </c>
      <c r="J1871" s="16" t="inlineStr">
        <is>
          <t>Open posting</t>
        </is>
      </c>
      <c r="K1871" s="8" t="inlineStr">
        <is>
          <t>filtered by keyword pre-scan</t>
        </is>
      </c>
      <c r="L1871" s="17" t="inlineStr">
        <is>
          <t>new</t>
        </is>
      </c>
      <c r="M1871" s="18" t="inlineStr"/>
      <c r="N1871" s="7" t="inlineStr">
        <is>
          <t>caf50a1ee1c5d438013e386ab543b77127fb8a99</t>
        </is>
      </c>
      <c r="O1871" s="14" t="n">
        <v>46185</v>
      </c>
      <c r="P1871" s="7" t="inlineStr">
        <is>
          <t>jobspy</t>
        </is>
      </c>
      <c r="Q1871" s="8" t="inlineStr">
        <is>
          <t>verilog, git, c, digital design</t>
        </is>
      </c>
      <c r="R1871" s="8" t="inlineStr">
        <is>
          <t>Graduate Digital Design Engineer FPGA</t>
        </is>
      </c>
      <c r="S1871" s="19" t="n"/>
      <c r="T1871" s="19" t="n"/>
      <c r="U1871" s="14" t="n">
        <v>46192</v>
      </c>
      <c r="V1871" s="7" t="inlineStr">
        <is>
          <t>v2-cv-accuracy-13b988b18da8ea7d</t>
        </is>
      </c>
    </row>
    <row r="1872" ht="28" customHeight="1">
      <c r="A1872" s="12">
        <f>IF($L1872="applied","Applied",IF($L1872="interview","Interview",IF($L1872="offer","Offer",IF($L1872="rejected","Rejected",IF($L1872="ignore","Ignore",IF($L1872="archive","Archive",IF($L1872="closed","Closed",IF($B1872="","Unscored",IF(AND($B1872&gt;=8,OR($H1872="",$H1872-TODAY()&lt;=14)),"P1 Apply",IF($B1872&gt;=7,"P2 Strong",IF($B1872&gt;=5,"P3 Maybe","P4 Low")))))))))))</f>
        <v/>
      </c>
      <c r="B1872" s="13" t="n">
        <v>0</v>
      </c>
      <c r="C1872" s="12" t="inlineStr">
        <is>
          <t>Senior/Lead</t>
        </is>
      </c>
      <c r="D1872" s="8" t="inlineStr">
        <is>
          <t>Digital Infrastructure Design - Senior Engineer</t>
        </is>
      </c>
      <c r="E1872" s="7" t="inlineStr">
        <is>
          <t>WSP in the UK &amp; Ireland</t>
        </is>
      </c>
      <c r="F1872" s="8" t="inlineStr">
        <is>
          <t>Surrey, England, UK</t>
        </is>
      </c>
      <c r="G1872" s="8" t="n"/>
      <c r="H1872" s="14" t="n"/>
      <c r="I1872" s="15">
        <f>IF($H1872="","",$H1872-TODAY())</f>
        <v/>
      </c>
      <c r="J1872" s="16" t="inlineStr">
        <is>
          <t>Open posting</t>
        </is>
      </c>
      <c r="K1872" s="8" t="inlineStr">
        <is>
          <t>filtered by keyword pre-scan</t>
        </is>
      </c>
      <c r="L1872" s="17" t="inlineStr">
        <is>
          <t>new</t>
        </is>
      </c>
      <c r="M1872" s="18" t="inlineStr"/>
      <c r="N1872" s="7" t="inlineStr">
        <is>
          <t>770060ec92408da773bfeb29d483366929b86c22</t>
        </is>
      </c>
      <c r="O1872" s="14" t="n">
        <v>46181</v>
      </c>
      <c r="P1872" s="7" t="inlineStr">
        <is>
          <t>jobspy</t>
        </is>
      </c>
      <c r="Q1872" s="8" t="inlineStr">
        <is>
          <t>git, c, digital design</t>
        </is>
      </c>
      <c r="R1872" s="8" t="inlineStr">
        <is>
          <t>Graduate Digital Design Engineer FPGA</t>
        </is>
      </c>
      <c r="S1872" s="19" t="n"/>
      <c r="T1872" s="19" t="n"/>
      <c r="U1872" s="14" t="n">
        <v>46192</v>
      </c>
      <c r="V1872" s="7" t="inlineStr">
        <is>
          <t>v2-cv-accuracy-13b988b18da8ea7d</t>
        </is>
      </c>
    </row>
    <row r="1873" ht="28" customHeight="1">
      <c r="A1873" s="12">
        <f>IF($L1873="applied","Applied",IF($L1873="interview","Interview",IF($L1873="offer","Offer",IF($L1873="rejected","Rejected",IF($L1873="ignore","Ignore",IF($L1873="archive","Archive",IF($L1873="closed","Closed",IF($B1873="","Unscored",IF(AND($B1873&gt;=8,OR($H1873="",$H1873-TODAY()&lt;=14)),"P1 Apply",IF($B1873&gt;=7,"P2 Strong",IF($B1873&gt;=5,"P3 Maybe","P4 Low")))))))))))</f>
        <v/>
      </c>
      <c r="B1873" s="13" t="n">
        <v>0</v>
      </c>
      <c r="C1873" s="12" t="inlineStr">
        <is>
          <t>Senior/Lead</t>
        </is>
      </c>
      <c r="D1873" s="8" t="inlineStr">
        <is>
          <t>Senior Software Engineer, Cloud Applications and Services</t>
        </is>
      </c>
      <c r="E1873" s="7" t="inlineStr">
        <is>
          <t>Autodesk</t>
        </is>
      </c>
      <c r="F1873" s="8" t="inlineStr">
        <is>
          <t>Sheffield, England, UK</t>
        </is>
      </c>
      <c r="G1873" s="8" t="n"/>
      <c r="H1873" s="14" t="n"/>
      <c r="I1873" s="15">
        <f>IF($H1873="","",$H1873-TODAY())</f>
        <v/>
      </c>
      <c r="J1873" s="16" t="inlineStr">
        <is>
          <t>Open posting</t>
        </is>
      </c>
      <c r="K1873" s="8" t="inlineStr">
        <is>
          <t>filtered by keyword pre-scan</t>
        </is>
      </c>
      <c r="L1873" s="17" t="inlineStr">
        <is>
          <t>new</t>
        </is>
      </c>
      <c r="M1873" s="18" t="inlineStr"/>
      <c r="N1873" s="7" t="inlineStr">
        <is>
          <t>2ce186b35a1a8e80c155a930df5289173209158b</t>
        </is>
      </c>
      <c r="O1873" s="14" t="n">
        <v>46191</v>
      </c>
      <c r="P1873" s="7" t="inlineStr">
        <is>
          <t>jobspy</t>
        </is>
      </c>
      <c r="Q1873" s="8" t="inlineStr">
        <is>
          <t>python, sql, mysql, git, c</t>
        </is>
      </c>
      <c r="R1873" s="8" t="inlineStr">
        <is>
          <t>Graduate Software Engineer Python Sheffield</t>
        </is>
      </c>
      <c r="S1873" s="19" t="n"/>
      <c r="T1873" s="19" t="n"/>
      <c r="U1873" s="14" t="n">
        <v>46192</v>
      </c>
      <c r="V1873" s="7" t="inlineStr">
        <is>
          <t>v2-cv-accuracy-13b988b18da8ea7d</t>
        </is>
      </c>
    </row>
    <row r="1874" ht="28" customHeight="1">
      <c r="A1874" s="12">
        <f>IF($L1874="applied","Applied",IF($L1874="interview","Interview",IF($L1874="offer","Offer",IF($L1874="rejected","Rejected",IF($L1874="ignore","Ignore",IF($L1874="archive","Archive",IF($L1874="closed","Closed",IF($B1874="","Unscored",IF(AND($B1874&gt;=8,OR($H1874="",$H1874-TODAY()&lt;=14)),"P1 Apply",IF($B1874&gt;=7,"P2 Strong",IF($B1874&gt;=5,"P3 Maybe","P4 Low")))))))))))</f>
        <v/>
      </c>
      <c r="B1874" s="13" t="n">
        <v>0</v>
      </c>
      <c r="C1874" s="12" t="inlineStr">
        <is>
          <t>Senior/Lead</t>
        </is>
      </c>
      <c r="D1874" s="8" t="inlineStr">
        <is>
          <t>Lead Engineer / Tech Lead</t>
        </is>
      </c>
      <c r="E1874" s="7" t="inlineStr">
        <is>
          <t>Grant Thornton UK</t>
        </is>
      </c>
      <c r="F1874" s="8" t="inlineStr">
        <is>
          <t>Sheffield, England, UK</t>
        </is>
      </c>
      <c r="G1874" s="8" t="n"/>
      <c r="H1874" s="14" t="n"/>
      <c r="I1874" s="15">
        <f>IF($H1874="","",$H1874-TODAY())</f>
        <v/>
      </c>
      <c r="J1874" s="16" t="inlineStr">
        <is>
          <t>Open posting</t>
        </is>
      </c>
      <c r="K1874" s="8" t="inlineStr">
        <is>
          <t>filtered by keyword pre-scan</t>
        </is>
      </c>
      <c r="L1874" s="17" t="inlineStr">
        <is>
          <t>new</t>
        </is>
      </c>
      <c r="M1874" s="18" t="inlineStr"/>
      <c r="N1874" s="7" t="inlineStr">
        <is>
          <t>7ef114a832cb3ae57b1baec4747bd9ca082bee46</t>
        </is>
      </c>
      <c r="O1874" s="14" t="n">
        <v>46186</v>
      </c>
      <c r="P1874" s="7" t="inlineStr">
        <is>
          <t>jobspy</t>
        </is>
      </c>
      <c r="Q1874" s="8" t="inlineStr">
        <is>
          <t>python, git, c</t>
        </is>
      </c>
      <c r="R1874" s="8" t="inlineStr">
        <is>
          <t>Graduate Software Engineer Python Sheffield</t>
        </is>
      </c>
      <c r="S1874" s="19" t="n"/>
      <c r="T1874" s="19" t="n"/>
      <c r="U1874" s="14" t="n">
        <v>46192</v>
      </c>
      <c r="V1874" s="7" t="inlineStr">
        <is>
          <t>v2-cv-accuracy-13b988b18da8ea7d</t>
        </is>
      </c>
    </row>
    <row r="1875" ht="28" customHeight="1">
      <c r="A1875" s="12">
        <f>IF($L1875="applied","Applied",IF($L1875="interview","Interview",IF($L1875="offer","Offer",IF($L1875="rejected","Rejected",IF($L1875="ignore","Ignore",IF($L1875="archive","Archive",IF($L1875="closed","Closed",IF($B1875="","Unscored",IF(AND($B1875&gt;=8,OR($H1875="",$H1875-TODAY()&lt;=14)),"P1 Apply",IF($B1875&gt;=7,"P2 Strong",IF($B1875&gt;=5,"P3 Maybe","P4 Low")))))))))))</f>
        <v/>
      </c>
      <c r="B1875" s="13" t="n">
        <v>0</v>
      </c>
      <c r="C1875" s="12" t="inlineStr">
        <is>
          <t>Senior/Lead</t>
        </is>
      </c>
      <c r="D1875" s="8" t="inlineStr">
        <is>
          <t>Principal Software Engineer - Web Team</t>
        </is>
      </c>
      <c r="E1875" s="7" t="inlineStr">
        <is>
          <t>Raspberry Pi</t>
        </is>
      </c>
      <c r="F1875" s="8" t="inlineStr">
        <is>
          <t>Cambridge, England, UK</t>
        </is>
      </c>
      <c r="G1875" s="8" t="n"/>
      <c r="H1875" s="14" t="n"/>
      <c r="I1875" s="15">
        <f>IF($H1875="","",$H1875-TODAY())</f>
        <v/>
      </c>
      <c r="J1875" s="16" t="inlineStr">
        <is>
          <t>Open posting</t>
        </is>
      </c>
      <c r="K1875" s="8" t="inlineStr">
        <is>
          <t>filtered by keyword pre-scan</t>
        </is>
      </c>
      <c r="L1875" s="17" t="inlineStr">
        <is>
          <t>new</t>
        </is>
      </c>
      <c r="M1875" s="18" t="inlineStr"/>
      <c r="N1875" s="7" t="inlineStr">
        <is>
          <t>a68725ef9ffd015c484e5371f21bffd724a6607e</t>
        </is>
      </c>
      <c r="O1875" s="14" t="n">
        <v>46189</v>
      </c>
      <c r="P1875" s="7" t="inlineStr">
        <is>
          <t>jobspy</t>
        </is>
      </c>
      <c r="Q1875" s="8" t="inlineStr">
        <is>
          <t>sql, raspberry pi, c, javascript</t>
        </is>
      </c>
      <c r="R1875" s="8" t="inlineStr">
        <is>
          <t>Firmware Engineer Raspberry Pi embedded</t>
        </is>
      </c>
      <c r="S1875" s="19" t="n"/>
      <c r="T1875" s="19" t="n"/>
      <c r="U1875" s="14" t="n">
        <v>46192</v>
      </c>
      <c r="V1875" s="7" t="inlineStr">
        <is>
          <t>v2-cv-accuracy-13b988b18da8ea7d</t>
        </is>
      </c>
    </row>
    <row r="1876" ht="28" customHeight="1">
      <c r="A1876" s="12">
        <f>IF($L1876="applied","Applied",IF($L1876="interview","Interview",IF($L1876="offer","Offer",IF($L1876="rejected","Rejected",IF($L1876="ignore","Ignore",IF($L1876="archive","Archive",IF($L1876="closed","Closed",IF($B1876="","Unscored",IF(AND($B1876&gt;=8,OR($H1876="",$H1876-TODAY()&lt;=14)),"P1 Apply",IF($B1876&gt;=7,"P2 Strong",IF($B1876&gt;=5,"P3 Maybe","P4 Low")))))))))))</f>
        <v/>
      </c>
      <c r="B1876" s="13" t="n">
        <v>0</v>
      </c>
      <c r="C1876" s="12" t="inlineStr">
        <is>
          <t>Senior/Lead</t>
        </is>
      </c>
      <c r="D1876" s="8" t="inlineStr">
        <is>
          <t>DevOps Engineer</t>
        </is>
      </c>
      <c r="E1876" s="7" t="inlineStr">
        <is>
          <t>Montash</t>
        </is>
      </c>
      <c r="F1876" s="8" t="inlineStr"/>
      <c r="G1876" s="8" t="n"/>
      <c r="H1876" s="14" t="n"/>
      <c r="I1876" s="15">
        <f>IF($H1876="","",$H1876-TODAY())</f>
        <v/>
      </c>
      <c r="J1876" s="16" t="inlineStr">
        <is>
          <t>Open posting</t>
        </is>
      </c>
      <c r="K1876" s="8" t="inlineStr">
        <is>
          <t>filtered by keyword pre-scan</t>
        </is>
      </c>
      <c r="L1876" s="17" t="inlineStr">
        <is>
          <t>new</t>
        </is>
      </c>
      <c r="M1876" s="18" t="inlineStr"/>
      <c r="N1876" s="7" t="inlineStr">
        <is>
          <t>75384e47706bcd329cac0acbff9761760d46c5a9</t>
        </is>
      </c>
      <c r="O1876" s="14" t="n">
        <v>46164</v>
      </c>
      <c r="P1876" s="7" t="inlineStr">
        <is>
          <t>jobspy</t>
        </is>
      </c>
      <c r="Q1876" s="8" t="inlineStr">
        <is>
          <t>python, docker, kubernetes, git, c</t>
        </is>
      </c>
      <c r="R1876" s="8" t="inlineStr">
        <is>
          <t>Graduate DevOps Engineer Docker Kubernetes Git</t>
        </is>
      </c>
      <c r="S1876" s="19" t="n"/>
      <c r="T1876" s="19" t="n"/>
      <c r="U1876" s="14" t="n">
        <v>46192</v>
      </c>
      <c r="V1876" s="7" t="inlineStr">
        <is>
          <t>v2-cv-accuracy-13b988b18da8ea7d</t>
        </is>
      </c>
    </row>
    <row r="1877" ht="28" customHeight="1">
      <c r="A1877" s="12">
        <f>IF($L1877="applied","Applied",IF($L1877="interview","Interview",IF($L1877="offer","Offer",IF($L1877="rejected","Rejected",IF($L1877="ignore","Ignore",IF($L1877="archive","Archive",IF($L1877="closed","Closed",IF($B1877="","Unscored",IF(AND($B1877&gt;=8,OR($H1877="",$H1877-TODAY()&lt;=14)),"P1 Apply",IF($B1877&gt;=7,"P2 Strong",IF($B1877&gt;=5,"P3 Maybe","P4 Low")))))))))))</f>
        <v/>
      </c>
      <c r="B1877" s="13" t="n">
        <v>0</v>
      </c>
      <c r="C1877" s="12" t="inlineStr">
        <is>
          <t>Unspecified</t>
        </is>
      </c>
      <c r="D1877" s="8" t="inlineStr">
        <is>
          <t>DDR &amp; HBM Validation Engineer</t>
        </is>
      </c>
      <c r="E1877" s="7" t="inlineStr">
        <is>
          <t>Graphcore</t>
        </is>
      </c>
      <c r="F1877" s="8" t="inlineStr">
        <is>
          <t>Bengaluru, India</t>
        </is>
      </c>
      <c r="G1877" s="8" t="n"/>
      <c r="H1877" s="14" t="n"/>
      <c r="I1877" s="15">
        <f>IF($H1877="","",$H1877-TODAY())</f>
        <v/>
      </c>
      <c r="J1877" s="16" t="inlineStr">
        <is>
          <t>Open posting</t>
        </is>
      </c>
      <c r="K1877" s="8" t="inlineStr">
        <is>
          <t>filtered by keyword pre-scan</t>
        </is>
      </c>
      <c r="L1877" s="17" t="inlineStr">
        <is>
          <t>new</t>
        </is>
      </c>
      <c r="M1877" s="18" t="inlineStr"/>
      <c r="N1877" s="7" t="inlineStr">
        <is>
          <t>c915ba6ff2417b173b6b14a05b6840eca87ee6bd</t>
        </is>
      </c>
      <c r="O1877" s="14" t="n">
        <v>46191</v>
      </c>
      <c r="P1877" s="7" t="inlineStr">
        <is>
          <t>greenhouse:graphcore</t>
        </is>
      </c>
      <c r="Q1877" s="8" t="inlineStr">
        <is>
          <t>python</t>
        </is>
      </c>
      <c r="R1877" s="8" t="n"/>
      <c r="S1877" s="19" t="n"/>
      <c r="T1877" s="19" t="n"/>
      <c r="U1877" s="14" t="n">
        <v>46191</v>
      </c>
      <c r="V1877" s="7" t="inlineStr">
        <is>
          <t>v2-cv-accuracy-13b988b18da8ea7d</t>
        </is>
      </c>
    </row>
    <row r="1878" ht="28" customHeight="1">
      <c r="A1878" s="12">
        <f>IF($L1878="applied","Applied",IF($L1878="interview","Interview",IF($L1878="offer","Offer",IF($L1878="rejected","Rejected",IF($L1878="ignore","Ignore",IF($L1878="archive","Archive",IF($L1878="closed","Closed",IF($B1878="","Unscored",IF(AND($B1878&gt;=8,OR($H1878="",$H1878-TODAY()&lt;=14)),"P1 Apply",IF($B1878&gt;=7,"P2 Strong",IF($B1878&gt;=5,"P3 Maybe","P4 Low")))))))))))</f>
        <v/>
      </c>
      <c r="B1878" s="13" t="n">
        <v>0</v>
      </c>
      <c r="C1878" s="12" t="inlineStr">
        <is>
          <t>Senior/Lead</t>
        </is>
      </c>
      <c r="D1878" s="8" t="inlineStr">
        <is>
          <t>Senior Execution and Quality Validation Engineer</t>
        </is>
      </c>
      <c r="E1878" s="7" t="inlineStr">
        <is>
          <t>Graphcore</t>
        </is>
      </c>
      <c r="F1878" s="8" t="inlineStr">
        <is>
          <t>Bengaluru, India</t>
        </is>
      </c>
      <c r="G1878" s="8" t="n"/>
      <c r="H1878" s="14" t="n"/>
      <c r="I1878" s="15">
        <f>IF($H1878="","",$H1878-TODAY())</f>
        <v/>
      </c>
      <c r="J1878" s="16" t="inlineStr">
        <is>
          <t>Open posting</t>
        </is>
      </c>
      <c r="K1878" s="8" t="inlineStr">
        <is>
          <t>filtered by keyword pre-scan</t>
        </is>
      </c>
      <c r="L1878" s="17" t="inlineStr">
        <is>
          <t>new</t>
        </is>
      </c>
      <c r="M1878" s="18" t="inlineStr"/>
      <c r="N1878" s="7" t="inlineStr">
        <is>
          <t>5d2d11c9c4566bc189998e163a890b89fa0ed22d</t>
        </is>
      </c>
      <c r="O1878" s="14" t="n">
        <v>46191</v>
      </c>
      <c r="P1878" s="7" t="inlineStr">
        <is>
          <t>greenhouse:graphcore</t>
        </is>
      </c>
      <c r="Q1878" s="8" t="inlineStr">
        <is>
          <t>python, software development, data analysis</t>
        </is>
      </c>
      <c r="R1878" s="8" t="n"/>
      <c r="S1878" s="19" t="n"/>
      <c r="T1878" s="19" t="n"/>
      <c r="U1878" s="14" t="n">
        <v>46191</v>
      </c>
      <c r="V1878" s="7" t="inlineStr">
        <is>
          <t>v2-cv-accuracy-13b988b18da8ea7d</t>
        </is>
      </c>
    </row>
    <row r="1879" ht="28" customHeight="1">
      <c r="A1879" s="12">
        <f>IF($L1879="applied","Applied",IF($L1879="interview","Interview",IF($L1879="offer","Offer",IF($L1879="rejected","Rejected",IF($L1879="ignore","Ignore",IF($L1879="archive","Archive",IF($L1879="closed","Closed",IF($B1879="","Unscored",IF(AND($B1879&gt;=8,OR($H1879="",$H1879-TODAY()&lt;=14)),"P1 Apply",IF($B1879&gt;=7,"P2 Strong",IF($B1879&gt;=5,"P3 Maybe","P4 Low")))))))))))</f>
        <v/>
      </c>
      <c r="B1879" s="13" t="n">
        <v>0</v>
      </c>
      <c r="C1879" s="12" t="inlineStr">
        <is>
          <t>Senior/Lead</t>
        </is>
      </c>
      <c r="D1879" s="8" t="inlineStr">
        <is>
          <t>Staff DDR &amp; HBM Validation Engineer</t>
        </is>
      </c>
      <c r="E1879" s="7" t="inlineStr">
        <is>
          <t>Graphcore</t>
        </is>
      </c>
      <c r="F1879" s="8" t="inlineStr">
        <is>
          <t>Bengaluru, India</t>
        </is>
      </c>
      <c r="G1879" s="8" t="n"/>
      <c r="H1879" s="14" t="n"/>
      <c r="I1879" s="15">
        <f>IF($H1879="","",$H1879-TODAY())</f>
        <v/>
      </c>
      <c r="J1879" s="16" t="inlineStr">
        <is>
          <t>Open posting</t>
        </is>
      </c>
      <c r="K1879" s="8" t="inlineStr">
        <is>
          <t>filtered by keyword pre-scan</t>
        </is>
      </c>
      <c r="L1879" s="17" t="inlineStr">
        <is>
          <t>new</t>
        </is>
      </c>
      <c r="M1879" s="18" t="inlineStr"/>
      <c r="N1879" s="7" t="inlineStr">
        <is>
          <t>615fd0f5ba765766fd55efd5dd46b8cef81586d4</t>
        </is>
      </c>
      <c r="O1879" s="14" t="n">
        <v>46191</v>
      </c>
      <c r="P1879" s="7" t="inlineStr">
        <is>
          <t>greenhouse:graphcore</t>
        </is>
      </c>
      <c r="Q1879" s="8" t="inlineStr">
        <is>
          <t>python</t>
        </is>
      </c>
      <c r="R1879" s="8" t="n"/>
      <c r="S1879" s="19" t="n"/>
      <c r="T1879" s="19" t="n"/>
      <c r="U1879" s="14" t="n">
        <v>46191</v>
      </c>
      <c r="V1879" s="7" t="inlineStr">
        <is>
          <t>v2-cv-accuracy-13b988b18da8ea7d</t>
        </is>
      </c>
    </row>
    <row r="1880" ht="28" customHeight="1">
      <c r="A1880" s="12">
        <f>IF($L1880="applied","Applied",IF($L1880="interview","Interview",IF($L1880="offer","Offer",IF($L1880="rejected","Rejected",IF($L1880="ignore","Ignore",IF($L1880="archive","Archive",IF($L1880="closed","Closed",IF($B1880="","Unscored",IF(AND($B1880&gt;=8,OR($H1880="",$H1880-TODAY()&lt;=14)),"P1 Apply",IF($B1880&gt;=7,"P2 Strong",IF($B1880&gt;=5,"P3 Maybe","P4 Low")))))))))))</f>
        <v/>
      </c>
      <c r="B1880" s="13" t="n">
        <v>0</v>
      </c>
      <c r="C1880" s="12" t="inlineStr">
        <is>
          <t>Senior/Lead</t>
        </is>
      </c>
      <c r="D1880" s="8" t="inlineStr">
        <is>
          <t>Android Engineer</t>
        </is>
      </c>
      <c r="E1880" s="7" t="inlineStr">
        <is>
          <t>Monzo</t>
        </is>
      </c>
      <c r="F1880" s="8" t="inlineStr">
        <is>
          <t>Barcelona</t>
        </is>
      </c>
      <c r="G1880" s="8" t="n"/>
      <c r="H1880" s="14" t="n"/>
      <c r="I1880" s="15">
        <f>IF($H1880="","",$H1880-TODAY())</f>
        <v/>
      </c>
      <c r="J1880" s="16" t="inlineStr">
        <is>
          <t>Open posting</t>
        </is>
      </c>
      <c r="K1880" s="8" t="inlineStr">
        <is>
          <t>filtered by keyword pre-scan</t>
        </is>
      </c>
      <c r="L1880" s="17" t="inlineStr">
        <is>
          <t>new</t>
        </is>
      </c>
      <c r="M1880" s="18" t="inlineStr"/>
      <c r="N1880" s="7" t="inlineStr">
        <is>
          <t>a525aa152849da09a2278820ca826eee101ade34</t>
        </is>
      </c>
      <c r="O1880" s="14" t="n">
        <v>46170</v>
      </c>
      <c r="P1880" s="7" t="inlineStr">
        <is>
          <t>greenhouse:monzo</t>
        </is>
      </c>
      <c r="Q1880" s="8" t="inlineStr"/>
      <c r="R1880" s="8" t="n"/>
      <c r="S1880" s="19" t="n"/>
      <c r="T1880" s="19" t="n"/>
      <c r="U1880" s="14" t="n">
        <v>46191</v>
      </c>
      <c r="V1880" s="7" t="inlineStr">
        <is>
          <t>v2-cv-accuracy-13b988b18da8ea7d</t>
        </is>
      </c>
    </row>
    <row r="1881" ht="28" customHeight="1">
      <c r="A1881" s="12">
        <f>IF($L1881="applied","Applied",IF($L1881="interview","Interview",IF($L1881="offer","Offer",IF($L1881="rejected","Rejected",IF($L1881="ignore","Ignore",IF($L1881="archive","Archive",IF($L1881="closed","Closed",IF($B1881="","Unscored",IF(AND($B1881&gt;=8,OR($H1881="",$H1881-TODAY()&lt;=14)),"P1 Apply",IF($B1881&gt;=7,"P2 Strong",IF($B1881&gt;=5,"P3 Maybe","P4 Low")))))))))))</f>
        <v/>
      </c>
      <c r="B1881" s="13" t="n">
        <v>0</v>
      </c>
      <c r="C1881" s="12" t="inlineStr">
        <is>
          <t>Senior/Lead</t>
        </is>
      </c>
      <c r="D1881" s="8" t="inlineStr">
        <is>
          <t>Backend Engineer III</t>
        </is>
      </c>
      <c r="E1881" s="7" t="inlineStr">
        <is>
          <t>Monzo</t>
        </is>
      </c>
      <c r="F1881" s="8" t="inlineStr">
        <is>
          <t>Cardiff, London or Remote (UK)</t>
        </is>
      </c>
      <c r="G1881" s="8" t="n"/>
      <c r="H1881" s="14" t="n"/>
      <c r="I1881" s="15">
        <f>IF($H1881="","",$H1881-TODAY())</f>
        <v/>
      </c>
      <c r="J1881" s="16" t="inlineStr">
        <is>
          <t>Open posting</t>
        </is>
      </c>
      <c r="K1881" s="8" t="inlineStr">
        <is>
          <t>filtered by keyword pre-scan</t>
        </is>
      </c>
      <c r="L1881" s="17" t="inlineStr">
        <is>
          <t>new</t>
        </is>
      </c>
      <c r="M1881" s="18" t="inlineStr"/>
      <c r="N1881" s="7" t="inlineStr">
        <is>
          <t>ed21b6619db89e9864dfc34418198196d0adbc49</t>
        </is>
      </c>
      <c r="O1881" s="14" t="n">
        <v>46191</v>
      </c>
      <c r="P1881" s="7" t="inlineStr">
        <is>
          <t>greenhouse:monzo</t>
        </is>
      </c>
      <c r="Q1881" s="8" t="inlineStr"/>
      <c r="R1881" s="8" t="n"/>
      <c r="S1881" s="19" t="n"/>
      <c r="T1881" s="19" t="n"/>
      <c r="U1881" s="14" t="n">
        <v>46191</v>
      </c>
      <c r="V1881" s="7" t="inlineStr">
        <is>
          <t>v2-cv-accuracy-13b988b18da8ea7d</t>
        </is>
      </c>
    </row>
    <row r="1882" ht="28" customHeight="1">
      <c r="A1882" s="12">
        <f>IF($L1882="applied","Applied",IF($L1882="interview","Interview",IF($L1882="offer","Offer",IF($L1882="rejected","Rejected",IF($L1882="ignore","Ignore",IF($L1882="archive","Archive",IF($L1882="closed","Closed",IF($B1882="","Unscored",IF(AND($B1882&gt;=8,OR($H1882="",$H1882-TODAY()&lt;=14)),"P1 Apply",IF($B1882&gt;=7,"P2 Strong",IF($B1882&gt;=5,"P3 Maybe","P4 Low")))))))))))</f>
        <v/>
      </c>
      <c r="B1882" s="13" t="n">
        <v>0</v>
      </c>
      <c r="C1882" s="12" t="inlineStr">
        <is>
          <t>Senior/Lead</t>
        </is>
      </c>
      <c r="D1882" s="8" t="inlineStr">
        <is>
          <t>Card Acquiring, Business Banking Customer Operations Advisor</t>
        </is>
      </c>
      <c r="E1882" s="7" t="inlineStr">
        <is>
          <t>Monzo</t>
        </is>
      </c>
      <c r="F1882" s="8" t="inlineStr">
        <is>
          <t>Cardiff, London or Remote (UK)</t>
        </is>
      </c>
      <c r="G1882" s="8" t="n"/>
      <c r="H1882" s="14" t="n"/>
      <c r="I1882" s="15">
        <f>IF($H1882="","",$H1882-TODAY())</f>
        <v/>
      </c>
      <c r="J1882" s="16" t="inlineStr">
        <is>
          <t>Open posting</t>
        </is>
      </c>
      <c r="K1882" s="8" t="inlineStr">
        <is>
          <t>filtered by keyword pre-scan</t>
        </is>
      </c>
      <c r="L1882" s="17" t="inlineStr">
        <is>
          <t>new</t>
        </is>
      </c>
      <c r="M1882" s="18" t="inlineStr"/>
      <c r="N1882" s="7" t="inlineStr">
        <is>
          <t>93013b0e33a105e78a7890e1f83907729960e563</t>
        </is>
      </c>
      <c r="O1882" s="14" t="n">
        <v>46184</v>
      </c>
      <c r="P1882" s="7" t="inlineStr">
        <is>
          <t>greenhouse:monzo</t>
        </is>
      </c>
      <c r="Q1882" s="8" t="inlineStr"/>
      <c r="R1882" s="8" t="n"/>
      <c r="S1882" s="19" t="n"/>
      <c r="T1882" s="19" t="n"/>
      <c r="U1882" s="14" t="n">
        <v>46191</v>
      </c>
      <c r="V1882" s="7" t="inlineStr">
        <is>
          <t>v2-cv-accuracy-13b988b18da8ea7d</t>
        </is>
      </c>
    </row>
    <row r="1883" ht="28" customHeight="1">
      <c r="A1883" s="12">
        <f>IF($L1883="applied","Applied",IF($L1883="interview","Interview",IF($L1883="offer","Offer",IF($L1883="rejected","Rejected",IF($L1883="ignore","Ignore",IF($L1883="archive","Archive",IF($L1883="closed","Closed",IF($B1883="","Unscored",IF(AND($B1883&gt;=8,OR($H1883="",$H1883-TODAY()&lt;=14)),"P1 Apply",IF($B1883&gt;=7,"P2 Strong",IF($B1883&gt;=5,"P3 Maybe","P4 Low")))))))))))</f>
        <v/>
      </c>
      <c r="B1883" s="13" t="n">
        <v>0</v>
      </c>
      <c r="C1883" s="12" t="inlineStr">
        <is>
          <t>Manager/Owner</t>
        </is>
      </c>
      <c r="D1883" s="8" t="inlineStr">
        <is>
          <t>Credit Risk Manager, EU</t>
        </is>
      </c>
      <c r="E1883" s="7" t="inlineStr">
        <is>
          <t>Monzo</t>
        </is>
      </c>
      <c r="F1883" s="8" t="inlineStr">
        <is>
          <t>Barcelona; Madrid</t>
        </is>
      </c>
      <c r="G1883" s="8" t="n"/>
      <c r="H1883" s="14" t="n"/>
      <c r="I1883" s="15">
        <f>IF($H1883="","",$H1883-TODAY())</f>
        <v/>
      </c>
      <c r="J1883" s="16" t="inlineStr">
        <is>
          <t>Open posting</t>
        </is>
      </c>
      <c r="K1883" s="8" t="inlineStr">
        <is>
          <t>filtered by keyword pre-scan</t>
        </is>
      </c>
      <c r="L1883" s="17" t="inlineStr">
        <is>
          <t>new</t>
        </is>
      </c>
      <c r="M1883" s="18" t="inlineStr"/>
      <c r="N1883" s="7" t="inlineStr">
        <is>
          <t>d62d8b9982b06a50b828796b29a6a1e3b2b54345</t>
        </is>
      </c>
      <c r="O1883" s="14" t="n">
        <v>46170</v>
      </c>
      <c r="P1883" s="7" t="inlineStr">
        <is>
          <t>greenhouse:monzo</t>
        </is>
      </c>
      <c r="Q1883" s="8" t="inlineStr"/>
      <c r="R1883" s="8" t="n"/>
      <c r="S1883" s="19" t="n"/>
      <c r="T1883" s="19" t="n"/>
      <c r="U1883" s="14" t="n">
        <v>46191</v>
      </c>
      <c r="V1883" s="7" t="inlineStr">
        <is>
          <t>v2-cv-accuracy-13b988b18da8ea7d</t>
        </is>
      </c>
    </row>
    <row r="1884" ht="28" customHeight="1">
      <c r="A1884" s="12">
        <f>IF($L1884="applied","Applied",IF($L1884="interview","Interview",IF($L1884="offer","Offer",IF($L1884="rejected","Rejected",IF($L1884="ignore","Ignore",IF($L1884="archive","Archive",IF($L1884="closed","Closed",IF($B1884="","Unscored",IF(AND($B1884&gt;=8,OR($H1884="",$H1884-TODAY()&lt;=14)),"P1 Apply",IF($B1884&gt;=7,"P2 Strong",IF($B1884&gt;=5,"P3 Maybe","P4 Low")))))))))))</f>
        <v/>
      </c>
      <c r="B1884" s="13" t="n">
        <v>0</v>
      </c>
      <c r="C1884" s="12" t="inlineStr">
        <is>
          <t>Manager/Owner</t>
        </is>
      </c>
      <c r="D1884" s="8" t="inlineStr">
        <is>
          <t>Credit Risk Manager, EU</t>
        </is>
      </c>
      <c r="E1884" s="7" t="inlineStr">
        <is>
          <t>Monzo</t>
        </is>
      </c>
      <c r="F1884" s="8" t="inlineStr">
        <is>
          <t>Dublin</t>
        </is>
      </c>
      <c r="G1884" s="8" t="n"/>
      <c r="H1884" s="14" t="n"/>
      <c r="I1884" s="15">
        <f>IF($H1884="","",$H1884-TODAY())</f>
        <v/>
      </c>
      <c r="J1884" s="16" t="inlineStr">
        <is>
          <t>Open posting</t>
        </is>
      </c>
      <c r="K1884" s="8" t="inlineStr">
        <is>
          <t>filtered by keyword pre-scan</t>
        </is>
      </c>
      <c r="L1884" s="17" t="inlineStr">
        <is>
          <t>new</t>
        </is>
      </c>
      <c r="M1884" s="18" t="inlineStr"/>
      <c r="N1884" s="7" t="inlineStr">
        <is>
          <t>b5de47eead20a540e5350dc8d816308ffa19490a</t>
        </is>
      </c>
      <c r="O1884" s="14" t="n">
        <v>46170</v>
      </c>
      <c r="P1884" s="7" t="inlineStr">
        <is>
          <t>greenhouse:monzo</t>
        </is>
      </c>
      <c r="Q1884" s="8" t="inlineStr"/>
      <c r="R1884" s="8" t="n"/>
      <c r="S1884" s="19" t="n"/>
      <c r="T1884" s="19" t="n"/>
      <c r="U1884" s="14" t="n">
        <v>46191</v>
      </c>
      <c r="V1884" s="7" t="inlineStr">
        <is>
          <t>v2-cv-accuracy-13b988b18da8ea7d</t>
        </is>
      </c>
    </row>
    <row r="1885" ht="28" customHeight="1">
      <c r="A1885" s="12">
        <f>IF($L1885="applied","Applied",IF($L1885="interview","Interview",IF($L1885="offer","Offer",IF($L1885="rejected","Rejected",IF($L1885="ignore","Ignore",IF($L1885="archive","Archive",IF($L1885="closed","Closed",IF($B1885="","Unscored",IF(AND($B1885&gt;=8,OR($H1885="",$H1885-TODAY()&lt;=14)),"P1 Apply",IF($B1885&gt;=7,"P2 Strong",IF($B1885&gt;=5,"P3 Maybe","P4 Low")))))))))))</f>
        <v/>
      </c>
      <c r="B1885" s="13" t="n">
        <v>0</v>
      </c>
      <c r="C1885" s="12" t="inlineStr">
        <is>
          <t>Manager/Owner</t>
        </is>
      </c>
      <c r="D1885" s="8" t="inlineStr">
        <is>
          <t>Credit Risk Manager, Flex Originations</t>
        </is>
      </c>
      <c r="E1885" s="7" t="inlineStr">
        <is>
          <t>Monzo</t>
        </is>
      </c>
      <c r="F1885" s="8" t="inlineStr">
        <is>
          <t>Cardiff, London or Remote (UK)</t>
        </is>
      </c>
      <c r="G1885" s="8" t="n"/>
      <c r="H1885" s="14" t="n"/>
      <c r="I1885" s="15">
        <f>IF($H1885="","",$H1885-TODAY())</f>
        <v/>
      </c>
      <c r="J1885" s="16" t="inlineStr">
        <is>
          <t>Open posting</t>
        </is>
      </c>
      <c r="K1885" s="8" t="inlineStr">
        <is>
          <t>filtered by keyword pre-scan</t>
        </is>
      </c>
      <c r="L1885" s="17" t="inlineStr">
        <is>
          <t>new</t>
        </is>
      </c>
      <c r="M1885" s="18" t="inlineStr"/>
      <c r="N1885" s="7" t="inlineStr">
        <is>
          <t>4d7fe2ba201223815d64e0706451c63989155b90</t>
        </is>
      </c>
      <c r="O1885" s="14" t="n">
        <v>46182</v>
      </c>
      <c r="P1885" s="7" t="inlineStr">
        <is>
          <t>greenhouse:monzo</t>
        </is>
      </c>
      <c r="Q1885" s="8" t="inlineStr">
        <is>
          <t>python, sql</t>
        </is>
      </c>
      <c r="R1885" s="8" t="n"/>
      <c r="S1885" s="19" t="n"/>
      <c r="T1885" s="19" t="n"/>
      <c r="U1885" s="14" t="n">
        <v>46191</v>
      </c>
      <c r="V1885" s="7" t="inlineStr">
        <is>
          <t>v2-cv-accuracy-13b988b18da8ea7d</t>
        </is>
      </c>
    </row>
    <row r="1886" ht="28" customHeight="1">
      <c r="A1886" s="12">
        <f>IF($L1886="applied","Applied",IF($L1886="interview","Interview",IF($L1886="offer","Offer",IF($L1886="rejected","Rejected",IF($L1886="ignore","Ignore",IF($L1886="archive","Archive",IF($L1886="closed","Closed",IF($B1886="","Unscored",IF(AND($B1886&gt;=8,OR($H1886="",$H1886-TODAY()&lt;=14)),"P1 Apply",IF($B1886&gt;=7,"P2 Strong",IF($B1886&gt;=5,"P3 Maybe","P4 Low")))))))))))</f>
        <v/>
      </c>
      <c r="B1886" s="13" t="n">
        <v>0</v>
      </c>
      <c r="C1886" s="12" t="inlineStr">
        <is>
          <t>Manager/Owner</t>
        </is>
      </c>
      <c r="D1886" s="8" t="inlineStr">
        <is>
          <t>Credit Risk Manager, Portfolio Management</t>
        </is>
      </c>
      <c r="E1886" s="7" t="inlineStr">
        <is>
          <t>Monzo</t>
        </is>
      </c>
      <c r="F1886" s="8" t="inlineStr">
        <is>
          <t>London; Remote (UK)</t>
        </is>
      </c>
      <c r="G1886" s="8" t="n"/>
      <c r="H1886" s="14" t="n"/>
      <c r="I1886" s="15">
        <f>IF($H1886="","",$H1886-TODAY())</f>
        <v/>
      </c>
      <c r="J1886" s="16" t="inlineStr">
        <is>
          <t>Open posting</t>
        </is>
      </c>
      <c r="K1886" s="8" t="inlineStr">
        <is>
          <t>filtered by keyword pre-scan</t>
        </is>
      </c>
      <c r="L1886" s="17" t="inlineStr">
        <is>
          <t>new</t>
        </is>
      </c>
      <c r="M1886" s="18" t="inlineStr"/>
      <c r="N1886" s="7" t="inlineStr">
        <is>
          <t>e4b5a7947cbd2a31a7a0668832b2f40cf9b819a8</t>
        </is>
      </c>
      <c r="O1886" s="14" t="n">
        <v>46182</v>
      </c>
      <c r="P1886" s="7" t="inlineStr">
        <is>
          <t>greenhouse:monzo</t>
        </is>
      </c>
      <c r="Q1886" s="8" t="inlineStr">
        <is>
          <t>python, sql</t>
        </is>
      </c>
      <c r="R1886" s="8" t="n"/>
      <c r="S1886" s="19" t="n"/>
      <c r="T1886" s="19" t="n"/>
      <c r="U1886" s="14" t="n">
        <v>46191</v>
      </c>
      <c r="V1886" s="7" t="inlineStr">
        <is>
          <t>v2-cv-accuracy-13b988b18da8ea7d</t>
        </is>
      </c>
    </row>
    <row r="1887" ht="28" customHeight="1">
      <c r="A1887" s="12">
        <f>IF($L1887="applied","Applied",IF($L1887="interview","Interview",IF($L1887="offer","Offer",IF($L1887="rejected","Rejected",IF($L1887="ignore","Ignore",IF($L1887="archive","Archive",IF($L1887="closed","Closed",IF($B1887="","Unscored",IF(AND($B1887&gt;=8,OR($H1887="",$H1887-TODAY()&lt;=14)),"P1 Apply",IF($B1887&gt;=7,"P2 Strong",IF($B1887&gt;=5,"P3 Maybe","P4 Low")))))))))))</f>
        <v/>
      </c>
      <c r="B1887" s="13" t="n">
        <v>0</v>
      </c>
      <c r="C1887" s="12" t="inlineStr">
        <is>
          <t>Senior/Lead</t>
        </is>
      </c>
      <c r="D1887" s="8" t="inlineStr">
        <is>
          <t>Director of Fraud</t>
        </is>
      </c>
      <c r="E1887" s="7" t="inlineStr">
        <is>
          <t>Monzo</t>
        </is>
      </c>
      <c r="F1887" s="8" t="inlineStr">
        <is>
          <t>Cardiff, London or Remote (UK)</t>
        </is>
      </c>
      <c r="G1887" s="8" t="n"/>
      <c r="H1887" s="14" t="n"/>
      <c r="I1887" s="15">
        <f>IF($H1887="","",$H1887-TODAY())</f>
        <v/>
      </c>
      <c r="J1887" s="16" t="inlineStr">
        <is>
          <t>Open posting</t>
        </is>
      </c>
      <c r="K1887" s="8" t="inlineStr">
        <is>
          <t>filtered by keyword pre-scan</t>
        </is>
      </c>
      <c r="L1887" s="17" t="inlineStr">
        <is>
          <t>new</t>
        </is>
      </c>
      <c r="M1887" s="18" t="inlineStr"/>
      <c r="N1887" s="7" t="inlineStr">
        <is>
          <t>71950c46efc4e50f6f1410dc679b584a87e87910</t>
        </is>
      </c>
      <c r="O1887" s="14" t="n">
        <v>46190</v>
      </c>
      <c r="P1887" s="7" t="inlineStr">
        <is>
          <t>greenhouse:monzo</t>
        </is>
      </c>
      <c r="Q1887" s="8" t="inlineStr"/>
      <c r="R1887" s="8" t="n"/>
      <c r="S1887" s="19" t="n"/>
      <c r="T1887" s="19" t="n"/>
      <c r="U1887" s="14" t="n">
        <v>46191</v>
      </c>
      <c r="V1887" s="7" t="inlineStr">
        <is>
          <t>v2-cv-accuracy-13b988b18da8ea7d</t>
        </is>
      </c>
    </row>
    <row r="1888" ht="28" customHeight="1">
      <c r="A1888" s="12">
        <f>IF($L1888="applied","Applied",IF($L1888="interview","Interview",IF($L1888="offer","Offer",IF($L1888="rejected","Rejected",IF($L1888="ignore","Ignore",IF($L1888="archive","Archive",IF($L1888="closed","Closed",IF($B1888="","Unscored",IF(AND($B1888&gt;=8,OR($H1888="",$H1888-TODAY()&lt;=14)),"P1 Apply",IF($B1888&gt;=7,"P2 Strong",IF($B1888&gt;=5,"P3 Maybe","P4 Low")))))))))))</f>
        <v/>
      </c>
      <c r="B1888" s="13" t="n">
        <v>0</v>
      </c>
      <c r="C1888" s="12" t="inlineStr">
        <is>
          <t>Senior/Lead</t>
        </is>
      </c>
      <c r="D1888" s="8" t="inlineStr">
        <is>
          <t>Engineering Director, Security</t>
        </is>
      </c>
      <c r="E1888" s="7" t="inlineStr">
        <is>
          <t>Monzo</t>
        </is>
      </c>
      <c r="F1888" s="8" t="inlineStr">
        <is>
          <t>Cardiff, London or Remote (UK)</t>
        </is>
      </c>
      <c r="G1888" s="8" t="n"/>
      <c r="H1888" s="14" t="n"/>
      <c r="I1888" s="15">
        <f>IF($H1888="","",$H1888-TODAY())</f>
        <v/>
      </c>
      <c r="J1888" s="16" t="inlineStr">
        <is>
          <t>Open posting</t>
        </is>
      </c>
      <c r="K1888" s="8" t="inlineStr">
        <is>
          <t>filtered by keyword pre-scan</t>
        </is>
      </c>
      <c r="L1888" s="17" t="inlineStr">
        <is>
          <t>new</t>
        </is>
      </c>
      <c r="M1888" s="18" t="inlineStr"/>
      <c r="N1888" s="7" t="inlineStr">
        <is>
          <t>5670be2631b5ec83dbbdea1274ebdc799ac86750</t>
        </is>
      </c>
      <c r="O1888" s="14" t="n">
        <v>46191</v>
      </c>
      <c r="P1888" s="7" t="inlineStr">
        <is>
          <t>greenhouse:monzo</t>
        </is>
      </c>
      <c r="Q1888" s="8" t="inlineStr"/>
      <c r="R1888" s="8" t="n"/>
      <c r="S1888" s="19" t="n"/>
      <c r="T1888" s="19" t="n"/>
      <c r="U1888" s="14" t="n">
        <v>46191</v>
      </c>
      <c r="V1888" s="7" t="inlineStr">
        <is>
          <t>v2-cv-accuracy-13b988b18da8ea7d</t>
        </is>
      </c>
    </row>
    <row r="1889" ht="28" customHeight="1">
      <c r="A1889" s="12">
        <f>IF($L1889="applied","Applied",IF($L1889="interview","Interview",IF($L1889="offer","Offer",IF($L1889="rejected","Rejected",IF($L1889="ignore","Ignore",IF($L1889="archive","Archive",IF($L1889="closed","Closed",IF($B1889="","Unscored",IF(AND($B1889&gt;=8,OR($H1889="",$H1889-TODAY()&lt;=14)),"P1 Apply",IF($B1889&gt;=7,"P2 Strong",IF($B1889&gt;=5,"P3 Maybe","P4 Low")))))))))))</f>
        <v/>
      </c>
      <c r="B1889" s="13" t="n">
        <v>0</v>
      </c>
      <c r="C1889" s="12" t="inlineStr">
        <is>
          <t>Manager/Owner</t>
        </is>
      </c>
      <c r="D1889" s="8" t="inlineStr">
        <is>
          <t>Engineering Manager</t>
        </is>
      </c>
      <c r="E1889" s="7" t="inlineStr">
        <is>
          <t>Monzo</t>
        </is>
      </c>
      <c r="F1889" s="8" t="inlineStr">
        <is>
          <t>Cardiff, London or Remote (UK)</t>
        </is>
      </c>
      <c r="G1889" s="8" t="n"/>
      <c r="H1889" s="14" t="n"/>
      <c r="I1889" s="15">
        <f>IF($H1889="","",$H1889-TODAY())</f>
        <v/>
      </c>
      <c r="J1889" s="16" t="inlineStr">
        <is>
          <t>Open posting</t>
        </is>
      </c>
      <c r="K1889" s="8" t="inlineStr">
        <is>
          <t>filtered by keyword pre-scan</t>
        </is>
      </c>
      <c r="L1889" s="17" t="inlineStr">
        <is>
          <t>new</t>
        </is>
      </c>
      <c r="M1889" s="18" t="inlineStr"/>
      <c r="N1889" s="7" t="inlineStr">
        <is>
          <t>09477e435db4a9798da1f28ffbea8c9958d186c2</t>
        </is>
      </c>
      <c r="O1889" s="14" t="n">
        <v>46191</v>
      </c>
      <c r="P1889" s="7" t="inlineStr">
        <is>
          <t>greenhouse:monzo</t>
        </is>
      </c>
      <c r="Q1889" s="8" t="inlineStr"/>
      <c r="R1889" s="8" t="n"/>
      <c r="S1889" s="19" t="n"/>
      <c r="T1889" s="19" t="n"/>
      <c r="U1889" s="14" t="n">
        <v>46191</v>
      </c>
      <c r="V1889" s="7" t="inlineStr">
        <is>
          <t>v2-cv-accuracy-13b988b18da8ea7d</t>
        </is>
      </c>
    </row>
    <row r="1890" ht="28" customHeight="1">
      <c r="A1890" s="12">
        <f>IF($L1890="applied","Applied",IF($L1890="interview","Interview",IF($L1890="offer","Offer",IF($L1890="rejected","Rejected",IF($L1890="ignore","Ignore",IF($L1890="archive","Archive",IF($L1890="closed","Closed",IF($B1890="","Unscored",IF(AND($B1890&gt;=8,OR($H1890="",$H1890-TODAY()&lt;=14)),"P1 Apply",IF($B1890&gt;=7,"P2 Strong",IF($B1890&gt;=5,"P3 Maybe","P4 Low")))))))))))</f>
        <v/>
      </c>
      <c r="B1890" s="13" t="n">
        <v>0</v>
      </c>
      <c r="C1890" s="12" t="inlineStr">
        <is>
          <t>Manager/Owner</t>
        </is>
      </c>
      <c r="D1890" s="8" t="inlineStr">
        <is>
          <t>Engineering Manager</t>
        </is>
      </c>
      <c r="E1890" s="7" t="inlineStr">
        <is>
          <t>Monzo</t>
        </is>
      </c>
      <c r="F1890" s="8" t="inlineStr">
        <is>
          <t>Barcelona</t>
        </is>
      </c>
      <c r="G1890" s="8" t="n"/>
      <c r="H1890" s="14" t="n"/>
      <c r="I1890" s="15">
        <f>IF($H1890="","",$H1890-TODAY())</f>
        <v/>
      </c>
      <c r="J1890" s="16" t="inlineStr">
        <is>
          <t>Open posting</t>
        </is>
      </c>
      <c r="K1890" s="8" t="inlineStr">
        <is>
          <t>filtered by keyword pre-scan</t>
        </is>
      </c>
      <c r="L1890" s="17" t="inlineStr">
        <is>
          <t>new</t>
        </is>
      </c>
      <c r="M1890" s="18" t="inlineStr"/>
      <c r="N1890" s="7" t="inlineStr">
        <is>
          <t>b8276361e21f56b27dfb4ab76a67ba24a6d5e248</t>
        </is>
      </c>
      <c r="O1890" s="14" t="n">
        <v>46178</v>
      </c>
      <c r="P1890" s="7" t="inlineStr">
        <is>
          <t>greenhouse:monzo</t>
        </is>
      </c>
      <c r="Q1890" s="8" t="inlineStr"/>
      <c r="R1890" s="8" t="n"/>
      <c r="S1890" s="19" t="n"/>
      <c r="T1890" s="19" t="n"/>
      <c r="U1890" s="14" t="n">
        <v>46191</v>
      </c>
      <c r="V1890" s="7" t="inlineStr">
        <is>
          <t>v2-cv-accuracy-13b988b18da8ea7d</t>
        </is>
      </c>
    </row>
    <row r="1891" ht="28" customHeight="1">
      <c r="A1891" s="12">
        <f>IF($L1891="applied","Applied",IF($L1891="interview","Interview",IF($L1891="offer","Offer",IF($L1891="rejected","Rejected",IF($L1891="ignore","Ignore",IF($L1891="archive","Archive",IF($L1891="closed","Closed",IF($B1891="","Unscored",IF(AND($B1891&gt;=8,OR($H1891="",$H1891-TODAY()&lt;=14)),"P1 Apply",IF($B1891&gt;=7,"P2 Strong",IF($B1891&gt;=5,"P3 Maybe","P4 Low")))))))))))</f>
        <v/>
      </c>
      <c r="B1891" s="13" t="n">
        <v>0</v>
      </c>
      <c r="C1891" s="12" t="inlineStr">
        <is>
          <t>Manager/Owner</t>
        </is>
      </c>
      <c r="D1891" s="8" t="inlineStr">
        <is>
          <t>Enterprise Risk Manager</t>
        </is>
      </c>
      <c r="E1891" s="7" t="inlineStr">
        <is>
          <t>Monzo</t>
        </is>
      </c>
      <c r="F1891" s="8" t="inlineStr">
        <is>
          <t>Dublin</t>
        </is>
      </c>
      <c r="G1891" s="8" t="n"/>
      <c r="H1891" s="14" t="n"/>
      <c r="I1891" s="15">
        <f>IF($H1891="","",$H1891-TODAY())</f>
        <v/>
      </c>
      <c r="J1891" s="16" t="inlineStr">
        <is>
          <t>Open posting</t>
        </is>
      </c>
      <c r="K1891" s="8" t="inlineStr">
        <is>
          <t>filtered by keyword pre-scan</t>
        </is>
      </c>
      <c r="L1891" s="17" t="inlineStr">
        <is>
          <t>new</t>
        </is>
      </c>
      <c r="M1891" s="18" t="inlineStr"/>
      <c r="N1891" s="7" t="inlineStr">
        <is>
          <t>20474d42f6363f36fedd7042bc1fd533e83a2f63</t>
        </is>
      </c>
      <c r="O1891" s="14" t="n">
        <v>46177</v>
      </c>
      <c r="P1891" s="7" t="inlineStr">
        <is>
          <t>greenhouse:monzo</t>
        </is>
      </c>
      <c r="Q1891" s="8" t="inlineStr"/>
      <c r="R1891" s="8" t="n"/>
      <c r="S1891" s="19" t="n"/>
      <c r="T1891" s="19" t="n"/>
      <c r="U1891" s="14" t="n">
        <v>46191</v>
      </c>
      <c r="V1891" s="7" t="inlineStr">
        <is>
          <t>v2-cv-accuracy-13b988b18da8ea7d</t>
        </is>
      </c>
    </row>
    <row r="1892" ht="28" customHeight="1">
      <c r="A1892" s="12">
        <f>IF($L1892="applied","Applied",IF($L1892="interview","Interview",IF($L1892="offer","Offer",IF($L1892="rejected","Rejected",IF($L1892="ignore","Ignore",IF($L1892="archive","Archive",IF($L1892="closed","Closed",IF($B1892="","Unscored",IF(AND($B1892&gt;=8,OR($H1892="",$H1892-TODAY()&lt;=14)),"P1 Apply",IF($B1892&gt;=7,"P2 Strong",IF($B1892&gt;=5,"P3 Maybe","P4 Low")))))))))))</f>
        <v/>
      </c>
      <c r="B1892" s="13" t="n">
        <v>0</v>
      </c>
      <c r="C1892" s="12" t="inlineStr">
        <is>
          <t>Manager/Owner</t>
        </is>
      </c>
      <c r="D1892" s="8" t="inlineStr">
        <is>
          <t>Enterprise Risk Manager</t>
        </is>
      </c>
      <c r="E1892" s="7" t="inlineStr">
        <is>
          <t>Monzo</t>
        </is>
      </c>
      <c r="F1892" s="8" t="inlineStr">
        <is>
          <t>Barcelona; Madrid</t>
        </is>
      </c>
      <c r="G1892" s="8" t="n"/>
      <c r="H1892" s="14" t="n"/>
      <c r="I1892" s="15">
        <f>IF($H1892="","",$H1892-TODAY())</f>
        <v/>
      </c>
      <c r="J1892" s="16" t="inlineStr">
        <is>
          <t>Open posting</t>
        </is>
      </c>
      <c r="K1892" s="8" t="inlineStr">
        <is>
          <t>filtered by keyword pre-scan</t>
        </is>
      </c>
      <c r="L1892" s="17" t="inlineStr">
        <is>
          <t>new</t>
        </is>
      </c>
      <c r="M1892" s="18" t="inlineStr"/>
      <c r="N1892" s="7" t="inlineStr">
        <is>
          <t>fe7c622d7637cda9193bd74fe2c7c5b2855dbf66</t>
        </is>
      </c>
      <c r="O1892" s="14" t="n">
        <v>46177</v>
      </c>
      <c r="P1892" s="7" t="inlineStr">
        <is>
          <t>greenhouse:monzo</t>
        </is>
      </c>
      <c r="Q1892" s="8" t="inlineStr"/>
      <c r="R1892" s="8" t="n"/>
      <c r="S1892" s="19" t="n"/>
      <c r="T1892" s="19" t="n"/>
      <c r="U1892" s="14" t="n">
        <v>46191</v>
      </c>
      <c r="V1892" s="7" t="inlineStr">
        <is>
          <t>v2-cv-accuracy-13b988b18da8ea7d</t>
        </is>
      </c>
    </row>
    <row r="1893" ht="28" customHeight="1">
      <c r="A1893" s="12">
        <f>IF($L1893="applied","Applied",IF($L1893="interview","Interview",IF($L1893="offer","Offer",IF($L1893="rejected","Rejected",IF($L1893="ignore","Ignore",IF($L1893="archive","Archive",IF($L1893="closed","Closed",IF($B1893="","Unscored",IF(AND($B1893&gt;=8,OR($H1893="",$H1893-TODAY()&lt;=14)),"P1 Apply",IF($B1893&gt;=7,"P2 Strong",IF($B1893&gt;=5,"P3 Maybe","P4 Low")))))))))))</f>
        <v/>
      </c>
      <c r="B1893" s="13" t="n">
        <v>0</v>
      </c>
      <c r="C1893" s="12" t="inlineStr">
        <is>
          <t>Manager/Owner</t>
        </is>
      </c>
      <c r="D1893" s="8" t="inlineStr">
        <is>
          <t>Errors Manager</t>
        </is>
      </c>
      <c r="E1893" s="7" t="inlineStr">
        <is>
          <t>Monzo</t>
        </is>
      </c>
      <c r="F1893" s="8" t="inlineStr">
        <is>
          <t>Dublin</t>
        </is>
      </c>
      <c r="G1893" s="8" t="n"/>
      <c r="H1893" s="14" t="n"/>
      <c r="I1893" s="15">
        <f>IF($H1893="","",$H1893-TODAY())</f>
        <v/>
      </c>
      <c r="J1893" s="16" t="inlineStr">
        <is>
          <t>Open posting</t>
        </is>
      </c>
      <c r="K1893" s="8" t="inlineStr">
        <is>
          <t>filtered by keyword pre-scan</t>
        </is>
      </c>
      <c r="L1893" s="17" t="inlineStr">
        <is>
          <t>new</t>
        </is>
      </c>
      <c r="M1893" s="18" t="inlineStr"/>
      <c r="N1893" s="7" t="inlineStr">
        <is>
          <t>65fc5e59161438b328acc80ee015de3ccf34202f</t>
        </is>
      </c>
      <c r="O1893" s="14" t="n">
        <v>46170</v>
      </c>
      <c r="P1893" s="7" t="inlineStr">
        <is>
          <t>greenhouse:monzo</t>
        </is>
      </c>
      <c r="Q1893" s="8" t="inlineStr"/>
      <c r="R1893" s="8" t="n"/>
      <c r="S1893" s="19" t="n"/>
      <c r="T1893" s="19" t="n"/>
      <c r="U1893" s="14" t="n">
        <v>46191</v>
      </c>
      <c r="V1893" s="7" t="inlineStr">
        <is>
          <t>v2-cv-accuracy-13b988b18da8ea7d</t>
        </is>
      </c>
    </row>
    <row r="1894" ht="28" customHeight="1">
      <c r="A1894" s="12">
        <f>IF($L1894="applied","Applied",IF($L1894="interview","Interview",IF($L1894="offer","Offer",IF($L1894="rejected","Rejected",IF($L1894="ignore","Ignore",IF($L1894="archive","Archive",IF($L1894="closed","Closed",IF($B1894="","Unscored",IF(AND($B1894&gt;=8,OR($H1894="",$H1894-TODAY()&lt;=14)),"P1 Apply",IF($B1894&gt;=7,"P2 Strong",IF($B1894&gt;=5,"P3 Maybe","P4 Low")))))))))))</f>
        <v/>
      </c>
      <c r="B1894" s="13" t="n">
        <v>0</v>
      </c>
      <c r="C1894" s="12" t="inlineStr">
        <is>
          <t>Senior/Lead</t>
        </is>
      </c>
      <c r="D1894" s="8" t="inlineStr">
        <is>
          <t>Head of Prudential Risk</t>
        </is>
      </c>
      <c r="E1894" s="7" t="inlineStr">
        <is>
          <t>Monzo</t>
        </is>
      </c>
      <c r="F1894" s="8" t="inlineStr">
        <is>
          <t>Cardiff, London or Remote (UK)</t>
        </is>
      </c>
      <c r="G1894" s="8" t="n"/>
      <c r="H1894" s="14" t="n"/>
      <c r="I1894" s="15">
        <f>IF($H1894="","",$H1894-TODAY())</f>
        <v/>
      </c>
      <c r="J1894" s="16" t="inlineStr">
        <is>
          <t>Open posting</t>
        </is>
      </c>
      <c r="K1894" s="8" t="inlineStr">
        <is>
          <t>filtered by keyword pre-scan</t>
        </is>
      </c>
      <c r="L1894" s="17" t="inlineStr">
        <is>
          <t>new</t>
        </is>
      </c>
      <c r="M1894" s="18" t="inlineStr"/>
      <c r="N1894" s="7" t="inlineStr">
        <is>
          <t>e2c2c5354ed20c21d1b43d142a3b3cad975ae00f</t>
        </is>
      </c>
      <c r="O1894" s="14" t="n">
        <v>46185</v>
      </c>
      <c r="P1894" s="7" t="inlineStr">
        <is>
          <t>greenhouse:monzo</t>
        </is>
      </c>
      <c r="Q1894" s="8" t="inlineStr"/>
      <c r="R1894" s="8" t="n"/>
      <c r="S1894" s="19" t="n"/>
      <c r="T1894" s="19" t="n"/>
      <c r="U1894" s="14" t="n">
        <v>46191</v>
      </c>
      <c r="V1894" s="7" t="inlineStr">
        <is>
          <t>v2-cv-accuracy-13b988b18da8ea7d</t>
        </is>
      </c>
    </row>
    <row r="1895" ht="28" customHeight="1">
      <c r="A1895" s="12">
        <f>IF($L1895="applied","Applied",IF($L1895="interview","Interview",IF($L1895="offer","Offer",IF($L1895="rejected","Rejected",IF($L1895="ignore","Ignore",IF($L1895="archive","Archive",IF($L1895="closed","Closed",IF($B1895="","Unscored",IF(AND($B1895&gt;=8,OR($H1895="",$H1895-TODAY()&lt;=14)),"P1 Apply",IF($B1895&gt;=7,"P2 Strong",IF($B1895&gt;=5,"P3 Maybe","P4 Low")))))))))))</f>
        <v/>
      </c>
      <c r="B1895" s="13" t="n">
        <v>0</v>
      </c>
      <c r="C1895" s="12" t="inlineStr">
        <is>
          <t>Senior/Lead</t>
        </is>
      </c>
      <c r="D1895" s="8" t="inlineStr">
        <is>
          <t>International Public Policy, Senior Manager</t>
        </is>
      </c>
      <c r="E1895" s="7" t="inlineStr">
        <is>
          <t>Monzo</t>
        </is>
      </c>
      <c r="F1895" s="8" t="inlineStr">
        <is>
          <t>Cardiff, London or Remote (UK)</t>
        </is>
      </c>
      <c r="G1895" s="8" t="n"/>
      <c r="H1895" s="14" t="n"/>
      <c r="I1895" s="15">
        <f>IF($H1895="","",$H1895-TODAY())</f>
        <v/>
      </c>
      <c r="J1895" s="16" t="inlineStr">
        <is>
          <t>Open posting</t>
        </is>
      </c>
      <c r="K1895" s="8" t="inlineStr">
        <is>
          <t>filtered by keyword pre-scan</t>
        </is>
      </c>
      <c r="L1895" s="17" t="inlineStr">
        <is>
          <t>new</t>
        </is>
      </c>
      <c r="M1895" s="18" t="inlineStr"/>
      <c r="N1895" s="7" t="inlineStr">
        <is>
          <t>8b91c0d0476e65739cd995997fdb1d3691628aa5</t>
        </is>
      </c>
      <c r="O1895" s="14" t="n">
        <v>46185</v>
      </c>
      <c r="P1895" s="7" t="inlineStr">
        <is>
          <t>greenhouse:monzo</t>
        </is>
      </c>
      <c r="Q1895" s="8" t="inlineStr">
        <is>
          <t>git</t>
        </is>
      </c>
      <c r="R1895" s="8" t="n"/>
      <c r="S1895" s="19" t="n"/>
      <c r="T1895" s="19" t="n"/>
      <c r="U1895" s="14" t="n">
        <v>46191</v>
      </c>
      <c r="V1895" s="7" t="inlineStr">
        <is>
          <t>v2-cv-accuracy-13b988b18da8ea7d</t>
        </is>
      </c>
    </row>
    <row r="1896" ht="28" customHeight="1">
      <c r="A1896" s="12">
        <f>IF($L1896="applied","Applied",IF($L1896="interview","Interview",IF($L1896="offer","Offer",IF($L1896="rejected","Rejected",IF($L1896="ignore","Ignore",IF($L1896="archive","Archive",IF($L1896="closed","Closed",IF($B1896="","Unscored",IF(AND($B1896&gt;=8,OR($H1896="",$H1896-TODAY()&lt;=14)),"P1 Apply",IF($B1896&gt;=7,"P2 Strong",IF($B1896&gt;=5,"P3 Maybe","P4 Low")))))))))))</f>
        <v/>
      </c>
      <c r="B1896" s="13" t="n">
        <v>0</v>
      </c>
      <c r="C1896" s="12" t="inlineStr">
        <is>
          <t>Senior/Lead</t>
        </is>
      </c>
      <c r="D1896" s="8" t="inlineStr">
        <is>
          <t>Lead Analytics Engineer, Borrowing</t>
        </is>
      </c>
      <c r="E1896" s="7" t="inlineStr">
        <is>
          <t>Monzo</t>
        </is>
      </c>
      <c r="F1896" s="8" t="inlineStr">
        <is>
          <t>Cardiff, London or Remote (UK)</t>
        </is>
      </c>
      <c r="G1896" s="8" t="n"/>
      <c r="H1896" s="14" t="n"/>
      <c r="I1896" s="15">
        <f>IF($H1896="","",$H1896-TODAY())</f>
        <v/>
      </c>
      <c r="J1896" s="16" t="inlineStr">
        <is>
          <t>Open posting</t>
        </is>
      </c>
      <c r="K1896" s="8" t="inlineStr">
        <is>
          <t>filtered by keyword pre-scan</t>
        </is>
      </c>
      <c r="L1896" s="17" t="inlineStr">
        <is>
          <t>new</t>
        </is>
      </c>
      <c r="M1896" s="18" t="inlineStr"/>
      <c r="N1896" s="7" t="inlineStr">
        <is>
          <t>9087bba2759bd01514da3b872cf19239f004bdee</t>
        </is>
      </c>
      <c r="O1896" s="14" t="n">
        <v>46170</v>
      </c>
      <c r="P1896" s="7" t="inlineStr">
        <is>
          <t>greenhouse:monzo</t>
        </is>
      </c>
      <c r="Q1896" s="8" t="inlineStr"/>
      <c r="R1896" s="8" t="n"/>
      <c r="S1896" s="19" t="n"/>
      <c r="T1896" s="19" t="n"/>
      <c r="U1896" s="14" t="n">
        <v>46191</v>
      </c>
      <c r="V1896" s="7" t="inlineStr">
        <is>
          <t>v2-cv-accuracy-13b988b18da8ea7d</t>
        </is>
      </c>
    </row>
    <row r="1897" ht="28" customHeight="1">
      <c r="A1897" s="12">
        <f>IF($L1897="applied","Applied",IF($L1897="interview","Interview",IF($L1897="offer","Offer",IF($L1897="rejected","Rejected",IF($L1897="ignore","Ignore",IF($L1897="archive","Archive",IF($L1897="closed","Closed",IF($B1897="","Unscored",IF(AND($B1897&gt;=8,OR($H1897="",$H1897-TODAY()&lt;=14)),"P1 Apply",IF($B1897&gt;=7,"P2 Strong",IF($B1897&gt;=5,"P3 Maybe","P4 Low")))))))))))</f>
        <v/>
      </c>
      <c r="B1897" s="13" t="n">
        <v>0</v>
      </c>
      <c r="C1897" s="12" t="inlineStr">
        <is>
          <t>Senior/Lead</t>
        </is>
      </c>
      <c r="D1897" s="8" t="inlineStr">
        <is>
          <t>Lead Data Scientist</t>
        </is>
      </c>
      <c r="E1897" s="7" t="inlineStr">
        <is>
          <t>Monzo</t>
        </is>
      </c>
      <c r="F1897" s="8" t="inlineStr">
        <is>
          <t>Barcelona</t>
        </is>
      </c>
      <c r="G1897" s="8" t="n"/>
      <c r="H1897" s="14" t="n"/>
      <c r="I1897" s="15">
        <f>IF($H1897="","",$H1897-TODAY())</f>
        <v/>
      </c>
      <c r="J1897" s="16" t="inlineStr">
        <is>
          <t>Open posting</t>
        </is>
      </c>
      <c r="K1897" s="8" t="inlineStr">
        <is>
          <t>filtered by keyword pre-scan</t>
        </is>
      </c>
      <c r="L1897" s="17" t="inlineStr">
        <is>
          <t>new</t>
        </is>
      </c>
      <c r="M1897" s="18" t="inlineStr"/>
      <c r="N1897" s="7" t="inlineStr">
        <is>
          <t>c56c9fb3211af067d47d4d63b76f67de2f8bdb06</t>
        </is>
      </c>
      <c r="O1897" s="14" t="n">
        <v>46170</v>
      </c>
      <c r="P1897" s="7" t="inlineStr">
        <is>
          <t>greenhouse:monzo</t>
        </is>
      </c>
      <c r="Q1897" s="8" t="inlineStr"/>
      <c r="R1897" s="8" t="n"/>
      <c r="S1897" s="19" t="n"/>
      <c r="T1897" s="19" t="n"/>
      <c r="U1897" s="14" t="n">
        <v>46191</v>
      </c>
      <c r="V1897" s="7" t="inlineStr">
        <is>
          <t>v2-cv-accuracy-13b988b18da8ea7d</t>
        </is>
      </c>
    </row>
    <row r="1898" ht="28" customHeight="1">
      <c r="A1898" s="12">
        <f>IF($L1898="applied","Applied",IF($L1898="interview","Interview",IF($L1898="offer","Offer",IF($L1898="rejected","Rejected",IF($L1898="ignore","Ignore",IF($L1898="archive","Archive",IF($L1898="closed","Closed",IF($B1898="","Unscored",IF(AND($B1898&gt;=8,OR($H1898="",$H1898-TODAY()&lt;=14)),"P1 Apply",IF($B1898&gt;=7,"P2 Strong",IF($B1898&gt;=5,"P3 Maybe","P4 Low")))))))))))</f>
        <v/>
      </c>
      <c r="B1898" s="13" t="n">
        <v>0</v>
      </c>
      <c r="C1898" s="12" t="inlineStr">
        <is>
          <t>Senior/Lead</t>
        </is>
      </c>
      <c r="D1898" s="8" t="inlineStr">
        <is>
          <t>Lead Product Designer</t>
        </is>
      </c>
      <c r="E1898" s="7" t="inlineStr">
        <is>
          <t>Monzo</t>
        </is>
      </c>
      <c r="F1898" s="8" t="inlineStr">
        <is>
          <t>Cardiff, London or Remote (UK)</t>
        </is>
      </c>
      <c r="G1898" s="8" t="n"/>
      <c r="H1898" s="14" t="n"/>
      <c r="I1898" s="15">
        <f>IF($H1898="","",$H1898-TODAY())</f>
        <v/>
      </c>
      <c r="J1898" s="16" t="inlineStr">
        <is>
          <t>Open posting</t>
        </is>
      </c>
      <c r="K1898" s="8" t="inlineStr">
        <is>
          <t>filtered by keyword pre-scan</t>
        </is>
      </c>
      <c r="L1898" s="17" t="inlineStr">
        <is>
          <t>new</t>
        </is>
      </c>
      <c r="M1898" s="18" t="inlineStr"/>
      <c r="N1898" s="7" t="inlineStr">
        <is>
          <t>cf9b90107850f98aa89569b88a1e4b4541e8700a</t>
        </is>
      </c>
      <c r="O1898" s="14" t="n">
        <v>46170</v>
      </c>
      <c r="P1898" s="7" t="inlineStr">
        <is>
          <t>greenhouse:monzo</t>
        </is>
      </c>
      <c r="Q1898" s="8" t="inlineStr"/>
      <c r="R1898" s="8" t="n"/>
      <c r="S1898" s="19" t="n"/>
      <c r="T1898" s="19" t="n"/>
      <c r="U1898" s="14" t="n">
        <v>46191</v>
      </c>
      <c r="V1898" s="7" t="inlineStr">
        <is>
          <t>v2-cv-accuracy-13b988b18da8ea7d</t>
        </is>
      </c>
    </row>
    <row r="1899" ht="28" customHeight="1">
      <c r="A1899" s="12">
        <f>IF($L1899="applied","Applied",IF($L1899="interview","Interview",IF($L1899="offer","Offer",IF($L1899="rejected","Rejected",IF($L1899="ignore","Ignore",IF($L1899="archive","Archive",IF($L1899="closed","Closed",IF($B1899="","Unscored",IF(AND($B1899&gt;=8,OR($H1899="",$H1899-TODAY()&lt;=14)),"P1 Apply",IF($B1899&gt;=7,"P2 Strong",IF($B1899&gt;=5,"P3 Maybe","P4 Low")))))))))))</f>
        <v/>
      </c>
      <c r="B1899" s="13" t="n">
        <v>0</v>
      </c>
      <c r="C1899" s="12" t="inlineStr">
        <is>
          <t>Senior/Lead</t>
        </is>
      </c>
      <c r="D1899" s="8" t="inlineStr">
        <is>
          <t>Lead User Researcher</t>
        </is>
      </c>
      <c r="E1899" s="7" t="inlineStr">
        <is>
          <t>Monzo</t>
        </is>
      </c>
      <c r="F1899" s="8" t="inlineStr">
        <is>
          <t>Dublin</t>
        </is>
      </c>
      <c r="G1899" s="8" t="n"/>
      <c r="H1899" s="14" t="n"/>
      <c r="I1899" s="15">
        <f>IF($H1899="","",$H1899-TODAY())</f>
        <v/>
      </c>
      <c r="J1899" s="16" t="inlineStr">
        <is>
          <t>Open posting</t>
        </is>
      </c>
      <c r="K1899" s="8" t="inlineStr">
        <is>
          <t>filtered by keyword pre-scan</t>
        </is>
      </c>
      <c r="L1899" s="17" t="inlineStr">
        <is>
          <t>new</t>
        </is>
      </c>
      <c r="M1899" s="18" t="inlineStr"/>
      <c r="N1899" s="7" t="inlineStr">
        <is>
          <t>caba78d22173b8f834550233e0f7dbc6ca00e061</t>
        </is>
      </c>
      <c r="O1899" s="14" t="n">
        <v>46170</v>
      </c>
      <c r="P1899" s="7" t="inlineStr">
        <is>
          <t>greenhouse:monzo</t>
        </is>
      </c>
      <c r="Q1899" s="8" t="inlineStr"/>
      <c r="R1899" s="8" t="n"/>
      <c r="S1899" s="19" t="n"/>
      <c r="T1899" s="19" t="n"/>
      <c r="U1899" s="14" t="n">
        <v>46191</v>
      </c>
      <c r="V1899" s="7" t="inlineStr">
        <is>
          <t>v2-cv-accuracy-13b988b18da8ea7d</t>
        </is>
      </c>
    </row>
    <row r="1900" ht="28" customHeight="1">
      <c r="A1900" s="12">
        <f>IF($L1900="applied","Applied",IF($L1900="interview","Interview",IF($L1900="offer","Offer",IF($L1900="rejected","Rejected",IF($L1900="ignore","Ignore",IF($L1900="archive","Archive",IF($L1900="closed","Closed",IF($B1900="","Unscored",IF(AND($B1900&gt;=8,OR($H1900="",$H1900-TODAY()&lt;=14)),"P1 Apply",IF($B1900&gt;=7,"P2 Strong",IF($B1900&gt;=5,"P3 Maybe","P4 Low")))))))))))</f>
        <v/>
      </c>
      <c r="B1900" s="13" t="n">
        <v>0</v>
      </c>
      <c r="C1900" s="12" t="inlineStr">
        <is>
          <t>Manager/Owner</t>
        </is>
      </c>
      <c r="D1900" s="8" t="inlineStr">
        <is>
          <t>Machine Learning Manager, Fincrime</t>
        </is>
      </c>
      <c r="E1900" s="7" t="inlineStr">
        <is>
          <t>Monzo</t>
        </is>
      </c>
      <c r="F1900" s="8" t="inlineStr">
        <is>
          <t>Cardiff, London or Remote (UK)</t>
        </is>
      </c>
      <c r="G1900" s="8" t="n"/>
      <c r="H1900" s="14" t="n"/>
      <c r="I1900" s="15">
        <f>IF($H1900="","",$H1900-TODAY())</f>
        <v/>
      </c>
      <c r="J1900" s="16" t="inlineStr">
        <is>
          <t>Open posting</t>
        </is>
      </c>
      <c r="K1900" s="8" t="inlineStr">
        <is>
          <t>filtered by keyword pre-scan</t>
        </is>
      </c>
      <c r="L1900" s="17" t="inlineStr">
        <is>
          <t>new</t>
        </is>
      </c>
      <c r="M1900" s="18" t="inlineStr"/>
      <c r="N1900" s="7" t="inlineStr">
        <is>
          <t>7ef629ed9ee4867d7fa5fe0fffa90d76115ffe29</t>
        </is>
      </c>
      <c r="O1900" s="14" t="n">
        <v>46185</v>
      </c>
      <c r="P1900" s="7" t="inlineStr">
        <is>
          <t>greenhouse:monzo</t>
        </is>
      </c>
      <c r="Q1900" s="8" t="inlineStr"/>
      <c r="R1900" s="8" t="n"/>
      <c r="S1900" s="19" t="n"/>
      <c r="T1900" s="19" t="n"/>
      <c r="U1900" s="14" t="n">
        <v>46191</v>
      </c>
      <c r="V1900" s="7" t="inlineStr">
        <is>
          <t>v2-cv-accuracy-13b988b18da8ea7d</t>
        </is>
      </c>
    </row>
    <row r="1901" ht="28" customHeight="1">
      <c r="A1901" s="12">
        <f>IF($L1901="applied","Applied",IF($L1901="interview","Interview",IF($L1901="offer","Offer",IF($L1901="rejected","Rejected",IF($L1901="ignore","Ignore",IF($L1901="archive","Archive",IF($L1901="closed","Closed",IF($B1901="","Unscored",IF(AND($B1901&gt;=8,OR($H1901="",$H1901-TODAY()&lt;=14)),"P1 Apply",IF($B1901&gt;=7,"P2 Strong",IF($B1901&gt;=5,"P3 Maybe","P4 Low")))))))))))</f>
        <v/>
      </c>
      <c r="B1901" s="13" t="n">
        <v>0</v>
      </c>
      <c r="C1901" s="12" t="inlineStr">
        <is>
          <t>Senior/Lead</t>
        </is>
      </c>
      <c r="D1901" s="8" t="inlineStr">
        <is>
          <t>Operations Leadership, Financial Crime (Multilingual)</t>
        </is>
      </c>
      <c r="E1901" s="7" t="inlineStr">
        <is>
          <t>Monzo</t>
        </is>
      </c>
      <c r="F1901" s="8" t="inlineStr">
        <is>
          <t>Remote (UK)</t>
        </is>
      </c>
      <c r="G1901" s="8" t="n"/>
      <c r="H1901" s="14" t="n"/>
      <c r="I1901" s="15">
        <f>IF($H1901="","",$H1901-TODAY())</f>
        <v/>
      </c>
      <c r="J1901" s="16" t="inlineStr">
        <is>
          <t>Open posting</t>
        </is>
      </c>
      <c r="K1901" s="8" t="inlineStr">
        <is>
          <t>filtered by keyword pre-scan</t>
        </is>
      </c>
      <c r="L1901" s="17" t="inlineStr">
        <is>
          <t>new</t>
        </is>
      </c>
      <c r="M1901" s="18" t="inlineStr"/>
      <c r="N1901" s="7" t="inlineStr">
        <is>
          <t>7663fecb205f2788cc37a72d213ec514b12e7acb</t>
        </is>
      </c>
      <c r="O1901" s="14" t="n">
        <v>46184</v>
      </c>
      <c r="P1901" s="7" t="inlineStr">
        <is>
          <t>greenhouse:monzo</t>
        </is>
      </c>
      <c r="Q1901" s="8" t="inlineStr"/>
      <c r="R1901" s="8" t="n"/>
      <c r="S1901" s="19" t="n"/>
      <c r="T1901" s="19" t="n"/>
      <c r="U1901" s="14" t="n">
        <v>46191</v>
      </c>
      <c r="V1901" s="7" t="inlineStr">
        <is>
          <t>v2-cv-accuracy-13b988b18da8ea7d</t>
        </is>
      </c>
    </row>
    <row r="1902" ht="28" customHeight="1">
      <c r="A1902" s="12">
        <f>IF($L1902="applied","Applied",IF($L1902="interview","Interview",IF($L1902="offer","Offer",IF($L1902="rejected","Rejected",IF($L1902="ignore","Ignore",IF($L1902="archive","Archive",IF($L1902="closed","Closed",IF($B1902="","Unscored",IF(AND($B1902&gt;=8,OR($H1902="",$H1902-TODAY()&lt;=14)),"P1 Apply",IF($B1902&gt;=7,"P2 Strong",IF($B1902&gt;=5,"P3 Maybe","P4 Low")))))))))))</f>
        <v/>
      </c>
      <c r="B1902" s="13" t="n">
        <v>0</v>
      </c>
      <c r="C1902" s="12" t="inlineStr">
        <is>
          <t>Senior/Lead</t>
        </is>
      </c>
      <c r="D1902" s="8" t="inlineStr">
        <is>
          <t>Product Director, Flex (Borrowing)</t>
        </is>
      </c>
      <c r="E1902" s="7" t="inlineStr">
        <is>
          <t>Monzo</t>
        </is>
      </c>
      <c r="F1902" s="8" t="inlineStr">
        <is>
          <t>London</t>
        </is>
      </c>
      <c r="G1902" s="8" t="n"/>
      <c r="H1902" s="14" t="n"/>
      <c r="I1902" s="15">
        <f>IF($H1902="","",$H1902-TODAY())</f>
        <v/>
      </c>
      <c r="J1902" s="16" t="inlineStr">
        <is>
          <t>Open posting</t>
        </is>
      </c>
      <c r="K1902" s="8" t="inlineStr">
        <is>
          <t>filtered by keyword pre-scan</t>
        </is>
      </c>
      <c r="L1902" s="17" t="inlineStr">
        <is>
          <t>new</t>
        </is>
      </c>
      <c r="M1902" s="18" t="inlineStr"/>
      <c r="N1902" s="7" t="inlineStr">
        <is>
          <t>6bf9e714b51d33659b4c82f78b4cefb7625f7674</t>
        </is>
      </c>
      <c r="O1902" s="14" t="n">
        <v>46170</v>
      </c>
      <c r="P1902" s="7" t="inlineStr">
        <is>
          <t>greenhouse:monzo</t>
        </is>
      </c>
      <c r="Q1902" s="8" t="inlineStr"/>
      <c r="R1902" s="8" t="n"/>
      <c r="S1902" s="19" t="n"/>
      <c r="T1902" s="19" t="n"/>
      <c r="U1902" s="14" t="n">
        <v>46191</v>
      </c>
      <c r="V1902" s="7" t="inlineStr">
        <is>
          <t>v2-cv-accuracy-13b988b18da8ea7d</t>
        </is>
      </c>
    </row>
    <row r="1903" ht="28" customHeight="1">
      <c r="A1903" s="12">
        <f>IF($L1903="applied","Applied",IF($L1903="interview","Interview",IF($L1903="offer","Offer",IF($L1903="rejected","Rejected",IF($L1903="ignore","Ignore",IF($L1903="archive","Archive",IF($L1903="closed","Closed",IF($B1903="","Unscored",IF(AND($B1903&gt;=8,OR($H1903="",$H1903-TODAY()&lt;=14)),"P1 Apply",IF($B1903&gt;=7,"P2 Strong",IF($B1903&gt;=5,"P3 Maybe","P4 Low")))))))))))</f>
        <v/>
      </c>
      <c r="B1903" s="13" t="n">
        <v>0</v>
      </c>
      <c r="C1903" s="12" t="inlineStr">
        <is>
          <t>Senior/Lead</t>
        </is>
      </c>
      <c r="D1903" s="8" t="inlineStr">
        <is>
          <t>Regulatory Reporting Analyst</t>
        </is>
      </c>
      <c r="E1903" s="7" t="inlineStr">
        <is>
          <t>Monzo</t>
        </is>
      </c>
      <c r="F1903" s="8" t="inlineStr">
        <is>
          <t>Dublin</t>
        </is>
      </c>
      <c r="G1903" s="8" t="n"/>
      <c r="H1903" s="14" t="n"/>
      <c r="I1903" s="15">
        <f>IF($H1903="","",$H1903-TODAY())</f>
        <v/>
      </c>
      <c r="J1903" s="16" t="inlineStr">
        <is>
          <t>Open posting</t>
        </is>
      </c>
      <c r="K1903" s="8" t="inlineStr">
        <is>
          <t>filtered by keyword pre-scan</t>
        </is>
      </c>
      <c r="L1903" s="17" t="inlineStr">
        <is>
          <t>new</t>
        </is>
      </c>
      <c r="M1903" s="18" t="inlineStr"/>
      <c r="N1903" s="7" t="inlineStr">
        <is>
          <t>1759b76cd505935ef71b8e35cb75207f8c30cfcc</t>
        </is>
      </c>
      <c r="O1903" s="14" t="n">
        <v>46170</v>
      </c>
      <c r="P1903" s="7" t="inlineStr">
        <is>
          <t>greenhouse:monzo</t>
        </is>
      </c>
      <c r="Q1903" s="8" t="inlineStr"/>
      <c r="R1903" s="8" t="n"/>
      <c r="S1903" s="19" t="n"/>
      <c r="T1903" s="19" t="n"/>
      <c r="U1903" s="14" t="n">
        <v>46191</v>
      </c>
      <c r="V1903" s="7" t="inlineStr">
        <is>
          <t>v2-cv-accuracy-13b988b18da8ea7d</t>
        </is>
      </c>
    </row>
    <row r="1904" ht="28" customHeight="1">
      <c r="A1904" s="12">
        <f>IF($L1904="applied","Applied",IF($L1904="interview","Interview",IF($L1904="offer","Offer",IF($L1904="rejected","Rejected",IF($L1904="ignore","Ignore",IF($L1904="archive","Archive",IF($L1904="closed","Closed",IF($B1904="","Unscored",IF(AND($B1904&gt;=8,OR($H1904="",$H1904-TODAY()&lt;=14)),"P1 Apply",IF($B1904&gt;=7,"P2 Strong",IF($B1904&gt;=5,"P3 Maybe","P4 Low")))))))))))</f>
        <v/>
      </c>
      <c r="B1904" s="13" t="n">
        <v>0</v>
      </c>
      <c r="C1904" s="12" t="inlineStr">
        <is>
          <t>Manager/Owner</t>
        </is>
      </c>
      <c r="D1904" s="8" t="inlineStr">
        <is>
          <t>Regulatory Reporting Manager</t>
        </is>
      </c>
      <c r="E1904" s="7" t="inlineStr">
        <is>
          <t>Monzo</t>
        </is>
      </c>
      <c r="F1904" s="8" t="inlineStr">
        <is>
          <t>Madrid</t>
        </is>
      </c>
      <c r="G1904" s="8" t="n"/>
      <c r="H1904" s="14" t="n"/>
      <c r="I1904" s="15">
        <f>IF($H1904="","",$H1904-TODAY())</f>
        <v/>
      </c>
      <c r="J1904" s="16" t="inlineStr">
        <is>
          <t>Open posting</t>
        </is>
      </c>
      <c r="K1904" s="8" t="inlineStr">
        <is>
          <t>filtered by keyword pre-scan</t>
        </is>
      </c>
      <c r="L1904" s="17" t="inlineStr">
        <is>
          <t>new</t>
        </is>
      </c>
      <c r="M1904" s="18" t="inlineStr"/>
      <c r="N1904" s="7" t="inlineStr">
        <is>
          <t>f3018c2144ec206e58fa27ef0e9b4621117f5e2a</t>
        </is>
      </c>
      <c r="O1904" s="14" t="n">
        <v>46170</v>
      </c>
      <c r="P1904" s="7" t="inlineStr">
        <is>
          <t>greenhouse:monzo</t>
        </is>
      </c>
      <c r="Q1904" s="8" t="inlineStr"/>
      <c r="R1904" s="8" t="n"/>
      <c r="S1904" s="19" t="n"/>
      <c r="T1904" s="19" t="n"/>
      <c r="U1904" s="14" t="n">
        <v>46191</v>
      </c>
      <c r="V1904" s="7" t="inlineStr">
        <is>
          <t>v2-cv-accuracy-13b988b18da8ea7d</t>
        </is>
      </c>
    </row>
    <row r="1905" ht="28" customHeight="1">
      <c r="A1905" s="12">
        <f>IF($L1905="applied","Applied",IF($L1905="interview","Interview",IF($L1905="offer","Offer",IF($L1905="rejected","Rejected",IF($L1905="ignore","Ignore",IF($L1905="archive","Archive",IF($L1905="closed","Closed",IF($B1905="","Unscored",IF(AND($B1905&gt;=8,OR($H1905="",$H1905-TODAY()&lt;=14)),"P1 Apply",IF($B1905&gt;=7,"P2 Strong",IF($B1905&gt;=5,"P3 Maybe","P4 Low")))))))))))</f>
        <v/>
      </c>
      <c r="B1905" s="13" t="n">
        <v>0</v>
      </c>
      <c r="C1905" s="12" t="inlineStr">
        <is>
          <t>Manager/Owner</t>
        </is>
      </c>
      <c r="D1905" s="8" t="inlineStr">
        <is>
          <t>Risk Assurance Manager</t>
        </is>
      </c>
      <c r="E1905" s="7" t="inlineStr">
        <is>
          <t>Monzo</t>
        </is>
      </c>
      <c r="F1905" s="8" t="inlineStr">
        <is>
          <t>Dublin</t>
        </is>
      </c>
      <c r="G1905" s="8" t="n"/>
      <c r="H1905" s="14" t="n"/>
      <c r="I1905" s="15">
        <f>IF($H1905="","",$H1905-TODAY())</f>
        <v/>
      </c>
      <c r="J1905" s="16" t="inlineStr">
        <is>
          <t>Open posting</t>
        </is>
      </c>
      <c r="K1905" s="8" t="inlineStr">
        <is>
          <t>filtered by keyword pre-scan</t>
        </is>
      </c>
      <c r="L1905" s="17" t="inlineStr">
        <is>
          <t>new</t>
        </is>
      </c>
      <c r="M1905" s="18" t="inlineStr"/>
      <c r="N1905" s="7" t="inlineStr">
        <is>
          <t>3ed9383c14e9dfe4a7dedceaf510d991dc9d3555</t>
        </is>
      </c>
      <c r="O1905" s="14" t="n">
        <v>46178</v>
      </c>
      <c r="P1905" s="7" t="inlineStr">
        <is>
          <t>greenhouse:monzo</t>
        </is>
      </c>
      <c r="Q1905" s="8" t="inlineStr"/>
      <c r="R1905" s="8" t="n"/>
      <c r="S1905" s="19" t="n"/>
      <c r="T1905" s="19" t="n"/>
      <c r="U1905" s="14" t="n">
        <v>46191</v>
      </c>
      <c r="V1905" s="7" t="inlineStr">
        <is>
          <t>v2-cv-accuracy-13b988b18da8ea7d</t>
        </is>
      </c>
    </row>
    <row r="1906" ht="28" customHeight="1">
      <c r="A1906" s="12">
        <f>IF($L1906="applied","Applied",IF($L1906="interview","Interview",IF($L1906="offer","Offer",IF($L1906="rejected","Rejected",IF($L1906="ignore","Ignore",IF($L1906="archive","Archive",IF($L1906="closed","Closed",IF($B1906="","Unscored",IF(AND($B1906&gt;=8,OR($H1906="",$H1906-TODAY()&lt;=14)),"P1 Apply",IF($B1906&gt;=7,"P2 Strong",IF($B1906&gt;=5,"P3 Maybe","P4 Low")))))))))))</f>
        <v/>
      </c>
      <c r="B1906" s="13" t="n">
        <v>0</v>
      </c>
      <c r="C1906" s="12" t="inlineStr">
        <is>
          <t>Senior/Lead</t>
        </is>
      </c>
      <c r="D1906" s="8" t="inlineStr">
        <is>
          <t>Senior Analytics Engineering Manager</t>
        </is>
      </c>
      <c r="E1906" s="7" t="inlineStr">
        <is>
          <t>Monzo</t>
        </is>
      </c>
      <c r="F1906" s="8" t="inlineStr">
        <is>
          <t>Barcelona</t>
        </is>
      </c>
      <c r="G1906" s="8" t="n"/>
      <c r="H1906" s="14" t="n"/>
      <c r="I1906" s="15">
        <f>IF($H1906="","",$H1906-TODAY())</f>
        <v/>
      </c>
      <c r="J1906" s="16" t="inlineStr">
        <is>
          <t>Open posting</t>
        </is>
      </c>
      <c r="K1906" s="8" t="inlineStr">
        <is>
          <t>filtered by keyword pre-scan</t>
        </is>
      </c>
      <c r="L1906" s="17" t="inlineStr">
        <is>
          <t>new</t>
        </is>
      </c>
      <c r="M1906" s="18" t="inlineStr"/>
      <c r="N1906" s="7" t="inlineStr">
        <is>
          <t>0c44481eb287e6b857e3fc67dbae89b8a2308815</t>
        </is>
      </c>
      <c r="O1906" s="14" t="n">
        <v>46170</v>
      </c>
      <c r="P1906" s="7" t="inlineStr">
        <is>
          <t>greenhouse:monzo</t>
        </is>
      </c>
      <c r="Q1906" s="8" t="inlineStr"/>
      <c r="R1906" s="8" t="n"/>
      <c r="S1906" s="19" t="n"/>
      <c r="T1906" s="19" t="n"/>
      <c r="U1906" s="14" t="n">
        <v>46191</v>
      </c>
      <c r="V1906" s="7" t="inlineStr">
        <is>
          <t>v2-cv-accuracy-13b988b18da8ea7d</t>
        </is>
      </c>
    </row>
    <row r="1907" ht="28" customHeight="1">
      <c r="A1907" s="12">
        <f>IF($L1907="applied","Applied",IF($L1907="interview","Interview",IF($L1907="offer","Offer",IF($L1907="rejected","Rejected",IF($L1907="ignore","Ignore",IF($L1907="archive","Archive",IF($L1907="closed","Closed",IF($B1907="","Unscored",IF(AND($B1907&gt;=8,OR($H1907="",$H1907-TODAY()&lt;=14)),"P1 Apply",IF($B1907&gt;=7,"P2 Strong",IF($B1907&gt;=5,"P3 Maybe","P4 Low")))))))))))</f>
        <v/>
      </c>
      <c r="B1907" s="13" t="n">
        <v>0</v>
      </c>
      <c r="C1907" s="12" t="inlineStr">
        <is>
          <t>Senior/Lead</t>
        </is>
      </c>
      <c r="D1907" s="8" t="inlineStr">
        <is>
          <t>Senior Backend Engineer</t>
        </is>
      </c>
      <c r="E1907" s="7" t="inlineStr">
        <is>
          <t>Monzo</t>
        </is>
      </c>
      <c r="F1907" s="8" t="inlineStr">
        <is>
          <t>Cardiff, London or Remote (UK)</t>
        </is>
      </c>
      <c r="G1907" s="8" t="n"/>
      <c r="H1907" s="14" t="n"/>
      <c r="I1907" s="15">
        <f>IF($H1907="","",$H1907-TODAY())</f>
        <v/>
      </c>
      <c r="J1907" s="16" t="inlineStr">
        <is>
          <t>Open posting</t>
        </is>
      </c>
      <c r="K1907" s="8" t="inlineStr">
        <is>
          <t>filtered by keyword pre-scan</t>
        </is>
      </c>
      <c r="L1907" s="17" t="inlineStr">
        <is>
          <t>new</t>
        </is>
      </c>
      <c r="M1907" s="18" t="inlineStr"/>
      <c r="N1907" s="7" t="inlineStr">
        <is>
          <t>821ba6c387aae920938f09c233264be1ac4d23b3</t>
        </is>
      </c>
      <c r="O1907" s="14" t="n">
        <v>46191</v>
      </c>
      <c r="P1907" s="7" t="inlineStr">
        <is>
          <t>greenhouse:monzo</t>
        </is>
      </c>
      <c r="Q1907" s="8" t="inlineStr">
        <is>
          <t>git</t>
        </is>
      </c>
      <c r="R1907" s="8" t="n"/>
      <c r="S1907" s="19" t="n"/>
      <c r="T1907" s="19" t="n"/>
      <c r="U1907" s="14" t="n">
        <v>46191</v>
      </c>
      <c r="V1907" s="7" t="inlineStr">
        <is>
          <t>v2-cv-accuracy-13b988b18da8ea7d</t>
        </is>
      </c>
    </row>
    <row r="1908" ht="28" customHeight="1">
      <c r="A1908" s="12">
        <f>IF($L1908="applied","Applied",IF($L1908="interview","Interview",IF($L1908="offer","Offer",IF($L1908="rejected","Rejected",IF($L1908="ignore","Ignore",IF($L1908="archive","Archive",IF($L1908="closed","Closed",IF($B1908="","Unscored",IF(AND($B1908&gt;=8,OR($H1908="",$H1908-TODAY()&lt;=14)),"P1 Apply",IF($B1908&gt;=7,"P2 Strong",IF($B1908&gt;=5,"P3 Maybe","P4 Low")))))))))))</f>
        <v/>
      </c>
      <c r="B1908" s="13" t="n">
        <v>0</v>
      </c>
      <c r="C1908" s="12" t="inlineStr">
        <is>
          <t>Senior/Lead</t>
        </is>
      </c>
      <c r="D1908" s="8" t="inlineStr">
        <is>
          <t>Senior Controls Manager</t>
        </is>
      </c>
      <c r="E1908" s="7" t="inlineStr">
        <is>
          <t>Monzo</t>
        </is>
      </c>
      <c r="F1908" s="8" t="inlineStr">
        <is>
          <t>London; Remote (UK)</t>
        </is>
      </c>
      <c r="G1908" s="8" t="n"/>
      <c r="H1908" s="14" t="n"/>
      <c r="I1908" s="15">
        <f>IF($H1908="","",$H1908-TODAY())</f>
        <v/>
      </c>
      <c r="J1908" s="16" t="inlineStr">
        <is>
          <t>Open posting</t>
        </is>
      </c>
      <c r="K1908" s="8" t="inlineStr">
        <is>
          <t>filtered by keyword pre-scan</t>
        </is>
      </c>
      <c r="L1908" s="17" t="inlineStr">
        <is>
          <t>new</t>
        </is>
      </c>
      <c r="M1908" s="18" t="inlineStr"/>
      <c r="N1908" s="7" t="inlineStr">
        <is>
          <t>dc6c9e4dcad7db75be6e5a2a1a322b8f1df7917b</t>
        </is>
      </c>
      <c r="O1908" s="14" t="n">
        <v>46181</v>
      </c>
      <c r="P1908" s="7" t="inlineStr">
        <is>
          <t>greenhouse:monzo</t>
        </is>
      </c>
      <c r="Q1908" s="8" t="inlineStr"/>
      <c r="R1908" s="8" t="n"/>
      <c r="S1908" s="19" t="n"/>
      <c r="T1908" s="19" t="n"/>
      <c r="U1908" s="14" t="n">
        <v>46191</v>
      </c>
      <c r="V1908" s="7" t="inlineStr">
        <is>
          <t>v2-cv-accuracy-13b988b18da8ea7d</t>
        </is>
      </c>
    </row>
    <row r="1909" ht="28" customHeight="1">
      <c r="A1909" s="12">
        <f>IF($L1909="applied","Applied",IF($L1909="interview","Interview",IF($L1909="offer","Offer",IF($L1909="rejected","Rejected",IF($L1909="ignore","Ignore",IF($L1909="archive","Archive",IF($L1909="closed","Closed",IF($B1909="","Unscored",IF(AND($B1909&gt;=8,OR($H1909="",$H1909-TODAY()&lt;=14)),"P1 Apply",IF($B1909&gt;=7,"P2 Strong",IF($B1909&gt;=5,"P3 Maybe","P4 Low")))))))))))</f>
        <v/>
      </c>
      <c r="B1909" s="13" t="n">
        <v>0</v>
      </c>
      <c r="C1909" s="12" t="inlineStr">
        <is>
          <t>Senior/Lead</t>
        </is>
      </c>
      <c r="D1909" s="8" t="inlineStr">
        <is>
          <t>Senior Controls Manager, ERMF</t>
        </is>
      </c>
      <c r="E1909" s="7" t="inlineStr">
        <is>
          <t>Monzo</t>
        </is>
      </c>
      <c r="F1909" s="8" t="inlineStr">
        <is>
          <t>London; Remote (UK)</t>
        </is>
      </c>
      <c r="G1909" s="8" t="n"/>
      <c r="H1909" s="14" t="n"/>
      <c r="I1909" s="15">
        <f>IF($H1909="","",$H1909-TODAY())</f>
        <v/>
      </c>
      <c r="J1909" s="16" t="inlineStr">
        <is>
          <t>Open posting</t>
        </is>
      </c>
      <c r="K1909" s="8" t="inlineStr">
        <is>
          <t>filtered by keyword pre-scan</t>
        </is>
      </c>
      <c r="L1909" s="17" t="inlineStr">
        <is>
          <t>new</t>
        </is>
      </c>
      <c r="M1909" s="18" t="inlineStr"/>
      <c r="N1909" s="7" t="inlineStr">
        <is>
          <t>d8c13edc57624be7a0e0ec5a39d518662d7dc8dc</t>
        </is>
      </c>
      <c r="O1909" s="14" t="n">
        <v>46188</v>
      </c>
      <c r="P1909" s="7" t="inlineStr">
        <is>
          <t>greenhouse:monzo</t>
        </is>
      </c>
      <c r="Q1909" s="8" t="inlineStr"/>
      <c r="R1909" s="8" t="n"/>
      <c r="S1909" s="19" t="n"/>
      <c r="T1909" s="19" t="n"/>
      <c r="U1909" s="14" t="n">
        <v>46191</v>
      </c>
      <c r="V1909" s="7" t="inlineStr">
        <is>
          <t>v2-cv-accuracy-13b988b18da8ea7d</t>
        </is>
      </c>
    </row>
    <row r="1910" ht="28" customHeight="1">
      <c r="A1910" s="12">
        <f>IF($L1910="applied","Applied",IF($L1910="interview","Interview",IF($L1910="offer","Offer",IF($L1910="rejected","Rejected",IF($L1910="ignore","Ignore",IF($L1910="archive","Archive",IF($L1910="closed","Closed",IF($B1910="","Unscored",IF(AND($B1910&gt;=8,OR($H1910="",$H1910-TODAY()&lt;=14)),"P1 Apply",IF($B1910&gt;=7,"P2 Strong",IF($B1910&gt;=5,"P3 Maybe","P4 Low")))))))))))</f>
        <v/>
      </c>
      <c r="B1910" s="13" t="n">
        <v>0</v>
      </c>
      <c r="C1910" s="12" t="inlineStr">
        <is>
          <t>Senior/Lead</t>
        </is>
      </c>
      <c r="D1910" s="8" t="inlineStr">
        <is>
          <t>Senior Credit Analyst</t>
        </is>
      </c>
      <c r="E1910" s="7" t="inlineStr">
        <is>
          <t>Monzo</t>
        </is>
      </c>
      <c r="F1910" s="8" t="inlineStr">
        <is>
          <t>Cardiff, London or Remote (UK)</t>
        </is>
      </c>
      <c r="G1910" s="8" t="n"/>
      <c r="H1910" s="14" t="n"/>
      <c r="I1910" s="15">
        <f>IF($H1910="","",$H1910-TODAY())</f>
        <v/>
      </c>
      <c r="J1910" s="16" t="inlineStr">
        <is>
          <t>Open posting</t>
        </is>
      </c>
      <c r="K1910" s="8" t="inlineStr">
        <is>
          <t>filtered by keyword pre-scan</t>
        </is>
      </c>
      <c r="L1910" s="17" t="inlineStr">
        <is>
          <t>new</t>
        </is>
      </c>
      <c r="M1910" s="18" t="inlineStr"/>
      <c r="N1910" s="7" t="inlineStr">
        <is>
          <t>b18b27ec2500852f6ed82c11b06bad5b01c4359f</t>
        </is>
      </c>
      <c r="O1910" s="14" t="n">
        <v>46170</v>
      </c>
      <c r="P1910" s="7" t="inlineStr">
        <is>
          <t>greenhouse:monzo</t>
        </is>
      </c>
      <c r="Q1910" s="8" t="inlineStr"/>
      <c r="R1910" s="8" t="n"/>
      <c r="S1910" s="19" t="n"/>
      <c r="T1910" s="19" t="n"/>
      <c r="U1910" s="14" t="n">
        <v>46191</v>
      </c>
      <c r="V1910" s="7" t="inlineStr">
        <is>
          <t>v2-cv-accuracy-13b988b18da8ea7d</t>
        </is>
      </c>
    </row>
    <row r="1911" ht="28" customHeight="1">
      <c r="A1911" s="12">
        <f>IF($L1911="applied","Applied",IF($L1911="interview","Interview",IF($L1911="offer","Offer",IF($L1911="rejected","Rejected",IF($L1911="ignore","Ignore",IF($L1911="archive","Archive",IF($L1911="closed","Closed",IF($B1911="","Unscored",IF(AND($B1911&gt;=8,OR($H1911="",$H1911-TODAY()&lt;=14)),"P1 Apply",IF($B1911&gt;=7,"P2 Strong",IF($B1911&gt;=5,"P3 Maybe","P4 Low")))))))))))</f>
        <v/>
      </c>
      <c r="B1911" s="13" t="n">
        <v>0</v>
      </c>
      <c r="C1911" s="12" t="inlineStr">
        <is>
          <t>Senior/Lead</t>
        </is>
      </c>
      <c r="D1911" s="8" t="inlineStr">
        <is>
          <t>Senior Engineering Manager</t>
        </is>
      </c>
      <c r="E1911" s="7" t="inlineStr">
        <is>
          <t>Monzo</t>
        </is>
      </c>
      <c r="F1911" s="8" t="inlineStr">
        <is>
          <t>Cardiff, London or Remote (UK)</t>
        </is>
      </c>
      <c r="G1911" s="8" t="n"/>
      <c r="H1911" s="14" t="n"/>
      <c r="I1911" s="15">
        <f>IF($H1911="","",$H1911-TODAY())</f>
        <v/>
      </c>
      <c r="J1911" s="16" t="inlineStr">
        <is>
          <t>Open posting</t>
        </is>
      </c>
      <c r="K1911" s="8" t="inlineStr">
        <is>
          <t>filtered by keyword pre-scan</t>
        </is>
      </c>
      <c r="L1911" s="17" t="inlineStr">
        <is>
          <t>new</t>
        </is>
      </c>
      <c r="M1911" s="18" t="inlineStr"/>
      <c r="N1911" s="7" t="inlineStr">
        <is>
          <t>0a6bd382fac3a1b94f294e62057beb5603add2f9</t>
        </is>
      </c>
      <c r="O1911" s="14" t="n">
        <v>46191</v>
      </c>
      <c r="P1911" s="7" t="inlineStr">
        <is>
          <t>greenhouse:monzo</t>
        </is>
      </c>
      <c r="Q1911" s="8" t="inlineStr"/>
      <c r="R1911" s="8" t="n"/>
      <c r="S1911" s="19" t="n"/>
      <c r="T1911" s="19" t="n"/>
      <c r="U1911" s="14" t="n">
        <v>46191</v>
      </c>
      <c r="V1911" s="7" t="inlineStr">
        <is>
          <t>v2-cv-accuracy-13b988b18da8ea7d</t>
        </is>
      </c>
    </row>
    <row r="1912" ht="28" customHeight="1">
      <c r="A1912" s="12">
        <f>IF($L1912="applied","Applied",IF($L1912="interview","Interview",IF($L1912="offer","Offer",IF($L1912="rejected","Rejected",IF($L1912="ignore","Ignore",IF($L1912="archive","Archive",IF($L1912="closed","Closed",IF($B1912="","Unscored",IF(AND($B1912&gt;=8,OR($H1912="",$H1912-TODAY()&lt;=14)),"P1 Apply",IF($B1912&gt;=7,"P2 Strong",IF($B1912&gt;=5,"P3 Maybe","P4 Low")))))))))))</f>
        <v/>
      </c>
      <c r="B1912" s="13" t="n">
        <v>0</v>
      </c>
      <c r="C1912" s="12" t="inlineStr">
        <is>
          <t>Senior/Lead</t>
        </is>
      </c>
      <c r="D1912" s="8" t="inlineStr">
        <is>
          <t>Senior Financial Risk Manager</t>
        </is>
      </c>
      <c r="E1912" s="7" t="inlineStr">
        <is>
          <t>Monzo</t>
        </is>
      </c>
      <c r="F1912" s="8" t="inlineStr">
        <is>
          <t>Dublin</t>
        </is>
      </c>
      <c r="G1912" s="8" t="n"/>
      <c r="H1912" s="14" t="n"/>
      <c r="I1912" s="15">
        <f>IF($H1912="","",$H1912-TODAY())</f>
        <v/>
      </c>
      <c r="J1912" s="16" t="inlineStr">
        <is>
          <t>Open posting</t>
        </is>
      </c>
      <c r="K1912" s="8" t="inlineStr">
        <is>
          <t>filtered by keyword pre-scan</t>
        </is>
      </c>
      <c r="L1912" s="17" t="inlineStr">
        <is>
          <t>new</t>
        </is>
      </c>
      <c r="M1912" s="18" t="inlineStr"/>
      <c r="N1912" s="7" t="inlineStr">
        <is>
          <t>e93bf00ac7f0d463d58b741eb0ac1f2fe8cae687</t>
        </is>
      </c>
      <c r="O1912" s="14" t="n">
        <v>46178</v>
      </c>
      <c r="P1912" s="7" t="inlineStr">
        <is>
          <t>greenhouse:monzo</t>
        </is>
      </c>
      <c r="Q1912" s="8" t="inlineStr"/>
      <c r="R1912" s="8" t="n"/>
      <c r="S1912" s="19" t="n"/>
      <c r="T1912" s="19" t="n"/>
      <c r="U1912" s="14" t="n">
        <v>46191</v>
      </c>
      <c r="V1912" s="7" t="inlineStr">
        <is>
          <t>v2-cv-accuracy-13b988b18da8ea7d</t>
        </is>
      </c>
    </row>
    <row r="1913" ht="28" customHeight="1">
      <c r="A1913" s="12">
        <f>IF($L1913="applied","Applied",IF($L1913="interview","Interview",IF($L1913="offer","Offer",IF($L1913="rejected","Rejected",IF($L1913="ignore","Ignore",IF($L1913="archive","Archive",IF($L1913="closed","Closed",IF($B1913="","Unscored",IF(AND($B1913&gt;=8,OR($H1913="",$H1913-TODAY()&lt;=14)),"P1 Apply",IF($B1913&gt;=7,"P2 Strong",IF($B1913&gt;=5,"P3 Maybe","P4 Low")))))))))))</f>
        <v/>
      </c>
      <c r="B1913" s="13" t="n">
        <v>0</v>
      </c>
      <c r="C1913" s="12" t="inlineStr">
        <is>
          <t>Senior/Lead</t>
        </is>
      </c>
      <c r="D1913" s="8" t="inlineStr">
        <is>
          <t>Senior Fraud Investigator, EU - English &amp; Spanish Speaking</t>
        </is>
      </c>
      <c r="E1913" s="7" t="inlineStr">
        <is>
          <t>Monzo</t>
        </is>
      </c>
      <c r="F1913" s="8" t="inlineStr">
        <is>
          <t>Remote (UK)</t>
        </is>
      </c>
      <c r="G1913" s="8" t="n"/>
      <c r="H1913" s="14" t="n"/>
      <c r="I1913" s="15">
        <f>IF($H1913="","",$H1913-TODAY())</f>
        <v/>
      </c>
      <c r="J1913" s="16" t="inlineStr">
        <is>
          <t>Open posting</t>
        </is>
      </c>
      <c r="K1913" s="8" t="inlineStr">
        <is>
          <t>filtered by keyword pre-scan</t>
        </is>
      </c>
      <c r="L1913" s="17" t="inlineStr">
        <is>
          <t>new</t>
        </is>
      </c>
      <c r="M1913" s="18" t="inlineStr"/>
      <c r="N1913" s="7" t="inlineStr">
        <is>
          <t>59ac952b02d1fe229bf684dfebdf096cdb9ad949</t>
        </is>
      </c>
      <c r="O1913" s="14" t="n">
        <v>46183</v>
      </c>
      <c r="P1913" s="7" t="inlineStr">
        <is>
          <t>greenhouse:monzo</t>
        </is>
      </c>
      <c r="Q1913" s="8" t="inlineStr"/>
      <c r="R1913" s="8" t="n"/>
      <c r="S1913" s="19" t="n"/>
      <c r="T1913" s="19" t="n"/>
      <c r="U1913" s="14" t="n">
        <v>46191</v>
      </c>
      <c r="V1913" s="7" t="inlineStr">
        <is>
          <t>v2-cv-accuracy-13b988b18da8ea7d</t>
        </is>
      </c>
    </row>
    <row r="1914" ht="28" customHeight="1">
      <c r="A1914" s="12">
        <f>IF($L1914="applied","Applied",IF($L1914="interview","Interview",IF($L1914="offer","Offer",IF($L1914="rejected","Rejected",IF($L1914="ignore","Ignore",IF($L1914="archive","Archive",IF($L1914="closed","Closed",IF($B1914="","Unscored",IF(AND($B1914&gt;=8,OR($H1914="",$H1914-TODAY()&lt;=14)),"P1 Apply",IF($B1914&gt;=7,"P2 Strong",IF($B1914&gt;=5,"P3 Maybe","P4 Low")))))))))))</f>
        <v/>
      </c>
      <c r="B1914" s="13" t="n">
        <v>0</v>
      </c>
      <c r="C1914" s="12" t="inlineStr">
        <is>
          <t>Senior/Lead</t>
        </is>
      </c>
      <c r="D1914" s="8" t="inlineStr">
        <is>
          <t>Senior Full Stack Engineer</t>
        </is>
      </c>
      <c r="E1914" s="7" t="inlineStr">
        <is>
          <t>Monzo</t>
        </is>
      </c>
      <c r="F1914" s="8" t="inlineStr">
        <is>
          <t>Cardiff, London or Remote (UK)</t>
        </is>
      </c>
      <c r="G1914" s="8" t="n"/>
      <c r="H1914" s="14" t="n"/>
      <c r="I1914" s="15">
        <f>IF($H1914="","",$H1914-TODAY())</f>
        <v/>
      </c>
      <c r="J1914" s="16" t="inlineStr">
        <is>
          <t>Open posting</t>
        </is>
      </c>
      <c r="K1914" s="8" t="inlineStr">
        <is>
          <t>filtered by keyword pre-scan</t>
        </is>
      </c>
      <c r="L1914" s="17" t="inlineStr">
        <is>
          <t>new</t>
        </is>
      </c>
      <c r="M1914" s="18" t="inlineStr"/>
      <c r="N1914" s="7" t="inlineStr">
        <is>
          <t>2482f4b4f5717b5ea6a43341849aded08a71be38</t>
        </is>
      </c>
      <c r="O1914" s="14" t="n">
        <v>46191</v>
      </c>
      <c r="P1914" s="7" t="inlineStr">
        <is>
          <t>greenhouse:monzo</t>
        </is>
      </c>
      <c r="Q1914" s="8" t="inlineStr">
        <is>
          <t>git</t>
        </is>
      </c>
      <c r="R1914" s="8" t="n"/>
      <c r="S1914" s="19" t="n"/>
      <c r="T1914" s="19" t="n"/>
      <c r="U1914" s="14" t="n">
        <v>46191</v>
      </c>
      <c r="V1914" s="7" t="inlineStr">
        <is>
          <t>v2-cv-accuracy-13b988b18da8ea7d</t>
        </is>
      </c>
    </row>
    <row r="1915" ht="28" customHeight="1">
      <c r="A1915" s="12">
        <f>IF($L1915="applied","Applied",IF($L1915="interview","Interview",IF($L1915="offer","Offer",IF($L1915="rejected","Rejected",IF($L1915="ignore","Ignore",IF($L1915="archive","Archive",IF($L1915="closed","Closed",IF($B1915="","Unscored",IF(AND($B1915&gt;=8,OR($H1915="",$H1915-TODAY()&lt;=14)),"P1 Apply",IF($B1915&gt;=7,"P2 Strong",IF($B1915&gt;=5,"P3 Maybe","P4 Low")))))))))))</f>
        <v/>
      </c>
      <c r="B1915" s="13" t="n">
        <v>0</v>
      </c>
      <c r="C1915" s="12" t="inlineStr">
        <is>
          <t>Senior/Lead</t>
        </is>
      </c>
      <c r="D1915" s="8" t="inlineStr">
        <is>
          <t>Senior Investigator, Operations Analyst, Financial Crime (Multilingual)</t>
        </is>
      </c>
      <c r="E1915" s="7" t="inlineStr">
        <is>
          <t>Monzo</t>
        </is>
      </c>
      <c r="F1915" s="8" t="inlineStr">
        <is>
          <t>Remote (UK)</t>
        </is>
      </c>
      <c r="G1915" s="8" t="n"/>
      <c r="H1915" s="14" t="n"/>
      <c r="I1915" s="15">
        <f>IF($H1915="","",$H1915-TODAY())</f>
        <v/>
      </c>
      <c r="J1915" s="16" t="inlineStr">
        <is>
          <t>Open posting</t>
        </is>
      </c>
      <c r="K1915" s="8" t="inlineStr">
        <is>
          <t>filtered by keyword pre-scan</t>
        </is>
      </c>
      <c r="L1915" s="17" t="inlineStr">
        <is>
          <t>new</t>
        </is>
      </c>
      <c r="M1915" s="18" t="inlineStr"/>
      <c r="N1915" s="7" t="inlineStr">
        <is>
          <t>0906f95222a9273cf091c92aa47558a3bb2ebb94</t>
        </is>
      </c>
      <c r="O1915" s="14" t="n">
        <v>46189</v>
      </c>
      <c r="P1915" s="7" t="inlineStr">
        <is>
          <t>greenhouse:monzo</t>
        </is>
      </c>
      <c r="Q1915" s="8" t="inlineStr"/>
      <c r="R1915" s="8" t="n"/>
      <c r="S1915" s="19" t="n"/>
      <c r="T1915" s="19" t="n"/>
      <c r="U1915" s="14" t="n">
        <v>46191</v>
      </c>
      <c r="V1915" s="7" t="inlineStr">
        <is>
          <t>v2-cv-accuracy-13b988b18da8ea7d</t>
        </is>
      </c>
    </row>
    <row r="1916" ht="28" customHeight="1">
      <c r="A1916" s="12">
        <f>IF($L1916="applied","Applied",IF($L1916="interview","Interview",IF($L1916="offer","Offer",IF($L1916="rejected","Rejected",IF($L1916="ignore","Ignore",IF($L1916="archive","Archive",IF($L1916="closed","Closed",IF($B1916="","Unscored",IF(AND($B1916&gt;=8,OR($H1916="",$H1916-TODAY()&lt;=14)),"P1 Apply",IF($B1916&gt;=7,"P2 Strong",IF($B1916&gt;=5,"P3 Maybe","P4 Low")))))))))))</f>
        <v/>
      </c>
      <c r="B1916" s="13" t="n">
        <v>0</v>
      </c>
      <c r="C1916" s="12" t="inlineStr">
        <is>
          <t>Senior/Lead</t>
        </is>
      </c>
      <c r="D1916" s="8" t="inlineStr">
        <is>
          <t>Senior Machine Learning Scientist, Borrowing</t>
        </is>
      </c>
      <c r="E1916" s="7" t="inlineStr">
        <is>
          <t>Monzo</t>
        </is>
      </c>
      <c r="F1916" s="8" t="inlineStr">
        <is>
          <t>Cardiff, London or Remote (UK)</t>
        </is>
      </c>
      <c r="G1916" s="8" t="n"/>
      <c r="H1916" s="14" t="n"/>
      <c r="I1916" s="15">
        <f>IF($H1916="","",$H1916-TODAY())</f>
        <v/>
      </c>
      <c r="J1916" s="16" t="inlineStr">
        <is>
          <t>Open posting</t>
        </is>
      </c>
      <c r="K1916" s="8" t="inlineStr">
        <is>
          <t>filtered by keyword pre-scan</t>
        </is>
      </c>
      <c r="L1916" s="17" t="inlineStr">
        <is>
          <t>new</t>
        </is>
      </c>
      <c r="M1916" s="18" t="inlineStr"/>
      <c r="N1916" s="7" t="inlineStr">
        <is>
          <t>48b8d252e0b724057d7c8d5294e9fac6d38d3486</t>
        </is>
      </c>
      <c r="O1916" s="14" t="n">
        <v>46170</v>
      </c>
      <c r="P1916" s="7" t="inlineStr">
        <is>
          <t>greenhouse:monzo</t>
        </is>
      </c>
      <c r="Q1916" s="8" t="inlineStr"/>
      <c r="R1916" s="8" t="n"/>
      <c r="S1916" s="19" t="n"/>
      <c r="T1916" s="19" t="n"/>
      <c r="U1916" s="14" t="n">
        <v>46191</v>
      </c>
      <c r="V1916" s="7" t="inlineStr">
        <is>
          <t>v2-cv-accuracy-13b988b18da8ea7d</t>
        </is>
      </c>
    </row>
    <row r="1917" ht="28" customHeight="1">
      <c r="A1917" s="12">
        <f>IF($L1917="applied","Applied",IF($L1917="interview","Interview",IF($L1917="offer","Offer",IF($L1917="rejected","Rejected",IF($L1917="ignore","Ignore",IF($L1917="archive","Archive",IF($L1917="closed","Closed",IF($B1917="","Unscored",IF(AND($B1917&gt;=8,OR($H1917="",$H1917-TODAY()&lt;=14)),"P1 Apply",IF($B1917&gt;=7,"P2 Strong",IF($B1917&gt;=5,"P3 Maybe","P4 Low")))))))))))</f>
        <v/>
      </c>
      <c r="B1917" s="13" t="n">
        <v>0</v>
      </c>
      <c r="C1917" s="12" t="inlineStr">
        <is>
          <t>Senior/Lead</t>
        </is>
      </c>
      <c r="D1917" s="8" t="inlineStr">
        <is>
          <t>Senior Manager, Control Process Automation &amp; Data</t>
        </is>
      </c>
      <c r="E1917" s="7" t="inlineStr">
        <is>
          <t>Monzo</t>
        </is>
      </c>
      <c r="F1917" s="8" t="inlineStr">
        <is>
          <t>London; Remote (UK)</t>
        </is>
      </c>
      <c r="G1917" s="8" t="n"/>
      <c r="H1917" s="14" t="n"/>
      <c r="I1917" s="15">
        <f>IF($H1917="","",$H1917-TODAY())</f>
        <v/>
      </c>
      <c r="J1917" s="16" t="inlineStr">
        <is>
          <t>Open posting</t>
        </is>
      </c>
      <c r="K1917" s="8" t="inlineStr">
        <is>
          <t>filtered by keyword pre-scan</t>
        </is>
      </c>
      <c r="L1917" s="17" t="inlineStr">
        <is>
          <t>new</t>
        </is>
      </c>
      <c r="M1917" s="18" t="inlineStr"/>
      <c r="N1917" s="7" t="inlineStr">
        <is>
          <t>bfaf6ae87226bd22d09fceddf09b1274e8f37929</t>
        </is>
      </c>
      <c r="O1917" s="14" t="n">
        <v>46181</v>
      </c>
      <c r="P1917" s="7" t="inlineStr">
        <is>
          <t>greenhouse:monzo</t>
        </is>
      </c>
      <c r="Q1917" s="8" t="inlineStr"/>
      <c r="R1917" s="8" t="n"/>
      <c r="S1917" s="19" t="n"/>
      <c r="T1917" s="19" t="n"/>
      <c r="U1917" s="14" t="n">
        <v>46191</v>
      </c>
      <c r="V1917" s="7" t="inlineStr">
        <is>
          <t>v2-cv-accuracy-13b988b18da8ea7d</t>
        </is>
      </c>
    </row>
    <row r="1918" ht="28" customHeight="1">
      <c r="A1918" s="12">
        <f>IF($L1918="applied","Applied",IF($L1918="interview","Interview",IF($L1918="offer","Offer",IF($L1918="rejected","Rejected",IF($L1918="ignore","Ignore",IF($L1918="archive","Archive",IF($L1918="closed","Closed",IF($B1918="","Unscored",IF(AND($B1918&gt;=8,OR($H1918="",$H1918-TODAY()&lt;=14)),"P1 Apply",IF($B1918&gt;=7,"P2 Strong",IF($B1918&gt;=5,"P3 Maybe","P4 Low")))))))))))</f>
        <v/>
      </c>
      <c r="B1918" s="13" t="n">
        <v>0</v>
      </c>
      <c r="C1918" s="12" t="inlineStr">
        <is>
          <t>Senior/Lead</t>
        </is>
      </c>
      <c r="D1918" s="8" t="inlineStr">
        <is>
          <t>Senior Offensive Security Engineer</t>
        </is>
      </c>
      <c r="E1918" s="7" t="inlineStr">
        <is>
          <t>Monzo</t>
        </is>
      </c>
      <c r="F1918" s="8" t="inlineStr">
        <is>
          <t>Cardiff, London or Remote (UK)</t>
        </is>
      </c>
      <c r="G1918" s="8" t="n"/>
      <c r="H1918" s="14" t="n"/>
      <c r="I1918" s="15">
        <f>IF($H1918="","",$H1918-TODAY())</f>
        <v/>
      </c>
      <c r="J1918" s="16" t="inlineStr">
        <is>
          <t>Open posting</t>
        </is>
      </c>
      <c r="K1918" s="8" t="inlineStr">
        <is>
          <t>filtered by keyword pre-scan</t>
        </is>
      </c>
      <c r="L1918" s="17" t="inlineStr">
        <is>
          <t>new</t>
        </is>
      </c>
      <c r="M1918" s="18" t="inlineStr"/>
      <c r="N1918" s="7" t="inlineStr">
        <is>
          <t>a862f0e8e95a6e032edb40f938b71b92249991b8</t>
        </is>
      </c>
      <c r="O1918" s="14" t="n">
        <v>46178</v>
      </c>
      <c r="P1918" s="7" t="inlineStr">
        <is>
          <t>greenhouse:monzo</t>
        </is>
      </c>
      <c r="Q1918" s="8" t="inlineStr"/>
      <c r="R1918" s="8" t="n"/>
      <c r="S1918" s="19" t="n"/>
      <c r="T1918" s="19" t="n"/>
      <c r="U1918" s="14" t="n">
        <v>46191</v>
      </c>
      <c r="V1918" s="7" t="inlineStr">
        <is>
          <t>v2-cv-accuracy-13b988b18da8ea7d</t>
        </is>
      </c>
    </row>
    <row r="1919" ht="28" customHeight="1">
      <c r="A1919" s="12">
        <f>IF($L1919="applied","Applied",IF($L1919="interview","Interview",IF($L1919="offer","Offer",IF($L1919="rejected","Rejected",IF($L1919="ignore","Ignore",IF($L1919="archive","Archive",IF($L1919="closed","Closed",IF($B1919="","Unscored",IF(AND($B1919&gt;=8,OR($H1919="",$H1919-TODAY()&lt;=14)),"P1 Apply",IF($B1919&gt;=7,"P2 Strong",IF($B1919&gt;=5,"P3 Maybe","P4 Low")))))))))))</f>
        <v/>
      </c>
      <c r="B1919" s="13" t="n">
        <v>0</v>
      </c>
      <c r="C1919" s="12" t="inlineStr">
        <is>
          <t>Senior/Lead</t>
        </is>
      </c>
      <c r="D1919" s="8" t="inlineStr">
        <is>
          <t>Senior Product Director, Business Banking</t>
        </is>
      </c>
      <c r="E1919" s="7" t="inlineStr">
        <is>
          <t>Monzo</t>
        </is>
      </c>
      <c r="F1919" s="8" t="inlineStr">
        <is>
          <t>London</t>
        </is>
      </c>
      <c r="G1919" s="8" t="n"/>
      <c r="H1919" s="14" t="n"/>
      <c r="I1919" s="15">
        <f>IF($H1919="","",$H1919-TODAY())</f>
        <v/>
      </c>
      <c r="J1919" s="16" t="inlineStr">
        <is>
          <t>Open posting</t>
        </is>
      </c>
      <c r="K1919" s="8" t="inlineStr">
        <is>
          <t>filtered by keyword pre-scan</t>
        </is>
      </c>
      <c r="L1919" s="17" t="inlineStr">
        <is>
          <t>new</t>
        </is>
      </c>
      <c r="M1919" s="18" t="inlineStr"/>
      <c r="N1919" s="7" t="inlineStr">
        <is>
          <t>a0f51bab68ad95f5ba34263a20cd716dd413aaeb</t>
        </is>
      </c>
      <c r="O1919" s="14" t="n">
        <v>46170</v>
      </c>
      <c r="P1919" s="7" t="inlineStr">
        <is>
          <t>greenhouse:monzo</t>
        </is>
      </c>
      <c r="Q1919" s="8" t="inlineStr"/>
      <c r="R1919" s="8" t="n"/>
      <c r="S1919" s="19" t="n"/>
      <c r="T1919" s="19" t="n"/>
      <c r="U1919" s="14" t="n">
        <v>46191</v>
      </c>
      <c r="V1919" s="7" t="inlineStr">
        <is>
          <t>v2-cv-accuracy-13b988b18da8ea7d</t>
        </is>
      </c>
    </row>
    <row r="1920" ht="28" customHeight="1">
      <c r="A1920" s="12">
        <f>IF($L1920="applied","Applied",IF($L1920="interview","Interview",IF($L1920="offer","Offer",IF($L1920="rejected","Rejected",IF($L1920="ignore","Ignore",IF($L1920="archive","Archive",IF($L1920="closed","Closed",IF($B1920="","Unscored",IF(AND($B1920&gt;=8,OR($H1920="",$H1920-TODAY()&lt;=14)),"P1 Apply",IF($B1920&gt;=7,"P2 Strong",IF($B1920&gt;=5,"P3 Maybe","P4 Low")))))))))))</f>
        <v/>
      </c>
      <c r="B1920" s="13" t="n">
        <v>0</v>
      </c>
      <c r="C1920" s="12" t="inlineStr">
        <is>
          <t>Senior/Lead</t>
        </is>
      </c>
      <c r="D1920" s="8" t="inlineStr">
        <is>
          <t>Senior Software Engineer</t>
        </is>
      </c>
      <c r="E1920" s="7" t="inlineStr">
        <is>
          <t>Monzo</t>
        </is>
      </c>
      <c r="F1920" s="8" t="inlineStr">
        <is>
          <t>Barcelona</t>
        </is>
      </c>
      <c r="G1920" s="8" t="n"/>
      <c r="H1920" s="14" t="n"/>
      <c r="I1920" s="15">
        <f>IF($H1920="","",$H1920-TODAY())</f>
        <v/>
      </c>
      <c r="J1920" s="16" t="inlineStr">
        <is>
          <t>Open posting</t>
        </is>
      </c>
      <c r="K1920" s="8" t="inlineStr">
        <is>
          <t>filtered by keyword pre-scan</t>
        </is>
      </c>
      <c r="L1920" s="17" t="inlineStr">
        <is>
          <t>new</t>
        </is>
      </c>
      <c r="M1920" s="18" t="inlineStr"/>
      <c r="N1920" s="7" t="inlineStr">
        <is>
          <t>e22e7b2452be4fc3a89c2df835735bd12276999c</t>
        </is>
      </c>
      <c r="O1920" s="14" t="n">
        <v>46170</v>
      </c>
      <c r="P1920" s="7" t="inlineStr">
        <is>
          <t>greenhouse:monzo</t>
        </is>
      </c>
      <c r="Q1920" s="8" t="inlineStr">
        <is>
          <t>git</t>
        </is>
      </c>
      <c r="R1920" s="8" t="n"/>
      <c r="S1920" s="19" t="n"/>
      <c r="T1920" s="19" t="n"/>
      <c r="U1920" s="14" t="n">
        <v>46191</v>
      </c>
      <c r="V1920" s="7" t="inlineStr">
        <is>
          <t>v2-cv-accuracy-13b988b18da8ea7d</t>
        </is>
      </c>
    </row>
    <row r="1921" ht="28" customHeight="1">
      <c r="A1921" s="12">
        <f>IF($L1921="applied","Applied",IF($L1921="interview","Interview",IF($L1921="offer","Offer",IF($L1921="rejected","Rejected",IF($L1921="ignore","Ignore",IF($L1921="archive","Archive",IF($L1921="closed","Closed",IF($B1921="","Unscored",IF(AND($B1921&gt;=8,OR($H1921="",$H1921-TODAY()&lt;=14)),"P1 Apply",IF($B1921&gt;=7,"P2 Strong",IF($B1921&gt;=5,"P3 Maybe","P4 Low")))))))))))</f>
        <v/>
      </c>
      <c r="B1921" s="13" t="n">
        <v>0</v>
      </c>
      <c r="C1921" s="12" t="inlineStr">
        <is>
          <t>Senior/Lead</t>
        </is>
      </c>
      <c r="D1921" s="8" t="inlineStr">
        <is>
          <t>Senior Staff Backend Engineer</t>
        </is>
      </c>
      <c r="E1921" s="7" t="inlineStr">
        <is>
          <t>Monzo</t>
        </is>
      </c>
      <c r="F1921" s="8" t="inlineStr">
        <is>
          <t>Cardiff, London or Remote (UK)</t>
        </is>
      </c>
      <c r="G1921" s="8" t="n"/>
      <c r="H1921" s="14" t="n"/>
      <c r="I1921" s="15">
        <f>IF($H1921="","",$H1921-TODAY())</f>
        <v/>
      </c>
      <c r="J1921" s="16" t="inlineStr">
        <is>
          <t>Open posting</t>
        </is>
      </c>
      <c r="K1921" s="8" t="inlineStr">
        <is>
          <t>filtered by keyword pre-scan</t>
        </is>
      </c>
      <c r="L1921" s="17" t="inlineStr">
        <is>
          <t>new</t>
        </is>
      </c>
      <c r="M1921" s="18" t="inlineStr"/>
      <c r="N1921" s="7" t="inlineStr">
        <is>
          <t>e2b6c7e0574e695ae53c5a06af13649148277d6f</t>
        </is>
      </c>
      <c r="O1921" s="14" t="n">
        <v>46191</v>
      </c>
      <c r="P1921" s="7" t="inlineStr">
        <is>
          <t>greenhouse:monzo</t>
        </is>
      </c>
      <c r="Q1921" s="8" t="inlineStr">
        <is>
          <t>git</t>
        </is>
      </c>
      <c r="R1921" s="8" t="n"/>
      <c r="S1921" s="19" t="n"/>
      <c r="T1921" s="19" t="n"/>
      <c r="U1921" s="14" t="n">
        <v>46191</v>
      </c>
      <c r="V1921" s="7" t="inlineStr">
        <is>
          <t>v2-cv-accuracy-13b988b18da8ea7d</t>
        </is>
      </c>
    </row>
    <row r="1922" ht="28" customHeight="1">
      <c r="A1922" s="12">
        <f>IF($L1922="applied","Applied",IF($L1922="interview","Interview",IF($L1922="offer","Offer",IF($L1922="rejected","Rejected",IF($L1922="ignore","Ignore",IF($L1922="archive","Archive",IF($L1922="closed","Closed",IF($B1922="","Unscored",IF(AND($B1922&gt;=8,OR($H1922="",$H1922-TODAY()&lt;=14)),"P1 Apply",IF($B1922&gt;=7,"P2 Strong",IF($B1922&gt;=5,"P3 Maybe","P4 Low")))))))))))</f>
        <v/>
      </c>
      <c r="B1922" s="13" t="n">
        <v>0</v>
      </c>
      <c r="C1922" s="12" t="inlineStr">
        <is>
          <t>Senior/Lead</t>
        </is>
      </c>
      <c r="D1922" s="8" t="inlineStr">
        <is>
          <t>Senior Sustainability Manager</t>
        </is>
      </c>
      <c r="E1922" s="7" t="inlineStr">
        <is>
          <t>Monzo</t>
        </is>
      </c>
      <c r="F1922" s="8" t="inlineStr">
        <is>
          <t>London</t>
        </is>
      </c>
      <c r="G1922" s="8" t="n"/>
      <c r="H1922" s="14" t="n"/>
      <c r="I1922" s="15">
        <f>IF($H1922="","",$H1922-TODAY())</f>
        <v/>
      </c>
      <c r="J1922" s="16" t="inlineStr">
        <is>
          <t>Open posting</t>
        </is>
      </c>
      <c r="K1922" s="8" t="inlineStr">
        <is>
          <t>filtered by keyword pre-scan</t>
        </is>
      </c>
      <c r="L1922" s="17" t="inlineStr">
        <is>
          <t>new</t>
        </is>
      </c>
      <c r="M1922" s="18" t="inlineStr"/>
      <c r="N1922" s="7" t="inlineStr">
        <is>
          <t>93877b49ce20901666638d8202c7544faa1914d3</t>
        </is>
      </c>
      <c r="O1922" s="14" t="n">
        <v>46188</v>
      </c>
      <c r="P1922" s="7" t="inlineStr">
        <is>
          <t>greenhouse:monzo</t>
        </is>
      </c>
      <c r="Q1922" s="8" t="inlineStr"/>
      <c r="R1922" s="8" t="n"/>
      <c r="S1922" s="19" t="n"/>
      <c r="T1922" s="19" t="n"/>
      <c r="U1922" s="14" t="n">
        <v>46191</v>
      </c>
      <c r="V1922" s="7" t="inlineStr">
        <is>
          <t>v2-cv-accuracy-13b988b18da8ea7d</t>
        </is>
      </c>
    </row>
    <row r="1923" ht="28" customHeight="1">
      <c r="A1923" s="12">
        <f>IF($L1923="applied","Applied",IF($L1923="interview","Interview",IF($L1923="offer","Offer",IF($L1923="rejected","Rejected",IF($L1923="ignore","Ignore",IF($L1923="archive","Archive",IF($L1923="closed","Closed",IF($B1923="","Unscored",IF(AND($B1923&gt;=8,OR($H1923="",$H1923-TODAY()&lt;=14)),"P1 Apply",IF($B1923&gt;=7,"P2 Strong",IF($B1923&gt;=5,"P3 Maybe","P4 Low")))))))))))</f>
        <v/>
      </c>
      <c r="B1923" s="13" t="n">
        <v>0</v>
      </c>
      <c r="C1923" s="12" t="inlineStr">
        <is>
          <t>Senior/Lead</t>
        </is>
      </c>
      <c r="D1923" s="8" t="inlineStr">
        <is>
          <t>Staff Backend Engineer</t>
        </is>
      </c>
      <c r="E1923" s="7" t="inlineStr">
        <is>
          <t>Monzo</t>
        </is>
      </c>
      <c r="F1923" s="8" t="inlineStr">
        <is>
          <t>Barcelona</t>
        </is>
      </c>
      <c r="G1923" s="8" t="n"/>
      <c r="H1923" s="14" t="n"/>
      <c r="I1923" s="15">
        <f>IF($H1923="","",$H1923-TODAY())</f>
        <v/>
      </c>
      <c r="J1923" s="16" t="inlineStr">
        <is>
          <t>Open posting</t>
        </is>
      </c>
      <c r="K1923" s="8" t="inlineStr">
        <is>
          <t>filtered by keyword pre-scan</t>
        </is>
      </c>
      <c r="L1923" s="17" t="inlineStr">
        <is>
          <t>new</t>
        </is>
      </c>
      <c r="M1923" s="18" t="inlineStr"/>
      <c r="N1923" s="7" t="inlineStr">
        <is>
          <t>05d768ef6bed39d23dbc35f6712703622b24f5dc</t>
        </is>
      </c>
      <c r="O1923" s="14" t="n">
        <v>46170</v>
      </c>
      <c r="P1923" s="7" t="inlineStr">
        <is>
          <t>greenhouse:monzo</t>
        </is>
      </c>
      <c r="Q1923" s="8" t="inlineStr">
        <is>
          <t>git</t>
        </is>
      </c>
      <c r="R1923" s="8" t="n"/>
      <c r="S1923" s="19" t="n"/>
      <c r="T1923" s="19" t="n"/>
      <c r="U1923" s="14" t="n">
        <v>46191</v>
      </c>
      <c r="V1923" s="7" t="inlineStr">
        <is>
          <t>v2-cv-accuracy-13b988b18da8ea7d</t>
        </is>
      </c>
    </row>
    <row r="1924" ht="28" customHeight="1">
      <c r="A1924" s="12">
        <f>IF($L1924="applied","Applied",IF($L1924="interview","Interview",IF($L1924="offer","Offer",IF($L1924="rejected","Rejected",IF($L1924="ignore","Ignore",IF($L1924="archive","Archive",IF($L1924="closed","Closed",IF($B1924="","Unscored",IF(AND($B1924&gt;=8,OR($H1924="",$H1924-TODAY()&lt;=14)),"P1 Apply",IF($B1924&gt;=7,"P2 Strong",IF($B1924&gt;=5,"P3 Maybe","P4 Low")))))))))))</f>
        <v/>
      </c>
      <c r="B1924" s="13" t="n">
        <v>0</v>
      </c>
      <c r="C1924" s="12" t="inlineStr">
        <is>
          <t>Senior/Lead</t>
        </is>
      </c>
      <c r="D1924" s="8" t="inlineStr">
        <is>
          <t>Staff Backend Engineer</t>
        </is>
      </c>
      <c r="E1924" s="7" t="inlineStr">
        <is>
          <t>Monzo</t>
        </is>
      </c>
      <c r="F1924" s="8" t="inlineStr">
        <is>
          <t>Cardiff, London or Remote (UK)</t>
        </is>
      </c>
      <c r="G1924" s="8" t="n"/>
      <c r="H1924" s="14" t="n"/>
      <c r="I1924" s="15">
        <f>IF($H1924="","",$H1924-TODAY())</f>
        <v/>
      </c>
      <c r="J1924" s="16" t="inlineStr">
        <is>
          <t>Open posting</t>
        </is>
      </c>
      <c r="K1924" s="8" t="inlineStr">
        <is>
          <t>filtered by keyword pre-scan</t>
        </is>
      </c>
      <c r="L1924" s="17" t="inlineStr">
        <is>
          <t>new</t>
        </is>
      </c>
      <c r="M1924" s="18" t="inlineStr"/>
      <c r="N1924" s="7" t="inlineStr">
        <is>
          <t>fc4939db5b4f0532389516fdec622f4039e43911</t>
        </is>
      </c>
      <c r="O1924" s="14" t="n">
        <v>46191</v>
      </c>
      <c r="P1924" s="7" t="inlineStr">
        <is>
          <t>greenhouse:monzo</t>
        </is>
      </c>
      <c r="Q1924" s="8" t="inlineStr">
        <is>
          <t>git</t>
        </is>
      </c>
      <c r="R1924" s="8" t="n"/>
      <c r="S1924" s="19" t="n"/>
      <c r="T1924" s="19" t="n"/>
      <c r="U1924" s="14" t="n">
        <v>46191</v>
      </c>
      <c r="V1924" s="7" t="inlineStr">
        <is>
          <t>v2-cv-accuracy-13b988b18da8ea7d</t>
        </is>
      </c>
    </row>
    <row r="1925" ht="28" customHeight="1">
      <c r="A1925" s="12">
        <f>IF($L1925="applied","Applied",IF($L1925="interview","Interview",IF($L1925="offer","Offer",IF($L1925="rejected","Rejected",IF($L1925="ignore","Ignore",IF($L1925="archive","Archive",IF($L1925="closed","Closed",IF($B1925="","Unscored",IF(AND($B1925&gt;=8,OR($H1925="",$H1925-TODAY()&lt;=14)),"P1 Apply",IF($B1925&gt;=7,"P2 Strong",IF($B1925&gt;=5,"P3 Maybe","P4 Low")))))))))))</f>
        <v/>
      </c>
      <c r="B1925" s="13" t="n">
        <v>0</v>
      </c>
      <c r="C1925" s="12" t="inlineStr">
        <is>
          <t>Senior/Lead</t>
        </is>
      </c>
      <c r="D1925" s="8" t="inlineStr">
        <is>
          <t>Staff Product Designer</t>
        </is>
      </c>
      <c r="E1925" s="7" t="inlineStr">
        <is>
          <t>Monzo</t>
        </is>
      </c>
      <c r="F1925" s="8" t="inlineStr">
        <is>
          <t>Cardiff, London or Remote (UK)</t>
        </is>
      </c>
      <c r="G1925" s="8" t="n"/>
      <c r="H1925" s="14" t="n"/>
      <c r="I1925" s="15">
        <f>IF($H1925="","",$H1925-TODAY())</f>
        <v/>
      </c>
      <c r="J1925" s="16" t="inlineStr">
        <is>
          <t>Open posting</t>
        </is>
      </c>
      <c r="K1925" s="8" t="inlineStr">
        <is>
          <t>filtered by keyword pre-scan</t>
        </is>
      </c>
      <c r="L1925" s="17" t="inlineStr">
        <is>
          <t>new</t>
        </is>
      </c>
      <c r="M1925" s="18" t="inlineStr"/>
      <c r="N1925" s="7" t="inlineStr">
        <is>
          <t>76b32274afe3d3ce7095bbe68c5006ed9695faab</t>
        </is>
      </c>
      <c r="O1925" s="14" t="n">
        <v>46174</v>
      </c>
      <c r="P1925" s="7" t="inlineStr">
        <is>
          <t>greenhouse:monzo</t>
        </is>
      </c>
      <c r="Q1925" s="8" t="inlineStr"/>
      <c r="R1925" s="8" t="n"/>
      <c r="S1925" s="19" t="n"/>
      <c r="T1925" s="19" t="n"/>
      <c r="U1925" s="14" t="n">
        <v>46191</v>
      </c>
      <c r="V1925" s="7" t="inlineStr">
        <is>
          <t>v2-cv-accuracy-13b988b18da8ea7d</t>
        </is>
      </c>
    </row>
    <row r="1926" ht="28" customHeight="1">
      <c r="A1926" s="12">
        <f>IF($L1926="applied","Applied",IF($L1926="interview","Interview",IF($L1926="offer","Offer",IF($L1926="rejected","Rejected",IF($L1926="ignore","Ignore",IF($L1926="archive","Archive",IF($L1926="closed","Closed",IF($B1926="","Unscored",IF(AND($B1926&gt;=8,OR($H1926="",$H1926-TODAY()&lt;=14)),"P1 Apply",IF($B1926&gt;=7,"P2 Strong",IF($B1926&gt;=5,"P3 Maybe","P4 Low")))))))))))</f>
        <v/>
      </c>
      <c r="B1926" s="13" t="n">
        <v>0</v>
      </c>
      <c r="C1926" s="12" t="inlineStr">
        <is>
          <t>Senior/Lead</t>
        </is>
      </c>
      <c r="D1926" s="8" t="inlineStr">
        <is>
          <t>Staff User Researcher, Wealth</t>
        </is>
      </c>
      <c r="E1926" s="7" t="inlineStr">
        <is>
          <t>Monzo</t>
        </is>
      </c>
      <c r="F1926" s="8" t="inlineStr">
        <is>
          <t>Cardiff, London or Remote (UK)</t>
        </is>
      </c>
      <c r="G1926" s="8" t="n"/>
      <c r="H1926" s="14" t="n"/>
      <c r="I1926" s="15">
        <f>IF($H1926="","",$H1926-TODAY())</f>
        <v/>
      </c>
      <c r="J1926" s="16" t="inlineStr">
        <is>
          <t>Open posting</t>
        </is>
      </c>
      <c r="K1926" s="8" t="inlineStr">
        <is>
          <t>filtered by keyword pre-scan</t>
        </is>
      </c>
      <c r="L1926" s="17" t="inlineStr">
        <is>
          <t>new</t>
        </is>
      </c>
      <c r="M1926" s="18" t="inlineStr"/>
      <c r="N1926" s="7" t="inlineStr">
        <is>
          <t>31fc0ca06d255fe5975439c0c0425de333a4c860</t>
        </is>
      </c>
      <c r="O1926" s="14" t="n">
        <v>46184</v>
      </c>
      <c r="P1926" s="7" t="inlineStr">
        <is>
          <t>greenhouse:monzo</t>
        </is>
      </c>
      <c r="Q1926" s="8" t="inlineStr"/>
      <c r="R1926" s="8" t="n"/>
      <c r="S1926" s="19" t="n"/>
      <c r="T1926" s="19" t="n"/>
      <c r="U1926" s="14" t="n">
        <v>46191</v>
      </c>
      <c r="V1926" s="7" t="inlineStr">
        <is>
          <t>v2-cv-accuracy-13b988b18da8ea7d</t>
        </is>
      </c>
    </row>
    <row r="1927" ht="28" customHeight="1">
      <c r="A1927" s="12">
        <f>IF($L1927="applied","Applied",IF($L1927="interview","Interview",IF($L1927="offer","Offer",IF($L1927="rejected","Rejected",IF($L1927="ignore","Ignore",IF($L1927="archive","Archive",IF($L1927="closed","Closed",IF($B1927="","Unscored",IF(AND($B1927&gt;=8,OR($H1927="",$H1927-TODAY()&lt;=14)),"P1 Apply",IF($B1927&gt;=7,"P2 Strong",IF($B1927&gt;=5,"P3 Maybe","P4 Low")))))))))))</f>
        <v/>
      </c>
      <c r="B1927" s="13" t="n">
        <v>0</v>
      </c>
      <c r="C1927" s="12" t="inlineStr">
        <is>
          <t>Manager/Owner</t>
        </is>
      </c>
      <c r="D1927" s="8" t="inlineStr">
        <is>
          <t>Third Party Risk Manager (FTC)</t>
        </is>
      </c>
      <c r="E1927" s="7" t="inlineStr">
        <is>
          <t>Monzo</t>
        </is>
      </c>
      <c r="F1927" s="8" t="inlineStr">
        <is>
          <t>London; Remote (UK)</t>
        </is>
      </c>
      <c r="G1927" s="8" t="n"/>
      <c r="H1927" s="14" t="n"/>
      <c r="I1927" s="15">
        <f>IF($H1927="","",$H1927-TODAY())</f>
        <v/>
      </c>
      <c r="J1927" s="16" t="inlineStr">
        <is>
          <t>Open posting</t>
        </is>
      </c>
      <c r="K1927" s="8" t="inlineStr">
        <is>
          <t>filtered by keyword pre-scan</t>
        </is>
      </c>
      <c r="L1927" s="17" t="inlineStr">
        <is>
          <t>new</t>
        </is>
      </c>
      <c r="M1927" s="18" t="inlineStr"/>
      <c r="N1927" s="7" t="inlineStr">
        <is>
          <t>181ab009b1264b70c71b071c620ef4312a6ae257</t>
        </is>
      </c>
      <c r="O1927" s="14" t="n">
        <v>46177</v>
      </c>
      <c r="P1927" s="7" t="inlineStr">
        <is>
          <t>greenhouse:monzo</t>
        </is>
      </c>
      <c r="Q1927" s="8" t="inlineStr">
        <is>
          <t>git</t>
        </is>
      </c>
      <c r="R1927" s="8" t="n"/>
      <c r="S1927" s="19" t="n"/>
      <c r="T1927" s="19" t="n"/>
      <c r="U1927" s="14" t="n">
        <v>46191</v>
      </c>
      <c r="V1927" s="7" t="inlineStr">
        <is>
          <t>v2-cv-accuracy-13b988b18da8ea7d</t>
        </is>
      </c>
    </row>
    <row r="1928" ht="28" customHeight="1">
      <c r="A1928" s="12">
        <f>IF($L1928="applied","Applied",IF($L1928="interview","Interview",IF($L1928="offer","Offer",IF($L1928="rejected","Rejected",IF($L1928="ignore","Ignore",IF($L1928="archive","Archive",IF($L1928="closed","Closed",IF($B1928="","Unscored",IF(AND($B1928&gt;=8,OR($H1928="",$H1928-TODAY()&lt;=14)),"P1 Apply",IF($B1928&gt;=7,"P2 Strong",IF($B1928&gt;=5,"P3 Maybe","P4 Low")))))))))))</f>
        <v/>
      </c>
      <c r="B1928" s="13" t="n">
        <v>0</v>
      </c>
      <c r="C1928" s="12" t="inlineStr">
        <is>
          <t>Senior/Lead</t>
        </is>
      </c>
      <c r="D1928" s="8" t="inlineStr">
        <is>
          <t>Senior Data Platform Engineer</t>
        </is>
      </c>
      <c r="E1928" s="7" t="inlineStr">
        <is>
          <t>Typeform</t>
        </is>
      </c>
      <c r="F1928" s="8" t="inlineStr">
        <is>
          <t>Germany (Remote) ; Ireland (Remote); Netherlands (Remote) ; Spain (Remote) ; United Kingdom (Remote)</t>
        </is>
      </c>
      <c r="G1928" s="8" t="n"/>
      <c r="H1928" s="14" t="n"/>
      <c r="I1928" s="15">
        <f>IF($H1928="","",$H1928-TODAY())</f>
        <v/>
      </c>
      <c r="J1928" s="16" t="inlineStr">
        <is>
          <t>Open posting</t>
        </is>
      </c>
      <c r="K1928" s="8" t="inlineStr">
        <is>
          <t>filtered by keyword pre-scan</t>
        </is>
      </c>
      <c r="L1928" s="17" t="inlineStr">
        <is>
          <t>new</t>
        </is>
      </c>
      <c r="M1928" s="18" t="inlineStr"/>
      <c r="N1928" s="7" t="inlineStr">
        <is>
          <t>8e5139c6f6399ec1fe99a1d5feb53d541d94d0ea</t>
        </is>
      </c>
      <c r="O1928" s="14" t="n">
        <v>46183</v>
      </c>
      <c r="P1928" s="7" t="inlineStr">
        <is>
          <t>greenhouse:typeform</t>
        </is>
      </c>
      <c r="Q1928" s="8" t="inlineStr">
        <is>
          <t>python, sql</t>
        </is>
      </c>
      <c r="R1928" s="8" t="n"/>
      <c r="S1928" s="19" t="n"/>
      <c r="T1928" s="19" t="n"/>
      <c r="U1928" s="14" t="n">
        <v>46191</v>
      </c>
      <c r="V1928" s="7" t="inlineStr">
        <is>
          <t>v2-cv-accuracy-13b988b18da8ea7d</t>
        </is>
      </c>
    </row>
    <row r="1929" ht="28" customHeight="1">
      <c r="A1929" s="12">
        <f>IF($L1929="applied","Applied",IF($L1929="interview","Interview",IF($L1929="offer","Offer",IF($L1929="rejected","Rejected",IF($L1929="ignore","Ignore",IF($L1929="archive","Archive",IF($L1929="closed","Closed",IF($B1929="","Unscored",IF(AND($B1929&gt;=8,OR($H1929="",$H1929-TODAY()&lt;=14)),"P1 Apply",IF($B1929&gt;=7,"P2 Strong",IF($B1929&gt;=5,"P3 Maybe","P4 Low")))))))))))</f>
        <v/>
      </c>
      <c r="B1929" s="13" t="n">
        <v>0</v>
      </c>
      <c r="C1929" s="12" t="inlineStr">
        <is>
          <t>Senior/Lead</t>
        </is>
      </c>
      <c r="D1929" s="8" t="inlineStr">
        <is>
          <t>Senior FP&amp;A Analyst</t>
        </is>
      </c>
      <c r="E1929" s="7" t="inlineStr">
        <is>
          <t>Typeform</t>
        </is>
      </c>
      <c r="F1929" s="8" t="inlineStr">
        <is>
          <t>United Kingdom (Remote)</t>
        </is>
      </c>
      <c r="G1929" s="8" t="n"/>
      <c r="H1929" s="14" t="n"/>
      <c r="I1929" s="15">
        <f>IF($H1929="","",$H1929-TODAY())</f>
        <v/>
      </c>
      <c r="J1929" s="16" t="inlineStr">
        <is>
          <t>Open posting</t>
        </is>
      </c>
      <c r="K1929" s="8" t="inlineStr">
        <is>
          <t>filtered by keyword pre-scan</t>
        </is>
      </c>
      <c r="L1929" s="17" t="inlineStr">
        <is>
          <t>new</t>
        </is>
      </c>
      <c r="M1929" s="18" t="inlineStr"/>
      <c r="N1929" s="7" t="inlineStr">
        <is>
          <t>2e75b00ecb256f8f2344caa1132306dcde9019d1</t>
        </is>
      </c>
      <c r="O1929" s="14" t="n">
        <v>46168</v>
      </c>
      <c r="P1929" s="7" t="inlineStr">
        <is>
          <t>greenhouse:typeform</t>
        </is>
      </c>
      <c r="Q1929" s="8" t="inlineStr">
        <is>
          <t>sql</t>
        </is>
      </c>
      <c r="R1929" s="8" t="n"/>
      <c r="S1929" s="19" t="n"/>
      <c r="T1929" s="19" t="n"/>
      <c r="U1929" s="14" t="n">
        <v>46191</v>
      </c>
      <c r="V1929" s="7" t="inlineStr">
        <is>
          <t>v2-cv-accuracy-13b988b18da8ea7d</t>
        </is>
      </c>
    </row>
    <row r="1930" ht="28" customHeight="1">
      <c r="A1930" s="12">
        <f>IF($L1930="applied","Applied",IF($L1930="interview","Interview",IF($L1930="offer","Offer",IF($L1930="rejected","Rejected",IF($L1930="ignore","Ignore",IF($L1930="archive","Archive",IF($L1930="closed","Closed",IF($B1930="","Unscored",IF(AND($B1930&gt;=8,OR($H1930="",$H1930-TODAY()&lt;=14)),"P1 Apply",IF($B1930&gt;=7,"P2 Strong",IF($B1930&gt;=5,"P3 Maybe","P4 Low")))))))))))</f>
        <v/>
      </c>
      <c r="B1930" s="13" t="n">
        <v>0</v>
      </c>
      <c r="C1930" s="12" t="inlineStr">
        <is>
          <t>Senior/Lead</t>
        </is>
      </c>
      <c r="D1930" s="8" t="inlineStr">
        <is>
          <t>Senior Web Strategist</t>
        </is>
      </c>
      <c r="E1930" s="7" t="inlineStr">
        <is>
          <t>Typeform</t>
        </is>
      </c>
      <c r="F1930" s="8" t="inlineStr">
        <is>
          <t>Germany (Remote) ; Ireland (Remote); Netherlands (Remote) ; Portugal (Remote) ; Spain (Remote) ; United Kingdom (Remote)</t>
        </is>
      </c>
      <c r="G1930" s="8" t="n"/>
      <c r="H1930" s="14" t="n"/>
      <c r="I1930" s="15">
        <f>IF($H1930="","",$H1930-TODAY())</f>
        <v/>
      </c>
      <c r="J1930" s="16" t="inlineStr">
        <is>
          <t>Open posting</t>
        </is>
      </c>
      <c r="K1930" s="8" t="inlineStr">
        <is>
          <t>filtered by keyword pre-scan</t>
        </is>
      </c>
      <c r="L1930" s="17" t="inlineStr">
        <is>
          <t>new</t>
        </is>
      </c>
      <c r="M1930" s="18" t="inlineStr"/>
      <c r="N1930" s="7" t="inlineStr">
        <is>
          <t>66a044711f4aa3a52627d3106b98ca924e35c79e</t>
        </is>
      </c>
      <c r="O1930" s="14" t="n">
        <v>46174</v>
      </c>
      <c r="P1930" s="7" t="inlineStr">
        <is>
          <t>greenhouse:typeform</t>
        </is>
      </c>
      <c r="Q1930" s="8" t="inlineStr"/>
      <c r="R1930" s="8" t="n"/>
      <c r="S1930" s="19" t="n"/>
      <c r="T1930" s="19" t="n"/>
      <c r="U1930" s="14" t="n">
        <v>46191</v>
      </c>
      <c r="V1930" s="7" t="inlineStr">
        <is>
          <t>v2-cv-accuracy-13b988b18da8ea7d</t>
        </is>
      </c>
    </row>
    <row r="1931" ht="28" customHeight="1">
      <c r="A1931" s="12">
        <f>IF($L1931="applied","Applied",IF($L1931="interview","Interview",IF($L1931="offer","Offer",IF($L1931="rejected","Rejected",IF($L1931="ignore","Ignore",IF($L1931="archive","Archive",IF($L1931="closed","Closed",IF($B1931="","Unscored",IF(AND($B1931&gt;=8,OR($H1931="",$H1931-TODAY()&lt;=14)),"P1 Apply",IF($B1931&gt;=7,"P2 Strong",IF($B1931&gt;=5,"P3 Maybe","P4 Low")))))))))))</f>
        <v/>
      </c>
      <c r="B1931" s="13" t="n">
        <v>0</v>
      </c>
      <c r="C1931" s="12" t="inlineStr">
        <is>
          <t>Unspecified</t>
        </is>
      </c>
      <c r="D1931" s="8" t="inlineStr">
        <is>
          <t>Brand Designer</t>
        </is>
      </c>
      <c r="E1931" s="7" t="inlineStr">
        <is>
          <t>GoCardless</t>
        </is>
      </c>
      <c r="F1931" s="8" t="inlineStr">
        <is>
          <t>Leeds, UK</t>
        </is>
      </c>
      <c r="G1931" s="8" t="n"/>
      <c r="H1931" s="14" t="n"/>
      <c r="I1931" s="15">
        <f>IF($H1931="","",$H1931-TODAY())</f>
        <v/>
      </c>
      <c r="J1931" s="16" t="inlineStr">
        <is>
          <t>Open posting</t>
        </is>
      </c>
      <c r="K1931" s="8" t="inlineStr">
        <is>
          <t>filtered by keyword pre-scan</t>
        </is>
      </c>
      <c r="L1931" s="17" t="inlineStr">
        <is>
          <t>new</t>
        </is>
      </c>
      <c r="M1931" s="18" t="inlineStr"/>
      <c r="N1931" s="7" t="inlineStr">
        <is>
          <t>34f4a3c19a04fa647856733e703581ccd2bb44f1</t>
        </is>
      </c>
      <c r="O1931" s="14" t="n">
        <v>46189</v>
      </c>
      <c r="P1931" s="7" t="inlineStr">
        <is>
          <t>greenhouse:gocardless</t>
        </is>
      </c>
      <c r="Q1931" s="8" t="inlineStr"/>
      <c r="R1931" s="8" t="n"/>
      <c r="S1931" s="19" t="n"/>
      <c r="T1931" s="19" t="n"/>
      <c r="U1931" s="14" t="n">
        <v>46191</v>
      </c>
      <c r="V1931" s="7" t="inlineStr">
        <is>
          <t>v2-cv-accuracy-13b988b18da8ea7d</t>
        </is>
      </c>
    </row>
    <row r="1932" ht="28" customHeight="1">
      <c r="A1932" s="12">
        <f>IF($L1932="applied","Applied",IF($L1932="interview","Interview",IF($L1932="offer","Offer",IF($L1932="rejected","Rejected",IF($L1932="ignore","Ignore",IF($L1932="archive","Archive",IF($L1932="closed","Closed",IF($B1932="","Unscored",IF(AND($B1932&gt;=8,OR($H1932="",$H1932-TODAY()&lt;=14)),"P1 Apply",IF($B1932&gt;=7,"P2 Strong",IF($B1932&gt;=5,"P3 Maybe","P4 Low")))))))))))</f>
        <v/>
      </c>
      <c r="B1932" s="13" t="n">
        <v>0</v>
      </c>
      <c r="C1932" s="12" t="inlineStr">
        <is>
          <t>Senior/Lead</t>
        </is>
      </c>
      <c r="D1932" s="8" t="inlineStr">
        <is>
          <t>KYC Screening Representative (3 month FTC)</t>
        </is>
      </c>
      <c r="E1932" s="7" t="inlineStr">
        <is>
          <t>GoCardless</t>
        </is>
      </c>
      <c r="F1932" s="8" t="inlineStr">
        <is>
          <t>Riga, Latvia</t>
        </is>
      </c>
      <c r="G1932" s="8" t="n"/>
      <c r="H1932" s="14" t="n"/>
      <c r="I1932" s="15">
        <f>IF($H1932="","",$H1932-TODAY())</f>
        <v/>
      </c>
      <c r="J1932" s="16" t="inlineStr">
        <is>
          <t>Open posting</t>
        </is>
      </c>
      <c r="K1932" s="8" t="inlineStr">
        <is>
          <t>filtered by keyword pre-scan</t>
        </is>
      </c>
      <c r="L1932" s="17" t="inlineStr">
        <is>
          <t>new</t>
        </is>
      </c>
      <c r="M1932" s="18" t="inlineStr"/>
      <c r="N1932" s="7" t="inlineStr">
        <is>
          <t>d040fb79d314ee09a969fb45be4547e378e32504</t>
        </is>
      </c>
      <c r="O1932" s="14" t="n">
        <v>46168</v>
      </c>
      <c r="P1932" s="7" t="inlineStr">
        <is>
          <t>greenhouse:gocardless</t>
        </is>
      </c>
      <c r="Q1932" s="8" t="inlineStr"/>
      <c r="R1932" s="8" t="n"/>
      <c r="S1932" s="19" t="n"/>
      <c r="T1932" s="19" t="n"/>
      <c r="U1932" s="14" t="n">
        <v>46191</v>
      </c>
      <c r="V1932" s="7" t="inlineStr">
        <is>
          <t>v2-cv-accuracy-13b988b18da8ea7d</t>
        </is>
      </c>
    </row>
    <row r="1933" ht="28" customHeight="1">
      <c r="A1933" s="12">
        <f>IF($L1933="applied","Applied",IF($L1933="interview","Interview",IF($L1933="offer","Offer",IF($L1933="rejected","Rejected",IF($L1933="ignore","Ignore",IF($L1933="archive","Archive",IF($L1933="closed","Closed",IF($B1933="","Unscored",IF(AND($B1933&gt;=8,OR($H1933="",$H1933-TODAY()&lt;=14)),"P1 Apply",IF($B1933&gt;=7,"P2 Strong",IF($B1933&gt;=5,"P3 Maybe","P4 Low")))))))))))</f>
        <v/>
      </c>
      <c r="B1933" s="13" t="n">
        <v>0</v>
      </c>
      <c r="C1933" s="12" t="inlineStr">
        <is>
          <t>Junior</t>
        </is>
      </c>
      <c r="D1933" s="8" t="inlineStr">
        <is>
          <t>Regulatory Compliance Associate</t>
        </is>
      </c>
      <c r="E1933" s="7" t="inlineStr">
        <is>
          <t>GoCardless</t>
        </is>
      </c>
      <c r="F1933" s="8" t="inlineStr">
        <is>
          <t>Leeds, UK</t>
        </is>
      </c>
      <c r="G1933" s="8" t="n"/>
      <c r="H1933" s="14" t="n"/>
      <c r="I1933" s="15">
        <f>IF($H1933="","",$H1933-TODAY())</f>
        <v/>
      </c>
      <c r="J1933" s="16" t="inlineStr">
        <is>
          <t>Open posting</t>
        </is>
      </c>
      <c r="K1933" s="8" t="inlineStr">
        <is>
          <t>filtered by keyword pre-scan</t>
        </is>
      </c>
      <c r="L1933" s="17" t="inlineStr">
        <is>
          <t>new</t>
        </is>
      </c>
      <c r="M1933" s="18" t="inlineStr"/>
      <c r="N1933" s="7" t="inlineStr">
        <is>
          <t>a1271c7842827e272e38042cb3d613ec9839c9eb</t>
        </is>
      </c>
      <c r="O1933" s="14" t="n">
        <v>46182</v>
      </c>
      <c r="P1933" s="7" t="inlineStr">
        <is>
          <t>greenhouse:gocardless</t>
        </is>
      </c>
      <c r="Q1933" s="8" t="inlineStr"/>
      <c r="R1933" s="8" t="n"/>
      <c r="S1933" s="19" t="n"/>
      <c r="T1933" s="19" t="n"/>
      <c r="U1933" s="14" t="n">
        <v>46191</v>
      </c>
      <c r="V1933" s="7" t="inlineStr">
        <is>
          <t>v2-cv-accuracy-13b988b18da8ea7d</t>
        </is>
      </c>
    </row>
    <row r="1934" ht="28" customHeight="1">
      <c r="A1934" s="12">
        <f>IF($L1934="applied","Applied",IF($L1934="interview","Interview",IF($L1934="offer","Offer",IF($L1934="rejected","Rejected",IF($L1934="ignore","Ignore",IF($L1934="archive","Archive",IF($L1934="closed","Closed",IF($B1934="","Unscored",IF(AND($B1934&gt;=8,OR($H1934="",$H1934-TODAY()&lt;=14)),"P1 Apply",IF($B1934&gt;=7,"P2 Strong",IF($B1934&gt;=5,"P3 Maybe","P4 Low")))))))))))</f>
        <v/>
      </c>
      <c r="B1934" s="13" t="n">
        <v>0</v>
      </c>
      <c r="C1934" s="12" t="inlineStr">
        <is>
          <t>Unspecified</t>
        </is>
      </c>
      <c r="D1934" s="8" t="inlineStr">
        <is>
          <t>Systems Engineer</t>
        </is>
      </c>
      <c r="E1934" s="7" t="inlineStr">
        <is>
          <t>GoCardless</t>
        </is>
      </c>
      <c r="F1934" s="8" t="inlineStr">
        <is>
          <t>Lisbon, Portugal</t>
        </is>
      </c>
      <c r="G1934" s="8" t="n"/>
      <c r="H1934" s="14" t="n"/>
      <c r="I1934" s="15">
        <f>IF($H1934="","",$H1934-TODAY())</f>
        <v/>
      </c>
      <c r="J1934" s="16" t="inlineStr">
        <is>
          <t>Open posting</t>
        </is>
      </c>
      <c r="K1934" s="8" t="inlineStr">
        <is>
          <t>filtered by keyword pre-scan</t>
        </is>
      </c>
      <c r="L1934" s="17" t="inlineStr">
        <is>
          <t>new</t>
        </is>
      </c>
      <c r="M1934" s="18" t="inlineStr"/>
      <c r="N1934" s="7" t="inlineStr">
        <is>
          <t>313e7c765b39bb83fe23c2cff146f4cc9cd335a6</t>
        </is>
      </c>
      <c r="O1934" s="14" t="n">
        <v>46190</v>
      </c>
      <c r="P1934" s="7" t="inlineStr">
        <is>
          <t>greenhouse:gocardless</t>
        </is>
      </c>
      <c r="Q1934" s="8" t="inlineStr"/>
      <c r="R1934" s="8" t="n"/>
      <c r="S1934" s="19" t="n"/>
      <c r="T1934" s="19" t="n"/>
      <c r="U1934" s="14" t="n">
        <v>46191</v>
      </c>
      <c r="V1934" s="7" t="inlineStr">
        <is>
          <t>v2-cv-accuracy-13b988b18da8ea7d</t>
        </is>
      </c>
    </row>
    <row r="1935" ht="28" customHeight="1">
      <c r="A1935" s="12">
        <f>IF($L1935="applied","Applied",IF($L1935="interview","Interview",IF($L1935="offer","Offer",IF($L1935="rejected","Rejected",IF($L1935="ignore","Ignore",IF($L1935="archive","Archive",IF($L1935="closed","Closed",IF($B1935="","Unscored",IF(AND($B1935&gt;=8,OR($H1935="",$H1935-TODAY()&lt;=14)),"P1 Apply",IF($B1935&gt;=7,"P2 Strong",IF($B1935&gt;=5,"P3 Maybe","P4 Low")))))))))))</f>
        <v/>
      </c>
      <c r="B1935" s="13" t="n">
        <v>0</v>
      </c>
      <c r="C1935" s="12" t="inlineStr">
        <is>
          <t>Senior/Lead</t>
        </is>
      </c>
      <c r="D1935" s="8" t="inlineStr">
        <is>
          <t>Business Development Representative (BDR)</t>
        </is>
      </c>
      <c r="E1935" s="7" t="inlineStr">
        <is>
          <t>Cloudflare</t>
        </is>
      </c>
      <c r="F1935" s="8" t="inlineStr">
        <is>
          <t>Hybrid</t>
        </is>
      </c>
      <c r="G1935" s="8" t="n"/>
      <c r="H1935" s="14" t="n"/>
      <c r="I1935" s="15">
        <f>IF($H1935="","",$H1935-TODAY())</f>
        <v/>
      </c>
      <c r="J1935" s="16" t="inlineStr">
        <is>
          <t>Open posting</t>
        </is>
      </c>
      <c r="K1935" s="8" t="inlineStr">
        <is>
          <t>filtered by keyword pre-scan</t>
        </is>
      </c>
      <c r="L1935" s="17" t="inlineStr">
        <is>
          <t>new</t>
        </is>
      </c>
      <c r="M1935" s="18" t="inlineStr"/>
      <c r="N1935" s="7" t="inlineStr">
        <is>
          <t>8c6bd763103bbfe248e5679b6d8371f653609f84</t>
        </is>
      </c>
      <c r="O1935" s="14" t="n">
        <v>46185</v>
      </c>
      <c r="P1935" s="7" t="inlineStr">
        <is>
          <t>greenhouse:cloudflare</t>
        </is>
      </c>
      <c r="Q1935" s="8" t="inlineStr"/>
      <c r="R1935" s="8" t="n"/>
      <c r="S1935" s="19" t="n"/>
      <c r="T1935" s="19" t="n"/>
      <c r="U1935" s="14" t="n">
        <v>46191</v>
      </c>
      <c r="V1935" s="7" t="inlineStr">
        <is>
          <t>v2-cv-accuracy-13b988b18da8ea7d</t>
        </is>
      </c>
    </row>
    <row r="1936" ht="28" customHeight="1">
      <c r="A1936" s="12">
        <f>IF($L1936="applied","Applied",IF($L1936="interview","Interview",IF($L1936="offer","Offer",IF($L1936="rejected","Rejected",IF($L1936="ignore","Ignore",IF($L1936="archive","Archive",IF($L1936="closed","Closed",IF($B1936="","Unscored",IF(AND($B1936&gt;=8,OR($H1936="",$H1936-TODAY()&lt;=14)),"P1 Apply",IF($B1936&gt;=7,"P2 Strong",IF($B1936&gt;=5,"P3 Maybe","P4 Low")))))))))))</f>
        <v/>
      </c>
      <c r="B1936" s="13" t="n">
        <v>0</v>
      </c>
      <c r="C1936" s="12" t="inlineStr">
        <is>
          <t>Senior/Lead</t>
        </is>
      </c>
      <c r="D1936" s="8" t="inlineStr">
        <is>
          <t>Business Development Representative (BDR), LATAM Spanish Speaking</t>
        </is>
      </c>
      <c r="E1936" s="7" t="inlineStr">
        <is>
          <t>Cloudflare</t>
        </is>
      </c>
      <c r="F1936" s="8" t="inlineStr">
        <is>
          <t>Hybrid</t>
        </is>
      </c>
      <c r="G1936" s="8" t="n"/>
      <c r="H1936" s="14" t="n"/>
      <c r="I1936" s="15">
        <f>IF($H1936="","",$H1936-TODAY())</f>
        <v/>
      </c>
      <c r="J1936" s="16" t="inlineStr">
        <is>
          <t>Open posting</t>
        </is>
      </c>
      <c r="K1936" s="8" t="inlineStr">
        <is>
          <t>filtered by keyword pre-scan</t>
        </is>
      </c>
      <c r="L1936" s="17" t="inlineStr">
        <is>
          <t>new</t>
        </is>
      </c>
      <c r="M1936" s="18" t="inlineStr"/>
      <c r="N1936" s="7" t="inlineStr">
        <is>
          <t>5506d9a341521e1a6978c8b5207b30289c6cb55d</t>
        </is>
      </c>
      <c r="O1936" s="14" t="n">
        <v>46184</v>
      </c>
      <c r="P1936" s="7" t="inlineStr">
        <is>
          <t>greenhouse:cloudflare</t>
        </is>
      </c>
      <c r="Q1936" s="8" t="inlineStr"/>
      <c r="R1936" s="8" t="n"/>
      <c r="S1936" s="19" t="n"/>
      <c r="T1936" s="19" t="n"/>
      <c r="U1936" s="14" t="n">
        <v>46191</v>
      </c>
      <c r="V1936" s="7" t="inlineStr">
        <is>
          <t>v2-cv-accuracy-13b988b18da8ea7d</t>
        </is>
      </c>
    </row>
    <row r="1937" ht="28" customHeight="1">
      <c r="A1937" s="12">
        <f>IF($L1937="applied","Applied",IF($L1937="interview","Interview",IF($L1937="offer","Offer",IF($L1937="rejected","Rejected",IF($L1937="ignore","Ignore",IF($L1937="archive","Archive",IF($L1937="closed","Closed",IF($B1937="","Unscored",IF(AND($B1937&gt;=8,OR($H1937="",$H1937-TODAY()&lt;=14)),"P1 Apply",IF($B1937&gt;=7,"P2 Strong",IF($B1937&gt;=5,"P3 Maybe","P4 Low")))))))))))</f>
        <v/>
      </c>
      <c r="B1937" s="13" t="n">
        <v>0</v>
      </c>
      <c r="C1937" s="12" t="inlineStr">
        <is>
          <t>Unspecified</t>
        </is>
      </c>
      <c r="D1937" s="8" t="inlineStr">
        <is>
          <t>Business Development Representative, Bengaluru</t>
        </is>
      </c>
      <c r="E1937" s="7" t="inlineStr">
        <is>
          <t>Cloudflare</t>
        </is>
      </c>
      <c r="F1937" s="8" t="inlineStr">
        <is>
          <t>Hybrid</t>
        </is>
      </c>
      <c r="G1937" s="8" t="n"/>
      <c r="H1937" s="14" t="n"/>
      <c r="I1937" s="15">
        <f>IF($H1937="","",$H1937-TODAY())</f>
        <v/>
      </c>
      <c r="J1937" s="16" t="inlineStr">
        <is>
          <t>Open posting</t>
        </is>
      </c>
      <c r="K1937" s="8" t="inlineStr">
        <is>
          <t>filtered by keyword pre-scan</t>
        </is>
      </c>
      <c r="L1937" s="17" t="inlineStr">
        <is>
          <t>new</t>
        </is>
      </c>
      <c r="M1937" s="18" t="inlineStr"/>
      <c r="N1937" s="7" t="inlineStr">
        <is>
          <t>09edc40e49c1ec0a0d82ced3c1b4e868eaadfb99</t>
        </is>
      </c>
      <c r="O1937" s="14" t="n">
        <v>46178</v>
      </c>
      <c r="P1937" s="7" t="inlineStr">
        <is>
          <t>greenhouse:cloudflare</t>
        </is>
      </c>
      <c r="Q1937" s="8" t="inlineStr"/>
      <c r="R1937" s="8" t="n"/>
      <c r="S1937" s="19" t="n"/>
      <c r="T1937" s="19" t="n"/>
      <c r="U1937" s="14" t="n">
        <v>46191</v>
      </c>
      <c r="V1937" s="7" t="inlineStr">
        <is>
          <t>v2-cv-accuracy-13b988b18da8ea7d</t>
        </is>
      </c>
    </row>
    <row r="1938" ht="28" customHeight="1">
      <c r="A1938" s="12">
        <f>IF($L1938="applied","Applied",IF($L1938="interview","Interview",IF($L1938="offer","Offer",IF($L1938="rejected","Rejected",IF($L1938="ignore","Ignore",IF($L1938="archive","Archive",IF($L1938="closed","Closed",IF($B1938="","Unscored",IF(AND($B1938&gt;=8,OR($H1938="",$H1938-TODAY()&lt;=14)),"P1 Apply",IF($B1938&gt;=7,"P2 Strong",IF($B1938&gt;=5,"P3 Maybe","P4 Low")))))))))))</f>
        <v/>
      </c>
      <c r="B1938" s="13" t="n">
        <v>0</v>
      </c>
      <c r="C1938" s="12" t="inlineStr">
        <is>
          <t>Senior/Lead</t>
        </is>
      </c>
      <c r="D1938" s="8" t="inlineStr">
        <is>
          <t>Country Director, India</t>
        </is>
      </c>
      <c r="E1938" s="7" t="inlineStr">
        <is>
          <t>Cloudflare</t>
        </is>
      </c>
      <c r="F1938" s="8" t="inlineStr">
        <is>
          <t>Remote India</t>
        </is>
      </c>
      <c r="G1938" s="8" t="n"/>
      <c r="H1938" s="14" t="n"/>
      <c r="I1938" s="15">
        <f>IF($H1938="","",$H1938-TODAY())</f>
        <v/>
      </c>
      <c r="J1938" s="16" t="inlineStr">
        <is>
          <t>Open posting</t>
        </is>
      </c>
      <c r="K1938" s="8" t="inlineStr">
        <is>
          <t>filtered by keyword pre-scan</t>
        </is>
      </c>
      <c r="L1938" s="17" t="inlineStr">
        <is>
          <t>new</t>
        </is>
      </c>
      <c r="M1938" s="18" t="inlineStr"/>
      <c r="N1938" s="7" t="inlineStr">
        <is>
          <t>923c64cc8d8311c2766cdfce4a3baa1d6e2fe698</t>
        </is>
      </c>
      <c r="O1938" s="14" t="n">
        <v>46181</v>
      </c>
      <c r="P1938" s="7" t="inlineStr">
        <is>
          <t>greenhouse:cloudflare</t>
        </is>
      </c>
      <c r="Q1938" s="8" t="inlineStr"/>
      <c r="R1938" s="8" t="n"/>
      <c r="S1938" s="19" t="n"/>
      <c r="T1938" s="19" t="n"/>
      <c r="U1938" s="14" t="n">
        <v>46191</v>
      </c>
      <c r="V1938" s="7" t="inlineStr">
        <is>
          <t>v2-cv-accuracy-13b988b18da8ea7d</t>
        </is>
      </c>
    </row>
    <row r="1939" ht="28" customHeight="1">
      <c r="A1939" s="12">
        <f>IF($L1939="applied","Applied",IF($L1939="interview","Interview",IF($L1939="offer","Offer",IF($L1939="rejected","Rejected",IF($L1939="ignore","Ignore",IF($L1939="archive","Archive",IF($L1939="closed","Closed",IF($B1939="","Unscored",IF(AND($B1939&gt;=8,OR($H1939="",$H1939-TODAY()&lt;=14)),"P1 Apply",IF($B1939&gt;=7,"P2 Strong",IF($B1939&gt;=5,"P3 Maybe","P4 Low")))))))))))</f>
        <v/>
      </c>
      <c r="B1939" s="13" t="n">
        <v>0</v>
      </c>
      <c r="C1939" s="12" t="inlineStr">
        <is>
          <t>Manager/Owner</t>
        </is>
      </c>
      <c r="D1939" s="8" t="inlineStr">
        <is>
          <t>Customer Experience Manager</t>
        </is>
      </c>
      <c r="E1939" s="7" t="inlineStr">
        <is>
          <t>Cloudflare</t>
        </is>
      </c>
      <c r="F1939" s="8" t="inlineStr">
        <is>
          <t>Hybrid</t>
        </is>
      </c>
      <c r="G1939" s="8" t="n"/>
      <c r="H1939" s="14" t="n"/>
      <c r="I1939" s="15">
        <f>IF($H1939="","",$H1939-TODAY())</f>
        <v/>
      </c>
      <c r="J1939" s="16" t="inlineStr">
        <is>
          <t>Open posting</t>
        </is>
      </c>
      <c r="K1939" s="8" t="inlineStr">
        <is>
          <t>filtered by keyword pre-scan</t>
        </is>
      </c>
      <c r="L1939" s="17" t="inlineStr">
        <is>
          <t>new</t>
        </is>
      </c>
      <c r="M1939" s="18" t="inlineStr"/>
      <c r="N1939" s="7" t="inlineStr">
        <is>
          <t>55d07763205bf4bff9c00304a9db75afb29a7229</t>
        </is>
      </c>
      <c r="O1939" s="14" t="n">
        <v>46190</v>
      </c>
      <c r="P1939" s="7" t="inlineStr">
        <is>
          <t>greenhouse:cloudflare</t>
        </is>
      </c>
      <c r="Q1939" s="8" t="inlineStr">
        <is>
          <t>data analysis</t>
        </is>
      </c>
      <c r="R1939" s="8" t="n"/>
      <c r="S1939" s="19" t="n"/>
      <c r="T1939" s="19" t="n"/>
      <c r="U1939" s="14" t="n">
        <v>46191</v>
      </c>
      <c r="V1939" s="7" t="inlineStr">
        <is>
          <t>v2-cv-accuracy-13b988b18da8ea7d</t>
        </is>
      </c>
    </row>
    <row r="1940" ht="28" customHeight="1">
      <c r="A1940" s="12">
        <f>IF($L1940="applied","Applied",IF($L1940="interview","Interview",IF($L1940="offer","Offer",IF($L1940="rejected","Rejected",IF($L1940="ignore","Ignore",IF($L1940="archive","Archive",IF($L1940="closed","Closed",IF($B1940="","Unscored",IF(AND($B1940&gt;=8,OR($H1940="",$H1940-TODAY()&lt;=14)),"P1 Apply",IF($B1940&gt;=7,"P2 Strong",IF($B1940&gt;=5,"P3 Maybe","P4 Low")))))))))))</f>
        <v/>
      </c>
      <c r="B1940" s="13" t="n">
        <v>0</v>
      </c>
      <c r="C1940" s="12" t="inlineStr">
        <is>
          <t>Mid-level</t>
        </is>
      </c>
      <c r="D1940" s="8" t="inlineStr">
        <is>
          <t>Data Center DCIM Program Leader - Infrastructure Operations</t>
        </is>
      </c>
      <c r="E1940" s="7" t="inlineStr">
        <is>
          <t>Cloudflare</t>
        </is>
      </c>
      <c r="F1940" s="8" t="inlineStr">
        <is>
          <t>Hybrid</t>
        </is>
      </c>
      <c r="G1940" s="8" t="n"/>
      <c r="H1940" s="14" t="n"/>
      <c r="I1940" s="15">
        <f>IF($H1940="","",$H1940-TODAY())</f>
        <v/>
      </c>
      <c r="J1940" s="16" t="inlineStr">
        <is>
          <t>Open posting</t>
        </is>
      </c>
      <c r="K1940" s="8" t="inlineStr">
        <is>
          <t>filtered by keyword pre-scan</t>
        </is>
      </c>
      <c r="L1940" s="17" t="inlineStr">
        <is>
          <t>new</t>
        </is>
      </c>
      <c r="M1940" s="18" t="inlineStr"/>
      <c r="N1940" s="7" t="inlineStr">
        <is>
          <t>b31f8c0b6b9921d47607514482c4f6311ca7f4d5</t>
        </is>
      </c>
      <c r="O1940" s="14" t="n">
        <v>46171</v>
      </c>
      <c r="P1940" s="7" t="inlineStr">
        <is>
          <t>greenhouse:cloudflare</t>
        </is>
      </c>
      <c r="Q1940" s="8" t="inlineStr"/>
      <c r="R1940" s="8" t="n"/>
      <c r="S1940" s="19" t="n"/>
      <c r="T1940" s="19" t="n"/>
      <c r="U1940" s="14" t="n">
        <v>46191</v>
      </c>
      <c r="V1940" s="7" t="inlineStr">
        <is>
          <t>v2-cv-accuracy-13b988b18da8ea7d</t>
        </is>
      </c>
    </row>
    <row r="1941" ht="28" customHeight="1">
      <c r="A1941" s="12">
        <f>IF($L1941="applied","Applied",IF($L1941="interview","Interview",IF($L1941="offer","Offer",IF($L1941="rejected","Rejected",IF($L1941="ignore","Ignore",IF($L1941="archive","Archive",IF($L1941="closed","Closed",IF($B1941="","Unscored",IF(AND($B1941&gt;=8,OR($H1941="",$H1941-TODAY()&lt;=14)),"P1 Apply",IF($B1941&gt;=7,"P2 Strong",IF($B1941&gt;=5,"P3 Maybe","P4 Low")))))))))))</f>
        <v/>
      </c>
      <c r="B1941" s="13" t="n">
        <v>0</v>
      </c>
      <c r="C1941" s="12" t="inlineStr">
        <is>
          <t>Manager/Owner</t>
        </is>
      </c>
      <c r="D1941" s="8" t="inlineStr">
        <is>
          <t>Delivery Manager</t>
        </is>
      </c>
      <c r="E1941" s="7" t="inlineStr">
        <is>
          <t>Cloudflare</t>
        </is>
      </c>
      <c r="F1941" s="8" t="inlineStr">
        <is>
          <t>In-Office</t>
        </is>
      </c>
      <c r="G1941" s="8" t="n"/>
      <c r="H1941" s="14" t="n"/>
      <c r="I1941" s="15">
        <f>IF($H1941="","",$H1941-TODAY())</f>
        <v/>
      </c>
      <c r="J1941" s="16" t="inlineStr">
        <is>
          <t>Open posting</t>
        </is>
      </c>
      <c r="K1941" s="8" t="inlineStr">
        <is>
          <t>filtered by keyword pre-scan</t>
        </is>
      </c>
      <c r="L1941" s="17" t="inlineStr">
        <is>
          <t>new</t>
        </is>
      </c>
      <c r="M1941" s="18" t="inlineStr"/>
      <c r="N1941" s="7" t="inlineStr">
        <is>
          <t>55a758ee3a57d57bd6f70de842da0fca0472b487</t>
        </is>
      </c>
      <c r="O1941" s="14" t="n">
        <v>46176</v>
      </c>
      <c r="P1941" s="7" t="inlineStr">
        <is>
          <t>greenhouse:cloudflare</t>
        </is>
      </c>
      <c r="Q1941" s="8" t="inlineStr"/>
      <c r="R1941" s="8" t="n"/>
      <c r="S1941" s="19" t="n"/>
      <c r="T1941" s="19" t="n"/>
      <c r="U1941" s="14" t="n">
        <v>46191</v>
      </c>
      <c r="V1941" s="7" t="inlineStr">
        <is>
          <t>v2-cv-accuracy-13b988b18da8ea7d</t>
        </is>
      </c>
    </row>
    <row r="1942" ht="28" customHeight="1">
      <c r="A1942" s="12">
        <f>IF($L1942="applied","Applied",IF($L1942="interview","Interview",IF($L1942="offer","Offer",IF($L1942="rejected","Rejected",IF($L1942="ignore","Ignore",IF($L1942="archive","Archive",IF($L1942="closed","Closed",IF($B1942="","Unscored",IF(AND($B1942&gt;=8,OR($H1942="",$H1942-TODAY()&lt;=14)),"P1 Apply",IF($B1942&gt;=7,"P2 Strong",IF($B1942&gt;=5,"P3 Maybe","P4 Low")))))))))))</f>
        <v/>
      </c>
      <c r="B1942" s="13" t="n">
        <v>0</v>
      </c>
      <c r="C1942" s="12" t="inlineStr">
        <is>
          <t>Senior/Lead</t>
        </is>
      </c>
      <c r="D1942" s="8" t="inlineStr">
        <is>
          <t>Director of Developer Events</t>
        </is>
      </c>
      <c r="E1942" s="7" t="inlineStr">
        <is>
          <t>Cloudflare</t>
        </is>
      </c>
      <c r="F1942" s="8" t="inlineStr">
        <is>
          <t>In-Office</t>
        </is>
      </c>
      <c r="G1942" s="8" t="n"/>
      <c r="H1942" s="14" t="n"/>
      <c r="I1942" s="15">
        <f>IF($H1942="","",$H1942-TODAY())</f>
        <v/>
      </c>
      <c r="J1942" s="16" t="inlineStr">
        <is>
          <t>Open posting</t>
        </is>
      </c>
      <c r="K1942" s="8" t="inlineStr">
        <is>
          <t>filtered by keyword pre-scan</t>
        </is>
      </c>
      <c r="L1942" s="17" t="inlineStr">
        <is>
          <t>new</t>
        </is>
      </c>
      <c r="M1942" s="18" t="inlineStr"/>
      <c r="N1942" s="7" t="inlineStr">
        <is>
          <t>b63a6cd7b01242c00d0cf5272b9028033973383a</t>
        </is>
      </c>
      <c r="O1942" s="14" t="n">
        <v>46183</v>
      </c>
      <c r="P1942" s="7" t="inlineStr">
        <is>
          <t>greenhouse:cloudflare</t>
        </is>
      </c>
      <c r="Q1942" s="8" t="inlineStr"/>
      <c r="R1942" s="8" t="n"/>
      <c r="S1942" s="19" t="n"/>
      <c r="T1942" s="19" t="n"/>
      <c r="U1942" s="14" t="n">
        <v>46191</v>
      </c>
      <c r="V1942" s="7" t="inlineStr">
        <is>
          <t>v2-cv-accuracy-13b988b18da8ea7d</t>
        </is>
      </c>
    </row>
    <row r="1943" ht="28" customHeight="1">
      <c r="A1943" s="12">
        <f>IF($L1943="applied","Applied",IF($L1943="interview","Interview",IF($L1943="offer","Offer",IF($L1943="rejected","Rejected",IF($L1943="ignore","Ignore",IF($L1943="archive","Archive",IF($L1943="closed","Closed",IF($B1943="","Unscored",IF(AND($B1943&gt;=8,OR($H1943="",$H1943-TODAY()&lt;=14)),"P1 Apply",IF($B1943&gt;=7,"P2 Strong",IF($B1943&gt;=5,"P3 Maybe","P4 Low")))))))))))</f>
        <v/>
      </c>
      <c r="B1943" s="13" t="n">
        <v>0</v>
      </c>
      <c r="C1943" s="12" t="inlineStr">
        <is>
          <t>Manager/Owner</t>
        </is>
      </c>
      <c r="D1943" s="8" t="inlineStr">
        <is>
          <t>Engineering Manager, Linux Team</t>
        </is>
      </c>
      <c r="E1943" s="7" t="inlineStr">
        <is>
          <t>Cloudflare</t>
        </is>
      </c>
      <c r="F1943" s="8" t="inlineStr">
        <is>
          <t>Hybrid</t>
        </is>
      </c>
      <c r="G1943" s="8" t="n"/>
      <c r="H1943" s="14" t="n"/>
      <c r="I1943" s="15">
        <f>IF($H1943="","",$H1943-TODAY())</f>
        <v/>
      </c>
      <c r="J1943" s="16" t="inlineStr">
        <is>
          <t>Open posting</t>
        </is>
      </c>
      <c r="K1943" s="8" t="inlineStr">
        <is>
          <t>filtered by keyword pre-scan</t>
        </is>
      </c>
      <c r="L1943" s="17" t="inlineStr">
        <is>
          <t>new</t>
        </is>
      </c>
      <c r="M1943" s="18" t="inlineStr"/>
      <c r="N1943" s="7" t="inlineStr">
        <is>
          <t>84128f86fe6c2711b2c1ff69ceb7d707e50f6ba5</t>
        </is>
      </c>
      <c r="O1943" s="14" t="n">
        <v>46178</v>
      </c>
      <c r="P1943" s="7" t="inlineStr">
        <is>
          <t>greenhouse:cloudflare</t>
        </is>
      </c>
      <c r="Q1943" s="8" t="inlineStr"/>
      <c r="R1943" s="8" t="n"/>
      <c r="S1943" s="19" t="n"/>
      <c r="T1943" s="19" t="n"/>
      <c r="U1943" s="14" t="n">
        <v>46191</v>
      </c>
      <c r="V1943" s="7" t="inlineStr">
        <is>
          <t>v2-cv-accuracy-13b988b18da8ea7d</t>
        </is>
      </c>
    </row>
    <row r="1944" ht="28" customHeight="1">
      <c r="A1944" s="12">
        <f>IF($L1944="applied","Applied",IF($L1944="interview","Interview",IF($L1944="offer","Offer",IF($L1944="rejected","Rejected",IF($L1944="ignore","Ignore",IF($L1944="archive","Archive",IF($L1944="closed","Closed",IF($B1944="","Unscored",IF(AND($B1944&gt;=8,OR($H1944="",$H1944-TODAY()&lt;=14)),"P1 Apply",IF($B1944&gt;=7,"P2 Strong",IF($B1944&gt;=5,"P3 Maybe","P4 Low")))))))))))</f>
        <v/>
      </c>
      <c r="B1944" s="13" t="n">
        <v>0</v>
      </c>
      <c r="C1944" s="12" t="inlineStr">
        <is>
          <t>Internship</t>
        </is>
      </c>
      <c r="D1944" s="8" t="inlineStr">
        <is>
          <t>Global Trade Compliance Intern (Summer 2026)</t>
        </is>
      </c>
      <c r="E1944" s="7" t="inlineStr">
        <is>
          <t>Cloudflare</t>
        </is>
      </c>
      <c r="F1944" s="8" t="inlineStr">
        <is>
          <t>In-Office</t>
        </is>
      </c>
      <c r="G1944" s="8" t="n"/>
      <c r="H1944" s="14" t="n"/>
      <c r="I1944" s="15">
        <f>IF($H1944="","",$H1944-TODAY())</f>
        <v/>
      </c>
      <c r="J1944" s="16" t="inlineStr">
        <is>
          <t>Open posting</t>
        </is>
      </c>
      <c r="K1944" s="8" t="inlineStr">
        <is>
          <t>filtered by keyword pre-scan</t>
        </is>
      </c>
      <c r="L1944" s="17" t="inlineStr">
        <is>
          <t>new</t>
        </is>
      </c>
      <c r="M1944" s="18" t="inlineStr"/>
      <c r="N1944" s="7" t="inlineStr">
        <is>
          <t>e5501b1ed0c567fa324de1b1e9e0b17efecb8c85</t>
        </is>
      </c>
      <c r="O1944" s="14" t="n">
        <v>46171</v>
      </c>
      <c r="P1944" s="7" t="inlineStr">
        <is>
          <t>greenhouse:cloudflare</t>
        </is>
      </c>
      <c r="Q1944" s="8" t="inlineStr">
        <is>
          <t>data analysis</t>
        </is>
      </c>
      <c r="R1944" s="8" t="n"/>
      <c r="S1944" s="19" t="n"/>
      <c r="T1944" s="19" t="n"/>
      <c r="U1944" s="14" t="n">
        <v>46191</v>
      </c>
      <c r="V1944" s="7" t="inlineStr">
        <is>
          <t>v2-cv-accuracy-13b988b18da8ea7d</t>
        </is>
      </c>
    </row>
    <row r="1945" ht="28" customHeight="1">
      <c r="A1945" s="12">
        <f>IF($L1945="applied","Applied",IF($L1945="interview","Interview",IF($L1945="offer","Offer",IF($L1945="rejected","Rejected",IF($L1945="ignore","Ignore",IF($L1945="archive","Archive",IF($L1945="closed","Closed",IF($B1945="","Unscored",IF(AND($B1945&gt;=8,OR($H1945="",$H1945-TODAY()&lt;=14)),"P1 Apply",IF($B1945&gt;=7,"P2 Strong",IF($B1945&gt;=5,"P3 Maybe","P4 Low")))))))))))</f>
        <v/>
      </c>
      <c r="B1945" s="13" t="n">
        <v>0</v>
      </c>
      <c r="C1945" s="12" t="inlineStr">
        <is>
          <t>Senior/Lead</t>
        </is>
      </c>
      <c r="D1945" s="8" t="inlineStr">
        <is>
          <t>Head of GTM, AI Inference</t>
        </is>
      </c>
      <c r="E1945" s="7" t="inlineStr">
        <is>
          <t>Cloudflare</t>
        </is>
      </c>
      <c r="F1945" s="8" t="inlineStr">
        <is>
          <t>Hybrid</t>
        </is>
      </c>
      <c r="G1945" s="8" t="n"/>
      <c r="H1945" s="14" t="n"/>
      <c r="I1945" s="15">
        <f>IF($H1945="","",$H1945-TODAY())</f>
        <v/>
      </c>
      <c r="J1945" s="16" t="inlineStr">
        <is>
          <t>Open posting</t>
        </is>
      </c>
      <c r="K1945" s="8" t="inlineStr">
        <is>
          <t>filtered by keyword pre-scan</t>
        </is>
      </c>
      <c r="L1945" s="17" t="inlineStr">
        <is>
          <t>new</t>
        </is>
      </c>
      <c r="M1945" s="18" t="inlineStr"/>
      <c r="N1945" s="7" t="inlineStr">
        <is>
          <t>59656ef642f889fab60eea4506eb7ae5adc08140</t>
        </is>
      </c>
      <c r="O1945" s="14" t="n">
        <v>46171</v>
      </c>
      <c r="P1945" s="7" t="inlineStr">
        <is>
          <t>greenhouse:cloudflare</t>
        </is>
      </c>
      <c r="Q1945" s="8" t="inlineStr"/>
      <c r="R1945" s="8" t="n"/>
      <c r="S1945" s="19" t="n"/>
      <c r="T1945" s="19" t="n"/>
      <c r="U1945" s="14" t="n">
        <v>46191</v>
      </c>
      <c r="V1945" s="7" t="inlineStr">
        <is>
          <t>v2-cv-accuracy-13b988b18da8ea7d</t>
        </is>
      </c>
    </row>
    <row r="1946" ht="28" customHeight="1">
      <c r="A1946" s="12">
        <f>IF($L1946="applied","Applied",IF($L1946="interview","Interview",IF($L1946="offer","Offer",IF($L1946="rejected","Rejected",IF($L1946="ignore","Ignore",IF($L1946="archive","Archive",IF($L1946="closed","Closed",IF($B1946="","Unscored",IF(AND($B1946&gt;=8,OR($H1946="",$H1946-TODAY()&lt;=14)),"P1 Apply",IF($B1946&gt;=7,"P2 Strong",IF($B1946&gt;=5,"P3 Maybe","P4 Low")))))))))))</f>
        <v/>
      </c>
      <c r="B1946" s="13" t="n">
        <v>0</v>
      </c>
      <c r="C1946" s="12" t="inlineStr">
        <is>
          <t>Manager/Owner</t>
        </is>
      </c>
      <c r="D1946" s="8" t="inlineStr">
        <is>
          <t>Manager, BDR - SAARC</t>
        </is>
      </c>
      <c r="E1946" s="7" t="inlineStr">
        <is>
          <t>Cloudflare</t>
        </is>
      </c>
      <c r="F1946" s="8" t="inlineStr">
        <is>
          <t>Distributed</t>
        </is>
      </c>
      <c r="G1946" s="8" t="n"/>
      <c r="H1946" s="14" t="n"/>
      <c r="I1946" s="15">
        <f>IF($H1946="","",$H1946-TODAY())</f>
        <v/>
      </c>
      <c r="J1946" s="16" t="inlineStr">
        <is>
          <t>Open posting</t>
        </is>
      </c>
      <c r="K1946" s="8" t="inlineStr">
        <is>
          <t>filtered by keyword pre-scan</t>
        </is>
      </c>
      <c r="L1946" s="17" t="inlineStr">
        <is>
          <t>new</t>
        </is>
      </c>
      <c r="M1946" s="18" t="inlineStr"/>
      <c r="N1946" s="7" t="inlineStr">
        <is>
          <t>ad1f766b225d7d198f7d578532ccf7273901b4d6</t>
        </is>
      </c>
      <c r="O1946" s="14" t="n">
        <v>46175</v>
      </c>
      <c r="P1946" s="7" t="inlineStr">
        <is>
          <t>greenhouse:cloudflare</t>
        </is>
      </c>
      <c r="Q1946" s="8" t="inlineStr"/>
      <c r="R1946" s="8" t="n"/>
      <c r="S1946" s="19" t="n"/>
      <c r="T1946" s="19" t="n"/>
      <c r="U1946" s="14" t="n">
        <v>46191</v>
      </c>
      <c r="V1946" s="7" t="inlineStr">
        <is>
          <t>v2-cv-accuracy-13b988b18da8ea7d</t>
        </is>
      </c>
    </row>
    <row r="1947" ht="28" customHeight="1">
      <c r="A1947" s="12">
        <f>IF($L1947="applied","Applied",IF($L1947="interview","Interview",IF($L1947="offer","Offer",IF($L1947="rejected","Rejected",IF($L1947="ignore","Ignore",IF($L1947="archive","Archive",IF($L1947="closed","Closed",IF($B1947="","Unscored",IF(AND($B1947&gt;=8,OR($H1947="",$H1947-TODAY()&lt;=14)),"P1 Apply",IF($B1947&gt;=7,"P2 Strong",IF($B1947&gt;=5,"P3 Maybe","P4 Low")))))))))))</f>
        <v/>
      </c>
      <c r="B1947" s="13" t="n">
        <v>0</v>
      </c>
      <c r="C1947" s="12" t="inlineStr">
        <is>
          <t>Internship</t>
        </is>
      </c>
      <c r="D1947" s="8" t="inlineStr">
        <is>
          <t>Network Engineering Intern (Summer 2026)</t>
        </is>
      </c>
      <c r="E1947" s="7" t="inlineStr">
        <is>
          <t>Cloudflare</t>
        </is>
      </c>
      <c r="F1947" s="8" t="inlineStr">
        <is>
          <t>In-Office</t>
        </is>
      </c>
      <c r="G1947" s="8" t="n"/>
      <c r="H1947" s="14" t="n"/>
      <c r="I1947" s="15">
        <f>IF($H1947="","",$H1947-TODAY())</f>
        <v/>
      </c>
      <c r="J1947" s="16" t="inlineStr">
        <is>
          <t>Open posting</t>
        </is>
      </c>
      <c r="K1947" s="8" t="inlineStr">
        <is>
          <t>filtered by keyword pre-scan</t>
        </is>
      </c>
      <c r="L1947" s="17" t="inlineStr">
        <is>
          <t>new</t>
        </is>
      </c>
      <c r="M1947" s="18" t="inlineStr"/>
      <c r="N1947" s="7" t="inlineStr">
        <is>
          <t>a03720ceb278a1f014df502a786cbe38ff7c5533</t>
        </is>
      </c>
      <c r="O1947" s="14" t="n">
        <v>46171</v>
      </c>
      <c r="P1947" s="7" t="inlineStr">
        <is>
          <t>greenhouse:cloudflare</t>
        </is>
      </c>
      <c r="Q1947" s="8" t="inlineStr"/>
      <c r="R1947" s="8" t="n"/>
      <c r="S1947" s="19" t="n"/>
      <c r="T1947" s="19" t="n"/>
      <c r="U1947" s="14" t="n">
        <v>46191</v>
      </c>
      <c r="V1947" s="7" t="inlineStr">
        <is>
          <t>v2-cv-accuracy-13b988b18da8ea7d</t>
        </is>
      </c>
    </row>
    <row r="1948" ht="28" customHeight="1">
      <c r="A1948" s="12">
        <f>IF($L1948="applied","Applied",IF($L1948="interview","Interview",IF($L1948="offer","Offer",IF($L1948="rejected","Rejected",IF($L1948="ignore","Ignore",IF($L1948="archive","Archive",IF($L1948="closed","Closed",IF($B1948="","Unscored",IF(AND($B1948&gt;=8,OR($H1948="",$H1948-TODAY()&lt;=14)),"P1 Apply",IF($B1948&gt;=7,"P2 Strong",IF($B1948&gt;=5,"P3 Maybe","P4 Low")))))))))))</f>
        <v/>
      </c>
      <c r="B1948" s="13" t="n">
        <v>0</v>
      </c>
      <c r="C1948" s="12" t="inlineStr">
        <is>
          <t>Internship</t>
        </is>
      </c>
      <c r="D1948" s="8" t="inlineStr">
        <is>
          <t>People Team Intern - HR Operations &amp; AI Innovation (Fall 2026)</t>
        </is>
      </c>
      <c r="E1948" s="7" t="inlineStr">
        <is>
          <t>Cloudflare</t>
        </is>
      </c>
      <c r="F1948" s="8" t="inlineStr">
        <is>
          <t>In-Office</t>
        </is>
      </c>
      <c r="G1948" s="8" t="n"/>
      <c r="H1948" s="14" t="n"/>
      <c r="I1948" s="15">
        <f>IF($H1948="","",$H1948-TODAY())</f>
        <v/>
      </c>
      <c r="J1948" s="16" t="inlineStr">
        <is>
          <t>Open posting</t>
        </is>
      </c>
      <c r="K1948" s="8" t="inlineStr">
        <is>
          <t>filtered by keyword pre-scan</t>
        </is>
      </c>
      <c r="L1948" s="17" t="inlineStr">
        <is>
          <t>new</t>
        </is>
      </c>
      <c r="M1948" s="18" t="inlineStr"/>
      <c r="N1948" s="7" t="inlineStr">
        <is>
          <t>1c0ef52b0e4a890ea4f04c1f59fc4cee6c19ce6a</t>
        </is>
      </c>
      <c r="O1948" s="14" t="n">
        <v>46171</v>
      </c>
      <c r="P1948" s="7" t="inlineStr">
        <is>
          <t>greenhouse:cloudflare</t>
        </is>
      </c>
      <c r="Q1948" s="8" t="inlineStr"/>
      <c r="R1948" s="8" t="n"/>
      <c r="S1948" s="19" t="n"/>
      <c r="T1948" s="19" t="n"/>
      <c r="U1948" s="14" t="n">
        <v>46191</v>
      </c>
      <c r="V1948" s="7" t="inlineStr">
        <is>
          <t>v2-cv-accuracy-13b988b18da8ea7d</t>
        </is>
      </c>
    </row>
    <row r="1949" ht="28" customHeight="1">
      <c r="A1949" s="12">
        <f>IF($L1949="applied","Applied",IF($L1949="interview","Interview",IF($L1949="offer","Offer",IF($L1949="rejected","Rejected",IF($L1949="ignore","Ignore",IF($L1949="archive","Archive",IF($L1949="closed","Closed",IF($B1949="","Unscored",IF(AND($B1949&gt;=8,OR($H1949="",$H1949-TODAY()&lt;=14)),"P1 Apply",IF($B1949&gt;=7,"P2 Strong",IF($B1949&gt;=5,"P3 Maybe","P4 Low")))))))))))</f>
        <v/>
      </c>
      <c r="B1949" s="13" t="n">
        <v>0</v>
      </c>
      <c r="C1949" s="12" t="inlineStr">
        <is>
          <t>Senior/Lead</t>
        </is>
      </c>
      <c r="D1949" s="8" t="inlineStr">
        <is>
          <t>Principal Software Engineer</t>
        </is>
      </c>
      <c r="E1949" s="7" t="inlineStr">
        <is>
          <t>Cloudflare</t>
        </is>
      </c>
      <c r="F1949" s="8" t="inlineStr">
        <is>
          <t>Hybrid</t>
        </is>
      </c>
      <c r="G1949" s="8" t="n"/>
      <c r="H1949" s="14" t="n"/>
      <c r="I1949" s="15">
        <f>IF($H1949="","",$H1949-TODAY())</f>
        <v/>
      </c>
      <c r="J1949" s="16" t="inlineStr">
        <is>
          <t>Open posting</t>
        </is>
      </c>
      <c r="K1949" s="8" t="inlineStr">
        <is>
          <t>filtered by keyword pre-scan</t>
        </is>
      </c>
      <c r="L1949" s="17" t="inlineStr">
        <is>
          <t>new</t>
        </is>
      </c>
      <c r="M1949" s="18" t="inlineStr"/>
      <c r="N1949" s="7" t="inlineStr">
        <is>
          <t>37e60a1f5cb1dfdc5eb03e2aa8bf91e396d2fe02</t>
        </is>
      </c>
      <c r="O1949" s="14" t="n">
        <v>46182</v>
      </c>
      <c r="P1949" s="7" t="inlineStr">
        <is>
          <t>greenhouse:cloudflare</t>
        </is>
      </c>
      <c r="Q1949" s="8" t="inlineStr"/>
      <c r="R1949" s="8" t="n"/>
      <c r="S1949" s="19" t="n"/>
      <c r="T1949" s="19" t="n"/>
      <c r="U1949" s="14" t="n">
        <v>46191</v>
      </c>
      <c r="V1949" s="7" t="inlineStr">
        <is>
          <t>v2-cv-accuracy-13b988b18da8ea7d</t>
        </is>
      </c>
    </row>
    <row r="1950" ht="28" customHeight="1">
      <c r="A1950" s="12">
        <f>IF($L1950="applied","Applied",IF($L1950="interview","Interview",IF($L1950="offer","Offer",IF($L1950="rejected","Rejected",IF($L1950="ignore","Ignore",IF($L1950="archive","Archive",IF($L1950="closed","Closed",IF($B1950="","Unscored",IF(AND($B1950&gt;=8,OR($H1950="",$H1950-TODAY()&lt;=14)),"P1 Apply",IF($B1950&gt;=7,"P2 Strong",IF($B1950&gt;=5,"P3 Maybe","P4 Low")))))))))))</f>
        <v/>
      </c>
      <c r="B1950" s="13" t="n">
        <v>0</v>
      </c>
      <c r="C1950" s="12" t="inlineStr">
        <is>
          <t>Senior/Lead</t>
        </is>
      </c>
      <c r="D1950" s="8" t="inlineStr">
        <is>
          <t>Senior Atlassian System Admin</t>
        </is>
      </c>
      <c r="E1950" s="7" t="inlineStr">
        <is>
          <t>Cloudflare</t>
        </is>
      </c>
      <c r="F1950" s="8" t="inlineStr">
        <is>
          <t>Hybrid</t>
        </is>
      </c>
      <c r="G1950" s="8" t="n"/>
      <c r="H1950" s="14" t="n"/>
      <c r="I1950" s="15">
        <f>IF($H1950="","",$H1950-TODAY())</f>
        <v/>
      </c>
      <c r="J1950" s="16" t="inlineStr">
        <is>
          <t>Open posting</t>
        </is>
      </c>
      <c r="K1950" s="8" t="inlineStr">
        <is>
          <t>filtered by keyword pre-scan</t>
        </is>
      </c>
      <c r="L1950" s="17" t="inlineStr">
        <is>
          <t>new</t>
        </is>
      </c>
      <c r="M1950" s="18" t="inlineStr"/>
      <c r="N1950" s="7" t="inlineStr">
        <is>
          <t>7b374e24784e3fbd16ada034c82afb96c554139c</t>
        </is>
      </c>
      <c r="O1950" s="14" t="n">
        <v>46183</v>
      </c>
      <c r="P1950" s="7" t="inlineStr">
        <is>
          <t>greenhouse:cloudflare</t>
        </is>
      </c>
      <c r="Q1950" s="8" t="inlineStr"/>
      <c r="R1950" s="8" t="n"/>
      <c r="S1950" s="19" t="n"/>
      <c r="T1950" s="19" t="n"/>
      <c r="U1950" s="14" t="n">
        <v>46191</v>
      </c>
      <c r="V1950" s="7" t="inlineStr">
        <is>
          <t>v2-cv-accuracy-13b988b18da8ea7d</t>
        </is>
      </c>
    </row>
    <row r="1951" ht="28" customHeight="1">
      <c r="A1951" s="12">
        <f>IF($L1951="applied","Applied",IF($L1951="interview","Interview",IF($L1951="offer","Offer",IF($L1951="rejected","Rejected",IF($L1951="ignore","Ignore",IF($L1951="archive","Archive",IF($L1951="closed","Closed",IF($B1951="","Unscored",IF(AND($B1951&gt;=8,OR($H1951="",$H1951-TODAY()&lt;=14)),"P1 Apply",IF($B1951&gt;=7,"P2 Strong",IF($B1951&gt;=5,"P3 Maybe","P4 Low")))))))))))</f>
        <v/>
      </c>
      <c r="B1951" s="13" t="n">
        <v>0</v>
      </c>
      <c r="C1951" s="12" t="inlineStr">
        <is>
          <t>Senior/Lead</t>
        </is>
      </c>
      <c r="D1951" s="8" t="inlineStr">
        <is>
          <t>Senior Customer Engineer, Web3</t>
        </is>
      </c>
      <c r="E1951" s="7" t="inlineStr">
        <is>
          <t>Cloudflare</t>
        </is>
      </c>
      <c r="F1951" s="8" t="inlineStr">
        <is>
          <t>Hybrid</t>
        </is>
      </c>
      <c r="G1951" s="8" t="n"/>
      <c r="H1951" s="14" t="n"/>
      <c r="I1951" s="15">
        <f>IF($H1951="","",$H1951-TODAY())</f>
        <v/>
      </c>
      <c r="J1951" s="16" t="inlineStr">
        <is>
          <t>Open posting</t>
        </is>
      </c>
      <c r="K1951" s="8" t="inlineStr">
        <is>
          <t>filtered by keyword pre-scan</t>
        </is>
      </c>
      <c r="L1951" s="17" t="inlineStr">
        <is>
          <t>new</t>
        </is>
      </c>
      <c r="M1951" s="18" t="inlineStr"/>
      <c r="N1951" s="7" t="inlineStr">
        <is>
          <t>5a6b431bdd55e72f7ecab187445ca29f1dc4ac60</t>
        </is>
      </c>
      <c r="O1951" s="14" t="n">
        <v>46174</v>
      </c>
      <c r="P1951" s="7" t="inlineStr">
        <is>
          <t>greenhouse:cloudflare</t>
        </is>
      </c>
      <c r="Q1951" s="8" t="inlineStr"/>
      <c r="R1951" s="8" t="n"/>
      <c r="S1951" s="19" t="n"/>
      <c r="T1951" s="19" t="n"/>
      <c r="U1951" s="14" t="n">
        <v>46191</v>
      </c>
      <c r="V1951" s="7" t="inlineStr">
        <is>
          <t>v2-cv-accuracy-13b988b18da8ea7d</t>
        </is>
      </c>
    </row>
    <row r="1952" ht="28" customHeight="1">
      <c r="A1952" s="12">
        <f>IF($L1952="applied","Applied",IF($L1952="interview","Interview",IF($L1952="offer","Offer",IF($L1952="rejected","Rejected",IF($L1952="ignore","Ignore",IF($L1952="archive","Archive",IF($L1952="closed","Closed",IF($B1952="","Unscored",IF(AND($B1952&gt;=8,OR($H1952="",$H1952-TODAY()&lt;=14)),"P1 Apply",IF($B1952&gt;=7,"P2 Strong",IF($B1952&gt;=5,"P3 Maybe","P4 Low")))))))))))</f>
        <v/>
      </c>
      <c r="B1952" s="13" t="n">
        <v>0</v>
      </c>
      <c r="C1952" s="12" t="inlineStr">
        <is>
          <t>Senior/Lead</t>
        </is>
      </c>
      <c r="D1952" s="8" t="inlineStr">
        <is>
          <t>Senior Design Engineer</t>
        </is>
      </c>
      <c r="E1952" s="7" t="inlineStr">
        <is>
          <t>Cloudflare</t>
        </is>
      </c>
      <c r="F1952" s="8" t="inlineStr">
        <is>
          <t>Hybrid</t>
        </is>
      </c>
      <c r="G1952" s="8" t="n"/>
      <c r="H1952" s="14" t="n"/>
      <c r="I1952" s="15">
        <f>IF($H1952="","",$H1952-TODAY())</f>
        <v/>
      </c>
      <c r="J1952" s="16" t="inlineStr">
        <is>
          <t>Open posting</t>
        </is>
      </c>
      <c r="K1952" s="8" t="inlineStr">
        <is>
          <t>filtered by keyword pre-scan</t>
        </is>
      </c>
      <c r="L1952" s="17" t="inlineStr">
        <is>
          <t>new</t>
        </is>
      </c>
      <c r="M1952" s="18" t="inlineStr"/>
      <c r="N1952" s="7" t="inlineStr">
        <is>
          <t>00ef14fac1544411106db484864f23ab6a80da41</t>
        </is>
      </c>
      <c r="O1952" s="14" t="n">
        <v>46177</v>
      </c>
      <c r="P1952" s="7" t="inlineStr">
        <is>
          <t>greenhouse:cloudflare</t>
        </is>
      </c>
      <c r="Q1952" s="8" t="inlineStr"/>
      <c r="R1952" s="8" t="n"/>
      <c r="S1952" s="19" t="n"/>
      <c r="T1952" s="19" t="n"/>
      <c r="U1952" s="14" t="n">
        <v>46191</v>
      </c>
      <c r="V1952" s="7" t="inlineStr">
        <is>
          <t>v2-cv-accuracy-13b988b18da8ea7d</t>
        </is>
      </c>
    </row>
    <row r="1953" ht="28" customHeight="1">
      <c r="A1953" s="12">
        <f>IF($L1953="applied","Applied",IF($L1953="interview","Interview",IF($L1953="offer","Offer",IF($L1953="rejected","Rejected",IF($L1953="ignore","Ignore",IF($L1953="archive","Archive",IF($L1953="closed","Closed",IF($B1953="","Unscored",IF(AND($B1953&gt;=8,OR($H1953="",$H1953-TODAY()&lt;=14)),"P1 Apply",IF($B1953&gt;=7,"P2 Strong",IF($B1953&gt;=5,"P3 Maybe","P4 Low")))))))))))</f>
        <v/>
      </c>
      <c r="B1953" s="13" t="n">
        <v>0</v>
      </c>
      <c r="C1953" s="12" t="inlineStr">
        <is>
          <t>Senior/Lead</t>
        </is>
      </c>
      <c r="D1953" s="8" t="inlineStr">
        <is>
          <t>Senior Employee Relations Partner</t>
        </is>
      </c>
      <c r="E1953" s="7" t="inlineStr">
        <is>
          <t>Cloudflare</t>
        </is>
      </c>
      <c r="F1953" s="8" t="inlineStr">
        <is>
          <t>Hybrid</t>
        </is>
      </c>
      <c r="G1953" s="8" t="n"/>
      <c r="H1953" s="14" t="n"/>
      <c r="I1953" s="15">
        <f>IF($H1953="","",$H1953-TODAY())</f>
        <v/>
      </c>
      <c r="J1953" s="16" t="inlineStr">
        <is>
          <t>Open posting</t>
        </is>
      </c>
      <c r="K1953" s="8" t="inlineStr">
        <is>
          <t>filtered by keyword pre-scan</t>
        </is>
      </c>
      <c r="L1953" s="17" t="inlineStr">
        <is>
          <t>new</t>
        </is>
      </c>
      <c r="M1953" s="18" t="inlineStr"/>
      <c r="N1953" s="7" t="inlineStr">
        <is>
          <t>a1fa209bcb4e4d4dbc6a0a6300755fb93ae75070</t>
        </is>
      </c>
      <c r="O1953" s="14" t="n">
        <v>46190</v>
      </c>
      <c r="P1953" s="7" t="inlineStr">
        <is>
          <t>greenhouse:cloudflare</t>
        </is>
      </c>
      <c r="Q1953" s="8" t="inlineStr"/>
      <c r="R1953" s="8" t="n"/>
      <c r="S1953" s="19" t="n"/>
      <c r="T1953" s="19" t="n"/>
      <c r="U1953" s="14" t="n">
        <v>46191</v>
      </c>
      <c r="V1953" s="7" t="inlineStr">
        <is>
          <t>v2-cv-accuracy-13b988b18da8ea7d</t>
        </is>
      </c>
    </row>
    <row r="1954" ht="28" customHeight="1">
      <c r="A1954" s="12">
        <f>IF($L1954="applied","Applied",IF($L1954="interview","Interview",IF($L1954="offer","Offer",IF($L1954="rejected","Rejected",IF($L1954="ignore","Ignore",IF($L1954="archive","Archive",IF($L1954="closed","Closed",IF($B1954="","Unscored",IF(AND($B1954&gt;=8,OR($H1954="",$H1954-TODAY()&lt;=14)),"P1 Apply",IF($B1954&gt;=7,"P2 Strong",IF($B1954&gt;=5,"P3 Maybe","P4 Low")))))))))))</f>
        <v/>
      </c>
      <c r="B1954" s="13" t="n">
        <v>0</v>
      </c>
      <c r="C1954" s="12" t="inlineStr">
        <is>
          <t>Senior/Lead</t>
        </is>
      </c>
      <c r="D1954" s="8" t="inlineStr">
        <is>
          <t>Senior Engineering Manager, AI Gateway</t>
        </is>
      </c>
      <c r="E1954" s="7" t="inlineStr">
        <is>
          <t>Cloudflare</t>
        </is>
      </c>
      <c r="F1954" s="8" t="inlineStr">
        <is>
          <t>Hybrid</t>
        </is>
      </c>
      <c r="G1954" s="8" t="n"/>
      <c r="H1954" s="14" t="n"/>
      <c r="I1954" s="15">
        <f>IF($H1954="","",$H1954-TODAY())</f>
        <v/>
      </c>
      <c r="J1954" s="16" t="inlineStr">
        <is>
          <t>Open posting</t>
        </is>
      </c>
      <c r="K1954" s="8" t="inlineStr">
        <is>
          <t>filtered by keyword pre-scan</t>
        </is>
      </c>
      <c r="L1954" s="17" t="inlineStr">
        <is>
          <t>new</t>
        </is>
      </c>
      <c r="M1954" s="18" t="inlineStr"/>
      <c r="N1954" s="7" t="inlineStr">
        <is>
          <t>38bb390c1d2fb0bc36fdd768ecba3796a43b5083</t>
        </is>
      </c>
      <c r="O1954" s="14" t="n">
        <v>46188</v>
      </c>
      <c r="P1954" s="7" t="inlineStr">
        <is>
          <t>greenhouse:cloudflare</t>
        </is>
      </c>
      <c r="Q1954" s="8" t="inlineStr"/>
      <c r="R1954" s="8" t="n"/>
      <c r="S1954" s="19" t="n"/>
      <c r="T1954" s="19" t="n"/>
      <c r="U1954" s="14" t="n">
        <v>46191</v>
      </c>
      <c r="V1954" s="7" t="inlineStr">
        <is>
          <t>v2-cv-accuracy-13b988b18da8ea7d</t>
        </is>
      </c>
    </row>
    <row r="1955" ht="28" customHeight="1">
      <c r="A1955" s="12">
        <f>IF($L1955="applied","Applied",IF($L1955="interview","Interview",IF($L1955="offer","Offer",IF($L1955="rejected","Rejected",IF($L1955="ignore","Ignore",IF($L1955="archive","Archive",IF($L1955="closed","Closed",IF($B1955="","Unscored",IF(AND($B1955&gt;=8,OR($H1955="",$H1955-TODAY()&lt;=14)),"P1 Apply",IF($B1955&gt;=7,"P2 Strong",IF($B1955&gt;=5,"P3 Maybe","P4 Low")))))))))))</f>
        <v/>
      </c>
      <c r="B1955" s="13" t="n">
        <v>0</v>
      </c>
      <c r="C1955" s="12" t="inlineStr">
        <is>
          <t>Senior/Lead</t>
        </is>
      </c>
      <c r="D1955" s="8" t="inlineStr">
        <is>
          <t>Senior Forward Deployed Engineer</t>
        </is>
      </c>
      <c r="E1955" s="7" t="inlineStr">
        <is>
          <t>Cloudflare</t>
        </is>
      </c>
      <c r="F1955" s="8" t="inlineStr">
        <is>
          <t>Hybrid</t>
        </is>
      </c>
      <c r="G1955" s="8" t="n"/>
      <c r="H1955" s="14" t="n"/>
      <c r="I1955" s="15">
        <f>IF($H1955="","",$H1955-TODAY())</f>
        <v/>
      </c>
      <c r="J1955" s="16" t="inlineStr">
        <is>
          <t>Open posting</t>
        </is>
      </c>
      <c r="K1955" s="8" t="inlineStr">
        <is>
          <t>filtered by keyword pre-scan</t>
        </is>
      </c>
      <c r="L1955" s="17" t="inlineStr">
        <is>
          <t>new</t>
        </is>
      </c>
      <c r="M1955" s="18" t="inlineStr"/>
      <c r="N1955" s="7" t="inlineStr">
        <is>
          <t>031fa3d26fa057a27ab69125b2f201cfbb90cc92</t>
        </is>
      </c>
      <c r="O1955" s="14" t="n">
        <v>46171</v>
      </c>
      <c r="P1955" s="7" t="inlineStr">
        <is>
          <t>greenhouse:cloudflare</t>
        </is>
      </c>
      <c r="Q1955" s="8" t="inlineStr"/>
      <c r="R1955" s="8" t="n"/>
      <c r="S1955" s="19" t="n"/>
      <c r="T1955" s="19" t="n"/>
      <c r="U1955" s="14" t="n">
        <v>46191</v>
      </c>
      <c r="V1955" s="7" t="inlineStr">
        <is>
          <t>v2-cv-accuracy-13b988b18da8ea7d</t>
        </is>
      </c>
    </row>
    <row r="1956" ht="28" customHeight="1">
      <c r="A1956" s="12">
        <f>IF($L1956="applied","Applied",IF($L1956="interview","Interview",IF($L1956="offer","Offer",IF($L1956="rejected","Rejected",IF($L1956="ignore","Ignore",IF($L1956="archive","Archive",IF($L1956="closed","Closed",IF($B1956="","Unscored",IF(AND($B1956&gt;=8,OR($H1956="",$H1956-TODAY()&lt;=14)),"P1 Apply",IF($B1956&gt;=7,"P2 Strong",IF($B1956&gt;=5,"P3 Maybe","P4 Low")))))))))))</f>
        <v/>
      </c>
      <c r="B1956" s="13" t="n">
        <v>0</v>
      </c>
      <c r="C1956" s="12" t="inlineStr">
        <is>
          <t>Senior/Lead</t>
        </is>
      </c>
      <c r="D1956" s="8" t="inlineStr">
        <is>
          <t>Senior Forward Deployed Engineer</t>
        </is>
      </c>
      <c r="E1956" s="7" t="inlineStr">
        <is>
          <t>Cloudflare</t>
        </is>
      </c>
      <c r="F1956" s="8" t="inlineStr">
        <is>
          <t>Hybrid</t>
        </is>
      </c>
      <c r="G1956" s="8" t="n"/>
      <c r="H1956" s="14" t="n"/>
      <c r="I1956" s="15">
        <f>IF($H1956="","",$H1956-TODAY())</f>
        <v/>
      </c>
      <c r="J1956" s="16" t="inlineStr">
        <is>
          <t>Open posting</t>
        </is>
      </c>
      <c r="K1956" s="8" t="inlineStr">
        <is>
          <t>filtered by keyword pre-scan</t>
        </is>
      </c>
      <c r="L1956" s="17" t="inlineStr">
        <is>
          <t>new</t>
        </is>
      </c>
      <c r="M1956" s="18" t="inlineStr"/>
      <c r="N1956" s="7" t="inlineStr">
        <is>
          <t>6588e4d4d84f91c27e415d73fa076f09036ffb15</t>
        </is>
      </c>
      <c r="O1956" s="14" t="n">
        <v>46171</v>
      </c>
      <c r="P1956" s="7" t="inlineStr">
        <is>
          <t>greenhouse:cloudflare</t>
        </is>
      </c>
      <c r="Q1956" s="8" t="inlineStr"/>
      <c r="R1956" s="8" t="n"/>
      <c r="S1956" s="19" t="n"/>
      <c r="T1956" s="19" t="n"/>
      <c r="U1956" s="14" t="n">
        <v>46191</v>
      </c>
      <c r="V1956" s="7" t="inlineStr">
        <is>
          <t>v2-cv-accuracy-13b988b18da8ea7d</t>
        </is>
      </c>
    </row>
    <row r="1957" ht="28" customHeight="1">
      <c r="A1957" s="12">
        <f>IF($L1957="applied","Applied",IF($L1957="interview","Interview",IF($L1957="offer","Offer",IF($L1957="rejected","Rejected",IF($L1957="ignore","Ignore",IF($L1957="archive","Archive",IF($L1957="closed","Closed",IF($B1957="","Unscored",IF(AND($B1957&gt;=8,OR($H1957="",$H1957-TODAY()&lt;=14)),"P1 Apply",IF($B1957&gt;=7,"P2 Strong",IF($B1957&gt;=5,"P3 Maybe","P4 Low")))))))))))</f>
        <v/>
      </c>
      <c r="B1957" s="13" t="n">
        <v>0</v>
      </c>
      <c r="C1957" s="12" t="inlineStr">
        <is>
          <t>Senior/Lead</t>
        </is>
      </c>
      <c r="D1957" s="8" t="inlineStr">
        <is>
          <t>Senior Forward Deployed Engineer</t>
        </is>
      </c>
      <c r="E1957" s="7" t="inlineStr">
        <is>
          <t>Cloudflare</t>
        </is>
      </c>
      <c r="F1957" s="8" t="inlineStr">
        <is>
          <t>Hybrid</t>
        </is>
      </c>
      <c r="G1957" s="8" t="n"/>
      <c r="H1957" s="14" t="n"/>
      <c r="I1957" s="15">
        <f>IF($H1957="","",$H1957-TODAY())</f>
        <v/>
      </c>
      <c r="J1957" s="16" t="inlineStr">
        <is>
          <t>Open posting</t>
        </is>
      </c>
      <c r="K1957" s="8" t="inlineStr">
        <is>
          <t>filtered by keyword pre-scan</t>
        </is>
      </c>
      <c r="L1957" s="17" t="inlineStr">
        <is>
          <t>new</t>
        </is>
      </c>
      <c r="M1957" s="18" t="inlineStr"/>
      <c r="N1957" s="7" t="inlineStr">
        <is>
          <t>41de0b69edd8845f90eba2bbe548d1af72b832b9</t>
        </is>
      </c>
      <c r="O1957" s="14" t="n">
        <v>46171</v>
      </c>
      <c r="P1957" s="7" t="inlineStr">
        <is>
          <t>greenhouse:cloudflare</t>
        </is>
      </c>
      <c r="Q1957" s="8" t="inlineStr"/>
      <c r="R1957" s="8" t="n"/>
      <c r="S1957" s="19" t="n"/>
      <c r="T1957" s="19" t="n"/>
      <c r="U1957" s="14" t="n">
        <v>46191</v>
      </c>
      <c r="V1957" s="7" t="inlineStr">
        <is>
          <t>v2-cv-accuracy-13b988b18da8ea7d</t>
        </is>
      </c>
    </row>
    <row r="1958" ht="28" customHeight="1">
      <c r="A1958" s="12">
        <f>IF($L1958="applied","Applied",IF($L1958="interview","Interview",IF($L1958="offer","Offer",IF($L1958="rejected","Rejected",IF($L1958="ignore","Ignore",IF($L1958="archive","Archive",IF($L1958="closed","Closed",IF($B1958="","Unscored",IF(AND($B1958&gt;=8,OR($H1958="",$H1958-TODAY()&lt;=14)),"P1 Apply",IF($B1958&gt;=7,"P2 Strong",IF($B1958&gt;=5,"P3 Maybe","P4 Low")))))))))))</f>
        <v/>
      </c>
      <c r="B1958" s="13" t="n">
        <v>0</v>
      </c>
      <c r="C1958" s="12" t="inlineStr">
        <is>
          <t>Senior/Lead</t>
        </is>
      </c>
      <c r="D1958" s="8" t="inlineStr">
        <is>
          <t>Senior Manager, Solutions Architecture, AI &amp; Developer Platform</t>
        </is>
      </c>
      <c r="E1958" s="7" t="inlineStr">
        <is>
          <t>Cloudflare</t>
        </is>
      </c>
      <c r="F1958" s="8" t="inlineStr">
        <is>
          <t>Hybrid</t>
        </is>
      </c>
      <c r="G1958" s="8" t="n"/>
      <c r="H1958" s="14" t="n"/>
      <c r="I1958" s="15">
        <f>IF($H1958="","",$H1958-TODAY())</f>
        <v/>
      </c>
      <c r="J1958" s="16" t="inlineStr">
        <is>
          <t>Open posting</t>
        </is>
      </c>
      <c r="K1958" s="8" t="inlineStr">
        <is>
          <t>filtered by keyword pre-scan</t>
        </is>
      </c>
      <c r="L1958" s="17" t="inlineStr">
        <is>
          <t>new</t>
        </is>
      </c>
      <c r="M1958" s="18" t="inlineStr"/>
      <c r="N1958" s="7" t="inlineStr">
        <is>
          <t>de3a4ea4ebd683c0ab6c09edeeb0150fd33b5462</t>
        </is>
      </c>
      <c r="O1958" s="14" t="n">
        <v>46171</v>
      </c>
      <c r="P1958" s="7" t="inlineStr">
        <is>
          <t>greenhouse:cloudflare</t>
        </is>
      </c>
      <c r="Q1958" s="8" t="inlineStr"/>
      <c r="R1958" s="8" t="n"/>
      <c r="S1958" s="19" t="n"/>
      <c r="T1958" s="19" t="n"/>
      <c r="U1958" s="14" t="n">
        <v>46191</v>
      </c>
      <c r="V1958" s="7" t="inlineStr">
        <is>
          <t>v2-cv-accuracy-13b988b18da8ea7d</t>
        </is>
      </c>
    </row>
    <row r="1959" ht="28" customHeight="1">
      <c r="A1959" s="12">
        <f>IF($L1959="applied","Applied",IF($L1959="interview","Interview",IF($L1959="offer","Offer",IF($L1959="rejected","Rejected",IF($L1959="ignore","Ignore",IF($L1959="archive","Archive",IF($L1959="closed","Closed",IF($B1959="","Unscored",IF(AND($B1959&gt;=8,OR($H1959="",$H1959-TODAY()&lt;=14)),"P1 Apply",IF($B1959&gt;=7,"P2 Strong",IF($B1959&gt;=5,"P3 Maybe","P4 Low")))))))))))</f>
        <v/>
      </c>
      <c r="B1959" s="13" t="n">
        <v>0</v>
      </c>
      <c r="C1959" s="12" t="inlineStr">
        <is>
          <t>Senior/Lead</t>
        </is>
      </c>
      <c r="D1959" s="8" t="inlineStr">
        <is>
          <t>Senior Manager, Solutions Engineering</t>
        </is>
      </c>
      <c r="E1959" s="7" t="inlineStr">
        <is>
          <t>Cloudflare</t>
        </is>
      </c>
      <c r="F1959" s="8" t="inlineStr">
        <is>
          <t>Distributed</t>
        </is>
      </c>
      <c r="G1959" s="8" t="n"/>
      <c r="H1959" s="14" t="n"/>
      <c r="I1959" s="15">
        <f>IF($H1959="","",$H1959-TODAY())</f>
        <v/>
      </c>
      <c r="J1959" s="16" t="inlineStr">
        <is>
          <t>Open posting</t>
        </is>
      </c>
      <c r="K1959" s="8" t="inlineStr">
        <is>
          <t>filtered by keyword pre-scan</t>
        </is>
      </c>
      <c r="L1959" s="17" t="inlineStr">
        <is>
          <t>new</t>
        </is>
      </c>
      <c r="M1959" s="18" t="inlineStr"/>
      <c r="N1959" s="7" t="inlineStr">
        <is>
          <t>9ba27946b6361db8e3f9d736221f59532c03039e</t>
        </is>
      </c>
      <c r="O1959" s="14" t="n">
        <v>46171</v>
      </c>
      <c r="P1959" s="7" t="inlineStr">
        <is>
          <t>greenhouse:cloudflare</t>
        </is>
      </c>
      <c r="Q1959" s="8" t="inlineStr"/>
      <c r="R1959" s="8" t="n"/>
      <c r="S1959" s="19" t="n"/>
      <c r="T1959" s="19" t="n"/>
      <c r="U1959" s="14" t="n">
        <v>46191</v>
      </c>
      <c r="V1959" s="7" t="inlineStr">
        <is>
          <t>v2-cv-accuracy-13b988b18da8ea7d</t>
        </is>
      </c>
    </row>
    <row r="1960" ht="28" customHeight="1">
      <c r="A1960" s="12">
        <f>IF($L1960="applied","Applied",IF($L1960="interview","Interview",IF($L1960="offer","Offer",IF($L1960="rejected","Rejected",IF($L1960="ignore","Ignore",IF($L1960="archive","Archive",IF($L1960="closed","Closed",IF($B1960="","Unscored",IF(AND($B1960&gt;=8,OR($H1960="",$H1960-TODAY()&lt;=14)),"P1 Apply",IF($B1960&gt;=7,"P2 Strong",IF($B1960&gt;=5,"P3 Maybe","P4 Low")))))))))))</f>
        <v/>
      </c>
      <c r="B1960" s="13" t="n">
        <v>0</v>
      </c>
      <c r="C1960" s="12" t="inlineStr">
        <is>
          <t>Senior/Lead</t>
        </is>
      </c>
      <c r="D1960" s="8" t="inlineStr">
        <is>
          <t>Senior OIC and OPA Developer</t>
        </is>
      </c>
      <c r="E1960" s="7" t="inlineStr">
        <is>
          <t>Cloudflare</t>
        </is>
      </c>
      <c r="F1960" s="8" t="inlineStr">
        <is>
          <t>In-Office</t>
        </is>
      </c>
      <c r="G1960" s="8" t="n"/>
      <c r="H1960" s="14" t="n"/>
      <c r="I1960" s="15">
        <f>IF($H1960="","",$H1960-TODAY())</f>
        <v/>
      </c>
      <c r="J1960" s="16" t="inlineStr">
        <is>
          <t>Open posting</t>
        </is>
      </c>
      <c r="K1960" s="8" t="inlineStr">
        <is>
          <t>filtered by keyword pre-scan</t>
        </is>
      </c>
      <c r="L1960" s="17" t="inlineStr">
        <is>
          <t>new</t>
        </is>
      </c>
      <c r="M1960" s="18" t="inlineStr"/>
      <c r="N1960" s="7" t="inlineStr">
        <is>
          <t>0395291d3f3b417730e3e81f118203de16536a17</t>
        </is>
      </c>
      <c r="O1960" s="14" t="n">
        <v>46171</v>
      </c>
      <c r="P1960" s="7" t="inlineStr">
        <is>
          <t>greenhouse:cloudflare</t>
        </is>
      </c>
      <c r="Q1960" s="8" t="inlineStr"/>
      <c r="R1960" s="8" t="n"/>
      <c r="S1960" s="19" t="n"/>
      <c r="T1960" s="19" t="n"/>
      <c r="U1960" s="14" t="n">
        <v>46191</v>
      </c>
      <c r="V1960" s="7" t="inlineStr">
        <is>
          <t>v2-cv-accuracy-13b988b18da8ea7d</t>
        </is>
      </c>
    </row>
    <row r="1961" ht="28" customHeight="1">
      <c r="A1961" s="12">
        <f>IF($L1961="applied","Applied",IF($L1961="interview","Interview",IF($L1961="offer","Offer",IF($L1961="rejected","Rejected",IF($L1961="ignore","Ignore",IF($L1961="archive","Archive",IF($L1961="closed","Closed",IF($B1961="","Unscored",IF(AND($B1961&gt;=8,OR($H1961="",$H1961-TODAY()&lt;=14)),"P1 Apply",IF($B1961&gt;=7,"P2 Strong",IF($B1961&gt;=5,"P3 Maybe","P4 Low")))))))))))</f>
        <v/>
      </c>
      <c r="B1961" s="13" t="n">
        <v>0</v>
      </c>
      <c r="C1961" s="12" t="inlineStr">
        <is>
          <t>Senior/Lead</t>
        </is>
      </c>
      <c r="D1961" s="8" t="inlineStr">
        <is>
          <t>Senior Oracle Fusion Developer</t>
        </is>
      </c>
      <c r="E1961" s="7" t="inlineStr">
        <is>
          <t>Cloudflare</t>
        </is>
      </c>
      <c r="F1961" s="8" t="inlineStr">
        <is>
          <t>In-Office</t>
        </is>
      </c>
      <c r="G1961" s="8" t="n"/>
      <c r="H1961" s="14" t="n"/>
      <c r="I1961" s="15">
        <f>IF($H1961="","",$H1961-TODAY())</f>
        <v/>
      </c>
      <c r="J1961" s="16" t="inlineStr">
        <is>
          <t>Open posting</t>
        </is>
      </c>
      <c r="K1961" s="8" t="inlineStr">
        <is>
          <t>filtered by keyword pre-scan</t>
        </is>
      </c>
      <c r="L1961" s="17" t="inlineStr">
        <is>
          <t>new</t>
        </is>
      </c>
      <c r="M1961" s="18" t="inlineStr"/>
      <c r="N1961" s="7" t="inlineStr">
        <is>
          <t>79c862fa9086d18e850c8541d1cb3e93e5f40532</t>
        </is>
      </c>
      <c r="O1961" s="14" t="n">
        <v>46176</v>
      </c>
      <c r="P1961" s="7" t="inlineStr">
        <is>
          <t>greenhouse:cloudflare</t>
        </is>
      </c>
      <c r="Q1961" s="8" t="inlineStr"/>
      <c r="R1961" s="8" t="n"/>
      <c r="S1961" s="19" t="n"/>
      <c r="T1961" s="19" t="n"/>
      <c r="U1961" s="14" t="n">
        <v>46191</v>
      </c>
      <c r="V1961" s="7" t="inlineStr">
        <is>
          <t>v2-cv-accuracy-13b988b18da8ea7d</t>
        </is>
      </c>
    </row>
    <row r="1962" ht="28" customHeight="1">
      <c r="A1962" s="12">
        <f>IF($L1962="applied","Applied",IF($L1962="interview","Interview",IF($L1962="offer","Offer",IF($L1962="rejected","Rejected",IF($L1962="ignore","Ignore",IF($L1962="archive","Archive",IF($L1962="closed","Closed",IF($B1962="","Unscored",IF(AND($B1962&gt;=8,OR($H1962="",$H1962-TODAY()&lt;=14)),"P1 Apply",IF($B1962&gt;=7,"P2 Strong",IF($B1962&gt;=5,"P3 Maybe","P4 Low")))))))))))</f>
        <v/>
      </c>
      <c r="B1962" s="13" t="n">
        <v>0</v>
      </c>
      <c r="C1962" s="12" t="inlineStr">
        <is>
          <t>Senior/Lead</t>
        </is>
      </c>
      <c r="D1962" s="8" t="inlineStr">
        <is>
          <t>Senior Recruiter (Go To Market)</t>
        </is>
      </c>
      <c r="E1962" s="7" t="inlineStr">
        <is>
          <t>Cloudflare</t>
        </is>
      </c>
      <c r="F1962" s="8" t="inlineStr">
        <is>
          <t>Hybrid</t>
        </is>
      </c>
      <c r="G1962" s="8" t="n"/>
      <c r="H1962" s="14" t="n"/>
      <c r="I1962" s="15">
        <f>IF($H1962="","",$H1962-TODAY())</f>
        <v/>
      </c>
      <c r="J1962" s="16" t="inlineStr">
        <is>
          <t>Open posting</t>
        </is>
      </c>
      <c r="K1962" s="8" t="inlineStr">
        <is>
          <t>filtered by keyword pre-scan</t>
        </is>
      </c>
      <c r="L1962" s="17" t="inlineStr">
        <is>
          <t>new</t>
        </is>
      </c>
      <c r="M1962" s="18" t="inlineStr"/>
      <c r="N1962" s="7" t="inlineStr">
        <is>
          <t>8679afed0830efaadb1941e2a21d677281b306bd</t>
        </is>
      </c>
      <c r="O1962" s="14" t="n">
        <v>46181</v>
      </c>
      <c r="P1962" s="7" t="inlineStr">
        <is>
          <t>greenhouse:cloudflare</t>
        </is>
      </c>
      <c r="Q1962" s="8" t="inlineStr"/>
      <c r="R1962" s="8" t="n"/>
      <c r="S1962" s="19" t="n"/>
      <c r="T1962" s="19" t="n"/>
      <c r="U1962" s="14" t="n">
        <v>46191</v>
      </c>
      <c r="V1962" s="7" t="inlineStr">
        <is>
          <t>v2-cv-accuracy-13b988b18da8ea7d</t>
        </is>
      </c>
    </row>
    <row r="1963" ht="28" customHeight="1">
      <c r="A1963" s="12">
        <f>IF($L1963="applied","Applied",IF($L1963="interview","Interview",IF($L1963="offer","Offer",IF($L1963="rejected","Rejected",IF($L1963="ignore","Ignore",IF($L1963="archive","Archive",IF($L1963="closed","Closed",IF($B1963="","Unscored",IF(AND($B1963&gt;=8,OR($H1963="",$H1963-TODAY()&lt;=14)),"P1 Apply",IF($B1963&gt;=7,"P2 Strong",IF($B1963&gt;=5,"P3 Maybe","P4 Low")))))))))))</f>
        <v/>
      </c>
      <c r="B1963" s="13" t="n">
        <v>0</v>
      </c>
      <c r="C1963" s="12" t="inlineStr">
        <is>
          <t>Senior/Lead</t>
        </is>
      </c>
      <c r="D1963" s="8" t="inlineStr">
        <is>
          <t>Senior SASE Specialist, Enterprise (Central or East)</t>
        </is>
      </c>
      <c r="E1963" s="7" t="inlineStr">
        <is>
          <t>Cloudflare</t>
        </is>
      </c>
      <c r="F1963" s="8" t="inlineStr">
        <is>
          <t>Hybrid</t>
        </is>
      </c>
      <c r="G1963" s="8" t="n"/>
      <c r="H1963" s="14" t="n"/>
      <c r="I1963" s="15">
        <f>IF($H1963="","",$H1963-TODAY())</f>
        <v/>
      </c>
      <c r="J1963" s="16" t="inlineStr">
        <is>
          <t>Open posting</t>
        </is>
      </c>
      <c r="K1963" s="8" t="inlineStr">
        <is>
          <t>filtered by keyword pre-scan</t>
        </is>
      </c>
      <c r="L1963" s="17" t="inlineStr">
        <is>
          <t>new</t>
        </is>
      </c>
      <c r="M1963" s="18" t="inlineStr"/>
      <c r="N1963" s="7" t="inlineStr">
        <is>
          <t>2cf362d352780cc475fd8c79cb86e516b5be7222</t>
        </is>
      </c>
      <c r="O1963" s="14" t="n">
        <v>46188</v>
      </c>
      <c r="P1963" s="7" t="inlineStr">
        <is>
          <t>greenhouse:cloudflare</t>
        </is>
      </c>
      <c r="Q1963" s="8" t="inlineStr"/>
      <c r="R1963" s="8" t="n"/>
      <c r="S1963" s="19" t="n"/>
      <c r="T1963" s="19" t="n"/>
      <c r="U1963" s="14" t="n">
        <v>46191</v>
      </c>
      <c r="V1963" s="7" t="inlineStr">
        <is>
          <t>v2-cv-accuracy-13b988b18da8ea7d</t>
        </is>
      </c>
    </row>
    <row r="1964" ht="28" customHeight="1">
      <c r="A1964" s="12">
        <f>IF($L1964="applied","Applied",IF($L1964="interview","Interview",IF($L1964="offer","Offer",IF($L1964="rejected","Rejected",IF($L1964="ignore","Ignore",IF($L1964="archive","Archive",IF($L1964="closed","Closed",IF($B1964="","Unscored",IF(AND($B1964&gt;=8,OR($H1964="",$H1964-TODAY()&lt;=14)),"P1 Apply",IF($B1964&gt;=7,"P2 Strong",IF($B1964&gt;=5,"P3 Maybe","P4 Low")))))))))))</f>
        <v/>
      </c>
      <c r="B1964" s="13" t="n">
        <v>0</v>
      </c>
      <c r="C1964" s="12" t="inlineStr">
        <is>
          <t>Senior/Lead</t>
        </is>
      </c>
      <c r="D1964" s="8" t="inlineStr">
        <is>
          <t>Senior SASE Specialist, Enterprise (Central or East)</t>
        </is>
      </c>
      <c r="E1964" s="7" t="inlineStr">
        <is>
          <t>Cloudflare</t>
        </is>
      </c>
      <c r="F1964" s="8" t="inlineStr">
        <is>
          <t>Hybrid</t>
        </is>
      </c>
      <c r="G1964" s="8" t="n"/>
      <c r="H1964" s="14" t="n"/>
      <c r="I1964" s="15">
        <f>IF($H1964="","",$H1964-TODAY())</f>
        <v/>
      </c>
      <c r="J1964" s="16" t="inlineStr">
        <is>
          <t>Open posting</t>
        </is>
      </c>
      <c r="K1964" s="8" t="inlineStr">
        <is>
          <t>filtered by keyword pre-scan</t>
        </is>
      </c>
      <c r="L1964" s="17" t="inlineStr">
        <is>
          <t>new</t>
        </is>
      </c>
      <c r="M1964" s="18" t="inlineStr"/>
      <c r="N1964" s="7" t="inlineStr">
        <is>
          <t>c5551d69b97a2e1247cf7bdde988b10feeea0424</t>
        </is>
      </c>
      <c r="O1964" s="14" t="n">
        <v>46188</v>
      </c>
      <c r="P1964" s="7" t="inlineStr">
        <is>
          <t>greenhouse:cloudflare</t>
        </is>
      </c>
      <c r="Q1964" s="8" t="inlineStr"/>
      <c r="R1964" s="8" t="n"/>
      <c r="S1964" s="19" t="n"/>
      <c r="T1964" s="19" t="n"/>
      <c r="U1964" s="14" t="n">
        <v>46191</v>
      </c>
      <c r="V1964" s="7" t="inlineStr">
        <is>
          <t>v2-cv-accuracy-13b988b18da8ea7d</t>
        </is>
      </c>
    </row>
    <row r="1965" ht="28" customHeight="1">
      <c r="A1965" s="12">
        <f>IF($L1965="applied","Applied",IF($L1965="interview","Interview",IF($L1965="offer","Offer",IF($L1965="rejected","Rejected",IF($L1965="ignore","Ignore",IF($L1965="archive","Archive",IF($L1965="closed","Closed",IF($B1965="","Unscored",IF(AND($B1965&gt;=8,OR($H1965="",$H1965-TODAY()&lt;=14)),"P1 Apply",IF($B1965&gt;=7,"P2 Strong",IF($B1965&gt;=5,"P3 Maybe","P4 Low")))))))))))</f>
        <v/>
      </c>
      <c r="B1965" s="13" t="n">
        <v>0</v>
      </c>
      <c r="C1965" s="12" t="inlineStr">
        <is>
          <t>Senior/Lead</t>
        </is>
      </c>
      <c r="D1965" s="8" t="inlineStr">
        <is>
          <t>Senior SASE Specialist, Enterprise (West)</t>
        </is>
      </c>
      <c r="E1965" s="7" t="inlineStr">
        <is>
          <t>Cloudflare</t>
        </is>
      </c>
      <c r="F1965" s="8" t="inlineStr">
        <is>
          <t>Hybrid</t>
        </is>
      </c>
      <c r="G1965" s="8" t="n"/>
      <c r="H1965" s="14" t="n"/>
      <c r="I1965" s="15">
        <f>IF($H1965="","",$H1965-TODAY())</f>
        <v/>
      </c>
      <c r="J1965" s="16" t="inlineStr">
        <is>
          <t>Open posting</t>
        </is>
      </c>
      <c r="K1965" s="8" t="inlineStr">
        <is>
          <t>filtered by keyword pre-scan</t>
        </is>
      </c>
      <c r="L1965" s="17" t="inlineStr">
        <is>
          <t>new</t>
        </is>
      </c>
      <c r="M1965" s="18" t="inlineStr"/>
      <c r="N1965" s="7" t="inlineStr">
        <is>
          <t>b75679f40bc28c8878bdd798788c3966892889c6</t>
        </is>
      </c>
      <c r="O1965" s="14" t="n">
        <v>46188</v>
      </c>
      <c r="P1965" s="7" t="inlineStr">
        <is>
          <t>greenhouse:cloudflare</t>
        </is>
      </c>
      <c r="Q1965" s="8" t="inlineStr"/>
      <c r="R1965" s="8" t="n"/>
      <c r="S1965" s="19" t="n"/>
      <c r="T1965" s="19" t="n"/>
      <c r="U1965" s="14" t="n">
        <v>46191</v>
      </c>
      <c r="V1965" s="7" t="inlineStr">
        <is>
          <t>v2-cv-accuracy-13b988b18da8ea7d</t>
        </is>
      </c>
    </row>
    <row r="1966" ht="28" customHeight="1">
      <c r="A1966" s="12">
        <f>IF($L1966="applied","Applied",IF($L1966="interview","Interview",IF($L1966="offer","Offer",IF($L1966="rejected","Rejected",IF($L1966="ignore","Ignore",IF($L1966="archive","Archive",IF($L1966="closed","Closed",IF($B1966="","Unscored",IF(AND($B1966&gt;=8,OR($H1966="",$H1966-TODAY()&lt;=14)),"P1 Apply",IF($B1966&gt;=7,"P2 Strong",IF($B1966&gt;=5,"P3 Maybe","P4 Low")))))))))))</f>
        <v/>
      </c>
      <c r="B1966" s="13" t="n">
        <v>0</v>
      </c>
      <c r="C1966" s="12" t="inlineStr">
        <is>
          <t>Senior/Lead</t>
        </is>
      </c>
      <c r="D1966" s="8" t="inlineStr">
        <is>
          <t>Senior SCM Functional Specialist</t>
        </is>
      </c>
      <c r="E1966" s="7" t="inlineStr">
        <is>
          <t>Cloudflare</t>
        </is>
      </c>
      <c r="F1966" s="8" t="inlineStr">
        <is>
          <t>In-Office</t>
        </is>
      </c>
      <c r="G1966" s="8" t="n"/>
      <c r="H1966" s="14" t="n"/>
      <c r="I1966" s="15">
        <f>IF($H1966="","",$H1966-TODAY())</f>
        <v/>
      </c>
      <c r="J1966" s="16" t="inlineStr">
        <is>
          <t>Open posting</t>
        </is>
      </c>
      <c r="K1966" s="8" t="inlineStr">
        <is>
          <t>filtered by keyword pre-scan</t>
        </is>
      </c>
      <c r="L1966" s="17" t="inlineStr">
        <is>
          <t>new</t>
        </is>
      </c>
      <c r="M1966" s="18" t="inlineStr"/>
      <c r="N1966" s="7" t="inlineStr">
        <is>
          <t>c56abf37e738af6196f0a1bc1db9f34356160f8e</t>
        </is>
      </c>
      <c r="O1966" s="14" t="n">
        <v>46171</v>
      </c>
      <c r="P1966" s="7" t="inlineStr">
        <is>
          <t>greenhouse:cloudflare</t>
        </is>
      </c>
      <c r="Q1966" s="8" t="inlineStr"/>
      <c r="R1966" s="8" t="n"/>
      <c r="S1966" s="19" t="n"/>
      <c r="T1966" s="19" t="n"/>
      <c r="U1966" s="14" t="n">
        <v>46191</v>
      </c>
      <c r="V1966" s="7" t="inlineStr">
        <is>
          <t>v2-cv-accuracy-13b988b18da8ea7d</t>
        </is>
      </c>
    </row>
    <row r="1967" ht="28" customHeight="1">
      <c r="A1967" s="12">
        <f>IF($L1967="applied","Applied",IF($L1967="interview","Interview",IF($L1967="offer","Offer",IF($L1967="rejected","Rejected",IF($L1967="ignore","Ignore",IF($L1967="archive","Archive",IF($L1967="closed","Closed",IF($B1967="","Unscored",IF(AND($B1967&gt;=8,OR($H1967="",$H1967-TODAY()&lt;=14)),"P1 Apply",IF($B1967&gt;=7,"P2 Strong",IF($B1967&gt;=5,"P3 Maybe","P4 Low")))))))))))</f>
        <v/>
      </c>
      <c r="B1967" s="13" t="n">
        <v>0</v>
      </c>
      <c r="C1967" s="12" t="inlineStr">
        <is>
          <t>Senior/Lead</t>
        </is>
      </c>
      <c r="D1967" s="8" t="inlineStr">
        <is>
          <t>Senior Software Engineer - Egress</t>
        </is>
      </c>
      <c r="E1967" s="7" t="inlineStr">
        <is>
          <t>Cloudflare</t>
        </is>
      </c>
      <c r="F1967" s="8" t="inlineStr">
        <is>
          <t>Hybrid</t>
        </is>
      </c>
      <c r="G1967" s="8" t="n"/>
      <c r="H1967" s="14" t="n"/>
      <c r="I1967" s="15">
        <f>IF($H1967="","",$H1967-TODAY())</f>
        <v/>
      </c>
      <c r="J1967" s="16" t="inlineStr">
        <is>
          <t>Open posting</t>
        </is>
      </c>
      <c r="K1967" s="8" t="inlineStr">
        <is>
          <t>filtered by keyword pre-scan</t>
        </is>
      </c>
      <c r="L1967" s="17" t="inlineStr">
        <is>
          <t>new</t>
        </is>
      </c>
      <c r="M1967" s="18" t="inlineStr"/>
      <c r="N1967" s="7" t="inlineStr">
        <is>
          <t>7b78fba0371177566884500ad7ca14a7d0554a94</t>
        </is>
      </c>
      <c r="O1967" s="14" t="n">
        <v>46176</v>
      </c>
      <c r="P1967" s="7" t="inlineStr">
        <is>
          <t>greenhouse:cloudflare</t>
        </is>
      </c>
      <c r="Q1967" s="8" t="inlineStr">
        <is>
          <t>sql, software development</t>
        </is>
      </c>
      <c r="R1967" s="8" t="n"/>
      <c r="S1967" s="19" t="n"/>
      <c r="T1967" s="19" t="n"/>
      <c r="U1967" s="14" t="n">
        <v>46191</v>
      </c>
      <c r="V1967" s="7" t="inlineStr">
        <is>
          <t>v2-cv-accuracy-13b988b18da8ea7d</t>
        </is>
      </c>
    </row>
    <row r="1968" ht="28" customHeight="1">
      <c r="A1968" s="12">
        <f>IF($L1968="applied","Applied",IF($L1968="interview","Interview",IF($L1968="offer","Offer",IF($L1968="rejected","Rejected",IF($L1968="ignore","Ignore",IF($L1968="archive","Archive",IF($L1968="closed","Closed",IF($B1968="","Unscored",IF(AND($B1968&gt;=8,OR($H1968="",$H1968-TODAY()&lt;=14)),"P1 Apply",IF($B1968&gt;=7,"P2 Strong",IF($B1968&gt;=5,"P3 Maybe","P4 Low")))))))))))</f>
        <v/>
      </c>
      <c r="B1968" s="13" t="n">
        <v>0</v>
      </c>
      <c r="C1968" s="12" t="inlineStr">
        <is>
          <t>Senior/Lead</t>
        </is>
      </c>
      <c r="D1968" s="8" t="inlineStr">
        <is>
          <t>Senior Software Engineer - Network Connectivity</t>
        </is>
      </c>
      <c r="E1968" s="7" t="inlineStr">
        <is>
          <t>Cloudflare</t>
        </is>
      </c>
      <c r="F1968" s="8" t="inlineStr">
        <is>
          <t>Hybrid</t>
        </is>
      </c>
      <c r="G1968" s="8" t="n"/>
      <c r="H1968" s="14" t="n"/>
      <c r="I1968" s="15">
        <f>IF($H1968="","",$H1968-TODAY())</f>
        <v/>
      </c>
      <c r="J1968" s="16" t="inlineStr">
        <is>
          <t>Open posting</t>
        </is>
      </c>
      <c r="K1968" s="8" t="inlineStr">
        <is>
          <t>filtered by keyword pre-scan</t>
        </is>
      </c>
      <c r="L1968" s="17" t="inlineStr">
        <is>
          <t>new</t>
        </is>
      </c>
      <c r="M1968" s="18" t="inlineStr"/>
      <c r="N1968" s="7" t="inlineStr">
        <is>
          <t>2537a3f058b7d219377fdb642d8b0ce3c3130c4a</t>
        </is>
      </c>
      <c r="O1968" s="14" t="n">
        <v>46176</v>
      </c>
      <c r="P1968" s="7" t="inlineStr">
        <is>
          <t>greenhouse:cloudflare</t>
        </is>
      </c>
      <c r="Q1968" s="8" t="inlineStr">
        <is>
          <t>sql, software development</t>
        </is>
      </c>
      <c r="R1968" s="8" t="n"/>
      <c r="S1968" s="19" t="n"/>
      <c r="T1968" s="19" t="n"/>
      <c r="U1968" s="14" t="n">
        <v>46191</v>
      </c>
      <c r="V1968" s="7" t="inlineStr">
        <is>
          <t>v2-cv-accuracy-13b988b18da8ea7d</t>
        </is>
      </c>
    </row>
    <row r="1969" ht="28" customHeight="1">
      <c r="A1969" s="12">
        <f>IF($L1969="applied","Applied",IF($L1969="interview","Interview",IF($L1969="offer","Offer",IF($L1969="rejected","Rejected",IF($L1969="ignore","Ignore",IF($L1969="archive","Archive",IF($L1969="closed","Closed",IF($B1969="","Unscored",IF(AND($B1969&gt;=8,OR($H1969="",$H1969-TODAY()&lt;=14)),"P1 Apply",IF($B1969&gt;=7,"P2 Strong",IF($B1969&gt;=5,"P3 Maybe","P4 Low")))))))))))</f>
        <v/>
      </c>
      <c r="B1969" s="13" t="n">
        <v>0</v>
      </c>
      <c r="C1969" s="12" t="inlineStr">
        <is>
          <t>Senior/Lead</t>
        </is>
      </c>
      <c r="D1969" s="8" t="inlineStr">
        <is>
          <t>Senior Software Engineer, R2 Metadata</t>
        </is>
      </c>
      <c r="E1969" s="7" t="inlineStr">
        <is>
          <t>Cloudflare</t>
        </is>
      </c>
      <c r="F1969" s="8" t="inlineStr">
        <is>
          <t>Hybrid</t>
        </is>
      </c>
      <c r="G1969" s="8" t="n"/>
      <c r="H1969" s="14" t="n"/>
      <c r="I1969" s="15">
        <f>IF($H1969="","",$H1969-TODAY())</f>
        <v/>
      </c>
      <c r="J1969" s="16" t="inlineStr">
        <is>
          <t>Open posting</t>
        </is>
      </c>
      <c r="K1969" s="8" t="inlineStr">
        <is>
          <t>filtered by keyword pre-scan</t>
        </is>
      </c>
      <c r="L1969" s="17" t="inlineStr">
        <is>
          <t>new</t>
        </is>
      </c>
      <c r="M1969" s="18" t="inlineStr"/>
      <c r="N1969" s="7" t="inlineStr">
        <is>
          <t>670c745d1d4ab17b6b6d17cd37907a261294b55c</t>
        </is>
      </c>
      <c r="O1969" s="14" t="n">
        <v>46183</v>
      </c>
      <c r="P1969" s="7" t="inlineStr">
        <is>
          <t>greenhouse:cloudflare</t>
        </is>
      </c>
      <c r="Q1969" s="8" t="inlineStr">
        <is>
          <t>sql</t>
        </is>
      </c>
      <c r="R1969" s="8" t="n"/>
      <c r="S1969" s="19" t="n"/>
      <c r="T1969" s="19" t="n"/>
      <c r="U1969" s="14" t="n">
        <v>46191</v>
      </c>
      <c r="V1969" s="7" t="inlineStr">
        <is>
          <t>v2-cv-accuracy-13b988b18da8ea7d</t>
        </is>
      </c>
    </row>
    <row r="1970" ht="28" customHeight="1">
      <c r="A1970" s="12">
        <f>IF($L1970="applied","Applied",IF($L1970="interview","Interview",IF($L1970="offer","Offer",IF($L1970="rejected","Rejected",IF($L1970="ignore","Ignore",IF($L1970="archive","Archive",IF($L1970="closed","Closed",IF($B1970="","Unscored",IF(AND($B1970&gt;=8,OR($H1970="",$H1970-TODAY()&lt;=14)),"P1 Apply",IF($B1970&gt;=7,"P2 Strong",IF($B1970&gt;=5,"P3 Maybe","P4 Low")))))))))))</f>
        <v/>
      </c>
      <c r="B1970" s="13" t="n">
        <v>0</v>
      </c>
      <c r="C1970" s="12" t="inlineStr">
        <is>
          <t>Senior/Lead</t>
        </is>
      </c>
      <c r="D1970" s="8" t="inlineStr">
        <is>
          <t>Senior Solution Engineer - Mid Market - San Francisco</t>
        </is>
      </c>
      <c r="E1970" s="7" t="inlineStr">
        <is>
          <t>Cloudflare</t>
        </is>
      </c>
      <c r="F1970" s="8" t="inlineStr">
        <is>
          <t>Hybrid</t>
        </is>
      </c>
      <c r="G1970" s="8" t="n"/>
      <c r="H1970" s="14" t="n"/>
      <c r="I1970" s="15">
        <f>IF($H1970="","",$H1970-TODAY())</f>
        <v/>
      </c>
      <c r="J1970" s="16" t="inlineStr">
        <is>
          <t>Open posting</t>
        </is>
      </c>
      <c r="K1970" s="8" t="inlineStr">
        <is>
          <t>filtered by keyword pre-scan</t>
        </is>
      </c>
      <c r="L1970" s="17" t="inlineStr">
        <is>
          <t>new</t>
        </is>
      </c>
      <c r="M1970" s="18" t="inlineStr"/>
      <c r="N1970" s="7" t="inlineStr">
        <is>
          <t>e06fa7c0c80be33052dcf386a97822e36472d497</t>
        </is>
      </c>
      <c r="O1970" s="14" t="n">
        <v>46171</v>
      </c>
      <c r="P1970" s="7" t="inlineStr">
        <is>
          <t>greenhouse:cloudflare</t>
        </is>
      </c>
      <c r="Q1970" s="8" t="inlineStr">
        <is>
          <t>git</t>
        </is>
      </c>
      <c r="R1970" s="8" t="n"/>
      <c r="S1970" s="19" t="n"/>
      <c r="T1970" s="19" t="n"/>
      <c r="U1970" s="14" t="n">
        <v>46191</v>
      </c>
      <c r="V1970" s="7" t="inlineStr">
        <is>
          <t>v2-cv-accuracy-13b988b18da8ea7d</t>
        </is>
      </c>
    </row>
    <row r="1971" ht="28" customHeight="1">
      <c r="A1971" s="12">
        <f>IF($L1971="applied","Applied",IF($L1971="interview","Interview",IF($L1971="offer","Offer",IF($L1971="rejected","Rejected",IF($L1971="ignore","Ignore",IF($L1971="archive","Archive",IF($L1971="closed","Closed",IF($B1971="","Unscored",IF(AND($B1971&gt;=8,OR($H1971="",$H1971-TODAY()&lt;=14)),"P1 Apply",IF($B1971&gt;=7,"P2 Strong",IF($B1971&gt;=5,"P3 Maybe","P4 Low")))))))))))</f>
        <v/>
      </c>
      <c r="B1971" s="13" t="n">
        <v>0</v>
      </c>
      <c r="C1971" s="12" t="inlineStr">
        <is>
          <t>Senior/Lead</t>
        </is>
      </c>
      <c r="D1971" s="8" t="inlineStr">
        <is>
          <t>Senior Solutions Engineer - Arizona</t>
        </is>
      </c>
      <c r="E1971" s="7" t="inlineStr">
        <is>
          <t>Cloudflare</t>
        </is>
      </c>
      <c r="F1971" s="8" t="inlineStr">
        <is>
          <t>Distributed</t>
        </is>
      </c>
      <c r="G1971" s="8" t="n"/>
      <c r="H1971" s="14" t="n"/>
      <c r="I1971" s="15">
        <f>IF($H1971="","",$H1971-TODAY())</f>
        <v/>
      </c>
      <c r="J1971" s="16" t="inlineStr">
        <is>
          <t>Open posting</t>
        </is>
      </c>
      <c r="K1971" s="8" t="inlineStr">
        <is>
          <t>filtered by keyword pre-scan</t>
        </is>
      </c>
      <c r="L1971" s="17" t="inlineStr">
        <is>
          <t>new</t>
        </is>
      </c>
      <c r="M1971" s="18" t="inlineStr"/>
      <c r="N1971" s="7" t="inlineStr">
        <is>
          <t>d37adbdde337611e82a20f09c4de9ffe5422292d</t>
        </is>
      </c>
      <c r="O1971" s="14" t="n">
        <v>46184</v>
      </c>
      <c r="P1971" s="7" t="inlineStr">
        <is>
          <t>greenhouse:cloudflare</t>
        </is>
      </c>
      <c r="Q1971" s="8" t="inlineStr"/>
      <c r="R1971" s="8" t="n"/>
      <c r="S1971" s="19" t="n"/>
      <c r="T1971" s="19" t="n"/>
      <c r="U1971" s="14" t="n">
        <v>46191</v>
      </c>
      <c r="V1971" s="7" t="inlineStr">
        <is>
          <t>v2-cv-accuracy-13b988b18da8ea7d</t>
        </is>
      </c>
    </row>
    <row r="1972" ht="28" customHeight="1">
      <c r="A1972" s="12">
        <f>IF($L1972="applied","Applied",IF($L1972="interview","Interview",IF($L1972="offer","Offer",IF($L1972="rejected","Rejected",IF($L1972="ignore","Ignore",IF($L1972="archive","Archive",IF($L1972="closed","Closed",IF($B1972="","Unscored",IF(AND($B1972&gt;=8,OR($H1972="",$H1972-TODAY()&lt;=14)),"P1 Apply",IF($B1972&gt;=7,"P2 Strong",IF($B1972&gt;=5,"P3 Maybe","P4 Low")))))))))))</f>
        <v/>
      </c>
      <c r="B1972" s="13" t="n">
        <v>0</v>
      </c>
      <c r="C1972" s="12" t="inlineStr">
        <is>
          <t>Senior/Lead</t>
        </is>
      </c>
      <c r="D1972" s="8" t="inlineStr">
        <is>
          <t>Senior Solutions Engineer - Brazil (US based)</t>
        </is>
      </c>
      <c r="E1972" s="7" t="inlineStr">
        <is>
          <t>Cloudflare</t>
        </is>
      </c>
      <c r="F1972" s="8" t="inlineStr">
        <is>
          <t>Distributed</t>
        </is>
      </c>
      <c r="G1972" s="8" t="n"/>
      <c r="H1972" s="14" t="n"/>
      <c r="I1972" s="15">
        <f>IF($H1972="","",$H1972-TODAY())</f>
        <v/>
      </c>
      <c r="J1972" s="16" t="inlineStr">
        <is>
          <t>Open posting</t>
        </is>
      </c>
      <c r="K1972" s="8" t="inlineStr">
        <is>
          <t>filtered by keyword pre-scan</t>
        </is>
      </c>
      <c r="L1972" s="17" t="inlineStr">
        <is>
          <t>new</t>
        </is>
      </c>
      <c r="M1972" s="18" t="inlineStr"/>
      <c r="N1972" s="7" t="inlineStr">
        <is>
          <t>69df4d28932de4a9114bc69eba1db6c1d9e0a671</t>
        </is>
      </c>
      <c r="O1972" s="14" t="n">
        <v>46181</v>
      </c>
      <c r="P1972" s="7" t="inlineStr">
        <is>
          <t>greenhouse:cloudflare</t>
        </is>
      </c>
      <c r="Q1972" s="8" t="inlineStr">
        <is>
          <t>software development</t>
        </is>
      </c>
      <c r="R1972" s="8" t="n"/>
      <c r="S1972" s="19" t="n"/>
      <c r="T1972" s="19" t="n"/>
      <c r="U1972" s="14" t="n">
        <v>46191</v>
      </c>
      <c r="V1972" s="7" t="inlineStr">
        <is>
          <t>v2-cv-accuracy-13b988b18da8ea7d</t>
        </is>
      </c>
    </row>
    <row r="1973" ht="28" customHeight="1">
      <c r="A1973" s="12">
        <f>IF($L1973="applied","Applied",IF($L1973="interview","Interview",IF($L1973="offer","Offer",IF($L1973="rejected","Rejected",IF($L1973="ignore","Ignore",IF($L1973="archive","Archive",IF($L1973="closed","Closed",IF($B1973="","Unscored",IF(AND($B1973&gt;=8,OR($H1973="",$H1973-TODAY()&lt;=14)),"P1 Apply",IF($B1973&gt;=7,"P2 Strong",IF($B1973&gt;=5,"P3 Maybe","P4 Low")))))))))))</f>
        <v/>
      </c>
      <c r="B1973" s="13" t="n">
        <v>0</v>
      </c>
      <c r="C1973" s="12" t="inlineStr">
        <is>
          <t>Senior/Lead</t>
        </is>
      </c>
      <c r="D1973" s="8" t="inlineStr">
        <is>
          <t>Senior Solutions Engineer - Calgary</t>
        </is>
      </c>
      <c r="E1973" s="7" t="inlineStr">
        <is>
          <t>Cloudflare</t>
        </is>
      </c>
      <c r="F1973" s="8" t="inlineStr">
        <is>
          <t>Distributed</t>
        </is>
      </c>
      <c r="G1973" s="8" t="n"/>
      <c r="H1973" s="14" t="n"/>
      <c r="I1973" s="15">
        <f>IF($H1973="","",$H1973-TODAY())</f>
        <v/>
      </c>
      <c r="J1973" s="16" t="inlineStr">
        <is>
          <t>Open posting</t>
        </is>
      </c>
      <c r="K1973" s="8" t="inlineStr">
        <is>
          <t>filtered by keyword pre-scan</t>
        </is>
      </c>
      <c r="L1973" s="17" t="inlineStr">
        <is>
          <t>new</t>
        </is>
      </c>
      <c r="M1973" s="18" t="inlineStr"/>
      <c r="N1973" s="7" t="inlineStr">
        <is>
          <t>fd51100f26910f0713ccb15765b02fa6c5511cba</t>
        </is>
      </c>
      <c r="O1973" s="14" t="n">
        <v>46171</v>
      </c>
      <c r="P1973" s="7" t="inlineStr">
        <is>
          <t>greenhouse:cloudflare</t>
        </is>
      </c>
      <c r="Q1973" s="8" t="inlineStr"/>
      <c r="R1973" s="8" t="n"/>
      <c r="S1973" s="19" t="n"/>
      <c r="T1973" s="19" t="n"/>
      <c r="U1973" s="14" t="n">
        <v>46191</v>
      </c>
      <c r="V1973" s="7" t="inlineStr">
        <is>
          <t>v2-cv-accuracy-13b988b18da8ea7d</t>
        </is>
      </c>
    </row>
    <row r="1974" ht="28" customHeight="1">
      <c r="A1974" s="12">
        <f>IF($L1974="applied","Applied",IF($L1974="interview","Interview",IF($L1974="offer","Offer",IF($L1974="rejected","Rejected",IF($L1974="ignore","Ignore",IF($L1974="archive","Archive",IF($L1974="closed","Closed",IF($B1974="","Unscored",IF(AND($B1974&gt;=8,OR($H1974="",$H1974-TODAY()&lt;=14)),"P1 Apply",IF($B1974&gt;=7,"P2 Strong",IF($B1974&gt;=5,"P3 Maybe","P4 Low")))))))))))</f>
        <v/>
      </c>
      <c r="B1974" s="13" t="n">
        <v>0</v>
      </c>
      <c r="C1974" s="12" t="inlineStr">
        <is>
          <t>Senior/Lead</t>
        </is>
      </c>
      <c r="D1974" s="8" t="inlineStr">
        <is>
          <t>Senior Solutions Engineer - Digital Native Enterprise - West</t>
        </is>
      </c>
      <c r="E1974" s="7" t="inlineStr">
        <is>
          <t>Cloudflare</t>
        </is>
      </c>
      <c r="F1974" s="8" t="inlineStr">
        <is>
          <t>Hybrid</t>
        </is>
      </c>
      <c r="G1974" s="8" t="n"/>
      <c r="H1974" s="14" t="n"/>
      <c r="I1974" s="15">
        <f>IF($H1974="","",$H1974-TODAY())</f>
        <v/>
      </c>
      <c r="J1974" s="16" t="inlineStr">
        <is>
          <t>Open posting</t>
        </is>
      </c>
      <c r="K1974" s="8" t="inlineStr">
        <is>
          <t>filtered by keyword pre-scan</t>
        </is>
      </c>
      <c r="L1974" s="17" t="inlineStr">
        <is>
          <t>new</t>
        </is>
      </c>
      <c r="M1974" s="18" t="inlineStr"/>
      <c r="N1974" s="7" t="inlineStr">
        <is>
          <t>b7434c29abc1ee9a5f0c41639cef0eef26fc3d2b</t>
        </is>
      </c>
      <c r="O1974" s="14" t="n">
        <v>46171</v>
      </c>
      <c r="P1974" s="7" t="inlineStr">
        <is>
          <t>greenhouse:cloudflare</t>
        </is>
      </c>
      <c r="Q1974" s="8" t="inlineStr">
        <is>
          <t>git</t>
        </is>
      </c>
      <c r="R1974" s="8" t="n"/>
      <c r="S1974" s="19" t="n"/>
      <c r="T1974" s="19" t="n"/>
      <c r="U1974" s="14" t="n">
        <v>46191</v>
      </c>
      <c r="V1974" s="7" t="inlineStr">
        <is>
          <t>v2-cv-accuracy-13b988b18da8ea7d</t>
        </is>
      </c>
    </row>
    <row r="1975" ht="28" customHeight="1">
      <c r="A1975" s="12">
        <f>IF($L1975="applied","Applied",IF($L1975="interview","Interview",IF($L1975="offer","Offer",IF($L1975="rejected","Rejected",IF($L1975="ignore","Ignore",IF($L1975="archive","Archive",IF($L1975="closed","Closed",IF($B1975="","Unscored",IF(AND($B1975&gt;=8,OR($H1975="",$H1975-TODAY()&lt;=14)),"P1 Apply",IF($B1975&gt;=7,"P2 Strong",IF($B1975&gt;=5,"P3 Maybe","P4 Low")))))))))))</f>
        <v/>
      </c>
      <c r="B1975" s="13" t="n">
        <v>0</v>
      </c>
      <c r="C1975" s="12" t="inlineStr">
        <is>
          <t>Senior/Lead</t>
        </is>
      </c>
      <c r="D1975" s="8" t="inlineStr">
        <is>
          <t>Senior Solutions Engineer, Enterprise Accounts - Charlotte or Raleigh, NC</t>
        </is>
      </c>
      <c r="E1975" s="7" t="inlineStr">
        <is>
          <t>Cloudflare</t>
        </is>
      </c>
      <c r="F1975" s="8" t="inlineStr">
        <is>
          <t>Hybrid</t>
        </is>
      </c>
      <c r="G1975" s="8" t="n"/>
      <c r="H1975" s="14" t="n"/>
      <c r="I1975" s="15">
        <f>IF($H1975="","",$H1975-TODAY())</f>
        <v/>
      </c>
      <c r="J1975" s="16" t="inlineStr">
        <is>
          <t>Open posting</t>
        </is>
      </c>
      <c r="K1975" s="8" t="inlineStr">
        <is>
          <t>filtered by keyword pre-scan</t>
        </is>
      </c>
      <c r="L1975" s="17" t="inlineStr">
        <is>
          <t>new</t>
        </is>
      </c>
      <c r="M1975" s="18" t="inlineStr"/>
      <c r="N1975" s="7" t="inlineStr">
        <is>
          <t>ec1932bf3d35557534fcf8cbaeb03185e29be273</t>
        </is>
      </c>
      <c r="O1975" s="14" t="n">
        <v>46171</v>
      </c>
      <c r="P1975" s="7" t="inlineStr">
        <is>
          <t>greenhouse:cloudflare</t>
        </is>
      </c>
      <c r="Q1975" s="8" t="inlineStr"/>
      <c r="R1975" s="8" t="n"/>
      <c r="S1975" s="19" t="n"/>
      <c r="T1975" s="19" t="n"/>
      <c r="U1975" s="14" t="n">
        <v>46191</v>
      </c>
      <c r="V1975" s="7" t="inlineStr">
        <is>
          <t>v2-cv-accuracy-13b988b18da8ea7d</t>
        </is>
      </c>
    </row>
    <row r="1976" ht="28" customHeight="1">
      <c r="A1976" s="12">
        <f>IF($L1976="applied","Applied",IF($L1976="interview","Interview",IF($L1976="offer","Offer",IF($L1976="rejected","Rejected",IF($L1976="ignore","Ignore",IF($L1976="archive","Archive",IF($L1976="closed","Closed",IF($B1976="","Unscored",IF(AND($B1976&gt;=8,OR($H1976="",$H1976-TODAY()&lt;=14)),"P1 Apply",IF($B1976&gt;=7,"P2 Strong",IF($B1976&gt;=5,"P3 Maybe","P4 Low")))))))))))</f>
        <v/>
      </c>
      <c r="B1976" s="13" t="n">
        <v>0</v>
      </c>
      <c r="C1976" s="12" t="inlineStr">
        <is>
          <t>Senior/Lead</t>
        </is>
      </c>
      <c r="D1976" s="8" t="inlineStr">
        <is>
          <t>Senior Solutions Engineer, Enterprise Accounts - Miami</t>
        </is>
      </c>
      <c r="E1976" s="7" t="inlineStr">
        <is>
          <t>Cloudflare</t>
        </is>
      </c>
      <c r="F1976" s="8" t="inlineStr">
        <is>
          <t>Hybrid</t>
        </is>
      </c>
      <c r="G1976" s="8" t="n"/>
      <c r="H1976" s="14" t="n"/>
      <c r="I1976" s="15">
        <f>IF($H1976="","",$H1976-TODAY())</f>
        <v/>
      </c>
      <c r="J1976" s="16" t="inlineStr">
        <is>
          <t>Open posting</t>
        </is>
      </c>
      <c r="K1976" s="8" t="inlineStr">
        <is>
          <t>filtered by keyword pre-scan</t>
        </is>
      </c>
      <c r="L1976" s="17" t="inlineStr">
        <is>
          <t>new</t>
        </is>
      </c>
      <c r="M1976" s="18" t="inlineStr"/>
      <c r="N1976" s="7" t="inlineStr">
        <is>
          <t>f8222e72ebc29fca298d07ceb0de7277956156f9</t>
        </is>
      </c>
      <c r="O1976" s="14" t="n">
        <v>46171</v>
      </c>
      <c r="P1976" s="7" t="inlineStr">
        <is>
          <t>greenhouse:cloudflare</t>
        </is>
      </c>
      <c r="Q1976" s="8" t="inlineStr"/>
      <c r="R1976" s="8" t="n"/>
      <c r="S1976" s="19" t="n"/>
      <c r="T1976" s="19" t="n"/>
      <c r="U1976" s="14" t="n">
        <v>46191</v>
      </c>
      <c r="V1976" s="7" t="inlineStr">
        <is>
          <t>v2-cv-accuracy-13b988b18da8ea7d</t>
        </is>
      </c>
    </row>
    <row r="1977" ht="28" customHeight="1">
      <c r="A1977" s="12">
        <f>IF($L1977="applied","Applied",IF($L1977="interview","Interview",IF($L1977="offer","Offer",IF($L1977="rejected","Rejected",IF($L1977="ignore","Ignore",IF($L1977="archive","Archive",IF($L1977="closed","Closed",IF($B1977="","Unscored",IF(AND($B1977&gt;=8,OR($H1977="",$H1977-TODAY()&lt;=14)),"P1 Apply",IF($B1977&gt;=7,"P2 Strong",IF($B1977&gt;=5,"P3 Maybe","P4 Low")))))))))))</f>
        <v/>
      </c>
      <c r="B1977" s="13" t="n">
        <v>0</v>
      </c>
      <c r="C1977" s="12" t="inlineStr">
        <is>
          <t>Senior/Lead</t>
        </is>
      </c>
      <c r="D1977" s="8" t="inlineStr">
        <is>
          <t>Senior Solutions Engineer, Enterprise Accounts - NYC</t>
        </is>
      </c>
      <c r="E1977" s="7" t="inlineStr">
        <is>
          <t>Cloudflare</t>
        </is>
      </c>
      <c r="F1977" s="8" t="inlineStr">
        <is>
          <t>Distributed</t>
        </is>
      </c>
      <c r="G1977" s="8" t="n"/>
      <c r="H1977" s="14" t="n"/>
      <c r="I1977" s="15">
        <f>IF($H1977="","",$H1977-TODAY())</f>
        <v/>
      </c>
      <c r="J1977" s="16" t="inlineStr">
        <is>
          <t>Open posting</t>
        </is>
      </c>
      <c r="K1977" s="8" t="inlineStr">
        <is>
          <t>filtered by keyword pre-scan</t>
        </is>
      </c>
      <c r="L1977" s="17" t="inlineStr">
        <is>
          <t>new</t>
        </is>
      </c>
      <c r="M1977" s="18" t="inlineStr"/>
      <c r="N1977" s="7" t="inlineStr">
        <is>
          <t>ebbd3826826ee1d1f1ec6abea918bda371742137</t>
        </is>
      </c>
      <c r="O1977" s="14" t="n">
        <v>46183</v>
      </c>
      <c r="P1977" s="7" t="inlineStr">
        <is>
          <t>greenhouse:cloudflare</t>
        </is>
      </c>
      <c r="Q1977" s="8" t="inlineStr"/>
      <c r="R1977" s="8" t="n"/>
      <c r="S1977" s="19" t="n"/>
      <c r="T1977" s="19" t="n"/>
      <c r="U1977" s="14" t="n">
        <v>46191</v>
      </c>
      <c r="V1977" s="7" t="inlineStr">
        <is>
          <t>v2-cv-accuracy-13b988b18da8ea7d</t>
        </is>
      </c>
    </row>
    <row r="1978" ht="28" customHeight="1">
      <c r="A1978" s="12">
        <f>IF($L1978="applied","Applied",IF($L1978="interview","Interview",IF($L1978="offer","Offer",IF($L1978="rejected","Rejected",IF($L1978="ignore","Ignore",IF($L1978="archive","Archive",IF($L1978="closed","Closed",IF($B1978="","Unscored",IF(AND($B1978&gt;=8,OR($H1978="",$H1978-TODAY()&lt;=14)),"P1 Apply",IF($B1978&gt;=7,"P2 Strong",IF($B1978&gt;=5,"P3 Maybe","P4 Low")))))))))))</f>
        <v/>
      </c>
      <c r="B1978" s="13" t="n">
        <v>0</v>
      </c>
      <c r="C1978" s="12" t="inlineStr">
        <is>
          <t>Senior/Lead</t>
        </is>
      </c>
      <c r="D1978" s="8" t="inlineStr">
        <is>
          <t>Senior Solutions Engineer LATAM-MCR  (Mexico City)</t>
        </is>
      </c>
      <c r="E1978" s="7" t="inlineStr">
        <is>
          <t>Cloudflare</t>
        </is>
      </c>
      <c r="F1978" s="8" t="inlineStr">
        <is>
          <t>Hybrid</t>
        </is>
      </c>
      <c r="G1978" s="8" t="n"/>
      <c r="H1978" s="14" t="n"/>
      <c r="I1978" s="15">
        <f>IF($H1978="","",$H1978-TODAY())</f>
        <v/>
      </c>
      <c r="J1978" s="16" t="inlineStr">
        <is>
          <t>Open posting</t>
        </is>
      </c>
      <c r="K1978" s="8" t="inlineStr">
        <is>
          <t>filtered by keyword pre-scan</t>
        </is>
      </c>
      <c r="L1978" s="17" t="inlineStr">
        <is>
          <t>new</t>
        </is>
      </c>
      <c r="M1978" s="18" t="inlineStr"/>
      <c r="N1978" s="7" t="inlineStr">
        <is>
          <t>682e28ba290860c8851c1a62a820c6080fbc065e</t>
        </is>
      </c>
      <c r="O1978" s="14" t="n">
        <v>46175</v>
      </c>
      <c r="P1978" s="7" t="inlineStr">
        <is>
          <t>greenhouse:cloudflare</t>
        </is>
      </c>
      <c r="Q1978" s="8" t="inlineStr">
        <is>
          <t>software development</t>
        </is>
      </c>
      <c r="R1978" s="8" t="n"/>
      <c r="S1978" s="19" t="n"/>
      <c r="T1978" s="19" t="n"/>
      <c r="U1978" s="14" t="n">
        <v>46191</v>
      </c>
      <c r="V1978" s="7" t="inlineStr">
        <is>
          <t>v2-cv-accuracy-13b988b18da8ea7d</t>
        </is>
      </c>
    </row>
    <row r="1979" ht="28" customHeight="1">
      <c r="A1979" s="12">
        <f>IF($L1979="applied","Applied",IF($L1979="interview","Interview",IF($L1979="offer","Offer",IF($L1979="rejected","Rejected",IF($L1979="ignore","Ignore",IF($L1979="archive","Archive",IF($L1979="closed","Closed",IF($B1979="","Unscored",IF(AND($B1979&gt;=8,OR($H1979="",$H1979-TODAY()&lt;=14)),"P1 Apply",IF($B1979&gt;=7,"P2 Strong",IF($B1979&gt;=5,"P3 Maybe","P4 Low")))))))))))</f>
        <v/>
      </c>
      <c r="B1979" s="13" t="n">
        <v>0</v>
      </c>
      <c r="C1979" s="12" t="inlineStr">
        <is>
          <t>Senior/Lead</t>
        </is>
      </c>
      <c r="D1979" s="8" t="inlineStr">
        <is>
          <t>Senior Solutions Engineer, Majors</t>
        </is>
      </c>
      <c r="E1979" s="7" t="inlineStr">
        <is>
          <t>Cloudflare</t>
        </is>
      </c>
      <c r="F1979" s="8" t="inlineStr">
        <is>
          <t>Distributed</t>
        </is>
      </c>
      <c r="G1979" s="8" t="n"/>
      <c r="H1979" s="14" t="n"/>
      <c r="I1979" s="15">
        <f>IF($H1979="","",$H1979-TODAY())</f>
        <v/>
      </c>
      <c r="J1979" s="16" t="inlineStr">
        <is>
          <t>Open posting</t>
        </is>
      </c>
      <c r="K1979" s="8" t="inlineStr">
        <is>
          <t>filtered by keyword pre-scan</t>
        </is>
      </c>
      <c r="L1979" s="17" t="inlineStr">
        <is>
          <t>new</t>
        </is>
      </c>
      <c r="M1979" s="18" t="inlineStr"/>
      <c r="N1979" s="7" t="inlineStr">
        <is>
          <t>17e36200cac84be167e3f873ac8a52a8f95a9c20</t>
        </is>
      </c>
      <c r="O1979" s="14" t="n">
        <v>46184</v>
      </c>
      <c r="P1979" s="7" t="inlineStr">
        <is>
          <t>greenhouse:cloudflare</t>
        </is>
      </c>
      <c r="Q1979" s="8" t="inlineStr"/>
      <c r="R1979" s="8" t="n"/>
      <c r="S1979" s="19" t="n"/>
      <c r="T1979" s="19" t="n"/>
      <c r="U1979" s="14" t="n">
        <v>46191</v>
      </c>
      <c r="V1979" s="7" t="inlineStr">
        <is>
          <t>v2-cv-accuracy-13b988b18da8ea7d</t>
        </is>
      </c>
    </row>
    <row r="1980" ht="28" customHeight="1">
      <c r="A1980" s="12">
        <f>IF($L1980="applied","Applied",IF($L1980="interview","Interview",IF($L1980="offer","Offer",IF($L1980="rejected","Rejected",IF($L1980="ignore","Ignore",IF($L1980="archive","Archive",IF($L1980="closed","Closed",IF($B1980="","Unscored",IF(AND($B1980&gt;=8,OR($H1980="",$H1980-TODAY()&lt;=14)),"P1 Apply",IF($B1980&gt;=7,"P2 Strong",IF($B1980&gt;=5,"P3 Maybe","P4 Low")))))))))))</f>
        <v/>
      </c>
      <c r="B1980" s="13" t="n">
        <v>0</v>
      </c>
      <c r="C1980" s="12" t="inlineStr">
        <is>
          <t>Senior/Lead</t>
        </is>
      </c>
      <c r="D1980" s="8" t="inlineStr">
        <is>
          <t>Senior Solutions Engineer, Majors - Detroit, MI</t>
        </is>
      </c>
      <c r="E1980" s="7" t="inlineStr">
        <is>
          <t>Cloudflare</t>
        </is>
      </c>
      <c r="F1980" s="8" t="inlineStr">
        <is>
          <t>Distributed</t>
        </is>
      </c>
      <c r="G1980" s="8" t="n"/>
      <c r="H1980" s="14" t="n"/>
      <c r="I1980" s="15">
        <f>IF($H1980="","",$H1980-TODAY())</f>
        <v/>
      </c>
      <c r="J1980" s="16" t="inlineStr">
        <is>
          <t>Open posting</t>
        </is>
      </c>
      <c r="K1980" s="8" t="inlineStr">
        <is>
          <t>filtered by keyword pre-scan</t>
        </is>
      </c>
      <c r="L1980" s="17" t="inlineStr">
        <is>
          <t>new</t>
        </is>
      </c>
      <c r="M1980" s="18" t="inlineStr"/>
      <c r="N1980" s="7" t="inlineStr">
        <is>
          <t>0547871d3ba634fa86e19d943c1e904dff13105b</t>
        </is>
      </c>
      <c r="O1980" s="14" t="n">
        <v>46181</v>
      </c>
      <c r="P1980" s="7" t="inlineStr">
        <is>
          <t>greenhouse:cloudflare</t>
        </is>
      </c>
      <c r="Q1980" s="8" t="inlineStr"/>
      <c r="R1980" s="8" t="n"/>
      <c r="S1980" s="19" t="n"/>
      <c r="T1980" s="19" t="n"/>
      <c r="U1980" s="14" t="n">
        <v>46191</v>
      </c>
      <c r="V1980" s="7" t="inlineStr">
        <is>
          <t>v2-cv-accuracy-13b988b18da8ea7d</t>
        </is>
      </c>
    </row>
    <row r="1981" ht="28" customHeight="1">
      <c r="A1981" s="12">
        <f>IF($L1981="applied","Applied",IF($L1981="interview","Interview",IF($L1981="offer","Offer",IF($L1981="rejected","Rejected",IF($L1981="ignore","Ignore",IF($L1981="archive","Archive",IF($L1981="closed","Closed",IF($B1981="","Unscored",IF(AND($B1981&gt;=8,OR($H1981="",$H1981-TODAY()&lt;=14)),"P1 Apply",IF($B1981&gt;=7,"P2 Strong",IF($B1981&gt;=5,"P3 Maybe","P4 Low")))))))))))</f>
        <v/>
      </c>
      <c r="B1981" s="13" t="n">
        <v>0</v>
      </c>
      <c r="C1981" s="12" t="inlineStr">
        <is>
          <t>Senior/Lead</t>
        </is>
      </c>
      <c r="D1981" s="8" t="inlineStr">
        <is>
          <t>Senior Solutions Engineer, Majors - NYC</t>
        </is>
      </c>
      <c r="E1981" s="7" t="inlineStr">
        <is>
          <t>Cloudflare</t>
        </is>
      </c>
      <c r="F1981" s="8" t="inlineStr">
        <is>
          <t>Distributed</t>
        </is>
      </c>
      <c r="G1981" s="8" t="n"/>
      <c r="H1981" s="14" t="n"/>
      <c r="I1981" s="15">
        <f>IF($H1981="","",$H1981-TODAY())</f>
        <v/>
      </c>
      <c r="J1981" s="16" t="inlineStr">
        <is>
          <t>Open posting</t>
        </is>
      </c>
      <c r="K1981" s="8" t="inlineStr">
        <is>
          <t>filtered by keyword pre-scan</t>
        </is>
      </c>
      <c r="L1981" s="17" t="inlineStr">
        <is>
          <t>new</t>
        </is>
      </c>
      <c r="M1981" s="18" t="inlineStr"/>
      <c r="N1981" s="7" t="inlineStr">
        <is>
          <t>38150bab96afaa5f2b6ca827ee8f0406d75f598e</t>
        </is>
      </c>
      <c r="O1981" s="14" t="n">
        <v>46177</v>
      </c>
      <c r="P1981" s="7" t="inlineStr">
        <is>
          <t>greenhouse:cloudflare</t>
        </is>
      </c>
      <c r="Q1981" s="8" t="inlineStr"/>
      <c r="R1981" s="8" t="n"/>
      <c r="S1981" s="19" t="n"/>
      <c r="T1981" s="19" t="n"/>
      <c r="U1981" s="14" t="n">
        <v>46191</v>
      </c>
      <c r="V1981" s="7" t="inlineStr">
        <is>
          <t>v2-cv-accuracy-13b988b18da8ea7d</t>
        </is>
      </c>
    </row>
    <row r="1982" ht="28" customHeight="1">
      <c r="A1982" s="12">
        <f>IF($L1982="applied","Applied",IF($L1982="interview","Interview",IF($L1982="offer","Offer",IF($L1982="rejected","Rejected",IF($L1982="ignore","Ignore",IF($L1982="archive","Archive",IF($L1982="closed","Closed",IF($B1982="","Unscored",IF(AND($B1982&gt;=8,OR($H1982="",$H1982-TODAY()&lt;=14)),"P1 Apply",IF($B1982&gt;=7,"P2 Strong",IF($B1982&gt;=5,"P3 Maybe","P4 Low")))))))))))</f>
        <v/>
      </c>
      <c r="B1982" s="13" t="n">
        <v>0</v>
      </c>
      <c r="C1982" s="12" t="inlineStr">
        <is>
          <t>Senior/Lead</t>
        </is>
      </c>
      <c r="D1982" s="8" t="inlineStr">
        <is>
          <t>Senior Solutions Engineer, Majors, Philadelphia or Pittsburgh</t>
        </is>
      </c>
      <c r="E1982" s="7" t="inlineStr">
        <is>
          <t>Cloudflare</t>
        </is>
      </c>
      <c r="F1982" s="8" t="inlineStr">
        <is>
          <t>Distributed</t>
        </is>
      </c>
      <c r="G1982" s="8" t="n"/>
      <c r="H1982" s="14" t="n"/>
      <c r="I1982" s="15">
        <f>IF($H1982="","",$H1982-TODAY())</f>
        <v/>
      </c>
      <c r="J1982" s="16" t="inlineStr">
        <is>
          <t>Open posting</t>
        </is>
      </c>
      <c r="K1982" s="8" t="inlineStr">
        <is>
          <t>filtered by keyword pre-scan</t>
        </is>
      </c>
      <c r="L1982" s="17" t="inlineStr">
        <is>
          <t>new</t>
        </is>
      </c>
      <c r="M1982" s="18" t="inlineStr"/>
      <c r="N1982" s="7" t="inlineStr">
        <is>
          <t>cbfdee0d7d8baf44b691f22a671709508d85cfc0</t>
        </is>
      </c>
      <c r="O1982" s="14" t="n">
        <v>46171</v>
      </c>
      <c r="P1982" s="7" t="inlineStr">
        <is>
          <t>greenhouse:cloudflare</t>
        </is>
      </c>
      <c r="Q1982" s="8" t="inlineStr"/>
      <c r="R1982" s="8" t="n"/>
      <c r="S1982" s="19" t="n"/>
      <c r="T1982" s="19" t="n"/>
      <c r="U1982" s="14" t="n">
        <v>46191</v>
      </c>
      <c r="V1982" s="7" t="inlineStr">
        <is>
          <t>v2-cv-accuracy-13b988b18da8ea7d</t>
        </is>
      </c>
    </row>
    <row r="1983" ht="28" customHeight="1">
      <c r="A1983" s="12">
        <f>IF($L1983="applied","Applied",IF($L1983="interview","Interview",IF($L1983="offer","Offer",IF($L1983="rejected","Rejected",IF($L1983="ignore","Ignore",IF($L1983="archive","Archive",IF($L1983="closed","Closed",IF($B1983="","Unscored",IF(AND($B1983&gt;=8,OR($H1983="",$H1983-TODAY()&lt;=14)),"P1 Apply",IF($B1983&gt;=7,"P2 Strong",IF($B1983&gt;=5,"P3 Maybe","P4 Low")))))))))))</f>
        <v/>
      </c>
      <c r="B1983" s="13" t="n">
        <v>0</v>
      </c>
      <c r="C1983" s="12" t="inlineStr">
        <is>
          <t>Senior/Lead</t>
        </is>
      </c>
      <c r="D1983" s="8" t="inlineStr">
        <is>
          <t>Senior Solutions Engineer, Majors, Raleigh, NC</t>
        </is>
      </c>
      <c r="E1983" s="7" t="inlineStr">
        <is>
          <t>Cloudflare</t>
        </is>
      </c>
      <c r="F1983" s="8" t="inlineStr">
        <is>
          <t>Distributed</t>
        </is>
      </c>
      <c r="G1983" s="8" t="n"/>
      <c r="H1983" s="14" t="n"/>
      <c r="I1983" s="15">
        <f>IF($H1983="","",$H1983-TODAY())</f>
        <v/>
      </c>
      <c r="J1983" s="16" t="inlineStr">
        <is>
          <t>Open posting</t>
        </is>
      </c>
      <c r="K1983" s="8" t="inlineStr">
        <is>
          <t>filtered by keyword pre-scan</t>
        </is>
      </c>
      <c r="L1983" s="17" t="inlineStr">
        <is>
          <t>new</t>
        </is>
      </c>
      <c r="M1983" s="18" t="inlineStr"/>
      <c r="N1983" s="7" t="inlineStr">
        <is>
          <t>bd25a743ac49599f42f8b3d42a7063ee7a8846ba</t>
        </is>
      </c>
      <c r="O1983" s="14" t="n">
        <v>46171</v>
      </c>
      <c r="P1983" s="7" t="inlineStr">
        <is>
          <t>greenhouse:cloudflare</t>
        </is>
      </c>
      <c r="Q1983" s="8" t="inlineStr"/>
      <c r="R1983" s="8" t="n"/>
      <c r="S1983" s="19" t="n"/>
      <c r="T1983" s="19" t="n"/>
      <c r="U1983" s="14" t="n">
        <v>46191</v>
      </c>
      <c r="V1983" s="7" t="inlineStr">
        <is>
          <t>v2-cv-accuracy-13b988b18da8ea7d</t>
        </is>
      </c>
    </row>
    <row r="1984" ht="28" customHeight="1">
      <c r="A1984" s="12">
        <f>IF($L1984="applied","Applied",IF($L1984="interview","Interview",IF($L1984="offer","Offer",IF($L1984="rejected","Rejected",IF($L1984="ignore","Ignore",IF($L1984="archive","Archive",IF($L1984="closed","Closed",IF($B1984="","Unscored",IF(AND($B1984&gt;=8,OR($H1984="",$H1984-TODAY()&lt;=14)),"P1 Apply",IF($B1984&gt;=7,"P2 Strong",IF($B1984&gt;=5,"P3 Maybe","P4 Low")))))))))))</f>
        <v/>
      </c>
      <c r="B1984" s="13" t="n">
        <v>0</v>
      </c>
      <c r="C1984" s="12" t="inlineStr">
        <is>
          <t>Senior/Lead</t>
        </is>
      </c>
      <c r="D1984" s="8" t="inlineStr">
        <is>
          <t>Senior Solutions Engineer, Majors, San Francisco</t>
        </is>
      </c>
      <c r="E1984" s="7" t="inlineStr">
        <is>
          <t>Cloudflare</t>
        </is>
      </c>
      <c r="F1984" s="8" t="inlineStr">
        <is>
          <t>Hybrid</t>
        </is>
      </c>
      <c r="G1984" s="8" t="n"/>
      <c r="H1984" s="14" t="n"/>
      <c r="I1984" s="15">
        <f>IF($H1984="","",$H1984-TODAY())</f>
        <v/>
      </c>
      <c r="J1984" s="16" t="inlineStr">
        <is>
          <t>Open posting</t>
        </is>
      </c>
      <c r="K1984" s="8" t="inlineStr">
        <is>
          <t>filtered by keyword pre-scan</t>
        </is>
      </c>
      <c r="L1984" s="17" t="inlineStr">
        <is>
          <t>new</t>
        </is>
      </c>
      <c r="M1984" s="18" t="inlineStr"/>
      <c r="N1984" s="7" t="inlineStr">
        <is>
          <t>95716df1d0f8e2e99aae5338be6818d81c386f0c</t>
        </is>
      </c>
      <c r="O1984" s="14" t="n">
        <v>46171</v>
      </c>
      <c r="P1984" s="7" t="inlineStr">
        <is>
          <t>greenhouse:cloudflare</t>
        </is>
      </c>
      <c r="Q1984" s="8" t="inlineStr"/>
      <c r="R1984" s="8" t="n"/>
      <c r="S1984" s="19" t="n"/>
      <c r="T1984" s="19" t="n"/>
      <c r="U1984" s="14" t="n">
        <v>46191</v>
      </c>
      <c r="V1984" s="7" t="inlineStr">
        <is>
          <t>v2-cv-accuracy-13b988b18da8ea7d</t>
        </is>
      </c>
    </row>
    <row r="1985" ht="28" customHeight="1">
      <c r="A1985" s="12">
        <f>IF($L1985="applied","Applied",IF($L1985="interview","Interview",IF($L1985="offer","Offer",IF($L1985="rejected","Rejected",IF($L1985="ignore","Ignore",IF($L1985="archive","Archive",IF($L1985="closed","Closed",IF($B1985="","Unscored",IF(AND($B1985&gt;=8,OR($H1985="",$H1985-TODAY()&lt;=14)),"P1 Apply",IF($B1985&gt;=7,"P2 Strong",IF($B1985&gt;=5,"P3 Maybe","P4 Low")))))))))))</f>
        <v/>
      </c>
      <c r="B1985" s="13" t="n">
        <v>0</v>
      </c>
      <c r="C1985" s="12" t="inlineStr">
        <is>
          <t>Senior/Lead</t>
        </is>
      </c>
      <c r="D1985" s="8" t="inlineStr">
        <is>
          <t>Senior Solutions Engineer - Mid-Market Tampa</t>
        </is>
      </c>
      <c r="E1985" s="7" t="inlineStr">
        <is>
          <t>Cloudflare</t>
        </is>
      </c>
      <c r="F1985" s="8" t="inlineStr">
        <is>
          <t>Distributed</t>
        </is>
      </c>
      <c r="G1985" s="8" t="n"/>
      <c r="H1985" s="14" t="n"/>
      <c r="I1985" s="15">
        <f>IF($H1985="","",$H1985-TODAY())</f>
        <v/>
      </c>
      <c r="J1985" s="16" t="inlineStr">
        <is>
          <t>Open posting</t>
        </is>
      </c>
      <c r="K1985" s="8" t="inlineStr">
        <is>
          <t>filtered by keyword pre-scan</t>
        </is>
      </c>
      <c r="L1985" s="17" t="inlineStr">
        <is>
          <t>new</t>
        </is>
      </c>
      <c r="M1985" s="18" t="inlineStr"/>
      <c r="N1985" s="7" t="inlineStr">
        <is>
          <t>3c039b3348183be9699a6fb19dc4444238ff9115</t>
        </is>
      </c>
      <c r="O1985" s="14" t="n">
        <v>46171</v>
      </c>
      <c r="P1985" s="7" t="inlineStr">
        <is>
          <t>greenhouse:cloudflare</t>
        </is>
      </c>
      <c r="Q1985" s="8" t="inlineStr">
        <is>
          <t>software development</t>
        </is>
      </c>
      <c r="R1985" s="8" t="n"/>
      <c r="S1985" s="19" t="n"/>
      <c r="T1985" s="19" t="n"/>
      <c r="U1985" s="14" t="n">
        <v>46191</v>
      </c>
      <c r="V1985" s="7" t="inlineStr">
        <is>
          <t>v2-cv-accuracy-13b988b18da8ea7d</t>
        </is>
      </c>
    </row>
    <row r="1986" ht="28" customHeight="1">
      <c r="A1986" s="12">
        <f>IF($L1986="applied","Applied",IF($L1986="interview","Interview",IF($L1986="offer","Offer",IF($L1986="rejected","Rejected",IF($L1986="ignore","Ignore",IF($L1986="archive","Archive",IF($L1986="closed","Closed",IF($B1986="","Unscored",IF(AND($B1986&gt;=8,OR($H1986="",$H1986-TODAY()&lt;=14)),"P1 Apply",IF($B1986&gt;=7,"P2 Strong",IF($B1986&gt;=5,"P3 Maybe","P4 Low")))))))))))</f>
        <v/>
      </c>
      <c r="B1986" s="13" t="n">
        <v>0</v>
      </c>
      <c r="C1986" s="12" t="inlineStr">
        <is>
          <t>Senior/Lead</t>
        </is>
      </c>
      <c r="D1986" s="8" t="inlineStr">
        <is>
          <t>Senior Solutions Engineer, Named Accounts - Cincinnati, OH</t>
        </is>
      </c>
      <c r="E1986" s="7" t="inlineStr">
        <is>
          <t>Cloudflare</t>
        </is>
      </c>
      <c r="F1986" s="8" t="inlineStr">
        <is>
          <t>Distributed</t>
        </is>
      </c>
      <c r="G1986" s="8" t="n"/>
      <c r="H1986" s="14" t="n"/>
      <c r="I1986" s="15">
        <f>IF($H1986="","",$H1986-TODAY())</f>
        <v/>
      </c>
      <c r="J1986" s="16" t="inlineStr">
        <is>
          <t>Open posting</t>
        </is>
      </c>
      <c r="K1986" s="8" t="inlineStr">
        <is>
          <t>filtered by keyword pre-scan</t>
        </is>
      </c>
      <c r="L1986" s="17" t="inlineStr">
        <is>
          <t>new</t>
        </is>
      </c>
      <c r="M1986" s="18" t="inlineStr"/>
      <c r="N1986" s="7" t="inlineStr">
        <is>
          <t>34f418351fceef0fada28cda3b60aaa45bc5a086</t>
        </is>
      </c>
      <c r="O1986" s="14" t="n">
        <v>46171</v>
      </c>
      <c r="P1986" s="7" t="inlineStr">
        <is>
          <t>greenhouse:cloudflare</t>
        </is>
      </c>
      <c r="Q1986" s="8" t="inlineStr"/>
      <c r="R1986" s="8" t="n"/>
      <c r="S1986" s="19" t="n"/>
      <c r="T1986" s="19" t="n"/>
      <c r="U1986" s="14" t="n">
        <v>46191</v>
      </c>
      <c r="V1986" s="7" t="inlineStr">
        <is>
          <t>v2-cv-accuracy-13b988b18da8ea7d</t>
        </is>
      </c>
    </row>
    <row r="1987" ht="28" customHeight="1">
      <c r="A1987" s="12">
        <f>IF($L1987="applied","Applied",IF($L1987="interview","Interview",IF($L1987="offer","Offer",IF($L1987="rejected","Rejected",IF($L1987="ignore","Ignore",IF($L1987="archive","Archive",IF($L1987="closed","Closed",IF($B1987="","Unscored",IF(AND($B1987&gt;=8,OR($H1987="",$H1987-TODAY()&lt;=14)),"P1 Apply",IF($B1987&gt;=7,"P2 Strong",IF($B1987&gt;=5,"P3 Maybe","P4 Low")))))))))))</f>
        <v/>
      </c>
      <c r="B1987" s="13" t="n">
        <v>0</v>
      </c>
      <c r="C1987" s="12" t="inlineStr">
        <is>
          <t>Senior/Lead</t>
        </is>
      </c>
      <c r="D1987" s="8" t="inlineStr">
        <is>
          <t>Senior Solutions Engineer, Named Accounts - San Francisco</t>
        </is>
      </c>
      <c r="E1987" s="7" t="inlineStr">
        <is>
          <t>Cloudflare</t>
        </is>
      </c>
      <c r="F1987" s="8" t="inlineStr">
        <is>
          <t>Hybrid</t>
        </is>
      </c>
      <c r="G1987" s="8" t="n"/>
      <c r="H1987" s="14" t="n"/>
      <c r="I1987" s="15">
        <f>IF($H1987="","",$H1987-TODAY())</f>
        <v/>
      </c>
      <c r="J1987" s="16" t="inlineStr">
        <is>
          <t>Open posting</t>
        </is>
      </c>
      <c r="K1987" s="8" t="inlineStr">
        <is>
          <t>filtered by keyword pre-scan</t>
        </is>
      </c>
      <c r="L1987" s="17" t="inlineStr">
        <is>
          <t>new</t>
        </is>
      </c>
      <c r="M1987" s="18" t="inlineStr"/>
      <c r="N1987" s="7" t="inlineStr">
        <is>
          <t>ea8f261f3481dc9425491133adf12f08e6517d89</t>
        </is>
      </c>
      <c r="O1987" s="14" t="n">
        <v>46176</v>
      </c>
      <c r="P1987" s="7" t="inlineStr">
        <is>
          <t>greenhouse:cloudflare</t>
        </is>
      </c>
      <c r="Q1987" s="8" t="inlineStr"/>
      <c r="R1987" s="8" t="n"/>
      <c r="S1987" s="19" t="n"/>
      <c r="T1987" s="19" t="n"/>
      <c r="U1987" s="14" t="n">
        <v>46191</v>
      </c>
      <c r="V1987" s="7" t="inlineStr">
        <is>
          <t>v2-cv-accuracy-13b988b18da8ea7d</t>
        </is>
      </c>
    </row>
    <row r="1988" ht="28" customHeight="1">
      <c r="A1988" s="12">
        <f>IF($L1988="applied","Applied",IF($L1988="interview","Interview",IF($L1988="offer","Offer",IF($L1988="rejected","Rejected",IF($L1988="ignore","Ignore",IF($L1988="archive","Archive",IF($L1988="closed","Closed",IF($B1988="","Unscored",IF(AND($B1988&gt;=8,OR($H1988="",$H1988-TODAY()&lt;=14)),"P1 Apply",IF($B1988&gt;=7,"P2 Strong",IF($B1988&gt;=5,"P3 Maybe","P4 Low")))))))))))</f>
        <v/>
      </c>
      <c r="B1988" s="13" t="n">
        <v>0</v>
      </c>
      <c r="C1988" s="12" t="inlineStr">
        <is>
          <t>Senior/Lead</t>
        </is>
      </c>
      <c r="D1988" s="8" t="inlineStr">
        <is>
          <t>Senior Solutions Engineer - New England</t>
        </is>
      </c>
      <c r="E1988" s="7" t="inlineStr">
        <is>
          <t>Cloudflare</t>
        </is>
      </c>
      <c r="F1988" s="8" t="inlineStr">
        <is>
          <t>Distributed</t>
        </is>
      </c>
      <c r="G1988" s="8" t="n"/>
      <c r="H1988" s="14" t="n"/>
      <c r="I1988" s="15">
        <f>IF($H1988="","",$H1988-TODAY())</f>
        <v/>
      </c>
      <c r="J1988" s="16" t="inlineStr">
        <is>
          <t>Open posting</t>
        </is>
      </c>
      <c r="K1988" s="8" t="inlineStr">
        <is>
          <t>filtered by keyword pre-scan</t>
        </is>
      </c>
      <c r="L1988" s="17" t="inlineStr">
        <is>
          <t>new</t>
        </is>
      </c>
      <c r="M1988" s="18" t="inlineStr"/>
      <c r="N1988" s="7" t="inlineStr">
        <is>
          <t>30b7c0bbb29dc82890418d8014fb700416b00ea3</t>
        </is>
      </c>
      <c r="O1988" s="14" t="n">
        <v>46171</v>
      </c>
      <c r="P1988" s="7" t="inlineStr">
        <is>
          <t>greenhouse:cloudflare</t>
        </is>
      </c>
      <c r="Q1988" s="8" t="inlineStr"/>
      <c r="R1988" s="8" t="n"/>
      <c r="S1988" s="19" t="n"/>
      <c r="T1988" s="19" t="n"/>
      <c r="U1988" s="14" t="n">
        <v>46191</v>
      </c>
      <c r="V1988" s="7" t="inlineStr">
        <is>
          <t>v2-cv-accuracy-13b988b18da8ea7d</t>
        </is>
      </c>
    </row>
    <row r="1989" ht="28" customHeight="1">
      <c r="A1989" s="12">
        <f>IF($L1989="applied","Applied",IF($L1989="interview","Interview",IF($L1989="offer","Offer",IF($L1989="rejected","Rejected",IF($L1989="ignore","Ignore",IF($L1989="archive","Archive",IF($L1989="closed","Closed",IF($B1989="","Unscored",IF(AND($B1989&gt;=8,OR($H1989="",$H1989-TODAY()&lt;=14)),"P1 Apply",IF($B1989&gt;=7,"P2 Strong",IF($B1989&gt;=5,"P3 Maybe","P4 Low")))))))))))</f>
        <v/>
      </c>
      <c r="B1989" s="13" t="n">
        <v>0</v>
      </c>
      <c r="C1989" s="12" t="inlineStr">
        <is>
          <t>Senior/Lead</t>
        </is>
      </c>
      <c r="D1989" s="8" t="inlineStr">
        <is>
          <t>Senior Solutions Engineer, Public Sector Federal</t>
        </is>
      </c>
      <c r="E1989" s="7" t="inlineStr">
        <is>
          <t>Cloudflare</t>
        </is>
      </c>
      <c r="F1989" s="8" t="inlineStr">
        <is>
          <t>Hybrid</t>
        </is>
      </c>
      <c r="G1989" s="8" t="n"/>
      <c r="H1989" s="14" t="n"/>
      <c r="I1989" s="15">
        <f>IF($H1989="","",$H1989-TODAY())</f>
        <v/>
      </c>
      <c r="J1989" s="16" t="inlineStr">
        <is>
          <t>Open posting</t>
        </is>
      </c>
      <c r="K1989" s="8" t="inlineStr">
        <is>
          <t>filtered by keyword pre-scan</t>
        </is>
      </c>
      <c r="L1989" s="17" t="inlineStr">
        <is>
          <t>new</t>
        </is>
      </c>
      <c r="M1989" s="18" t="inlineStr"/>
      <c r="N1989" s="7" t="inlineStr">
        <is>
          <t>eb4225ca26825f3ef945e0b21c0fbe0e8fb7abe9</t>
        </is>
      </c>
      <c r="O1989" s="14" t="n">
        <v>46171</v>
      </c>
      <c r="P1989" s="7" t="inlineStr">
        <is>
          <t>greenhouse:cloudflare</t>
        </is>
      </c>
      <c r="Q1989" s="8" t="inlineStr">
        <is>
          <t>software development</t>
        </is>
      </c>
      <c r="R1989" s="8" t="n"/>
      <c r="S1989" s="19" t="n"/>
      <c r="T1989" s="19" t="n"/>
      <c r="U1989" s="14" t="n">
        <v>46191</v>
      </c>
      <c r="V1989" s="7" t="inlineStr">
        <is>
          <t>v2-cv-accuracy-13b988b18da8ea7d</t>
        </is>
      </c>
    </row>
    <row r="1990" ht="28" customHeight="1">
      <c r="A1990" s="12">
        <f>IF($L1990="applied","Applied",IF($L1990="interview","Interview",IF($L1990="offer","Offer",IF($L1990="rejected","Rejected",IF($L1990="ignore","Ignore",IF($L1990="archive","Archive",IF($L1990="closed","Closed",IF($B1990="","Unscored",IF(AND($B1990&gt;=8,OR($H1990="",$H1990-TODAY()&lt;=14)),"P1 Apply",IF($B1990&gt;=7,"P2 Strong",IF($B1990&gt;=5,"P3 Maybe","P4 Low")))))))))))</f>
        <v/>
      </c>
      <c r="B1990" s="13" t="n">
        <v>0</v>
      </c>
      <c r="C1990" s="12" t="inlineStr">
        <is>
          <t>Senior/Lead</t>
        </is>
      </c>
      <c r="D1990" s="8" t="inlineStr">
        <is>
          <t>Senior Solutions Engineer, Russian Speaker</t>
        </is>
      </c>
      <c r="E1990" s="7" t="inlineStr">
        <is>
          <t>Cloudflare</t>
        </is>
      </c>
      <c r="F1990" s="8" t="inlineStr">
        <is>
          <t>In-Office</t>
        </is>
      </c>
      <c r="G1990" s="8" t="n"/>
      <c r="H1990" s="14" t="n"/>
      <c r="I1990" s="15">
        <f>IF($H1990="","",$H1990-TODAY())</f>
        <v/>
      </c>
      <c r="J1990" s="16" t="inlineStr">
        <is>
          <t>Open posting</t>
        </is>
      </c>
      <c r="K1990" s="8" t="inlineStr">
        <is>
          <t>filtered by keyword pre-scan</t>
        </is>
      </c>
      <c r="L1990" s="17" t="inlineStr">
        <is>
          <t>new</t>
        </is>
      </c>
      <c r="M1990" s="18" t="inlineStr"/>
      <c r="N1990" s="7" t="inlineStr">
        <is>
          <t>2b2625a3e6e3fdbf6735b25cffe42a6cb7e2a6fa</t>
        </is>
      </c>
      <c r="O1990" s="14" t="n">
        <v>46181</v>
      </c>
      <c r="P1990" s="7" t="inlineStr">
        <is>
          <t>greenhouse:cloudflare</t>
        </is>
      </c>
      <c r="Q1990" s="8" t="inlineStr"/>
      <c r="R1990" s="8" t="n"/>
      <c r="S1990" s="19" t="n"/>
      <c r="T1990" s="19" t="n"/>
      <c r="U1990" s="14" t="n">
        <v>46191</v>
      </c>
      <c r="V1990" s="7" t="inlineStr">
        <is>
          <t>v2-cv-accuracy-13b988b18da8ea7d</t>
        </is>
      </c>
    </row>
    <row r="1991" ht="28" customHeight="1">
      <c r="A1991" s="12">
        <f>IF($L1991="applied","Applied",IF($L1991="interview","Interview",IF($L1991="offer","Offer",IF($L1991="rejected","Rejected",IF($L1991="ignore","Ignore",IF($L1991="archive","Archive",IF($L1991="closed","Closed",IF($B1991="","Unscored",IF(AND($B1991&gt;=8,OR($H1991="",$H1991-TODAY()&lt;=14)),"P1 Apply",IF($B1991&gt;=7,"P2 Strong",IF($B1991&gt;=5,"P3 Maybe","P4 Low")))))))))))</f>
        <v/>
      </c>
      <c r="B1991" s="13" t="n">
        <v>0</v>
      </c>
      <c r="C1991" s="12" t="inlineStr">
        <is>
          <t>Senior/Lead</t>
        </is>
      </c>
      <c r="D1991" s="8" t="inlineStr">
        <is>
          <t>Senior Specialist Solutions Engineer, Zero Trust - Japan</t>
        </is>
      </c>
      <c r="E1991" s="7" t="inlineStr">
        <is>
          <t>Cloudflare</t>
        </is>
      </c>
      <c r="F1991" s="8" t="inlineStr">
        <is>
          <t>Hybrid</t>
        </is>
      </c>
      <c r="G1991" s="8" t="n"/>
      <c r="H1991" s="14" t="n"/>
      <c r="I1991" s="15">
        <f>IF($H1991="","",$H1991-TODAY())</f>
        <v/>
      </c>
      <c r="J1991" s="16" t="inlineStr">
        <is>
          <t>Open posting</t>
        </is>
      </c>
      <c r="K1991" s="8" t="inlineStr">
        <is>
          <t>filtered by keyword pre-scan</t>
        </is>
      </c>
      <c r="L1991" s="17" t="inlineStr">
        <is>
          <t>new</t>
        </is>
      </c>
      <c r="M1991" s="18" t="inlineStr"/>
      <c r="N1991" s="7" t="inlineStr">
        <is>
          <t>3e768ea0ac63a04523d98f9948041664f3ebb967</t>
        </is>
      </c>
      <c r="O1991" s="14" t="n">
        <v>46188</v>
      </c>
      <c r="P1991" s="7" t="inlineStr">
        <is>
          <t>greenhouse:cloudflare</t>
        </is>
      </c>
      <c r="Q1991" s="8" t="inlineStr"/>
      <c r="R1991" s="8" t="n"/>
      <c r="S1991" s="19" t="n"/>
      <c r="T1991" s="19" t="n"/>
      <c r="U1991" s="14" t="n">
        <v>46191</v>
      </c>
      <c r="V1991" s="7" t="inlineStr">
        <is>
          <t>v2-cv-accuracy-13b988b18da8ea7d</t>
        </is>
      </c>
    </row>
    <row r="1992" ht="28" customHeight="1">
      <c r="A1992" s="12">
        <f>IF($L1992="applied","Applied",IF($L1992="interview","Interview",IF($L1992="offer","Offer",IF($L1992="rejected","Rejected",IF($L1992="ignore","Ignore",IF($L1992="archive","Archive",IF($L1992="closed","Closed",IF($B1992="","Unscored",IF(AND($B1992&gt;=8,OR($H1992="",$H1992-TODAY()&lt;=14)),"P1 Apply",IF($B1992&gt;=7,"P2 Strong",IF($B1992&gt;=5,"P3 Maybe","P4 Low")))))))))))</f>
        <v/>
      </c>
      <c r="B1992" s="13" t="n">
        <v>0</v>
      </c>
      <c r="C1992" s="12" t="inlineStr">
        <is>
          <t>Senior/Lead</t>
        </is>
      </c>
      <c r="D1992" s="8" t="inlineStr">
        <is>
          <t>Senior Stock Administration Analyst</t>
        </is>
      </c>
      <c r="E1992" s="7" t="inlineStr">
        <is>
          <t>Cloudflare</t>
        </is>
      </c>
      <c r="F1992" s="8" t="inlineStr">
        <is>
          <t>In-Office</t>
        </is>
      </c>
      <c r="G1992" s="8" t="n"/>
      <c r="H1992" s="14" t="n"/>
      <c r="I1992" s="15">
        <f>IF($H1992="","",$H1992-TODAY())</f>
        <v/>
      </c>
      <c r="J1992" s="16" t="inlineStr">
        <is>
          <t>Open posting</t>
        </is>
      </c>
      <c r="K1992" s="8" t="inlineStr">
        <is>
          <t>filtered by keyword pre-scan</t>
        </is>
      </c>
      <c r="L1992" s="17" t="inlineStr">
        <is>
          <t>new</t>
        </is>
      </c>
      <c r="M1992" s="18" t="inlineStr"/>
      <c r="N1992" s="7" t="inlineStr">
        <is>
          <t>6a93d3b2eba00f847f0c9e46defe4ef99e6e1e8c</t>
        </is>
      </c>
      <c r="O1992" s="14" t="n">
        <v>46186</v>
      </c>
      <c r="P1992" s="7" t="inlineStr">
        <is>
          <t>greenhouse:cloudflare</t>
        </is>
      </c>
      <c r="Q1992" s="8" t="inlineStr">
        <is>
          <t>data analysis</t>
        </is>
      </c>
      <c r="R1992" s="8" t="n"/>
      <c r="S1992" s="19" t="n"/>
      <c r="T1992" s="19" t="n"/>
      <c r="U1992" s="14" t="n">
        <v>46191</v>
      </c>
      <c r="V1992" s="7" t="inlineStr">
        <is>
          <t>v2-cv-accuracy-13b988b18da8ea7d</t>
        </is>
      </c>
    </row>
    <row r="1993" ht="28" customHeight="1">
      <c r="A1993" s="12">
        <f>IF($L1993="applied","Applied",IF($L1993="interview","Interview",IF($L1993="offer","Offer",IF($L1993="rejected","Rejected",IF($L1993="ignore","Ignore",IF($L1993="archive","Archive",IF($L1993="closed","Closed",IF($B1993="","Unscored",IF(AND($B1993&gt;=8,OR($H1993="",$H1993-TODAY()&lt;=14)),"P1 Apply",IF($B1993&gt;=7,"P2 Strong",IF($B1993&gt;=5,"P3 Maybe","P4 Low")))))))))))</f>
        <v/>
      </c>
      <c r="B1993" s="13" t="n">
        <v>0</v>
      </c>
      <c r="C1993" s="12" t="inlineStr">
        <is>
          <t>Senior/Lead</t>
        </is>
      </c>
      <c r="D1993" s="8" t="inlineStr">
        <is>
          <t>Senior Strategic Solutions Engineer</t>
        </is>
      </c>
      <c r="E1993" s="7" t="inlineStr">
        <is>
          <t>Cloudflare</t>
        </is>
      </c>
      <c r="F1993" s="8" t="inlineStr">
        <is>
          <t>Distributed</t>
        </is>
      </c>
      <c r="G1993" s="8" t="n"/>
      <c r="H1993" s="14" t="n"/>
      <c r="I1993" s="15">
        <f>IF($H1993="","",$H1993-TODAY())</f>
        <v/>
      </c>
      <c r="J1993" s="16" t="inlineStr">
        <is>
          <t>Open posting</t>
        </is>
      </c>
      <c r="K1993" s="8" t="inlineStr">
        <is>
          <t>filtered by keyword pre-scan</t>
        </is>
      </c>
      <c r="L1993" s="17" t="inlineStr">
        <is>
          <t>new</t>
        </is>
      </c>
      <c r="M1993" s="18" t="inlineStr"/>
      <c r="N1993" s="7" t="inlineStr">
        <is>
          <t>3c1ea8f11ceef55c074f286248dc9629897d2049</t>
        </is>
      </c>
      <c r="O1993" s="14" t="n">
        <v>46185</v>
      </c>
      <c r="P1993" s="7" t="inlineStr">
        <is>
          <t>greenhouse:cloudflare</t>
        </is>
      </c>
      <c r="Q1993" s="8" t="inlineStr">
        <is>
          <t>software development</t>
        </is>
      </c>
      <c r="R1993" s="8" t="n"/>
      <c r="S1993" s="19" t="n"/>
      <c r="T1993" s="19" t="n"/>
      <c r="U1993" s="14" t="n">
        <v>46191</v>
      </c>
      <c r="V1993" s="7" t="inlineStr">
        <is>
          <t>v2-cv-accuracy-13b988b18da8ea7d</t>
        </is>
      </c>
    </row>
    <row r="1994" ht="28" customHeight="1">
      <c r="A1994" s="12">
        <f>IF($L1994="applied","Applied",IF($L1994="interview","Interview",IF($L1994="offer","Offer",IF($L1994="rejected","Rejected",IF($L1994="ignore","Ignore",IF($L1994="archive","Archive",IF($L1994="closed","Closed",IF($B1994="","Unscored",IF(AND($B1994&gt;=8,OR($H1994="",$H1994-TODAY()&lt;=14)),"P1 Apply",IF($B1994&gt;=7,"P2 Strong",IF($B1994&gt;=5,"P3 Maybe","P4 Low")))))))))))</f>
        <v/>
      </c>
      <c r="B1994" s="13" t="n">
        <v>0</v>
      </c>
      <c r="C1994" s="12" t="inlineStr">
        <is>
          <t>Senior/Lead</t>
        </is>
      </c>
      <c r="D1994" s="8" t="inlineStr">
        <is>
          <t>Senior Strategic Solutions Engineer, Delhi NCR</t>
        </is>
      </c>
      <c r="E1994" s="7" t="inlineStr">
        <is>
          <t>Cloudflare</t>
        </is>
      </c>
      <c r="F1994" s="8" t="inlineStr">
        <is>
          <t>Hybrid</t>
        </is>
      </c>
      <c r="G1994" s="8" t="n"/>
      <c r="H1994" s="14" t="n"/>
      <c r="I1994" s="15">
        <f>IF($H1994="","",$H1994-TODAY())</f>
        <v/>
      </c>
      <c r="J1994" s="16" t="inlineStr">
        <is>
          <t>Open posting</t>
        </is>
      </c>
      <c r="K1994" s="8" t="inlineStr">
        <is>
          <t>filtered by keyword pre-scan</t>
        </is>
      </c>
      <c r="L1994" s="17" t="inlineStr">
        <is>
          <t>new</t>
        </is>
      </c>
      <c r="M1994" s="18" t="inlineStr"/>
      <c r="N1994" s="7" t="inlineStr">
        <is>
          <t>0394c0016d936342b50d1af945f6fa7a28cec307</t>
        </is>
      </c>
      <c r="O1994" s="14" t="n">
        <v>46171</v>
      </c>
      <c r="P1994" s="7" t="inlineStr">
        <is>
          <t>greenhouse:cloudflare</t>
        </is>
      </c>
      <c r="Q1994" s="8" t="inlineStr"/>
      <c r="R1994" s="8" t="n"/>
      <c r="S1994" s="19" t="n"/>
      <c r="T1994" s="19" t="n"/>
      <c r="U1994" s="14" t="n">
        <v>46191</v>
      </c>
      <c r="V1994" s="7" t="inlineStr">
        <is>
          <t>v2-cv-accuracy-13b988b18da8ea7d</t>
        </is>
      </c>
    </row>
    <row r="1995" ht="28" customHeight="1">
      <c r="A1995" s="12">
        <f>IF($L1995="applied","Applied",IF($L1995="interview","Interview",IF($L1995="offer","Offer",IF($L1995="rejected","Rejected",IF($L1995="ignore","Ignore",IF($L1995="archive","Archive",IF($L1995="closed","Closed",IF($B1995="","Unscored",IF(AND($B1995&gt;=8,OR($H1995="",$H1995-TODAY()&lt;=14)),"P1 Apply",IF($B1995&gt;=7,"P2 Strong",IF($B1995&gt;=5,"P3 Maybe","P4 Low")))))))))))</f>
        <v/>
      </c>
      <c r="B1995" s="13" t="n">
        <v>0</v>
      </c>
      <c r="C1995" s="12" t="inlineStr">
        <is>
          <t>Senior/Lead</t>
        </is>
      </c>
      <c r="D1995" s="8" t="inlineStr">
        <is>
          <t>Senior Threat Intelligence Engineer</t>
        </is>
      </c>
      <c r="E1995" s="7" t="inlineStr">
        <is>
          <t>Cloudflare</t>
        </is>
      </c>
      <c r="F1995" s="8" t="inlineStr">
        <is>
          <t>Hybrid</t>
        </is>
      </c>
      <c r="G1995" s="8" t="n"/>
      <c r="H1995" s="14" t="n"/>
      <c r="I1995" s="15">
        <f>IF($H1995="","",$H1995-TODAY())</f>
        <v/>
      </c>
      <c r="J1995" s="16" t="inlineStr">
        <is>
          <t>Open posting</t>
        </is>
      </c>
      <c r="K1995" s="8" t="inlineStr">
        <is>
          <t>filtered by keyword pre-scan</t>
        </is>
      </c>
      <c r="L1995" s="17" t="inlineStr">
        <is>
          <t>new</t>
        </is>
      </c>
      <c r="M1995" s="18" t="inlineStr"/>
      <c r="N1995" s="7" t="inlineStr">
        <is>
          <t>b55f559f1b0d0d396898d96da88bc5d47e999c14</t>
        </is>
      </c>
      <c r="O1995" s="14" t="n">
        <v>46190</v>
      </c>
      <c r="P1995" s="7" t="inlineStr">
        <is>
          <t>greenhouse:cloudflare</t>
        </is>
      </c>
      <c r="Q1995" s="8" t="inlineStr"/>
      <c r="R1995" s="8" t="n"/>
      <c r="S1995" s="19" t="n"/>
      <c r="T1995" s="19" t="n"/>
      <c r="U1995" s="14" t="n">
        <v>46191</v>
      </c>
      <c r="V1995" s="7" t="inlineStr">
        <is>
          <t>v2-cv-accuracy-13b988b18da8ea7d</t>
        </is>
      </c>
    </row>
    <row r="1996" ht="28" customHeight="1">
      <c r="A1996" s="12">
        <f>IF($L1996="applied","Applied",IF($L1996="interview","Interview",IF($L1996="offer","Offer",IF($L1996="rejected","Rejected",IF($L1996="ignore","Ignore",IF($L1996="archive","Archive",IF($L1996="closed","Closed",IF($B1996="","Unscored",IF(AND($B1996&gt;=8,OR($H1996="",$H1996-TODAY()&lt;=14)),"P1 Apply",IF($B1996&gt;=7,"P2 Strong",IF($B1996&gt;=5,"P3 Maybe","P4 Low")))))))))))</f>
        <v/>
      </c>
      <c r="B1996" s="13" t="n">
        <v>0</v>
      </c>
      <c r="C1996" s="12" t="inlineStr">
        <is>
          <t>Manager/Owner</t>
        </is>
      </c>
      <c r="D1996" s="8" t="inlineStr">
        <is>
          <t>Solutions Engineering Manager, Commercial -  West</t>
        </is>
      </c>
      <c r="E1996" s="7" t="inlineStr">
        <is>
          <t>Cloudflare</t>
        </is>
      </c>
      <c r="F1996" s="8" t="inlineStr">
        <is>
          <t>Distributed</t>
        </is>
      </c>
      <c r="G1996" s="8" t="n"/>
      <c r="H1996" s="14" t="n"/>
      <c r="I1996" s="15">
        <f>IF($H1996="","",$H1996-TODAY())</f>
        <v/>
      </c>
      <c r="J1996" s="16" t="inlineStr">
        <is>
          <t>Open posting</t>
        </is>
      </c>
      <c r="K1996" s="8" t="inlineStr">
        <is>
          <t>filtered by keyword pre-scan</t>
        </is>
      </c>
      <c r="L1996" s="17" t="inlineStr">
        <is>
          <t>new</t>
        </is>
      </c>
      <c r="M1996" s="18" t="inlineStr"/>
      <c r="N1996" s="7" t="inlineStr">
        <is>
          <t>3365a9f9f81e391eb09caebffa75e39aa9852786</t>
        </is>
      </c>
      <c r="O1996" s="14" t="n">
        <v>46171</v>
      </c>
      <c r="P1996" s="7" t="inlineStr">
        <is>
          <t>greenhouse:cloudflare</t>
        </is>
      </c>
      <c r="Q1996" s="8" t="inlineStr">
        <is>
          <t>software development</t>
        </is>
      </c>
      <c r="R1996" s="8" t="n"/>
      <c r="S1996" s="19" t="n"/>
      <c r="T1996" s="19" t="n"/>
      <c r="U1996" s="14" t="n">
        <v>46191</v>
      </c>
      <c r="V1996" s="7" t="inlineStr">
        <is>
          <t>v2-cv-accuracy-13b988b18da8ea7d</t>
        </is>
      </c>
    </row>
    <row r="1997" ht="28" customHeight="1">
      <c r="A1997" s="12">
        <f>IF($L1997="applied","Applied",IF($L1997="interview","Interview",IF($L1997="offer","Offer",IF($L1997="rejected","Rejected",IF($L1997="ignore","Ignore",IF($L1997="archive","Archive",IF($L1997="closed","Closed",IF($B1997="","Unscored",IF(AND($B1997&gt;=8,OR($H1997="",$H1997-TODAY()&lt;=14)),"P1 Apply",IF($B1997&gt;=7,"P2 Strong",IF($B1997&gt;=5,"P3 Maybe","P4 Low")))))))))))</f>
        <v/>
      </c>
      <c r="B1997" s="13" t="n">
        <v>0</v>
      </c>
      <c r="C1997" s="12" t="inlineStr">
        <is>
          <t>Manager/Owner</t>
        </is>
      </c>
      <c r="D1997" s="8" t="inlineStr">
        <is>
          <t>Solutions Engineer Manager, Associate Programs</t>
        </is>
      </c>
      <c r="E1997" s="7" t="inlineStr">
        <is>
          <t>Cloudflare</t>
        </is>
      </c>
      <c r="F1997" s="8" t="inlineStr">
        <is>
          <t>Distributed</t>
        </is>
      </c>
      <c r="G1997" s="8" t="n"/>
      <c r="H1997" s="14" t="n"/>
      <c r="I1997" s="15">
        <f>IF($H1997="","",$H1997-TODAY())</f>
        <v/>
      </c>
      <c r="J1997" s="16" t="inlineStr">
        <is>
          <t>Open posting</t>
        </is>
      </c>
      <c r="K1997" s="8" t="inlineStr">
        <is>
          <t>filtered by keyword pre-scan</t>
        </is>
      </c>
      <c r="L1997" s="17" t="inlineStr">
        <is>
          <t>new</t>
        </is>
      </c>
      <c r="M1997" s="18" t="inlineStr"/>
      <c r="N1997" s="7" t="inlineStr">
        <is>
          <t>17d5c5e7c53d415edc949281661563067d8c6152</t>
        </is>
      </c>
      <c r="O1997" s="14" t="n">
        <v>46171</v>
      </c>
      <c r="P1997" s="7" t="inlineStr">
        <is>
          <t>greenhouse:cloudflare</t>
        </is>
      </c>
      <c r="Q1997" s="8" t="inlineStr"/>
      <c r="R1997" s="8" t="n"/>
      <c r="S1997" s="19" t="n"/>
      <c r="T1997" s="19" t="n"/>
      <c r="U1997" s="14" t="n">
        <v>46191</v>
      </c>
      <c r="V1997" s="7" t="inlineStr">
        <is>
          <t>v2-cv-accuracy-13b988b18da8ea7d</t>
        </is>
      </c>
    </row>
    <row r="1998" ht="28" customHeight="1">
      <c r="A1998" s="12">
        <f>IF($L1998="applied","Applied",IF($L1998="interview","Interview",IF($L1998="offer","Offer",IF($L1998="rejected","Rejected",IF($L1998="ignore","Ignore",IF($L1998="archive","Archive",IF($L1998="closed","Closed",IF($B1998="","Unscored",IF(AND($B1998&gt;=8,OR($H1998="",$H1998-TODAY()&lt;=14)),"P1 Apply",IF($B1998&gt;=7,"P2 Strong",IF($B1998&gt;=5,"P3 Maybe","P4 Low")))))))))))</f>
        <v/>
      </c>
      <c r="B1998" s="13" t="n">
        <v>0</v>
      </c>
      <c r="C1998" s="12" t="inlineStr">
        <is>
          <t>Senior/Lead</t>
        </is>
      </c>
      <c r="D1998" s="8" t="inlineStr">
        <is>
          <t>Solutions Strategy Lead</t>
        </is>
      </c>
      <c r="E1998" s="7" t="inlineStr">
        <is>
          <t>Cloudflare</t>
        </is>
      </c>
      <c r="F1998" s="8" t="inlineStr">
        <is>
          <t>Hybrid</t>
        </is>
      </c>
      <c r="G1998" s="8" t="n"/>
      <c r="H1998" s="14" t="n"/>
      <c r="I1998" s="15">
        <f>IF($H1998="","",$H1998-TODAY())</f>
        <v/>
      </c>
      <c r="J1998" s="16" t="inlineStr">
        <is>
          <t>Open posting</t>
        </is>
      </c>
      <c r="K1998" s="8" t="inlineStr">
        <is>
          <t>filtered by keyword pre-scan</t>
        </is>
      </c>
      <c r="L1998" s="17" t="inlineStr">
        <is>
          <t>new</t>
        </is>
      </c>
      <c r="M1998" s="18" t="inlineStr"/>
      <c r="N1998" s="7" t="inlineStr">
        <is>
          <t>c214ce82bc64982f33a84aa1a0fef350049c4752</t>
        </is>
      </c>
      <c r="O1998" s="14" t="n">
        <v>46171</v>
      </c>
      <c r="P1998" s="7" t="inlineStr">
        <is>
          <t>greenhouse:cloudflare</t>
        </is>
      </c>
      <c r="Q1998" s="8" t="inlineStr"/>
      <c r="R1998" s="8" t="n"/>
      <c r="S1998" s="19" t="n"/>
      <c r="T1998" s="19" t="n"/>
      <c r="U1998" s="14" t="n">
        <v>46191</v>
      </c>
      <c r="V1998" s="7" t="inlineStr">
        <is>
          <t>v2-cv-accuracy-13b988b18da8ea7d</t>
        </is>
      </c>
    </row>
    <row r="1999" ht="28" customHeight="1">
      <c r="A1999" s="12">
        <f>IF($L1999="applied","Applied",IF($L1999="interview","Interview",IF($L1999="offer","Offer",IF($L1999="rejected","Rejected",IF($L1999="ignore","Ignore",IF($L1999="archive","Archive",IF($L1999="closed","Closed",IF($B1999="","Unscored",IF(AND($B1999&gt;=8,OR($H1999="",$H1999-TODAY()&lt;=14)),"P1 Apply",IF($B1999&gt;=7,"P2 Strong",IF($B1999&gt;=5,"P3 Maybe","P4 Low")))))))))))</f>
        <v/>
      </c>
      <c r="B1999" s="13" t="n">
        <v>0</v>
      </c>
      <c r="C1999" s="12" t="inlineStr">
        <is>
          <t>Internship</t>
        </is>
      </c>
      <c r="D1999" s="8" t="inlineStr">
        <is>
          <t>Technical Support Engineer Intern (July to December 2026)</t>
        </is>
      </c>
      <c r="E1999" s="7" t="inlineStr">
        <is>
          <t>Cloudflare</t>
        </is>
      </c>
      <c r="F1999" s="8" t="inlineStr">
        <is>
          <t>In-Office</t>
        </is>
      </c>
      <c r="G1999" s="8" t="n"/>
      <c r="H1999" s="14" t="n"/>
      <c r="I1999" s="15">
        <f>IF($H1999="","",$H1999-TODAY())</f>
        <v/>
      </c>
      <c r="J1999" s="16" t="inlineStr">
        <is>
          <t>Open posting</t>
        </is>
      </c>
      <c r="K1999" s="8" t="inlineStr">
        <is>
          <t>filtered by keyword pre-scan</t>
        </is>
      </c>
      <c r="L1999" s="17" t="inlineStr">
        <is>
          <t>new</t>
        </is>
      </c>
      <c r="M1999" s="18" t="inlineStr"/>
      <c r="N1999" s="7" t="inlineStr">
        <is>
          <t>9b287833b4f55959ba51b0b24e9769cfda56c97c</t>
        </is>
      </c>
      <c r="O1999" s="14" t="n">
        <v>46171</v>
      </c>
      <c r="P1999" s="7" t="inlineStr">
        <is>
          <t>greenhouse:cloudflare</t>
        </is>
      </c>
      <c r="Q1999" s="8" t="inlineStr"/>
      <c r="R1999" s="8" t="n"/>
      <c r="S1999" s="19" t="n"/>
      <c r="T1999" s="19" t="n"/>
      <c r="U1999" s="14" t="n">
        <v>46191</v>
      </c>
      <c r="V1999" s="7" t="inlineStr">
        <is>
          <t>v2-cv-accuracy-13b988b18da8ea7d</t>
        </is>
      </c>
    </row>
    <row r="2000" ht="28" customHeight="1">
      <c r="A2000" s="12">
        <f>IF($L2000="applied","Applied",IF($L2000="interview","Interview",IF($L2000="offer","Offer",IF($L2000="rejected","Rejected",IF($L2000="ignore","Ignore",IF($L2000="archive","Archive",IF($L2000="closed","Closed",IF($B2000="","Unscored",IF(AND($B2000&gt;=8,OR($H2000="",$H2000-TODAY()&lt;=14)),"P1 Apply",IF($B2000&gt;=7,"P2 Strong",IF($B2000&gt;=5,"P3 Maybe","P4 Low")))))))))))</f>
        <v/>
      </c>
      <c r="B2000" s="13" t="n">
        <v>0</v>
      </c>
      <c r="C2000" s="12" t="inlineStr">
        <is>
          <t>Internship</t>
        </is>
      </c>
      <c r="D2000" s="8" t="inlineStr">
        <is>
          <t>Threat Detection and Incident Response Intern (Summer 2026)</t>
        </is>
      </c>
      <c r="E2000" s="7" t="inlineStr">
        <is>
          <t>Cloudflare</t>
        </is>
      </c>
      <c r="F2000" s="8" t="inlineStr">
        <is>
          <t>In-Office</t>
        </is>
      </c>
      <c r="G2000" s="8" t="n"/>
      <c r="H2000" s="14" t="n"/>
      <c r="I2000" s="15">
        <f>IF($H2000="","",$H2000-TODAY())</f>
        <v/>
      </c>
      <c r="J2000" s="16" t="inlineStr">
        <is>
          <t>Open posting</t>
        </is>
      </c>
      <c r="K2000" s="8" t="inlineStr">
        <is>
          <t>filtered by keyword pre-scan</t>
        </is>
      </c>
      <c r="L2000" s="17" t="inlineStr">
        <is>
          <t>new</t>
        </is>
      </c>
      <c r="M2000" s="18" t="inlineStr"/>
      <c r="N2000" s="7" t="inlineStr">
        <is>
          <t>a71bc5afc2ccde57f2b4bb807878636445dfab02</t>
        </is>
      </c>
      <c r="O2000" s="14" t="n">
        <v>46171</v>
      </c>
      <c r="P2000" s="7" t="inlineStr">
        <is>
          <t>greenhouse:cloudflare</t>
        </is>
      </c>
      <c r="Q2000" s="8" t="inlineStr"/>
      <c r="R2000" s="8" t="n"/>
      <c r="S2000" s="19" t="n"/>
      <c r="T2000" s="19" t="n"/>
      <c r="U2000" s="14" t="n">
        <v>46191</v>
      </c>
      <c r="V2000" s="7" t="inlineStr">
        <is>
          <t>v2-cv-accuracy-13b988b18da8ea7d</t>
        </is>
      </c>
    </row>
    <row r="2001" ht="28" customHeight="1">
      <c r="A2001" s="12">
        <f>IF($L2001="applied","Applied",IF($L2001="interview","Interview",IF($L2001="offer","Offer",IF($L2001="rejected","Rejected",IF($L2001="ignore","Ignore",IF($L2001="archive","Archive",IF($L2001="closed","Closed",IF($B2001="","Unscored",IF(AND($B2001&gt;=8,OR($H2001="",$H2001-TODAY()&lt;=14)),"P1 Apply",IF($B2001&gt;=7,"P2 Strong",IF($B2001&gt;=5,"P3 Maybe","P4 Low")))))))))))</f>
        <v/>
      </c>
      <c r="B2001" s="13" t="n">
        <v>0</v>
      </c>
      <c r="C2001" s="12" t="inlineStr">
        <is>
          <t>Unspecified</t>
        </is>
      </c>
      <c r="D2001" s="8" t="inlineStr">
        <is>
          <t>Debug/Trace/Profiling Design Engineer</t>
        </is>
      </c>
      <c r="E2001" s="7" t="inlineStr">
        <is>
          <t>SiFive</t>
        </is>
      </c>
      <c r="F2001" s="8" t="inlineStr">
        <is>
          <t>4 Locations</t>
        </is>
      </c>
      <c r="G2001" s="8" t="n"/>
      <c r="H2001" s="14" t="n"/>
      <c r="I2001" s="15">
        <f>IF($H2001="","",$H2001-TODAY())</f>
        <v/>
      </c>
      <c r="J2001" s="16" t="inlineStr">
        <is>
          <t>Open posting</t>
        </is>
      </c>
      <c r="K2001" s="8" t="inlineStr">
        <is>
          <t>filtered by keyword pre-scan</t>
        </is>
      </c>
      <c r="L2001" s="17" t="inlineStr">
        <is>
          <t>new</t>
        </is>
      </c>
      <c r="M2001" s="18" t="inlineStr"/>
      <c r="N2001" s="7" t="inlineStr">
        <is>
          <t>d0613a0efa3801e5ef4b40b395c2cb722966466b</t>
        </is>
      </c>
      <c r="O2001" s="14" t="n"/>
      <c r="P2001" s="7" t="inlineStr">
        <is>
          <t>workday</t>
        </is>
      </c>
      <c r="Q2001" s="8" t="inlineStr"/>
      <c r="R2001" s="8" t="n"/>
      <c r="S2001" s="19" t="n"/>
      <c r="T2001" s="19" t="n"/>
      <c r="U2001" s="14" t="n">
        <v>46191</v>
      </c>
      <c r="V2001" s="7" t="inlineStr">
        <is>
          <t>v2-cv-accuracy-13b988b18da8ea7d</t>
        </is>
      </c>
    </row>
    <row r="2002" ht="28" customHeight="1">
      <c r="A2002" s="12">
        <f>IF($L2002="applied","Applied",IF($L2002="interview","Interview",IF($L2002="offer","Offer",IF($L2002="rejected","Rejected",IF($L2002="ignore","Ignore",IF($L2002="archive","Archive",IF($L2002="closed","Closed",IF($B2002="","Unscored",IF(AND($B2002&gt;=8,OR($H2002="",$H2002-TODAY()&lt;=14)),"P1 Apply",IF($B2002&gt;=7,"P2 Strong",IF($B2002&gt;=5,"P3 Maybe","P4 Low")))))))))))</f>
        <v/>
      </c>
      <c r="B2002" s="13" t="n">
        <v>0</v>
      </c>
      <c r="C2002" s="12" t="inlineStr">
        <is>
          <t>Senior/Lead</t>
        </is>
      </c>
      <c r="D2002" s="8" t="inlineStr">
        <is>
          <t>Lead Debug/Trace/Profiling Design Engineer</t>
        </is>
      </c>
      <c r="E2002" s="7" t="inlineStr">
        <is>
          <t>SiFive</t>
        </is>
      </c>
      <c r="F2002" s="8" t="inlineStr">
        <is>
          <t>4 Locations</t>
        </is>
      </c>
      <c r="G2002" s="8" t="n"/>
      <c r="H2002" s="14" t="n"/>
      <c r="I2002" s="15">
        <f>IF($H2002="","",$H2002-TODAY())</f>
        <v/>
      </c>
      <c r="J2002" s="16" t="inlineStr">
        <is>
          <t>Open posting</t>
        </is>
      </c>
      <c r="K2002" s="8" t="inlineStr">
        <is>
          <t>filtered by keyword pre-scan</t>
        </is>
      </c>
      <c r="L2002" s="17" t="inlineStr">
        <is>
          <t>new</t>
        </is>
      </c>
      <c r="M2002" s="18" t="inlineStr"/>
      <c r="N2002" s="7" t="inlineStr">
        <is>
          <t>dcec33457441a6d5e462c51470b1f2f4ce065175</t>
        </is>
      </c>
      <c r="O2002" s="14" t="n"/>
      <c r="P2002" s="7" t="inlineStr">
        <is>
          <t>workday</t>
        </is>
      </c>
      <c r="Q2002" s="8" t="inlineStr"/>
      <c r="R2002" s="8" t="n"/>
      <c r="S2002" s="19" t="n"/>
      <c r="T2002" s="19" t="n"/>
      <c r="U2002" s="14" t="n">
        <v>46191</v>
      </c>
      <c r="V2002" s="7" t="inlineStr">
        <is>
          <t>v2-cv-accuracy-13b988b18da8ea7d</t>
        </is>
      </c>
    </row>
    <row r="2003" ht="28" customHeight="1">
      <c r="A2003" s="12">
        <f>IF($L2003="applied","Applied",IF($L2003="interview","Interview",IF($L2003="offer","Offer",IF($L2003="rejected","Rejected",IF($L2003="ignore","Ignore",IF($L2003="archive","Archive",IF($L2003="closed","Closed",IF($B2003="","Unscored",IF(AND($B2003&gt;=8,OR($H2003="",$H2003-TODAY()&lt;=14)),"P1 Apply",IF($B2003&gt;=7,"P2 Strong",IF($B2003&gt;=5,"P3 Maybe","P4 Low")))))))))))</f>
        <v/>
      </c>
      <c r="B2003" s="13" t="n">
        <v>0</v>
      </c>
      <c r="C2003" s="12" t="inlineStr">
        <is>
          <t>Unspecified</t>
        </is>
      </c>
      <c r="D2003" s="8" t="inlineStr">
        <is>
          <t>Dyson Expert - Newcastle North Shields</t>
        </is>
      </c>
      <c r="E2003" s="7" t="inlineStr">
        <is>
          <t>Dyson</t>
        </is>
      </c>
      <c r="F2003" s="8" t="inlineStr">
        <is>
          <t>United Kingdom - England Remote</t>
        </is>
      </c>
      <c r="G2003" s="8" t="n"/>
      <c r="H2003" s="14" t="n"/>
      <c r="I2003" s="15">
        <f>IF($H2003="","",$H2003-TODAY())</f>
        <v/>
      </c>
      <c r="J2003" s="16" t="inlineStr">
        <is>
          <t>Open posting</t>
        </is>
      </c>
      <c r="K2003" s="8" t="inlineStr">
        <is>
          <t>filtered by keyword pre-scan</t>
        </is>
      </c>
      <c r="L2003" s="17" t="inlineStr">
        <is>
          <t>new</t>
        </is>
      </c>
      <c r="M2003" s="18" t="inlineStr"/>
      <c r="N2003" s="7" t="inlineStr">
        <is>
          <t>ab446a2743ab00b8dd84fbba201745387abe6d16</t>
        </is>
      </c>
      <c r="O2003" s="14" t="n"/>
      <c r="P2003" s="7" t="inlineStr">
        <is>
          <t>workday</t>
        </is>
      </c>
      <c r="Q2003" s="8" t="inlineStr"/>
      <c r="R2003" s="8" t="n"/>
      <c r="S2003" s="19" t="n"/>
      <c r="T2003" s="19" t="n"/>
      <c r="U2003" s="14" t="n">
        <v>46191</v>
      </c>
      <c r="V2003" s="7" t="inlineStr">
        <is>
          <t>v2-cv-accuracy-13b988b18da8ea7d</t>
        </is>
      </c>
    </row>
    <row r="2004" ht="28" customHeight="1">
      <c r="A2004" s="12">
        <f>IF($L2004="applied","Applied",IF($L2004="interview","Interview",IF($L2004="offer","Offer",IF($L2004="rejected","Rejected",IF($L2004="ignore","Ignore",IF($L2004="archive","Archive",IF($L2004="closed","Closed",IF($B2004="","Unscored",IF(AND($B2004&gt;=8,OR($H2004="",$H2004-TODAY()&lt;=14)),"P1 Apply",IF($B2004&gt;=7,"P2 Strong",IF($B2004&gt;=5,"P3 Maybe","P4 Low")))))))))))</f>
        <v/>
      </c>
      <c r="B2004" s="13" t="n">
        <v>0</v>
      </c>
      <c r="C2004" s="12" t="inlineStr">
        <is>
          <t>Senior/Lead</t>
        </is>
      </c>
      <c r="D2004" s="8" t="inlineStr">
        <is>
          <t>Associate Principal Engineer</t>
        </is>
      </c>
      <c r="E2004" s="7" t="inlineStr">
        <is>
          <t>Dyson</t>
        </is>
      </c>
      <c r="F2004" s="8" t="inlineStr">
        <is>
          <t>China - Shenzhen Office</t>
        </is>
      </c>
      <c r="G2004" s="8" t="n"/>
      <c r="H2004" s="14" t="n"/>
      <c r="I2004" s="15">
        <f>IF($H2004="","",$H2004-TODAY())</f>
        <v/>
      </c>
      <c r="J2004" s="16" t="inlineStr">
        <is>
          <t>Open posting</t>
        </is>
      </c>
      <c r="K2004" s="8" t="inlineStr">
        <is>
          <t>filtered by keyword pre-scan</t>
        </is>
      </c>
      <c r="L2004" s="17" t="inlineStr">
        <is>
          <t>new</t>
        </is>
      </c>
      <c r="M2004" s="18" t="inlineStr"/>
      <c r="N2004" s="7" t="inlineStr">
        <is>
          <t>ffd2070ac2f57f7d66bae617f31610710e5283f5</t>
        </is>
      </c>
      <c r="O2004" s="14" t="n"/>
      <c r="P2004" s="7" t="inlineStr">
        <is>
          <t>workday</t>
        </is>
      </c>
      <c r="Q2004" s="8" t="inlineStr"/>
      <c r="R2004" s="8" t="n"/>
      <c r="S2004" s="19" t="n"/>
      <c r="T2004" s="19" t="n"/>
      <c r="U2004" s="14" t="n">
        <v>46191</v>
      </c>
      <c r="V2004" s="7" t="inlineStr">
        <is>
          <t>v2-cv-accuracy-13b988b18da8ea7d</t>
        </is>
      </c>
    </row>
    <row r="2005" ht="28" customHeight="1">
      <c r="A2005" s="12">
        <f>IF($L2005="applied","Applied",IF($L2005="interview","Interview",IF($L2005="offer","Offer",IF($L2005="rejected","Rejected",IF($L2005="ignore","Ignore",IF($L2005="archive","Archive",IF($L2005="closed","Closed",IF($B2005="","Unscored",IF(AND($B2005&gt;=8,OR($H2005="",$H2005-TODAY()&lt;=14)),"P1 Apply",IF($B2005&gt;=7,"P2 Strong",IF($B2005&gt;=5,"P3 Maybe","P4 Low")))))))))))</f>
        <v/>
      </c>
      <c r="B2005" s="13" t="n">
        <v>0</v>
      </c>
      <c r="C2005" s="12" t="inlineStr">
        <is>
          <t>Unspecified</t>
        </is>
      </c>
      <c r="D2005" s="8" t="inlineStr">
        <is>
          <t>Service Parts Specialist</t>
        </is>
      </c>
      <c r="E2005" s="7" t="inlineStr">
        <is>
          <t>Dyson</t>
        </is>
      </c>
      <c r="F2005" s="8" t="inlineStr">
        <is>
          <t>China - Shenzhen Office</t>
        </is>
      </c>
      <c r="G2005" s="8" t="n"/>
      <c r="H2005" s="14" t="n"/>
      <c r="I2005" s="15">
        <f>IF($H2005="","",$H2005-TODAY())</f>
        <v/>
      </c>
      <c r="J2005" s="16" t="inlineStr">
        <is>
          <t>Open posting</t>
        </is>
      </c>
      <c r="K2005" s="8" t="inlineStr">
        <is>
          <t>filtered by keyword pre-scan</t>
        </is>
      </c>
      <c r="L2005" s="17" t="inlineStr">
        <is>
          <t>new</t>
        </is>
      </c>
      <c r="M2005" s="18" t="inlineStr"/>
      <c r="N2005" s="7" t="inlineStr">
        <is>
          <t>eebd25f40656bcdc782839f91c8db95c15c3137f</t>
        </is>
      </c>
      <c r="O2005" s="14" t="n"/>
      <c r="P2005" s="7" t="inlineStr">
        <is>
          <t>workday</t>
        </is>
      </c>
      <c r="Q2005" s="8" t="inlineStr"/>
      <c r="R2005" s="8" t="n"/>
      <c r="S2005" s="19" t="n"/>
      <c r="T2005" s="19" t="n"/>
      <c r="U2005" s="14" t="n">
        <v>46191</v>
      </c>
      <c r="V2005" s="7" t="inlineStr">
        <is>
          <t>v2-cv-accuracy-13b988b18da8ea7d</t>
        </is>
      </c>
    </row>
    <row r="2006" ht="28" customHeight="1">
      <c r="A2006" s="12">
        <f>IF($L2006="applied","Applied",IF($L2006="interview","Interview",IF($L2006="offer","Offer",IF($L2006="rejected","Rejected",IF($L2006="ignore","Ignore",IF($L2006="archive","Archive",IF($L2006="closed","Closed",IF($B2006="","Unscored",IF(AND($B2006&gt;=8,OR($H2006="",$H2006-TODAY()&lt;=14)),"P1 Apply",IF($B2006&gt;=7,"P2 Strong",IF($B2006&gt;=5,"P3 Maybe","P4 Low")))))))))))</f>
        <v/>
      </c>
      <c r="B2006" s="13" t="n">
        <v>0</v>
      </c>
      <c r="C2006" s="12" t="inlineStr">
        <is>
          <t>Senior/Lead</t>
        </is>
      </c>
      <c r="D2006" s="8" t="inlineStr">
        <is>
          <t>Senior Software Manager</t>
        </is>
      </c>
      <c r="E2006" s="7" t="inlineStr">
        <is>
          <t>Dyson</t>
        </is>
      </c>
      <c r="F2006" s="8" t="inlineStr">
        <is>
          <t>Philippines - Technology Campus</t>
        </is>
      </c>
      <c r="G2006" s="8" t="n"/>
      <c r="H2006" s="14" t="n"/>
      <c r="I2006" s="15">
        <f>IF($H2006="","",$H2006-TODAY())</f>
        <v/>
      </c>
      <c r="J2006" s="16" t="inlineStr">
        <is>
          <t>Open posting</t>
        </is>
      </c>
      <c r="K2006" s="8" t="inlineStr">
        <is>
          <t>filtered by keyword pre-scan</t>
        </is>
      </c>
      <c r="L2006" s="17" t="inlineStr">
        <is>
          <t>new</t>
        </is>
      </c>
      <c r="M2006" s="18" t="inlineStr"/>
      <c r="N2006" s="7" t="inlineStr">
        <is>
          <t>d2bb65e2693213eb961c51884d2385271bcdf1cc</t>
        </is>
      </c>
      <c r="O2006" s="14" t="n"/>
      <c r="P2006" s="7" t="inlineStr">
        <is>
          <t>workday</t>
        </is>
      </c>
      <c r="Q2006" s="8" t="inlineStr"/>
      <c r="R2006" s="8" t="n"/>
      <c r="S2006" s="19" t="n"/>
      <c r="T2006" s="19" t="n"/>
      <c r="U2006" s="14" t="n">
        <v>46191</v>
      </c>
      <c r="V2006" s="7" t="inlineStr">
        <is>
          <t>v2-cv-accuracy-13b988b18da8ea7d</t>
        </is>
      </c>
    </row>
    <row r="2007" ht="28" customHeight="1">
      <c r="A2007" s="12">
        <f>IF($L2007="applied","Applied",IF($L2007="interview","Interview",IF($L2007="offer","Offer",IF($L2007="rejected","Rejected",IF($L2007="ignore","Ignore",IF($L2007="archive","Archive",IF($L2007="closed","Closed",IF($B2007="","Unscored",IF(AND($B2007&gt;=8,OR($H2007="",$H2007-TODAY()&lt;=14)),"P1 Apply",IF($B2007&gt;=7,"P2 Strong",IF($B2007&gt;=5,"P3 Maybe","P4 Low")))))))))))</f>
        <v/>
      </c>
      <c r="B2007" s="13" t="n">
        <v>0</v>
      </c>
      <c r="C2007" s="12" t="inlineStr">
        <is>
          <t>Unspecified</t>
        </is>
      </c>
      <c r="D2007" s="8" t="inlineStr">
        <is>
          <t>Dyson Expert</t>
        </is>
      </c>
      <c r="E2007" s="7" t="inlineStr">
        <is>
          <t>Dyson</t>
        </is>
      </c>
      <c r="F2007" s="8" t="inlineStr">
        <is>
          <t>Canada - British Columbia Remote</t>
        </is>
      </c>
      <c r="G2007" s="8" t="n"/>
      <c r="H2007" s="14" t="n"/>
      <c r="I2007" s="15">
        <f>IF($H2007="","",$H2007-TODAY())</f>
        <v/>
      </c>
      <c r="J2007" s="16" t="inlineStr">
        <is>
          <t>Open posting</t>
        </is>
      </c>
      <c r="K2007" s="8" t="inlineStr">
        <is>
          <t>filtered by keyword pre-scan</t>
        </is>
      </c>
      <c r="L2007" s="17" t="inlineStr">
        <is>
          <t>new</t>
        </is>
      </c>
      <c r="M2007" s="18" t="inlineStr"/>
      <c r="N2007" s="7" t="inlineStr">
        <is>
          <t>92203d3b1721433b84b1c885cfee0c69432b1b3a</t>
        </is>
      </c>
      <c r="O2007" s="14" t="n"/>
      <c r="P2007" s="7" t="inlineStr">
        <is>
          <t>workday</t>
        </is>
      </c>
      <c r="Q2007" s="8" t="inlineStr"/>
      <c r="R2007" s="8" t="n"/>
      <c r="S2007" s="19" t="n"/>
      <c r="T2007" s="19" t="n"/>
      <c r="U2007" s="14" t="n">
        <v>46191</v>
      </c>
      <c r="V2007" s="7" t="inlineStr">
        <is>
          <t>v2-cv-accuracy-13b988b18da8ea7d</t>
        </is>
      </c>
    </row>
    <row r="2008" ht="28" customHeight="1">
      <c r="A2008" s="12">
        <f>IF($L2008="applied","Applied",IF($L2008="interview","Interview",IF($L2008="offer","Offer",IF($L2008="rejected","Rejected",IF($L2008="ignore","Ignore",IF($L2008="archive","Archive",IF($L2008="closed","Closed",IF($B2008="","Unscored",IF(AND($B2008&gt;=8,OR($H2008="",$H2008-TODAY()&lt;=14)),"P1 Apply",IF($B2008&gt;=7,"P2 Strong",IF($B2008&gt;=5,"P3 Maybe","P4 Low")))))))))))</f>
        <v/>
      </c>
      <c r="B2008" s="13" t="n">
        <v>0</v>
      </c>
      <c r="C2008" s="12" t="inlineStr">
        <is>
          <t>Unspecified</t>
        </is>
      </c>
      <c r="D2008" s="8" t="inlineStr">
        <is>
          <t>Dyson Expert - Milton Keynes Curry's (Part Time)</t>
        </is>
      </c>
      <c r="E2008" s="7" t="inlineStr">
        <is>
          <t>Dyson</t>
        </is>
      </c>
      <c r="F2008" s="8" t="inlineStr">
        <is>
          <t>United Kingdom - England Remote</t>
        </is>
      </c>
      <c r="G2008" s="8" t="n"/>
      <c r="H2008" s="14" t="n"/>
      <c r="I2008" s="15">
        <f>IF($H2008="","",$H2008-TODAY())</f>
        <v/>
      </c>
      <c r="J2008" s="16" t="inlineStr">
        <is>
          <t>Open posting</t>
        </is>
      </c>
      <c r="K2008" s="8" t="inlineStr">
        <is>
          <t>filtered by keyword pre-scan</t>
        </is>
      </c>
      <c r="L2008" s="17" t="inlineStr">
        <is>
          <t>new</t>
        </is>
      </c>
      <c r="M2008" s="18" t="inlineStr"/>
      <c r="N2008" s="7" t="inlineStr">
        <is>
          <t>cf3fcad7f6a303663ddab2c58fc77a9ccf15ecfa</t>
        </is>
      </c>
      <c r="O2008" s="14" t="n"/>
      <c r="P2008" s="7" t="inlineStr">
        <is>
          <t>workday</t>
        </is>
      </c>
      <c r="Q2008" s="8" t="inlineStr"/>
      <c r="R2008" s="8" t="n"/>
      <c r="S2008" s="19" t="n"/>
      <c r="T2008" s="19" t="n"/>
      <c r="U2008" s="14" t="n">
        <v>46191</v>
      </c>
      <c r="V2008" s="7" t="inlineStr">
        <is>
          <t>v2-cv-accuracy-13b988b18da8ea7d</t>
        </is>
      </c>
    </row>
    <row r="2009" ht="28" customHeight="1">
      <c r="A2009" s="12">
        <f>IF($L2009="applied","Applied",IF($L2009="interview","Interview",IF($L2009="offer","Offer",IF($L2009="rejected","Rejected",IF($L2009="ignore","Ignore",IF($L2009="archive","Archive",IF($L2009="closed","Closed",IF($B2009="","Unscored",IF(AND($B2009&gt;=8,OR($H2009="",$H2009-TODAY()&lt;=14)),"P1 Apply",IF($B2009&gt;=7,"P2 Strong",IF($B2009&gt;=5,"P3 Maybe","P4 Low")))))))))))</f>
        <v/>
      </c>
      <c r="B2009" s="13" t="n">
        <v>0</v>
      </c>
      <c r="C2009" s="12" t="inlineStr">
        <is>
          <t>Unspecified</t>
        </is>
      </c>
      <c r="D2009" s="8" t="inlineStr">
        <is>
          <t>Dyson Expert - London Staples Corner Curry's (Part Time)</t>
        </is>
      </c>
      <c r="E2009" s="7" t="inlineStr">
        <is>
          <t>Dyson</t>
        </is>
      </c>
      <c r="F2009" s="8" t="inlineStr">
        <is>
          <t>United Kingdom - England Remote</t>
        </is>
      </c>
      <c r="G2009" s="8" t="n"/>
      <c r="H2009" s="14" t="n"/>
      <c r="I2009" s="15">
        <f>IF($H2009="","",$H2009-TODAY())</f>
        <v/>
      </c>
      <c r="J2009" s="16" t="inlineStr">
        <is>
          <t>Open posting</t>
        </is>
      </c>
      <c r="K2009" s="8" t="inlineStr">
        <is>
          <t>filtered by keyword pre-scan</t>
        </is>
      </c>
      <c r="L2009" s="17" t="inlineStr">
        <is>
          <t>new</t>
        </is>
      </c>
      <c r="M2009" s="18" t="inlineStr"/>
      <c r="N2009" s="7" t="inlineStr">
        <is>
          <t>4cea4e1a543d61ea9e5fb2ff0b14228d01c7e581</t>
        </is>
      </c>
      <c r="O2009" s="14" t="n"/>
      <c r="P2009" s="7" t="inlineStr">
        <is>
          <t>workday</t>
        </is>
      </c>
      <c r="Q2009" s="8" t="inlineStr"/>
      <c r="R2009" s="8" t="n"/>
      <c r="S2009" s="19" t="n"/>
      <c r="T2009" s="19" t="n"/>
      <c r="U2009" s="14" t="n">
        <v>46191</v>
      </c>
      <c r="V2009" s="7" t="inlineStr">
        <is>
          <t>v2-cv-accuracy-13b988b18da8ea7d</t>
        </is>
      </c>
    </row>
    <row r="2010" ht="28" customHeight="1">
      <c r="A2010" s="12">
        <f>IF($L2010="applied","Applied",IF($L2010="interview","Interview",IF($L2010="offer","Offer",IF($L2010="rejected","Rejected",IF($L2010="ignore","Ignore",IF($L2010="archive","Archive",IF($L2010="closed","Closed",IF($B2010="","Unscored",IF(AND($B2010&gt;=8,OR($H2010="",$H2010-TODAY()&lt;=14)),"P1 Apply",IF($B2010&gt;=7,"P2 Strong",IF($B2010&gt;=5,"P3 Maybe","P4 Low")))))))))))</f>
        <v/>
      </c>
      <c r="B2010" s="13" t="n">
        <v>0</v>
      </c>
      <c r="C2010" s="12" t="inlineStr">
        <is>
          <t>Unspecified</t>
        </is>
      </c>
      <c r="D2010" s="8" t="inlineStr">
        <is>
          <t>Dyson Expert - Watford Curry's</t>
        </is>
      </c>
      <c r="E2010" s="7" t="inlineStr">
        <is>
          <t>Dyson</t>
        </is>
      </c>
      <c r="F2010" s="8" t="inlineStr">
        <is>
          <t>United Kingdom - England Remote</t>
        </is>
      </c>
      <c r="G2010" s="8" t="n"/>
      <c r="H2010" s="14" t="n"/>
      <c r="I2010" s="15">
        <f>IF($H2010="","",$H2010-TODAY())</f>
        <v/>
      </c>
      <c r="J2010" s="16" t="inlineStr">
        <is>
          <t>Open posting</t>
        </is>
      </c>
      <c r="K2010" s="8" t="inlineStr">
        <is>
          <t>filtered by keyword pre-scan</t>
        </is>
      </c>
      <c r="L2010" s="17" t="inlineStr">
        <is>
          <t>new</t>
        </is>
      </c>
      <c r="M2010" s="18" t="inlineStr"/>
      <c r="N2010" s="7" t="inlineStr">
        <is>
          <t>c13941f05ab78546c8dccceff8ab2ae5ac393bb4</t>
        </is>
      </c>
      <c r="O2010" s="14" t="n"/>
      <c r="P2010" s="7" t="inlineStr">
        <is>
          <t>workday</t>
        </is>
      </c>
      <c r="Q2010" s="8" t="inlineStr"/>
      <c r="R2010" s="8" t="n"/>
      <c r="S2010" s="19" t="n"/>
      <c r="T2010" s="19" t="n"/>
      <c r="U2010" s="14" t="n">
        <v>46191</v>
      </c>
      <c r="V2010" s="7" t="inlineStr">
        <is>
          <t>v2-cv-accuracy-13b988b18da8ea7d</t>
        </is>
      </c>
    </row>
    <row r="2011" ht="28" customHeight="1">
      <c r="A2011" s="12">
        <f>IF($L2011="applied","Applied",IF($L2011="interview","Interview",IF($L2011="offer","Offer",IF($L2011="rejected","Rejected",IF($L2011="ignore","Ignore",IF($L2011="archive","Archive",IF($L2011="closed","Closed",IF($B2011="","Unscored",IF(AND($B2011&gt;=8,OR($H2011="",$H2011-TODAY()&lt;=14)),"P1 Apply",IF($B2011&gt;=7,"P2 Strong",IF($B2011&gt;=5,"P3 Maybe","P4 Low")))))))))))</f>
        <v/>
      </c>
      <c r="B2011" s="13" t="n">
        <v>0</v>
      </c>
      <c r="C2011" s="12" t="inlineStr">
        <is>
          <t>Manager/Owner</t>
        </is>
      </c>
      <c r="D2011" s="8" t="inlineStr">
        <is>
          <t>Assistant Store Manager - Ankara Panora AVM</t>
        </is>
      </c>
      <c r="E2011" s="7" t="inlineStr">
        <is>
          <t>Dyson</t>
        </is>
      </c>
      <c r="F2011" s="8" t="inlineStr">
        <is>
          <t>Turkey - Ankara Panora Demo Zone</t>
        </is>
      </c>
      <c r="G2011" s="8" t="n"/>
      <c r="H2011" s="14" t="n"/>
      <c r="I2011" s="15">
        <f>IF($H2011="","",$H2011-TODAY())</f>
        <v/>
      </c>
      <c r="J2011" s="16" t="inlineStr">
        <is>
          <t>Open posting</t>
        </is>
      </c>
      <c r="K2011" s="8" t="inlineStr">
        <is>
          <t>filtered by keyword pre-scan</t>
        </is>
      </c>
      <c r="L2011" s="17" t="inlineStr">
        <is>
          <t>new</t>
        </is>
      </c>
      <c r="M2011" s="18" t="inlineStr"/>
      <c r="N2011" s="7" t="inlineStr">
        <is>
          <t>ae50b9b0f8f1cef05ea9bda9be862e88befbb95f</t>
        </is>
      </c>
      <c r="O2011" s="14" t="n"/>
      <c r="P2011" s="7" t="inlineStr">
        <is>
          <t>workday</t>
        </is>
      </c>
      <c r="Q2011" s="8" t="inlineStr"/>
      <c r="R2011" s="8" t="n"/>
      <c r="S2011" s="19" t="n"/>
      <c r="T2011" s="19" t="n"/>
      <c r="U2011" s="14" t="n">
        <v>46191</v>
      </c>
      <c r="V2011" s="7" t="inlineStr">
        <is>
          <t>v2-cv-accuracy-13b988b18da8ea7d</t>
        </is>
      </c>
    </row>
    <row r="2012" ht="28" customHeight="1">
      <c r="A2012" s="12">
        <f>IF($L2012="applied","Applied",IF($L2012="interview","Interview",IF($L2012="offer","Offer",IF($L2012="rejected","Rejected",IF($L2012="ignore","Ignore",IF($L2012="archive","Archive",IF($L2012="closed","Closed",IF($B2012="","Unscored",IF(AND($B2012&gt;=8,OR($H2012="",$H2012-TODAY()&lt;=14)),"P1 Apply",IF($B2012&gt;=7,"P2 Strong",IF($B2012&gt;=5,"P3 Maybe","P4 Low")))))))))))</f>
        <v/>
      </c>
      <c r="B2012" s="13" t="n">
        <v>0</v>
      </c>
      <c r="C2012" s="12" t="inlineStr">
        <is>
          <t>Unspecified</t>
        </is>
      </c>
      <c r="D2012" s="8" t="inlineStr">
        <is>
          <t>Hair Stylist - Ankara Panora AVM</t>
        </is>
      </c>
      <c r="E2012" s="7" t="inlineStr">
        <is>
          <t>Dyson</t>
        </is>
      </c>
      <c r="F2012" s="8" t="inlineStr">
        <is>
          <t>Turkey - Ankara Panora Demo Zone</t>
        </is>
      </c>
      <c r="G2012" s="8" t="n"/>
      <c r="H2012" s="14" t="n"/>
      <c r="I2012" s="15">
        <f>IF($H2012="","",$H2012-TODAY())</f>
        <v/>
      </c>
      <c r="J2012" s="16" t="inlineStr">
        <is>
          <t>Open posting</t>
        </is>
      </c>
      <c r="K2012" s="8" t="inlineStr">
        <is>
          <t>filtered by keyword pre-scan</t>
        </is>
      </c>
      <c r="L2012" s="17" t="inlineStr">
        <is>
          <t>new</t>
        </is>
      </c>
      <c r="M2012" s="18" t="inlineStr"/>
      <c r="N2012" s="7" t="inlineStr">
        <is>
          <t>784ef91a744ea1049ed5dc444a0fea7d7c70f9f0</t>
        </is>
      </c>
      <c r="O2012" s="14" t="n"/>
      <c r="P2012" s="7" t="inlineStr">
        <is>
          <t>workday</t>
        </is>
      </c>
      <c r="Q2012" s="8" t="inlineStr"/>
      <c r="R2012" s="8" t="n"/>
      <c r="S2012" s="19" t="n"/>
      <c r="T2012" s="19" t="n"/>
      <c r="U2012" s="14" t="n">
        <v>46191</v>
      </c>
      <c r="V2012" s="7" t="inlineStr">
        <is>
          <t>v2-cv-accuracy-13b988b18da8ea7d</t>
        </is>
      </c>
    </row>
    <row r="2013" ht="28" customHeight="1">
      <c r="A2013" s="12">
        <f>IF($L2013="applied","Applied",IF($L2013="interview","Interview",IF($L2013="offer","Offer",IF($L2013="rejected","Rejected",IF($L2013="ignore","Ignore",IF($L2013="archive","Archive",IF($L2013="closed","Closed",IF($B2013="","Unscored",IF(AND($B2013&gt;=8,OR($H2013="",$H2013-TODAY()&lt;=14)),"P1 Apply",IF($B2013&gt;=7,"P2 Strong",IF($B2013&gt;=5,"P3 Maybe","P4 Low")))))))))))</f>
        <v/>
      </c>
      <c r="B2013" s="13" t="n">
        <v>0</v>
      </c>
      <c r="C2013" s="12" t="inlineStr">
        <is>
          <t>Unspecified</t>
        </is>
      </c>
      <c r="D2013" s="8" t="inlineStr">
        <is>
          <t>Category Planner - Central Hub (Maternity Leave)</t>
        </is>
      </c>
      <c r="E2013" s="7" t="inlineStr">
        <is>
          <t>Dyson</t>
        </is>
      </c>
      <c r="F2013" s="8" t="inlineStr">
        <is>
          <t>Netherlands - Amsterdam Office</t>
        </is>
      </c>
      <c r="G2013" s="8" t="n"/>
      <c r="H2013" s="14" t="n"/>
      <c r="I2013" s="15">
        <f>IF($H2013="","",$H2013-TODAY())</f>
        <v/>
      </c>
      <c r="J2013" s="16" t="inlineStr">
        <is>
          <t>Open posting</t>
        </is>
      </c>
      <c r="K2013" s="8" t="inlineStr">
        <is>
          <t>filtered by keyword pre-scan</t>
        </is>
      </c>
      <c r="L2013" s="17" t="inlineStr">
        <is>
          <t>new</t>
        </is>
      </c>
      <c r="M2013" s="18" t="inlineStr"/>
      <c r="N2013" s="7" t="inlineStr">
        <is>
          <t>85230a4a4e289c60736256ed06de0571fc96cd19</t>
        </is>
      </c>
      <c r="O2013" s="14" t="n"/>
      <c r="P2013" s="7" t="inlineStr">
        <is>
          <t>workday</t>
        </is>
      </c>
      <c r="Q2013" s="8" t="inlineStr"/>
      <c r="R2013" s="8" t="n"/>
      <c r="S2013" s="19" t="n"/>
      <c r="T2013" s="19" t="n"/>
      <c r="U2013" s="14" t="n">
        <v>46191</v>
      </c>
      <c r="V2013" s="7" t="inlineStr">
        <is>
          <t>v2-cv-accuracy-13b988b18da8ea7d</t>
        </is>
      </c>
    </row>
    <row r="2014" ht="28" customHeight="1">
      <c r="A2014" s="12">
        <f>IF($L2014="applied","Applied",IF($L2014="interview","Interview",IF($L2014="offer","Offer",IF($L2014="rejected","Rejected",IF($L2014="ignore","Ignore",IF($L2014="archive","Archive",IF($L2014="closed","Closed",IF($B2014="","Unscored",IF(AND($B2014&gt;=8,OR($H2014="",$H2014-TODAY()&lt;=14)),"P1 Apply",IF($B2014&gt;=7,"P2 Strong",IF($B2014&gt;=5,"P3 Maybe","P4 Low")))))))))))</f>
        <v/>
      </c>
      <c r="B2014" s="13" t="n">
        <v>0</v>
      </c>
      <c r="C2014" s="12" t="inlineStr">
        <is>
          <t>Unspecified</t>
        </is>
      </c>
      <c r="D2014" s="8" t="inlineStr">
        <is>
          <t>Security Shift Officer</t>
        </is>
      </c>
      <c r="E2014" s="7" t="inlineStr">
        <is>
          <t>Dyson</t>
        </is>
      </c>
      <c r="F2014" s="8" t="inlineStr">
        <is>
          <t>United Kingdom - Malmesbury Office</t>
        </is>
      </c>
      <c r="G2014" s="8" t="n"/>
      <c r="H2014" s="14" t="n"/>
      <c r="I2014" s="15">
        <f>IF($H2014="","",$H2014-TODAY())</f>
        <v/>
      </c>
      <c r="J2014" s="16" t="inlineStr">
        <is>
          <t>Open posting</t>
        </is>
      </c>
      <c r="K2014" s="8" t="inlineStr">
        <is>
          <t>filtered by keyword pre-scan</t>
        </is>
      </c>
      <c r="L2014" s="17" t="inlineStr">
        <is>
          <t>new</t>
        </is>
      </c>
      <c r="M2014" s="18" t="inlineStr"/>
      <c r="N2014" s="7" t="inlineStr">
        <is>
          <t>420b62aece1cc35b3f1bb5dd262e16cfa5f70690</t>
        </is>
      </c>
      <c r="O2014" s="14" t="n"/>
      <c r="P2014" s="7" t="inlineStr">
        <is>
          <t>workday</t>
        </is>
      </c>
      <c r="Q2014" s="8" t="inlineStr"/>
      <c r="R2014" s="8" t="n"/>
      <c r="S2014" s="19" t="n"/>
      <c r="T2014" s="19" t="n"/>
      <c r="U2014" s="14" t="n">
        <v>46191</v>
      </c>
      <c r="V2014" s="7" t="inlineStr">
        <is>
          <t>v2-cv-accuracy-13b988b18da8ea7d</t>
        </is>
      </c>
    </row>
    <row r="2015" ht="28" customHeight="1">
      <c r="A2015" s="12">
        <f>IF($L2015="applied","Applied",IF($L2015="interview","Interview",IF($L2015="offer","Offer",IF($L2015="rejected","Rejected",IF($L2015="ignore","Ignore",IF($L2015="archive","Archive",IF($L2015="closed","Closed",IF($B2015="","Unscored",IF(AND($B2015&gt;=8,OR($H2015="",$H2015-TODAY()&lt;=14)),"P1 Apply",IF($B2015&gt;=7,"P2 Strong",IF($B2015&gt;=5,"P3 Maybe","P4 Low")))))))))))</f>
        <v/>
      </c>
      <c r="B2015" s="13" t="n">
        <v>0</v>
      </c>
      <c r="C2015" s="12" t="inlineStr">
        <is>
          <t>Senior/Lead</t>
        </is>
      </c>
      <c r="D2015" s="8" t="inlineStr">
        <is>
          <t>Delivery Lead</t>
        </is>
      </c>
      <c r="E2015" s="7" t="inlineStr">
        <is>
          <t>Dyson</t>
        </is>
      </c>
      <c r="F2015" s="8" t="inlineStr">
        <is>
          <t>Turkey - Istanbul Office</t>
        </is>
      </c>
      <c r="G2015" s="8" t="n"/>
      <c r="H2015" s="14" t="n"/>
      <c r="I2015" s="15">
        <f>IF($H2015="","",$H2015-TODAY())</f>
        <v/>
      </c>
      <c r="J2015" s="16" t="inlineStr">
        <is>
          <t>Open posting</t>
        </is>
      </c>
      <c r="K2015" s="8" t="inlineStr">
        <is>
          <t>filtered by keyword pre-scan</t>
        </is>
      </c>
      <c r="L2015" s="17" t="inlineStr">
        <is>
          <t>new</t>
        </is>
      </c>
      <c r="M2015" s="18" t="inlineStr"/>
      <c r="N2015" s="7" t="inlineStr">
        <is>
          <t>abf14735e34699383201903a4ac78323648cebff</t>
        </is>
      </c>
      <c r="O2015" s="14" t="n"/>
      <c r="P2015" s="7" t="inlineStr">
        <is>
          <t>workday</t>
        </is>
      </c>
      <c r="Q2015" s="8" t="inlineStr"/>
      <c r="R2015" s="8" t="n"/>
      <c r="S2015" s="19" t="n"/>
      <c r="T2015" s="19" t="n"/>
      <c r="U2015" s="14" t="n">
        <v>46191</v>
      </c>
      <c r="V2015" s="7" t="inlineStr">
        <is>
          <t>v2-cv-accuracy-13b988b18da8ea7d</t>
        </is>
      </c>
    </row>
    <row r="2016" ht="28" customHeight="1">
      <c r="A2016" s="12">
        <f>IF($L2016="applied","Applied",IF($L2016="interview","Interview",IF($L2016="offer","Offer",IF($L2016="rejected","Rejected",IF($L2016="ignore","Ignore",IF($L2016="archive","Archive",IF($L2016="closed","Closed",IF($B2016="","Unscored",IF(AND($B2016&gt;=8,OR($H2016="",$H2016-TODAY()&lt;=14)),"P1 Apply",IF($B2016&gt;=7,"P2 Strong",IF($B2016&gt;=5,"P3 Maybe","P4 Low")))))))))))</f>
        <v/>
      </c>
      <c r="B2016" s="13" t="n">
        <v>0</v>
      </c>
      <c r="C2016" s="12" t="inlineStr">
        <is>
          <t>Senior/Lead</t>
        </is>
      </c>
      <c r="D2016" s="8" t="inlineStr">
        <is>
          <t>Senior Software Engineer, Spectacles</t>
        </is>
      </c>
      <c r="E2016" s="7" t="inlineStr">
        <is>
          <t>Snap Inc.</t>
        </is>
      </c>
      <c r="F2016" s="8" t="inlineStr">
        <is>
          <t>London, ENG, GB</t>
        </is>
      </c>
      <c r="G2016" s="8" t="n"/>
      <c r="H2016" s="14" t="n"/>
      <c r="I2016" s="15">
        <f>IF($H2016="","",$H2016-TODAY())</f>
        <v/>
      </c>
      <c r="J2016" s="16" t="inlineStr">
        <is>
          <t>Open posting</t>
        </is>
      </c>
      <c r="K2016" s="8" t="inlineStr">
        <is>
          <t>filtered by keyword pre-scan</t>
        </is>
      </c>
      <c r="L2016" s="17" t="inlineStr">
        <is>
          <t>new</t>
        </is>
      </c>
      <c r="M2016" s="18" t="inlineStr"/>
      <c r="N2016" s="7" t="inlineStr">
        <is>
          <t>7d303705c9b629088cdb261d8954b46aff5907b3</t>
        </is>
      </c>
      <c r="O2016" s="14" t="n">
        <v>46190</v>
      </c>
      <c r="P2016" s="7" t="inlineStr">
        <is>
          <t>jobspy</t>
        </is>
      </c>
      <c r="Q2016" s="8" t="inlineStr">
        <is>
          <t>software development</t>
        </is>
      </c>
      <c r="R2016" s="8" t="inlineStr">
        <is>
          <t>Graduate Software Developer</t>
        </is>
      </c>
      <c r="S2016" s="19" t="n"/>
      <c r="T2016" s="19" t="n"/>
      <c r="U2016" s="14" t="n">
        <v>46191</v>
      </c>
      <c r="V2016" s="7" t="inlineStr">
        <is>
          <t>v2-cv-accuracy-13b988b18da8ea7d</t>
        </is>
      </c>
    </row>
    <row r="2017" ht="28" customHeight="1">
      <c r="A2017" s="12">
        <f>IF($L2017="applied","Applied",IF($L2017="interview","Interview",IF($L2017="offer","Offer",IF($L2017="rejected","Rejected",IF($L2017="ignore","Ignore",IF($L2017="archive","Archive",IF($L2017="closed","Closed",IF($B2017="","Unscored",IF(AND($B2017&gt;=8,OR($H2017="",$H2017-TODAY()&lt;=14)),"P1 Apply",IF($B2017&gt;=7,"P2 Strong",IF($B2017&gt;=5,"P3 Maybe","P4 Low")))))))))))</f>
        <v/>
      </c>
      <c r="B2017" s="13" t="n">
        <v>0</v>
      </c>
      <c r="C2017" s="12" t="inlineStr">
        <is>
          <t>Graduate/Entry</t>
        </is>
      </c>
      <c r="D2017" s="8" t="inlineStr">
        <is>
          <t>Software Engineer, Junior / Graduate (m/f/*)</t>
        </is>
      </c>
      <c r="E2017" s="7" t="inlineStr">
        <is>
          <t>Quaisr</t>
        </is>
      </c>
      <c r="F2017" s="8" t="inlineStr">
        <is>
          <t>London, ENG, GB</t>
        </is>
      </c>
      <c r="G2017" s="8" t="n"/>
      <c r="H2017" s="14" t="n"/>
      <c r="I2017" s="15">
        <f>IF($H2017="","",$H2017-TODAY())</f>
        <v/>
      </c>
      <c r="J2017" s="16" t="inlineStr">
        <is>
          <t>Open posting</t>
        </is>
      </c>
      <c r="K2017" s="8" t="inlineStr">
        <is>
          <t>filtered by keyword pre-scan</t>
        </is>
      </c>
      <c r="L2017" s="17" t="inlineStr">
        <is>
          <t>new</t>
        </is>
      </c>
      <c r="M2017" s="18" t="inlineStr"/>
      <c r="N2017" s="7" t="inlineStr">
        <is>
          <t>16e7c21737d7d26945e4fcdebd8d5acb22e82050</t>
        </is>
      </c>
      <c r="O2017" s="14" t="n">
        <v>46190</v>
      </c>
      <c r="P2017" s="7" t="inlineStr">
        <is>
          <t>jobspy</t>
        </is>
      </c>
      <c r="Q2017" s="8" t="inlineStr">
        <is>
          <t>software development</t>
        </is>
      </c>
      <c r="R2017" s="8" t="inlineStr">
        <is>
          <t>Graduate Software Developer</t>
        </is>
      </c>
      <c r="S2017" s="19" t="n"/>
      <c r="T2017" s="19" t="n"/>
      <c r="U2017" s="14" t="n">
        <v>46191</v>
      </c>
      <c r="V2017" s="7" t="inlineStr">
        <is>
          <t>v2-cv-accuracy-13b988b18da8ea7d</t>
        </is>
      </c>
    </row>
    <row r="2018" ht="28" customHeight="1">
      <c r="A2018" s="12">
        <f>IF($L2018="applied","Applied",IF($L2018="interview","Interview",IF($L2018="offer","Offer",IF($L2018="rejected","Rejected",IF($L2018="ignore","Ignore",IF($L2018="archive","Archive",IF($L2018="closed","Closed",IF($B2018="","Unscored",IF(AND($B2018&gt;=8,OR($H2018="",$H2018-TODAY()&lt;=14)),"P1 Apply",IF($B2018&gt;=7,"P2 Strong",IF($B2018&gt;=5,"P3 Maybe","P4 Low")))))))))))</f>
        <v/>
      </c>
      <c r="B2018" s="13" t="n">
        <v>0</v>
      </c>
      <c r="C2018" s="12" t="inlineStr">
        <is>
          <t>Senior/Lead</t>
        </is>
      </c>
      <c r="D2018" s="8" t="inlineStr">
        <is>
          <t>Lead Full Stack Developer</t>
        </is>
      </c>
      <c r="E2018" s="7" t="inlineStr">
        <is>
          <t>TD</t>
        </is>
      </c>
      <c r="F2018" s="8" t="inlineStr">
        <is>
          <t>Belfast, NIR, GB</t>
        </is>
      </c>
      <c r="G2018" s="8" t="n"/>
      <c r="H2018" s="14" t="n"/>
      <c r="I2018" s="15">
        <f>IF($H2018="","",$H2018-TODAY())</f>
        <v/>
      </c>
      <c r="J2018" s="16" t="inlineStr">
        <is>
          <t>Open posting</t>
        </is>
      </c>
      <c r="K2018" s="8" t="inlineStr">
        <is>
          <t>filtered by keyword pre-scan</t>
        </is>
      </c>
      <c r="L2018" s="17" t="inlineStr">
        <is>
          <t>new</t>
        </is>
      </c>
      <c r="M2018" s="18" t="inlineStr"/>
      <c r="N2018" s="7" t="inlineStr">
        <is>
          <t>3e641a685371868b559f4d126ce88f5e1648fce8</t>
        </is>
      </c>
      <c r="O2018" s="14" t="n">
        <v>46190</v>
      </c>
      <c r="P2018" s="7" t="inlineStr">
        <is>
          <t>jobspy</t>
        </is>
      </c>
      <c r="Q2018" s="8" t="inlineStr"/>
      <c r="R2018" s="8" t="inlineStr">
        <is>
          <t>Graduate Software Developer</t>
        </is>
      </c>
      <c r="S2018" s="19" t="n"/>
      <c r="T2018" s="19" t="n"/>
      <c r="U2018" s="14" t="n">
        <v>46191</v>
      </c>
      <c r="V2018" s="7" t="inlineStr">
        <is>
          <t>v2-cv-accuracy-13b988b18da8ea7d</t>
        </is>
      </c>
    </row>
    <row r="2019" ht="28" customHeight="1">
      <c r="A2019" s="12">
        <f>IF($L2019="applied","Applied",IF($L2019="interview","Interview",IF($L2019="offer","Offer",IF($L2019="rejected","Rejected",IF($L2019="ignore","Ignore",IF($L2019="archive","Archive",IF($L2019="closed","Closed",IF($B2019="","Unscored",IF(AND($B2019&gt;=8,OR($H2019="",$H2019-TODAY()&lt;=14)),"P1 Apply",IF($B2019&gt;=7,"P2 Strong",IF($B2019&gt;=5,"P3 Maybe","P4 Low")))))))))))</f>
        <v/>
      </c>
      <c r="B2019" s="13" t="n">
        <v>0</v>
      </c>
      <c r="C2019" s="12" t="inlineStr">
        <is>
          <t>Manager/Owner</t>
        </is>
      </c>
      <c r="D2019" s="8" t="inlineStr">
        <is>
          <t>Global Mobility Technology - Assistant Manager</t>
        </is>
      </c>
      <c r="E2019" s="7" t="inlineStr">
        <is>
          <t>KPMG</t>
        </is>
      </c>
      <c r="F2019" s="8" t="inlineStr">
        <is>
          <t>London, ENG, GB</t>
        </is>
      </c>
      <c r="G2019" s="8" t="n"/>
      <c r="H2019" s="14" t="n"/>
      <c r="I2019" s="15">
        <f>IF($H2019="","",$H2019-TODAY())</f>
        <v/>
      </c>
      <c r="J2019" s="16" t="inlineStr">
        <is>
          <t>Open posting</t>
        </is>
      </c>
      <c r="K2019" s="8" t="inlineStr">
        <is>
          <t>filtered by keyword pre-scan</t>
        </is>
      </c>
      <c r="L2019" s="17" t="inlineStr">
        <is>
          <t>new</t>
        </is>
      </c>
      <c r="M2019" s="18" t="inlineStr"/>
      <c r="N2019" s="7" t="inlineStr">
        <is>
          <t>e8916bf4efca475ae771bfed0a8e13de7a5e03a9</t>
        </is>
      </c>
      <c r="O2019" s="14" t="n">
        <v>46190</v>
      </c>
      <c r="P2019" s="7" t="inlineStr">
        <is>
          <t>jobspy</t>
        </is>
      </c>
      <c r="Q2019" s="8" t="inlineStr">
        <is>
          <t>git</t>
        </is>
      </c>
      <c r="R2019" s="8" t="inlineStr">
        <is>
          <t>Graduate Software Developer</t>
        </is>
      </c>
      <c r="S2019" s="19" t="n"/>
      <c r="T2019" s="19" t="n"/>
      <c r="U2019" s="14" t="n">
        <v>46191</v>
      </c>
      <c r="V2019" s="7" t="inlineStr">
        <is>
          <t>v2-cv-accuracy-13b988b18da8ea7d</t>
        </is>
      </c>
    </row>
    <row r="2020" ht="28" customHeight="1">
      <c r="A2020" s="12">
        <f>IF($L2020="applied","Applied",IF($L2020="interview","Interview",IF($L2020="offer","Offer",IF($L2020="rejected","Rejected",IF($L2020="ignore","Ignore",IF($L2020="archive","Archive",IF($L2020="closed","Closed",IF($B2020="","Unscored",IF(AND($B2020&gt;=8,OR($H2020="",$H2020-TODAY()&lt;=14)),"P1 Apply",IF($B2020&gt;=7,"P2 Strong",IF($B2020&gt;=5,"P3 Maybe","P4 Low")))))))))))</f>
        <v/>
      </c>
      <c r="B2020" s="13" t="n">
        <v>0</v>
      </c>
      <c r="C2020" s="12" t="inlineStr">
        <is>
          <t>Senior/Lead</t>
        </is>
      </c>
      <c r="D2020" s="8" t="inlineStr">
        <is>
          <t>Senior Analyst Developer, Senior Vice President</t>
        </is>
      </c>
      <c r="E2020" s="7" t="inlineStr">
        <is>
          <t>Citi</t>
        </is>
      </c>
      <c r="F2020" s="8" t="inlineStr">
        <is>
          <t>London, ENG, GB</t>
        </is>
      </c>
      <c r="G2020" s="8" t="n"/>
      <c r="H2020" s="14" t="n"/>
      <c r="I2020" s="15">
        <f>IF($H2020="","",$H2020-TODAY())</f>
        <v/>
      </c>
      <c r="J2020" s="16" t="inlineStr">
        <is>
          <t>Open posting</t>
        </is>
      </c>
      <c r="K2020" s="8" t="inlineStr">
        <is>
          <t>filtered by keyword pre-scan</t>
        </is>
      </c>
      <c r="L2020" s="17" t="inlineStr">
        <is>
          <t>new</t>
        </is>
      </c>
      <c r="M2020" s="18" t="inlineStr"/>
      <c r="N2020" s="7" t="inlineStr">
        <is>
          <t>7ecf03b0cdced88b0dd98a7da8091144ee9a58c6</t>
        </is>
      </c>
      <c r="O2020" s="14" t="n">
        <v>46189</v>
      </c>
      <c r="P2020" s="7" t="inlineStr">
        <is>
          <t>jobspy</t>
        </is>
      </c>
      <c r="Q2020" s="8" t="inlineStr">
        <is>
          <t>sql, git</t>
        </is>
      </c>
      <c r="R2020" s="8" t="inlineStr">
        <is>
          <t>Graduate Software Developer</t>
        </is>
      </c>
      <c r="S2020" s="19" t="n"/>
      <c r="T2020" s="19" t="n"/>
      <c r="U2020" s="14" t="n">
        <v>46191</v>
      </c>
      <c r="V2020" s="7" t="inlineStr">
        <is>
          <t>v2-cv-accuracy-13b988b18da8ea7d</t>
        </is>
      </c>
    </row>
    <row r="2021" ht="28" customHeight="1">
      <c r="A2021" s="12">
        <f>IF($L2021="applied","Applied",IF($L2021="interview","Interview",IF($L2021="offer","Offer",IF($L2021="rejected","Rejected",IF($L2021="ignore","Ignore",IF($L2021="archive","Archive",IF($L2021="closed","Closed",IF($B2021="","Unscored",IF(AND($B2021&gt;=8,OR($H2021="",$H2021-TODAY()&lt;=14)),"P1 Apply",IF($B2021&gt;=7,"P2 Strong",IF($B2021&gt;=5,"P3 Maybe","P4 Low")))))))))))</f>
        <v/>
      </c>
      <c r="B2021" s="13" t="n">
        <v>0</v>
      </c>
      <c r="C2021" s="12" t="inlineStr">
        <is>
          <t>Senior/Lead</t>
        </is>
      </c>
      <c r="D2021" s="8" t="inlineStr">
        <is>
          <t>Surveyor - Senior Surveyor - Valuation &amp; Asset Advisory - Specialist Valuations</t>
        </is>
      </c>
      <c r="E2021" s="7" t="inlineStr">
        <is>
          <t>Montagu Evans LLP</t>
        </is>
      </c>
      <c r="F2021" s="8" t="inlineStr">
        <is>
          <t>London, ENG, GB</t>
        </is>
      </c>
      <c r="G2021" s="8" t="n"/>
      <c r="H2021" s="14" t="n"/>
      <c r="I2021" s="15">
        <f>IF($H2021="","",$H2021-TODAY())</f>
        <v/>
      </c>
      <c r="J2021" s="16" t="inlineStr">
        <is>
          <t>Open posting</t>
        </is>
      </c>
      <c r="K2021" s="8" t="inlineStr">
        <is>
          <t>filtered by keyword pre-scan</t>
        </is>
      </c>
      <c r="L2021" s="17" t="inlineStr">
        <is>
          <t>new</t>
        </is>
      </c>
      <c r="M2021" s="18" t="inlineStr"/>
      <c r="N2021" s="7" t="inlineStr">
        <is>
          <t>a53a31d9d0704305090ade2774f357fa08b1486d</t>
        </is>
      </c>
      <c r="O2021" s="14" t="n">
        <v>46188</v>
      </c>
      <c r="P2021" s="7" t="inlineStr">
        <is>
          <t>jobspy</t>
        </is>
      </c>
      <c r="Q2021" s="8" t="inlineStr"/>
      <c r="R2021" s="8" t="inlineStr">
        <is>
          <t>Graduate Software Developer</t>
        </is>
      </c>
      <c r="S2021" s="19" t="n"/>
      <c r="T2021" s="19" t="n"/>
      <c r="U2021" s="14" t="n">
        <v>46191</v>
      </c>
      <c r="V2021" s="7" t="inlineStr">
        <is>
          <t>v2-cv-accuracy-13b988b18da8ea7d</t>
        </is>
      </c>
    </row>
    <row r="2022" ht="28" customHeight="1">
      <c r="A2022" s="12">
        <f>IF($L2022="applied","Applied",IF($L2022="interview","Interview",IF($L2022="offer","Offer",IF($L2022="rejected","Rejected",IF($L2022="ignore","Ignore",IF($L2022="archive","Archive",IF($L2022="closed","Closed",IF($B2022="","Unscored",IF(AND($B2022&gt;=8,OR($H2022="",$H2022-TODAY()&lt;=14)),"P1 Apply",IF($B2022&gt;=7,"P2 Strong",IF($B2022&gt;=5,"P3 Maybe","P4 Low")))))))))))</f>
        <v/>
      </c>
      <c r="B2022" s="13" t="n">
        <v>0</v>
      </c>
      <c r="C2022" s="12" t="inlineStr">
        <is>
          <t>Apprentice/Trainee</t>
        </is>
      </c>
      <c r="D2022" s="8" t="inlineStr">
        <is>
          <t>Systems Developer Graduate Apprentice</t>
        </is>
      </c>
      <c r="E2022" s="7" t="inlineStr">
        <is>
          <t>Fife Council</t>
        </is>
      </c>
      <c r="F2022" s="8" t="inlineStr">
        <is>
          <t>Glenrothes, SCT, GB</t>
        </is>
      </c>
      <c r="G2022" s="8" t="n"/>
      <c r="H2022" s="14" t="n"/>
      <c r="I2022" s="15">
        <f>IF($H2022="","",$H2022-TODAY())</f>
        <v/>
      </c>
      <c r="J2022" s="16" t="inlineStr">
        <is>
          <t>Open posting</t>
        </is>
      </c>
      <c r="K2022" s="8" t="inlineStr">
        <is>
          <t>filtered by keyword pre-scan</t>
        </is>
      </c>
      <c r="L2022" s="17" t="inlineStr">
        <is>
          <t>new</t>
        </is>
      </c>
      <c r="M2022" s="18" t="inlineStr"/>
      <c r="N2022" s="7" t="inlineStr">
        <is>
          <t>3a4acc99acd2ffbdf84818df1e1de5ec585d8310</t>
        </is>
      </c>
      <c r="O2022" s="14" t="n">
        <v>46187</v>
      </c>
      <c r="P2022" s="7" t="inlineStr">
        <is>
          <t>jobspy</t>
        </is>
      </c>
      <c r="Q2022" s="8" t="inlineStr">
        <is>
          <t>git, software development</t>
        </is>
      </c>
      <c r="R2022" s="8" t="inlineStr">
        <is>
          <t>Graduate Software Developer</t>
        </is>
      </c>
      <c r="S2022" s="19" t="n"/>
      <c r="T2022" s="19" t="n"/>
      <c r="U2022" s="14" t="n">
        <v>46191</v>
      </c>
      <c r="V2022" s="7" t="inlineStr">
        <is>
          <t>v2-cv-accuracy-13b988b18da8ea7d</t>
        </is>
      </c>
    </row>
    <row r="2023" ht="28" customHeight="1">
      <c r="A2023" s="12">
        <f>IF($L2023="applied","Applied",IF($L2023="interview","Interview",IF($L2023="offer","Offer",IF($L2023="rejected","Rejected",IF($L2023="ignore","Ignore",IF($L2023="archive","Archive",IF($L2023="closed","Closed",IF($B2023="","Unscored",IF(AND($B2023&gt;=8,OR($H2023="",$H2023-TODAY()&lt;=14)),"P1 Apply",IF($B2023&gt;=7,"P2 Strong",IF($B2023&gt;=5,"P3 Maybe","P4 Low")))))))))))</f>
        <v/>
      </c>
      <c r="B2023" s="13" t="n">
        <v>0</v>
      </c>
      <c r="C2023" s="12" t="inlineStr">
        <is>
          <t>Manager/Owner</t>
        </is>
      </c>
      <c r="D2023" s="8" t="inlineStr">
        <is>
          <t>Manager - Customer Interaction Suite</t>
        </is>
      </c>
      <c r="E2023" s="7" t="inlineStr">
        <is>
          <t>Tata Communications</t>
        </is>
      </c>
      <c r="F2023" s="8" t="inlineStr">
        <is>
          <t>London, ENG, GB</t>
        </is>
      </c>
      <c r="G2023" s="8" t="n"/>
      <c r="H2023" s="14" t="n"/>
      <c r="I2023" s="15">
        <f>IF($H2023="","",$H2023-TODAY())</f>
        <v/>
      </c>
      <c r="J2023" s="16" t="inlineStr">
        <is>
          <t>Open posting</t>
        </is>
      </c>
      <c r="K2023" s="8" t="inlineStr">
        <is>
          <t>filtered by keyword pre-scan</t>
        </is>
      </c>
      <c r="L2023" s="17" t="inlineStr">
        <is>
          <t>new</t>
        </is>
      </c>
      <c r="M2023" s="18" t="inlineStr"/>
      <c r="N2023" s="7" t="inlineStr">
        <is>
          <t>82da5cd9ebbe6696ed9f968e28eaf6a34272aa9e</t>
        </is>
      </c>
      <c r="O2023" s="14" t="n">
        <v>46185</v>
      </c>
      <c r="P2023" s="7" t="inlineStr">
        <is>
          <t>jobspy</t>
        </is>
      </c>
      <c r="Q2023" s="8" t="inlineStr">
        <is>
          <t>python, sql, git</t>
        </is>
      </c>
      <c r="R2023" s="8" t="inlineStr">
        <is>
          <t>Graduate Software Developer</t>
        </is>
      </c>
      <c r="S2023" s="19" t="n"/>
      <c r="T2023" s="19" t="n"/>
      <c r="U2023" s="14" t="n">
        <v>46191</v>
      </c>
      <c r="V2023" s="7" t="inlineStr">
        <is>
          <t>v2-cv-accuracy-13b988b18da8ea7d</t>
        </is>
      </c>
    </row>
    <row r="2024" ht="28" customHeight="1">
      <c r="A2024" s="12">
        <f>IF($L2024="applied","Applied",IF($L2024="interview","Interview",IF($L2024="offer","Offer",IF($L2024="rejected","Rejected",IF($L2024="ignore","Ignore",IF($L2024="archive","Archive",IF($L2024="closed","Closed",IF($B2024="","Unscored",IF(AND($B2024&gt;=8,OR($H2024="",$H2024-TODAY()&lt;=14)),"P1 Apply",IF($B2024&gt;=7,"P2 Strong",IF($B2024&gt;=5,"P3 Maybe","P4 Low")))))))))))</f>
        <v/>
      </c>
      <c r="B2024" s="13" t="n">
        <v>0</v>
      </c>
      <c r="C2024" s="12" t="inlineStr">
        <is>
          <t>Manager/Owner</t>
        </is>
      </c>
      <c r="D2024" s="8" t="inlineStr">
        <is>
          <t>Community Manager</t>
        </is>
      </c>
      <c r="E2024" s="7" t="inlineStr">
        <is>
          <t>Substrate Bio</t>
        </is>
      </c>
      <c r="F2024" s="8" t="inlineStr">
        <is>
          <t>London, ENG, GB</t>
        </is>
      </c>
      <c r="G2024" s="8" t="n"/>
      <c r="H2024" s="14" t="n"/>
      <c r="I2024" s="15">
        <f>IF($H2024="","",$H2024-TODAY())</f>
        <v/>
      </c>
      <c r="J2024" s="16" t="inlineStr">
        <is>
          <t>Open posting</t>
        </is>
      </c>
      <c r="K2024" s="8" t="inlineStr">
        <is>
          <t>filtered by keyword pre-scan</t>
        </is>
      </c>
      <c r="L2024" s="17" t="inlineStr">
        <is>
          <t>new</t>
        </is>
      </c>
      <c r="M2024" s="18" t="inlineStr"/>
      <c r="N2024" s="7" t="inlineStr">
        <is>
          <t>19178adef0abb76bc29eda31726cb1d1617943b2</t>
        </is>
      </c>
      <c r="O2024" s="14" t="n">
        <v>46185</v>
      </c>
      <c r="P2024" s="7" t="inlineStr">
        <is>
          <t>jobspy</t>
        </is>
      </c>
      <c r="Q2024" s="8" t="inlineStr"/>
      <c r="R2024" s="8" t="inlineStr">
        <is>
          <t>Graduate Software Developer</t>
        </is>
      </c>
      <c r="S2024" s="19" t="n"/>
      <c r="T2024" s="19" t="n"/>
      <c r="U2024" s="14" t="n">
        <v>46191</v>
      </c>
      <c r="V2024" s="7" t="inlineStr">
        <is>
          <t>v2-cv-accuracy-13b988b18da8ea7d</t>
        </is>
      </c>
    </row>
    <row r="2025" ht="28" customHeight="1">
      <c r="A2025" s="12">
        <f>IF($L2025="applied","Applied",IF($L2025="interview","Interview",IF($L2025="offer","Offer",IF($L2025="rejected","Rejected",IF($L2025="ignore","Ignore",IF($L2025="archive","Archive",IF($L2025="closed","Closed",IF($B2025="","Unscored",IF(AND($B2025&gt;=8,OR($H2025="",$H2025-TODAY()&lt;=14)),"P1 Apply",IF($B2025&gt;=7,"P2 Strong",IF($B2025&gt;=5,"P3 Maybe","P4 Low")))))))))))</f>
        <v/>
      </c>
      <c r="B2025" s="13" t="n">
        <v>0</v>
      </c>
      <c r="C2025" s="12" t="inlineStr">
        <is>
          <t>Apprentice/Trainee</t>
        </is>
      </c>
      <c r="D2025" s="8" t="inlineStr">
        <is>
          <t>Apprentice Software Developer</t>
        </is>
      </c>
      <c r="E2025" s="7" t="inlineStr">
        <is>
          <t>NEC Corporation</t>
        </is>
      </c>
      <c r="F2025" s="8" t="inlineStr">
        <is>
          <t>Bracknell, ENG, GB</t>
        </is>
      </c>
      <c r="G2025" s="8" t="n"/>
      <c r="H2025" s="14" t="n"/>
      <c r="I2025" s="15">
        <f>IF($H2025="","",$H2025-TODAY())</f>
        <v/>
      </c>
      <c r="J2025" s="16" t="inlineStr">
        <is>
          <t>Open posting</t>
        </is>
      </c>
      <c r="K2025" s="8" t="inlineStr">
        <is>
          <t>filtered by keyword pre-scan</t>
        </is>
      </c>
      <c r="L2025" s="17" t="inlineStr">
        <is>
          <t>new</t>
        </is>
      </c>
      <c r="M2025" s="18" t="inlineStr"/>
      <c r="N2025" s="7" t="inlineStr">
        <is>
          <t>3ac60210c6334b69ea2dcec88d23aff0e3b291f1</t>
        </is>
      </c>
      <c r="O2025" s="14" t="n">
        <v>46185</v>
      </c>
      <c r="P2025" s="7" t="inlineStr">
        <is>
          <t>jobspy</t>
        </is>
      </c>
      <c r="Q2025" s="8" t="inlineStr">
        <is>
          <t>git, software development</t>
        </is>
      </c>
      <c r="R2025" s="8" t="inlineStr">
        <is>
          <t>Graduate Software Developer</t>
        </is>
      </c>
      <c r="S2025" s="19" t="n"/>
      <c r="T2025" s="19" t="n"/>
      <c r="U2025" s="14" t="n">
        <v>46191</v>
      </c>
      <c r="V2025" s="7" t="inlineStr">
        <is>
          <t>v2-cv-accuracy-13b988b18da8ea7d</t>
        </is>
      </c>
    </row>
    <row r="2026" ht="28" customHeight="1">
      <c r="A2026" s="12">
        <f>IF($L2026="applied","Applied",IF($L2026="interview","Interview",IF($L2026="offer","Offer",IF($L2026="rejected","Rejected",IF($L2026="ignore","Ignore",IF($L2026="archive","Archive",IF($L2026="closed","Closed",IF($B2026="","Unscored",IF(AND($B2026&gt;=8,OR($H2026="",$H2026-TODAY()&lt;=14)),"P1 Apply",IF($B2026&gt;=7,"P2 Strong",IF($B2026&gt;=5,"P3 Maybe","P4 Low")))))))))))</f>
        <v/>
      </c>
      <c r="B2026" s="13" t="n">
        <v>0</v>
      </c>
      <c r="C2026" s="12" t="inlineStr">
        <is>
          <t>Junior</t>
        </is>
      </c>
      <c r="D2026" s="8" t="inlineStr">
        <is>
          <t>Junior Software Engineer</t>
        </is>
      </c>
      <c r="E2026" s="7" t="inlineStr">
        <is>
          <t>Tripadvisor</t>
        </is>
      </c>
      <c r="F2026" s="8" t="inlineStr">
        <is>
          <t>Oxford, England, UK</t>
        </is>
      </c>
      <c r="G2026" s="8" t="n"/>
      <c r="H2026" s="14" t="n"/>
      <c r="I2026" s="15">
        <f>IF($H2026="","",$H2026-TODAY())</f>
        <v/>
      </c>
      <c r="J2026" s="16" t="inlineStr">
        <is>
          <t>Open posting</t>
        </is>
      </c>
      <c r="K2026" s="8" t="inlineStr">
        <is>
          <t>filtered by keyword pre-scan</t>
        </is>
      </c>
      <c r="L2026" s="17" t="inlineStr">
        <is>
          <t>new</t>
        </is>
      </c>
      <c r="M2026" s="18" t="inlineStr"/>
      <c r="N2026" s="7" t="inlineStr">
        <is>
          <t>062d9aeb1c6d7678f0c6015bcf23028474d28eee</t>
        </is>
      </c>
      <c r="O2026" s="14" t="n">
        <v>46188</v>
      </c>
      <c r="P2026" s="7" t="inlineStr">
        <is>
          <t>jobspy</t>
        </is>
      </c>
      <c r="Q2026" s="8" t="inlineStr">
        <is>
          <t>python, sql</t>
        </is>
      </c>
      <c r="R2026" s="8" t="inlineStr">
        <is>
          <t>Graduate Software Developer</t>
        </is>
      </c>
      <c r="S2026" s="19" t="n"/>
      <c r="T2026" s="19" t="n"/>
      <c r="U2026" s="14" t="n">
        <v>46191</v>
      </c>
      <c r="V2026" s="7" t="inlineStr">
        <is>
          <t>v2-cv-accuracy-13b988b18da8ea7d</t>
        </is>
      </c>
    </row>
    <row r="2027" ht="28" customHeight="1">
      <c r="A2027" s="12">
        <f>IF($L2027="applied","Applied",IF($L2027="interview","Interview",IF($L2027="offer","Offer",IF($L2027="rejected","Rejected",IF($L2027="ignore","Ignore",IF($L2027="archive","Archive",IF($L2027="closed","Closed",IF($B2027="","Unscored",IF(AND($B2027&gt;=8,OR($H2027="",$H2027-TODAY()&lt;=14)),"P1 Apply",IF($B2027&gt;=7,"P2 Strong",IF($B2027&gt;=5,"P3 Maybe","P4 Low")))))))))))</f>
        <v/>
      </c>
      <c r="B2027" s="13" t="n">
        <v>0</v>
      </c>
      <c r="C2027" s="12" t="inlineStr">
        <is>
          <t>Junior</t>
        </is>
      </c>
      <c r="D2027" s="8" t="inlineStr">
        <is>
          <t>Junior Software Engineer</t>
        </is>
      </c>
      <c r="E2027" s="7" t="inlineStr">
        <is>
          <t>hackajob</t>
        </is>
      </c>
      <c r="F2027" s="8" t="inlineStr">
        <is>
          <t>London, England, UK</t>
        </is>
      </c>
      <c r="G2027" s="8" t="n"/>
      <c r="H2027" s="14" t="n"/>
      <c r="I2027" s="15">
        <f>IF($H2027="","",$H2027-TODAY())</f>
        <v/>
      </c>
      <c r="J2027" s="16" t="inlineStr">
        <is>
          <t>Open posting</t>
        </is>
      </c>
      <c r="K2027" s="8" t="inlineStr">
        <is>
          <t>filtered by keyword pre-scan</t>
        </is>
      </c>
      <c r="L2027" s="17" t="inlineStr">
        <is>
          <t>new</t>
        </is>
      </c>
      <c r="M2027" s="18" t="inlineStr"/>
      <c r="N2027" s="7" t="inlineStr">
        <is>
          <t>043265f8a83df9697a12fbd56ac171357fed6e8b</t>
        </is>
      </c>
      <c r="O2027" s="14" t="n">
        <v>46186</v>
      </c>
      <c r="P2027" s="7" t="inlineStr">
        <is>
          <t>jobspy</t>
        </is>
      </c>
      <c r="Q2027" s="8" t="inlineStr">
        <is>
          <t>python, sql, git</t>
        </is>
      </c>
      <c r="R2027" s="8" t="inlineStr">
        <is>
          <t>Graduate Software Developer</t>
        </is>
      </c>
      <c r="S2027" s="19" t="n"/>
      <c r="T2027" s="19" t="n"/>
      <c r="U2027" s="14" t="n">
        <v>46191</v>
      </c>
      <c r="V2027" s="7" t="inlineStr">
        <is>
          <t>v2-cv-accuracy-13b988b18da8ea7d</t>
        </is>
      </c>
    </row>
    <row r="2028" ht="28" customHeight="1">
      <c r="A2028" s="12">
        <f>IF($L2028="applied","Applied",IF($L2028="interview","Interview",IF($L2028="offer","Offer",IF($L2028="rejected","Rejected",IF($L2028="ignore","Ignore",IF($L2028="archive","Archive",IF($L2028="closed","Closed",IF($B2028="","Unscored",IF(AND($B2028&gt;=8,OR($H2028="",$H2028-TODAY()&lt;=14)),"P1 Apply",IF($B2028&gt;=7,"P2 Strong",IF($B2028&gt;=5,"P3 Maybe","P4 Low")))))))))))</f>
        <v/>
      </c>
      <c r="B2028" s="13" t="n">
        <v>0</v>
      </c>
      <c r="C2028" s="12" t="inlineStr">
        <is>
          <t>Junior</t>
        </is>
      </c>
      <c r="D2028" s="8" t="inlineStr">
        <is>
          <t>Junior Full Stack Software Engineer (Remote or Hybrid)</t>
        </is>
      </c>
      <c r="E2028" s="7" t="inlineStr">
        <is>
          <t>Spencer West</t>
        </is>
      </c>
      <c r="F2028" s="8" t="inlineStr">
        <is>
          <t>London, England, UK</t>
        </is>
      </c>
      <c r="G2028" s="8" t="n"/>
      <c r="H2028" s="14" t="n"/>
      <c r="I2028" s="15">
        <f>IF($H2028="","",$H2028-TODAY())</f>
        <v/>
      </c>
      <c r="J2028" s="16" t="inlineStr">
        <is>
          <t>Open posting</t>
        </is>
      </c>
      <c r="K2028" s="8" t="inlineStr">
        <is>
          <t>filtered by keyword pre-scan</t>
        </is>
      </c>
      <c r="L2028" s="17" t="inlineStr">
        <is>
          <t>new</t>
        </is>
      </c>
      <c r="M2028" s="18" t="inlineStr"/>
      <c r="N2028" s="7" t="inlineStr">
        <is>
          <t>99987743407fc988ea48c579611f36e958604d36</t>
        </is>
      </c>
      <c r="O2028" s="14" t="n">
        <v>46175</v>
      </c>
      <c r="P2028" s="7" t="inlineStr">
        <is>
          <t>jobspy</t>
        </is>
      </c>
      <c r="Q2028" s="8" t="inlineStr">
        <is>
          <t>sql, git</t>
        </is>
      </c>
      <c r="R2028" s="8" t="inlineStr">
        <is>
          <t>Graduate Software Developer</t>
        </is>
      </c>
      <c r="S2028" s="19" t="n"/>
      <c r="T2028" s="19" t="n"/>
      <c r="U2028" s="14" t="n">
        <v>46191</v>
      </c>
      <c r="V2028" s="7" t="inlineStr">
        <is>
          <t>v2-cv-accuracy-13b988b18da8ea7d</t>
        </is>
      </c>
    </row>
    <row r="2029" ht="28" customHeight="1">
      <c r="A2029" s="12">
        <f>IF($L2029="applied","Applied",IF($L2029="interview","Interview",IF($L2029="offer","Offer",IF($L2029="rejected","Rejected",IF($L2029="ignore","Ignore",IF($L2029="archive","Archive",IF($L2029="closed","Closed",IF($B2029="","Unscored",IF(AND($B2029&gt;=8,OR($H2029="",$H2029-TODAY()&lt;=14)),"P1 Apply",IF($B2029&gt;=7,"P2 Strong",IF($B2029&gt;=5,"P3 Maybe","P4 Low")))))))))))</f>
        <v/>
      </c>
      <c r="B2029" s="13" t="n">
        <v>0</v>
      </c>
      <c r="C2029" s="12" t="inlineStr">
        <is>
          <t>Graduate/Entry</t>
        </is>
      </c>
      <c r="D2029" s="8" t="inlineStr">
        <is>
          <t>Graduate Software Engineer</t>
        </is>
      </c>
      <c r="E2029" s="7" t="inlineStr">
        <is>
          <t>Tata Technologies</t>
        </is>
      </c>
      <c r="F2029" s="8" t="inlineStr">
        <is>
          <t>Warwick, England, UK</t>
        </is>
      </c>
      <c r="G2029" s="8" t="n"/>
      <c r="H2029" s="14" t="n"/>
      <c r="I2029" s="15">
        <f>IF($H2029="","",$H2029-TODAY())</f>
        <v/>
      </c>
      <c r="J2029" s="16" t="inlineStr">
        <is>
          <t>Open posting</t>
        </is>
      </c>
      <c r="K2029" s="8" t="inlineStr">
        <is>
          <t>filtered by keyword pre-scan</t>
        </is>
      </c>
      <c r="L2029" s="17" t="inlineStr">
        <is>
          <t>new</t>
        </is>
      </c>
      <c r="M2029" s="18" t="inlineStr"/>
      <c r="N2029" s="7" t="inlineStr">
        <is>
          <t>5d00d39f200ca8a9a3a8ba0726f5ab96a0d333d7</t>
        </is>
      </c>
      <c r="O2029" s="14" t="n">
        <v>46174</v>
      </c>
      <c r="P2029" s="7" t="inlineStr">
        <is>
          <t>jobspy</t>
        </is>
      </c>
      <c r="Q2029" s="8" t="inlineStr">
        <is>
          <t>git</t>
        </is>
      </c>
      <c r="R2029" s="8" t="inlineStr">
        <is>
          <t>Graduate Software Developer</t>
        </is>
      </c>
      <c r="S2029" s="19" t="n"/>
      <c r="T2029" s="19" t="n"/>
      <c r="U2029" s="14" t="n">
        <v>46191</v>
      </c>
      <c r="V2029" s="7" t="inlineStr">
        <is>
          <t>v2-cv-accuracy-13b988b18da8ea7d</t>
        </is>
      </c>
    </row>
    <row r="2030" ht="28" customHeight="1">
      <c r="A2030" s="12">
        <f>IF($L2030="applied","Applied",IF($L2030="interview","Interview",IF($L2030="offer","Offer",IF($L2030="rejected","Rejected",IF($L2030="ignore","Ignore",IF($L2030="archive","Archive",IF($L2030="closed","Closed",IF($B2030="","Unscored",IF(AND($B2030&gt;=8,OR($H2030="",$H2030-TODAY()&lt;=14)),"P1 Apply",IF($B2030&gt;=7,"P2 Strong",IF($B2030&gt;=5,"P3 Maybe","P4 Low")))))))))))</f>
        <v/>
      </c>
      <c r="B2030" s="13" t="n">
        <v>0</v>
      </c>
      <c r="C2030" s="12" t="inlineStr">
        <is>
          <t>Senior/Lead</t>
        </is>
      </c>
      <c r="D2030" s="8" t="inlineStr">
        <is>
          <t>Power Systems/ HV Leader- North</t>
        </is>
      </c>
      <c r="E2030" s="7" t="inlineStr">
        <is>
          <t>Arup</t>
        </is>
      </c>
      <c r="F2030" s="8" t="inlineStr">
        <is>
          <t>Glasgow, SCT, GB</t>
        </is>
      </c>
      <c r="G2030" s="8" t="n"/>
      <c r="H2030" s="14" t="n"/>
      <c r="I2030" s="15">
        <f>IF($H2030="","",$H2030-TODAY())</f>
        <v/>
      </c>
      <c r="J2030" s="16" t="inlineStr">
        <is>
          <t>Open posting</t>
        </is>
      </c>
      <c r="K2030" s="8" t="inlineStr">
        <is>
          <t>filtered by keyword pre-scan</t>
        </is>
      </c>
      <c r="L2030" s="17" t="inlineStr">
        <is>
          <t>new</t>
        </is>
      </c>
      <c r="M2030" s="18" t="inlineStr"/>
      <c r="N2030" s="7" t="inlineStr">
        <is>
          <t>683c04e5064d287a152af4c19d974813e4679b78</t>
        </is>
      </c>
      <c r="O2030" s="14" t="n">
        <v>46183</v>
      </c>
      <c r="P2030" s="7" t="inlineStr">
        <is>
          <t>jobspy</t>
        </is>
      </c>
      <c r="Q2030" s="8" t="inlineStr">
        <is>
          <t>git</t>
        </is>
      </c>
      <c r="R2030" s="8" t="inlineStr">
        <is>
          <t>Graduate Software Developer Sheffield</t>
        </is>
      </c>
      <c r="S2030" s="19" t="n"/>
      <c r="T2030" s="19" t="n"/>
      <c r="U2030" s="14" t="n">
        <v>46191</v>
      </c>
      <c r="V2030" s="7" t="inlineStr">
        <is>
          <t>v2-cv-accuracy-13b988b18da8ea7d</t>
        </is>
      </c>
    </row>
    <row r="2031" ht="28" customHeight="1">
      <c r="A2031" s="12">
        <f>IF($L2031="applied","Applied",IF($L2031="interview","Interview",IF($L2031="offer","Offer",IF($L2031="rejected","Rejected",IF($L2031="ignore","Ignore",IF($L2031="archive","Archive",IF($L2031="closed","Closed",IF($B2031="","Unscored",IF(AND($B2031&gt;=8,OR($H2031="",$H2031-TODAY()&lt;=14)),"P1 Apply",IF($B2031&gt;=7,"P2 Strong",IF($B2031&gt;=5,"P3 Maybe","P4 Low")))))))))))</f>
        <v/>
      </c>
      <c r="B2031" s="13" t="n">
        <v>0</v>
      </c>
      <c r="C2031" s="12" t="inlineStr">
        <is>
          <t>Unspecified</t>
        </is>
      </c>
      <c r="D2031" s="8" t="inlineStr">
        <is>
          <t>C#/ .Net Software Developer (New Role)</t>
        </is>
      </c>
      <c r="E2031" s="7" t="inlineStr">
        <is>
          <t>RedRock Resourcing</t>
        </is>
      </c>
      <c r="F2031" s="8" t="inlineStr">
        <is>
          <t>Sheffield, England, UK</t>
        </is>
      </c>
      <c r="G2031" s="8" t="n"/>
      <c r="H2031" s="14" t="n"/>
      <c r="I2031" s="15">
        <f>IF($H2031="","",$H2031-TODAY())</f>
        <v/>
      </c>
      <c r="J2031" s="16" t="inlineStr">
        <is>
          <t>Open posting</t>
        </is>
      </c>
      <c r="K2031" s="8" t="inlineStr">
        <is>
          <t>filtered by keyword pre-scan</t>
        </is>
      </c>
      <c r="L2031" s="17" t="inlineStr">
        <is>
          <t>new</t>
        </is>
      </c>
      <c r="M2031" s="18" t="inlineStr"/>
      <c r="N2031" s="7" t="inlineStr">
        <is>
          <t>12621556fff5c30b59c3fe5ae378fddf14cb1ae9</t>
        </is>
      </c>
      <c r="O2031" s="14" t="n">
        <v>46184</v>
      </c>
      <c r="P2031" s="7" t="inlineStr">
        <is>
          <t>jobspy</t>
        </is>
      </c>
      <c r="Q2031" s="8" t="inlineStr"/>
      <c r="R2031" s="8" t="inlineStr">
        <is>
          <t>Graduate Software Developer Sheffield</t>
        </is>
      </c>
      <c r="S2031" s="19" t="n"/>
      <c r="T2031" s="19" t="n"/>
      <c r="U2031" s="14" t="n">
        <v>46191</v>
      </c>
      <c r="V2031" s="7" t="inlineStr">
        <is>
          <t>v2-cv-accuracy-13b988b18da8ea7d</t>
        </is>
      </c>
    </row>
    <row r="2032" ht="28" customHeight="1">
      <c r="A2032" s="12">
        <f>IF($L2032="applied","Applied",IF($L2032="interview","Interview",IF($L2032="offer","Offer",IF($L2032="rejected","Rejected",IF($L2032="ignore","Ignore",IF($L2032="archive","Archive",IF($L2032="closed","Closed",IF($B2032="","Unscored",IF(AND($B2032&gt;=8,OR($H2032="",$H2032-TODAY()&lt;=14)),"P1 Apply",IF($B2032&gt;=7,"P2 Strong",IF($B2032&gt;=5,"P3 Maybe","P4 Low")))))))))))</f>
        <v/>
      </c>
      <c r="B2032" s="13" t="n">
        <v>0</v>
      </c>
      <c r="C2032" s="12" t="inlineStr">
        <is>
          <t>Unspecified</t>
        </is>
      </c>
      <c r="D2032" s="8" t="inlineStr">
        <is>
          <t>Software Engineer (Web Portal Developer) - SC Cleared</t>
        </is>
      </c>
      <c r="E2032" s="7" t="inlineStr">
        <is>
          <t>CGI</t>
        </is>
      </c>
      <c r="F2032" s="8" t="inlineStr">
        <is>
          <t>Sheffield, England, UK</t>
        </is>
      </c>
      <c r="G2032" s="8" t="n"/>
      <c r="H2032" s="14" t="n"/>
      <c r="I2032" s="15">
        <f>IF($H2032="","",$H2032-TODAY())</f>
        <v/>
      </c>
      <c r="J2032" s="16" t="inlineStr">
        <is>
          <t>Open posting</t>
        </is>
      </c>
      <c r="K2032" s="8" t="inlineStr">
        <is>
          <t>filtered by keyword pre-scan</t>
        </is>
      </c>
      <c r="L2032" s="17" t="inlineStr">
        <is>
          <t>new</t>
        </is>
      </c>
      <c r="M2032" s="18" t="inlineStr"/>
      <c r="N2032" s="7" t="inlineStr">
        <is>
          <t>38b1bf5655f30af18b9f40cbda027be04f544254</t>
        </is>
      </c>
      <c r="O2032" s="14" t="n">
        <v>46182</v>
      </c>
      <c r="P2032" s="7" t="inlineStr">
        <is>
          <t>jobspy</t>
        </is>
      </c>
      <c r="Q2032" s="8" t="inlineStr">
        <is>
          <t>git, software development</t>
        </is>
      </c>
      <c r="R2032" s="8" t="inlineStr">
        <is>
          <t>Graduate Software Developer Sheffield</t>
        </is>
      </c>
      <c r="S2032" s="19" t="n"/>
      <c r="T2032" s="19" t="n"/>
      <c r="U2032" s="14" t="n">
        <v>46191</v>
      </c>
      <c r="V2032" s="7" t="inlineStr">
        <is>
          <t>v2-cv-accuracy-13b988b18da8ea7d</t>
        </is>
      </c>
    </row>
    <row r="2033" ht="28" customHeight="1">
      <c r="A2033" s="12">
        <f>IF($L2033="applied","Applied",IF($L2033="interview","Interview",IF($L2033="offer","Offer",IF($L2033="rejected","Rejected",IF($L2033="ignore","Ignore",IF($L2033="archive","Archive",IF($L2033="closed","Closed",IF($B2033="","Unscored",IF(AND($B2033&gt;=8,OR($H2033="",$H2033-TODAY()&lt;=14)),"P1 Apply",IF($B2033&gt;=7,"P2 Strong",IF($B2033&gt;=5,"P3 Maybe","P4 Low")))))))))))</f>
        <v/>
      </c>
      <c r="B2033" s="13" t="n">
        <v>0</v>
      </c>
      <c r="C2033" s="12" t="inlineStr">
        <is>
          <t>Senior/Lead</t>
        </is>
      </c>
      <c r="D2033" s="8" t="inlineStr">
        <is>
          <t>Automation Test Lead</t>
        </is>
      </c>
      <c r="E2033" s="7" t="inlineStr">
        <is>
          <t>Coforge</t>
        </is>
      </c>
      <c r="F2033" s="8" t="inlineStr">
        <is>
          <t>Sheffield, England, UK</t>
        </is>
      </c>
      <c r="G2033" s="8" t="n"/>
      <c r="H2033" s="14" t="n"/>
      <c r="I2033" s="15">
        <f>IF($H2033="","",$H2033-TODAY())</f>
        <v/>
      </c>
      <c r="J2033" s="16" t="inlineStr">
        <is>
          <t>Open posting</t>
        </is>
      </c>
      <c r="K2033" s="8" t="inlineStr">
        <is>
          <t>filtered by keyword pre-scan</t>
        </is>
      </c>
      <c r="L2033" s="17" t="inlineStr">
        <is>
          <t>new</t>
        </is>
      </c>
      <c r="M2033" s="18" t="inlineStr"/>
      <c r="N2033" s="7" t="inlineStr">
        <is>
          <t>b92f0b7de8b7e8ca801e9605d9e0fbebc8c68cdf</t>
        </is>
      </c>
      <c r="O2033" s="14" t="n">
        <v>46169</v>
      </c>
      <c r="P2033" s="7" t="inlineStr">
        <is>
          <t>jobspy</t>
        </is>
      </c>
      <c r="Q2033" s="8" t="inlineStr">
        <is>
          <t>python, sql, git</t>
        </is>
      </c>
      <c r="R2033" s="8" t="inlineStr">
        <is>
          <t>Graduate Software Developer Sheffield</t>
        </is>
      </c>
      <c r="S2033" s="19" t="n"/>
      <c r="T2033" s="19" t="n"/>
      <c r="U2033" s="14" t="n">
        <v>46191</v>
      </c>
      <c r="V2033" s="7" t="inlineStr">
        <is>
          <t>v2-cv-accuracy-13b988b18da8ea7d</t>
        </is>
      </c>
    </row>
    <row r="2034" ht="28" customHeight="1">
      <c r="A2034" s="12">
        <f>IF($L2034="applied","Applied",IF($L2034="interview","Interview",IF($L2034="offer","Offer",IF($L2034="rejected","Rejected",IF($L2034="ignore","Ignore",IF($L2034="archive","Archive",IF($L2034="closed","Closed",IF($B2034="","Unscored",IF(AND($B2034&gt;=8,OR($H2034="",$H2034-TODAY()&lt;=14)),"P1 Apply",IF($B2034&gt;=7,"P2 Strong",IF($B2034&gt;=5,"P3 Maybe","P4 Low")))))))))))</f>
        <v/>
      </c>
      <c r="B2034" s="13" t="n">
        <v>0</v>
      </c>
      <c r="C2034" s="12" t="inlineStr">
        <is>
          <t>Unspecified</t>
        </is>
      </c>
      <c r="D2034" s="8" t="inlineStr">
        <is>
          <t>Test Engineer</t>
        </is>
      </c>
      <c r="E2034" s="7" t="inlineStr">
        <is>
          <t>Tata Consultancy Services</t>
        </is>
      </c>
      <c r="F2034" s="8" t="inlineStr">
        <is>
          <t>London Area, United Kingdom</t>
        </is>
      </c>
      <c r="G2034" s="8" t="n"/>
      <c r="H2034" s="14" t="n"/>
      <c r="I2034" s="15">
        <f>IF($H2034="","",$H2034-TODAY())</f>
        <v/>
      </c>
      <c r="J2034" s="16" t="inlineStr">
        <is>
          <t>Open posting</t>
        </is>
      </c>
      <c r="K2034" s="8" t="inlineStr">
        <is>
          <t>filtered by keyword pre-scan</t>
        </is>
      </c>
      <c r="L2034" s="17" t="inlineStr">
        <is>
          <t>new</t>
        </is>
      </c>
      <c r="M2034" s="18" t="inlineStr"/>
      <c r="N2034" s="7" t="inlineStr">
        <is>
          <t>2f8f8299595798480ca8b3afe7c34a1ea668803c</t>
        </is>
      </c>
      <c r="O2034" s="14" t="n">
        <v>46167</v>
      </c>
      <c r="P2034" s="7" t="inlineStr">
        <is>
          <t>jobspy</t>
        </is>
      </c>
      <c r="Q2034" s="8" t="inlineStr">
        <is>
          <t>python, git</t>
        </is>
      </c>
      <c r="R2034" s="8" t="inlineStr">
        <is>
          <t>Graduate Software Developer Sheffield</t>
        </is>
      </c>
      <c r="S2034" s="19" t="n"/>
      <c r="T2034" s="19" t="n"/>
      <c r="U2034" s="14" t="n">
        <v>46191</v>
      </c>
      <c r="V2034" s="7" t="inlineStr">
        <is>
          <t>v2-cv-accuracy-13b988b18da8ea7d</t>
        </is>
      </c>
    </row>
    <row r="2035" ht="28" customHeight="1">
      <c r="A2035" s="12">
        <f>IF($L2035="applied","Applied",IF($L2035="interview","Interview",IF($L2035="offer","Offer",IF($L2035="rejected","Rejected",IF($L2035="ignore","Ignore",IF($L2035="archive","Archive",IF($L2035="closed","Closed",IF($B2035="","Unscored",IF(AND($B2035&gt;=8,OR($H2035="",$H2035-TODAY()&lt;=14)),"P1 Apply",IF($B2035&gt;=7,"P2 Strong",IF($B2035&gt;=5,"P3 Maybe","P4 Low")))))))))))</f>
        <v/>
      </c>
      <c r="B2035" s="13" t="n">
        <v>0</v>
      </c>
      <c r="C2035" s="12" t="inlineStr">
        <is>
          <t>Junior</t>
        </is>
      </c>
      <c r="D2035" s="8" t="inlineStr">
        <is>
          <t>Java (Kotlin) Developer (Agile, Test-Driven) AVP</t>
        </is>
      </c>
      <c r="E2035" s="7" t="inlineStr">
        <is>
          <t>Citi</t>
        </is>
      </c>
      <c r="F2035" s="8" t="inlineStr">
        <is>
          <t>London, ENG, GB</t>
        </is>
      </c>
      <c r="G2035" s="8" t="n"/>
      <c r="H2035" s="14" t="n"/>
      <c r="I2035" s="15">
        <f>IF($H2035="","",$H2035-TODAY())</f>
        <v/>
      </c>
      <c r="J2035" s="16" t="inlineStr">
        <is>
          <t>Open posting</t>
        </is>
      </c>
      <c r="K2035" s="8" t="inlineStr">
        <is>
          <t>filtered by keyword pre-scan</t>
        </is>
      </c>
      <c r="L2035" s="17" t="inlineStr">
        <is>
          <t>new</t>
        </is>
      </c>
      <c r="M2035" s="18" t="inlineStr"/>
      <c r="N2035" s="7" t="inlineStr">
        <is>
          <t>1c7758b2490b167d27e52266cab636e066d25401</t>
        </is>
      </c>
      <c r="O2035" s="14" t="n">
        <v>46181</v>
      </c>
      <c r="P2035" s="7" t="inlineStr">
        <is>
          <t>jobspy</t>
        </is>
      </c>
      <c r="Q2035" s="8" t="inlineStr">
        <is>
          <t>sql</t>
        </is>
      </c>
      <c r="R2035" s="8" t="inlineStr">
        <is>
          <t>junior Graduate Software Developer</t>
        </is>
      </c>
      <c r="S2035" s="19" t="n"/>
      <c r="T2035" s="19" t="n"/>
      <c r="U2035" s="14" t="n">
        <v>46191</v>
      </c>
      <c r="V2035" s="7" t="inlineStr">
        <is>
          <t>v2-cv-accuracy-13b988b18da8ea7d</t>
        </is>
      </c>
    </row>
    <row r="2036" ht="28" customHeight="1">
      <c r="A2036" s="12">
        <f>IF($L2036="applied","Applied",IF($L2036="interview","Interview",IF($L2036="offer","Offer",IF($L2036="rejected","Rejected",IF($L2036="ignore","Ignore",IF($L2036="archive","Archive",IF($L2036="closed","Closed",IF($B2036="","Unscored",IF(AND($B2036&gt;=8,OR($H2036="",$H2036-TODAY()&lt;=14)),"P1 Apply",IF($B2036&gt;=7,"P2 Strong",IF($B2036&gt;=5,"P3 Maybe","P4 Low")))))))))))</f>
        <v/>
      </c>
      <c r="B2036" s="13" t="n">
        <v>0</v>
      </c>
      <c r="C2036" s="12" t="inlineStr">
        <is>
          <t>Junior</t>
        </is>
      </c>
      <c r="D2036" s="8" t="inlineStr">
        <is>
          <t>Digital Operations &amp; AI Coordinator (Part-Time)</t>
        </is>
      </c>
      <c r="E2036" s="7" t="inlineStr">
        <is>
          <t>Nomaz Limited T/A Online Chemist</t>
        </is>
      </c>
      <c r="F2036" s="8" t="inlineStr">
        <is>
          <t>Gorleston-on-Sea, ENG, GB</t>
        </is>
      </c>
      <c r="G2036" s="8" t="n"/>
      <c r="H2036" s="14" t="n"/>
      <c r="I2036" s="15">
        <f>IF($H2036="","",$H2036-TODAY())</f>
        <v/>
      </c>
      <c r="J2036" s="16" t="inlineStr">
        <is>
          <t>Open posting</t>
        </is>
      </c>
      <c r="K2036" s="8" t="inlineStr">
        <is>
          <t>filtered by keyword pre-scan</t>
        </is>
      </c>
      <c r="L2036" s="17" t="inlineStr">
        <is>
          <t>new</t>
        </is>
      </c>
      <c r="M2036" s="18" t="inlineStr"/>
      <c r="N2036" s="7" t="inlineStr">
        <is>
          <t>cc60b25abb33fd7cbd4be835e001412cf9380c27</t>
        </is>
      </c>
      <c r="O2036" s="14" t="n">
        <v>46172</v>
      </c>
      <c r="P2036" s="7" t="inlineStr">
        <is>
          <t>jobspy</t>
        </is>
      </c>
      <c r="Q2036" s="8" t="inlineStr">
        <is>
          <t>javascript, git</t>
        </is>
      </c>
      <c r="R2036" s="8" t="inlineStr">
        <is>
          <t>junior Graduate Software Developer</t>
        </is>
      </c>
      <c r="S2036" s="19" t="n"/>
      <c r="T2036" s="19" t="n"/>
      <c r="U2036" s="14" t="n">
        <v>46191</v>
      </c>
      <c r="V2036" s="7" t="inlineStr">
        <is>
          <t>v2-cv-accuracy-13b988b18da8ea7d</t>
        </is>
      </c>
    </row>
    <row r="2037" ht="28" customHeight="1">
      <c r="A2037" s="12">
        <f>IF($L2037="applied","Applied",IF($L2037="interview","Interview",IF($L2037="offer","Offer",IF($L2037="rejected","Rejected",IF($L2037="ignore","Ignore",IF($L2037="archive","Archive",IF($L2037="closed","Closed",IF($B2037="","Unscored",IF(AND($B2037&gt;=8,OR($H2037="",$H2037-TODAY()&lt;=14)),"P1 Apply",IF($B2037&gt;=7,"P2 Strong",IF($B2037&gt;=5,"P3 Maybe","P4 Low")))))))))))</f>
        <v/>
      </c>
      <c r="B2037" s="13" t="n">
        <v>0</v>
      </c>
      <c r="C2037" s="12" t="inlineStr">
        <is>
          <t>Senior/Lead</t>
        </is>
      </c>
      <c r="D2037" s="8" t="inlineStr">
        <is>
          <t>Surveyor/Senior Surveyor - Landlord &amp; Tenant</t>
        </is>
      </c>
      <c r="E2037" s="7" t="inlineStr">
        <is>
          <t>Colliers</t>
        </is>
      </c>
      <c r="F2037" s="8" t="inlineStr">
        <is>
          <t>Birmingham, ENG, GB</t>
        </is>
      </c>
      <c r="G2037" s="8" t="n"/>
      <c r="H2037" s="14" t="n"/>
      <c r="I2037" s="15">
        <f>IF($H2037="","",$H2037-TODAY())</f>
        <v/>
      </c>
      <c r="J2037" s="16" t="inlineStr">
        <is>
          <t>Open posting</t>
        </is>
      </c>
      <c r="K2037" s="8" t="inlineStr">
        <is>
          <t>filtered by keyword pre-scan</t>
        </is>
      </c>
      <c r="L2037" s="17" t="inlineStr">
        <is>
          <t>new</t>
        </is>
      </c>
      <c r="M2037" s="18" t="inlineStr"/>
      <c r="N2037" s="7" t="inlineStr">
        <is>
          <t>a176bd3973e8a5b58e70edf985fee60a9b49c377</t>
        </is>
      </c>
      <c r="O2037" s="14" t="n">
        <v>46162</v>
      </c>
      <c r="P2037" s="7" t="inlineStr">
        <is>
          <t>jobspy</t>
        </is>
      </c>
      <c r="Q2037" s="8" t="inlineStr"/>
      <c r="R2037" s="8" t="inlineStr">
        <is>
          <t>junior Graduate Software Developer</t>
        </is>
      </c>
      <c r="S2037" s="19" t="n"/>
      <c r="T2037" s="19" t="n"/>
      <c r="U2037" s="14" t="n">
        <v>46191</v>
      </c>
      <c r="V2037" s="7" t="inlineStr">
        <is>
          <t>v2-cv-accuracy-13b988b18da8ea7d</t>
        </is>
      </c>
    </row>
    <row r="2038" ht="28" customHeight="1">
      <c r="A2038" s="12">
        <f>IF($L2038="applied","Applied",IF($L2038="interview","Interview",IF($L2038="offer","Offer",IF($L2038="rejected","Rejected",IF($L2038="ignore","Ignore",IF($L2038="archive","Archive",IF($L2038="closed","Closed",IF($B2038="","Unscored",IF(AND($B2038&gt;=8,OR($H2038="",$H2038-TODAY()&lt;=14)),"P1 Apply",IF($B2038&gt;=7,"P2 Strong",IF($B2038&gt;=5,"P3 Maybe","P4 Low")))))))))))</f>
        <v/>
      </c>
      <c r="B2038" s="13" t="n">
        <v>0</v>
      </c>
      <c r="C2038" s="12" t="inlineStr">
        <is>
          <t>Graduate/Entry</t>
        </is>
      </c>
      <c r="D2038" s="8" t="inlineStr">
        <is>
          <t>Junior Full Stack Developer (Remote) – £35,000 + Training Provided – Entry Level</t>
        </is>
      </c>
      <c r="E2038" s="7" t="inlineStr">
        <is>
          <t>Apply4U | Apply4U | Human-Assisted AI Job &amp; Recruitment Platform</t>
        </is>
      </c>
      <c r="F2038" s="8" t="inlineStr"/>
      <c r="G2038" s="8" t="n"/>
      <c r="H2038" s="14" t="n"/>
      <c r="I2038" s="15">
        <f>IF($H2038="","",$H2038-TODAY())</f>
        <v/>
      </c>
      <c r="J2038" s="16" t="inlineStr">
        <is>
          <t>Open posting</t>
        </is>
      </c>
      <c r="K2038" s="8" t="inlineStr">
        <is>
          <t>filtered by keyword pre-scan</t>
        </is>
      </c>
      <c r="L2038" s="17" t="inlineStr">
        <is>
          <t>new</t>
        </is>
      </c>
      <c r="M2038" s="18" t="inlineStr"/>
      <c r="N2038" s="7" t="inlineStr">
        <is>
          <t>1075c9c043116c053ae0a24b66d962d7e12a9258</t>
        </is>
      </c>
      <c r="O2038" s="14" t="n">
        <v>46188</v>
      </c>
      <c r="P2038" s="7" t="inlineStr">
        <is>
          <t>jobspy</t>
        </is>
      </c>
      <c r="Q2038" s="8" t="inlineStr">
        <is>
          <t>javascript, git, software development</t>
        </is>
      </c>
      <c r="R2038" s="8" t="inlineStr">
        <is>
          <t>junior Graduate Software Developer</t>
        </is>
      </c>
      <c r="S2038" s="19" t="n"/>
      <c r="T2038" s="19" t="n"/>
      <c r="U2038" s="14" t="n">
        <v>46191</v>
      </c>
      <c r="V2038" s="7" t="inlineStr">
        <is>
          <t>v2-cv-accuracy-13b988b18da8ea7d</t>
        </is>
      </c>
    </row>
    <row r="2039" ht="28" customHeight="1">
      <c r="A2039" s="12">
        <f>IF($L2039="applied","Applied",IF($L2039="interview","Interview",IF($L2039="offer","Offer",IF($L2039="rejected","Rejected",IF($L2039="ignore","Ignore",IF($L2039="archive","Archive",IF($L2039="closed","Closed",IF($B2039="","Unscored",IF(AND($B2039&gt;=8,OR($H2039="",$H2039-TODAY()&lt;=14)),"P1 Apply",IF($B2039&gt;=7,"P2 Strong",IF($B2039&gt;=5,"P3 Maybe","P4 Low")))))))))))</f>
        <v/>
      </c>
      <c r="B2039" s="13" t="n">
        <v>0</v>
      </c>
      <c r="C2039" s="12" t="inlineStr">
        <is>
          <t>Junior</t>
        </is>
      </c>
      <c r="D2039" s="8" t="inlineStr">
        <is>
          <t>Junior Full Stack Software Engineer (Remote first)</t>
        </is>
      </c>
      <c r="E2039" s="7" t="inlineStr">
        <is>
          <t>Spencer West</t>
        </is>
      </c>
      <c r="F2039" s="8" t="inlineStr">
        <is>
          <t>Birmingham, England, UK</t>
        </is>
      </c>
      <c r="G2039" s="8" t="n"/>
      <c r="H2039" s="14" t="n"/>
      <c r="I2039" s="15">
        <f>IF($H2039="","",$H2039-TODAY())</f>
        <v/>
      </c>
      <c r="J2039" s="16" t="inlineStr">
        <is>
          <t>Open posting</t>
        </is>
      </c>
      <c r="K2039" s="8" t="inlineStr">
        <is>
          <t>filtered by keyword pre-scan</t>
        </is>
      </c>
      <c r="L2039" s="17" t="inlineStr">
        <is>
          <t>new</t>
        </is>
      </c>
      <c r="M2039" s="18" t="inlineStr"/>
      <c r="N2039" s="7" t="inlineStr">
        <is>
          <t>4a2d4e16d2b0bf5a034f2a0b66792edff7106ff1</t>
        </is>
      </c>
      <c r="O2039" s="14" t="n">
        <v>46170</v>
      </c>
      <c r="P2039" s="7" t="inlineStr">
        <is>
          <t>jobspy</t>
        </is>
      </c>
      <c r="Q2039" s="8" t="inlineStr">
        <is>
          <t>sql, git</t>
        </is>
      </c>
      <c r="R2039" s="8" t="inlineStr">
        <is>
          <t>junior Graduate Software Developer</t>
        </is>
      </c>
      <c r="S2039" s="19" t="n"/>
      <c r="T2039" s="19" t="n"/>
      <c r="U2039" s="14" t="n">
        <v>46191</v>
      </c>
      <c r="V2039" s="7" t="inlineStr">
        <is>
          <t>v2-cv-accuracy-13b988b18da8ea7d</t>
        </is>
      </c>
    </row>
    <row r="2040" ht="28" customHeight="1">
      <c r="A2040" s="12">
        <f>IF($L2040="applied","Applied",IF($L2040="interview","Interview",IF($L2040="offer","Offer",IF($L2040="rejected","Rejected",IF($L2040="ignore","Ignore",IF($L2040="archive","Archive",IF($L2040="closed","Closed",IF($B2040="","Unscored",IF(AND($B2040&gt;=8,OR($H2040="",$H2040-TODAY()&lt;=14)),"P1 Apply",IF($B2040&gt;=7,"P2 Strong",IF($B2040&gt;=5,"P3 Maybe","P4 Low")))))))))))</f>
        <v/>
      </c>
      <c r="B2040" s="13" t="n">
        <v>0</v>
      </c>
      <c r="C2040" s="12" t="inlineStr">
        <is>
          <t>Internship</t>
        </is>
      </c>
      <c r="D2040" s="8" t="inlineStr">
        <is>
          <t>Web Developer Intern</t>
        </is>
      </c>
      <c r="E2040" s="7" t="inlineStr">
        <is>
          <t>Blue Oak Consulting</t>
        </is>
      </c>
      <c r="F2040" s="8" t="inlineStr">
        <is>
          <t>Birmingham, England, UK</t>
        </is>
      </c>
      <c r="G2040" s="8" t="n"/>
      <c r="H2040" s="14" t="n"/>
      <c r="I2040" s="15">
        <f>IF($H2040="","",$H2040-TODAY())</f>
        <v/>
      </c>
      <c r="J2040" s="16" t="inlineStr">
        <is>
          <t>Open posting</t>
        </is>
      </c>
      <c r="K2040" s="8" t="inlineStr">
        <is>
          <t>filtered by keyword pre-scan</t>
        </is>
      </c>
      <c r="L2040" s="17" t="inlineStr">
        <is>
          <t>new</t>
        </is>
      </c>
      <c r="M2040" s="18" t="inlineStr"/>
      <c r="N2040" s="7" t="inlineStr">
        <is>
          <t>4d6f12a35bbd41efe106e7efacc99bc474419dca</t>
        </is>
      </c>
      <c r="O2040" s="14" t="n"/>
      <c r="P2040" s="7" t="inlineStr">
        <is>
          <t>jobspy</t>
        </is>
      </c>
      <c r="Q2040" s="8" t="inlineStr">
        <is>
          <t>javascript, git, web development</t>
        </is>
      </c>
      <c r="R2040" s="8" t="inlineStr">
        <is>
          <t>junior Graduate Software Developer</t>
        </is>
      </c>
      <c r="S2040" s="19" t="n"/>
      <c r="T2040" s="19" t="n"/>
      <c r="U2040" s="14" t="n">
        <v>46191</v>
      </c>
      <c r="V2040" s="7" t="inlineStr">
        <is>
          <t>v2-cv-accuracy-13b988b18da8ea7d</t>
        </is>
      </c>
    </row>
    <row r="2041" ht="28" customHeight="1">
      <c r="A2041" s="12">
        <f>IF($L2041="applied","Applied",IF($L2041="interview","Interview",IF($L2041="offer","Offer",IF($L2041="rejected","Rejected",IF($L2041="ignore","Ignore",IF($L2041="archive","Archive",IF($L2041="closed","Closed",IF($B2041="","Unscored",IF(AND($B2041&gt;=8,OR($H2041="",$H2041-TODAY()&lt;=14)),"P1 Apply",IF($B2041&gt;=7,"P2 Strong",IF($B2041&gt;=5,"P3 Maybe","P4 Low")))))))))))</f>
        <v/>
      </c>
      <c r="B2041" s="13" t="n">
        <v>0</v>
      </c>
      <c r="C2041" s="12" t="inlineStr">
        <is>
          <t>Graduate/Entry</t>
        </is>
      </c>
      <c r="D2041" s="8" t="inlineStr">
        <is>
          <t>Graduate Software Engineer</t>
        </is>
      </c>
      <c r="E2041" s="7" t="inlineStr">
        <is>
          <t>targetjobs UK</t>
        </is>
      </c>
      <c r="F2041" s="8" t="inlineStr">
        <is>
          <t>Great Preston, England, UK</t>
        </is>
      </c>
      <c r="G2041" s="8" t="n"/>
      <c r="H2041" s="14" t="n"/>
      <c r="I2041" s="15">
        <f>IF($H2041="","",$H2041-TODAY())</f>
        <v/>
      </c>
      <c r="J2041" s="16" t="inlineStr">
        <is>
          <t>Open posting</t>
        </is>
      </c>
      <c r="K2041" s="8" t="inlineStr">
        <is>
          <t>filtered by keyword pre-scan</t>
        </is>
      </c>
      <c r="L2041" s="17" t="inlineStr">
        <is>
          <t>new</t>
        </is>
      </c>
      <c r="M2041" s="18" t="inlineStr"/>
      <c r="N2041" s="7" t="inlineStr">
        <is>
          <t>471d01003e649a54a6e88e1adb31839ef22b12e3</t>
        </is>
      </c>
      <c r="O2041" s="14" t="n">
        <v>46175</v>
      </c>
      <c r="P2041" s="7" t="inlineStr">
        <is>
          <t>jobspy</t>
        </is>
      </c>
      <c r="Q2041" s="8" t="inlineStr"/>
      <c r="R2041" s="8" t="inlineStr">
        <is>
          <t>graduate Graduate Software Developer</t>
        </is>
      </c>
      <c r="S2041" s="19" t="n"/>
      <c r="T2041" s="19" t="n"/>
      <c r="U2041" s="14" t="n">
        <v>46191</v>
      </c>
      <c r="V2041" s="7" t="inlineStr">
        <is>
          <t>v2-cv-accuracy-13b988b18da8ea7d</t>
        </is>
      </c>
    </row>
    <row r="2042" ht="28" customHeight="1">
      <c r="A2042" s="12">
        <f>IF($L2042="applied","Applied",IF($L2042="interview","Interview",IF($L2042="offer","Offer",IF($L2042="rejected","Rejected",IF($L2042="ignore","Ignore",IF($L2042="archive","Archive",IF($L2042="closed","Closed",IF($B2042="","Unscored",IF(AND($B2042&gt;=8,OR($H2042="",$H2042-TODAY()&lt;=14)),"P1 Apply",IF($B2042&gt;=7,"P2 Strong",IF($B2042&gt;=5,"P3 Maybe","P4 Low")))))))))))</f>
        <v/>
      </c>
      <c r="B2042" s="13" t="n">
        <v>0</v>
      </c>
      <c r="C2042" s="12" t="inlineStr">
        <is>
          <t>Apprentice/Trainee</t>
        </is>
      </c>
      <c r="D2042" s="8" t="inlineStr">
        <is>
          <t>Software Data Science Degree Apprentice - Studentjob.co.uk</t>
        </is>
      </c>
      <c r="E2042" s="7" t="inlineStr">
        <is>
          <t>Jobster</t>
        </is>
      </c>
      <c r="F2042" s="8" t="inlineStr">
        <is>
          <t>Luton, England, UK</t>
        </is>
      </c>
      <c r="G2042" s="8" t="n"/>
      <c r="H2042" s="14" t="n"/>
      <c r="I2042" s="15">
        <f>IF($H2042="","",$H2042-TODAY())</f>
        <v/>
      </c>
      <c r="J2042" s="16" t="inlineStr">
        <is>
          <t>Open posting</t>
        </is>
      </c>
      <c r="K2042" s="8" t="inlineStr">
        <is>
          <t>filtered by keyword pre-scan</t>
        </is>
      </c>
      <c r="L2042" s="17" t="inlineStr">
        <is>
          <t>new</t>
        </is>
      </c>
      <c r="M2042" s="18" t="inlineStr"/>
      <c r="N2042" s="7" t="inlineStr">
        <is>
          <t>315ea2eebf78c104ea0b2ea0d459981af12a5ada</t>
        </is>
      </c>
      <c r="O2042" s="14" t="n">
        <v>46189</v>
      </c>
      <c r="P2042" s="7" t="inlineStr">
        <is>
          <t>jobspy</t>
        </is>
      </c>
      <c r="Q2042" s="8" t="inlineStr">
        <is>
          <t>git</t>
        </is>
      </c>
      <c r="R2042" s="8" t="inlineStr">
        <is>
          <t>entry level Graduate Software Developer</t>
        </is>
      </c>
      <c r="S2042" s="19" t="n"/>
      <c r="T2042" s="19" t="n"/>
      <c r="U2042" s="14" t="n">
        <v>46191</v>
      </c>
      <c r="V2042" s="7" t="inlineStr">
        <is>
          <t>v2-cv-accuracy-13b988b18da8ea7d</t>
        </is>
      </c>
    </row>
    <row r="2043" ht="28" customHeight="1">
      <c r="A2043" s="12">
        <f>IF($L2043="applied","Applied",IF($L2043="interview","Interview",IF($L2043="offer","Offer",IF($L2043="rejected","Rejected",IF($L2043="ignore","Ignore",IF($L2043="archive","Archive",IF($L2043="closed","Closed",IF($B2043="","Unscored",IF(AND($B2043&gt;=8,OR($H2043="",$H2043-TODAY()&lt;=14)),"P1 Apply",IF($B2043&gt;=7,"P2 Strong",IF($B2043&gt;=5,"P3 Maybe","P4 Low")))))))))))</f>
        <v/>
      </c>
      <c r="B2043" s="13" t="n">
        <v>0</v>
      </c>
      <c r="C2043" s="12" t="inlineStr">
        <is>
          <t>Junior</t>
        </is>
      </c>
      <c r="D2043" s="8" t="inlineStr">
        <is>
          <t>Junior Software Engineer</t>
        </is>
      </c>
      <c r="E2043" s="7" t="inlineStr">
        <is>
          <t>Miniclip</t>
        </is>
      </c>
      <c r="F2043" s="8" t="inlineStr">
        <is>
          <t>Derby, England, UK</t>
        </is>
      </c>
      <c r="G2043" s="8" t="n"/>
      <c r="H2043" s="14" t="n"/>
      <c r="I2043" s="15">
        <f>IF($H2043="","",$H2043-TODAY())</f>
        <v/>
      </c>
      <c r="J2043" s="16" t="inlineStr">
        <is>
          <t>Open posting</t>
        </is>
      </c>
      <c r="K2043" s="8" t="inlineStr">
        <is>
          <t>filtered by keyword pre-scan</t>
        </is>
      </c>
      <c r="L2043" s="17" t="inlineStr">
        <is>
          <t>new</t>
        </is>
      </c>
      <c r="M2043" s="18" t="inlineStr"/>
      <c r="N2043" s="7" t="inlineStr">
        <is>
          <t>22b11999dbfdf2d54b50eca41e9e2600bd3f83f5</t>
        </is>
      </c>
      <c r="O2043" s="14" t="n">
        <v>46188</v>
      </c>
      <c r="P2043" s="7" t="inlineStr">
        <is>
          <t>jobspy</t>
        </is>
      </c>
      <c r="Q2043" s="8" t="inlineStr">
        <is>
          <t>software development</t>
        </is>
      </c>
      <c r="R2043" s="8" t="inlineStr">
        <is>
          <t>entry level Graduate Software Developer</t>
        </is>
      </c>
      <c r="S2043" s="19" t="n"/>
      <c r="T2043" s="19" t="n"/>
      <c r="U2043" s="14" t="n">
        <v>46191</v>
      </c>
      <c r="V2043" s="7" t="inlineStr">
        <is>
          <t>v2-cv-accuracy-13b988b18da8ea7d</t>
        </is>
      </c>
    </row>
    <row r="2044" ht="28" customHeight="1">
      <c r="A2044" s="12">
        <f>IF($L2044="applied","Applied",IF($L2044="interview","Interview",IF($L2044="offer","Offer",IF($L2044="rejected","Rejected",IF($L2044="ignore","Ignore",IF($L2044="archive","Archive",IF($L2044="closed","Closed",IF($B2044="","Unscored",IF(AND($B2044&gt;=8,OR($H2044="",$H2044-TODAY()&lt;=14)),"P1 Apply",IF($B2044&gt;=7,"P2 Strong",IF($B2044&gt;=5,"P3 Maybe","P4 Low")))))))))))</f>
        <v/>
      </c>
      <c r="B2044" s="13" t="n">
        <v>0</v>
      </c>
      <c r="C2044" s="12" t="inlineStr">
        <is>
          <t>Graduate/Entry</t>
        </is>
      </c>
      <c r="D2044" s="8" t="inlineStr">
        <is>
          <t>Consultant Software Engineer</t>
        </is>
      </c>
      <c r="E2044" s="7" t="inlineStr">
        <is>
          <t>Softwire</t>
        </is>
      </c>
      <c r="F2044" s="8" t="inlineStr">
        <is>
          <t>London Area, United Kingdom</t>
        </is>
      </c>
      <c r="G2044" s="8" t="n"/>
      <c r="H2044" s="14" t="n"/>
      <c r="I2044" s="15">
        <f>IF($H2044="","",$H2044-TODAY())</f>
        <v/>
      </c>
      <c r="J2044" s="16" t="inlineStr">
        <is>
          <t>Open posting</t>
        </is>
      </c>
      <c r="K2044" s="8" t="inlineStr">
        <is>
          <t>filtered by keyword pre-scan</t>
        </is>
      </c>
      <c r="L2044" s="17" t="inlineStr">
        <is>
          <t>new</t>
        </is>
      </c>
      <c r="M2044" s="18" t="inlineStr"/>
      <c r="N2044" s="7" t="inlineStr">
        <is>
          <t>2efca163c85c85cc7a704e6deecb6cdd1665a68d</t>
        </is>
      </c>
      <c r="O2044" s="14" t="n">
        <v>46188</v>
      </c>
      <c r="P2044" s="7" t="inlineStr">
        <is>
          <t>jobspy</t>
        </is>
      </c>
      <c r="Q2044" s="8" t="inlineStr">
        <is>
          <t>git</t>
        </is>
      </c>
      <c r="R2044" s="8" t="inlineStr">
        <is>
          <t>entry level Graduate Software Developer</t>
        </is>
      </c>
      <c r="S2044" s="19" t="n"/>
      <c r="T2044" s="19" t="n"/>
      <c r="U2044" s="14" t="n">
        <v>46191</v>
      </c>
      <c r="V2044" s="7" t="inlineStr">
        <is>
          <t>v2-cv-accuracy-13b988b18da8ea7d</t>
        </is>
      </c>
    </row>
    <row r="2045" ht="28" customHeight="1">
      <c r="A2045" s="12">
        <f>IF($L2045="applied","Applied",IF($L2045="interview","Interview",IF($L2045="offer","Offer",IF($L2045="rejected","Rejected",IF($L2045="ignore","Ignore",IF($L2045="archive","Archive",IF($L2045="closed","Closed",IF($B2045="","Unscored",IF(AND($B2045&gt;=8,OR($H2045="",$H2045-TODAY()&lt;=14)),"P1 Apply",IF($B2045&gt;=7,"P2 Strong",IF($B2045&gt;=5,"P3 Maybe","P4 Low")))))))))))</f>
        <v/>
      </c>
      <c r="B2045" s="13" t="n">
        <v>0</v>
      </c>
      <c r="C2045" s="12" t="inlineStr">
        <is>
          <t>Junior</t>
        </is>
      </c>
      <c r="D2045" s="8" t="inlineStr">
        <is>
          <t>Research Assistant/Associate in Digital Twin Development</t>
        </is>
      </c>
      <c r="E2045" s="7" t="inlineStr">
        <is>
          <t>Newcastle University</t>
        </is>
      </c>
      <c r="F2045" s="8" t="inlineStr">
        <is>
          <t>Newcastle, England, UK</t>
        </is>
      </c>
      <c r="G2045" s="8" t="n"/>
      <c r="H2045" s="14" t="n">
        <v>46198</v>
      </c>
      <c r="I2045" s="15">
        <f>IF($H2045="","",$H2045-TODAY())</f>
        <v/>
      </c>
      <c r="J2045" s="16" t="inlineStr">
        <is>
          <t>Open posting</t>
        </is>
      </c>
      <c r="K2045" s="8" t="inlineStr">
        <is>
          <t>filtered by keyword pre-scan</t>
        </is>
      </c>
      <c r="L2045" s="17" t="inlineStr">
        <is>
          <t>new</t>
        </is>
      </c>
      <c r="M2045" s="18" t="inlineStr"/>
      <c r="N2045" s="7" t="inlineStr">
        <is>
          <t>f25e311a33b4cc275c7c23a2533e5d5a42923ce8</t>
        </is>
      </c>
      <c r="O2045" s="14" t="n">
        <v>46184</v>
      </c>
      <c r="P2045" s="7" t="inlineStr">
        <is>
          <t>jobspy</t>
        </is>
      </c>
      <c r="Q2045" s="8" t="inlineStr">
        <is>
          <t>git</t>
        </is>
      </c>
      <c r="R2045" s="8" t="inlineStr">
        <is>
          <t>entry level Graduate Software Developer</t>
        </is>
      </c>
      <c r="S2045" s="19" t="n"/>
      <c r="T2045" s="19" t="n"/>
      <c r="U2045" s="14" t="n">
        <v>46191</v>
      </c>
      <c r="V2045" s="7" t="inlineStr">
        <is>
          <t>v2-cv-accuracy-13b988b18da8ea7d</t>
        </is>
      </c>
    </row>
    <row r="2046" ht="28" customHeight="1">
      <c r="A2046" s="12">
        <f>IF($L2046="applied","Applied",IF($L2046="interview","Interview",IF($L2046="offer","Offer",IF($L2046="rejected","Rejected",IF($L2046="ignore","Ignore",IF($L2046="archive","Archive",IF($L2046="closed","Closed",IF($B2046="","Unscored",IF(AND($B2046&gt;=8,OR($H2046="",$H2046-TODAY()&lt;=14)),"P1 Apply",IF($B2046&gt;=7,"P2 Strong",IF($B2046&gt;=5,"P3 Maybe","P4 Low")))))))))))</f>
        <v/>
      </c>
      <c r="B2046" s="13" t="n">
        <v>0</v>
      </c>
      <c r="C2046" s="12" t="inlineStr">
        <is>
          <t>Graduate/Entry</t>
        </is>
      </c>
      <c r="D2046" s="8" t="inlineStr">
        <is>
          <t>Robotics Software Engineer</t>
        </is>
      </c>
      <c r="E2046" s="7" t="inlineStr">
        <is>
          <t>Hyster-Yale Materials Handling</t>
        </is>
      </c>
      <c r="F2046" s="8" t="inlineStr">
        <is>
          <t>Frimley, England, UK</t>
        </is>
      </c>
      <c r="G2046" s="8" t="n"/>
      <c r="H2046" s="14" t="n"/>
      <c r="I2046" s="15">
        <f>IF($H2046="","",$H2046-TODAY())</f>
        <v/>
      </c>
      <c r="J2046" s="16" t="inlineStr">
        <is>
          <t>Open posting</t>
        </is>
      </c>
      <c r="K2046" s="8" t="inlineStr">
        <is>
          <t>filtered by keyword pre-scan</t>
        </is>
      </c>
      <c r="L2046" s="17" t="inlineStr">
        <is>
          <t>new</t>
        </is>
      </c>
      <c r="M2046" s="18" t="inlineStr"/>
      <c r="N2046" s="7" t="inlineStr">
        <is>
          <t>8a794b29690e9cca1d9073d24e98bd6c44f107e7</t>
        </is>
      </c>
      <c r="O2046" s="14" t="n">
        <v>46178</v>
      </c>
      <c r="P2046" s="7" t="inlineStr">
        <is>
          <t>jobspy</t>
        </is>
      </c>
      <c r="Q2046" s="8" t="inlineStr"/>
      <c r="R2046" s="8" t="inlineStr">
        <is>
          <t>entry level Graduate Software Developer</t>
        </is>
      </c>
      <c r="S2046" s="19" t="n"/>
      <c r="T2046" s="19" t="n"/>
      <c r="U2046" s="14" t="n">
        <v>46191</v>
      </c>
      <c r="V2046" s="7" t="inlineStr">
        <is>
          <t>v2-cv-accuracy-13b988b18da8ea7d</t>
        </is>
      </c>
    </row>
    <row r="2047" ht="28" customHeight="1">
      <c r="A2047" s="12">
        <f>IF($L2047="applied","Applied",IF($L2047="interview","Interview",IF($L2047="offer","Offer",IF($L2047="rejected","Rejected",IF($L2047="ignore","Ignore",IF($L2047="archive","Archive",IF($L2047="closed","Closed",IF($B2047="","Unscored",IF(AND($B2047&gt;=8,OR($H2047="",$H2047-TODAY()&lt;=14)),"P1 Apply",IF($B2047&gt;=7,"P2 Strong",IF($B2047&gt;=5,"P3 Maybe","P4 Low")))))))))))</f>
        <v/>
      </c>
      <c r="B2047" s="13" t="n">
        <v>0</v>
      </c>
      <c r="C2047" s="12" t="inlineStr">
        <is>
          <t>Apprentice/Trainee</t>
        </is>
      </c>
      <c r="D2047" s="8" t="inlineStr">
        <is>
          <t>Software Data Science Degree Apprentice</t>
        </is>
      </c>
      <c r="E2047" s="7" t="inlineStr">
        <is>
          <t>Leonardo</t>
        </is>
      </c>
      <c r="F2047" s="8" t="inlineStr">
        <is>
          <t>Luton, England, UK</t>
        </is>
      </c>
      <c r="G2047" s="8" t="n"/>
      <c r="H2047" s="14" t="n"/>
      <c r="I2047" s="15">
        <f>IF($H2047="","",$H2047-TODAY())</f>
        <v/>
      </c>
      <c r="J2047" s="16" t="inlineStr">
        <is>
          <t>Open posting</t>
        </is>
      </c>
      <c r="K2047" s="8" t="inlineStr">
        <is>
          <t>filtered by keyword pre-scan</t>
        </is>
      </c>
      <c r="L2047" s="17" t="inlineStr">
        <is>
          <t>new</t>
        </is>
      </c>
      <c r="M2047" s="18" t="inlineStr"/>
      <c r="N2047" s="7" t="inlineStr">
        <is>
          <t>70e4291fb4810ed6c0301f455265dba62bee1737</t>
        </is>
      </c>
      <c r="O2047" s="14" t="n">
        <v>46177</v>
      </c>
      <c r="P2047" s="7" t="inlineStr">
        <is>
          <t>jobspy</t>
        </is>
      </c>
      <c r="Q2047" s="8" t="inlineStr">
        <is>
          <t>git</t>
        </is>
      </c>
      <c r="R2047" s="8" t="inlineStr">
        <is>
          <t>entry level Graduate Software Developer</t>
        </is>
      </c>
      <c r="S2047" s="19" t="n"/>
      <c r="T2047" s="19" t="n"/>
      <c r="U2047" s="14" t="n">
        <v>46191</v>
      </c>
      <c r="V2047" s="7" t="inlineStr">
        <is>
          <t>v2-cv-accuracy-13b988b18da8ea7d</t>
        </is>
      </c>
    </row>
    <row r="2048" ht="28" customHeight="1">
      <c r="A2048" s="12">
        <f>IF($L2048="applied","Applied",IF($L2048="interview","Interview",IF($L2048="offer","Offer",IF($L2048="rejected","Rejected",IF($L2048="ignore","Ignore",IF($L2048="archive","Archive",IF($L2048="closed","Closed",IF($B2048="","Unscored",IF(AND($B2048&gt;=8,OR($H2048="",$H2048-TODAY()&lt;=14)),"P1 Apply",IF($B2048&gt;=7,"P2 Strong",IF($B2048&gt;=5,"P3 Maybe","P4 Low")))))))))))</f>
        <v/>
      </c>
      <c r="B2048" s="13" t="n">
        <v>0</v>
      </c>
      <c r="C2048" s="12" t="inlineStr">
        <is>
          <t>Graduate/Entry</t>
        </is>
      </c>
      <c r="D2048" s="8" t="inlineStr">
        <is>
          <t>Graduate Software Engineer</t>
        </is>
      </c>
      <c r="E2048" s="7" t="inlineStr">
        <is>
          <t>Quant Capital</t>
        </is>
      </c>
      <c r="F2048" s="8" t="inlineStr">
        <is>
          <t>Greater London, England, UK</t>
        </is>
      </c>
      <c r="G2048" s="8" t="n"/>
      <c r="H2048" s="14" t="n"/>
      <c r="I2048" s="15">
        <f>IF($H2048="","",$H2048-TODAY())</f>
        <v/>
      </c>
      <c r="J2048" s="16" t="inlineStr">
        <is>
          <t>Open posting</t>
        </is>
      </c>
      <c r="K2048" s="8" t="inlineStr">
        <is>
          <t>filtered by keyword pre-scan</t>
        </is>
      </c>
      <c r="L2048" s="17" t="inlineStr">
        <is>
          <t>new</t>
        </is>
      </c>
      <c r="M2048" s="18" t="inlineStr"/>
      <c r="N2048" s="7" t="inlineStr">
        <is>
          <t>e516470b1ba53366ebe5c2fc34c0130621e60dc5</t>
        </is>
      </c>
      <c r="O2048" s="14" t="n">
        <v>46182</v>
      </c>
      <c r="P2048" s="7" t="inlineStr">
        <is>
          <t>jobspy</t>
        </is>
      </c>
      <c r="Q2048" s="8" t="inlineStr">
        <is>
          <t>sql</t>
        </is>
      </c>
      <c r="R2048" s="8" t="inlineStr">
        <is>
          <t>junior/graduate Graduate Software Developer</t>
        </is>
      </c>
      <c r="S2048" s="19" t="n"/>
      <c r="T2048" s="19" t="n"/>
      <c r="U2048" s="14" t="n">
        <v>46191</v>
      </c>
      <c r="V2048" s="7" t="inlineStr">
        <is>
          <t>v2-cv-accuracy-13b988b18da8ea7d</t>
        </is>
      </c>
    </row>
    <row r="2049" ht="28" customHeight="1">
      <c r="A2049" s="12">
        <f>IF($L2049="applied","Applied",IF($L2049="interview","Interview",IF($L2049="offer","Offer",IF($L2049="rejected","Rejected",IF($L2049="ignore","Ignore",IF($L2049="archive","Archive",IF($L2049="closed","Closed",IF($B2049="","Unscored",IF(AND($B2049&gt;=8,OR($H2049="",$H2049-TODAY()&lt;=14)),"P1 Apply",IF($B2049&gt;=7,"P2 Strong",IF($B2049&gt;=5,"P3 Maybe","P4 Low")))))))))))</f>
        <v/>
      </c>
      <c r="B2049" s="13" t="n">
        <v>0</v>
      </c>
      <c r="C2049" s="12" t="inlineStr">
        <is>
          <t>Unspecified</t>
        </is>
      </c>
      <c r="D2049" s="8" t="inlineStr">
        <is>
          <t>IT Application Designer</t>
        </is>
      </c>
      <c r="E2049" s="7" t="inlineStr">
        <is>
          <t>Ybrant Core Limited</t>
        </is>
      </c>
      <c r="F2049" s="8" t="inlineStr">
        <is>
          <t>Coventry, ENG, GB</t>
        </is>
      </c>
      <c r="G2049" s="8" t="n"/>
      <c r="H2049" s="14" t="n"/>
      <c r="I2049" s="15">
        <f>IF($H2049="","",$H2049-TODAY())</f>
        <v/>
      </c>
      <c r="J2049" s="16" t="inlineStr">
        <is>
          <t>Open posting</t>
        </is>
      </c>
      <c r="K2049" s="8" t="inlineStr">
        <is>
          <t>filtered by keyword pre-scan</t>
        </is>
      </c>
      <c r="L2049" s="17" t="inlineStr">
        <is>
          <t>new</t>
        </is>
      </c>
      <c r="M2049" s="18" t="inlineStr"/>
      <c r="N2049" s="7" t="inlineStr">
        <is>
          <t>6dc3f3bf9bfc6fd3e40197fb2882040de344f68f</t>
        </is>
      </c>
      <c r="O2049" s="14" t="n">
        <v>46182</v>
      </c>
      <c r="P2049" s="7" t="inlineStr">
        <is>
          <t>jobspy</t>
        </is>
      </c>
      <c r="Q2049" s="8" t="inlineStr"/>
      <c r="R2049" s="8" t="inlineStr">
        <is>
          <t>Graduate Software Developer remote</t>
        </is>
      </c>
      <c r="S2049" s="19" t="n"/>
      <c r="T2049" s="19" t="n"/>
      <c r="U2049" s="14" t="n">
        <v>46191</v>
      </c>
      <c r="V2049" s="7" t="inlineStr">
        <is>
          <t>v2-cv-accuracy-13b988b18da8ea7d</t>
        </is>
      </c>
    </row>
    <row r="2050" ht="28" customHeight="1">
      <c r="A2050" s="12">
        <f>IF($L2050="applied","Applied",IF($L2050="interview","Interview",IF($L2050="offer","Offer",IF($L2050="rejected","Rejected",IF($L2050="ignore","Ignore",IF($L2050="archive","Archive",IF($L2050="closed","Closed",IF($B2050="","Unscored",IF(AND($B2050&gt;=8,OR($H2050="",$H2050-TODAY()&lt;=14)),"P1 Apply",IF($B2050&gt;=7,"P2 Strong",IF($B2050&gt;=5,"P3 Maybe","P4 Low")))))))))))</f>
        <v/>
      </c>
      <c r="B2050" s="13" t="n">
        <v>0</v>
      </c>
      <c r="C2050" s="12" t="inlineStr">
        <is>
          <t>Senior/Lead</t>
        </is>
      </c>
      <c r="D2050" s="8" t="inlineStr">
        <is>
          <t>Technical Director Landscape Planner</t>
        </is>
      </c>
      <c r="E2050" s="7" t="inlineStr">
        <is>
          <t>AECOM</t>
        </is>
      </c>
      <c r="F2050" s="8" t="inlineStr">
        <is>
          <t>London, ENG, GB</t>
        </is>
      </c>
      <c r="G2050" s="8" t="n"/>
      <c r="H2050" s="14" t="n"/>
      <c r="I2050" s="15">
        <f>IF($H2050="","",$H2050-TODAY())</f>
        <v/>
      </c>
      <c r="J2050" s="16" t="inlineStr">
        <is>
          <t>Open posting</t>
        </is>
      </c>
      <c r="K2050" s="8" t="inlineStr">
        <is>
          <t>filtered by keyword pre-scan</t>
        </is>
      </c>
      <c r="L2050" s="17" t="inlineStr">
        <is>
          <t>new</t>
        </is>
      </c>
      <c r="M2050" s="18" t="inlineStr"/>
      <c r="N2050" s="7" t="inlineStr">
        <is>
          <t>69c049628f12f3b3347bd7a76cc62bf58e9f63f0</t>
        </is>
      </c>
      <c r="O2050" s="14" t="n">
        <v>46181</v>
      </c>
      <c r="P2050" s="7" t="inlineStr">
        <is>
          <t>jobspy</t>
        </is>
      </c>
      <c r="Q2050" s="8" t="inlineStr">
        <is>
          <t>git</t>
        </is>
      </c>
      <c r="R2050" s="8" t="inlineStr">
        <is>
          <t>Graduate Software Developer remote</t>
        </is>
      </c>
      <c r="S2050" s="19" t="n"/>
      <c r="T2050" s="19" t="n"/>
      <c r="U2050" s="14" t="n">
        <v>46191</v>
      </c>
      <c r="V2050" s="7" t="inlineStr">
        <is>
          <t>v2-cv-accuracy-13b988b18da8ea7d</t>
        </is>
      </c>
    </row>
    <row r="2051" ht="28" customHeight="1">
      <c r="A2051" s="12">
        <f>IF($L2051="applied","Applied",IF($L2051="interview","Interview",IF($L2051="offer","Offer",IF($L2051="rejected","Rejected",IF($L2051="ignore","Ignore",IF($L2051="archive","Archive",IF($L2051="closed","Closed",IF($B2051="","Unscored",IF(AND($B2051&gt;=8,OR($H2051="",$H2051-TODAY()&lt;=14)),"P1 Apply",IF($B2051&gt;=7,"P2 Strong",IF($B2051&gt;=5,"P3 Maybe","P4 Low")))))))))))</f>
        <v/>
      </c>
      <c r="B2051" s="13" t="n">
        <v>0</v>
      </c>
      <c r="C2051" s="12" t="inlineStr">
        <is>
          <t>Senior/Lead</t>
        </is>
      </c>
      <c r="D2051" s="8" t="inlineStr">
        <is>
          <t>Technical Director - Head of Landscape Planning (UK WIDE)</t>
        </is>
      </c>
      <c r="E2051" s="7" t="inlineStr">
        <is>
          <t>AECOM</t>
        </is>
      </c>
      <c r="F2051" s="8" t="inlineStr">
        <is>
          <t>London, ENG, GB</t>
        </is>
      </c>
      <c r="G2051" s="8" t="n"/>
      <c r="H2051" s="14" t="n"/>
      <c r="I2051" s="15">
        <f>IF($H2051="","",$H2051-TODAY())</f>
        <v/>
      </c>
      <c r="J2051" s="16" t="inlineStr">
        <is>
          <t>Open posting</t>
        </is>
      </c>
      <c r="K2051" s="8" t="inlineStr">
        <is>
          <t>filtered by keyword pre-scan</t>
        </is>
      </c>
      <c r="L2051" s="17" t="inlineStr">
        <is>
          <t>new</t>
        </is>
      </c>
      <c r="M2051" s="18" t="inlineStr"/>
      <c r="N2051" s="7" t="inlineStr">
        <is>
          <t>1e90b207ed8134b75b20041fd31d323e41b1e282</t>
        </is>
      </c>
      <c r="O2051" s="14" t="n">
        <v>46175</v>
      </c>
      <c r="P2051" s="7" t="inlineStr">
        <is>
          <t>jobspy</t>
        </is>
      </c>
      <c r="Q2051" s="8" t="inlineStr">
        <is>
          <t>git</t>
        </is>
      </c>
      <c r="R2051" s="8" t="inlineStr">
        <is>
          <t>Graduate Software Developer remote</t>
        </is>
      </c>
      <c r="S2051" s="19" t="n"/>
      <c r="T2051" s="19" t="n"/>
      <c r="U2051" s="14" t="n">
        <v>46191</v>
      </c>
      <c r="V2051" s="7" t="inlineStr">
        <is>
          <t>v2-cv-accuracy-13b988b18da8ea7d</t>
        </is>
      </c>
    </row>
    <row r="2052" ht="28" customHeight="1">
      <c r="A2052" s="12">
        <f>IF($L2052="applied","Applied",IF($L2052="interview","Interview",IF($L2052="offer","Offer",IF($L2052="rejected","Rejected",IF($L2052="ignore","Ignore",IF($L2052="archive","Archive",IF($L2052="closed","Closed",IF($B2052="","Unscored",IF(AND($B2052&gt;=8,OR($H2052="",$H2052-TODAY()&lt;=14)),"P1 Apply",IF($B2052&gt;=7,"P2 Strong",IF($B2052&gt;=5,"P3 Maybe","P4 Low")))))))))))</f>
        <v/>
      </c>
      <c r="B2052" s="13" t="n">
        <v>0</v>
      </c>
      <c r="C2052" s="12" t="inlineStr">
        <is>
          <t>Junior</t>
        </is>
      </c>
      <c r="D2052" s="8" t="inlineStr">
        <is>
          <t>Junior Developer – Application Services - IT Services - 107126 - Grade 5</t>
        </is>
      </c>
      <c r="E2052" s="7" t="inlineStr">
        <is>
          <t>University of Birmingham</t>
        </is>
      </c>
      <c r="F2052" s="8" t="inlineStr">
        <is>
          <t>Birmingham, ENG, GB</t>
        </is>
      </c>
      <c r="G2052" s="8" t="n"/>
      <c r="H2052" s="14" t="n">
        <v>46197</v>
      </c>
      <c r="I2052" s="15">
        <f>IF($H2052="","",$H2052-TODAY())</f>
        <v/>
      </c>
      <c r="J2052" s="16" t="inlineStr">
        <is>
          <t>Open posting</t>
        </is>
      </c>
      <c r="K2052" s="8" t="inlineStr">
        <is>
          <t>filtered by keyword pre-scan</t>
        </is>
      </c>
      <c r="L2052" s="17" t="inlineStr">
        <is>
          <t>new</t>
        </is>
      </c>
      <c r="M2052" s="18" t="inlineStr"/>
      <c r="N2052" s="7" t="inlineStr">
        <is>
          <t>1135237112485a7bbf0e8376694fae042b539485</t>
        </is>
      </c>
      <c r="O2052" s="14" t="n">
        <v>46189</v>
      </c>
      <c r="P2052" s="7" t="inlineStr">
        <is>
          <t>jobspy</t>
        </is>
      </c>
      <c r="Q2052" s="8" t="inlineStr">
        <is>
          <t>python, javascript, git, software development</t>
        </is>
      </c>
      <c r="R2052" s="8" t="inlineStr">
        <is>
          <t>Junior Python Developer</t>
        </is>
      </c>
      <c r="S2052" s="19" t="n"/>
      <c r="T2052" s="19" t="n"/>
      <c r="U2052" s="14" t="n">
        <v>46191</v>
      </c>
      <c r="V2052" s="7" t="inlineStr">
        <is>
          <t>v2-cv-accuracy-13b988b18da8ea7d</t>
        </is>
      </c>
    </row>
    <row r="2053" ht="28" customHeight="1">
      <c r="A2053" s="12">
        <f>IF($L2053="applied","Applied",IF($L2053="interview","Interview",IF($L2053="offer","Offer",IF($L2053="rejected","Rejected",IF($L2053="ignore","Ignore",IF($L2053="archive","Archive",IF($L2053="closed","Closed",IF($B2053="","Unscored",IF(AND($B2053&gt;=8,OR($H2053="",$H2053-TODAY()&lt;=14)),"P1 Apply",IF($B2053&gt;=7,"P2 Strong",IF($B2053&gt;=5,"P3 Maybe","P4 Low")))))))))))</f>
        <v/>
      </c>
      <c r="B2053" s="13" t="n">
        <v>0</v>
      </c>
      <c r="C2053" s="12" t="inlineStr">
        <is>
          <t>Senior/Lead</t>
        </is>
      </c>
      <c r="D2053" s="8" t="inlineStr">
        <is>
          <t>Senior Technical Lead</t>
        </is>
      </c>
      <c r="E2053" s="7" t="inlineStr">
        <is>
          <t>HCLTech</t>
        </is>
      </c>
      <c r="F2053" s="8" t="inlineStr">
        <is>
          <t>London, ENG, GB</t>
        </is>
      </c>
      <c r="G2053" s="8" t="n"/>
      <c r="H2053" s="14" t="n"/>
      <c r="I2053" s="15">
        <f>IF($H2053="","",$H2053-TODAY())</f>
        <v/>
      </c>
      <c r="J2053" s="16" t="inlineStr">
        <is>
          <t>Open posting</t>
        </is>
      </c>
      <c r="K2053" s="8" t="inlineStr">
        <is>
          <t>filtered by keyword pre-scan</t>
        </is>
      </c>
      <c r="L2053" s="17" t="inlineStr">
        <is>
          <t>new</t>
        </is>
      </c>
      <c r="M2053" s="18" t="inlineStr"/>
      <c r="N2053" s="7" t="inlineStr">
        <is>
          <t>462f192a2d19c1ce12324b92f050cbad2c618fb3</t>
        </is>
      </c>
      <c r="O2053" s="14" t="n">
        <v>46188</v>
      </c>
      <c r="P2053" s="7" t="inlineStr">
        <is>
          <t>jobspy</t>
        </is>
      </c>
      <c r="Q2053" s="8" t="inlineStr">
        <is>
          <t>python</t>
        </is>
      </c>
      <c r="R2053" s="8" t="inlineStr">
        <is>
          <t>Junior Python Developer</t>
        </is>
      </c>
      <c r="S2053" s="19" t="n"/>
      <c r="T2053" s="19" t="n"/>
      <c r="U2053" s="14" t="n">
        <v>46191</v>
      </c>
      <c r="V2053" s="7" t="inlineStr">
        <is>
          <t>v2-cv-accuracy-13b988b18da8ea7d</t>
        </is>
      </c>
    </row>
    <row r="2054" ht="28" customHeight="1">
      <c r="A2054" s="12">
        <f>IF($L2054="applied","Applied",IF($L2054="interview","Interview",IF($L2054="offer","Offer",IF($L2054="rejected","Rejected",IF($L2054="ignore","Ignore",IF($L2054="archive","Archive",IF($L2054="closed","Closed",IF($B2054="","Unscored",IF(AND($B2054&gt;=8,OR($H2054="",$H2054-TODAY()&lt;=14)),"P1 Apply",IF($B2054&gt;=7,"P2 Strong",IF($B2054&gt;=5,"P3 Maybe","P4 Low")))))))))))</f>
        <v/>
      </c>
      <c r="B2054" s="13" t="n">
        <v>0</v>
      </c>
      <c r="C2054" s="12" t="inlineStr">
        <is>
          <t>Senior/Lead</t>
        </is>
      </c>
      <c r="D2054" s="8" t="inlineStr">
        <is>
          <t>Lead Data Engineer</t>
        </is>
      </c>
      <c r="E2054" s="7" t="inlineStr">
        <is>
          <t>Liberis</t>
        </is>
      </c>
      <c r="F2054" s="8" t="inlineStr">
        <is>
          <t>London, ENG, GB</t>
        </is>
      </c>
      <c r="G2054" s="8" t="n"/>
      <c r="H2054" s="14" t="n"/>
      <c r="I2054" s="15">
        <f>IF($H2054="","",$H2054-TODAY())</f>
        <v/>
      </c>
      <c r="J2054" s="16" t="inlineStr">
        <is>
          <t>Open posting</t>
        </is>
      </c>
      <c r="K2054" s="8" t="inlineStr">
        <is>
          <t>filtered by keyword pre-scan</t>
        </is>
      </c>
      <c r="L2054" s="17" t="inlineStr">
        <is>
          <t>new</t>
        </is>
      </c>
      <c r="M2054" s="18" t="inlineStr"/>
      <c r="N2054" s="7" t="inlineStr">
        <is>
          <t>7b0653089d7447c00af814d5e23fbea3351f498a</t>
        </is>
      </c>
      <c r="O2054" s="14" t="n">
        <v>46188</v>
      </c>
      <c r="P2054" s="7" t="inlineStr">
        <is>
          <t>jobspy</t>
        </is>
      </c>
      <c r="Q2054" s="8" t="inlineStr">
        <is>
          <t>python, sql</t>
        </is>
      </c>
      <c r="R2054" s="8" t="inlineStr">
        <is>
          <t>Junior Python Developer</t>
        </is>
      </c>
      <c r="S2054" s="19" t="n"/>
      <c r="T2054" s="19" t="n"/>
      <c r="U2054" s="14" t="n">
        <v>46191</v>
      </c>
      <c r="V2054" s="7" t="inlineStr">
        <is>
          <t>v2-cv-accuracy-13b988b18da8ea7d</t>
        </is>
      </c>
    </row>
    <row r="2055" ht="28" customHeight="1">
      <c r="A2055" s="12">
        <f>IF($L2055="applied","Applied",IF($L2055="interview","Interview",IF($L2055="offer","Offer",IF($L2055="rejected","Rejected",IF($L2055="ignore","Ignore",IF($L2055="archive","Archive",IF($L2055="closed","Closed",IF($B2055="","Unscored",IF(AND($B2055&gt;=8,OR($H2055="",$H2055-TODAY()&lt;=14)),"P1 Apply",IF($B2055&gt;=7,"P2 Strong",IF($B2055&gt;=5,"P3 Maybe","P4 Low")))))))))))</f>
        <v/>
      </c>
      <c r="B2055" s="13" t="n">
        <v>0</v>
      </c>
      <c r="C2055" s="12" t="inlineStr">
        <is>
          <t>Senior/Lead</t>
        </is>
      </c>
      <c r="D2055" s="8" t="inlineStr">
        <is>
          <t>Lead Security - Full-Stack Software Engineer</t>
        </is>
      </c>
      <c r="E2055" s="7" t="inlineStr">
        <is>
          <t>JPMorganChase</t>
        </is>
      </c>
      <c r="F2055" s="8" t="inlineStr">
        <is>
          <t>London, ENG, GB</t>
        </is>
      </c>
      <c r="G2055" s="8" t="n"/>
      <c r="H2055" s="14" t="n"/>
      <c r="I2055" s="15">
        <f>IF($H2055="","",$H2055-TODAY())</f>
        <v/>
      </c>
      <c r="J2055" s="16" t="inlineStr">
        <is>
          <t>Open posting</t>
        </is>
      </c>
      <c r="K2055" s="8" t="inlineStr">
        <is>
          <t>filtered by keyword pre-scan</t>
        </is>
      </c>
      <c r="L2055" s="17" t="inlineStr">
        <is>
          <t>new</t>
        </is>
      </c>
      <c r="M2055" s="18" t="inlineStr"/>
      <c r="N2055" s="7" t="inlineStr">
        <is>
          <t>a68f8d51b48992e49190a67332e195d74f03ac14</t>
        </is>
      </c>
      <c r="O2055" s="14" t="n">
        <v>46188</v>
      </c>
      <c r="P2055" s="7" t="inlineStr">
        <is>
          <t>jobspy</t>
        </is>
      </c>
      <c r="Q2055" s="8" t="inlineStr">
        <is>
          <t>python, sql, javascript, git</t>
        </is>
      </c>
      <c r="R2055" s="8" t="inlineStr">
        <is>
          <t>Junior Python Developer</t>
        </is>
      </c>
      <c r="S2055" s="19" t="n"/>
      <c r="T2055" s="19" t="n"/>
      <c r="U2055" s="14" t="n">
        <v>46191</v>
      </c>
      <c r="V2055" s="7" t="inlineStr">
        <is>
          <t>v2-cv-accuracy-13b988b18da8ea7d</t>
        </is>
      </c>
    </row>
    <row r="2056" ht="28" customHeight="1">
      <c r="A2056" s="12">
        <f>IF($L2056="applied","Applied",IF($L2056="interview","Interview",IF($L2056="offer","Offer",IF($L2056="rejected","Rejected",IF($L2056="ignore","Ignore",IF($L2056="archive","Archive",IF($L2056="closed","Closed",IF($B2056="","Unscored",IF(AND($B2056&gt;=8,OR($H2056="",$H2056-TODAY()&lt;=14)),"P1 Apply",IF($B2056&gt;=7,"P2 Strong",IF($B2056&gt;=5,"P3 Maybe","P4 Low")))))))))))</f>
        <v/>
      </c>
      <c r="B2056" s="13" t="n">
        <v>0</v>
      </c>
      <c r="C2056" s="12" t="inlineStr">
        <is>
          <t>Junior</t>
        </is>
      </c>
      <c r="D2056" s="8" t="inlineStr">
        <is>
          <t>Software Engineer - Core Technology</t>
        </is>
      </c>
      <c r="E2056" s="7" t="inlineStr">
        <is>
          <t>AI Security Institute</t>
        </is>
      </c>
      <c r="F2056" s="8" t="inlineStr">
        <is>
          <t>London, ENG, GB</t>
        </is>
      </c>
      <c r="G2056" s="8" t="n"/>
      <c r="H2056" s="14" t="n"/>
      <c r="I2056" s="15">
        <f>IF($H2056="","",$H2056-TODAY())</f>
        <v/>
      </c>
      <c r="J2056" s="16" t="inlineStr">
        <is>
          <t>Open posting</t>
        </is>
      </c>
      <c r="K2056" s="8" t="inlineStr">
        <is>
          <t>filtered by keyword pre-scan</t>
        </is>
      </c>
      <c r="L2056" s="17" t="inlineStr">
        <is>
          <t>new</t>
        </is>
      </c>
      <c r="M2056" s="18" t="inlineStr"/>
      <c r="N2056" s="7" t="inlineStr">
        <is>
          <t>7617de3014bdae1a9f4c51d9530a6fde9c52d3cc</t>
        </is>
      </c>
      <c r="O2056" s="14" t="n">
        <v>46185</v>
      </c>
      <c r="P2056" s="7" t="inlineStr">
        <is>
          <t>jobspy</t>
        </is>
      </c>
      <c r="Q2056" s="8" t="inlineStr"/>
      <c r="R2056" s="8" t="inlineStr">
        <is>
          <t>Junior Python Developer</t>
        </is>
      </c>
      <c r="S2056" s="19" t="n"/>
      <c r="T2056" s="19" t="n"/>
      <c r="U2056" s="14" t="n">
        <v>46191</v>
      </c>
      <c r="V2056" s="7" t="inlineStr">
        <is>
          <t>v2-cv-accuracy-13b988b18da8ea7d</t>
        </is>
      </c>
    </row>
    <row r="2057" ht="28" customHeight="1">
      <c r="A2057" s="12">
        <f>IF($L2057="applied","Applied",IF($L2057="interview","Interview",IF($L2057="offer","Offer",IF($L2057="rejected","Rejected",IF($L2057="ignore","Ignore",IF($L2057="archive","Archive",IF($L2057="closed","Closed",IF($B2057="","Unscored",IF(AND($B2057&gt;=8,OR($H2057="",$H2057-TODAY()&lt;=14)),"P1 Apply",IF($B2057&gt;=7,"P2 Strong",IF($B2057&gt;=5,"P3 Maybe","P4 Low")))))))))))</f>
        <v/>
      </c>
      <c r="B2057" s="13" t="n">
        <v>0</v>
      </c>
      <c r="C2057" s="12" t="inlineStr">
        <is>
          <t>Senior/Lead</t>
        </is>
      </c>
      <c r="D2057" s="8" t="inlineStr">
        <is>
          <t>Senior Consultant - Full-stack Developer - DE - TC - UKI - Belfast</t>
        </is>
      </c>
      <c r="E2057" s="7" t="inlineStr">
        <is>
          <t>EY</t>
        </is>
      </c>
      <c r="F2057" s="8" t="inlineStr">
        <is>
          <t>Belfast, NIR, GB</t>
        </is>
      </c>
      <c r="G2057" s="8" t="n"/>
      <c r="H2057" s="14" t="n"/>
      <c r="I2057" s="15">
        <f>IF($H2057="","",$H2057-TODAY())</f>
        <v/>
      </c>
      <c r="J2057" s="16" t="inlineStr">
        <is>
          <t>Open posting</t>
        </is>
      </c>
      <c r="K2057" s="8" t="inlineStr">
        <is>
          <t>filtered by keyword pre-scan</t>
        </is>
      </c>
      <c r="L2057" s="17" t="inlineStr">
        <is>
          <t>new</t>
        </is>
      </c>
      <c r="M2057" s="18" t="inlineStr"/>
      <c r="N2057" s="7" t="inlineStr">
        <is>
          <t>340fe17ab14a4e2659dfe030cad6ae1596a30046</t>
        </is>
      </c>
      <c r="O2057" s="14" t="n">
        <v>46185</v>
      </c>
      <c r="P2057" s="7" t="inlineStr">
        <is>
          <t>jobspy</t>
        </is>
      </c>
      <c r="Q2057" s="8" t="inlineStr">
        <is>
          <t>javascript, git</t>
        </is>
      </c>
      <c r="R2057" s="8" t="inlineStr">
        <is>
          <t>Junior Python Developer</t>
        </is>
      </c>
      <c r="S2057" s="19" t="n"/>
      <c r="T2057" s="19" t="n"/>
      <c r="U2057" s="14" t="n">
        <v>46191</v>
      </c>
      <c r="V2057" s="7" t="inlineStr">
        <is>
          <t>v2-cv-accuracy-13b988b18da8ea7d</t>
        </is>
      </c>
    </row>
    <row r="2058" ht="28" customHeight="1">
      <c r="A2058" s="12">
        <f>IF($L2058="applied","Applied",IF($L2058="interview","Interview",IF($L2058="offer","Offer",IF($L2058="rejected","Rejected",IF($L2058="ignore","Ignore",IF($L2058="archive","Archive",IF($L2058="closed","Closed",IF($B2058="","Unscored",IF(AND($B2058&gt;=8,OR($H2058="",$H2058-TODAY()&lt;=14)),"P1 Apply",IF($B2058&gt;=7,"P2 Strong",IF($B2058&gt;=5,"P3 Maybe","P4 Low")))))))))))</f>
        <v/>
      </c>
      <c r="B2058" s="13" t="n">
        <v>0</v>
      </c>
      <c r="C2058" s="12" t="inlineStr">
        <is>
          <t>Junior</t>
        </is>
      </c>
      <c r="D2058" s="8" t="inlineStr">
        <is>
          <t>Data Engineer (Maternity Cover 12 month FTC)</t>
        </is>
      </c>
      <c r="E2058" s="7" t="inlineStr">
        <is>
          <t>JD Sports Fashion</t>
        </is>
      </c>
      <c r="F2058" s="8" t="inlineStr">
        <is>
          <t>Bury, ENG, GB</t>
        </is>
      </c>
      <c r="G2058" s="8" t="n"/>
      <c r="H2058" s="14" t="n"/>
      <c r="I2058" s="15">
        <f>IF($H2058="","",$H2058-TODAY())</f>
        <v/>
      </c>
      <c r="J2058" s="16" t="inlineStr">
        <is>
          <t>Open posting</t>
        </is>
      </c>
      <c r="K2058" s="8" t="inlineStr">
        <is>
          <t>filtered by keyword pre-scan</t>
        </is>
      </c>
      <c r="L2058" s="17" t="inlineStr">
        <is>
          <t>new</t>
        </is>
      </c>
      <c r="M2058" s="18" t="inlineStr"/>
      <c r="N2058" s="7" t="inlineStr">
        <is>
          <t>31a2c38af717e2a245bdf4eaf33d4814f664993a</t>
        </is>
      </c>
      <c r="O2058" s="14" t="n">
        <v>46184</v>
      </c>
      <c r="P2058" s="7" t="inlineStr">
        <is>
          <t>jobspy</t>
        </is>
      </c>
      <c r="Q2058" s="8" t="inlineStr">
        <is>
          <t>python, sql</t>
        </is>
      </c>
      <c r="R2058" s="8" t="inlineStr">
        <is>
          <t>Junior Python Developer</t>
        </is>
      </c>
      <c r="S2058" s="19" t="n"/>
      <c r="T2058" s="19" t="n"/>
      <c r="U2058" s="14" t="n">
        <v>46191</v>
      </c>
      <c r="V2058" s="7" t="inlineStr">
        <is>
          <t>v2-cv-accuracy-13b988b18da8ea7d</t>
        </is>
      </c>
    </row>
    <row r="2059" ht="28" customHeight="1">
      <c r="A2059" s="12">
        <f>IF($L2059="applied","Applied",IF($L2059="interview","Interview",IF($L2059="offer","Offer",IF($L2059="rejected","Rejected",IF($L2059="ignore","Ignore",IF($L2059="archive","Archive",IF($L2059="closed","Closed",IF($B2059="","Unscored",IF(AND($B2059&gt;=8,OR($H2059="",$H2059-TODAY()&lt;=14)),"P1 Apply",IF($B2059&gt;=7,"P2 Strong",IF($B2059&gt;=5,"P3 Maybe","P4 Low")))))))))))</f>
        <v/>
      </c>
      <c r="B2059" s="13" t="n">
        <v>0</v>
      </c>
      <c r="C2059" s="12" t="inlineStr">
        <is>
          <t>Junior</t>
        </is>
      </c>
      <c r="D2059" s="8" t="inlineStr">
        <is>
          <t>Junior Power Platform Developer</t>
        </is>
      </c>
      <c r="E2059" s="7" t="inlineStr">
        <is>
          <t>KLN</t>
        </is>
      </c>
      <c r="F2059" s="8" t="inlineStr">
        <is>
          <t>Manchester, ENG, GB</t>
        </is>
      </c>
      <c r="G2059" s="8" t="n"/>
      <c r="H2059" s="14" t="n"/>
      <c r="I2059" s="15">
        <f>IF($H2059="","",$H2059-TODAY())</f>
        <v/>
      </c>
      <c r="J2059" s="16" t="inlineStr">
        <is>
          <t>Open posting</t>
        </is>
      </c>
      <c r="K2059" s="8" t="inlineStr">
        <is>
          <t>filtered by keyword pre-scan</t>
        </is>
      </c>
      <c r="L2059" s="17" t="inlineStr">
        <is>
          <t>new</t>
        </is>
      </c>
      <c r="M2059" s="18" t="inlineStr"/>
      <c r="N2059" s="7" t="inlineStr">
        <is>
          <t>5876f3c0aebb6282cb3e4eb2c16c17ed83a84564</t>
        </is>
      </c>
      <c r="O2059" s="14" t="n">
        <v>46184</v>
      </c>
      <c r="P2059" s="7" t="inlineStr">
        <is>
          <t>jobspy</t>
        </is>
      </c>
      <c r="Q2059" s="8" t="inlineStr">
        <is>
          <t>python</t>
        </is>
      </c>
      <c r="R2059" s="8" t="inlineStr">
        <is>
          <t>Junior Python Developer</t>
        </is>
      </c>
      <c r="S2059" s="19" t="n"/>
      <c r="T2059" s="19" t="n"/>
      <c r="U2059" s="14" t="n">
        <v>46191</v>
      </c>
      <c r="V2059" s="7" t="inlineStr">
        <is>
          <t>v2-cv-accuracy-13b988b18da8ea7d</t>
        </is>
      </c>
    </row>
    <row r="2060" ht="28" customHeight="1">
      <c r="A2060" s="12">
        <f>IF($L2060="applied","Applied",IF($L2060="interview","Interview",IF($L2060="offer","Offer",IF($L2060="rejected","Rejected",IF($L2060="ignore","Ignore",IF($L2060="archive","Archive",IF($L2060="closed","Closed",IF($B2060="","Unscored",IF(AND($B2060&gt;=8,OR($H2060="",$H2060-TODAY()&lt;=14)),"P1 Apply",IF($B2060&gt;=7,"P2 Strong",IF($B2060&gt;=5,"P3 Maybe","P4 Low")))))))))))</f>
        <v/>
      </c>
      <c r="B2060" s="13" t="n">
        <v>0</v>
      </c>
      <c r="C2060" s="12" t="inlineStr">
        <is>
          <t>Senior/Lead</t>
        </is>
      </c>
      <c r="D2060" s="8" t="inlineStr">
        <is>
          <t>Senior Data/AI Engineer - Manager, Engineering AI &amp; Data, AI &amp; Data Solutions</t>
        </is>
      </c>
      <c r="E2060" s="7" t="inlineStr">
        <is>
          <t>Deloitte</t>
        </is>
      </c>
      <c r="F2060" s="8" t="inlineStr">
        <is>
          <t>Belfast, NIR, GB</t>
        </is>
      </c>
      <c r="G2060" s="8" t="n"/>
      <c r="H2060" s="14" t="n"/>
      <c r="I2060" s="15">
        <f>IF($H2060="","",$H2060-TODAY())</f>
        <v/>
      </c>
      <c r="J2060" s="16" t="inlineStr">
        <is>
          <t>Open posting</t>
        </is>
      </c>
      <c r="K2060" s="8" t="inlineStr">
        <is>
          <t>filtered by keyword pre-scan</t>
        </is>
      </c>
      <c r="L2060" s="17" t="inlineStr">
        <is>
          <t>new</t>
        </is>
      </c>
      <c r="M2060" s="18" t="inlineStr"/>
      <c r="N2060" s="7" t="inlineStr">
        <is>
          <t>114af5e99e10f5face2502270a234aa72b5cf511</t>
        </is>
      </c>
      <c r="O2060" s="14" t="n">
        <v>46182</v>
      </c>
      <c r="P2060" s="7" t="inlineStr">
        <is>
          <t>jobspy</t>
        </is>
      </c>
      <c r="Q2060" s="8" t="inlineStr">
        <is>
          <t>git</t>
        </is>
      </c>
      <c r="R2060" s="8" t="inlineStr">
        <is>
          <t>Junior Python Developer</t>
        </is>
      </c>
      <c r="S2060" s="19" t="n"/>
      <c r="T2060" s="19" t="n"/>
      <c r="U2060" s="14" t="n">
        <v>46191</v>
      </c>
      <c r="V2060" s="7" t="inlineStr">
        <is>
          <t>v2-cv-accuracy-13b988b18da8ea7d</t>
        </is>
      </c>
    </row>
    <row r="2061" ht="28" customHeight="1">
      <c r="A2061" s="12">
        <f>IF($L2061="applied","Applied",IF($L2061="interview","Interview",IF($L2061="offer","Offer",IF($L2061="rejected","Rejected",IF($L2061="ignore","Ignore",IF($L2061="archive","Archive",IF($L2061="closed","Closed",IF($B2061="","Unscored",IF(AND($B2061&gt;=8,OR($H2061="",$H2061-TODAY()&lt;=14)),"P1 Apply",IF($B2061&gt;=7,"P2 Strong",IF($B2061&gt;=5,"P3 Maybe","P4 Low")))))))))))</f>
        <v/>
      </c>
      <c r="B2061" s="13" t="n">
        <v>0</v>
      </c>
      <c r="C2061" s="12" t="inlineStr">
        <is>
          <t>Junior</t>
        </is>
      </c>
      <c r="D2061" s="8" t="inlineStr">
        <is>
          <t>DevOps Engineer (Junior/Mid-Level) - Bazel Monorepo</t>
        </is>
      </c>
      <c r="E2061" s="7" t="inlineStr">
        <is>
          <t>Fractile</t>
        </is>
      </c>
      <c r="F2061" s="8" t="inlineStr">
        <is>
          <t>Bristol, ENG, GB</t>
        </is>
      </c>
      <c r="G2061" s="8" t="n"/>
      <c r="H2061" s="14" t="n"/>
      <c r="I2061" s="15">
        <f>IF($H2061="","",$H2061-TODAY())</f>
        <v/>
      </c>
      <c r="J2061" s="16" t="inlineStr">
        <is>
          <t>Open posting</t>
        </is>
      </c>
      <c r="K2061" s="8" t="inlineStr">
        <is>
          <t>filtered by keyword pre-scan</t>
        </is>
      </c>
      <c r="L2061" s="17" t="inlineStr">
        <is>
          <t>new</t>
        </is>
      </c>
      <c r="M2061" s="18" t="inlineStr"/>
      <c r="N2061" s="7" t="inlineStr">
        <is>
          <t>a28665353a7cc671a1a28e01537a886dc9b6ab4d</t>
        </is>
      </c>
      <c r="O2061" s="14" t="n">
        <v>46182</v>
      </c>
      <c r="P2061" s="7" t="inlineStr">
        <is>
          <t>jobspy</t>
        </is>
      </c>
      <c r="Q2061" s="8" t="inlineStr">
        <is>
          <t>python, git</t>
        </is>
      </c>
      <c r="R2061" s="8" t="inlineStr">
        <is>
          <t>Junior Python Developer</t>
        </is>
      </c>
      <c r="S2061" s="19" t="n"/>
      <c r="T2061" s="19" t="n"/>
      <c r="U2061" s="14" t="n">
        <v>46191</v>
      </c>
      <c r="V2061" s="7" t="inlineStr">
        <is>
          <t>v2-cv-accuracy-13b988b18da8ea7d</t>
        </is>
      </c>
    </row>
    <row r="2062" ht="28" customHeight="1">
      <c r="A2062" s="12">
        <f>IF($L2062="applied","Applied",IF($L2062="interview","Interview",IF($L2062="offer","Offer",IF($L2062="rejected","Rejected",IF($L2062="ignore","Ignore",IF($L2062="archive","Archive",IF($L2062="closed","Closed",IF($B2062="","Unscored",IF(AND($B2062&gt;=8,OR($H2062="",$H2062-TODAY()&lt;=14)),"P1 Apply",IF($B2062&gt;=7,"P2 Strong",IF($B2062&gt;=5,"P3 Maybe","P4 Low")))))))))))</f>
        <v/>
      </c>
      <c r="B2062" s="13" t="n">
        <v>0</v>
      </c>
      <c r="C2062" s="12" t="inlineStr">
        <is>
          <t>Senior/Lead</t>
        </is>
      </c>
      <c r="D2062" s="8" t="inlineStr">
        <is>
          <t>Software Engineer (Mid and Senior Levels)</t>
        </is>
      </c>
      <c r="E2062" s="7" t="inlineStr">
        <is>
          <t>One Big Circle</t>
        </is>
      </c>
      <c r="F2062" s="8" t="inlineStr">
        <is>
          <t>Bristol, ENG, GB</t>
        </is>
      </c>
      <c r="G2062" s="8" t="n"/>
      <c r="H2062" s="14" t="n"/>
      <c r="I2062" s="15">
        <f>IF($H2062="","",$H2062-TODAY())</f>
        <v/>
      </c>
      <c r="J2062" s="16" t="inlineStr">
        <is>
          <t>Open posting</t>
        </is>
      </c>
      <c r="K2062" s="8" t="inlineStr">
        <is>
          <t>filtered by keyword pre-scan</t>
        </is>
      </c>
      <c r="L2062" s="17" t="inlineStr">
        <is>
          <t>new</t>
        </is>
      </c>
      <c r="M2062" s="18" t="inlineStr"/>
      <c r="N2062" s="7" t="inlineStr">
        <is>
          <t>12c9c95ceeb936ea37cf87b1e181e92945eecf29</t>
        </is>
      </c>
      <c r="O2062" s="14" t="n">
        <v>46181</v>
      </c>
      <c r="P2062" s="7" t="inlineStr">
        <is>
          <t>jobspy</t>
        </is>
      </c>
      <c r="Q2062" s="8" t="inlineStr">
        <is>
          <t>python, sql, javascript, git</t>
        </is>
      </c>
      <c r="R2062" s="8" t="inlineStr">
        <is>
          <t>Junior Python Developer</t>
        </is>
      </c>
      <c r="S2062" s="19" t="n"/>
      <c r="T2062" s="19" t="n"/>
      <c r="U2062" s="14" t="n">
        <v>46191</v>
      </c>
      <c r="V2062" s="7" t="inlineStr">
        <is>
          <t>v2-cv-accuracy-13b988b18da8ea7d</t>
        </is>
      </c>
    </row>
    <row r="2063" ht="28" customHeight="1">
      <c r="A2063" s="12">
        <f>IF($L2063="applied","Applied",IF($L2063="interview","Interview",IF($L2063="offer","Offer",IF($L2063="rejected","Rejected",IF($L2063="ignore","Ignore",IF($L2063="archive","Archive",IF($L2063="closed","Closed",IF($B2063="","Unscored",IF(AND($B2063&gt;=8,OR($H2063="",$H2063-TODAY()&lt;=14)),"P1 Apply",IF($B2063&gt;=7,"P2 Strong",IF($B2063&gt;=5,"P3 Maybe","P4 Low")))))))))))</f>
        <v/>
      </c>
      <c r="B2063" s="13" t="n">
        <v>0</v>
      </c>
      <c r="C2063" s="12" t="inlineStr">
        <is>
          <t>Senior/Lead</t>
        </is>
      </c>
      <c r="D2063" s="8" t="inlineStr">
        <is>
          <t>Senior Python Developer</t>
        </is>
      </c>
      <c r="E2063" s="7" t="inlineStr">
        <is>
          <t>NCC Group</t>
        </is>
      </c>
      <c r="F2063" s="8" t="inlineStr">
        <is>
          <t>Manchester, ENG, GB</t>
        </is>
      </c>
      <c r="G2063" s="8" t="n"/>
      <c r="H2063" s="14" t="n"/>
      <c r="I2063" s="15">
        <f>IF($H2063="","",$H2063-TODAY())</f>
        <v/>
      </c>
      <c r="J2063" s="16" t="inlineStr">
        <is>
          <t>Open posting</t>
        </is>
      </c>
      <c r="K2063" s="8" t="inlineStr">
        <is>
          <t>filtered by keyword pre-scan</t>
        </is>
      </c>
      <c r="L2063" s="17" t="inlineStr">
        <is>
          <t>new</t>
        </is>
      </c>
      <c r="M2063" s="18" t="inlineStr"/>
      <c r="N2063" s="7" t="inlineStr">
        <is>
          <t>9e28ffa7b516af284f964c324c9d6b99ceee34f0</t>
        </is>
      </c>
      <c r="O2063" s="14" t="n">
        <v>46171</v>
      </c>
      <c r="P2063" s="7" t="inlineStr">
        <is>
          <t>jobspy</t>
        </is>
      </c>
      <c r="Q2063" s="8" t="inlineStr">
        <is>
          <t>python, sql, rest apis, software development</t>
        </is>
      </c>
      <c r="R2063" s="8" t="inlineStr">
        <is>
          <t>Junior Python Developer</t>
        </is>
      </c>
      <c r="S2063" s="19" t="n"/>
      <c r="T2063" s="19" t="n"/>
      <c r="U2063" s="14" t="n">
        <v>46191</v>
      </c>
      <c r="V2063" s="7" t="inlineStr">
        <is>
          <t>v2-cv-accuracy-13b988b18da8ea7d</t>
        </is>
      </c>
    </row>
    <row r="2064" ht="28" customHeight="1">
      <c r="A2064" s="12">
        <f>IF($L2064="applied","Applied",IF($L2064="interview","Interview",IF($L2064="offer","Offer",IF($L2064="rejected","Rejected",IF($L2064="ignore","Ignore",IF($L2064="archive","Archive",IF($L2064="closed","Closed",IF($B2064="","Unscored",IF(AND($B2064&gt;=8,OR($H2064="",$H2064-TODAY()&lt;=14)),"P1 Apply",IF($B2064&gt;=7,"P2 Strong",IF($B2064&gt;=5,"P3 Maybe","P4 Low")))))))))))</f>
        <v/>
      </c>
      <c r="B2064" s="13" t="n">
        <v>0</v>
      </c>
      <c r="C2064" s="12" t="inlineStr">
        <is>
          <t>Unspecified</t>
        </is>
      </c>
      <c r="D2064" s="8" t="inlineStr">
        <is>
          <t>Python Developer</t>
        </is>
      </c>
      <c r="E2064" s="7" t="inlineStr">
        <is>
          <t>Damco Solutions</t>
        </is>
      </c>
      <c r="F2064" s="8" t="inlineStr">
        <is>
          <t>Knutsford, England, UK</t>
        </is>
      </c>
      <c r="G2064" s="8" t="n"/>
      <c r="H2064" s="14" t="n"/>
      <c r="I2064" s="15">
        <f>IF($H2064="","",$H2064-TODAY())</f>
        <v/>
      </c>
      <c r="J2064" s="16" t="inlineStr">
        <is>
          <t>Open posting</t>
        </is>
      </c>
      <c r="K2064" s="8" t="inlineStr">
        <is>
          <t>filtered by keyword pre-scan</t>
        </is>
      </c>
      <c r="L2064" s="17" t="inlineStr">
        <is>
          <t>new</t>
        </is>
      </c>
      <c r="M2064" s="18" t="inlineStr"/>
      <c r="N2064" s="7" t="inlineStr">
        <is>
          <t>0b5d6266e02cf9b8cfeea559413f3a6bdbf0033a</t>
        </is>
      </c>
      <c r="O2064" s="14" t="n">
        <v>46189</v>
      </c>
      <c r="P2064" s="7" t="inlineStr">
        <is>
          <t>jobspy</t>
        </is>
      </c>
      <c r="Q2064" s="8" t="inlineStr">
        <is>
          <t>python, git</t>
        </is>
      </c>
      <c r="R2064" s="8" t="inlineStr">
        <is>
          <t>Junior Python Developer</t>
        </is>
      </c>
      <c r="S2064" s="19" t="n"/>
      <c r="T2064" s="19" t="n"/>
      <c r="U2064" s="14" t="n">
        <v>46191</v>
      </c>
      <c r="V2064" s="7" t="inlineStr">
        <is>
          <t>v2-cv-accuracy-13b988b18da8ea7d</t>
        </is>
      </c>
    </row>
    <row r="2065" ht="28" customHeight="1">
      <c r="A2065" s="12">
        <f>IF($L2065="applied","Applied",IF($L2065="interview","Interview",IF($L2065="offer","Offer",IF($L2065="rejected","Rejected",IF($L2065="ignore","Ignore",IF($L2065="archive","Archive",IF($L2065="closed","Closed",IF($B2065="","Unscored",IF(AND($B2065&gt;=8,OR($H2065="",$H2065-TODAY()&lt;=14)),"P1 Apply",IF($B2065&gt;=7,"P2 Strong",IF($B2065&gt;=5,"P3 Maybe","P4 Low")))))))))))</f>
        <v/>
      </c>
      <c r="B2065" s="13" t="n">
        <v>0</v>
      </c>
      <c r="C2065" s="12" t="inlineStr">
        <is>
          <t>Unspecified</t>
        </is>
      </c>
      <c r="D2065" s="8" t="inlineStr">
        <is>
          <t>Python Developer - Fully Remote | Upto $100/hr</t>
        </is>
      </c>
      <c r="E2065" s="7" t="inlineStr">
        <is>
          <t>Mercor</t>
        </is>
      </c>
      <c r="F2065" s="8" t="inlineStr">
        <is>
          <t>London, England, UK</t>
        </is>
      </c>
      <c r="G2065" s="8" t="n"/>
      <c r="H2065" s="14" t="n"/>
      <c r="I2065" s="15">
        <f>IF($H2065="","",$H2065-TODAY())</f>
        <v/>
      </c>
      <c r="J2065" s="16" t="inlineStr">
        <is>
          <t>Open posting</t>
        </is>
      </c>
      <c r="K2065" s="8" t="inlineStr">
        <is>
          <t>filtered by keyword pre-scan</t>
        </is>
      </c>
      <c r="L2065" s="17" t="inlineStr">
        <is>
          <t>new</t>
        </is>
      </c>
      <c r="M2065" s="18" t="inlineStr"/>
      <c r="N2065" s="7" t="inlineStr">
        <is>
          <t>084ecbff34668a82b604d46659ad1f4f21b3bc7c</t>
        </is>
      </c>
      <c r="O2065" s="14" t="n">
        <v>46185</v>
      </c>
      <c r="P2065" s="7" t="inlineStr">
        <is>
          <t>jobspy</t>
        </is>
      </c>
      <c r="Q2065" s="8" t="inlineStr">
        <is>
          <t>python</t>
        </is>
      </c>
      <c r="R2065" s="8" t="inlineStr">
        <is>
          <t>Junior Python Developer</t>
        </is>
      </c>
      <c r="S2065" s="19" t="n"/>
      <c r="T2065" s="19" t="n"/>
      <c r="U2065" s="14" t="n">
        <v>46191</v>
      </c>
      <c r="V2065" s="7" t="inlineStr">
        <is>
          <t>v2-cv-accuracy-13b988b18da8ea7d</t>
        </is>
      </c>
    </row>
    <row r="2066" ht="28" customHeight="1">
      <c r="A2066" s="12">
        <f>IF($L2066="applied","Applied",IF($L2066="interview","Interview",IF($L2066="offer","Offer",IF($L2066="rejected","Rejected",IF($L2066="ignore","Ignore",IF($L2066="archive","Archive",IF($L2066="closed","Closed",IF($B2066="","Unscored",IF(AND($B2066&gt;=8,OR($H2066="",$H2066-TODAY()&lt;=14)),"P1 Apply",IF($B2066&gt;=7,"P2 Strong",IF($B2066&gt;=5,"P3 Maybe","P4 Low")))))))))))</f>
        <v/>
      </c>
      <c r="B2066" s="13" t="n">
        <v>0</v>
      </c>
      <c r="C2066" s="12" t="inlineStr">
        <is>
          <t>Unspecified</t>
        </is>
      </c>
      <c r="D2066" s="8" t="inlineStr">
        <is>
          <t>Python Developer - Fully Remote | Upto $100/hr</t>
        </is>
      </c>
      <c r="E2066" s="7" t="inlineStr">
        <is>
          <t>Mercor</t>
        </is>
      </c>
      <c r="F2066" s="8" t="inlineStr"/>
      <c r="G2066" s="8" t="n"/>
      <c r="H2066" s="14" t="n"/>
      <c r="I2066" s="15">
        <f>IF($H2066="","",$H2066-TODAY())</f>
        <v/>
      </c>
      <c r="J2066" s="16" t="inlineStr">
        <is>
          <t>Open posting</t>
        </is>
      </c>
      <c r="K2066" s="8" t="inlineStr">
        <is>
          <t>filtered by keyword pre-scan</t>
        </is>
      </c>
      <c r="L2066" s="17" t="inlineStr">
        <is>
          <t>new</t>
        </is>
      </c>
      <c r="M2066" s="18" t="inlineStr"/>
      <c r="N2066" s="7" t="inlineStr">
        <is>
          <t>b3b7e8c5a3b49fcb9e4a65389f0e33be52e8ab1d</t>
        </is>
      </c>
      <c r="O2066" s="14" t="n">
        <v>46181</v>
      </c>
      <c r="P2066" s="7" t="inlineStr">
        <is>
          <t>jobspy</t>
        </is>
      </c>
      <c r="Q2066" s="8" t="inlineStr">
        <is>
          <t>python</t>
        </is>
      </c>
      <c r="R2066" s="8" t="inlineStr">
        <is>
          <t>Junior Python Developer</t>
        </is>
      </c>
      <c r="S2066" s="19" t="n"/>
      <c r="T2066" s="19" t="n"/>
      <c r="U2066" s="14" t="n">
        <v>46191</v>
      </c>
      <c r="V2066" s="7" t="inlineStr">
        <is>
          <t>v2-cv-accuracy-13b988b18da8ea7d</t>
        </is>
      </c>
    </row>
    <row r="2067" ht="28" customHeight="1">
      <c r="A2067" s="12">
        <f>IF($L2067="applied","Applied",IF($L2067="interview","Interview",IF($L2067="offer","Offer",IF($L2067="rejected","Rejected",IF($L2067="ignore","Ignore",IF($L2067="archive","Archive",IF($L2067="closed","Closed",IF($B2067="","Unscored",IF(AND($B2067&gt;=8,OR($H2067="",$H2067-TODAY()&lt;=14)),"P1 Apply",IF($B2067&gt;=7,"P2 Strong",IF($B2067&gt;=5,"P3 Maybe","P4 Low")))))))))))</f>
        <v/>
      </c>
      <c r="B2067" s="13" t="n">
        <v>0</v>
      </c>
      <c r="C2067" s="12" t="inlineStr">
        <is>
          <t>Mid-level</t>
        </is>
      </c>
      <c r="D2067" s="8" t="inlineStr">
        <is>
          <t>Python Developer</t>
        </is>
      </c>
      <c r="E2067" s="7" t="inlineStr">
        <is>
          <t>Accenture</t>
        </is>
      </c>
      <c r="F2067" s="8" t="inlineStr">
        <is>
          <t>Manchester, England, UK</t>
        </is>
      </c>
      <c r="G2067" s="8" t="n"/>
      <c r="H2067" s="14" t="n"/>
      <c r="I2067" s="15">
        <f>IF($H2067="","",$H2067-TODAY())</f>
        <v/>
      </c>
      <c r="J2067" s="16" t="inlineStr">
        <is>
          <t>Open posting</t>
        </is>
      </c>
      <c r="K2067" s="8" t="inlineStr">
        <is>
          <t>filtered by keyword pre-scan</t>
        </is>
      </c>
      <c r="L2067" s="17" t="inlineStr">
        <is>
          <t>new</t>
        </is>
      </c>
      <c r="M2067" s="18" t="inlineStr"/>
      <c r="N2067" s="7" t="inlineStr">
        <is>
          <t>b35c10a7e699fa938be0e4716a2f3db02791a290</t>
        </is>
      </c>
      <c r="O2067" s="14" t="n">
        <v>46181</v>
      </c>
      <c r="P2067" s="7" t="inlineStr">
        <is>
          <t>jobspy</t>
        </is>
      </c>
      <c r="Q2067" s="8" t="inlineStr">
        <is>
          <t>python, git</t>
        </is>
      </c>
      <c r="R2067" s="8" t="inlineStr">
        <is>
          <t>Junior Python Developer</t>
        </is>
      </c>
      <c r="S2067" s="19" t="n"/>
      <c r="T2067" s="19" t="n"/>
      <c r="U2067" s="14" t="n">
        <v>46191</v>
      </c>
      <c r="V2067" s="7" t="inlineStr">
        <is>
          <t>v2-cv-accuracy-13b988b18da8ea7d</t>
        </is>
      </c>
    </row>
    <row r="2068" ht="28" customHeight="1">
      <c r="A2068" s="12">
        <f>IF($L2068="applied","Applied",IF($L2068="interview","Interview",IF($L2068="offer","Offer",IF($L2068="rejected","Rejected",IF($L2068="ignore","Ignore",IF($L2068="archive","Archive",IF($L2068="closed","Closed",IF($B2068="","Unscored",IF(AND($B2068&gt;=8,OR($H2068="",$H2068-TODAY()&lt;=14)),"P1 Apply",IF($B2068&gt;=7,"P2 Strong",IF($B2068&gt;=5,"P3 Maybe","P4 Low")))))))))))</f>
        <v/>
      </c>
      <c r="B2068" s="13" t="n">
        <v>0</v>
      </c>
      <c r="C2068" s="12" t="inlineStr">
        <is>
          <t>Mid-level</t>
        </is>
      </c>
      <c r="D2068" s="8" t="inlineStr">
        <is>
          <t>Python Developer</t>
        </is>
      </c>
      <c r="E2068" s="7" t="inlineStr">
        <is>
          <t>Accenture</t>
        </is>
      </c>
      <c r="F2068" s="8" t="inlineStr"/>
      <c r="G2068" s="8" t="n"/>
      <c r="H2068" s="14" t="n"/>
      <c r="I2068" s="15">
        <f>IF($H2068="","",$H2068-TODAY())</f>
        <v/>
      </c>
      <c r="J2068" s="16" t="inlineStr">
        <is>
          <t>Open posting</t>
        </is>
      </c>
      <c r="K2068" s="8" t="inlineStr">
        <is>
          <t>filtered by keyword pre-scan</t>
        </is>
      </c>
      <c r="L2068" s="17" t="inlineStr">
        <is>
          <t>new</t>
        </is>
      </c>
      <c r="M2068" s="18" t="inlineStr"/>
      <c r="N2068" s="7" t="inlineStr">
        <is>
          <t>195347b98a025267e43f7dcc116dca04061ffc39</t>
        </is>
      </c>
      <c r="O2068" s="14" t="n">
        <v>46172</v>
      </c>
      <c r="P2068" s="7" t="inlineStr">
        <is>
          <t>jobspy</t>
        </is>
      </c>
      <c r="Q2068" s="8" t="inlineStr">
        <is>
          <t>python, git</t>
        </is>
      </c>
      <c r="R2068" s="8" t="inlineStr">
        <is>
          <t>Junior Python Developer</t>
        </is>
      </c>
      <c r="S2068" s="19" t="n"/>
      <c r="T2068" s="19" t="n"/>
      <c r="U2068" s="14" t="n">
        <v>46191</v>
      </c>
      <c r="V2068" s="7" t="inlineStr">
        <is>
          <t>v2-cv-accuracy-13b988b18da8ea7d</t>
        </is>
      </c>
    </row>
    <row r="2069" ht="28" customHeight="1">
      <c r="A2069" s="12">
        <f>IF($L2069="applied","Applied",IF($L2069="interview","Interview",IF($L2069="offer","Offer",IF($L2069="rejected","Rejected",IF($L2069="ignore","Ignore",IF($L2069="archive","Archive",IF($L2069="closed","Closed",IF($B2069="","Unscored",IF(AND($B2069&gt;=8,OR($H2069="",$H2069-TODAY()&lt;=14)),"P1 Apply",IF($B2069&gt;=7,"P2 Strong",IF($B2069&gt;=5,"P3 Maybe","P4 Low")))))))))))</f>
        <v/>
      </c>
      <c r="B2069" s="13" t="n">
        <v>0</v>
      </c>
      <c r="C2069" s="12" t="inlineStr">
        <is>
          <t>Senior/Lead</t>
        </is>
      </c>
      <c r="D2069" s="8" t="inlineStr">
        <is>
          <t>Senior Frontend Developer</t>
        </is>
      </c>
      <c r="E2069" s="7" t="inlineStr">
        <is>
          <t>Albany Beck</t>
        </is>
      </c>
      <c r="F2069" s="8" t="inlineStr">
        <is>
          <t>Sheffield, England, UK</t>
        </is>
      </c>
      <c r="G2069" s="8" t="n"/>
      <c r="H2069" s="14" t="n"/>
      <c r="I2069" s="15">
        <f>IF($H2069="","",$H2069-TODAY())</f>
        <v/>
      </c>
      <c r="J2069" s="16" t="inlineStr">
        <is>
          <t>Open posting</t>
        </is>
      </c>
      <c r="K2069" s="8" t="inlineStr">
        <is>
          <t>filtered by keyword pre-scan</t>
        </is>
      </c>
      <c r="L2069" s="17" t="inlineStr">
        <is>
          <t>new</t>
        </is>
      </c>
      <c r="M2069" s="18" t="inlineStr"/>
      <c r="N2069" s="7" t="inlineStr">
        <is>
          <t>df5aac19bcb1c17421cef056e06df4d6dd89b788</t>
        </is>
      </c>
      <c r="O2069" s="14" t="n">
        <v>46185</v>
      </c>
      <c r="P2069" s="7" t="inlineStr">
        <is>
          <t>jobspy</t>
        </is>
      </c>
      <c r="Q2069" s="8" t="inlineStr">
        <is>
          <t>javascript, git</t>
        </is>
      </c>
      <c r="R2069" s="8" t="inlineStr">
        <is>
          <t>Junior Python Developer Sheffield</t>
        </is>
      </c>
      <c r="S2069" s="19" t="n"/>
      <c r="T2069" s="19" t="n"/>
      <c r="U2069" s="14" t="n">
        <v>46191</v>
      </c>
      <c r="V2069" s="7" t="inlineStr">
        <is>
          <t>v2-cv-accuracy-13b988b18da8ea7d</t>
        </is>
      </c>
    </row>
    <row r="2070" ht="28" customHeight="1">
      <c r="A2070" s="12">
        <f>IF($L2070="applied","Applied",IF($L2070="interview","Interview",IF($L2070="offer","Offer",IF($L2070="rejected","Rejected",IF($L2070="ignore","Ignore",IF($L2070="archive","Archive",IF($L2070="closed","Closed",IF($B2070="","Unscored",IF(AND($B2070&gt;=8,OR($H2070="",$H2070-TODAY()&lt;=14)),"P1 Apply",IF($B2070&gt;=7,"P2 Strong",IF($B2070&gt;=5,"P3 Maybe","P4 Low")))))))))))</f>
        <v/>
      </c>
      <c r="B2070" s="13" t="n">
        <v>0</v>
      </c>
      <c r="C2070" s="12" t="inlineStr">
        <is>
          <t>Senior/Lead</t>
        </is>
      </c>
      <c r="D2070" s="8" t="inlineStr">
        <is>
          <t>Senior Backend Engineer</t>
        </is>
      </c>
      <c r="E2070" s="7" t="inlineStr">
        <is>
          <t>Synechron</t>
        </is>
      </c>
      <c r="F2070" s="8" t="inlineStr">
        <is>
          <t>Sheffield, England, UK</t>
        </is>
      </c>
      <c r="G2070" s="8" t="n"/>
      <c r="H2070" s="14" t="n"/>
      <c r="I2070" s="15">
        <f>IF($H2070="","",$H2070-TODAY())</f>
        <v/>
      </c>
      <c r="J2070" s="16" t="inlineStr">
        <is>
          <t>Open posting</t>
        </is>
      </c>
      <c r="K2070" s="8" t="inlineStr">
        <is>
          <t>filtered by keyword pre-scan</t>
        </is>
      </c>
      <c r="L2070" s="17" t="inlineStr">
        <is>
          <t>new</t>
        </is>
      </c>
      <c r="M2070" s="18" t="inlineStr"/>
      <c r="N2070" s="7" t="inlineStr">
        <is>
          <t>8a04e32cf77db27961625340a6181c9860ecc63c</t>
        </is>
      </c>
      <c r="O2070" s="14" t="n">
        <v>46175</v>
      </c>
      <c r="P2070" s="7" t="inlineStr">
        <is>
          <t>jobspy</t>
        </is>
      </c>
      <c r="Q2070" s="8" t="inlineStr">
        <is>
          <t>python, javascript</t>
        </is>
      </c>
      <c r="R2070" s="8" t="inlineStr">
        <is>
          <t>Junior Python Developer Sheffield</t>
        </is>
      </c>
      <c r="S2070" s="19" t="n"/>
      <c r="T2070" s="19" t="n"/>
      <c r="U2070" s="14" t="n">
        <v>46191</v>
      </c>
      <c r="V2070" s="7" t="inlineStr">
        <is>
          <t>v2-cv-accuracy-13b988b18da8ea7d</t>
        </is>
      </c>
    </row>
    <row r="2071" ht="28" customHeight="1">
      <c r="A2071" s="12">
        <f>IF($L2071="applied","Applied",IF($L2071="interview","Interview",IF($L2071="offer","Offer",IF($L2071="rejected","Rejected",IF($L2071="ignore","Ignore",IF($L2071="archive","Archive",IF($L2071="closed","Closed",IF($B2071="","Unscored",IF(AND($B2071&gt;=8,OR($H2071="",$H2071-TODAY()&lt;=14)),"P1 Apply",IF($B2071&gt;=7,"P2 Strong",IF($B2071&gt;=5,"P3 Maybe","P4 Low")))))))))))</f>
        <v/>
      </c>
      <c r="B2071" s="13" t="n">
        <v>0</v>
      </c>
      <c r="C2071" s="12" t="inlineStr">
        <is>
          <t>Senior/Lead</t>
        </is>
      </c>
      <c r="D2071" s="8" t="inlineStr">
        <is>
          <t>Senior React Frontend Engineer</t>
        </is>
      </c>
      <c r="E2071" s="7" t="inlineStr">
        <is>
          <t>CRU</t>
        </is>
      </c>
      <c r="F2071" s="8" t="inlineStr">
        <is>
          <t>Sheffield, England, UK</t>
        </is>
      </c>
      <c r="G2071" s="8" t="n"/>
      <c r="H2071" s="14" t="n"/>
      <c r="I2071" s="15">
        <f>IF($H2071="","",$H2071-TODAY())</f>
        <v/>
      </c>
      <c r="J2071" s="16" t="inlineStr">
        <is>
          <t>Open posting</t>
        </is>
      </c>
      <c r="K2071" s="8" t="inlineStr">
        <is>
          <t>filtered by keyword pre-scan</t>
        </is>
      </c>
      <c r="L2071" s="17" t="inlineStr">
        <is>
          <t>new</t>
        </is>
      </c>
      <c r="M2071" s="18" t="inlineStr"/>
      <c r="N2071" s="7" t="inlineStr">
        <is>
          <t>b254b15b6693c3c414547a78794cb3c73c563ee1</t>
        </is>
      </c>
      <c r="O2071" s="14" t="n">
        <v>46169</v>
      </c>
      <c r="P2071" s="7" t="inlineStr">
        <is>
          <t>jobspy</t>
        </is>
      </c>
      <c r="Q2071" s="8" t="inlineStr">
        <is>
          <t>python, javascript, git</t>
        </is>
      </c>
      <c r="R2071" s="8" t="inlineStr">
        <is>
          <t>Junior Python Developer Sheffield</t>
        </is>
      </c>
      <c r="S2071" s="19" t="n"/>
      <c r="T2071" s="19" t="n"/>
      <c r="U2071" s="14" t="n">
        <v>46191</v>
      </c>
      <c r="V2071" s="7" t="inlineStr">
        <is>
          <t>v2-cv-accuracy-13b988b18da8ea7d</t>
        </is>
      </c>
    </row>
    <row r="2072" ht="28" customHeight="1">
      <c r="A2072" s="12">
        <f>IF($L2072="applied","Applied",IF($L2072="interview","Interview",IF($L2072="offer","Offer",IF($L2072="rejected","Rejected",IF($L2072="ignore","Ignore",IF($L2072="archive","Archive",IF($L2072="closed","Closed",IF($B2072="","Unscored",IF(AND($B2072&gt;=8,OR($H2072="",$H2072-TODAY()&lt;=14)),"P1 Apply",IF($B2072&gt;=7,"P2 Strong",IF($B2072&gt;=5,"P3 Maybe","P4 Low")))))))))))</f>
        <v/>
      </c>
      <c r="B2072" s="13" t="n">
        <v>0</v>
      </c>
      <c r="C2072" s="12" t="inlineStr">
        <is>
          <t>Senior/Lead</t>
        </is>
      </c>
      <c r="D2072" s="8" t="inlineStr">
        <is>
          <t>Senior/Principal Wind Energy Yield Analyst</t>
        </is>
      </c>
      <c r="E2072" s="7" t="inlineStr">
        <is>
          <t>AECOM</t>
        </is>
      </c>
      <c r="F2072" s="8" t="inlineStr">
        <is>
          <t>Bristol, ENG, GB</t>
        </is>
      </c>
      <c r="G2072" s="8" t="n"/>
      <c r="H2072" s="14" t="n"/>
      <c r="I2072" s="15">
        <f>IF($H2072="","",$H2072-TODAY())</f>
        <v/>
      </c>
      <c r="J2072" s="16" t="inlineStr">
        <is>
          <t>Open posting</t>
        </is>
      </c>
      <c r="K2072" s="8" t="inlineStr">
        <is>
          <t>filtered by keyword pre-scan</t>
        </is>
      </c>
      <c r="L2072" s="17" t="inlineStr">
        <is>
          <t>new</t>
        </is>
      </c>
      <c r="M2072" s="18" t="inlineStr"/>
      <c r="N2072" s="7" t="inlineStr">
        <is>
          <t>0e27b431950eb935eb725a41b42443123099b715</t>
        </is>
      </c>
      <c r="O2072" s="14" t="n">
        <v>46190</v>
      </c>
      <c r="P2072" s="7" t="inlineStr">
        <is>
          <t>jobspy</t>
        </is>
      </c>
      <c r="Q2072" s="8" t="inlineStr">
        <is>
          <t>git, data analysis</t>
        </is>
      </c>
      <c r="R2072" s="8" t="inlineStr">
        <is>
          <t>junior Junior Python Developer</t>
        </is>
      </c>
      <c r="S2072" s="19" t="n"/>
      <c r="T2072" s="19" t="n"/>
      <c r="U2072" s="14" t="n">
        <v>46191</v>
      </c>
      <c r="V2072" s="7" t="inlineStr">
        <is>
          <t>v2-cv-accuracy-13b988b18da8ea7d</t>
        </is>
      </c>
    </row>
    <row r="2073" ht="28" customHeight="1">
      <c r="A2073" s="12">
        <f>IF($L2073="applied","Applied",IF($L2073="interview","Interview",IF($L2073="offer","Offer",IF($L2073="rejected","Rejected",IF($L2073="ignore","Ignore",IF($L2073="archive","Archive",IF($L2073="closed","Closed",IF($B2073="","Unscored",IF(AND($B2073&gt;=8,OR($H2073="",$H2073-TODAY()&lt;=14)),"P1 Apply",IF($B2073&gt;=7,"P2 Strong",IF($B2073&gt;=5,"P3 Maybe","P4 Low")))))))))))</f>
        <v/>
      </c>
      <c r="B2073" s="13" t="n">
        <v>0</v>
      </c>
      <c r="C2073" s="12" t="inlineStr">
        <is>
          <t>Junior</t>
        </is>
      </c>
      <c r="D2073" s="8" t="inlineStr">
        <is>
          <t>FX Options Quantitative Analyst (Vice President)</t>
        </is>
      </c>
      <c r="E2073" s="7" t="inlineStr">
        <is>
          <t>Citi</t>
        </is>
      </c>
      <c r="F2073" s="8" t="inlineStr">
        <is>
          <t>London, ENG, GB</t>
        </is>
      </c>
      <c r="G2073" s="8" t="n"/>
      <c r="H2073" s="14" t="n"/>
      <c r="I2073" s="15">
        <f>IF($H2073="","",$H2073-TODAY())</f>
        <v/>
      </c>
      <c r="J2073" s="16" t="inlineStr">
        <is>
          <t>Open posting</t>
        </is>
      </c>
      <c r="K2073" s="8" t="inlineStr">
        <is>
          <t>filtered by keyword pre-scan</t>
        </is>
      </c>
      <c r="L2073" s="17" t="inlineStr">
        <is>
          <t>new</t>
        </is>
      </c>
      <c r="M2073" s="18" t="inlineStr"/>
      <c r="N2073" s="7" t="inlineStr">
        <is>
          <t>b25f5f73bff35e025681b4de4052d772c85edea1</t>
        </is>
      </c>
      <c r="O2073" s="14" t="n">
        <v>46189</v>
      </c>
      <c r="P2073" s="7" t="inlineStr">
        <is>
          <t>jobspy</t>
        </is>
      </c>
      <c r="Q2073" s="8" t="inlineStr">
        <is>
          <t>python, data analysis</t>
        </is>
      </c>
      <c r="R2073" s="8" t="inlineStr">
        <is>
          <t>junior Junior Python Developer</t>
        </is>
      </c>
      <c r="S2073" s="19" t="n"/>
      <c r="T2073" s="19" t="n"/>
      <c r="U2073" s="14" t="n">
        <v>46191</v>
      </c>
      <c r="V2073" s="7" t="inlineStr">
        <is>
          <t>v2-cv-accuracy-13b988b18da8ea7d</t>
        </is>
      </c>
    </row>
    <row r="2074" ht="28" customHeight="1">
      <c r="A2074" s="12">
        <f>IF($L2074="applied","Applied",IF($L2074="interview","Interview",IF($L2074="offer","Offer",IF($L2074="rejected","Rejected",IF($L2074="ignore","Ignore",IF($L2074="archive","Archive",IF($L2074="closed","Closed",IF($B2074="","Unscored",IF(AND($B2074&gt;=8,OR($H2074="",$H2074-TODAY()&lt;=14)),"P1 Apply",IF($B2074&gt;=7,"P2 Strong",IF($B2074&gt;=5,"P3 Maybe","P4 Low")))))))))))</f>
        <v/>
      </c>
      <c r="B2074" s="13" t="n">
        <v>0</v>
      </c>
      <c r="C2074" s="12" t="inlineStr">
        <is>
          <t>Junior</t>
        </is>
      </c>
      <c r="D2074" s="8" t="inlineStr">
        <is>
          <t>Forward Deployed Engineer</t>
        </is>
      </c>
      <c r="E2074" s="7" t="inlineStr">
        <is>
          <t>Salesforce</t>
        </is>
      </c>
      <c r="F2074" s="8" t="inlineStr">
        <is>
          <t>London, ENG, GB</t>
        </is>
      </c>
      <c r="G2074" s="8" t="n"/>
      <c r="H2074" s="14" t="n"/>
      <c r="I2074" s="15">
        <f>IF($H2074="","",$H2074-TODAY())</f>
        <v/>
      </c>
      <c r="J2074" s="16" t="inlineStr">
        <is>
          <t>Open posting</t>
        </is>
      </c>
      <c r="K2074" s="8" t="inlineStr">
        <is>
          <t>filtered by keyword pre-scan</t>
        </is>
      </c>
      <c r="L2074" s="17" t="inlineStr">
        <is>
          <t>new</t>
        </is>
      </c>
      <c r="M2074" s="18" t="inlineStr"/>
      <c r="N2074" s="7" t="inlineStr">
        <is>
          <t>255b443b763aa571efa6ae2fc42f08a095a06f43</t>
        </is>
      </c>
      <c r="O2074" s="14" t="n">
        <v>46188</v>
      </c>
      <c r="P2074" s="7" t="inlineStr">
        <is>
          <t>jobspy</t>
        </is>
      </c>
      <c r="Q2074" s="8" t="inlineStr"/>
      <c r="R2074" s="8" t="inlineStr">
        <is>
          <t>junior Junior Python Developer</t>
        </is>
      </c>
      <c r="S2074" s="19" t="n"/>
      <c r="T2074" s="19" t="n"/>
      <c r="U2074" s="14" t="n">
        <v>46191</v>
      </c>
      <c r="V2074" s="7" t="inlineStr">
        <is>
          <t>v2-cv-accuracy-13b988b18da8ea7d</t>
        </is>
      </c>
    </row>
    <row r="2075" ht="28" customHeight="1">
      <c r="A2075" s="12">
        <f>IF($L2075="applied","Applied",IF($L2075="interview","Interview",IF($L2075="offer","Offer",IF($L2075="rejected","Rejected",IF($L2075="ignore","Ignore",IF($L2075="archive","Archive",IF($L2075="closed","Closed",IF($B2075="","Unscored",IF(AND($B2075&gt;=8,OR($H2075="",$H2075-TODAY()&lt;=14)),"P1 Apply",IF($B2075&gt;=7,"P2 Strong",IF($B2075&gt;=5,"P3 Maybe","P4 Low")))))))))))</f>
        <v/>
      </c>
      <c r="B2075" s="13" t="n">
        <v>0</v>
      </c>
      <c r="C2075" s="12" t="inlineStr">
        <is>
          <t>Senior/Lead</t>
        </is>
      </c>
      <c r="D2075" s="8" t="inlineStr">
        <is>
          <t>Quant Model Risk Senior Associate/Vice President - Rates</t>
        </is>
      </c>
      <c r="E2075" s="7" t="inlineStr">
        <is>
          <t>JPMorganChase</t>
        </is>
      </c>
      <c r="F2075" s="8" t="inlineStr">
        <is>
          <t>London, ENG, GB</t>
        </is>
      </c>
      <c r="G2075" s="8" t="n"/>
      <c r="H2075" s="14" t="n"/>
      <c r="I2075" s="15">
        <f>IF($H2075="","",$H2075-TODAY())</f>
        <v/>
      </c>
      <c r="J2075" s="16" t="inlineStr">
        <is>
          <t>Open posting</t>
        </is>
      </c>
      <c r="K2075" s="8" t="inlineStr">
        <is>
          <t>filtered by keyword pre-scan</t>
        </is>
      </c>
      <c r="L2075" s="17" t="inlineStr">
        <is>
          <t>new</t>
        </is>
      </c>
      <c r="M2075" s="18" t="inlineStr"/>
      <c r="N2075" s="7" t="inlineStr">
        <is>
          <t>1553b35377f31a4f6daa708399146859e2ecf82f</t>
        </is>
      </c>
      <c r="O2075" s="14" t="n">
        <v>46187</v>
      </c>
      <c r="P2075" s="7" t="inlineStr">
        <is>
          <t>jobspy</t>
        </is>
      </c>
      <c r="Q2075" s="8" t="inlineStr">
        <is>
          <t>python</t>
        </is>
      </c>
      <c r="R2075" s="8" t="inlineStr">
        <is>
          <t>junior Junior Python Developer</t>
        </is>
      </c>
      <c r="S2075" s="19" t="n"/>
      <c r="T2075" s="19" t="n"/>
      <c r="U2075" s="14" t="n">
        <v>46191</v>
      </c>
      <c r="V2075" s="7" t="inlineStr">
        <is>
          <t>v2-cv-accuracy-13b988b18da8ea7d</t>
        </is>
      </c>
    </row>
    <row r="2076" ht="28" customHeight="1">
      <c r="A2076" s="12">
        <f>IF($L2076="applied","Applied",IF($L2076="interview","Interview",IF($L2076="offer","Offer",IF($L2076="rejected","Rejected",IF($L2076="ignore","Ignore",IF($L2076="archive","Archive",IF($L2076="closed","Closed",IF($B2076="","Unscored",IF(AND($B2076&gt;=8,OR($H2076="",$H2076-TODAY()&lt;=14)),"P1 Apply",IF($B2076&gt;=7,"P2 Strong",IF($B2076&gt;=5,"P3 Maybe","P4 Low")))))))))))</f>
        <v/>
      </c>
      <c r="B2076" s="13" t="n">
        <v>0</v>
      </c>
      <c r="C2076" s="12" t="inlineStr">
        <is>
          <t>Senior/Lead</t>
        </is>
      </c>
      <c r="D2076" s="8" t="inlineStr">
        <is>
          <t>AI Support Engineer</t>
        </is>
      </c>
      <c r="E2076" s="7" t="inlineStr">
        <is>
          <t>CRI Group</t>
        </is>
      </c>
      <c r="F2076" s="8" t="inlineStr">
        <is>
          <t>Coimbatore North, Tamil Nadu, India</t>
        </is>
      </c>
      <c r="G2076" s="8" t="n"/>
      <c r="H2076" s="14" t="n"/>
      <c r="I2076" s="15">
        <f>IF($H2076="","",$H2076-TODAY())</f>
        <v/>
      </c>
      <c r="J2076" s="16" t="inlineStr">
        <is>
          <t>Open posting</t>
        </is>
      </c>
      <c r="K2076" s="8" t="inlineStr">
        <is>
          <t>filtered by keyword pre-scan</t>
        </is>
      </c>
      <c r="L2076" s="17" t="inlineStr">
        <is>
          <t>new</t>
        </is>
      </c>
      <c r="M2076" s="18" t="inlineStr"/>
      <c r="N2076" s="7" t="inlineStr">
        <is>
          <t>31f878d7f5ad6d8b57f829ba299754f5ef6b642a</t>
        </is>
      </c>
      <c r="O2076" s="14" t="n">
        <v>46172</v>
      </c>
      <c r="P2076" s="7" t="inlineStr">
        <is>
          <t>jobspy</t>
        </is>
      </c>
      <c r="Q2076" s="8" t="inlineStr">
        <is>
          <t>python, sql, git, data analysis</t>
        </is>
      </c>
      <c r="R2076" s="8" t="inlineStr">
        <is>
          <t>graduate Junior Python Developer</t>
        </is>
      </c>
      <c r="S2076" s="19" t="n"/>
      <c r="T2076" s="19" t="n"/>
      <c r="U2076" s="14" t="n">
        <v>46191</v>
      </c>
      <c r="V2076" s="7" t="inlineStr">
        <is>
          <t>v2-cv-accuracy-13b988b18da8ea7d</t>
        </is>
      </c>
    </row>
    <row r="2077" ht="28" customHeight="1">
      <c r="A2077" s="12">
        <f>IF($L2077="applied","Applied",IF($L2077="interview","Interview",IF($L2077="offer","Offer",IF($L2077="rejected","Rejected",IF($L2077="ignore","Ignore",IF($L2077="archive","Archive",IF($L2077="closed","Closed",IF($B2077="","Unscored",IF(AND($B2077&gt;=8,OR($H2077="",$H2077-TODAY()&lt;=14)),"P1 Apply",IF($B2077&gt;=7,"P2 Strong",IF($B2077&gt;=5,"P3 Maybe","P4 Low")))))))))))</f>
        <v/>
      </c>
      <c r="B2077" s="13" t="n">
        <v>0</v>
      </c>
      <c r="C2077" s="12" t="inlineStr">
        <is>
          <t>Junior</t>
        </is>
      </c>
      <c r="D2077" s="8" t="inlineStr">
        <is>
          <t>Associate Analyst-Business Analytics</t>
        </is>
      </c>
      <c r="E2077" s="7" t="inlineStr">
        <is>
          <t>Allianz Services</t>
        </is>
      </c>
      <c r="F2077" s="8" t="inlineStr">
        <is>
          <t>Trivandrum, Kerala, India</t>
        </is>
      </c>
      <c r="G2077" s="8" t="n"/>
      <c r="H2077" s="14" t="n"/>
      <c r="I2077" s="15">
        <f>IF($H2077="","",$H2077-TODAY())</f>
        <v/>
      </c>
      <c r="J2077" s="16" t="inlineStr">
        <is>
          <t>Open posting</t>
        </is>
      </c>
      <c r="K2077" s="8" t="inlineStr">
        <is>
          <t>filtered by keyword pre-scan</t>
        </is>
      </c>
      <c r="L2077" s="17" t="inlineStr">
        <is>
          <t>new</t>
        </is>
      </c>
      <c r="M2077" s="18" t="inlineStr"/>
      <c r="N2077" s="7" t="inlineStr">
        <is>
          <t>9df8a52d7548f14cf1d6210572ae9a6554ea4e03</t>
        </is>
      </c>
      <c r="O2077" s="14" t="n">
        <v>46170</v>
      </c>
      <c r="P2077" s="7" t="inlineStr">
        <is>
          <t>jobspy</t>
        </is>
      </c>
      <c r="Q2077" s="8" t="inlineStr">
        <is>
          <t>python, rest apis</t>
        </is>
      </c>
      <c r="R2077" s="8" t="inlineStr">
        <is>
          <t>graduate Junior Python Developer</t>
        </is>
      </c>
      <c r="S2077" s="19" t="n"/>
      <c r="T2077" s="19" t="n"/>
      <c r="U2077" s="14" t="n">
        <v>46191</v>
      </c>
      <c r="V2077" s="7" t="inlineStr">
        <is>
          <t>v2-cv-accuracy-13b988b18da8ea7d</t>
        </is>
      </c>
    </row>
    <row r="2078" ht="28" customHeight="1">
      <c r="A2078" s="12">
        <f>IF($L2078="applied","Applied",IF($L2078="interview","Interview",IF($L2078="offer","Offer",IF($L2078="rejected","Rejected",IF($L2078="ignore","Ignore",IF($L2078="archive","Archive",IF($L2078="closed","Closed",IF($B2078="","Unscored",IF(AND($B2078&gt;=8,OR($H2078="",$H2078-TODAY()&lt;=14)),"P1 Apply",IF($B2078&gt;=7,"P2 Strong",IF($B2078&gt;=5,"P3 Maybe","P4 Low")))))))))))</f>
        <v/>
      </c>
      <c r="B2078" s="13" t="n">
        <v>0</v>
      </c>
      <c r="C2078" s="12" t="inlineStr">
        <is>
          <t>Unspecified</t>
        </is>
      </c>
      <c r="D2078" s="8" t="inlineStr">
        <is>
          <t>Python Developer</t>
        </is>
      </c>
      <c r="E2078" s="7" t="inlineStr">
        <is>
          <t>Indium</t>
        </is>
      </c>
      <c r="F2078" s="8" t="inlineStr">
        <is>
          <t>Hyderabad, Telangana, India</t>
        </is>
      </c>
      <c r="G2078" s="8" t="n"/>
      <c r="H2078" s="14" t="n"/>
      <c r="I2078" s="15">
        <f>IF($H2078="","",$H2078-TODAY())</f>
        <v/>
      </c>
      <c r="J2078" s="16" t="inlineStr">
        <is>
          <t>Open posting</t>
        </is>
      </c>
      <c r="K2078" s="8" t="inlineStr">
        <is>
          <t>filtered by keyword pre-scan</t>
        </is>
      </c>
      <c r="L2078" s="17" t="inlineStr">
        <is>
          <t>new</t>
        </is>
      </c>
      <c r="M2078" s="18" t="inlineStr"/>
      <c r="N2078" s="7" t="inlineStr">
        <is>
          <t>30f09a684b277e55e544987bd205d1dd8dbf4083</t>
        </is>
      </c>
      <c r="O2078" s="14" t="n">
        <v>46167</v>
      </c>
      <c r="P2078" s="7" t="inlineStr">
        <is>
          <t>jobspy</t>
        </is>
      </c>
      <c r="Q2078" s="8" t="inlineStr">
        <is>
          <t>python</t>
        </is>
      </c>
      <c r="R2078" s="8" t="inlineStr">
        <is>
          <t>graduate Junior Python Developer</t>
        </is>
      </c>
      <c r="S2078" s="19" t="n"/>
      <c r="T2078" s="19" t="n"/>
      <c r="U2078" s="14" t="n">
        <v>46191</v>
      </c>
      <c r="V2078" s="7" t="inlineStr">
        <is>
          <t>v2-cv-accuracy-13b988b18da8ea7d</t>
        </is>
      </c>
    </row>
    <row r="2079" ht="28" customHeight="1">
      <c r="A2079" s="12">
        <f>IF($L2079="applied","Applied",IF($L2079="interview","Interview",IF($L2079="offer","Offer",IF($L2079="rejected","Rejected",IF($L2079="ignore","Ignore",IF($L2079="archive","Archive",IF($L2079="closed","Closed",IF($B2079="","Unscored",IF(AND($B2079&gt;=8,OR($H2079="",$H2079-TODAY()&lt;=14)),"P1 Apply",IF($B2079&gt;=7,"P2 Strong",IF($B2079&gt;=5,"P3 Maybe","P4 Low")))))))))))</f>
        <v/>
      </c>
      <c r="B2079" s="13" t="n">
        <v>0</v>
      </c>
      <c r="C2079" s="12" t="inlineStr">
        <is>
          <t>Senior/Lead</t>
        </is>
      </c>
      <c r="D2079" s="8" t="inlineStr">
        <is>
          <t>Senior Back End Engineer Interviewer</t>
        </is>
      </c>
      <c r="E2079" s="7" t="inlineStr">
        <is>
          <t>Qurated</t>
        </is>
      </c>
      <c r="F2079" s="8" t="inlineStr"/>
      <c r="G2079" s="8" t="n"/>
      <c r="H2079" s="14" t="n"/>
      <c r="I2079" s="15">
        <f>IF($H2079="","",$H2079-TODAY())</f>
        <v/>
      </c>
      <c r="J2079" s="16" t="inlineStr">
        <is>
          <t>Open posting</t>
        </is>
      </c>
      <c r="K2079" s="8" t="inlineStr">
        <is>
          <t>filtered by keyword pre-scan</t>
        </is>
      </c>
      <c r="L2079" s="17" t="inlineStr">
        <is>
          <t>new</t>
        </is>
      </c>
      <c r="M2079" s="18" t="inlineStr"/>
      <c r="N2079" s="7" t="inlineStr">
        <is>
          <t>c9534f9c97025a2808a95086642cf986d210bd9e</t>
        </is>
      </c>
      <c r="O2079" s="14" t="n">
        <v>46189</v>
      </c>
      <c r="P2079" s="7" t="inlineStr">
        <is>
          <t>jobspy</t>
        </is>
      </c>
      <c r="Q2079" s="8" t="inlineStr"/>
      <c r="R2079" s="8" t="inlineStr">
        <is>
          <t>entry level Junior Python Developer</t>
        </is>
      </c>
      <c r="S2079" s="19" t="n"/>
      <c r="T2079" s="19" t="n"/>
      <c r="U2079" s="14" t="n">
        <v>46191</v>
      </c>
      <c r="V2079" s="7" t="inlineStr">
        <is>
          <t>v2-cv-accuracy-13b988b18da8ea7d</t>
        </is>
      </c>
    </row>
    <row r="2080" ht="28" customHeight="1">
      <c r="A2080" s="12">
        <f>IF($L2080="applied","Applied",IF($L2080="interview","Interview",IF($L2080="offer","Offer",IF($L2080="rejected","Rejected",IF($L2080="ignore","Ignore",IF($L2080="archive","Archive",IF($L2080="closed","Closed",IF($B2080="","Unscored",IF(AND($B2080&gt;=8,OR($H2080="",$H2080-TODAY()&lt;=14)),"P1 Apply",IF($B2080&gt;=7,"P2 Strong",IF($B2080&gt;=5,"P3 Maybe","P4 Low")))))))))))</f>
        <v/>
      </c>
      <c r="B2080" s="13" t="n">
        <v>0</v>
      </c>
      <c r="C2080" s="12" t="inlineStr">
        <is>
          <t>Junior</t>
        </is>
      </c>
      <c r="D2080" s="8" t="inlineStr">
        <is>
          <t>Software Engineer</t>
        </is>
      </c>
      <c r="E2080" s="7" t="inlineStr">
        <is>
          <t>Experis UK</t>
        </is>
      </c>
      <c r="F2080" s="8" t="inlineStr">
        <is>
          <t>Newcastle Upon Tyne, England, UK</t>
        </is>
      </c>
      <c r="G2080" s="8" t="n"/>
      <c r="H2080" s="14" t="n"/>
      <c r="I2080" s="15">
        <f>IF($H2080="","",$H2080-TODAY())</f>
        <v/>
      </c>
      <c r="J2080" s="16" t="inlineStr">
        <is>
          <t>Open posting</t>
        </is>
      </c>
      <c r="K2080" s="8" t="inlineStr">
        <is>
          <t>filtered by keyword pre-scan</t>
        </is>
      </c>
      <c r="L2080" s="17" t="inlineStr">
        <is>
          <t>new</t>
        </is>
      </c>
      <c r="M2080" s="18" t="inlineStr"/>
      <c r="N2080" s="7" t="inlineStr">
        <is>
          <t>3e4ccea9014d316167139bbf6666e513831c4a0c</t>
        </is>
      </c>
      <c r="O2080" s="14" t="n">
        <v>46189</v>
      </c>
      <c r="P2080" s="7" t="inlineStr">
        <is>
          <t>jobspy</t>
        </is>
      </c>
      <c r="Q2080" s="8" t="inlineStr">
        <is>
          <t>python</t>
        </is>
      </c>
      <c r="R2080" s="8" t="inlineStr">
        <is>
          <t>junior/graduate Junior Python Developer</t>
        </is>
      </c>
      <c r="S2080" s="19" t="n"/>
      <c r="T2080" s="19" t="n"/>
      <c r="U2080" s="14" t="n">
        <v>46191</v>
      </c>
      <c r="V2080" s="7" t="inlineStr">
        <is>
          <t>v2-cv-accuracy-13b988b18da8ea7d</t>
        </is>
      </c>
    </row>
    <row r="2081" ht="28" customHeight="1">
      <c r="A2081" s="12">
        <f>IF($L2081="applied","Applied",IF($L2081="interview","Interview",IF($L2081="offer","Offer",IF($L2081="rejected","Rejected",IF($L2081="ignore","Ignore",IF($L2081="archive","Archive",IF($L2081="closed","Closed",IF($B2081="","Unscored",IF(AND($B2081&gt;=8,OR($H2081="",$H2081-TODAY()&lt;=14)),"P1 Apply",IF($B2081&gt;=7,"P2 Strong",IF($B2081&gt;=5,"P3 Maybe","P4 Low")))))))))))</f>
        <v/>
      </c>
      <c r="B2081" s="13" t="n">
        <v>0</v>
      </c>
      <c r="C2081" s="12" t="inlineStr">
        <is>
          <t>Junior</t>
        </is>
      </c>
      <c r="D2081" s="8" t="inlineStr">
        <is>
          <t>Junior Engineer</t>
        </is>
      </c>
      <c r="E2081" s="7" t="inlineStr">
        <is>
          <t>Artefact</t>
        </is>
      </c>
      <c r="F2081" s="8" t="inlineStr">
        <is>
          <t>London, England, UK</t>
        </is>
      </c>
      <c r="G2081" s="8" t="n"/>
      <c r="H2081" s="14" t="n"/>
      <c r="I2081" s="15">
        <f>IF($H2081="","",$H2081-TODAY())</f>
        <v/>
      </c>
      <c r="J2081" s="16" t="inlineStr">
        <is>
          <t>Open posting</t>
        </is>
      </c>
      <c r="K2081" s="8" t="inlineStr">
        <is>
          <t>filtered by keyword pre-scan</t>
        </is>
      </c>
      <c r="L2081" s="17" t="inlineStr">
        <is>
          <t>new</t>
        </is>
      </c>
      <c r="M2081" s="18" t="inlineStr"/>
      <c r="N2081" s="7" t="inlineStr">
        <is>
          <t>268a00ffd808067755032a836a8c3b63042d0ec0</t>
        </is>
      </c>
      <c r="O2081" s="14" t="n">
        <v>46184</v>
      </c>
      <c r="P2081" s="7" t="inlineStr">
        <is>
          <t>jobspy</t>
        </is>
      </c>
      <c r="Q2081" s="8" t="inlineStr">
        <is>
          <t>python, sql, git</t>
        </is>
      </c>
      <c r="R2081" s="8" t="inlineStr">
        <is>
          <t>junior/graduate Junior Python Developer</t>
        </is>
      </c>
      <c r="S2081" s="19" t="n"/>
      <c r="T2081" s="19" t="n"/>
      <c r="U2081" s="14" t="n">
        <v>46191</v>
      </c>
      <c r="V2081" s="7" t="inlineStr">
        <is>
          <t>v2-cv-accuracy-13b988b18da8ea7d</t>
        </is>
      </c>
    </row>
    <row r="2082" ht="28" customHeight="1">
      <c r="A2082" s="12">
        <f>IF($L2082="applied","Applied",IF($L2082="interview","Interview",IF($L2082="offer","Offer",IF($L2082="rejected","Rejected",IF($L2082="ignore","Ignore",IF($L2082="archive","Archive",IF($L2082="closed","Closed",IF($B2082="","Unscored",IF(AND($B2082&gt;=8,OR($H2082="",$H2082-TODAY()&lt;=14)),"P1 Apply",IF($B2082&gt;=7,"P2 Strong",IF($B2082&gt;=5,"P3 Maybe","P4 Low")))))))))))</f>
        <v/>
      </c>
      <c r="B2082" s="13" t="n">
        <v>0</v>
      </c>
      <c r="C2082" s="12" t="inlineStr">
        <is>
          <t>Senior/Lead</t>
        </is>
      </c>
      <c r="D2082" s="8" t="inlineStr">
        <is>
          <t>Senior Full Stack Developer - 6-month Fixed Term Contract</t>
        </is>
      </c>
      <c r="E2082" s="7" t="inlineStr">
        <is>
          <t>Singer Instruments</t>
        </is>
      </c>
      <c r="F2082" s="8" t="inlineStr">
        <is>
          <t>Minehead, ENG, GB</t>
        </is>
      </c>
      <c r="G2082" s="8" t="n"/>
      <c r="H2082" s="14" t="n"/>
      <c r="I2082" s="15">
        <f>IF($H2082="","",$H2082-TODAY())</f>
        <v/>
      </c>
      <c r="J2082" s="16" t="inlineStr">
        <is>
          <t>Open posting</t>
        </is>
      </c>
      <c r="K2082" s="8" t="inlineStr">
        <is>
          <t>filtered by keyword pre-scan</t>
        </is>
      </c>
      <c r="L2082" s="17" t="inlineStr">
        <is>
          <t>new</t>
        </is>
      </c>
      <c r="M2082" s="18" t="inlineStr"/>
      <c r="N2082" s="7" t="inlineStr">
        <is>
          <t>e1118ad1e031f208e169412dd98d703c9d5dae3f</t>
        </is>
      </c>
      <c r="O2082" s="14" t="n">
        <v>46178</v>
      </c>
      <c r="P2082" s="7" t="inlineStr">
        <is>
          <t>jobspy</t>
        </is>
      </c>
      <c r="Q2082" s="8" t="inlineStr">
        <is>
          <t>python, sql, git, data analysis</t>
        </is>
      </c>
      <c r="R2082" s="8" t="inlineStr">
        <is>
          <t>Junior Python Developer remote</t>
        </is>
      </c>
      <c r="S2082" s="19" t="n"/>
      <c r="T2082" s="19" t="n"/>
      <c r="U2082" s="14" t="n">
        <v>46191</v>
      </c>
      <c r="V2082" s="7" t="inlineStr">
        <is>
          <t>v2-cv-accuracy-13b988b18da8ea7d</t>
        </is>
      </c>
    </row>
    <row r="2083" ht="28" customHeight="1">
      <c r="A2083" s="12">
        <f>IF($L2083="applied","Applied",IF($L2083="interview","Interview",IF($L2083="offer","Offer",IF($L2083="rejected","Rejected",IF($L2083="ignore","Ignore",IF($L2083="archive","Archive",IF($L2083="closed","Closed",IF($B2083="","Unscored",IF(AND($B2083&gt;=8,OR($H2083="",$H2083-TODAY()&lt;=14)),"P1 Apply",IF($B2083&gt;=7,"P2 Strong",IF($B2083&gt;=5,"P3 Maybe","P4 Low")))))))))))</f>
        <v/>
      </c>
      <c r="B2083" s="13" t="n">
        <v>0</v>
      </c>
      <c r="C2083" s="12" t="inlineStr">
        <is>
          <t>Senior/Lead</t>
        </is>
      </c>
      <c r="D2083" s="8" t="inlineStr">
        <is>
          <t>Senior Full Stack Developer - 6-month Fixed Term Contract</t>
        </is>
      </c>
      <c r="E2083" s="7" t="inlineStr">
        <is>
          <t>Singer Instrument Co Ltd</t>
        </is>
      </c>
      <c r="F2083" s="8" t="inlineStr">
        <is>
          <t>Minehead, ENG, GB</t>
        </is>
      </c>
      <c r="G2083" s="8" t="n"/>
      <c r="H2083" s="14" t="n"/>
      <c r="I2083" s="15">
        <f>IF($H2083="","",$H2083-TODAY())</f>
        <v/>
      </c>
      <c r="J2083" s="16" t="inlineStr">
        <is>
          <t>Open posting</t>
        </is>
      </c>
      <c r="K2083" s="8" t="inlineStr">
        <is>
          <t>filtered by keyword pre-scan</t>
        </is>
      </c>
      <c r="L2083" s="17" t="inlineStr">
        <is>
          <t>new</t>
        </is>
      </c>
      <c r="M2083" s="18" t="inlineStr"/>
      <c r="N2083" s="7" t="inlineStr">
        <is>
          <t>3e61caee2f4f35f534fc9632ac8eabff8d36dafb</t>
        </is>
      </c>
      <c r="O2083" s="14" t="n">
        <v>46178</v>
      </c>
      <c r="P2083" s="7" t="inlineStr">
        <is>
          <t>jobspy</t>
        </is>
      </c>
      <c r="Q2083" s="8" t="inlineStr">
        <is>
          <t>python, sql, git, data analysis</t>
        </is>
      </c>
      <c r="R2083" s="8" t="inlineStr">
        <is>
          <t>Junior Python Developer remote</t>
        </is>
      </c>
      <c r="S2083" s="19" t="n"/>
      <c r="T2083" s="19" t="n"/>
      <c r="U2083" s="14" t="n">
        <v>46191</v>
      </c>
      <c r="V2083" s="7" t="inlineStr">
        <is>
          <t>v2-cv-accuracy-13b988b18da8ea7d</t>
        </is>
      </c>
    </row>
    <row r="2084" ht="28" customHeight="1">
      <c r="A2084" s="12">
        <f>IF($L2084="applied","Applied",IF($L2084="interview","Interview",IF($L2084="offer","Offer",IF($L2084="rejected","Rejected",IF($L2084="ignore","Ignore",IF($L2084="archive","Archive",IF($L2084="closed","Closed",IF($B2084="","Unscored",IF(AND($B2084&gt;=8,OR($H2084="",$H2084-TODAY()&lt;=14)),"P1 Apply",IF($B2084&gt;=7,"P2 Strong",IF($B2084&gt;=5,"P3 Maybe","P4 Low")))))))))))</f>
        <v/>
      </c>
      <c r="B2084" s="13" t="n">
        <v>0</v>
      </c>
      <c r="C2084" s="12" t="inlineStr">
        <is>
          <t>Mid-level</t>
        </is>
      </c>
      <c r="D2084" s="8" t="inlineStr">
        <is>
          <t>Python Developer</t>
        </is>
      </c>
      <c r="E2084" s="7" t="inlineStr">
        <is>
          <t>wherewework Jobs</t>
        </is>
      </c>
      <c r="F2084" s="8" t="inlineStr">
        <is>
          <t>London, England, UK</t>
        </is>
      </c>
      <c r="G2084" s="8" t="n"/>
      <c r="H2084" s="14" t="n"/>
      <c r="I2084" s="15">
        <f>IF($H2084="","",$H2084-TODAY())</f>
        <v/>
      </c>
      <c r="J2084" s="16" t="inlineStr">
        <is>
          <t>Open posting</t>
        </is>
      </c>
      <c r="K2084" s="8" t="inlineStr">
        <is>
          <t>filtered by keyword pre-scan</t>
        </is>
      </c>
      <c r="L2084" s="17" t="inlineStr">
        <is>
          <t>new</t>
        </is>
      </c>
      <c r="M2084" s="18" t="inlineStr"/>
      <c r="N2084" s="7" t="inlineStr">
        <is>
          <t>b06c415baa0959eea023d94ae34f21763b884630</t>
        </is>
      </c>
      <c r="O2084" s="14" t="n">
        <v>46186</v>
      </c>
      <c r="P2084" s="7" t="inlineStr">
        <is>
          <t>jobspy</t>
        </is>
      </c>
      <c r="Q2084" s="8" t="inlineStr">
        <is>
          <t>python, sql, git</t>
        </is>
      </c>
      <c r="R2084" s="8" t="inlineStr">
        <is>
          <t>Junior Python Developer remote</t>
        </is>
      </c>
      <c r="S2084" s="19" t="n"/>
      <c r="T2084" s="19" t="n"/>
      <c r="U2084" s="14" t="n">
        <v>46191</v>
      </c>
      <c r="V2084" s="7" t="inlineStr">
        <is>
          <t>v2-cv-accuracy-13b988b18da8ea7d</t>
        </is>
      </c>
    </row>
    <row r="2085" ht="28" customHeight="1">
      <c r="A2085" s="12">
        <f>IF($L2085="applied","Applied",IF($L2085="interview","Interview",IF($L2085="offer","Offer",IF($L2085="rejected","Rejected",IF($L2085="ignore","Ignore",IF($L2085="archive","Archive",IF($L2085="closed","Closed",IF($B2085="","Unscored",IF(AND($B2085&gt;=8,OR($H2085="",$H2085-TODAY()&lt;=14)),"P1 Apply",IF($B2085&gt;=7,"P2 Strong",IF($B2085&gt;=5,"P3 Maybe","P4 Low")))))))))))</f>
        <v/>
      </c>
      <c r="B2085" s="13" t="n">
        <v>0</v>
      </c>
      <c r="C2085" s="12" t="inlineStr">
        <is>
          <t>Unspecified</t>
        </is>
      </c>
      <c r="D2085" s="8" t="inlineStr">
        <is>
          <t>Python Developer | $55/hr Remote</t>
        </is>
      </c>
      <c r="E2085" s="7" t="inlineStr">
        <is>
          <t>Crossing Hurdles</t>
        </is>
      </c>
      <c r="F2085" s="8" t="inlineStr"/>
      <c r="G2085" s="8" t="n"/>
      <c r="H2085" s="14" t="n"/>
      <c r="I2085" s="15">
        <f>IF($H2085="","",$H2085-TODAY())</f>
        <v/>
      </c>
      <c r="J2085" s="16" t="inlineStr">
        <is>
          <t>Open posting</t>
        </is>
      </c>
      <c r="K2085" s="8" t="inlineStr">
        <is>
          <t>filtered by keyword pre-scan</t>
        </is>
      </c>
      <c r="L2085" s="17" t="inlineStr">
        <is>
          <t>new</t>
        </is>
      </c>
      <c r="M2085" s="18" t="inlineStr"/>
      <c r="N2085" s="7" t="inlineStr">
        <is>
          <t>6ce034566dd5b2ab6933b2ee9b13de3f5e8c965d</t>
        </is>
      </c>
      <c r="O2085" s="14" t="n">
        <v>46178</v>
      </c>
      <c r="P2085" s="7" t="inlineStr">
        <is>
          <t>jobspy</t>
        </is>
      </c>
      <c r="Q2085" s="8" t="inlineStr">
        <is>
          <t>python</t>
        </is>
      </c>
      <c r="R2085" s="8" t="inlineStr">
        <is>
          <t>Junior Python Developer remote</t>
        </is>
      </c>
      <c r="S2085" s="19" t="n"/>
      <c r="T2085" s="19" t="n"/>
      <c r="U2085" s="14" t="n">
        <v>46191</v>
      </c>
      <c r="V2085" s="7" t="inlineStr">
        <is>
          <t>v2-cv-accuracy-13b988b18da8ea7d</t>
        </is>
      </c>
    </row>
    <row r="2086" ht="28" customHeight="1">
      <c r="A2086" s="12">
        <f>IF($L2086="applied","Applied",IF($L2086="interview","Interview",IF($L2086="offer","Offer",IF($L2086="rejected","Rejected",IF($L2086="ignore","Ignore",IF($L2086="archive","Archive",IF($L2086="closed","Closed",IF($B2086="","Unscored",IF(AND($B2086&gt;=8,OR($H2086="",$H2086-TODAY()&lt;=14)),"P1 Apply",IF($B2086&gt;=7,"P2 Strong",IF($B2086&gt;=5,"P3 Maybe","P4 Low")))))))))))</f>
        <v/>
      </c>
      <c r="B2086" s="13" t="n">
        <v>0</v>
      </c>
      <c r="C2086" s="12" t="inlineStr">
        <is>
          <t>Unspecified</t>
        </is>
      </c>
      <c r="D2086" s="8" t="inlineStr">
        <is>
          <t>Python Developer | $90/hr Remote</t>
        </is>
      </c>
      <c r="E2086" s="7" t="inlineStr">
        <is>
          <t>Crossing Hurdles</t>
        </is>
      </c>
      <c r="F2086" s="8" t="inlineStr"/>
      <c r="G2086" s="8" t="n"/>
      <c r="H2086" s="14" t="n"/>
      <c r="I2086" s="15">
        <f>IF($H2086="","",$H2086-TODAY())</f>
        <v/>
      </c>
      <c r="J2086" s="16" t="inlineStr">
        <is>
          <t>Open posting</t>
        </is>
      </c>
      <c r="K2086" s="8" t="inlineStr">
        <is>
          <t>filtered by keyword pre-scan</t>
        </is>
      </c>
      <c r="L2086" s="17" t="inlineStr">
        <is>
          <t>new</t>
        </is>
      </c>
      <c r="M2086" s="18" t="inlineStr"/>
      <c r="N2086" s="7" t="inlineStr">
        <is>
          <t>922eaa1844d77714669c00e9fedad848f0310e42</t>
        </is>
      </c>
      <c r="O2086" s="14" t="n"/>
      <c r="P2086" s="7" t="inlineStr">
        <is>
          <t>jobspy</t>
        </is>
      </c>
      <c r="Q2086" s="8" t="inlineStr">
        <is>
          <t>python</t>
        </is>
      </c>
      <c r="R2086" s="8" t="inlineStr">
        <is>
          <t>Junior Python Developer remote</t>
        </is>
      </c>
      <c r="S2086" s="19" t="n"/>
      <c r="T2086" s="19" t="n"/>
      <c r="U2086" s="14" t="n">
        <v>46191</v>
      </c>
      <c r="V2086" s="7" t="inlineStr">
        <is>
          <t>v2-cv-accuracy-13b988b18da8ea7d</t>
        </is>
      </c>
    </row>
    <row r="2087" ht="28" customHeight="1">
      <c r="A2087" s="12">
        <f>IF($L2087="applied","Applied",IF($L2087="interview","Interview",IF($L2087="offer","Offer",IF($L2087="rejected","Rejected",IF($L2087="ignore","Ignore",IF($L2087="archive","Archive",IF($L2087="closed","Closed",IF($B2087="","Unscored",IF(AND($B2087&gt;=8,OR($H2087="",$H2087-TODAY()&lt;=14)),"P1 Apply",IF($B2087&gt;=7,"P2 Strong",IF($B2087&gt;=5,"P3 Maybe","P4 Low")))))))))))</f>
        <v/>
      </c>
      <c r="B2087" s="13" t="n">
        <v>0</v>
      </c>
      <c r="C2087" s="12" t="inlineStr">
        <is>
          <t>Senior/Lead</t>
        </is>
      </c>
      <c r="D2087" s="8" t="inlineStr">
        <is>
          <t>Senior Software Engineer, Developer and Agent Experience</t>
        </is>
      </c>
      <c r="E2087" s="7" t="inlineStr">
        <is>
          <t>Google</t>
        </is>
      </c>
      <c r="F2087" s="8" t="inlineStr">
        <is>
          <t>London, ENG, GB</t>
        </is>
      </c>
      <c r="G2087" s="8" t="n"/>
      <c r="H2087" s="14" t="n"/>
      <c r="I2087" s="15">
        <f>IF($H2087="","",$H2087-TODAY())</f>
        <v/>
      </c>
      <c r="J2087" s="16" t="inlineStr">
        <is>
          <t>Open posting</t>
        </is>
      </c>
      <c r="K2087" s="8" t="inlineStr">
        <is>
          <t>filtered by keyword pre-scan</t>
        </is>
      </c>
      <c r="L2087" s="17" t="inlineStr">
        <is>
          <t>new</t>
        </is>
      </c>
      <c r="M2087" s="18" t="inlineStr"/>
      <c r="N2087" s="7" t="inlineStr">
        <is>
          <t>a0b89a5ce2153f12dfa5f69154204012ab98b715</t>
        </is>
      </c>
      <c r="O2087" s="14" t="n">
        <v>46190</v>
      </c>
      <c r="P2087" s="7" t="inlineStr">
        <is>
          <t>jobspy</t>
        </is>
      </c>
      <c r="Q2087" s="8" t="inlineStr">
        <is>
          <t>python, software development</t>
        </is>
      </c>
      <c r="R2087" s="8" t="inlineStr">
        <is>
          <t>Full Stack Developer</t>
        </is>
      </c>
      <c r="S2087" s="19" t="n"/>
      <c r="T2087" s="19" t="n"/>
      <c r="U2087" s="14" t="n">
        <v>46191</v>
      </c>
      <c r="V2087" s="7" t="inlineStr">
        <is>
          <t>v2-cv-accuracy-13b988b18da8ea7d</t>
        </is>
      </c>
    </row>
    <row r="2088" ht="28" customHeight="1">
      <c r="A2088" s="12">
        <f>IF($L2088="applied","Applied",IF($L2088="interview","Interview",IF($L2088="offer","Offer",IF($L2088="rejected","Rejected",IF($L2088="ignore","Ignore",IF($L2088="archive","Archive",IF($L2088="closed","Closed",IF($B2088="","Unscored",IF(AND($B2088&gt;=8,OR($H2088="",$H2088-TODAY()&lt;=14)),"P1 Apply",IF($B2088&gt;=7,"P2 Strong",IF($B2088&gt;=5,"P3 Maybe","P4 Low")))))))))))</f>
        <v/>
      </c>
      <c r="B2088" s="13" t="n">
        <v>0</v>
      </c>
      <c r="C2088" s="12" t="inlineStr">
        <is>
          <t>Senior/Lead</t>
        </is>
      </c>
      <c r="D2088" s="8" t="inlineStr">
        <is>
          <t>Senior Full Stack Engineer, Ecomm – 12 month contract</t>
        </is>
      </c>
      <c r="E2088" s="7" t="inlineStr">
        <is>
          <t>Games Workshop</t>
        </is>
      </c>
      <c r="F2088" s="8" t="inlineStr">
        <is>
          <t>Nottingham, ENG, GB</t>
        </is>
      </c>
      <c r="G2088" s="8" t="n"/>
      <c r="H2088" s="14" t="n"/>
      <c r="I2088" s="15">
        <f>IF($H2088="","",$H2088-TODAY())</f>
        <v/>
      </c>
      <c r="J2088" s="16" t="inlineStr">
        <is>
          <t>Open posting</t>
        </is>
      </c>
      <c r="K2088" s="8" t="inlineStr">
        <is>
          <t>filtered by keyword pre-scan</t>
        </is>
      </c>
      <c r="L2088" s="17" t="inlineStr">
        <is>
          <t>new</t>
        </is>
      </c>
      <c r="M2088" s="18" t="inlineStr"/>
      <c r="N2088" s="7" t="inlineStr">
        <is>
          <t>b8556ba4e938d1be1020a7b685ed45454e72927c</t>
        </is>
      </c>
      <c r="O2088" s="14" t="n">
        <v>46190</v>
      </c>
      <c r="P2088" s="7" t="inlineStr">
        <is>
          <t>jobspy</t>
        </is>
      </c>
      <c r="Q2088" s="8" t="inlineStr">
        <is>
          <t>git</t>
        </is>
      </c>
      <c r="R2088" s="8" t="inlineStr">
        <is>
          <t>Full Stack Developer</t>
        </is>
      </c>
      <c r="S2088" s="19" t="n"/>
      <c r="T2088" s="19" t="n"/>
      <c r="U2088" s="14" t="n">
        <v>46191</v>
      </c>
      <c r="V2088" s="7" t="inlineStr">
        <is>
          <t>v2-cv-accuracy-13b988b18da8ea7d</t>
        </is>
      </c>
    </row>
    <row r="2089" ht="28" customHeight="1">
      <c r="A2089" s="12">
        <f>IF($L2089="applied","Applied",IF($L2089="interview","Interview",IF($L2089="offer","Offer",IF($L2089="rejected","Rejected",IF($L2089="ignore","Ignore",IF($L2089="archive","Archive",IF($L2089="closed","Closed",IF($B2089="","Unscored",IF(AND($B2089&gt;=8,OR($H2089="",$H2089-TODAY()&lt;=14)),"P1 Apply",IF($B2089&gt;=7,"P2 Strong",IF($B2089&gt;=5,"P3 Maybe","P4 Low")))))))))))</f>
        <v/>
      </c>
      <c r="B2089" s="13" t="n">
        <v>0</v>
      </c>
      <c r="C2089" s="12" t="inlineStr">
        <is>
          <t>Senior/Lead</t>
        </is>
      </c>
      <c r="D2089" s="8" t="inlineStr">
        <is>
          <t>Senior Software Engineer - Web Platform</t>
        </is>
      </c>
      <c r="E2089" s="7" t="inlineStr">
        <is>
          <t>Marks &amp; Spencer</t>
        </is>
      </c>
      <c r="F2089" s="8" t="inlineStr">
        <is>
          <t>London, ENG, GB</t>
        </is>
      </c>
      <c r="G2089" s="8" t="n"/>
      <c r="H2089" s="14" t="n">
        <v>46204</v>
      </c>
      <c r="I2089" s="15">
        <f>IF($H2089="","",$H2089-TODAY())</f>
        <v/>
      </c>
      <c r="J2089" s="16" t="inlineStr">
        <is>
          <t>Open posting</t>
        </is>
      </c>
      <c r="K2089" s="8" t="inlineStr">
        <is>
          <t>filtered by keyword pre-scan</t>
        </is>
      </c>
      <c r="L2089" s="17" t="inlineStr">
        <is>
          <t>new</t>
        </is>
      </c>
      <c r="M2089" s="18" t="inlineStr"/>
      <c r="N2089" s="7" t="inlineStr">
        <is>
          <t>b0402db41524c914ededd5be28444390e8c348b6</t>
        </is>
      </c>
      <c r="O2089" s="14" t="n">
        <v>46190</v>
      </c>
      <c r="P2089" s="7" t="inlineStr">
        <is>
          <t>jobspy</t>
        </is>
      </c>
      <c r="Q2089" s="8" t="inlineStr">
        <is>
          <t>git</t>
        </is>
      </c>
      <c r="R2089" s="8" t="inlineStr">
        <is>
          <t>Full Stack Developer</t>
        </is>
      </c>
      <c r="S2089" s="19" t="n"/>
      <c r="T2089" s="19" t="n"/>
      <c r="U2089" s="14" t="n">
        <v>46191</v>
      </c>
      <c r="V2089" s="7" t="inlineStr">
        <is>
          <t>v2-cv-accuracy-13b988b18da8ea7d</t>
        </is>
      </c>
    </row>
    <row r="2090" ht="28" customHeight="1">
      <c r="A2090" s="12">
        <f>IF($L2090="applied","Applied",IF($L2090="interview","Interview",IF($L2090="offer","Offer",IF($L2090="rejected","Rejected",IF($L2090="ignore","Ignore",IF($L2090="archive","Archive",IF($L2090="closed","Closed",IF($B2090="","Unscored",IF(AND($B2090&gt;=8,OR($H2090="",$H2090-TODAY()&lt;=14)),"P1 Apply",IF($B2090&gt;=7,"P2 Strong",IF($B2090&gt;=5,"P3 Maybe","P4 Low")))))))))))</f>
        <v/>
      </c>
      <c r="B2090" s="13" t="n">
        <v>0</v>
      </c>
      <c r="C2090" s="12" t="inlineStr">
        <is>
          <t>Senior/Lead</t>
        </is>
      </c>
      <c r="D2090" s="8" t="inlineStr">
        <is>
          <t>Lead Engineer</t>
        </is>
      </c>
      <c r="E2090" s="7" t="inlineStr">
        <is>
          <t>Disguise Technologies Ltd</t>
        </is>
      </c>
      <c r="F2090" s="8" t="inlineStr">
        <is>
          <t>London, ENG, GB</t>
        </is>
      </c>
      <c r="G2090" s="8" t="n"/>
      <c r="H2090" s="14" t="n"/>
      <c r="I2090" s="15">
        <f>IF($H2090="","",$H2090-TODAY())</f>
        <v/>
      </c>
      <c r="J2090" s="16" t="inlineStr">
        <is>
          <t>Open posting</t>
        </is>
      </c>
      <c r="K2090" s="8" t="inlineStr">
        <is>
          <t>filtered by keyword pre-scan</t>
        </is>
      </c>
      <c r="L2090" s="17" t="inlineStr">
        <is>
          <t>new</t>
        </is>
      </c>
      <c r="M2090" s="18" t="inlineStr"/>
      <c r="N2090" s="7" t="inlineStr">
        <is>
          <t>f1ee22a3bb809149f2c96f4c2b993180459b9ed7</t>
        </is>
      </c>
      <c r="O2090" s="14" t="n">
        <v>46189</v>
      </c>
      <c r="P2090" s="7" t="inlineStr">
        <is>
          <t>jobspy</t>
        </is>
      </c>
      <c r="Q2090" s="8" t="inlineStr">
        <is>
          <t>git</t>
        </is>
      </c>
      <c r="R2090" s="8" t="inlineStr">
        <is>
          <t>Full Stack Developer</t>
        </is>
      </c>
      <c r="S2090" s="19" t="n"/>
      <c r="T2090" s="19" t="n"/>
      <c r="U2090" s="14" t="n">
        <v>46191</v>
      </c>
      <c r="V2090" s="7" t="inlineStr">
        <is>
          <t>v2-cv-accuracy-13b988b18da8ea7d</t>
        </is>
      </c>
    </row>
    <row r="2091" ht="28" customHeight="1">
      <c r="A2091" s="12">
        <f>IF($L2091="applied","Applied",IF($L2091="interview","Interview",IF($L2091="offer","Offer",IF($L2091="rejected","Rejected",IF($L2091="ignore","Ignore",IF($L2091="archive","Archive",IF($L2091="closed","Closed",IF($B2091="","Unscored",IF(AND($B2091&gt;=8,OR($H2091="",$H2091-TODAY()&lt;=14)),"P1 Apply",IF($B2091&gt;=7,"P2 Strong",IF($B2091&gt;=5,"P3 Maybe","P4 Low")))))))))))</f>
        <v/>
      </c>
      <c r="B2091" s="13" t="n">
        <v>0</v>
      </c>
      <c r="C2091" s="12" t="inlineStr">
        <is>
          <t>Senior/Lead</t>
        </is>
      </c>
      <c r="D2091" s="8" t="inlineStr">
        <is>
          <t>Senior Full Stack Software Engineer (eDV)</t>
        </is>
      </c>
      <c r="E2091" s="7" t="inlineStr">
        <is>
          <t>Frontier Resourcing</t>
        </is>
      </c>
      <c r="F2091" s="8" t="inlineStr">
        <is>
          <t>London, ENG, GB</t>
        </is>
      </c>
      <c r="G2091" s="8" t="n"/>
      <c r="H2091" s="14" t="n"/>
      <c r="I2091" s="15">
        <f>IF($H2091="","",$H2091-TODAY())</f>
        <v/>
      </c>
      <c r="J2091" s="16" t="inlineStr">
        <is>
          <t>Open posting</t>
        </is>
      </c>
      <c r="K2091" s="8" t="inlineStr">
        <is>
          <t>filtered by keyword pre-scan</t>
        </is>
      </c>
      <c r="L2091" s="17" t="inlineStr">
        <is>
          <t>new</t>
        </is>
      </c>
      <c r="M2091" s="18" t="inlineStr"/>
      <c r="N2091" s="7" t="inlineStr">
        <is>
          <t>5a2ba21e92a1293defb572eb48e41b740bd08460</t>
        </is>
      </c>
      <c r="O2091" s="14" t="n">
        <v>46189</v>
      </c>
      <c r="P2091" s="7" t="inlineStr">
        <is>
          <t>jobspy</t>
        </is>
      </c>
      <c r="Q2091" s="8" t="inlineStr">
        <is>
          <t>javascript, git</t>
        </is>
      </c>
      <c r="R2091" s="8" t="inlineStr">
        <is>
          <t>Full Stack Developer</t>
        </is>
      </c>
      <c r="S2091" s="19" t="n"/>
      <c r="T2091" s="19" t="n"/>
      <c r="U2091" s="14" t="n">
        <v>46191</v>
      </c>
      <c r="V2091" s="7" t="inlineStr">
        <is>
          <t>v2-cv-accuracy-13b988b18da8ea7d</t>
        </is>
      </c>
    </row>
    <row r="2092" ht="28" customHeight="1">
      <c r="A2092" s="12">
        <f>IF($L2092="applied","Applied",IF($L2092="interview","Interview",IF($L2092="offer","Offer",IF($L2092="rejected","Rejected",IF($L2092="ignore","Ignore",IF($L2092="archive","Archive",IF($L2092="closed","Closed",IF($B2092="","Unscored",IF(AND($B2092&gt;=8,OR($H2092="",$H2092-TODAY()&lt;=14)),"P1 Apply",IF($B2092&gt;=7,"P2 Strong",IF($B2092&gt;=5,"P3 Maybe","P4 Low")))))))))))</f>
        <v/>
      </c>
      <c r="B2092" s="13" t="n">
        <v>0</v>
      </c>
      <c r="C2092" s="12" t="inlineStr">
        <is>
          <t>Unspecified</t>
        </is>
      </c>
      <c r="D2092" s="8" t="inlineStr">
        <is>
          <t>Frontend Developer - Fully Remote | Upto $85/hr</t>
        </is>
      </c>
      <c r="E2092" s="7" t="inlineStr">
        <is>
          <t>Mercor</t>
        </is>
      </c>
      <c r="F2092" s="8" t="inlineStr"/>
      <c r="G2092" s="8" t="n"/>
      <c r="H2092" s="14" t="n"/>
      <c r="I2092" s="15">
        <f>IF($H2092="","",$H2092-TODAY())</f>
        <v/>
      </c>
      <c r="J2092" s="16" t="inlineStr">
        <is>
          <t>Open posting</t>
        </is>
      </c>
      <c r="K2092" s="8" t="inlineStr">
        <is>
          <t>filtered by keyword pre-scan</t>
        </is>
      </c>
      <c r="L2092" s="17" t="inlineStr">
        <is>
          <t>new</t>
        </is>
      </c>
      <c r="M2092" s="18" t="inlineStr"/>
      <c r="N2092" s="7" t="inlineStr">
        <is>
          <t>7bc8cb266c1a1b4a728667f402a588e9653bb85d</t>
        </is>
      </c>
      <c r="O2092" s="14" t="n">
        <v>46190</v>
      </c>
      <c r="P2092" s="7" t="inlineStr">
        <is>
          <t>jobspy</t>
        </is>
      </c>
      <c r="Q2092" s="8" t="inlineStr">
        <is>
          <t>javascript</t>
        </is>
      </c>
      <c r="R2092" s="8" t="inlineStr">
        <is>
          <t>Full Stack Developer</t>
        </is>
      </c>
      <c r="S2092" s="19" t="n"/>
      <c r="T2092" s="19" t="n"/>
      <c r="U2092" s="14" t="n">
        <v>46191</v>
      </c>
      <c r="V2092" s="7" t="inlineStr">
        <is>
          <t>v2-cv-accuracy-13b988b18da8ea7d</t>
        </is>
      </c>
    </row>
    <row r="2093" ht="28" customHeight="1">
      <c r="A2093" s="12">
        <f>IF($L2093="applied","Applied",IF($L2093="interview","Interview",IF($L2093="offer","Offer",IF($L2093="rejected","Rejected",IF($L2093="ignore","Ignore",IF($L2093="archive","Archive",IF($L2093="closed","Closed",IF($B2093="","Unscored",IF(AND($B2093&gt;=8,OR($H2093="",$H2093-TODAY()&lt;=14)),"P1 Apply",IF($B2093&gt;=7,"P2 Strong",IF($B2093&gt;=5,"P3 Maybe","P4 Low")))))))))))</f>
        <v/>
      </c>
      <c r="B2093" s="13" t="n">
        <v>0</v>
      </c>
      <c r="C2093" s="12" t="inlineStr">
        <is>
          <t>Junior</t>
        </is>
      </c>
      <c r="D2093" s="8" t="inlineStr">
        <is>
          <t>Associate Frontend Engineer</t>
        </is>
      </c>
      <c r="E2093" s="7" t="inlineStr">
        <is>
          <t>numi</t>
        </is>
      </c>
      <c r="F2093" s="8" t="inlineStr">
        <is>
          <t>London Area, United Kingdom</t>
        </is>
      </c>
      <c r="G2093" s="8" t="n"/>
      <c r="H2093" s="14" t="n"/>
      <c r="I2093" s="15">
        <f>IF($H2093="","",$H2093-TODAY())</f>
        <v/>
      </c>
      <c r="J2093" s="16" t="inlineStr">
        <is>
          <t>Open posting</t>
        </is>
      </c>
      <c r="K2093" s="8" t="inlineStr">
        <is>
          <t>filtered by keyword pre-scan</t>
        </is>
      </c>
      <c r="L2093" s="17" t="inlineStr">
        <is>
          <t>new</t>
        </is>
      </c>
      <c r="M2093" s="18" t="inlineStr"/>
      <c r="N2093" s="7" t="inlineStr">
        <is>
          <t>5a04dcb6dc6009b03b32d2939862096470b28594</t>
        </is>
      </c>
      <c r="O2093" s="14" t="n">
        <v>46185</v>
      </c>
      <c r="P2093" s="7" t="inlineStr">
        <is>
          <t>jobspy</t>
        </is>
      </c>
      <c r="Q2093" s="8" t="inlineStr">
        <is>
          <t>javascript</t>
        </is>
      </c>
      <c r="R2093" s="8" t="inlineStr">
        <is>
          <t>Full Stack Developer</t>
        </is>
      </c>
      <c r="S2093" s="19" t="n"/>
      <c r="T2093" s="19" t="n"/>
      <c r="U2093" s="14" t="n">
        <v>46191</v>
      </c>
      <c r="V2093" s="7" t="inlineStr">
        <is>
          <t>v2-cv-accuracy-13b988b18da8ea7d</t>
        </is>
      </c>
    </row>
    <row r="2094" ht="28" customHeight="1">
      <c r="A2094" s="12">
        <f>IF($L2094="applied","Applied",IF($L2094="interview","Interview",IF($L2094="offer","Offer",IF($L2094="rejected","Rejected",IF($L2094="ignore","Ignore",IF($L2094="archive","Archive",IF($L2094="closed","Closed",IF($B2094="","Unscored",IF(AND($B2094&gt;=8,OR($H2094="",$H2094-TODAY()&lt;=14)),"P1 Apply",IF($B2094&gt;=7,"P2 Strong",IF($B2094&gt;=5,"P3 Maybe","P4 Low")))))))))))</f>
        <v/>
      </c>
      <c r="B2094" s="13" t="n">
        <v>0</v>
      </c>
      <c r="C2094" s="12" t="inlineStr">
        <is>
          <t>Junior</t>
        </is>
      </c>
      <c r="D2094" s="8" t="inlineStr">
        <is>
          <t>Junior Front End Web Developer (Website Development)</t>
        </is>
      </c>
      <c r="E2094" s="7" t="inlineStr">
        <is>
          <t>Moneycorp</t>
        </is>
      </c>
      <c r="F2094" s="8" t="inlineStr">
        <is>
          <t>London, England, UK</t>
        </is>
      </c>
      <c r="G2094" s="8" t="n"/>
      <c r="H2094" s="14" t="n"/>
      <c r="I2094" s="15">
        <f>IF($H2094="","",$H2094-TODAY())</f>
        <v/>
      </c>
      <c r="J2094" s="16" t="inlineStr">
        <is>
          <t>Open posting</t>
        </is>
      </c>
      <c r="K2094" s="8" t="inlineStr">
        <is>
          <t>filtered by keyword pre-scan</t>
        </is>
      </c>
      <c r="L2094" s="17" t="inlineStr">
        <is>
          <t>new</t>
        </is>
      </c>
      <c r="M2094" s="18" t="inlineStr"/>
      <c r="N2094" s="7" t="inlineStr">
        <is>
          <t>55fcccf486d059af20f19659b99099a8d35be287</t>
        </is>
      </c>
      <c r="O2094" s="14" t="n">
        <v>46174</v>
      </c>
      <c r="P2094" s="7" t="inlineStr">
        <is>
          <t>jobspy</t>
        </is>
      </c>
      <c r="Q2094" s="8" t="inlineStr">
        <is>
          <t>javascript, git</t>
        </is>
      </c>
      <c r="R2094" s="8" t="inlineStr">
        <is>
          <t>Full Stack Developer</t>
        </is>
      </c>
      <c r="S2094" s="19" t="n"/>
      <c r="T2094" s="19" t="n"/>
      <c r="U2094" s="14" t="n">
        <v>46191</v>
      </c>
      <c r="V2094" s="7" t="inlineStr">
        <is>
          <t>v2-cv-accuracy-13b988b18da8ea7d</t>
        </is>
      </c>
    </row>
    <row r="2095" ht="28" customHeight="1">
      <c r="A2095" s="12">
        <f>IF($L2095="applied","Applied",IF($L2095="interview","Interview",IF($L2095="offer","Offer",IF($L2095="rejected","Rejected",IF($L2095="ignore","Ignore",IF($L2095="archive","Archive",IF($L2095="closed","Closed",IF($B2095="","Unscored",IF(AND($B2095&gt;=8,OR($H2095="",$H2095-TODAY()&lt;=14)),"P1 Apply",IF($B2095&gt;=7,"P2 Strong",IF($B2095&gt;=5,"P3 Maybe","P4 Low")))))))))))</f>
        <v/>
      </c>
      <c r="B2095" s="13" t="n">
        <v>0</v>
      </c>
      <c r="C2095" s="12" t="inlineStr">
        <is>
          <t>Unspecified</t>
        </is>
      </c>
      <c r="D2095" s="8" t="inlineStr">
        <is>
          <t>Webflow Developer / Front-End Engineer</t>
        </is>
      </c>
      <c r="E2095" s="7" t="inlineStr">
        <is>
          <t>Synthesia</t>
        </is>
      </c>
      <c r="F2095" s="8" t="inlineStr">
        <is>
          <t>London, England, UK</t>
        </is>
      </c>
      <c r="G2095" s="8" t="n"/>
      <c r="H2095" s="14" t="n"/>
      <c r="I2095" s="15">
        <f>IF($H2095="","",$H2095-TODAY())</f>
        <v/>
      </c>
      <c r="J2095" s="16" t="inlineStr">
        <is>
          <t>Open posting</t>
        </is>
      </c>
      <c r="K2095" s="8" t="inlineStr">
        <is>
          <t>filtered by keyword pre-scan</t>
        </is>
      </c>
      <c r="L2095" s="17" t="inlineStr">
        <is>
          <t>new</t>
        </is>
      </c>
      <c r="M2095" s="18" t="inlineStr"/>
      <c r="N2095" s="7" t="inlineStr">
        <is>
          <t>8f1ed2034294615014c663679187e11c3ff4c58a</t>
        </is>
      </c>
      <c r="O2095" s="14" t="n">
        <v>46172</v>
      </c>
      <c r="P2095" s="7" t="inlineStr">
        <is>
          <t>jobspy</t>
        </is>
      </c>
      <c r="Q2095" s="8" t="inlineStr">
        <is>
          <t>javascript</t>
        </is>
      </c>
      <c r="R2095" s="8" t="inlineStr">
        <is>
          <t>Full Stack Developer</t>
        </is>
      </c>
      <c r="S2095" s="19" t="n"/>
      <c r="T2095" s="19" t="n"/>
      <c r="U2095" s="14" t="n">
        <v>46191</v>
      </c>
      <c r="V2095" s="7" t="inlineStr">
        <is>
          <t>v2-cv-accuracy-13b988b18da8ea7d</t>
        </is>
      </c>
    </row>
    <row r="2096" ht="28" customHeight="1">
      <c r="A2096" s="12">
        <f>IF($L2096="applied","Applied",IF($L2096="interview","Interview",IF($L2096="offer","Offer",IF($L2096="rejected","Rejected",IF($L2096="ignore","Ignore",IF($L2096="archive","Archive",IF($L2096="closed","Closed",IF($B2096="","Unscored",IF(AND($B2096&gt;=8,OR($H2096="",$H2096-TODAY()&lt;=14)),"P1 Apply",IF($B2096&gt;=7,"P2 Strong",IF($B2096&gt;=5,"P3 Maybe","P4 Low")))))))))))</f>
        <v/>
      </c>
      <c r="B2096" s="13" t="n">
        <v>0</v>
      </c>
      <c r="C2096" s="12" t="inlineStr">
        <is>
          <t>Unspecified</t>
        </is>
      </c>
      <c r="D2096" s="8" t="inlineStr">
        <is>
          <t>Webflow Developer / Front-End Engineer</t>
        </is>
      </c>
      <c r="E2096" s="7" t="inlineStr">
        <is>
          <t>Synthesia</t>
        </is>
      </c>
      <c r="F2096" s="8" t="inlineStr">
        <is>
          <t>London, England, UK</t>
        </is>
      </c>
      <c r="G2096" s="8" t="n"/>
      <c r="H2096" s="14" t="n"/>
      <c r="I2096" s="15">
        <f>IF($H2096="","",$H2096-TODAY())</f>
        <v/>
      </c>
      <c r="J2096" s="16" t="inlineStr">
        <is>
          <t>Open posting</t>
        </is>
      </c>
      <c r="K2096" s="8" t="inlineStr">
        <is>
          <t>filtered by keyword pre-scan</t>
        </is>
      </c>
      <c r="L2096" s="17" t="inlineStr">
        <is>
          <t>new</t>
        </is>
      </c>
      <c r="M2096" s="18" t="inlineStr"/>
      <c r="N2096" s="7" t="inlineStr">
        <is>
          <t>79c575c27165047415bfc82181adabd86723b408</t>
        </is>
      </c>
      <c r="O2096" s="14" t="n">
        <v>46172</v>
      </c>
      <c r="P2096" s="7" t="inlineStr">
        <is>
          <t>jobspy</t>
        </is>
      </c>
      <c r="Q2096" s="8" t="inlineStr">
        <is>
          <t>javascript</t>
        </is>
      </c>
      <c r="R2096" s="8" t="inlineStr">
        <is>
          <t>Full Stack Developer</t>
        </is>
      </c>
      <c r="S2096" s="19" t="n"/>
      <c r="T2096" s="19" t="n"/>
      <c r="U2096" s="14" t="n">
        <v>46191</v>
      </c>
      <c r="V2096" s="7" t="inlineStr">
        <is>
          <t>v2-cv-accuracy-13b988b18da8ea7d</t>
        </is>
      </c>
    </row>
    <row r="2097" ht="28" customHeight="1">
      <c r="A2097" s="12">
        <f>IF($L2097="applied","Applied",IF($L2097="interview","Interview",IF($L2097="offer","Offer",IF($L2097="rejected","Rejected",IF($L2097="ignore","Ignore",IF($L2097="archive","Archive",IF($L2097="closed","Closed",IF($B2097="","Unscored",IF(AND($B2097&gt;=8,OR($H2097="",$H2097-TODAY()&lt;=14)),"P1 Apply",IF($B2097&gt;=7,"P2 Strong",IF($B2097&gt;=5,"P3 Maybe","P4 Low")))))))))))</f>
        <v/>
      </c>
      <c r="B2097" s="13" t="n">
        <v>0</v>
      </c>
      <c r="C2097" s="12" t="inlineStr">
        <is>
          <t>Junior</t>
        </is>
      </c>
      <c r="D2097" s="8" t="inlineStr">
        <is>
          <t>Associate Software Engineer - Full Stack</t>
        </is>
      </c>
      <c r="E2097" s="7" t="inlineStr">
        <is>
          <t>Studio Graphene</t>
        </is>
      </c>
      <c r="F2097" s="8" t="inlineStr">
        <is>
          <t>London, England, UK</t>
        </is>
      </c>
      <c r="G2097" s="8" t="n"/>
      <c r="H2097" s="14" t="n"/>
      <c r="I2097" s="15">
        <f>IF($H2097="","",$H2097-TODAY())</f>
        <v/>
      </c>
      <c r="J2097" s="16" t="inlineStr">
        <is>
          <t>Open posting</t>
        </is>
      </c>
      <c r="K2097" s="8" t="inlineStr">
        <is>
          <t>filtered by keyword pre-scan</t>
        </is>
      </c>
      <c r="L2097" s="17" t="inlineStr">
        <is>
          <t>new</t>
        </is>
      </c>
      <c r="M2097" s="18" t="inlineStr"/>
      <c r="N2097" s="7" t="inlineStr">
        <is>
          <t>499505ae698d6578196373c02b0039696f7206fc</t>
        </is>
      </c>
      <c r="O2097" s="14" t="n">
        <v>46163</v>
      </c>
      <c r="P2097" s="7" t="inlineStr">
        <is>
          <t>jobspy</t>
        </is>
      </c>
      <c r="Q2097" s="8" t="inlineStr">
        <is>
          <t>python, sql, git</t>
        </is>
      </c>
      <c r="R2097" s="8" t="inlineStr">
        <is>
          <t>Full Stack Developer</t>
        </is>
      </c>
      <c r="S2097" s="19" t="n"/>
      <c r="T2097" s="19" t="n"/>
      <c r="U2097" s="14" t="n">
        <v>46191</v>
      </c>
      <c r="V2097" s="7" t="inlineStr">
        <is>
          <t>v2-cv-accuracy-13b988b18da8ea7d</t>
        </is>
      </c>
    </row>
    <row r="2098" ht="28" customHeight="1">
      <c r="A2098" s="12">
        <f>IF($L2098="applied","Applied",IF($L2098="interview","Interview",IF($L2098="offer","Offer",IF($L2098="rejected","Rejected",IF($L2098="ignore","Ignore",IF($L2098="archive","Archive",IF($L2098="closed","Closed",IF($B2098="","Unscored",IF(AND($B2098&gt;=8,OR($H2098="",$H2098-TODAY()&lt;=14)),"P1 Apply",IF($B2098&gt;=7,"P2 Strong",IF($B2098&gt;=5,"P3 Maybe","P4 Low")))))))))))</f>
        <v/>
      </c>
      <c r="B2098" s="13" t="n">
        <v>0</v>
      </c>
      <c r="C2098" s="12" t="inlineStr">
        <is>
          <t>Junior</t>
        </is>
      </c>
      <c r="D2098" s="8" t="inlineStr">
        <is>
          <t>Junior Frontend Developer</t>
        </is>
      </c>
      <c r="E2098" s="7" t="inlineStr">
        <is>
          <t>Blue Oak Consulting</t>
        </is>
      </c>
      <c r="F2098" s="8" t="inlineStr">
        <is>
          <t>London, England, UK</t>
        </is>
      </c>
      <c r="G2098" s="8" t="n"/>
      <c r="H2098" s="14" t="n"/>
      <c r="I2098" s="15">
        <f>IF($H2098="","",$H2098-TODAY())</f>
        <v/>
      </c>
      <c r="J2098" s="16" t="inlineStr">
        <is>
          <t>Open posting</t>
        </is>
      </c>
      <c r="K2098" s="8" t="inlineStr">
        <is>
          <t>filtered by keyword pre-scan</t>
        </is>
      </c>
      <c r="L2098" s="17" t="inlineStr">
        <is>
          <t>new</t>
        </is>
      </c>
      <c r="M2098" s="18" t="inlineStr"/>
      <c r="N2098" s="7" t="inlineStr">
        <is>
          <t>be425a980229b9bdc9c91646757d4c11de89f255</t>
        </is>
      </c>
      <c r="O2098" s="14" t="n"/>
      <c r="P2098" s="7" t="inlineStr">
        <is>
          <t>jobspy</t>
        </is>
      </c>
      <c r="Q2098" s="8" t="inlineStr">
        <is>
          <t>javascript, git, web development</t>
        </is>
      </c>
      <c r="R2098" s="8" t="inlineStr">
        <is>
          <t>Full Stack Developer</t>
        </is>
      </c>
      <c r="S2098" s="19" t="n"/>
      <c r="T2098" s="19" t="n"/>
      <c r="U2098" s="14" t="n">
        <v>46191</v>
      </c>
      <c r="V2098" s="7" t="inlineStr">
        <is>
          <t>v2-cv-accuracy-13b988b18da8ea7d</t>
        </is>
      </c>
    </row>
    <row r="2099" ht="28" customHeight="1">
      <c r="A2099" s="12">
        <f>IF($L2099="applied","Applied",IF($L2099="interview","Interview",IF($L2099="offer","Offer",IF($L2099="rejected","Rejected",IF($L2099="ignore","Ignore",IF($L2099="archive","Archive",IF($L2099="closed","Closed",IF($B2099="","Unscored",IF(AND($B2099&gt;=8,OR($H2099="",$H2099-TODAY()&lt;=14)),"P1 Apply",IF($B2099&gt;=7,"P2 Strong",IF($B2099&gt;=5,"P3 Maybe","P4 Low")))))))))))</f>
        <v/>
      </c>
      <c r="B2099" s="13" t="n">
        <v>0</v>
      </c>
      <c r="C2099" s="12" t="inlineStr">
        <is>
          <t>Mid-level</t>
        </is>
      </c>
      <c r="D2099" s="8" t="inlineStr">
        <is>
          <t>Frontend Developer</t>
        </is>
      </c>
      <c r="E2099" s="7" t="inlineStr">
        <is>
          <t>Opus Recruitment Solutions</t>
        </is>
      </c>
      <c r="F2099" s="8" t="inlineStr">
        <is>
          <t>England, United Kingdom</t>
        </is>
      </c>
      <c r="G2099" s="8" t="n"/>
      <c r="H2099" s="14" t="n"/>
      <c r="I2099" s="15">
        <f>IF($H2099="","",$H2099-TODAY())</f>
        <v/>
      </c>
      <c r="J2099" s="16" t="inlineStr">
        <is>
          <t>Open posting</t>
        </is>
      </c>
      <c r="K2099" s="8" t="inlineStr">
        <is>
          <t>filtered by keyword pre-scan</t>
        </is>
      </c>
      <c r="L2099" s="17" t="inlineStr">
        <is>
          <t>new</t>
        </is>
      </c>
      <c r="M2099" s="18" t="inlineStr"/>
      <c r="N2099" s="7" t="inlineStr">
        <is>
          <t>a496f5c742b584058122ce5a138fd295efbc0a1c</t>
        </is>
      </c>
      <c r="O2099" s="14" t="n"/>
      <c r="P2099" s="7" t="inlineStr">
        <is>
          <t>jobspy</t>
        </is>
      </c>
      <c r="Q2099" s="8" t="inlineStr">
        <is>
          <t>javascript, git</t>
        </is>
      </c>
      <c r="R2099" s="8" t="inlineStr">
        <is>
          <t>Full Stack Developer Sheffield</t>
        </is>
      </c>
      <c r="S2099" s="19" t="n"/>
      <c r="T2099" s="19" t="n"/>
      <c r="U2099" s="14" t="n">
        <v>46191</v>
      </c>
      <c r="V2099" s="7" t="inlineStr">
        <is>
          <t>v2-cv-accuracy-13b988b18da8ea7d</t>
        </is>
      </c>
    </row>
    <row r="2100" ht="28" customHeight="1">
      <c r="A2100" s="12">
        <f>IF($L2100="applied","Applied",IF($L2100="interview","Interview",IF($L2100="offer","Offer",IF($L2100="rejected","Rejected",IF($L2100="ignore","Ignore",IF($L2100="archive","Archive",IF($L2100="closed","Closed",IF($B2100="","Unscored",IF(AND($B2100&gt;=8,OR($H2100="",$H2100-TODAY()&lt;=14)),"P1 Apply",IF($B2100&gt;=7,"P2 Strong",IF($B2100&gt;=5,"P3 Maybe","P4 Low")))))))))))</f>
        <v/>
      </c>
      <c r="B2100" s="13" t="n">
        <v>0</v>
      </c>
      <c r="C2100" s="12" t="inlineStr">
        <is>
          <t>Senior/Lead</t>
        </is>
      </c>
      <c r="D2100" s="8" t="inlineStr">
        <is>
          <t>Senior Software Engineer (Cards)</t>
        </is>
      </c>
      <c r="E2100" s="7" t="inlineStr">
        <is>
          <t>Lloyds Banking Group</t>
        </is>
      </c>
      <c r="F2100" s="8" t="inlineStr">
        <is>
          <t>Chester, ENG, GB</t>
        </is>
      </c>
      <c r="G2100" s="8" t="n"/>
      <c r="H2100" s="14" t="n"/>
      <c r="I2100" s="15">
        <f>IF($H2100="","",$H2100-TODAY())</f>
        <v/>
      </c>
      <c r="J2100" s="16" t="inlineStr">
        <is>
          <t>Open posting</t>
        </is>
      </c>
      <c r="K2100" s="8" t="inlineStr">
        <is>
          <t>filtered by keyword pre-scan</t>
        </is>
      </c>
      <c r="L2100" s="17" t="inlineStr">
        <is>
          <t>new</t>
        </is>
      </c>
      <c r="M2100" s="18" t="inlineStr"/>
      <c r="N2100" s="7" t="inlineStr">
        <is>
          <t>8a47488b952634e2907bb2645edfdbd4aedb9aef</t>
        </is>
      </c>
      <c r="O2100" s="14" t="n">
        <v>46188</v>
      </c>
      <c r="P2100" s="7" t="inlineStr">
        <is>
          <t>jobspy</t>
        </is>
      </c>
      <c r="Q2100" s="8" t="inlineStr">
        <is>
          <t>javascript, git</t>
        </is>
      </c>
      <c r="R2100" s="8" t="inlineStr">
        <is>
          <t>junior Full Stack Developer</t>
        </is>
      </c>
      <c r="S2100" s="19" t="n"/>
      <c r="T2100" s="19" t="n"/>
      <c r="U2100" s="14" t="n">
        <v>46191</v>
      </c>
      <c r="V2100" s="7" t="inlineStr">
        <is>
          <t>v2-cv-accuracy-13b988b18da8ea7d</t>
        </is>
      </c>
    </row>
    <row r="2101" ht="28" customHeight="1">
      <c r="A2101" s="12">
        <f>IF($L2101="applied","Applied",IF($L2101="interview","Interview",IF($L2101="offer","Offer",IF($L2101="rejected","Rejected",IF($L2101="ignore","Ignore",IF($L2101="archive","Archive",IF($L2101="closed","Closed",IF($B2101="","Unscored",IF(AND($B2101&gt;=8,OR($H2101="",$H2101-TODAY()&lt;=14)),"P1 Apply",IF($B2101&gt;=7,"P2 Strong",IF($B2101&gt;=5,"P3 Maybe","P4 Low")))))))))))</f>
        <v/>
      </c>
      <c r="B2101" s="13" t="n">
        <v>0</v>
      </c>
      <c r="C2101" s="12" t="inlineStr">
        <is>
          <t>Senior/Lead</t>
        </is>
      </c>
      <c r="D2101" s="8" t="inlineStr">
        <is>
          <t>Senior Fullstack Engineer</t>
        </is>
      </c>
      <c r="E2101" s="7" t="inlineStr">
        <is>
          <t>Openr</t>
        </is>
      </c>
      <c r="F2101" s="8" t="inlineStr">
        <is>
          <t>London, ENG, GB</t>
        </is>
      </c>
      <c r="G2101" s="8" t="n"/>
      <c r="H2101" s="14" t="n"/>
      <c r="I2101" s="15">
        <f>IF($H2101="","",$H2101-TODAY())</f>
        <v/>
      </c>
      <c r="J2101" s="16" t="inlineStr">
        <is>
          <t>Open posting</t>
        </is>
      </c>
      <c r="K2101" s="8" t="inlineStr">
        <is>
          <t>filtered by keyword pre-scan</t>
        </is>
      </c>
      <c r="L2101" s="17" t="inlineStr">
        <is>
          <t>new</t>
        </is>
      </c>
      <c r="M2101" s="18" t="inlineStr"/>
      <c r="N2101" s="7" t="inlineStr">
        <is>
          <t>361056a76f717877993ef8c68fc57ccd85cdb749</t>
        </is>
      </c>
      <c r="O2101" s="14" t="n">
        <v>46188</v>
      </c>
      <c r="P2101" s="7" t="inlineStr">
        <is>
          <t>jobspy</t>
        </is>
      </c>
      <c r="Q2101" s="8" t="inlineStr">
        <is>
          <t>sql</t>
        </is>
      </c>
      <c r="R2101" s="8" t="inlineStr">
        <is>
          <t>junior Full Stack Developer</t>
        </is>
      </c>
      <c r="S2101" s="19" t="n"/>
      <c r="T2101" s="19" t="n"/>
      <c r="U2101" s="14" t="n">
        <v>46191</v>
      </c>
      <c r="V2101" s="7" t="inlineStr">
        <is>
          <t>v2-cv-accuracy-13b988b18da8ea7d</t>
        </is>
      </c>
    </row>
    <row r="2102" ht="28" customHeight="1">
      <c r="A2102" s="12">
        <f>IF($L2102="applied","Applied",IF($L2102="interview","Interview",IF($L2102="offer","Offer",IF($L2102="rejected","Rejected",IF($L2102="ignore","Ignore",IF($L2102="archive","Archive",IF($L2102="closed","Closed",IF($B2102="","Unscored",IF(AND($B2102&gt;=8,OR($H2102="",$H2102-TODAY()&lt;=14)),"P1 Apply",IF($B2102&gt;=7,"P2 Strong",IF($B2102&gt;=5,"P3 Maybe","P4 Low")))))))))))</f>
        <v/>
      </c>
      <c r="B2102" s="13" t="n">
        <v>0</v>
      </c>
      <c r="C2102" s="12" t="inlineStr">
        <is>
          <t>Junior</t>
        </is>
      </c>
      <c r="D2102" s="8" t="inlineStr">
        <is>
          <t>Associate Software Engineer</t>
        </is>
      </c>
      <c r="E2102" s="7" t="inlineStr">
        <is>
          <t>Cubic Corporation</t>
        </is>
      </c>
      <c r="F2102" s="8" t="inlineStr">
        <is>
          <t>Camberley, ENG, GB</t>
        </is>
      </c>
      <c r="G2102" s="8" t="n"/>
      <c r="H2102" s="14" t="n"/>
      <c r="I2102" s="15">
        <f>IF($H2102="","",$H2102-TODAY())</f>
        <v/>
      </c>
      <c r="J2102" s="16" t="inlineStr">
        <is>
          <t>Open posting</t>
        </is>
      </c>
      <c r="K2102" s="8" t="inlineStr">
        <is>
          <t>filtered by keyword pre-scan</t>
        </is>
      </c>
      <c r="L2102" s="17" t="inlineStr">
        <is>
          <t>new</t>
        </is>
      </c>
      <c r="M2102" s="18" t="inlineStr"/>
      <c r="N2102" s="7" t="inlineStr">
        <is>
          <t>a3b246cc0c895d5ac31ea1494f8785e487f13c27</t>
        </is>
      </c>
      <c r="O2102" s="14" t="n">
        <v>46181</v>
      </c>
      <c r="P2102" s="7" t="inlineStr">
        <is>
          <t>jobspy</t>
        </is>
      </c>
      <c r="Q2102" s="8" t="inlineStr">
        <is>
          <t>python, javascript, git, software development</t>
        </is>
      </c>
      <c r="R2102" s="8" t="inlineStr">
        <is>
          <t>junior Full Stack Developer</t>
        </is>
      </c>
      <c r="S2102" s="19" t="n"/>
      <c r="T2102" s="19" t="n"/>
      <c r="U2102" s="14" t="n">
        <v>46191</v>
      </c>
      <c r="V2102" s="7" t="inlineStr">
        <is>
          <t>v2-cv-accuracy-13b988b18da8ea7d</t>
        </is>
      </c>
    </row>
    <row r="2103" ht="28" customHeight="1">
      <c r="A2103" s="12">
        <f>IF($L2103="applied","Applied",IF($L2103="interview","Interview",IF($L2103="offer","Offer",IF($L2103="rejected","Rejected",IF($L2103="ignore","Ignore",IF($L2103="archive","Archive",IF($L2103="closed","Closed",IF($B2103="","Unscored",IF(AND($B2103&gt;=8,OR($H2103="",$H2103-TODAY()&lt;=14)),"P1 Apply",IF($B2103&gt;=7,"P2 Strong",IF($B2103&gt;=5,"P3 Maybe","P4 Low")))))))))))</f>
        <v/>
      </c>
      <c r="B2103" s="13" t="n">
        <v>0</v>
      </c>
      <c r="C2103" s="12" t="inlineStr">
        <is>
          <t>Senior/Lead</t>
        </is>
      </c>
      <c r="D2103" s="8" t="inlineStr">
        <is>
          <t>Lead Software Engineer</t>
        </is>
      </c>
      <c r="E2103" s="7" t="inlineStr">
        <is>
          <t>SearchLand</t>
        </is>
      </c>
      <c r="F2103" s="8" t="inlineStr">
        <is>
          <t>London, ENG, GB</t>
        </is>
      </c>
      <c r="G2103" s="8" t="n"/>
      <c r="H2103" s="14" t="n"/>
      <c r="I2103" s="15">
        <f>IF($H2103="","",$H2103-TODAY())</f>
        <v/>
      </c>
      <c r="J2103" s="16" t="inlineStr">
        <is>
          <t>Open posting</t>
        </is>
      </c>
      <c r="K2103" s="8" t="inlineStr">
        <is>
          <t>filtered by keyword pre-scan</t>
        </is>
      </c>
      <c r="L2103" s="17" t="inlineStr">
        <is>
          <t>new</t>
        </is>
      </c>
      <c r="M2103" s="18" t="inlineStr"/>
      <c r="N2103" s="7" t="inlineStr">
        <is>
          <t>638ca476beaff179175b5243cffbfcab38360b3c</t>
        </is>
      </c>
      <c r="O2103" s="14" t="n">
        <v>46181</v>
      </c>
      <c r="P2103" s="7" t="inlineStr">
        <is>
          <t>jobspy</t>
        </is>
      </c>
      <c r="Q2103" s="8" t="inlineStr">
        <is>
          <t>sql</t>
        </is>
      </c>
      <c r="R2103" s="8" t="inlineStr">
        <is>
          <t>junior Full Stack Developer</t>
        </is>
      </c>
      <c r="S2103" s="19" t="n"/>
      <c r="T2103" s="19" t="n"/>
      <c r="U2103" s="14" t="n">
        <v>46191</v>
      </c>
      <c r="V2103" s="7" t="inlineStr">
        <is>
          <t>v2-cv-accuracy-13b988b18da8ea7d</t>
        </is>
      </c>
    </row>
    <row r="2104" ht="28" customHeight="1">
      <c r="A2104" s="12">
        <f>IF($L2104="applied","Applied",IF($L2104="interview","Interview",IF($L2104="offer","Offer",IF($L2104="rejected","Rejected",IF($L2104="ignore","Ignore",IF($L2104="archive","Archive",IF($L2104="closed","Closed",IF($B2104="","Unscored",IF(AND($B2104&gt;=8,OR($H2104="",$H2104-TODAY()&lt;=14)),"P1 Apply",IF($B2104&gt;=7,"P2 Strong",IF($B2104&gt;=5,"P3 Maybe","P4 Low")))))))))))</f>
        <v/>
      </c>
      <c r="B2104" s="13" t="n">
        <v>0</v>
      </c>
      <c r="C2104" s="12" t="inlineStr">
        <is>
          <t>Junior</t>
        </is>
      </c>
      <c r="D2104" s="8" t="inlineStr">
        <is>
          <t>Full Stack Engineer (Python and/or Java) – VP</t>
        </is>
      </c>
      <c r="E2104" s="7" t="inlineStr">
        <is>
          <t>Citi</t>
        </is>
      </c>
      <c r="F2104" s="8" t="inlineStr">
        <is>
          <t>London, ENG, GB</t>
        </is>
      </c>
      <c r="G2104" s="8" t="n"/>
      <c r="H2104" s="14" t="n"/>
      <c r="I2104" s="15">
        <f>IF($H2104="","",$H2104-TODAY())</f>
        <v/>
      </c>
      <c r="J2104" s="16" t="inlineStr">
        <is>
          <t>Open posting</t>
        </is>
      </c>
      <c r="K2104" s="8" t="inlineStr">
        <is>
          <t>filtered by keyword pre-scan</t>
        </is>
      </c>
      <c r="L2104" s="17" t="inlineStr">
        <is>
          <t>new</t>
        </is>
      </c>
      <c r="M2104" s="18" t="inlineStr"/>
      <c r="N2104" s="7" t="inlineStr">
        <is>
          <t>e036048a9d0d1977709c2b35598bcafedcc804ce</t>
        </is>
      </c>
      <c r="O2104" s="14" t="n">
        <v>46181</v>
      </c>
      <c r="P2104" s="7" t="inlineStr">
        <is>
          <t>jobspy</t>
        </is>
      </c>
      <c r="Q2104" s="8" t="inlineStr">
        <is>
          <t>python</t>
        </is>
      </c>
      <c r="R2104" s="8" t="inlineStr">
        <is>
          <t>junior Full Stack Developer</t>
        </is>
      </c>
      <c r="S2104" s="19" t="n"/>
      <c r="T2104" s="19" t="n"/>
      <c r="U2104" s="14" t="n">
        <v>46191</v>
      </c>
      <c r="V2104" s="7" t="inlineStr">
        <is>
          <t>v2-cv-accuracy-13b988b18da8ea7d</t>
        </is>
      </c>
    </row>
    <row r="2105" ht="28" customHeight="1">
      <c r="A2105" s="12">
        <f>IF($L2105="applied","Applied",IF($L2105="interview","Interview",IF($L2105="offer","Offer",IF($L2105="rejected","Rejected",IF($L2105="ignore","Ignore",IF($L2105="archive","Archive",IF($L2105="closed","Closed",IF($B2105="","Unscored",IF(AND($B2105&gt;=8,OR($H2105="",$H2105-TODAY()&lt;=14)),"P1 Apply",IF($B2105&gt;=7,"P2 Strong",IF($B2105&gt;=5,"P3 Maybe","P4 Low")))))))))))</f>
        <v/>
      </c>
      <c r="B2105" s="13" t="n">
        <v>0</v>
      </c>
      <c r="C2105" s="12" t="inlineStr">
        <is>
          <t>Unspecified</t>
        </is>
      </c>
      <c r="D2105" s="8" t="inlineStr">
        <is>
          <t>Frontend Developer | $70/hr Remote</t>
        </is>
      </c>
      <c r="E2105" s="7" t="inlineStr">
        <is>
          <t>Crossing Hurdles</t>
        </is>
      </c>
      <c r="F2105" s="8" t="inlineStr"/>
      <c r="G2105" s="8" t="n"/>
      <c r="H2105" s="14" t="n"/>
      <c r="I2105" s="15">
        <f>IF($H2105="","",$H2105-TODAY())</f>
        <v/>
      </c>
      <c r="J2105" s="16" t="inlineStr">
        <is>
          <t>Open posting</t>
        </is>
      </c>
      <c r="K2105" s="8" t="inlineStr">
        <is>
          <t>filtered by keyword pre-scan</t>
        </is>
      </c>
      <c r="L2105" s="17" t="inlineStr">
        <is>
          <t>new</t>
        </is>
      </c>
      <c r="M2105" s="18" t="inlineStr"/>
      <c r="N2105" s="7" t="inlineStr">
        <is>
          <t>4f243c185aa0db61f8892433a2641ef19b429be2</t>
        </is>
      </c>
      <c r="O2105" s="14" t="n">
        <v>46178</v>
      </c>
      <c r="P2105" s="7" t="inlineStr">
        <is>
          <t>jobspy</t>
        </is>
      </c>
      <c r="Q2105" s="8" t="inlineStr">
        <is>
          <t>javascript, git</t>
        </is>
      </c>
      <c r="R2105" s="8" t="inlineStr">
        <is>
          <t>junior Full Stack Developer</t>
        </is>
      </c>
      <c r="S2105" s="19" t="n"/>
      <c r="T2105" s="19" t="n"/>
      <c r="U2105" s="14" t="n">
        <v>46191</v>
      </c>
      <c r="V2105" s="7" t="inlineStr">
        <is>
          <t>v2-cv-accuracy-13b988b18da8ea7d</t>
        </is>
      </c>
    </row>
    <row r="2106" ht="28" customHeight="1">
      <c r="A2106" s="12">
        <f>IF($L2106="applied","Applied",IF($L2106="interview","Interview",IF($L2106="offer","Offer",IF($L2106="rejected","Rejected",IF($L2106="ignore","Ignore",IF($L2106="archive","Archive",IF($L2106="closed","Closed",IF($B2106="","Unscored",IF(AND($B2106&gt;=8,OR($H2106="",$H2106-TODAY()&lt;=14)),"P1 Apply",IF($B2106&gt;=7,"P2 Strong",IF($B2106&gt;=5,"P3 Maybe","P4 Low")))))))))))</f>
        <v/>
      </c>
      <c r="B2106" s="13" t="n">
        <v>0</v>
      </c>
      <c r="C2106" s="12" t="inlineStr">
        <is>
          <t>Graduate/Entry</t>
        </is>
      </c>
      <c r="D2106" s="8" t="inlineStr">
        <is>
          <t>Graduate Software Developer</t>
        </is>
      </c>
      <c r="E2106" s="7" t="inlineStr">
        <is>
          <t>NSG Group</t>
        </is>
      </c>
      <c r="F2106" s="8" t="inlineStr">
        <is>
          <t>Ormskirk, ENG, GB</t>
        </is>
      </c>
      <c r="G2106" s="8" t="n"/>
      <c r="H2106" s="14" t="n"/>
      <c r="I2106" s="15">
        <f>IF($H2106="","",$H2106-TODAY())</f>
        <v/>
      </c>
      <c r="J2106" s="16" t="inlineStr">
        <is>
          <t>Open posting</t>
        </is>
      </c>
      <c r="K2106" s="8" t="inlineStr">
        <is>
          <t>filtered by keyword pre-scan</t>
        </is>
      </c>
      <c r="L2106" s="17" t="inlineStr">
        <is>
          <t>new</t>
        </is>
      </c>
      <c r="M2106" s="18" t="inlineStr"/>
      <c r="N2106" s="7" t="inlineStr">
        <is>
          <t>b6cf3002d0b2113dd5175b332bb9d8bb94577e4e</t>
        </is>
      </c>
      <c r="O2106" s="14" t="n">
        <v>46183</v>
      </c>
      <c r="P2106" s="7" t="inlineStr">
        <is>
          <t>jobspy</t>
        </is>
      </c>
      <c r="Q2106" s="8" t="inlineStr">
        <is>
          <t>sql, javascript, software development</t>
        </is>
      </c>
      <c r="R2106" s="8" t="inlineStr">
        <is>
          <t>graduate Full Stack Developer</t>
        </is>
      </c>
      <c r="S2106" s="19" t="n"/>
      <c r="T2106" s="19" t="n"/>
      <c r="U2106" s="14" t="n">
        <v>46191</v>
      </c>
      <c r="V2106" s="7" t="inlineStr">
        <is>
          <t>v2-cv-accuracy-13b988b18da8ea7d</t>
        </is>
      </c>
    </row>
    <row r="2107" ht="28" customHeight="1">
      <c r="A2107" s="12">
        <f>IF($L2107="applied","Applied",IF($L2107="interview","Interview",IF($L2107="offer","Offer",IF($L2107="rejected","Rejected",IF($L2107="ignore","Ignore",IF($L2107="archive","Archive",IF($L2107="closed","Closed",IF($B2107="","Unscored",IF(AND($B2107&gt;=8,OR($H2107="",$H2107-TODAY()&lt;=14)),"P1 Apply",IF($B2107&gt;=7,"P2 Strong",IF($B2107&gt;=5,"P3 Maybe","P4 Low")))))))))))</f>
        <v/>
      </c>
      <c r="B2107" s="13" t="n">
        <v>0</v>
      </c>
      <c r="C2107" s="12" t="inlineStr">
        <is>
          <t>Senior/Lead</t>
        </is>
      </c>
      <c r="D2107" s="8" t="inlineStr">
        <is>
          <t>Full Stack Engineer</t>
        </is>
      </c>
      <c r="E2107" s="7" t="inlineStr">
        <is>
          <t>Arrows</t>
        </is>
      </c>
      <c r="F2107" s="8" t="inlineStr">
        <is>
          <t>London Area, United Kingdom</t>
        </is>
      </c>
      <c r="G2107" s="8" t="n"/>
      <c r="H2107" s="14" t="n"/>
      <c r="I2107" s="15">
        <f>IF($H2107="","",$H2107-TODAY())</f>
        <v/>
      </c>
      <c r="J2107" s="16" t="inlineStr">
        <is>
          <t>Open posting</t>
        </is>
      </c>
      <c r="K2107" s="8" t="inlineStr">
        <is>
          <t>filtered by keyword pre-scan</t>
        </is>
      </c>
      <c r="L2107" s="17" t="inlineStr">
        <is>
          <t>new</t>
        </is>
      </c>
      <c r="M2107" s="18" t="inlineStr"/>
      <c r="N2107" s="7" t="inlineStr">
        <is>
          <t>15da69edece6719e6f9b25ce3f699847c83f8741</t>
        </is>
      </c>
      <c r="O2107" s="14" t="n">
        <v>46183</v>
      </c>
      <c r="P2107" s="7" t="inlineStr">
        <is>
          <t>jobspy</t>
        </is>
      </c>
      <c r="Q2107" s="8" t="inlineStr"/>
      <c r="R2107" s="8" t="inlineStr">
        <is>
          <t>graduate Full Stack Developer</t>
        </is>
      </c>
      <c r="S2107" s="19" t="n"/>
      <c r="T2107" s="19" t="n"/>
      <c r="U2107" s="14" t="n">
        <v>46191</v>
      </c>
      <c r="V2107" s="7" t="inlineStr">
        <is>
          <t>v2-cv-accuracy-13b988b18da8ea7d</t>
        </is>
      </c>
    </row>
    <row r="2108" ht="28" customHeight="1">
      <c r="A2108" s="12">
        <f>IF($L2108="applied","Applied",IF($L2108="interview","Interview",IF($L2108="offer","Offer",IF($L2108="rejected","Rejected",IF($L2108="ignore","Ignore",IF($L2108="archive","Archive",IF($L2108="closed","Closed",IF($B2108="","Unscored",IF(AND($B2108&gt;=8,OR($H2108="",$H2108-TODAY()&lt;=14)),"P1 Apply",IF($B2108&gt;=7,"P2 Strong",IF($B2108&gt;=5,"P3 Maybe","P4 Low")))))))))))</f>
        <v/>
      </c>
      <c r="B2108" s="13" t="n">
        <v>0</v>
      </c>
      <c r="C2108" s="12" t="inlineStr">
        <is>
          <t>Graduate/Entry</t>
        </is>
      </c>
      <c r="D2108" s="8" t="inlineStr">
        <is>
          <t>Graduate Web Developer</t>
        </is>
      </c>
      <c r="E2108" s="7" t="inlineStr">
        <is>
          <t>Wide Angle Software Ltd</t>
        </is>
      </c>
      <c r="F2108" s="8" t="inlineStr">
        <is>
          <t>Stafford, England, UK</t>
        </is>
      </c>
      <c r="G2108" s="8" t="n"/>
      <c r="H2108" s="14" t="n"/>
      <c r="I2108" s="15">
        <f>IF($H2108="","",$H2108-TODAY())</f>
        <v/>
      </c>
      <c r="J2108" s="16" t="inlineStr">
        <is>
          <t>Open posting</t>
        </is>
      </c>
      <c r="K2108" s="8" t="inlineStr">
        <is>
          <t>filtered by keyword pre-scan</t>
        </is>
      </c>
      <c r="L2108" s="17" t="inlineStr">
        <is>
          <t>new</t>
        </is>
      </c>
      <c r="M2108" s="18" t="inlineStr"/>
      <c r="N2108" s="7" t="inlineStr">
        <is>
          <t>55700a523b1a59b473852b145fd34b7b79036ba6</t>
        </is>
      </c>
      <c r="O2108" s="14" t="n"/>
      <c r="P2108" s="7" t="inlineStr">
        <is>
          <t>jobspy</t>
        </is>
      </c>
      <c r="Q2108" s="8" t="inlineStr">
        <is>
          <t>javascript, git, web development</t>
        </is>
      </c>
      <c r="R2108" s="8" t="inlineStr">
        <is>
          <t>graduate Full Stack Developer</t>
        </is>
      </c>
      <c r="S2108" s="19" t="n"/>
      <c r="T2108" s="19" t="n"/>
      <c r="U2108" s="14" t="n">
        <v>46191</v>
      </c>
      <c r="V2108" s="7" t="inlineStr">
        <is>
          <t>v2-cv-accuracy-13b988b18da8ea7d</t>
        </is>
      </c>
    </row>
    <row r="2109" ht="28" customHeight="1">
      <c r="A2109" s="12">
        <f>IF($L2109="applied","Applied",IF($L2109="interview","Interview",IF($L2109="offer","Offer",IF($L2109="rejected","Rejected",IF($L2109="ignore","Ignore",IF($L2109="archive","Archive",IF($L2109="closed","Closed",IF($B2109="","Unscored",IF(AND($B2109&gt;=8,OR($H2109="",$H2109-TODAY()&lt;=14)),"P1 Apply",IF($B2109&gt;=7,"P2 Strong",IF($B2109&gt;=5,"P3 Maybe","P4 Low")))))))))))</f>
        <v/>
      </c>
      <c r="B2109" s="13" t="n">
        <v>0</v>
      </c>
      <c r="C2109" s="12" t="inlineStr">
        <is>
          <t>Unspecified</t>
        </is>
      </c>
      <c r="D2109" s="8" t="inlineStr">
        <is>
          <t>Customer Service Executive</t>
        </is>
      </c>
      <c r="E2109" s="7" t="inlineStr">
        <is>
          <t>Epassi</t>
        </is>
      </c>
      <c r="F2109" s="8" t="inlineStr">
        <is>
          <t>Haywards Heath, ENG, GB</t>
        </is>
      </c>
      <c r="G2109" s="8" t="n"/>
      <c r="H2109" s="14" t="n"/>
      <c r="I2109" s="15">
        <f>IF($H2109="","",$H2109-TODAY())</f>
        <v/>
      </c>
      <c r="J2109" s="16" t="inlineStr">
        <is>
          <t>Open posting</t>
        </is>
      </c>
      <c r="K2109" s="8" t="inlineStr">
        <is>
          <t>filtered by keyword pre-scan</t>
        </is>
      </c>
      <c r="L2109" s="17" t="inlineStr">
        <is>
          <t>new</t>
        </is>
      </c>
      <c r="M2109" s="18" t="inlineStr"/>
      <c r="N2109" s="7" t="inlineStr">
        <is>
          <t>647c55b556586e7be25411748f9deb3cf251e976</t>
        </is>
      </c>
      <c r="O2109" s="14" t="n">
        <v>46174</v>
      </c>
      <c r="P2109" s="7" t="inlineStr">
        <is>
          <t>jobspy</t>
        </is>
      </c>
      <c r="Q2109" s="8" t="inlineStr"/>
      <c r="R2109" s="8" t="inlineStr">
        <is>
          <t>entry level Full Stack Developer</t>
        </is>
      </c>
      <c r="S2109" s="19" t="n"/>
      <c r="T2109" s="19" t="n"/>
      <c r="U2109" s="14" t="n">
        <v>46191</v>
      </c>
      <c r="V2109" s="7" t="inlineStr">
        <is>
          <t>v2-cv-accuracy-13b988b18da8ea7d</t>
        </is>
      </c>
    </row>
    <row r="2110" ht="28" customHeight="1">
      <c r="A2110" s="12">
        <f>IF($L2110="applied","Applied",IF($L2110="interview","Interview",IF($L2110="offer","Offer",IF($L2110="rejected","Rejected",IF($L2110="ignore","Ignore",IF($L2110="archive","Archive",IF($L2110="closed","Closed",IF($B2110="","Unscored",IF(AND($B2110&gt;=8,OR($H2110="",$H2110-TODAY()&lt;=14)),"P1 Apply",IF($B2110&gt;=7,"P2 Strong",IF($B2110&gt;=5,"P3 Maybe","P4 Low")))))))))))</f>
        <v/>
      </c>
      <c r="B2110" s="13" t="n">
        <v>0</v>
      </c>
      <c r="C2110" s="12" t="inlineStr">
        <is>
          <t>Senior/Lead</t>
        </is>
      </c>
      <c r="D2110" s="8" t="inlineStr">
        <is>
          <t>Lead Insurance Pricing Analyst</t>
        </is>
      </c>
      <c r="E2110" s="7" t="inlineStr">
        <is>
          <t>Monzo</t>
        </is>
      </c>
      <c r="F2110" s="8" t="inlineStr">
        <is>
          <t>Cardiff, London or Remote (UK)</t>
        </is>
      </c>
      <c r="G2110" s="8" t="n"/>
      <c r="H2110" s="14" t="n"/>
      <c r="I2110" s="15">
        <f>IF($H2110="","",$H2110-TODAY())</f>
        <v/>
      </c>
      <c r="J2110" s="16" t="inlineStr">
        <is>
          <t>Open posting</t>
        </is>
      </c>
      <c r="K2110" s="8" t="inlineStr">
        <is>
          <t>filtered by keyword pre-scan</t>
        </is>
      </c>
      <c r="L2110" s="17" t="inlineStr">
        <is>
          <t>new</t>
        </is>
      </c>
      <c r="M2110" s="18" t="inlineStr"/>
      <c r="N2110" s="7" t="inlineStr">
        <is>
          <t>af4188031151741440406cba8fda956143d52e50</t>
        </is>
      </c>
      <c r="O2110" s="14" t="n">
        <v>46191</v>
      </c>
      <c r="P2110" s="7" t="inlineStr">
        <is>
          <t>greenhouse:monzo</t>
        </is>
      </c>
      <c r="Q2110" s="8" t="inlineStr">
        <is>
          <t>python, sql, git, data analysis</t>
        </is>
      </c>
      <c r="R2110" s="8" t="n"/>
      <c r="S2110" s="19" t="n"/>
      <c r="T2110" s="19" t="n"/>
      <c r="U2110" s="14" t="n">
        <v>46191</v>
      </c>
      <c r="V2110" s="7" t="inlineStr">
        <is>
          <t>v2-cv-accuracy-13b988b18da8ea7d</t>
        </is>
      </c>
    </row>
    <row r="2111" ht="28" customHeight="1">
      <c r="A2111" s="12">
        <f>IF($L2111="applied","Applied",IF($L2111="interview","Interview",IF($L2111="offer","Offer",IF($L2111="rejected","Rejected",IF($L2111="ignore","Ignore",IF($L2111="archive","Archive",IF($L2111="closed","Closed",IF($B2111="","Unscored",IF(AND($B2111&gt;=8,OR($H2111="",$H2111-TODAY()&lt;=14)),"P1 Apply",IF($B2111&gt;=7,"P2 Strong",IF($B2111&gt;=5,"P3 Maybe","P4 Low")))))))))))</f>
        <v/>
      </c>
      <c r="B2111" s="13" t="n">
        <v>0</v>
      </c>
      <c r="C2111" s="12" t="inlineStr">
        <is>
          <t>Junior</t>
        </is>
      </c>
      <c r="D2111" s="8" t="inlineStr">
        <is>
          <t>Operations Strategy Associate (Customer Experience)</t>
        </is>
      </c>
      <c r="E2111" s="7" t="inlineStr">
        <is>
          <t>Monzo</t>
        </is>
      </c>
      <c r="F2111" s="8" t="inlineStr">
        <is>
          <t>London</t>
        </is>
      </c>
      <c r="G2111" s="8" t="n"/>
      <c r="H2111" s="14" t="n"/>
      <c r="I2111" s="15">
        <f>IF($H2111="","",$H2111-TODAY())</f>
        <v/>
      </c>
      <c r="J2111" s="16" t="inlineStr">
        <is>
          <t>Open posting</t>
        </is>
      </c>
      <c r="K2111" s="8" t="inlineStr">
        <is>
          <t>filtered by keyword pre-scan</t>
        </is>
      </c>
      <c r="L2111" s="17" t="inlineStr">
        <is>
          <t>new</t>
        </is>
      </c>
      <c r="M2111" s="18" t="inlineStr"/>
      <c r="N2111" s="7" t="inlineStr">
        <is>
          <t>db7d5b8b8e59de751abd7cc99c1e48d4c024b0d3</t>
        </is>
      </c>
      <c r="O2111" s="14" t="n">
        <v>46191</v>
      </c>
      <c r="P2111" s="7" t="inlineStr">
        <is>
          <t>greenhouse:monzo</t>
        </is>
      </c>
      <c r="Q2111" s="8" t="inlineStr"/>
      <c r="R2111" s="8" t="n"/>
      <c r="S2111" s="19" t="n"/>
      <c r="T2111" s="19" t="n"/>
      <c r="U2111" s="14" t="n">
        <v>46191</v>
      </c>
      <c r="V2111" s="7" t="inlineStr">
        <is>
          <t>v2-cv-accuracy-13b988b18da8ea7d</t>
        </is>
      </c>
    </row>
    <row r="2112" ht="28" customHeight="1">
      <c r="A2112" s="12">
        <f>IF($L2112="applied","Applied",IF($L2112="interview","Interview",IF($L2112="offer","Offer",IF($L2112="rejected","Rejected",IF($L2112="ignore","Ignore",IF($L2112="archive","Archive",IF($L2112="closed","Closed",IF($B2112="","Unscored",IF(AND($B2112&gt;=8,OR($H2112="",$H2112-TODAY()&lt;=14)),"P1 Apply",IF($B2112&gt;=7,"P2 Strong",IF($B2112&gt;=5,"P3 Maybe","P4 Low")))))))))))</f>
        <v/>
      </c>
      <c r="B2112" s="13" t="n">
        <v>0</v>
      </c>
      <c r="C2112" s="12" t="inlineStr">
        <is>
          <t>Junior</t>
        </is>
      </c>
      <c r="D2112" s="8" t="inlineStr">
        <is>
          <t>Associate Software Engineer</t>
        </is>
      </c>
      <c r="E2112" s="7" t="inlineStr">
        <is>
          <t>WMJobs</t>
        </is>
      </c>
      <c r="F2112" s="8" t="inlineStr">
        <is>
          <t>Birmingham, England, UK</t>
        </is>
      </c>
      <c r="G2112" s="8" t="n"/>
      <c r="H2112" s="14" t="n"/>
      <c r="I2112" s="15">
        <f>IF($H2112="","",$H2112-TODAY())</f>
        <v/>
      </c>
      <c r="J2112" s="16" t="inlineStr">
        <is>
          <t>Open posting</t>
        </is>
      </c>
      <c r="K2112" s="8" t="inlineStr">
        <is>
          <t>filtered by keyword pre-scan</t>
        </is>
      </c>
      <c r="L2112" s="17" t="inlineStr">
        <is>
          <t>new</t>
        </is>
      </c>
      <c r="M2112" s="18" t="inlineStr"/>
      <c r="N2112" s="7" t="inlineStr">
        <is>
          <t>02cf5252b3dcc0a06c308c92d14b1e8f456ab685</t>
        </is>
      </c>
      <c r="O2112" s="14" t="n">
        <v>46189</v>
      </c>
      <c r="P2112" s="7" t="inlineStr">
        <is>
          <t>jobspy</t>
        </is>
      </c>
      <c r="Q2112" s="8" t="inlineStr">
        <is>
          <t>git, software development</t>
        </is>
      </c>
      <c r="R2112" s="8" t="inlineStr">
        <is>
          <t>graduate Graduate Software Developer</t>
        </is>
      </c>
      <c r="S2112" s="19" t="n"/>
      <c r="T2112" s="19" t="n"/>
      <c r="U2112" s="14" t="n">
        <v>46191</v>
      </c>
      <c r="V2112" s="7" t="inlineStr">
        <is>
          <t>v2-cv-accuracy-13b988b18da8ea7d</t>
        </is>
      </c>
    </row>
    <row r="2113" ht="28" customHeight="1">
      <c r="A2113" s="12">
        <f>IF($L2113="applied","Applied",IF($L2113="interview","Interview",IF($L2113="offer","Offer",IF($L2113="rejected","Rejected",IF($L2113="ignore","Ignore",IF($L2113="archive","Archive",IF($L2113="closed","Closed",IF($B2113="","Unscored",IF(AND($B2113&gt;=8,OR($H2113="",$H2113-TODAY()&lt;=14)),"P1 Apply",IF($B2113&gt;=7,"P2 Strong",IF($B2113&gt;=5,"P3 Maybe","P4 Low")))))))))))</f>
        <v/>
      </c>
      <c r="B2113" s="13" t="n">
        <v>0</v>
      </c>
      <c r="C2113" s="12" t="inlineStr">
        <is>
          <t>Graduate/Entry</t>
        </is>
      </c>
      <c r="D2113" s="8" t="inlineStr">
        <is>
          <t>Graduate Software Developer</t>
        </is>
      </c>
      <c r="E2113" s="7" t="inlineStr">
        <is>
          <t>Scott Logic</t>
        </is>
      </c>
      <c r="F2113" s="8" t="inlineStr">
        <is>
          <t>Newcastle Upon Tyne, England, UK</t>
        </is>
      </c>
      <c r="G2113" s="8" t="n"/>
      <c r="H2113" s="14" t="n"/>
      <c r="I2113" s="15">
        <f>IF($H2113="","",$H2113-TODAY())</f>
        <v/>
      </c>
      <c r="J2113" s="16" t="inlineStr">
        <is>
          <t>Open posting</t>
        </is>
      </c>
      <c r="K2113" s="8" t="inlineStr">
        <is>
          <t>filtered by keyword pre-scan</t>
        </is>
      </c>
      <c r="L2113" s="17" t="inlineStr">
        <is>
          <t>new</t>
        </is>
      </c>
      <c r="M2113" s="18" t="inlineStr"/>
      <c r="N2113" s="7" t="inlineStr">
        <is>
          <t>af9947ef63b0a32506e46d4099cbdb0f98ff22c7</t>
        </is>
      </c>
      <c r="O2113" s="14" t="n">
        <v>46163</v>
      </c>
      <c r="P2113" s="7" t="inlineStr">
        <is>
          <t>jobspy</t>
        </is>
      </c>
      <c r="Q2113" s="8" t="inlineStr"/>
      <c r="R2113" s="8" t="inlineStr">
        <is>
          <t>entry level Graduate Software Developer</t>
        </is>
      </c>
      <c r="S2113" s="19" t="n"/>
      <c r="T2113" s="19" t="n"/>
      <c r="U2113" s="14" t="n">
        <v>46191</v>
      </c>
      <c r="V2113" s="7" t="inlineStr">
        <is>
          <t>v2-cv-accuracy-13b988b18da8ea7d</t>
        </is>
      </c>
    </row>
    <row r="2114" ht="28" customHeight="1">
      <c r="A2114" s="12">
        <f>IF($L2114="applied","Applied",IF($L2114="interview","Interview",IF($L2114="offer","Offer",IF($L2114="rejected","Rejected",IF($L2114="ignore","Ignore",IF($L2114="archive","Archive",IF($L2114="closed","Closed",IF($B2114="","Unscored",IF(AND($B2114&gt;=8,OR($H2114="",$H2114-TODAY()&lt;=14)),"P1 Apply",IF($B2114&gt;=7,"P2 Strong",IF($B2114&gt;=5,"P3 Maybe","P4 Low")))))))))))</f>
        <v/>
      </c>
      <c r="B2114" s="13" t="n">
        <v>0</v>
      </c>
      <c r="C2114" s="12" t="inlineStr">
        <is>
          <t>Graduate/Entry</t>
        </is>
      </c>
      <c r="D2114" s="8" t="inlineStr">
        <is>
          <t>Graduate Software Developer</t>
        </is>
      </c>
      <c r="E2114" s="7" t="inlineStr">
        <is>
          <t>Scott Logic</t>
        </is>
      </c>
      <c r="F2114" s="8" t="inlineStr">
        <is>
          <t>Bristol, England, UK</t>
        </is>
      </c>
      <c r="G2114" s="8" t="n"/>
      <c r="H2114" s="14" t="n"/>
      <c r="I2114" s="15">
        <f>IF($H2114="","",$H2114-TODAY())</f>
        <v/>
      </c>
      <c r="J2114" s="16" t="inlineStr">
        <is>
          <t>Open posting</t>
        </is>
      </c>
      <c r="K2114" s="8" t="inlineStr">
        <is>
          <t>filtered by keyword pre-scan</t>
        </is>
      </c>
      <c r="L2114" s="17" t="inlineStr">
        <is>
          <t>new</t>
        </is>
      </c>
      <c r="M2114" s="18" t="inlineStr"/>
      <c r="N2114" s="7" t="inlineStr">
        <is>
          <t>adc66f36957a9b1eeddae89abc410bcc20fc8155</t>
        </is>
      </c>
      <c r="O2114" s="14" t="n">
        <v>46162</v>
      </c>
      <c r="P2114" s="7" t="inlineStr">
        <is>
          <t>jobspy</t>
        </is>
      </c>
      <c r="Q2114" s="8" t="inlineStr"/>
      <c r="R2114" s="8" t="inlineStr">
        <is>
          <t>entry level Graduate Software Developer</t>
        </is>
      </c>
      <c r="S2114" s="19" t="n"/>
      <c r="T2114" s="19" t="n"/>
      <c r="U2114" s="14" t="n">
        <v>46191</v>
      </c>
      <c r="V2114" s="7" t="inlineStr">
        <is>
          <t>v2-cv-accuracy-13b988b18da8ea7d</t>
        </is>
      </c>
    </row>
    <row r="2115" ht="28" customHeight="1">
      <c r="A2115" s="12">
        <f>IF($L2115="applied","Applied",IF($L2115="interview","Interview",IF($L2115="offer","Offer",IF($L2115="rejected","Rejected",IF($L2115="ignore","Ignore",IF($L2115="archive","Archive",IF($L2115="closed","Closed",IF($B2115="","Unscored",IF(AND($B2115&gt;=8,OR($H2115="",$H2115-TODAY()&lt;=14)),"P1 Apply",IF($B2115&gt;=7,"P2 Strong",IF($B2115&gt;=5,"P3 Maybe","P4 Low")))))))))))</f>
        <v/>
      </c>
      <c r="B2115" s="13" t="n">
        <v>0</v>
      </c>
      <c r="C2115" s="12" t="inlineStr">
        <is>
          <t>Junior</t>
        </is>
      </c>
      <c r="D2115" s="8" t="inlineStr">
        <is>
          <t>Associate Python Engineers</t>
        </is>
      </c>
      <c r="E2115" s="7" t="inlineStr">
        <is>
          <t>numi</t>
        </is>
      </c>
      <c r="F2115" s="8" t="inlineStr">
        <is>
          <t>London Area, United Kingdom</t>
        </is>
      </c>
      <c r="G2115" s="8" t="n"/>
      <c r="H2115" s="14" t="n"/>
      <c r="I2115" s="15">
        <f>IF($H2115="","",$H2115-TODAY())</f>
        <v/>
      </c>
      <c r="J2115" s="16" t="inlineStr">
        <is>
          <t>Open posting</t>
        </is>
      </c>
      <c r="K2115" s="8" t="inlineStr">
        <is>
          <t>filtered by keyword pre-scan</t>
        </is>
      </c>
      <c r="L2115" s="17" t="inlineStr">
        <is>
          <t>new</t>
        </is>
      </c>
      <c r="M2115" s="18" t="inlineStr"/>
      <c r="N2115" s="7" t="inlineStr">
        <is>
          <t>d38eea37612ea10166a7fe64dc90cbad15ddc058</t>
        </is>
      </c>
      <c r="O2115" s="14" t="n">
        <v>46185</v>
      </c>
      <c r="P2115" s="7" t="inlineStr">
        <is>
          <t>jobspy</t>
        </is>
      </c>
      <c r="Q2115" s="8" t="inlineStr">
        <is>
          <t>python</t>
        </is>
      </c>
      <c r="R2115" s="8" t="inlineStr">
        <is>
          <t>junior/graduate Junior Python Developer</t>
        </is>
      </c>
      <c r="S2115" s="19" t="n"/>
      <c r="T2115" s="19" t="n"/>
      <c r="U2115" s="14" t="n">
        <v>46191</v>
      </c>
      <c r="V2115" s="7" t="inlineStr">
        <is>
          <t>v2-cv-accuracy-13b988b18da8ea7d</t>
        </is>
      </c>
    </row>
    <row r="2116" ht="28" customHeight="1">
      <c r="A2116" s="12">
        <f>IF($L2116="applied","Applied",IF($L2116="interview","Interview",IF($L2116="offer","Offer",IF($L2116="rejected","Rejected",IF($L2116="ignore","Ignore",IF($L2116="archive","Archive",IF($L2116="closed","Closed",IF($B2116="","Unscored",IF(AND($B2116&gt;=8,OR($H2116="",$H2116-TODAY()&lt;=14)),"P1 Apply",IF($B2116&gt;=7,"P2 Strong",IF($B2116&gt;=5,"P3 Maybe","P4 Low")))))))))))</f>
        <v/>
      </c>
      <c r="B2116" s="13" t="n">
        <v>0</v>
      </c>
      <c r="C2116" s="12" t="inlineStr">
        <is>
          <t>Mid-level</t>
        </is>
      </c>
      <c r="D2116" s="8" t="inlineStr">
        <is>
          <t>Python Developers</t>
        </is>
      </c>
      <c r="E2116" s="7" t="inlineStr">
        <is>
          <t>CGI</t>
        </is>
      </c>
      <c r="F2116" s="8" t="inlineStr">
        <is>
          <t>London, England, UK</t>
        </is>
      </c>
      <c r="G2116" s="8" t="n"/>
      <c r="H2116" s="14" t="n"/>
      <c r="I2116" s="15">
        <f>IF($H2116="","",$H2116-TODAY())</f>
        <v/>
      </c>
      <c r="J2116" s="16" t="inlineStr">
        <is>
          <t>Open posting</t>
        </is>
      </c>
      <c r="K2116" s="8" t="inlineStr">
        <is>
          <t>filtered by keyword pre-scan</t>
        </is>
      </c>
      <c r="L2116" s="17" t="inlineStr">
        <is>
          <t>new</t>
        </is>
      </c>
      <c r="M2116" s="18" t="inlineStr"/>
      <c r="N2116" s="7" t="inlineStr">
        <is>
          <t>7726cbc792e6e079ae71425594bd49ce25db07fa</t>
        </is>
      </c>
      <c r="O2116" s="14" t="n">
        <v>46179</v>
      </c>
      <c r="P2116" s="7" t="inlineStr">
        <is>
          <t>jobspy</t>
        </is>
      </c>
      <c r="Q2116" s="8" t="inlineStr">
        <is>
          <t>python, git</t>
        </is>
      </c>
      <c r="R2116" s="8" t="inlineStr">
        <is>
          <t>junior/graduate Junior Python Developer</t>
        </is>
      </c>
      <c r="S2116" s="19" t="n"/>
      <c r="T2116" s="19" t="n"/>
      <c r="U2116" s="14" t="n">
        <v>46191</v>
      </c>
      <c r="V2116" s="7" t="inlineStr">
        <is>
          <t>v2-cv-accuracy-13b988b18da8ea7d</t>
        </is>
      </c>
    </row>
    <row r="2117" ht="28" customHeight="1">
      <c r="A2117" s="12">
        <f>IF($L2117="applied","Applied",IF($L2117="interview","Interview",IF($L2117="offer","Offer",IF($L2117="rejected","Rejected",IF($L2117="ignore","Ignore",IF($L2117="archive","Archive",IF($L2117="closed","Closed",IF($B2117="","Unscored",IF(AND($B2117&gt;=8,OR($H2117="",$H2117-TODAY()&lt;=14)),"P1 Apply",IF($B2117&gt;=7,"P2 Strong",IF($B2117&gt;=5,"P3 Maybe","P4 Low")))))))))))</f>
        <v/>
      </c>
      <c r="B2117" s="13" t="n">
        <v>0</v>
      </c>
      <c r="C2117" s="12" t="inlineStr">
        <is>
          <t>Mid-level</t>
        </is>
      </c>
      <c r="D2117" s="8" t="inlineStr">
        <is>
          <t>Full Stack Engineer</t>
        </is>
      </c>
      <c r="E2117" s="7" t="inlineStr">
        <is>
          <t>Housr</t>
        </is>
      </c>
      <c r="F2117" s="8" t="inlineStr">
        <is>
          <t>Manchester, England, UK</t>
        </is>
      </c>
      <c r="G2117" s="8" t="n"/>
      <c r="H2117" s="14" t="n"/>
      <c r="I2117" s="15">
        <f>IF($H2117="","",$H2117-TODAY())</f>
        <v/>
      </c>
      <c r="J2117" s="16" t="inlineStr">
        <is>
          <t>Open posting</t>
        </is>
      </c>
      <c r="K2117" s="8" t="inlineStr">
        <is>
          <t>filtered by keyword pre-scan</t>
        </is>
      </c>
      <c r="L2117" s="17" t="inlineStr">
        <is>
          <t>new</t>
        </is>
      </c>
      <c r="M2117" s="18" t="inlineStr"/>
      <c r="N2117" s="7" t="inlineStr">
        <is>
          <t>02135b795e7542b15509f83d881ead8e5ab5f5e6</t>
        </is>
      </c>
      <c r="O2117" s="14" t="n">
        <v>46184</v>
      </c>
      <c r="P2117" s="7" t="inlineStr">
        <is>
          <t>jobspy</t>
        </is>
      </c>
      <c r="Q2117" s="8" t="inlineStr"/>
      <c r="R2117" s="8" t="inlineStr">
        <is>
          <t>Full Stack Developer Sheffield</t>
        </is>
      </c>
      <c r="S2117" s="19" t="n"/>
      <c r="T2117" s="19" t="n"/>
      <c r="U2117" s="14" t="n">
        <v>46191</v>
      </c>
      <c r="V2117" s="7" t="inlineStr">
        <is>
          <t>v2-cv-accuracy-13b988b18da8ea7d</t>
        </is>
      </c>
    </row>
    <row r="2118" ht="28" customHeight="1">
      <c r="A2118" s="12">
        <f>IF($L2118="applied","Applied",IF($L2118="interview","Interview",IF($L2118="offer","Offer",IF($L2118="rejected","Rejected",IF($L2118="ignore","Ignore",IF($L2118="archive","Archive",IF($L2118="closed","Closed",IF($B2118="","Unscored",IF(AND($B2118&gt;=8,OR($H2118="",$H2118-TODAY()&lt;=14)),"P1 Apply",IF($B2118&gt;=7,"P2 Strong",IF($B2118&gt;=5,"P3 Maybe","P4 Low")))))))))))</f>
        <v/>
      </c>
      <c r="B2118" s="13" t="n">
        <v>0</v>
      </c>
      <c r="C2118" s="12" t="inlineStr">
        <is>
          <t>Senior/Lead</t>
        </is>
      </c>
      <c r="D2118" s="8" t="inlineStr">
        <is>
          <t>Developer</t>
        </is>
      </c>
      <c r="E2118" s="7" t="inlineStr">
        <is>
          <t>Change Grow Live</t>
        </is>
      </c>
      <c r="F2118" s="8" t="inlineStr">
        <is>
          <t>Leeds, England, UK</t>
        </is>
      </c>
      <c r="G2118" s="8" t="n"/>
      <c r="H2118" s="14" t="n"/>
      <c r="I2118" s="15">
        <f>IF($H2118="","",$H2118-TODAY())</f>
        <v/>
      </c>
      <c r="J2118" s="16" t="inlineStr">
        <is>
          <t>Open posting</t>
        </is>
      </c>
      <c r="K2118" s="8" t="inlineStr">
        <is>
          <t>filtered by keyword pre-scan</t>
        </is>
      </c>
      <c r="L2118" s="17" t="inlineStr">
        <is>
          <t>new</t>
        </is>
      </c>
      <c r="M2118" s="18" t="inlineStr"/>
      <c r="N2118" s="7" t="inlineStr">
        <is>
          <t>9473b677402e70372fc439e96306d568973add78</t>
        </is>
      </c>
      <c r="O2118" s="14" t="n">
        <v>46185</v>
      </c>
      <c r="P2118" s="7" t="inlineStr">
        <is>
          <t>jobspy</t>
        </is>
      </c>
      <c r="Q2118" s="8" t="inlineStr">
        <is>
          <t>sql, javascript</t>
        </is>
      </c>
      <c r="R2118" s="8" t="inlineStr">
        <is>
          <t>graduate Full Stack Developer</t>
        </is>
      </c>
      <c r="S2118" s="19" t="n"/>
      <c r="T2118" s="19" t="n"/>
      <c r="U2118" s="14" t="n">
        <v>46191</v>
      </c>
      <c r="V2118" s="7" t="inlineStr">
        <is>
          <t>v2-cv-accuracy-13b988b18da8ea7d</t>
        </is>
      </c>
    </row>
    <row r="2119" ht="28" customHeight="1">
      <c r="A2119" s="12">
        <f>IF($L2119="applied","Applied",IF($L2119="interview","Interview",IF($L2119="offer","Offer",IF($L2119="rejected","Rejected",IF($L2119="ignore","Ignore",IF($L2119="archive","Archive",IF($L2119="closed","Closed",IF($B2119="","Unscored",IF(AND($B2119&gt;=8,OR($H2119="",$H2119-TODAY()&lt;=14)),"P1 Apply",IF($B2119&gt;=7,"P2 Strong",IF($B2119&gt;=5,"P3 Maybe","P4 Low")))))))))))</f>
        <v/>
      </c>
      <c r="B2119" s="13" t="n">
        <v>0</v>
      </c>
      <c r="C2119" s="12" t="inlineStr">
        <is>
          <t>Junior</t>
        </is>
      </c>
      <c r="D2119" s="8" t="inlineStr">
        <is>
          <t>Junior/Mid Software Engineer</t>
        </is>
      </c>
      <c r="E2119" s="7" t="inlineStr">
        <is>
          <t>Mytos</t>
        </is>
      </c>
      <c r="F2119" s="8" t="inlineStr">
        <is>
          <t>London, England, UK</t>
        </is>
      </c>
      <c r="G2119" s="8" t="n"/>
      <c r="H2119" s="14" t="n"/>
      <c r="I2119" s="15">
        <f>IF($H2119="","",$H2119-TODAY())</f>
        <v/>
      </c>
      <c r="J2119" s="16" t="inlineStr">
        <is>
          <t>Open posting</t>
        </is>
      </c>
      <c r="K2119" s="8" t="inlineStr">
        <is>
          <t>filtered by keyword pre-scan</t>
        </is>
      </c>
      <c r="L2119" s="17" t="inlineStr">
        <is>
          <t>new</t>
        </is>
      </c>
      <c r="M2119" s="18" t="inlineStr"/>
      <c r="N2119" s="7" t="inlineStr">
        <is>
          <t>2bd8a934ae3ea49b11b48074737a6551c0f6c724</t>
        </is>
      </c>
      <c r="O2119" s="14" t="n">
        <v>46170</v>
      </c>
      <c r="P2119" s="7" t="inlineStr">
        <is>
          <t>jobspy</t>
        </is>
      </c>
      <c r="Q2119" s="8" t="inlineStr"/>
      <c r="R2119" s="8" t="inlineStr">
        <is>
          <t>junior/graduate Full Stack Developer</t>
        </is>
      </c>
      <c r="S2119" s="19" t="n"/>
      <c r="T2119" s="19" t="n"/>
      <c r="U2119" s="14" t="n">
        <v>46191</v>
      </c>
      <c r="V2119" s="7" t="inlineStr">
        <is>
          <t>v2-cv-accuracy-13b988b18da8ea7d</t>
        </is>
      </c>
    </row>
    <row r="2120" ht="28" customHeight="1">
      <c r="A2120" s="12">
        <f>IF($L2120="applied","Applied",IF($L2120="interview","Interview",IF($L2120="offer","Offer",IF($L2120="rejected","Rejected",IF($L2120="ignore","Ignore",IF($L2120="archive","Archive",IF($L2120="closed","Closed",IF($B2120="","Unscored",IF(AND($B2120&gt;=8,OR($H2120="",$H2120-TODAY()&lt;=14)),"P1 Apply",IF($B2120&gt;=7,"P2 Strong",IF($B2120&gt;=5,"P3 Maybe","P4 Low")))))))))))</f>
        <v/>
      </c>
      <c r="B2120" s="13" t="n">
        <v>0</v>
      </c>
      <c r="C2120" s="12" t="inlineStr">
        <is>
          <t>Senior/Lead</t>
        </is>
      </c>
      <c r="D2120" s="8" t="inlineStr">
        <is>
          <t>Senior Manufacturing Product Engineer</t>
        </is>
      </c>
      <c r="E2120" s="7" t="inlineStr">
        <is>
          <t>Graphcore</t>
        </is>
      </c>
      <c r="F2120" s="8" t="inlineStr">
        <is>
          <t>Hsinchu City, Hsinchu City, Taiwan; 臺北市, Taipei, Taiwan</t>
        </is>
      </c>
      <c r="G2120" s="8" t="n"/>
      <c r="H2120" s="14" t="n"/>
      <c r="I2120" s="15">
        <f>IF($H2120="","",$H2120-TODAY())</f>
        <v/>
      </c>
      <c r="J2120" s="16" t="inlineStr">
        <is>
          <t>Open posting</t>
        </is>
      </c>
      <c r="K2120" s="8" t="inlineStr">
        <is>
          <t>filtered by keyword pre-scan</t>
        </is>
      </c>
      <c r="L2120" s="17" t="inlineStr">
        <is>
          <t>new</t>
        </is>
      </c>
      <c r="M2120" s="18" t="inlineStr"/>
      <c r="N2120" s="7" t="inlineStr">
        <is>
          <t>4a1abc587445c5152e1b1df554ba77b96ed9582b</t>
        </is>
      </c>
      <c r="O2120" s="14" t="n">
        <v>46191</v>
      </c>
      <c r="P2120" s="7" t="inlineStr">
        <is>
          <t>greenhouse:graphcore</t>
        </is>
      </c>
      <c r="Q2120" s="8" t="inlineStr"/>
      <c r="R2120" s="8" t="n"/>
      <c r="S2120" s="19" t="n"/>
      <c r="T2120" s="19" t="n"/>
      <c r="U2120" s="14" t="n">
        <v>46191</v>
      </c>
      <c r="V2120" s="7" t="inlineStr">
        <is>
          <t>v2-cv-accuracy-13b988b18da8ea7d</t>
        </is>
      </c>
    </row>
    <row r="2121" ht="28" customHeight="1">
      <c r="A2121" s="12">
        <f>IF($L2121="applied","Applied",IF($L2121="interview","Interview",IF($L2121="offer","Offer",IF($L2121="rejected","Rejected",IF($L2121="ignore","Ignore",IF($L2121="archive","Archive",IF($L2121="closed","Closed",IF($B2121="","Unscored",IF(AND($B2121&gt;=8,OR($H2121="",$H2121-TODAY()&lt;=14)),"P1 Apply",IF($B2121&gt;=7,"P2 Strong",IF($B2121&gt;=5,"P3 Maybe","P4 Low")))))))))))</f>
        <v/>
      </c>
      <c r="B2121" s="13" t="n">
        <v>0</v>
      </c>
      <c r="C2121" s="12" t="inlineStr">
        <is>
          <t>Senior/Lead</t>
        </is>
      </c>
      <c r="D2121" s="8" t="inlineStr">
        <is>
          <t>Staff Engineering Program Support</t>
        </is>
      </c>
      <c r="E2121" s="7" t="inlineStr">
        <is>
          <t>Graphcore</t>
        </is>
      </c>
      <c r="F2121" s="8" t="inlineStr">
        <is>
          <t>Austin, Texas, United States</t>
        </is>
      </c>
      <c r="G2121" s="8" t="n"/>
      <c r="H2121" s="14" t="n"/>
      <c r="I2121" s="15">
        <f>IF($H2121="","",$H2121-TODAY())</f>
        <v/>
      </c>
      <c r="J2121" s="16" t="inlineStr">
        <is>
          <t>Open posting</t>
        </is>
      </c>
      <c r="K2121" s="8" t="inlineStr">
        <is>
          <t>filtered by keyword pre-scan</t>
        </is>
      </c>
      <c r="L2121" s="17" t="inlineStr">
        <is>
          <t>new</t>
        </is>
      </c>
      <c r="M2121" s="18" t="inlineStr"/>
      <c r="N2121" s="7" t="inlineStr">
        <is>
          <t>0e5a235f2925e9c5f130ea0ecffee70ebc76948b</t>
        </is>
      </c>
      <c r="O2121" s="14" t="n">
        <v>46191</v>
      </c>
      <c r="P2121" s="7" t="inlineStr">
        <is>
          <t>greenhouse:graphcore</t>
        </is>
      </c>
      <c r="Q2121" s="8" t="inlineStr"/>
      <c r="R2121" s="8" t="n"/>
      <c r="S2121" s="19" t="n"/>
      <c r="T2121" s="19" t="n"/>
      <c r="U2121" s="14" t="n">
        <v>46191</v>
      </c>
      <c r="V2121" s="7" t="inlineStr">
        <is>
          <t>v2-cv-accuracy-13b988b18da8ea7d</t>
        </is>
      </c>
    </row>
    <row r="2122" ht="28" customHeight="1">
      <c r="A2122" s="12">
        <f>IF($L2122="applied","Applied",IF($L2122="interview","Interview",IF($L2122="offer","Offer",IF($L2122="rejected","Rejected",IF($L2122="ignore","Ignore",IF($L2122="archive","Archive",IF($L2122="closed","Closed",IF($B2122="","Unscored",IF(AND($B2122&gt;=8,OR($H2122="",$H2122-TODAY()&lt;=14)),"P1 Apply",IF($B2122&gt;=7,"P2 Strong",IF($B2122&gt;=5,"P3 Maybe","P4 Low")))))))))))</f>
        <v/>
      </c>
      <c r="B2122" s="13" t="n">
        <v>0</v>
      </c>
      <c r="C2122" s="12" t="inlineStr">
        <is>
          <t>Senior/Lead</t>
        </is>
      </c>
      <c r="D2122" s="8" t="inlineStr">
        <is>
          <t>Compliance Assurance Analyst</t>
        </is>
      </c>
      <c r="E2122" s="7" t="inlineStr">
        <is>
          <t>Monzo</t>
        </is>
      </c>
      <c r="F2122" s="8" t="inlineStr">
        <is>
          <t>Cardiff, London or Remote (UK)</t>
        </is>
      </c>
      <c r="G2122" s="8" t="n"/>
      <c r="H2122" s="14" t="n"/>
      <c r="I2122" s="15">
        <f>IF($H2122="","",$H2122-TODAY())</f>
        <v/>
      </c>
      <c r="J2122" s="16" t="inlineStr">
        <is>
          <t>Open posting</t>
        </is>
      </c>
      <c r="K2122" s="8" t="inlineStr">
        <is>
          <t>filtered by keyword pre-scan</t>
        </is>
      </c>
      <c r="L2122" s="17" t="inlineStr">
        <is>
          <t>new</t>
        </is>
      </c>
      <c r="M2122" s="18" t="inlineStr"/>
      <c r="N2122" s="7" t="inlineStr">
        <is>
          <t>e7509422abcf1d31b475eec5aa7b2ea7b7b4c2d1</t>
        </is>
      </c>
      <c r="O2122" s="14" t="n">
        <v>46191</v>
      </c>
      <c r="P2122" s="7" t="inlineStr">
        <is>
          <t>greenhouse:monzo</t>
        </is>
      </c>
      <c r="Q2122" s="8" t="inlineStr"/>
      <c r="R2122" s="8" t="n"/>
      <c r="S2122" s="19" t="n"/>
      <c r="T2122" s="19" t="n"/>
      <c r="U2122" s="14" t="n">
        <v>46191</v>
      </c>
      <c r="V2122" s="7" t="inlineStr">
        <is>
          <t>v2-cv-accuracy-13b988b18da8ea7d</t>
        </is>
      </c>
    </row>
    <row r="2123" ht="28" customHeight="1">
      <c r="A2123" s="12">
        <f>IF($L2123="applied","Applied",IF($L2123="interview","Interview",IF($L2123="offer","Offer",IF($L2123="rejected","Rejected",IF($L2123="ignore","Ignore",IF($L2123="archive","Archive",IF($L2123="closed","Closed",IF($B2123="","Unscored",IF(AND($B2123&gt;=8,OR($H2123="",$H2123-TODAY()&lt;=14)),"P1 Apply",IF($B2123&gt;=7,"P2 Strong",IF($B2123&gt;=5,"P3 Maybe","P4 Low")))))))))))</f>
        <v/>
      </c>
      <c r="B2123" s="13" t="n">
        <v>0</v>
      </c>
      <c r="C2123" s="12" t="inlineStr">
        <is>
          <t>Senior/Lead</t>
        </is>
      </c>
      <c r="D2123" s="8" t="inlineStr">
        <is>
          <t>Lead Analytics Engineer</t>
        </is>
      </c>
      <c r="E2123" s="7" t="inlineStr">
        <is>
          <t>Monzo</t>
        </is>
      </c>
      <c r="F2123" s="8" t="inlineStr">
        <is>
          <t>Cardiff, London or Remote (UK)</t>
        </is>
      </c>
      <c r="G2123" s="8" t="n"/>
      <c r="H2123" s="14" t="n"/>
      <c r="I2123" s="15">
        <f>IF($H2123="","",$H2123-TODAY())</f>
        <v/>
      </c>
      <c r="J2123" s="16" t="inlineStr">
        <is>
          <t>Open posting</t>
        </is>
      </c>
      <c r="K2123" s="8" t="inlineStr">
        <is>
          <t>filtered by keyword pre-scan</t>
        </is>
      </c>
      <c r="L2123" s="17" t="inlineStr">
        <is>
          <t>new</t>
        </is>
      </c>
      <c r="M2123" s="18" t="inlineStr"/>
      <c r="N2123" s="7" t="inlineStr">
        <is>
          <t>615623769980d99a09ab2d080a63f0e6be9251dd</t>
        </is>
      </c>
      <c r="O2123" s="14" t="n">
        <v>46191</v>
      </c>
      <c r="P2123" s="7" t="inlineStr">
        <is>
          <t>greenhouse:monzo</t>
        </is>
      </c>
      <c r="Q2123" s="8" t="inlineStr"/>
      <c r="R2123" s="8" t="n"/>
      <c r="S2123" s="19" t="n"/>
      <c r="T2123" s="19" t="n"/>
      <c r="U2123" s="14" t="n">
        <v>46191</v>
      </c>
      <c r="V2123" s="7" t="inlineStr">
        <is>
          <t>v2-cv-accuracy-13b988b18da8ea7d</t>
        </is>
      </c>
    </row>
    <row r="2124" ht="28" customHeight="1">
      <c r="A2124" s="12">
        <f>IF($L2124="applied","Applied",IF($L2124="interview","Interview",IF($L2124="offer","Offer",IF($L2124="rejected","Rejected",IF($L2124="ignore","Ignore",IF($L2124="archive","Archive",IF($L2124="closed","Closed",IF($B2124="","Unscored",IF(AND($B2124&gt;=8,OR($H2124="",$H2124-TODAY()&lt;=14)),"P1 Apply",IF($B2124&gt;=7,"P2 Strong",IF($B2124&gt;=5,"P3 Maybe","P4 Low")))))))))))</f>
        <v/>
      </c>
      <c r="B2124" s="13" t="n">
        <v>0</v>
      </c>
      <c r="C2124" s="12" t="inlineStr">
        <is>
          <t>Senior/Lead</t>
        </is>
      </c>
      <c r="D2124" s="8" t="inlineStr">
        <is>
          <t>Senior Analytics Engineer</t>
        </is>
      </c>
      <c r="E2124" s="7" t="inlineStr">
        <is>
          <t>Monzo</t>
        </is>
      </c>
      <c r="F2124" s="8" t="inlineStr">
        <is>
          <t>Cardiff, London or Remote (UK)</t>
        </is>
      </c>
      <c r="G2124" s="8" t="n"/>
      <c r="H2124" s="14" t="n"/>
      <c r="I2124" s="15">
        <f>IF($H2124="","",$H2124-TODAY())</f>
        <v/>
      </c>
      <c r="J2124" s="16" t="inlineStr">
        <is>
          <t>Open posting</t>
        </is>
      </c>
      <c r="K2124" s="8" t="inlineStr">
        <is>
          <t>filtered by keyword pre-scan</t>
        </is>
      </c>
      <c r="L2124" s="17" t="inlineStr">
        <is>
          <t>new</t>
        </is>
      </c>
      <c r="M2124" s="18" t="inlineStr"/>
      <c r="N2124" s="7" t="inlineStr">
        <is>
          <t>e271e129b05e60eff5b969efbf158f1c0afb35f5</t>
        </is>
      </c>
      <c r="O2124" s="14" t="n">
        <v>46191</v>
      </c>
      <c r="P2124" s="7" t="inlineStr">
        <is>
          <t>greenhouse:monzo</t>
        </is>
      </c>
      <c r="Q2124" s="8" t="inlineStr">
        <is>
          <t>python</t>
        </is>
      </c>
      <c r="R2124" s="8" t="n"/>
      <c r="S2124" s="19" t="n"/>
      <c r="T2124" s="19" t="n"/>
      <c r="U2124" s="14" t="n">
        <v>46191</v>
      </c>
      <c r="V2124" s="7" t="inlineStr">
        <is>
          <t>v2-cv-accuracy-13b988b18da8ea7d</t>
        </is>
      </c>
    </row>
    <row r="2125" ht="28" customHeight="1">
      <c r="A2125" s="12">
        <f>IF($L2125="applied","Applied",IF($L2125="interview","Interview",IF($L2125="offer","Offer",IF($L2125="rejected","Rejected",IF($L2125="ignore","Ignore",IF($L2125="archive","Archive",IF($L2125="closed","Closed",IF($B2125="","Unscored",IF(AND($B2125&gt;=8,OR($H2125="",$H2125-TODAY()&lt;=14)),"P1 Apply",IF($B2125&gt;=7,"P2 Strong",IF($B2125&gt;=5,"P3 Maybe","P4 Low")))))))))))</f>
        <v/>
      </c>
      <c r="B2125" s="13" t="n">
        <v>0</v>
      </c>
      <c r="C2125" s="12" t="inlineStr">
        <is>
          <t>Manager/Owner</t>
        </is>
      </c>
      <c r="D2125" s="8" t="inlineStr">
        <is>
          <t>Editorial Manager</t>
        </is>
      </c>
      <c r="E2125" s="7" t="inlineStr">
        <is>
          <t>Typeform</t>
        </is>
      </c>
      <c r="F2125" s="8" t="inlineStr">
        <is>
          <t>United States (Remote)</t>
        </is>
      </c>
      <c r="G2125" s="8" t="n"/>
      <c r="H2125" s="14" t="n"/>
      <c r="I2125" s="15">
        <f>IF($H2125="","",$H2125-TODAY())</f>
        <v/>
      </c>
      <c r="J2125" s="16" t="inlineStr">
        <is>
          <t>Open posting</t>
        </is>
      </c>
      <c r="K2125" s="8" t="inlineStr">
        <is>
          <t>filtered by keyword pre-scan</t>
        </is>
      </c>
      <c r="L2125" s="17" t="inlineStr">
        <is>
          <t>new</t>
        </is>
      </c>
      <c r="M2125" s="18" t="inlineStr"/>
      <c r="N2125" s="7" t="inlineStr">
        <is>
          <t>7e56f678ffbc6bb3ba49ecc680e7377ca4c8d90d</t>
        </is>
      </c>
      <c r="O2125" s="14" t="n">
        <v>46191</v>
      </c>
      <c r="P2125" s="7" t="inlineStr">
        <is>
          <t>greenhouse:typeform</t>
        </is>
      </c>
      <c r="Q2125" s="8" t="inlineStr">
        <is>
          <t>git</t>
        </is>
      </c>
      <c r="R2125" s="8" t="n"/>
      <c r="S2125" s="19" t="n"/>
      <c r="T2125" s="19" t="n"/>
      <c r="U2125" s="14" t="n">
        <v>46191</v>
      </c>
      <c r="V2125" s="7" t="inlineStr">
        <is>
          <t>v2-cv-accuracy-13b988b18da8ea7d</t>
        </is>
      </c>
    </row>
    <row r="2126" ht="28" customHeight="1">
      <c r="A2126" s="12">
        <f>IF($L2126="applied","Applied",IF($L2126="interview","Interview",IF($L2126="offer","Offer",IF($L2126="rejected","Rejected",IF($L2126="ignore","Ignore",IF($L2126="archive","Archive",IF($L2126="closed","Closed",IF($B2126="","Unscored",IF(AND($B2126&gt;=8,OR($H2126="",$H2126-TODAY()&lt;=14)),"P1 Apply",IF($B2126&gt;=7,"P2 Strong",IF($B2126&gt;=5,"P3 Maybe","P4 Low")))))))))))</f>
        <v/>
      </c>
      <c r="B2126" s="13" t="n">
        <v>0</v>
      </c>
      <c r="C2126" s="12" t="inlineStr">
        <is>
          <t>Senior/Lead</t>
        </is>
      </c>
      <c r="D2126" s="8" t="inlineStr">
        <is>
          <t>Head of Creative</t>
        </is>
      </c>
      <c r="E2126" s="7" t="inlineStr">
        <is>
          <t>Typeform</t>
        </is>
      </c>
      <c r="F2126" s="8" t="inlineStr">
        <is>
          <t>Germany (Remote) ; Ireland (Remote); Netherlands (Remote) ; Portugal (Remote) ; Spain (Remote) ; United Kingdom (Remote) ; United States (Remote)</t>
        </is>
      </c>
      <c r="G2126" s="8" t="n"/>
      <c r="H2126" s="14" t="n"/>
      <c r="I2126" s="15">
        <f>IF($H2126="","",$H2126-TODAY())</f>
        <v/>
      </c>
      <c r="J2126" s="16" t="inlineStr">
        <is>
          <t>Open posting</t>
        </is>
      </c>
      <c r="K2126" s="8" t="inlineStr">
        <is>
          <t>filtered by keyword pre-scan</t>
        </is>
      </c>
      <c r="L2126" s="17" t="inlineStr">
        <is>
          <t>new</t>
        </is>
      </c>
      <c r="M2126" s="18" t="inlineStr"/>
      <c r="N2126" s="7" t="inlineStr">
        <is>
          <t>b442658d95e149e648c7ee92a906ec9d007ca665</t>
        </is>
      </c>
      <c r="O2126" s="14" t="n">
        <v>46191</v>
      </c>
      <c r="P2126" s="7" t="inlineStr">
        <is>
          <t>greenhouse:typeform</t>
        </is>
      </c>
      <c r="Q2126" s="8" t="inlineStr"/>
      <c r="R2126" s="8" t="n"/>
      <c r="S2126" s="19" t="n"/>
      <c r="T2126" s="19" t="n"/>
      <c r="U2126" s="14" t="n">
        <v>46191</v>
      </c>
      <c r="V2126" s="7" t="inlineStr">
        <is>
          <t>v2-cv-accuracy-13b988b18da8ea7d</t>
        </is>
      </c>
    </row>
    <row r="2127" ht="28" customHeight="1">
      <c r="A2127" s="12">
        <f>IF($L2127="applied","Applied",IF($L2127="interview","Interview",IF($L2127="offer","Offer",IF($L2127="rejected","Rejected",IF($L2127="ignore","Ignore",IF($L2127="archive","Archive",IF($L2127="closed","Closed",IF($B2127="","Unscored",IF(AND($B2127&gt;=8,OR($H2127="",$H2127-TODAY()&lt;=14)),"P1 Apply",IF($B2127&gt;=7,"P2 Strong",IF($B2127&gt;=5,"P3 Maybe","P4 Low")))))))))))</f>
        <v/>
      </c>
      <c r="B2127" s="13" t="n">
        <v>0</v>
      </c>
      <c r="C2127" s="12" t="inlineStr">
        <is>
          <t>Unspecified</t>
        </is>
      </c>
      <c r="D2127" s="8" t="inlineStr">
        <is>
          <t>Social Media Coordinator</t>
        </is>
      </c>
      <c r="E2127" s="7" t="inlineStr">
        <is>
          <t>Typeform</t>
        </is>
      </c>
      <c r="F2127" s="8" t="inlineStr">
        <is>
          <t>United States (Remote)</t>
        </is>
      </c>
      <c r="G2127" s="8" t="n"/>
      <c r="H2127" s="14" t="n"/>
      <c r="I2127" s="15">
        <f>IF($H2127="","",$H2127-TODAY())</f>
        <v/>
      </c>
      <c r="J2127" s="16" t="inlineStr">
        <is>
          <t>Open posting</t>
        </is>
      </c>
      <c r="K2127" s="8" t="inlineStr">
        <is>
          <t>filtered by keyword pre-scan</t>
        </is>
      </c>
      <c r="L2127" s="17" t="inlineStr">
        <is>
          <t>new</t>
        </is>
      </c>
      <c r="M2127" s="18" t="inlineStr"/>
      <c r="N2127" s="7" t="inlineStr">
        <is>
          <t>69bf3c928fddeeec82540b6ec33dddd06c54ec3a</t>
        </is>
      </c>
      <c r="O2127" s="14" t="n">
        <v>46191</v>
      </c>
      <c r="P2127" s="7" t="inlineStr">
        <is>
          <t>greenhouse:typeform</t>
        </is>
      </c>
      <c r="Q2127" s="8" t="inlineStr"/>
      <c r="R2127" s="8" t="n"/>
      <c r="S2127" s="19" t="n"/>
      <c r="T2127" s="19" t="n"/>
      <c r="U2127" s="14" t="n">
        <v>46191</v>
      </c>
      <c r="V2127" s="7" t="inlineStr">
        <is>
          <t>v2-cv-accuracy-13b988b18da8ea7d</t>
        </is>
      </c>
    </row>
    <row r="2128" ht="28" customHeight="1">
      <c r="A2128" s="12">
        <f>IF($L2128="applied","Applied",IF($L2128="interview","Interview",IF($L2128="offer","Offer",IF($L2128="rejected","Rejected",IF($L2128="ignore","Ignore",IF($L2128="archive","Archive",IF($L2128="closed","Closed",IF($B2128="","Unscored",IF(AND($B2128&gt;=8,OR($H2128="",$H2128-TODAY()&lt;=14)),"P1 Apply",IF($B2128&gt;=7,"P2 Strong",IF($B2128&gt;=5,"P3 Maybe","P4 Low")))))))))))</f>
        <v/>
      </c>
      <c r="B2128" s="13" t="n">
        <v>0</v>
      </c>
      <c r="C2128" s="12" t="inlineStr">
        <is>
          <t>Senior/Lead</t>
        </is>
      </c>
      <c r="D2128" s="8" t="inlineStr">
        <is>
          <t>Principal People Team Business Partner - M&amp;A / Strategy</t>
        </is>
      </c>
      <c r="E2128" s="7" t="inlineStr">
        <is>
          <t>Cloudflare</t>
        </is>
      </c>
      <c r="F2128" s="8" t="inlineStr">
        <is>
          <t>Hybrid</t>
        </is>
      </c>
      <c r="G2128" s="8" t="n"/>
      <c r="H2128" s="14" t="n"/>
      <c r="I2128" s="15">
        <f>IF($H2128="","",$H2128-TODAY())</f>
        <v/>
      </c>
      <c r="J2128" s="16" t="inlineStr">
        <is>
          <t>Open posting</t>
        </is>
      </c>
      <c r="K2128" s="8" t="inlineStr">
        <is>
          <t>filtered by keyword pre-scan</t>
        </is>
      </c>
      <c r="L2128" s="17" t="inlineStr">
        <is>
          <t>new</t>
        </is>
      </c>
      <c r="M2128" s="18" t="inlineStr"/>
      <c r="N2128" s="7" t="inlineStr">
        <is>
          <t>ca4e91cd5fd0c03910e204143b2576bd844bf173</t>
        </is>
      </c>
      <c r="O2128" s="14" t="n">
        <v>46191</v>
      </c>
      <c r="P2128" s="7" t="inlineStr">
        <is>
          <t>greenhouse:cloudflare</t>
        </is>
      </c>
      <c r="Q2128" s="8" t="inlineStr"/>
      <c r="R2128" s="8" t="n"/>
      <c r="S2128" s="19" t="n"/>
      <c r="T2128" s="19" t="n"/>
      <c r="U2128" s="14" t="n">
        <v>46191</v>
      </c>
      <c r="V2128" s="7" t="inlineStr">
        <is>
          <t>v2-cv-accuracy-13b988b18da8ea7d</t>
        </is>
      </c>
    </row>
    <row r="2129" ht="28" customHeight="1">
      <c r="A2129" s="12">
        <f>IF($L2129="applied","Applied",IF($L2129="interview","Interview",IF($L2129="offer","Offer",IF($L2129="rejected","Rejected",IF($L2129="ignore","Ignore",IF($L2129="archive","Archive",IF($L2129="closed","Closed",IF($B2129="","Unscored",IF(AND($B2129&gt;=8,OR($H2129="",$H2129-TODAY()&lt;=14)),"P1 Apply",IF($B2129&gt;=7,"P2 Strong",IF($B2129&gt;=5,"P3 Maybe","P4 Low")))))))))))</f>
        <v/>
      </c>
      <c r="B2129" s="13" t="n">
        <v>0</v>
      </c>
      <c r="C2129" s="12" t="inlineStr">
        <is>
          <t>Senior/Lead</t>
        </is>
      </c>
      <c r="D2129" s="8" t="inlineStr">
        <is>
          <t>Senior Software Engineer, Distributed Databases</t>
        </is>
      </c>
      <c r="E2129" s="7" t="inlineStr">
        <is>
          <t>Cloudflare</t>
        </is>
      </c>
      <c r="F2129" s="8" t="inlineStr">
        <is>
          <t>In-Office</t>
        </is>
      </c>
      <c r="G2129" s="8" t="n"/>
      <c r="H2129" s="14" t="n"/>
      <c r="I2129" s="15">
        <f>IF($H2129="","",$H2129-TODAY())</f>
        <v/>
      </c>
      <c r="J2129" s="16" t="inlineStr">
        <is>
          <t>Open posting</t>
        </is>
      </c>
      <c r="K2129" s="8" t="inlineStr">
        <is>
          <t>filtered by keyword pre-scan</t>
        </is>
      </c>
      <c r="L2129" s="17" t="inlineStr">
        <is>
          <t>new</t>
        </is>
      </c>
      <c r="M2129" s="18" t="inlineStr"/>
      <c r="N2129" s="7" t="inlineStr">
        <is>
          <t>5d21f1c57c7ddf20940e31827ee32dfe9ea95ba8</t>
        </is>
      </c>
      <c r="O2129" s="14" t="n">
        <v>46191</v>
      </c>
      <c r="P2129" s="7" t="inlineStr">
        <is>
          <t>greenhouse:cloudflare</t>
        </is>
      </c>
      <c r="Q2129" s="8" t="inlineStr"/>
      <c r="R2129" s="8" t="n"/>
      <c r="S2129" s="19" t="n"/>
      <c r="T2129" s="19" t="n"/>
      <c r="U2129" s="14" t="n">
        <v>46191</v>
      </c>
      <c r="V2129" s="7" t="inlineStr">
        <is>
          <t>v2-cv-accuracy-13b988b18da8ea7d</t>
        </is>
      </c>
    </row>
    <row r="2130" ht="28" customHeight="1">
      <c r="A2130" s="12">
        <f>IF($L2130="applied","Applied",IF($L2130="interview","Interview",IF($L2130="offer","Offer",IF($L2130="rejected","Rejected",IF($L2130="ignore","Ignore",IF($L2130="archive","Archive",IF($L2130="closed","Closed",IF($B2130="","Unscored",IF(AND($B2130&gt;=8,OR($H2130="",$H2130-TODAY()&lt;=14)),"P1 Apply",IF($B2130&gt;=7,"P2 Strong",IF($B2130&gt;=5,"P3 Maybe","P4 Low")))))))))))</f>
        <v/>
      </c>
      <c r="B2130" s="13" t="n">
        <v>0</v>
      </c>
      <c r="C2130" s="12" t="inlineStr">
        <is>
          <t>Manager/Owner</t>
        </is>
      </c>
      <c r="D2130" s="8" t="inlineStr">
        <is>
          <t>E‑Commerce Traffic &amp; CRM Manager</t>
        </is>
      </c>
      <c r="E2130" s="7" t="inlineStr">
        <is>
          <t>Dyson</t>
        </is>
      </c>
      <c r="F2130" s="8" t="inlineStr">
        <is>
          <t>United Arab Emirates - Dubai Office</t>
        </is>
      </c>
      <c r="G2130" s="8" t="n"/>
      <c r="H2130" s="14" t="n"/>
      <c r="I2130" s="15">
        <f>IF($H2130="","",$H2130-TODAY())</f>
        <v/>
      </c>
      <c r="J2130" s="16" t="inlineStr">
        <is>
          <t>Open posting</t>
        </is>
      </c>
      <c r="K2130" s="8" t="inlineStr">
        <is>
          <t>filtered by keyword pre-scan</t>
        </is>
      </c>
      <c r="L2130" s="17" t="inlineStr">
        <is>
          <t>new</t>
        </is>
      </c>
      <c r="M2130" s="18" t="inlineStr"/>
      <c r="N2130" s="7" t="inlineStr">
        <is>
          <t>38d03dc4040b5454dd0cc9884c647adc616e17d6</t>
        </is>
      </c>
      <c r="O2130" s="14" t="n"/>
      <c r="P2130" s="7" t="inlineStr">
        <is>
          <t>workday</t>
        </is>
      </c>
      <c r="Q2130" s="8" t="inlineStr"/>
      <c r="R2130" s="8" t="n"/>
      <c r="S2130" s="19" t="n"/>
      <c r="T2130" s="19" t="n"/>
      <c r="U2130" s="14" t="n">
        <v>46191</v>
      </c>
      <c r="V2130" s="7" t="inlineStr">
        <is>
          <t>v2-cv-accuracy-13b988b18da8ea7d</t>
        </is>
      </c>
    </row>
    <row r="2131" ht="28" customHeight="1">
      <c r="A2131" s="12">
        <f>IF($L2131="applied","Applied",IF($L2131="interview","Interview",IF($L2131="offer","Offer",IF($L2131="rejected","Rejected",IF($L2131="ignore","Ignore",IF($L2131="archive","Archive",IF($L2131="closed","Closed",IF($B2131="","Unscored",IF(AND($B2131&gt;=8,OR($H2131="",$H2131-TODAY()&lt;=14)),"P1 Apply",IF($B2131&gt;=7,"P2 Strong",IF($B2131&gt;=5,"P3 Maybe","P4 Low")))))))))))</f>
        <v/>
      </c>
      <c r="B2131" s="13" t="n">
        <v>0</v>
      </c>
      <c r="C2131" s="12" t="inlineStr">
        <is>
          <t>Unspecified</t>
        </is>
      </c>
      <c r="D2131" s="8" t="inlineStr">
        <is>
          <t>Content and Social Strategy Executive</t>
        </is>
      </c>
      <c r="E2131" s="7" t="inlineStr">
        <is>
          <t>Dyson</t>
        </is>
      </c>
      <c r="F2131" s="8" t="inlineStr">
        <is>
          <t>United Arab Emirates - Dubai Office</t>
        </is>
      </c>
      <c r="G2131" s="8" t="n"/>
      <c r="H2131" s="14" t="n"/>
      <c r="I2131" s="15">
        <f>IF($H2131="","",$H2131-TODAY())</f>
        <v/>
      </c>
      <c r="J2131" s="16" t="inlineStr">
        <is>
          <t>Open posting</t>
        </is>
      </c>
      <c r="K2131" s="8" t="inlineStr">
        <is>
          <t>filtered by keyword pre-scan</t>
        </is>
      </c>
      <c r="L2131" s="17" t="inlineStr">
        <is>
          <t>new</t>
        </is>
      </c>
      <c r="M2131" s="18" t="inlineStr"/>
      <c r="N2131" s="7" t="inlineStr">
        <is>
          <t>6f2d42d0442d8c221bf5587a2548b00619cc71a5</t>
        </is>
      </c>
      <c r="O2131" s="14" t="n"/>
      <c r="P2131" s="7" t="inlineStr">
        <is>
          <t>workday</t>
        </is>
      </c>
      <c r="Q2131" s="8" t="inlineStr"/>
      <c r="R2131" s="8" t="n"/>
      <c r="S2131" s="19" t="n"/>
      <c r="T2131" s="19" t="n"/>
      <c r="U2131" s="14" t="n">
        <v>46191</v>
      </c>
      <c r="V2131" s="7" t="inlineStr">
        <is>
          <t>v2-cv-accuracy-13b988b18da8ea7d</t>
        </is>
      </c>
    </row>
    <row r="2132" ht="28" customHeight="1">
      <c r="A2132" s="12">
        <f>IF($L2132="applied","Applied",IF($L2132="interview","Interview",IF($L2132="offer","Offer",IF($L2132="rejected","Rejected",IF($L2132="ignore","Ignore",IF($L2132="archive","Archive",IF($L2132="closed","Closed",IF($B2132="","Unscored",IF(AND($B2132&gt;=8,OR($H2132="",$H2132-TODAY()&lt;=14)),"P1 Apply",IF($B2132&gt;=7,"P2 Strong",IF($B2132&gt;=5,"P3 Maybe","P4 Low")))))))))))</f>
        <v/>
      </c>
      <c r="B2132" s="13" t="n">
        <v>0</v>
      </c>
      <c r="C2132" s="12" t="inlineStr">
        <is>
          <t>Unspecified</t>
        </is>
      </c>
      <c r="D2132" s="8" t="inlineStr">
        <is>
          <t>Friseur.in/Hair Stylist.in</t>
        </is>
      </c>
      <c r="E2132" s="7" t="inlineStr">
        <is>
          <t>Dyson</t>
        </is>
      </c>
      <c r="F2132" s="8" t="inlineStr">
        <is>
          <t>Germany - Baden-Württemberg Remote</t>
        </is>
      </c>
      <c r="G2132" s="8" t="n"/>
      <c r="H2132" s="14" t="n"/>
      <c r="I2132" s="15">
        <f>IF($H2132="","",$H2132-TODAY())</f>
        <v/>
      </c>
      <c r="J2132" s="16" t="inlineStr">
        <is>
          <t>Open posting</t>
        </is>
      </c>
      <c r="K2132" s="8" t="inlineStr">
        <is>
          <t>filtered by keyword pre-scan</t>
        </is>
      </c>
      <c r="L2132" s="17" t="inlineStr">
        <is>
          <t>new</t>
        </is>
      </c>
      <c r="M2132" s="18" t="inlineStr"/>
      <c r="N2132" s="7" t="inlineStr">
        <is>
          <t>bd5904949f89ce37140c58709ebeea1eb5e6cf24</t>
        </is>
      </c>
      <c r="O2132" s="14" t="n"/>
      <c r="P2132" s="7" t="inlineStr">
        <is>
          <t>workday</t>
        </is>
      </c>
      <c r="Q2132" s="8" t="inlineStr"/>
      <c r="R2132" s="8" t="n"/>
      <c r="S2132" s="19" t="n"/>
      <c r="T2132" s="19" t="n"/>
      <c r="U2132" s="14" t="n">
        <v>46191</v>
      </c>
      <c r="V2132" s="7" t="inlineStr">
        <is>
          <t>v2-cv-accuracy-13b988b18da8ea7d</t>
        </is>
      </c>
    </row>
    <row r="2133" ht="28" customHeight="1">
      <c r="A2133" s="12">
        <f>IF($L2133="applied","Applied",IF($L2133="interview","Interview",IF($L2133="offer","Offer",IF($L2133="rejected","Rejected",IF($L2133="ignore","Ignore",IF($L2133="archive","Archive",IF($L2133="closed","Closed",IF($B2133="","Unscored",IF(AND($B2133&gt;=8,OR($H2133="",$H2133-TODAY()&lt;=14)),"P1 Apply",IF($B2133&gt;=7,"P2 Strong",IF($B2133&gt;=5,"P3 Maybe","P4 Low")))))))))))</f>
        <v/>
      </c>
      <c r="B2133" s="13" t="n">
        <v>0</v>
      </c>
      <c r="C2133" s="12" t="inlineStr">
        <is>
          <t>Unspecified</t>
        </is>
      </c>
      <c r="D2133" s="8" t="inlineStr">
        <is>
          <t>Friseur.in/Hair Stylist.in</t>
        </is>
      </c>
      <c r="E2133" s="7" t="inlineStr">
        <is>
          <t>Dyson</t>
        </is>
      </c>
      <c r="F2133" s="8" t="inlineStr">
        <is>
          <t>Germany - Baden-Württemberg Remote</t>
        </is>
      </c>
      <c r="G2133" s="8" t="n"/>
      <c r="H2133" s="14" t="n"/>
      <c r="I2133" s="15">
        <f>IF($H2133="","",$H2133-TODAY())</f>
        <v/>
      </c>
      <c r="J2133" s="16" t="inlineStr">
        <is>
          <t>Open posting</t>
        </is>
      </c>
      <c r="K2133" s="8" t="inlineStr">
        <is>
          <t>filtered by keyword pre-scan</t>
        </is>
      </c>
      <c r="L2133" s="17" t="inlineStr">
        <is>
          <t>new</t>
        </is>
      </c>
      <c r="M2133" s="18" t="inlineStr"/>
      <c r="N2133" s="7" t="inlineStr">
        <is>
          <t>8fc7528cd9e824f05acc8dc018180809dc385a5c</t>
        </is>
      </c>
      <c r="O2133" s="14" t="n"/>
      <c r="P2133" s="7" t="inlineStr">
        <is>
          <t>workday</t>
        </is>
      </c>
      <c r="Q2133" s="8" t="inlineStr"/>
      <c r="R2133" s="8" t="n"/>
      <c r="S2133" s="19" t="n"/>
      <c r="T2133" s="19" t="n"/>
      <c r="U2133" s="14" t="n">
        <v>46191</v>
      </c>
      <c r="V2133" s="7" t="inlineStr">
        <is>
          <t>v2-cv-accuracy-13b988b18da8ea7d</t>
        </is>
      </c>
    </row>
    <row r="2134" ht="28" customHeight="1">
      <c r="A2134" s="12">
        <f>IF($L2134="applied","Applied",IF($L2134="interview","Interview",IF($L2134="offer","Offer",IF($L2134="rejected","Rejected",IF($L2134="ignore","Ignore",IF($L2134="archive","Archive",IF($L2134="closed","Closed",IF($B2134="","Unscored",IF(AND($B2134&gt;=8,OR($H2134="",$H2134-TODAY()&lt;=14)),"P1 Apply",IF($B2134&gt;=7,"P2 Strong",IF($B2134&gt;=5,"P3 Maybe","P4 Low")))))))))))</f>
        <v/>
      </c>
      <c r="B2134" s="13" t="n">
        <v>0</v>
      </c>
      <c r="C2134" s="12" t="inlineStr">
        <is>
          <t>Unspecified</t>
        </is>
      </c>
      <c r="D2134" s="8" t="inlineStr">
        <is>
          <t>Merchandiser</t>
        </is>
      </c>
      <c r="E2134" s="7" t="inlineStr">
        <is>
          <t>Dyson</t>
        </is>
      </c>
      <c r="F2134" s="8" t="inlineStr">
        <is>
          <t>Germany - Sachsen Remote</t>
        </is>
      </c>
      <c r="G2134" s="8" t="n"/>
      <c r="H2134" s="14" t="n"/>
      <c r="I2134" s="15">
        <f>IF($H2134="","",$H2134-TODAY())</f>
        <v/>
      </c>
      <c r="J2134" s="16" t="inlineStr">
        <is>
          <t>Open posting</t>
        </is>
      </c>
      <c r="K2134" s="8" t="inlineStr">
        <is>
          <t>filtered by keyword pre-scan</t>
        </is>
      </c>
      <c r="L2134" s="17" t="inlineStr">
        <is>
          <t>new</t>
        </is>
      </c>
      <c r="M2134" s="18" t="inlineStr"/>
      <c r="N2134" s="7" t="inlineStr">
        <is>
          <t>d3947f45864e97b5e4eee63e0584f0ab1cf3bbe7</t>
        </is>
      </c>
      <c r="O2134" s="14" t="n"/>
      <c r="P2134" s="7" t="inlineStr">
        <is>
          <t>workday</t>
        </is>
      </c>
      <c r="Q2134" s="8" t="inlineStr"/>
      <c r="R2134" s="8" t="n"/>
      <c r="S2134" s="19" t="n"/>
      <c r="T2134" s="19" t="n"/>
      <c r="U2134" s="14" t="n">
        <v>46191</v>
      </c>
      <c r="V2134" s="7" t="inlineStr">
        <is>
          <t>v2-cv-accuracy-13b988b18da8ea7d</t>
        </is>
      </c>
    </row>
    <row r="2135" ht="28" customHeight="1">
      <c r="A2135" s="12">
        <f>IF($L2135="applied","Applied",IF($L2135="interview","Interview",IF($L2135="offer","Offer",IF($L2135="rejected","Rejected",IF($L2135="ignore","Ignore",IF($L2135="archive","Archive",IF($L2135="closed","Closed",IF($B2135="","Unscored",IF(AND($B2135&gt;=8,OR($H2135="",$H2135-TODAY()&lt;=14)),"P1 Apply",IF($B2135&gt;=7,"P2 Strong",IF($B2135&gt;=5,"P3 Maybe","P4 Low")))))))))))</f>
        <v/>
      </c>
      <c r="B2135" s="13" t="n">
        <v>0</v>
      </c>
      <c r="C2135" s="12" t="inlineStr">
        <is>
          <t>Manager/Owner</t>
        </is>
      </c>
      <c r="D2135" s="8" t="inlineStr">
        <is>
          <t>Software Engineering Manager</t>
        </is>
      </c>
      <c r="E2135" s="7" t="inlineStr">
        <is>
          <t>Motorola Solutions</t>
        </is>
      </c>
      <c r="F2135" s="8" t="inlineStr">
        <is>
          <t>Edinburgh, SCT, GB</t>
        </is>
      </c>
      <c r="G2135" s="8" t="n"/>
      <c r="H2135" s="14" t="n"/>
      <c r="I2135" s="15">
        <f>IF($H2135="","",$H2135-TODAY())</f>
        <v/>
      </c>
      <c r="J2135" s="16" t="inlineStr">
        <is>
          <t>Open posting</t>
        </is>
      </c>
      <c r="K2135" s="8" t="inlineStr">
        <is>
          <t>filtered by keyword pre-scan</t>
        </is>
      </c>
      <c r="L2135" s="17" t="inlineStr">
        <is>
          <t>new</t>
        </is>
      </c>
      <c r="M2135" s="18" t="inlineStr"/>
      <c r="N2135" s="7" t="inlineStr">
        <is>
          <t>3aa674cfb0d5b21ad87ab56a8d2a87f7d4ef60d6</t>
        </is>
      </c>
      <c r="O2135" s="14" t="n">
        <v>46176</v>
      </c>
      <c r="P2135" s="7" t="inlineStr">
        <is>
          <t>jobspy</t>
        </is>
      </c>
      <c r="Q2135" s="8" t="inlineStr">
        <is>
          <t>software development</t>
        </is>
      </c>
      <c r="R2135" s="8" t="inlineStr">
        <is>
          <t>Graduate Software Developer</t>
        </is>
      </c>
      <c r="S2135" s="19" t="n"/>
      <c r="T2135" s="19" t="n"/>
      <c r="U2135" s="14" t="n">
        <v>46191</v>
      </c>
      <c r="V2135" s="7" t="inlineStr">
        <is>
          <t>v2-cv-accuracy-13b988b18da8ea7d</t>
        </is>
      </c>
    </row>
    <row r="2136" ht="28" customHeight="1">
      <c r="A2136" s="12">
        <f>IF($L2136="applied","Applied",IF($L2136="interview","Interview",IF($L2136="offer","Offer",IF($L2136="rejected","Rejected",IF($L2136="ignore","Ignore",IF($L2136="archive","Archive",IF($L2136="closed","Closed",IF($B2136="","Unscored",IF(AND($B2136&gt;=8,OR($H2136="",$H2136-TODAY()&lt;=14)),"P1 Apply",IF($B2136&gt;=7,"P2 Strong",IF($B2136&gt;=5,"P3 Maybe","P4 Low")))))))))))</f>
        <v/>
      </c>
      <c r="B2136" s="13" t="n">
        <v>0</v>
      </c>
      <c r="C2136" s="12" t="inlineStr">
        <is>
          <t>Unspecified</t>
        </is>
      </c>
      <c r="D2136" s="8" t="inlineStr">
        <is>
          <t>Java Engineer</t>
        </is>
      </c>
      <c r="E2136" s="7" t="inlineStr">
        <is>
          <t>Harrah's Cherokee Valley River</t>
        </is>
      </c>
      <c r="F2136" s="8" t="inlineStr">
        <is>
          <t>Leeds, England, UK</t>
        </is>
      </c>
      <c r="G2136" s="8" t="n"/>
      <c r="H2136" s="14" t="n"/>
      <c r="I2136" s="15">
        <f>IF($H2136="","",$H2136-TODAY())</f>
        <v/>
      </c>
      <c r="J2136" s="16" t="inlineStr">
        <is>
          <t>Open posting</t>
        </is>
      </c>
      <c r="K2136" s="8" t="inlineStr">
        <is>
          <t>filtered by keyword pre-scan</t>
        </is>
      </c>
      <c r="L2136" s="17" t="inlineStr">
        <is>
          <t>new</t>
        </is>
      </c>
      <c r="M2136" s="18" t="inlineStr"/>
      <c r="N2136" s="7" t="inlineStr">
        <is>
          <t>8187efb2f25861846123fd624a65679cf3ea890c</t>
        </is>
      </c>
      <c r="O2136" s="14" t="n">
        <v>46189</v>
      </c>
      <c r="P2136" s="7" t="inlineStr">
        <is>
          <t>jobspy</t>
        </is>
      </c>
      <c r="Q2136" s="8" t="inlineStr"/>
      <c r="R2136" s="8" t="inlineStr">
        <is>
          <t>Graduate Software Developer Sheffield</t>
        </is>
      </c>
      <c r="S2136" s="19" t="n"/>
      <c r="T2136" s="19" t="n"/>
      <c r="U2136" s="14" t="n">
        <v>46191</v>
      </c>
      <c r="V2136" s="7" t="inlineStr">
        <is>
          <t>v2-cv-accuracy-13b988b18da8ea7d</t>
        </is>
      </c>
    </row>
    <row r="2137" ht="28" customHeight="1">
      <c r="A2137" s="12">
        <f>IF($L2137="applied","Applied",IF($L2137="interview","Interview",IF($L2137="offer","Offer",IF($L2137="rejected","Rejected",IF($L2137="ignore","Ignore",IF($L2137="archive","Archive",IF($L2137="closed","Closed",IF($B2137="","Unscored",IF(AND($B2137&gt;=8,OR($H2137="",$H2137-TODAY()&lt;=14)),"P1 Apply",IF($B2137&gt;=7,"P2 Strong",IF($B2137&gt;=5,"P3 Maybe","P4 Low")))))))))))</f>
        <v/>
      </c>
      <c r="B2137" s="13" t="n">
        <v>0</v>
      </c>
      <c r="C2137" s="12" t="inlineStr">
        <is>
          <t>Graduate/Entry</t>
        </is>
      </c>
      <c r="D2137" s="8" t="inlineStr">
        <is>
          <t>Graduate Software Engineer</t>
        </is>
      </c>
      <c r="E2137" s="7" t="inlineStr">
        <is>
          <t>Motorola Solutions</t>
        </is>
      </c>
      <c r="F2137" s="8" t="inlineStr">
        <is>
          <t>Glasgow, Scotland, UK</t>
        </is>
      </c>
      <c r="G2137" s="8" t="n"/>
      <c r="H2137" s="14" t="n"/>
      <c r="I2137" s="15">
        <f>IF($H2137="","",$H2137-TODAY())</f>
        <v/>
      </c>
      <c r="J2137" s="16" t="inlineStr">
        <is>
          <t>Open posting</t>
        </is>
      </c>
      <c r="K2137" s="8" t="inlineStr">
        <is>
          <t>filtered by keyword pre-scan</t>
        </is>
      </c>
      <c r="L2137" s="17" t="inlineStr">
        <is>
          <t>new</t>
        </is>
      </c>
      <c r="M2137" s="18" t="inlineStr"/>
      <c r="N2137" s="7" t="inlineStr">
        <is>
          <t>f5de8c18d22394f32da1250b990012626ef174fe</t>
        </is>
      </c>
      <c r="O2137" s="14" t="n">
        <v>46184</v>
      </c>
      <c r="P2137" s="7" t="inlineStr">
        <is>
          <t>jobspy</t>
        </is>
      </c>
      <c r="Q2137" s="8" t="inlineStr"/>
      <c r="R2137" s="8" t="inlineStr">
        <is>
          <t>junior Graduate Software Developer</t>
        </is>
      </c>
      <c r="S2137" s="19" t="n"/>
      <c r="T2137" s="19" t="n"/>
      <c r="U2137" s="14" t="n">
        <v>46191</v>
      </c>
      <c r="V2137" s="7" t="inlineStr">
        <is>
          <t>v2-cv-accuracy-13b988b18da8ea7d</t>
        </is>
      </c>
    </row>
    <row r="2138" ht="28" customHeight="1">
      <c r="A2138" s="12">
        <f>IF($L2138="applied","Applied",IF($L2138="interview","Interview",IF($L2138="offer","Offer",IF($L2138="rejected","Rejected",IF($L2138="ignore","Ignore",IF($L2138="archive","Archive",IF($L2138="closed","Closed",IF($B2138="","Unscored",IF(AND($B2138&gt;=8,OR($H2138="",$H2138-TODAY()&lt;=14)),"P1 Apply",IF($B2138&gt;=7,"P2 Strong",IF($B2138&gt;=5,"P3 Maybe","P4 Low")))))))))))</f>
        <v/>
      </c>
      <c r="B2138" s="13" t="n">
        <v>0</v>
      </c>
      <c r="C2138" s="12" t="inlineStr">
        <is>
          <t>Unspecified</t>
        </is>
      </c>
      <c r="D2138" s="8" t="inlineStr">
        <is>
          <t>Java Developer - Newcastle</t>
        </is>
      </c>
      <c r="E2138" s="7" t="inlineStr">
        <is>
          <t>Accenture UK &amp; Ireland</t>
        </is>
      </c>
      <c r="F2138" s="8" t="inlineStr">
        <is>
          <t>Newcastle Upon Tyne, England, UK</t>
        </is>
      </c>
      <c r="G2138" s="8" t="n"/>
      <c r="H2138" s="14" t="n"/>
      <c r="I2138" s="15">
        <f>IF($H2138="","",$H2138-TODAY())</f>
        <v/>
      </c>
      <c r="J2138" s="16" t="inlineStr">
        <is>
          <t>Open posting</t>
        </is>
      </c>
      <c r="K2138" s="8" t="inlineStr">
        <is>
          <t>filtered by keyword pre-scan</t>
        </is>
      </c>
      <c r="L2138" s="17" t="inlineStr">
        <is>
          <t>new</t>
        </is>
      </c>
      <c r="M2138" s="18" t="inlineStr"/>
      <c r="N2138" s="7" t="inlineStr">
        <is>
          <t>9067424f7ff8fe7727661b4f0054bec0f646d10e</t>
        </is>
      </c>
      <c r="O2138" s="14" t="n">
        <v>46184</v>
      </c>
      <c r="P2138" s="7" t="inlineStr">
        <is>
          <t>jobspy</t>
        </is>
      </c>
      <c r="Q2138" s="8" t="inlineStr">
        <is>
          <t>rest apis, git</t>
        </is>
      </c>
      <c r="R2138" s="8" t="inlineStr">
        <is>
          <t>graduate Graduate Software Developer</t>
        </is>
      </c>
      <c r="S2138" s="19" t="n"/>
      <c r="T2138" s="19" t="n"/>
      <c r="U2138" s="14" t="n">
        <v>46191</v>
      </c>
      <c r="V2138" s="7" t="inlineStr">
        <is>
          <t>v2-cv-accuracy-13b988b18da8ea7d</t>
        </is>
      </c>
    </row>
    <row r="2139" ht="28" customHeight="1">
      <c r="A2139" s="12">
        <f>IF($L2139="applied","Applied",IF($L2139="interview","Interview",IF($L2139="offer","Offer",IF($L2139="rejected","Rejected",IF($L2139="ignore","Ignore",IF($L2139="archive","Archive",IF($L2139="closed","Closed",IF($B2139="","Unscored",IF(AND($B2139&gt;=8,OR($H2139="",$H2139-TODAY()&lt;=14)),"P1 Apply",IF($B2139&gt;=7,"P2 Strong",IF($B2139&gt;=5,"P3 Maybe","P4 Low")))))))))))</f>
        <v/>
      </c>
      <c r="B2139" s="13" t="n">
        <v>0</v>
      </c>
      <c r="C2139" s="12" t="inlineStr">
        <is>
          <t>Apprentice/Trainee</t>
        </is>
      </c>
      <c r="D2139" s="8" t="inlineStr">
        <is>
          <t>Software Data Science Degree Apprentice - Studentjob.co.uk</t>
        </is>
      </c>
      <c r="E2139" s="7" t="inlineStr">
        <is>
          <t>Jobster</t>
        </is>
      </c>
      <c r="F2139" s="8" t="inlineStr">
        <is>
          <t>Luton, England, UK</t>
        </is>
      </c>
      <c r="G2139" s="8" t="n"/>
      <c r="H2139" s="14" t="n"/>
      <c r="I2139" s="15">
        <f>IF($H2139="","",$H2139-TODAY())</f>
        <v/>
      </c>
      <c r="J2139" s="16" t="inlineStr">
        <is>
          <t>Open posting</t>
        </is>
      </c>
      <c r="K2139" s="8" t="inlineStr">
        <is>
          <t>filtered by keyword pre-scan</t>
        </is>
      </c>
      <c r="L2139" s="17" t="inlineStr">
        <is>
          <t>new</t>
        </is>
      </c>
      <c r="M2139" s="18" t="inlineStr"/>
      <c r="N2139" s="7" t="inlineStr">
        <is>
          <t>27544c88fe5f8086cc0a326210da7461210ed316</t>
        </is>
      </c>
      <c r="O2139" s="14" t="n"/>
      <c r="P2139" s="7" t="inlineStr">
        <is>
          <t>jobspy</t>
        </is>
      </c>
      <c r="Q2139" s="8" t="inlineStr">
        <is>
          <t>git</t>
        </is>
      </c>
      <c r="R2139" s="8" t="inlineStr">
        <is>
          <t>entry level Graduate Software Developer</t>
        </is>
      </c>
      <c r="S2139" s="19" t="n"/>
      <c r="T2139" s="19" t="n"/>
      <c r="U2139" s="14" t="n">
        <v>46191</v>
      </c>
      <c r="V2139" s="7" t="inlineStr">
        <is>
          <t>v2-cv-accuracy-13b988b18da8ea7d</t>
        </is>
      </c>
    </row>
    <row r="2140" ht="28" customHeight="1">
      <c r="A2140" s="12">
        <f>IF($L2140="applied","Applied",IF($L2140="interview","Interview",IF($L2140="offer","Offer",IF($L2140="rejected","Rejected",IF($L2140="ignore","Ignore",IF($L2140="archive","Archive",IF($L2140="closed","Closed",IF($B2140="","Unscored",IF(AND($B2140&gt;=8,OR($H2140="",$H2140-TODAY()&lt;=14)),"P1 Apply",IF($B2140&gt;=7,"P2 Strong",IF($B2140&gt;=5,"P3 Maybe","P4 Low")))))))))))</f>
        <v/>
      </c>
      <c r="B2140" s="13" t="n">
        <v>0</v>
      </c>
      <c r="C2140" s="12" t="inlineStr">
        <is>
          <t>Graduate/Entry</t>
        </is>
      </c>
      <c r="D2140" s="8" t="inlineStr">
        <is>
          <t>Graduate Software Systems Engineer</t>
        </is>
      </c>
      <c r="E2140" s="7" t="inlineStr">
        <is>
          <t>Sensata Technologies</t>
        </is>
      </c>
      <c r="F2140" s="8" t="inlineStr">
        <is>
          <t>Newtownabbey, Northern Ireland, UK</t>
        </is>
      </c>
      <c r="G2140" s="8" t="n"/>
      <c r="H2140" s="14" t="n"/>
      <c r="I2140" s="15">
        <f>IF($H2140="","",$H2140-TODAY())</f>
        <v/>
      </c>
      <c r="J2140" s="16" t="inlineStr">
        <is>
          <t>Open posting</t>
        </is>
      </c>
      <c r="K2140" s="8" t="inlineStr">
        <is>
          <t>filtered by keyword pre-scan</t>
        </is>
      </c>
      <c r="L2140" s="17" t="inlineStr">
        <is>
          <t>new</t>
        </is>
      </c>
      <c r="M2140" s="18" t="inlineStr"/>
      <c r="N2140" s="7" t="inlineStr">
        <is>
          <t>61fc1f8e393f761442232eefe6eb2a4ebe0de0bb</t>
        </is>
      </c>
      <c r="O2140" s="14" t="n">
        <v>46183</v>
      </c>
      <c r="P2140" s="7" t="inlineStr">
        <is>
          <t>jobspy</t>
        </is>
      </c>
      <c r="Q2140" s="8" t="inlineStr">
        <is>
          <t>sql, data analysis</t>
        </is>
      </c>
      <c r="R2140" s="8" t="inlineStr">
        <is>
          <t>junior/graduate Graduate Software Developer</t>
        </is>
      </c>
      <c r="S2140" s="19" t="n"/>
      <c r="T2140" s="19" t="n"/>
      <c r="U2140" s="14" t="n">
        <v>46191</v>
      </c>
      <c r="V2140" s="7" t="inlineStr">
        <is>
          <t>v2-cv-accuracy-13b988b18da8ea7d</t>
        </is>
      </c>
    </row>
    <row r="2141" ht="28" customHeight="1">
      <c r="A2141" s="12">
        <f>IF($L2141="applied","Applied",IF($L2141="interview","Interview",IF($L2141="offer","Offer",IF($L2141="rejected","Rejected",IF($L2141="ignore","Ignore",IF($L2141="archive","Archive",IF($L2141="closed","Closed",IF($B2141="","Unscored",IF(AND($B2141&gt;=8,OR($H2141="",$H2141-TODAY()&lt;=14)),"P1 Apply",IF($B2141&gt;=7,"P2 Strong",IF($B2141&gt;=5,"P3 Maybe","P4 Low")))))))))))</f>
        <v/>
      </c>
      <c r="B2141" s="13" t="n">
        <v>0</v>
      </c>
      <c r="C2141" s="12" t="inlineStr">
        <is>
          <t>Junior</t>
        </is>
      </c>
      <c r="D2141" s="8" t="inlineStr">
        <is>
          <t>Associate Software Developer</t>
        </is>
      </c>
      <c r="E2141" s="7" t="inlineStr">
        <is>
          <t>Solicitors Regulation Authority</t>
        </is>
      </c>
      <c r="F2141" s="8" t="inlineStr">
        <is>
          <t>West Midlands, England, UK</t>
        </is>
      </c>
      <c r="G2141" s="8" t="n"/>
      <c r="H2141" s="14" t="n"/>
      <c r="I2141" s="15">
        <f>IF($H2141="","",$H2141-TODAY())</f>
        <v/>
      </c>
      <c r="J2141" s="16" t="inlineStr">
        <is>
          <t>Open posting</t>
        </is>
      </c>
      <c r="K2141" s="8" t="inlineStr">
        <is>
          <t>filtered by keyword pre-scan</t>
        </is>
      </c>
      <c r="L2141" s="17" t="inlineStr">
        <is>
          <t>new</t>
        </is>
      </c>
      <c r="M2141" s="18" t="inlineStr"/>
      <c r="N2141" s="7" t="inlineStr">
        <is>
          <t>97085a3dc017165bc8700f50c012d384bbc4ffda</t>
        </is>
      </c>
      <c r="O2141" s="14" t="n">
        <v>46183</v>
      </c>
      <c r="P2141" s="7" t="inlineStr">
        <is>
          <t>jobspy</t>
        </is>
      </c>
      <c r="Q2141" s="8" t="inlineStr">
        <is>
          <t>sql, git, software development</t>
        </is>
      </c>
      <c r="R2141" s="8" t="inlineStr">
        <is>
          <t>Graduate Software Developer remote</t>
        </is>
      </c>
      <c r="S2141" s="19" t="n"/>
      <c r="T2141" s="19" t="n"/>
      <c r="U2141" s="14" t="n">
        <v>46191</v>
      </c>
      <c r="V2141" s="7" t="inlineStr">
        <is>
          <t>v2-cv-accuracy-13b988b18da8ea7d</t>
        </is>
      </c>
    </row>
    <row r="2142" ht="28" customHeight="1">
      <c r="A2142" s="12">
        <f>IF($L2142="applied","Applied",IF($L2142="interview","Interview",IF($L2142="offer","Offer",IF($L2142="rejected","Rejected",IF($L2142="ignore","Ignore",IF($L2142="archive","Archive",IF($L2142="closed","Closed",IF($B2142="","Unscored",IF(AND($B2142&gt;=8,OR($H2142="",$H2142-TODAY()&lt;=14)),"P1 Apply",IF($B2142&gt;=7,"P2 Strong",IF($B2142&gt;=5,"P3 Maybe","P4 Low")))))))))))</f>
        <v/>
      </c>
      <c r="B2142" s="13" t="n">
        <v>0</v>
      </c>
      <c r="C2142" s="12" t="inlineStr">
        <is>
          <t>Unspecified</t>
        </is>
      </c>
      <c r="D2142" s="8" t="inlineStr">
        <is>
          <t>Software Engineer</t>
        </is>
      </c>
      <c r="E2142" s="7" t="inlineStr">
        <is>
          <t>MDA Space</t>
        </is>
      </c>
      <c r="F2142" s="8" t="inlineStr">
        <is>
          <t>Manchester, England, UK</t>
        </is>
      </c>
      <c r="G2142" s="8" t="n"/>
      <c r="H2142" s="14" t="n"/>
      <c r="I2142" s="15">
        <f>IF($H2142="","",$H2142-TODAY())</f>
        <v/>
      </c>
      <c r="J2142" s="16" t="inlineStr">
        <is>
          <t>Open posting</t>
        </is>
      </c>
      <c r="K2142" s="8" t="inlineStr">
        <is>
          <t>filtered by keyword pre-scan</t>
        </is>
      </c>
      <c r="L2142" s="17" t="inlineStr">
        <is>
          <t>new</t>
        </is>
      </c>
      <c r="M2142" s="18" t="inlineStr"/>
      <c r="N2142" s="7" t="inlineStr">
        <is>
          <t>10f4cb5a649155f4c65dfd9492da378acd79708c</t>
        </is>
      </c>
      <c r="O2142" s="14" t="n">
        <v>46170</v>
      </c>
      <c r="P2142" s="7" t="inlineStr">
        <is>
          <t>jobspy</t>
        </is>
      </c>
      <c r="Q2142" s="8" t="inlineStr">
        <is>
          <t>python, git</t>
        </is>
      </c>
      <c r="R2142" s="8" t="inlineStr">
        <is>
          <t>Junior Python Developer Sheffield</t>
        </is>
      </c>
      <c r="S2142" s="19" t="n"/>
      <c r="T2142" s="19" t="n"/>
      <c r="U2142" s="14" t="n">
        <v>46191</v>
      </c>
      <c r="V2142" s="7" t="inlineStr">
        <is>
          <t>v2-cv-accuracy-13b988b18da8ea7d</t>
        </is>
      </c>
    </row>
    <row r="2143" ht="28" customHeight="1">
      <c r="A2143" s="12">
        <f>IF($L2143="applied","Applied",IF($L2143="interview","Interview",IF($L2143="offer","Offer",IF($L2143="rejected","Rejected",IF($L2143="ignore","Ignore",IF($L2143="archive","Archive",IF($L2143="closed","Closed",IF($B2143="","Unscored",IF(AND($B2143&gt;=8,OR($H2143="",$H2143-TODAY()&lt;=14)),"P1 Apply",IF($B2143&gt;=7,"P2 Strong",IF($B2143&gt;=5,"P3 Maybe","P4 Low")))))))))))</f>
        <v/>
      </c>
      <c r="B2143" s="13" t="n">
        <v>0</v>
      </c>
      <c r="C2143" s="12" t="inlineStr">
        <is>
          <t>Senior/Lead</t>
        </is>
      </c>
      <c r="D2143" s="8" t="inlineStr">
        <is>
          <t>Senior Kotlin Backend Engineer</t>
        </is>
      </c>
      <c r="E2143" s="7" t="inlineStr">
        <is>
          <t>RedRock Consulting</t>
        </is>
      </c>
      <c r="F2143" s="8" t="inlineStr">
        <is>
          <t>Leeds, England, UK</t>
        </is>
      </c>
      <c r="G2143" s="8" t="n"/>
      <c r="H2143" s="14" t="n"/>
      <c r="I2143" s="15">
        <f>IF($H2143="","",$H2143-TODAY())</f>
        <v/>
      </c>
      <c r="J2143" s="16" t="inlineStr">
        <is>
          <t>Open posting</t>
        </is>
      </c>
      <c r="K2143" s="8" t="inlineStr">
        <is>
          <t>filtered by keyword pre-scan</t>
        </is>
      </c>
      <c r="L2143" s="17" t="inlineStr">
        <is>
          <t>new</t>
        </is>
      </c>
      <c r="M2143" s="18" t="inlineStr"/>
      <c r="N2143" s="7" t="inlineStr">
        <is>
          <t>6402753d0d8fcfdbcca87b90e2d15f1229ee65df</t>
        </is>
      </c>
      <c r="O2143" s="14" t="n"/>
      <c r="P2143" s="7" t="inlineStr">
        <is>
          <t>jobspy</t>
        </is>
      </c>
      <c r="Q2143" s="8" t="inlineStr">
        <is>
          <t>git</t>
        </is>
      </c>
      <c r="R2143" s="8" t="inlineStr">
        <is>
          <t>Junior Python Developer Sheffield</t>
        </is>
      </c>
      <c r="S2143" s="19" t="n"/>
      <c r="T2143" s="19" t="n"/>
      <c r="U2143" s="14" t="n">
        <v>46191</v>
      </c>
      <c r="V2143" s="7" t="inlineStr">
        <is>
          <t>v2-cv-accuracy-13b988b18da8ea7d</t>
        </is>
      </c>
    </row>
    <row r="2144" ht="28" customHeight="1">
      <c r="A2144" s="12">
        <f>IF($L2144="applied","Applied",IF($L2144="interview","Interview",IF($L2144="offer","Offer",IF($L2144="rejected","Rejected",IF($L2144="ignore","Ignore",IF($L2144="archive","Archive",IF($L2144="closed","Closed",IF($B2144="","Unscored",IF(AND($B2144&gt;=8,OR($H2144="",$H2144-TODAY()&lt;=14)),"P1 Apply",IF($B2144&gt;=7,"P2 Strong",IF($B2144&gt;=5,"P3 Maybe","P4 Low")))))))))))</f>
        <v/>
      </c>
      <c r="B2144" s="13" t="n">
        <v>0</v>
      </c>
      <c r="C2144" s="12" t="inlineStr">
        <is>
          <t>Senior/Lead</t>
        </is>
      </c>
      <c r="D2144" s="8" t="inlineStr">
        <is>
          <t>Senior Kotlin Backend Engineer</t>
        </is>
      </c>
      <c r="E2144" s="7" t="inlineStr">
        <is>
          <t>RedRock Consulting</t>
        </is>
      </c>
      <c r="F2144" s="8" t="inlineStr">
        <is>
          <t>London Area, United Kingdom</t>
        </is>
      </c>
      <c r="G2144" s="8" t="n"/>
      <c r="H2144" s="14" t="n"/>
      <c r="I2144" s="15">
        <f>IF($H2144="","",$H2144-TODAY())</f>
        <v/>
      </c>
      <c r="J2144" s="16" t="inlineStr">
        <is>
          <t>Open posting</t>
        </is>
      </c>
      <c r="K2144" s="8" t="inlineStr">
        <is>
          <t>filtered by keyword pre-scan</t>
        </is>
      </c>
      <c r="L2144" s="17" t="inlineStr">
        <is>
          <t>new</t>
        </is>
      </c>
      <c r="M2144" s="18" t="inlineStr"/>
      <c r="N2144" s="7" t="inlineStr">
        <is>
          <t>ffa36192bfe3f25e3b08400a66d20c72c0734c8b</t>
        </is>
      </c>
      <c r="O2144" s="14" t="n"/>
      <c r="P2144" s="7" t="inlineStr">
        <is>
          <t>jobspy</t>
        </is>
      </c>
      <c r="Q2144" s="8" t="inlineStr">
        <is>
          <t>git</t>
        </is>
      </c>
      <c r="R2144" s="8" t="inlineStr">
        <is>
          <t>Junior Python Developer Sheffield</t>
        </is>
      </c>
      <c r="S2144" s="19" t="n"/>
      <c r="T2144" s="19" t="n"/>
      <c r="U2144" s="14" t="n">
        <v>46191</v>
      </c>
      <c r="V2144" s="7" t="inlineStr">
        <is>
          <t>v2-cv-accuracy-13b988b18da8ea7d</t>
        </is>
      </c>
    </row>
    <row r="2145" ht="28" customHeight="1">
      <c r="A2145" s="12">
        <f>IF($L2145="applied","Applied",IF($L2145="interview","Interview",IF($L2145="offer","Offer",IF($L2145="rejected","Rejected",IF($L2145="ignore","Ignore",IF($L2145="archive","Archive",IF($L2145="closed","Closed",IF($B2145="","Unscored",IF(AND($B2145&gt;=8,OR($H2145="",$H2145-TODAY()&lt;=14)),"P1 Apply",IF($B2145&gt;=7,"P2 Strong",IF($B2145&gt;=5,"P3 Maybe","P4 Low")))))))))))</f>
        <v/>
      </c>
      <c r="B2145" s="13" t="n">
        <v>0</v>
      </c>
      <c r="C2145" s="12" t="inlineStr">
        <is>
          <t>Senior/Lead</t>
        </is>
      </c>
      <c r="D2145" s="8" t="inlineStr">
        <is>
          <t>Senior Fullstack Engineer (Ruby)</t>
        </is>
      </c>
      <c r="E2145" s="7" t="inlineStr">
        <is>
          <t>The National College</t>
        </is>
      </c>
      <c r="F2145" s="8" t="inlineStr">
        <is>
          <t>Sheffield, England, UK</t>
        </is>
      </c>
      <c r="G2145" s="8" t="n"/>
      <c r="H2145" s="14" t="n"/>
      <c r="I2145" s="15">
        <f>IF($H2145="","",$H2145-TODAY())</f>
        <v/>
      </c>
      <c r="J2145" s="16" t="inlineStr">
        <is>
          <t>Open posting</t>
        </is>
      </c>
      <c r="K2145" s="8" t="inlineStr">
        <is>
          <t>filtered by keyword pre-scan</t>
        </is>
      </c>
      <c r="L2145" s="17" t="inlineStr">
        <is>
          <t>new</t>
        </is>
      </c>
      <c r="M2145" s="18" t="inlineStr"/>
      <c r="N2145" s="7" t="inlineStr">
        <is>
          <t>041e4d7573f48e7de8150b8633f6b22ba653dfdf</t>
        </is>
      </c>
      <c r="O2145" s="14" t="n"/>
      <c r="P2145" s="7" t="inlineStr">
        <is>
          <t>jobspy</t>
        </is>
      </c>
      <c r="Q2145" s="8" t="inlineStr">
        <is>
          <t>sql, javascript, git, software development</t>
        </is>
      </c>
      <c r="R2145" s="8" t="inlineStr">
        <is>
          <t>Junior Python Developer Sheffield</t>
        </is>
      </c>
      <c r="S2145" s="19" t="n"/>
      <c r="T2145" s="19" t="n"/>
      <c r="U2145" s="14" t="n">
        <v>46191</v>
      </c>
      <c r="V2145" s="7" t="inlineStr">
        <is>
          <t>v2-cv-accuracy-13b988b18da8ea7d</t>
        </is>
      </c>
    </row>
    <row r="2146" ht="28" customHeight="1">
      <c r="A2146" s="12">
        <f>IF($L2146="applied","Applied",IF($L2146="interview","Interview",IF($L2146="offer","Offer",IF($L2146="rejected","Rejected",IF($L2146="ignore","Ignore",IF($L2146="archive","Archive",IF($L2146="closed","Closed",IF($B2146="","Unscored",IF(AND($B2146&gt;=8,OR($H2146="",$H2146-TODAY()&lt;=14)),"P1 Apply",IF($B2146&gt;=7,"P2 Strong",IF($B2146&gt;=5,"P3 Maybe","P4 Low")))))))))))</f>
        <v/>
      </c>
      <c r="B2146" s="13" t="n">
        <v>0</v>
      </c>
      <c r="C2146" s="12" t="inlineStr">
        <is>
          <t>Senior/Lead</t>
        </is>
      </c>
      <c r="D2146" s="8" t="inlineStr">
        <is>
          <t>Embedded Specialist Engineer (M/F/D)</t>
        </is>
      </c>
      <c r="E2146" s="7" t="inlineStr">
        <is>
          <t>TLD</t>
        </is>
      </c>
      <c r="F2146" s="8" t="inlineStr">
        <is>
          <t>Kempston, ENG, GB</t>
        </is>
      </c>
      <c r="G2146" s="8" t="n"/>
      <c r="H2146" s="14" t="n"/>
      <c r="I2146" s="15">
        <f>IF($H2146="","",$H2146-TODAY())</f>
        <v/>
      </c>
      <c r="J2146" s="16" t="inlineStr">
        <is>
          <t>Open posting</t>
        </is>
      </c>
      <c r="K2146" s="8" t="inlineStr">
        <is>
          <t>filtered by keyword pre-scan</t>
        </is>
      </c>
      <c r="L2146" s="17" t="inlineStr">
        <is>
          <t>new</t>
        </is>
      </c>
      <c r="M2146" s="18" t="inlineStr"/>
      <c r="N2146" s="7" t="inlineStr">
        <is>
          <t>f7956b60dd306e7195026494b6c62865b00f8dba</t>
        </is>
      </c>
      <c r="O2146" s="14" t="n">
        <v>46191</v>
      </c>
      <c r="P2146" s="7" t="inlineStr">
        <is>
          <t>jobspy</t>
        </is>
      </c>
      <c r="Q2146" s="8" t="inlineStr">
        <is>
          <t>git</t>
        </is>
      </c>
      <c r="R2146" s="8" t="inlineStr">
        <is>
          <t>Full Stack Developer</t>
        </is>
      </c>
      <c r="S2146" s="19" t="n"/>
      <c r="T2146" s="19" t="n"/>
      <c r="U2146" s="14" t="n">
        <v>46191</v>
      </c>
      <c r="V2146" s="7" t="inlineStr">
        <is>
          <t>v2-cv-accuracy-13b988b18da8ea7d</t>
        </is>
      </c>
    </row>
    <row r="2147" ht="28" customHeight="1">
      <c r="A2147" s="12">
        <f>IF($L2147="applied","Applied",IF($L2147="interview","Interview",IF($L2147="offer","Offer",IF($L2147="rejected","Rejected",IF($L2147="ignore","Ignore",IF($L2147="archive","Archive",IF($L2147="closed","Closed",IF($B2147="","Unscored",IF(AND($B2147&gt;=8,OR($H2147="",$H2147-TODAY()&lt;=14)),"P1 Apply",IF($B2147&gt;=7,"P2 Strong",IF($B2147&gt;=5,"P3 Maybe","P4 Low")))))))))))</f>
        <v/>
      </c>
      <c r="B2147" s="13" t="n">
        <v>0</v>
      </c>
      <c r="C2147" s="12" t="inlineStr">
        <is>
          <t>Senior/Lead</t>
        </is>
      </c>
      <c r="D2147" s="8" t="inlineStr">
        <is>
          <t>Senior Full Stack Engineer: Improbable</t>
        </is>
      </c>
      <c r="E2147" s="7" t="inlineStr">
        <is>
          <t>Improbable</t>
        </is>
      </c>
      <c r="F2147" s="8" t="inlineStr">
        <is>
          <t>London, ENG, GB</t>
        </is>
      </c>
      <c r="G2147" s="8" t="n"/>
      <c r="H2147" s="14" t="n"/>
      <c r="I2147" s="15">
        <f>IF($H2147="","",$H2147-TODAY())</f>
        <v/>
      </c>
      <c r="J2147" s="16" t="inlineStr">
        <is>
          <t>Open posting</t>
        </is>
      </c>
      <c r="K2147" s="8" t="inlineStr">
        <is>
          <t>filtered by keyword pre-scan</t>
        </is>
      </c>
      <c r="L2147" s="17" t="inlineStr">
        <is>
          <t>new</t>
        </is>
      </c>
      <c r="M2147" s="18" t="inlineStr"/>
      <c r="N2147" s="7" t="inlineStr">
        <is>
          <t>96b6d2ec829a4120602f10e8adce7b089f4081f7</t>
        </is>
      </c>
      <c r="O2147" s="14" t="n">
        <v>46191</v>
      </c>
      <c r="P2147" s="7" t="inlineStr">
        <is>
          <t>jobspy</t>
        </is>
      </c>
      <c r="Q2147" s="8" t="inlineStr"/>
      <c r="R2147" s="8" t="inlineStr">
        <is>
          <t>Full Stack Developer</t>
        </is>
      </c>
      <c r="S2147" s="19" t="n"/>
      <c r="T2147" s="19" t="n"/>
      <c r="U2147" s="14" t="n">
        <v>46191</v>
      </c>
      <c r="V2147" s="7" t="inlineStr">
        <is>
          <t>v2-cv-accuracy-13b988b18da8ea7d</t>
        </is>
      </c>
    </row>
    <row r="2148" ht="28" customHeight="1">
      <c r="A2148" s="12">
        <f>IF($L2148="applied","Applied",IF($L2148="interview","Interview",IF($L2148="offer","Offer",IF($L2148="rejected","Rejected",IF($L2148="ignore","Ignore",IF($L2148="archive","Archive",IF($L2148="closed","Closed",IF($B2148="","Unscored",IF(AND($B2148&gt;=8,OR($H2148="",$H2148-TODAY()&lt;=14)),"P1 Apply",IF($B2148&gt;=7,"P2 Strong",IF($B2148&gt;=5,"P3 Maybe","P4 Low")))))))))))</f>
        <v/>
      </c>
      <c r="B2148" s="13" t="n">
        <v>0</v>
      </c>
      <c r="C2148" s="12" t="inlineStr">
        <is>
          <t>Senior/Lead</t>
        </is>
      </c>
      <c r="D2148" s="8" t="inlineStr">
        <is>
          <t>Senior Developer</t>
        </is>
      </c>
      <c r="E2148" s="7" t="inlineStr">
        <is>
          <t>Home Office</t>
        </is>
      </c>
      <c r="F2148" s="8" t="inlineStr">
        <is>
          <t>Sheffield, ENG, GB</t>
        </is>
      </c>
      <c r="G2148" s="8" t="n"/>
      <c r="H2148" s="14" t="n"/>
      <c r="I2148" s="15">
        <f>IF($H2148="","",$H2148-TODAY())</f>
        <v/>
      </c>
      <c r="J2148" s="16" t="inlineStr">
        <is>
          <t>Open posting</t>
        </is>
      </c>
      <c r="K2148" s="8" t="inlineStr">
        <is>
          <t>filtered by keyword pre-scan</t>
        </is>
      </c>
      <c r="L2148" s="17" t="inlineStr">
        <is>
          <t>new</t>
        </is>
      </c>
      <c r="M2148" s="18" t="inlineStr"/>
      <c r="N2148" s="7" t="inlineStr">
        <is>
          <t>2ab213d7d57ef3db41bd1388ff9621d816f36a5a</t>
        </is>
      </c>
      <c r="O2148" s="14" t="n">
        <v>46191</v>
      </c>
      <c r="P2148" s="7" t="inlineStr">
        <is>
          <t>jobspy</t>
        </is>
      </c>
      <c r="Q2148" s="8" t="inlineStr">
        <is>
          <t>python, sql, javascript, git</t>
        </is>
      </c>
      <c r="R2148" s="8" t="inlineStr">
        <is>
          <t>Full Stack Developer</t>
        </is>
      </c>
      <c r="S2148" s="19" t="n"/>
      <c r="T2148" s="19" t="n"/>
      <c r="U2148" s="14" t="n">
        <v>46191</v>
      </c>
      <c r="V2148" s="7" t="inlineStr">
        <is>
          <t>v2-cv-accuracy-13b988b18da8ea7d</t>
        </is>
      </c>
    </row>
    <row r="2149" ht="28" customHeight="1">
      <c r="A2149" s="12">
        <f>IF($L2149="applied","Applied",IF($L2149="interview","Interview",IF($L2149="offer","Offer",IF($L2149="rejected","Rejected",IF($L2149="ignore","Ignore",IF($L2149="archive","Archive",IF($L2149="closed","Closed",IF($B2149="","Unscored",IF(AND($B2149&gt;=8,OR($H2149="",$H2149-TODAY()&lt;=14)),"P1 Apply",IF($B2149&gt;=7,"P2 Strong",IF($B2149&gt;=5,"P3 Maybe","P4 Low")))))))))))</f>
        <v/>
      </c>
      <c r="B2149" s="13" t="n">
        <v>0</v>
      </c>
      <c r="C2149" s="12" t="inlineStr">
        <is>
          <t>Senior/Lead</t>
        </is>
      </c>
      <c r="D2149" s="8" t="inlineStr">
        <is>
          <t>IT Group Platform and DevOps Lead</t>
        </is>
      </c>
      <c r="E2149" s="7" t="inlineStr">
        <is>
          <t>Bravissimo Ltd</t>
        </is>
      </c>
      <c r="F2149" s="8" t="inlineStr">
        <is>
          <t>Warwick, ENG, GB</t>
        </is>
      </c>
      <c r="G2149" s="8" t="n"/>
      <c r="H2149" s="14" t="n"/>
      <c r="I2149" s="15">
        <f>IF($H2149="","",$H2149-TODAY())</f>
        <v/>
      </c>
      <c r="J2149" s="16" t="inlineStr">
        <is>
          <t>Open posting</t>
        </is>
      </c>
      <c r="K2149" s="8" t="inlineStr">
        <is>
          <t>filtered by keyword pre-scan</t>
        </is>
      </c>
      <c r="L2149" s="17" t="inlineStr">
        <is>
          <t>new</t>
        </is>
      </c>
      <c r="M2149" s="18" t="inlineStr"/>
      <c r="N2149" s="7" t="inlineStr">
        <is>
          <t>fd87882430477a19a243e1c73d8a1e19fc598f95</t>
        </is>
      </c>
      <c r="O2149" s="14" t="n">
        <v>46191</v>
      </c>
      <c r="P2149" s="7" t="inlineStr">
        <is>
          <t>jobspy</t>
        </is>
      </c>
      <c r="Q2149" s="8" t="inlineStr">
        <is>
          <t>sql, javascript, git</t>
        </is>
      </c>
      <c r="R2149" s="8" t="inlineStr">
        <is>
          <t>Full Stack Developer</t>
        </is>
      </c>
      <c r="S2149" s="19" t="n"/>
      <c r="T2149" s="19" t="n"/>
      <c r="U2149" s="14" t="n">
        <v>46191</v>
      </c>
      <c r="V2149" s="7" t="inlineStr">
        <is>
          <t>v2-cv-accuracy-13b988b18da8ea7d</t>
        </is>
      </c>
    </row>
    <row r="2150" ht="28" customHeight="1">
      <c r="A2150" s="12">
        <f>IF($L2150="applied","Applied",IF($L2150="interview","Interview",IF($L2150="offer","Offer",IF($L2150="rejected","Rejected",IF($L2150="ignore","Ignore",IF($L2150="archive","Archive",IF($L2150="closed","Closed",IF($B2150="","Unscored",IF(AND($B2150&gt;=8,OR($H2150="",$H2150-TODAY()&lt;=14)),"P1 Apply",IF($B2150&gt;=7,"P2 Strong",IF($B2150&gt;=5,"P3 Maybe","P4 Low")))))))))))</f>
        <v/>
      </c>
      <c r="B2150" s="13" t="n">
        <v>0</v>
      </c>
      <c r="C2150" s="12" t="inlineStr">
        <is>
          <t>Mid-level</t>
        </is>
      </c>
      <c r="D2150" s="8" t="inlineStr">
        <is>
          <t>Full Stack Developer | Python &amp; JavaScript</t>
        </is>
      </c>
      <c r="E2150" s="7" t="inlineStr">
        <is>
          <t>RedRock Resourcing</t>
        </is>
      </c>
      <c r="F2150" s="8" t="inlineStr">
        <is>
          <t>Greater Bristol Area, United Kingdom</t>
        </is>
      </c>
      <c r="G2150" s="8" t="n"/>
      <c r="H2150" s="14" t="n"/>
      <c r="I2150" s="15">
        <f>IF($H2150="","",$H2150-TODAY())</f>
        <v/>
      </c>
      <c r="J2150" s="16" t="inlineStr">
        <is>
          <t>Open posting</t>
        </is>
      </c>
      <c r="K2150" s="8" t="inlineStr">
        <is>
          <t>filtered by keyword pre-scan</t>
        </is>
      </c>
      <c r="L2150" s="17" t="inlineStr">
        <is>
          <t>new</t>
        </is>
      </c>
      <c r="M2150" s="18" t="inlineStr"/>
      <c r="N2150" s="7" t="inlineStr">
        <is>
          <t>01bdb2daed8969de7c0369bd265f27d8aa41729f</t>
        </is>
      </c>
      <c r="O2150" s="14" t="n">
        <v>46184</v>
      </c>
      <c r="P2150" s="7" t="inlineStr">
        <is>
          <t>jobspy</t>
        </is>
      </c>
      <c r="Q2150" s="8" t="inlineStr">
        <is>
          <t>python, sql, javascript</t>
        </is>
      </c>
      <c r="R2150" s="8" t="inlineStr">
        <is>
          <t>graduate Full Stack Developer</t>
        </is>
      </c>
      <c r="S2150" s="19" t="n"/>
      <c r="T2150" s="19" t="n"/>
      <c r="U2150" s="14" t="n">
        <v>46191</v>
      </c>
      <c r="V2150" s="7" t="inlineStr">
        <is>
          <t>v2-cv-accuracy-13b988b18da8ea7d</t>
        </is>
      </c>
    </row>
    <row r="2151" ht="28" customHeight="1">
      <c r="A2151" s="12">
        <f>IF($L2151="applied","Applied",IF($L2151="interview","Interview",IF($L2151="offer","Offer",IF($L2151="rejected","Rejected",IF($L2151="ignore","Ignore",IF($L2151="archive","Archive",IF($L2151="closed","Closed",IF($B2151="","Unscored",IF(AND($B2151&gt;=8,OR($H2151="",$H2151-TODAY()&lt;=14)),"P1 Apply",IF($B2151&gt;=7,"P2 Strong",IF($B2151&gt;=5,"P3 Maybe","P4 Low")))))))))))</f>
        <v/>
      </c>
      <c r="B2151" s="13" t="n">
        <v>0</v>
      </c>
      <c r="C2151" s="12" t="inlineStr">
        <is>
          <t>Junior</t>
        </is>
      </c>
      <c r="D2151" s="8" t="inlineStr">
        <is>
          <t>Associate Software Developer</t>
        </is>
      </c>
      <c r="E2151" s="7" t="inlineStr">
        <is>
          <t>SOCOTEC UK &amp; Ireland</t>
        </is>
      </c>
      <c r="F2151" s="8" t="inlineStr">
        <is>
          <t>Burton Upon Trent, England, UK</t>
        </is>
      </c>
      <c r="G2151" s="8" t="n"/>
      <c r="H2151" s="14" t="n"/>
      <c r="I2151" s="15">
        <f>IF($H2151="","",$H2151-TODAY())</f>
        <v/>
      </c>
      <c r="J2151" s="16" t="inlineStr">
        <is>
          <t>Open posting</t>
        </is>
      </c>
      <c r="K2151" s="8" t="inlineStr">
        <is>
          <t>filtered by keyword pre-scan</t>
        </is>
      </c>
      <c r="L2151" s="17" t="inlineStr">
        <is>
          <t>new</t>
        </is>
      </c>
      <c r="M2151" s="18" t="inlineStr"/>
      <c r="N2151" s="7" t="inlineStr">
        <is>
          <t>f6109d6f233a59bed194f9ef95d3b6d0d7453e57</t>
        </is>
      </c>
      <c r="O2151" s="14" t="n">
        <v>46170</v>
      </c>
      <c r="P2151" s="7" t="inlineStr">
        <is>
          <t>jobspy</t>
        </is>
      </c>
      <c r="Q2151" s="8" t="inlineStr">
        <is>
          <t>sql</t>
        </is>
      </c>
      <c r="R2151" s="8" t="inlineStr">
        <is>
          <t>graduate Full Stack Developer</t>
        </is>
      </c>
      <c r="S2151" s="19" t="n"/>
      <c r="T2151" s="19" t="n"/>
      <c r="U2151" s="14" t="n">
        <v>46191</v>
      </c>
      <c r="V2151" s="7" t="inlineStr">
        <is>
          <t>v2-cv-accuracy-13b988b18da8ea7d</t>
        </is>
      </c>
    </row>
    <row r="2152" ht="28" customHeight="1">
      <c r="A2152" s="12">
        <f>IF($L2152="applied","Applied",IF($L2152="interview","Interview",IF($L2152="offer","Offer",IF($L2152="rejected","Rejected",IF($L2152="ignore","Ignore",IF($L2152="archive","Archive",IF($L2152="closed","Closed",IF($B2152="","Unscored",IF(AND($B2152&gt;=8,OR($H2152="",$H2152-TODAY()&lt;=14)),"P1 Apply",IF($B2152&gt;=7,"P2 Strong",IF($B2152&gt;=5,"P3 Maybe","P4 Low")))))))))))</f>
        <v/>
      </c>
      <c r="B2152" s="13" t="n">
        <v>0</v>
      </c>
      <c r="C2152" s="12" t="inlineStr">
        <is>
          <t>Senior/Lead</t>
        </is>
      </c>
      <c r="D2152" s="8" t="inlineStr">
        <is>
          <t>Senior Engineering Program Coordinator</t>
        </is>
      </c>
      <c r="E2152" s="7" t="inlineStr">
        <is>
          <t>Graphcore</t>
        </is>
      </c>
      <c r="F2152" s="8" t="inlineStr">
        <is>
          <t>Austin, Texas, United States</t>
        </is>
      </c>
      <c r="G2152" s="8" t="n"/>
      <c r="H2152" s="14" t="n"/>
      <c r="I2152" s="15">
        <f>IF($H2152="","",$H2152-TODAY())</f>
        <v/>
      </c>
      <c r="J2152" s="16" t="inlineStr">
        <is>
          <t>Open posting</t>
        </is>
      </c>
      <c r="K2152" s="8" t="inlineStr">
        <is>
          <t>filtered by keyword pre-scan</t>
        </is>
      </c>
      <c r="L2152" s="17" t="inlineStr">
        <is>
          <t>new</t>
        </is>
      </c>
      <c r="M2152" s="18" t="inlineStr"/>
      <c r="N2152" s="7" t="inlineStr">
        <is>
          <t>974f1dda4f97aacecaf95957a87b3172d41f9e3a</t>
        </is>
      </c>
      <c r="O2152" s="14" t="n">
        <v>46191</v>
      </c>
      <c r="P2152" s="7" t="inlineStr">
        <is>
          <t>greenhouse:graphcore</t>
        </is>
      </c>
      <c r="Q2152" s="8" t="inlineStr"/>
      <c r="R2152" s="8" t="n"/>
      <c r="S2152" s="19" t="n"/>
      <c r="T2152" s="19" t="n"/>
      <c r="U2152" s="14" t="n">
        <v>46191</v>
      </c>
      <c r="V2152" s="7" t="inlineStr">
        <is>
          <t>v2-cv-accuracy-13b988b18da8ea7d</t>
        </is>
      </c>
    </row>
    <row r="2153" ht="28" customHeight="1">
      <c r="A2153" s="12">
        <f>IF($L2153="applied","Applied",IF($L2153="interview","Interview",IF($L2153="offer","Offer",IF($L2153="rejected","Rejected",IF($L2153="ignore","Ignore",IF($L2153="archive","Archive",IF($L2153="closed","Closed",IF($B2153="","Unscored",IF(AND($B2153&gt;=8,OR($H2153="",$H2153-TODAY()&lt;=14)),"P1 Apply",IF($B2153&gt;=7,"P2 Strong",IF($B2153&gt;=5,"P3 Maybe","P4 Low")))))))))))</f>
        <v/>
      </c>
      <c r="B2153" s="13" t="n">
        <v>0</v>
      </c>
      <c r="C2153" s="12" t="inlineStr">
        <is>
          <t>Senior/Lead</t>
        </is>
      </c>
      <c r="D2153" s="8" t="inlineStr">
        <is>
          <t>Lead React Engineer</t>
        </is>
      </c>
      <c r="E2153" s="7" t="inlineStr">
        <is>
          <t>RED Global</t>
        </is>
      </c>
      <c r="F2153" s="8" t="inlineStr">
        <is>
          <t>Sheffield, England, UK</t>
        </is>
      </c>
      <c r="G2153" s="8" t="n"/>
      <c r="H2153" s="14" t="n"/>
      <c r="I2153" s="15">
        <f>IF($H2153="","",$H2153-TODAY())</f>
        <v/>
      </c>
      <c r="J2153" s="16" t="inlineStr">
        <is>
          <t>Open posting</t>
        </is>
      </c>
      <c r="K2153" s="8" t="inlineStr">
        <is>
          <t>filtered by keyword pre-scan</t>
        </is>
      </c>
      <c r="L2153" s="17" t="inlineStr">
        <is>
          <t>new</t>
        </is>
      </c>
      <c r="M2153" s="18" t="inlineStr"/>
      <c r="N2153" s="7" t="inlineStr">
        <is>
          <t>2c95fe02e3a3db7e686b0ae2ba03a7a2c7dc85b7</t>
        </is>
      </c>
      <c r="O2153" s="14" t="n">
        <v>46182</v>
      </c>
      <c r="P2153" s="7" t="inlineStr">
        <is>
          <t>jobspy</t>
        </is>
      </c>
      <c r="Q2153" s="8" t="inlineStr">
        <is>
          <t>javascript</t>
        </is>
      </c>
      <c r="R2153" s="8" t="inlineStr">
        <is>
          <t>Graduate Software Developer Sheffield</t>
        </is>
      </c>
      <c r="S2153" s="19" t="n"/>
      <c r="T2153" s="19" t="n"/>
      <c r="U2153" s="14" t="n">
        <v>46191</v>
      </c>
      <c r="V2153" s="7" t="inlineStr">
        <is>
          <t>v2-cv-accuracy-13b988b18da8ea7d</t>
        </is>
      </c>
    </row>
    <row r="2154" ht="28" customHeight="1">
      <c r="A2154" s="12">
        <f>IF($L2154="applied","Applied",IF($L2154="interview","Interview",IF($L2154="offer","Offer",IF($L2154="rejected","Rejected",IF($L2154="ignore","Ignore",IF($L2154="archive","Archive",IF($L2154="closed","Closed",IF($B2154="","Unscored",IF(AND($B2154&gt;=8,OR($H2154="",$H2154-TODAY()&lt;=14)),"P1 Apply",IF($B2154&gt;=7,"P2 Strong",IF($B2154&gt;=5,"P3 Maybe","P4 Low")))))))))))</f>
        <v/>
      </c>
      <c r="B2154" s="13" t="n">
        <v>0</v>
      </c>
      <c r="C2154" s="12" t="inlineStr">
        <is>
          <t>Senior/Lead</t>
        </is>
      </c>
      <c r="D2154" s="8" t="inlineStr">
        <is>
          <t>Senior Frontend Developer</t>
        </is>
      </c>
      <c r="E2154" s="7" t="inlineStr">
        <is>
          <t>Acorn Group</t>
        </is>
      </c>
      <c r="F2154" s="8" t="inlineStr">
        <is>
          <t>Liverpool, England, UK</t>
        </is>
      </c>
      <c r="G2154" s="8" t="n"/>
      <c r="H2154" s="14" t="n"/>
      <c r="I2154" s="15">
        <f>IF($H2154="","",$H2154-TODAY())</f>
        <v/>
      </c>
      <c r="J2154" s="16" t="inlineStr">
        <is>
          <t>Open posting</t>
        </is>
      </c>
      <c r="K2154" s="8" t="inlineStr">
        <is>
          <t>filtered by keyword pre-scan</t>
        </is>
      </c>
      <c r="L2154" s="17" t="inlineStr">
        <is>
          <t>new</t>
        </is>
      </c>
      <c r="M2154" s="18" t="inlineStr"/>
      <c r="N2154" s="7" t="inlineStr">
        <is>
          <t>a8c84f0c0fe6176c1e9142fe948eb8fc2f673e05</t>
        </is>
      </c>
      <c r="O2154" s="14" t="n">
        <v>46187</v>
      </c>
      <c r="P2154" s="7" t="inlineStr">
        <is>
          <t>jobspy</t>
        </is>
      </c>
      <c r="Q2154" s="8" t="inlineStr">
        <is>
          <t>git</t>
        </is>
      </c>
      <c r="R2154" s="8" t="inlineStr">
        <is>
          <t>graduate Junior Python Developer</t>
        </is>
      </c>
      <c r="S2154" s="19" t="n"/>
      <c r="T2154" s="19" t="n"/>
      <c r="U2154" s="14" t="n">
        <v>46191</v>
      </c>
      <c r="V2154" s="7" t="inlineStr">
        <is>
          <t>v2-cv-accuracy-13b988b18da8ea7d</t>
        </is>
      </c>
    </row>
    <row r="2155" ht="28" customHeight="1">
      <c r="A2155" s="12">
        <f>IF($L2155="applied","Applied",IF($L2155="interview","Interview",IF($L2155="offer","Offer",IF($L2155="rejected","Rejected",IF($L2155="ignore","Ignore",IF($L2155="archive","Archive",IF($L2155="closed","Closed",IF($B2155="","Unscored",IF(AND($B2155&gt;=8,OR($H2155="",$H2155-TODAY()&lt;=14)),"P1 Apply",IF($B2155&gt;=7,"P2 Strong",IF($B2155&gt;=5,"P3 Maybe","P4 Low")))))))))))</f>
        <v/>
      </c>
      <c r="B2155" s="13" t="n">
        <v>0</v>
      </c>
      <c r="C2155" s="12" t="inlineStr">
        <is>
          <t>Mid-level</t>
        </is>
      </c>
      <c r="D2155" s="8" t="inlineStr">
        <is>
          <t>Software Engineer</t>
        </is>
      </c>
      <c r="E2155" s="7" t="inlineStr">
        <is>
          <t>Zego</t>
        </is>
      </c>
      <c r="F2155" s="8" t="inlineStr">
        <is>
          <t>London Area, United Kingdom</t>
        </is>
      </c>
      <c r="G2155" s="8" t="n"/>
      <c r="H2155" s="14" t="n"/>
      <c r="I2155" s="15">
        <f>IF($H2155="","",$H2155-TODAY())</f>
        <v/>
      </c>
      <c r="J2155" s="16" t="inlineStr">
        <is>
          <t>Open posting</t>
        </is>
      </c>
      <c r="K2155" s="8" t="inlineStr">
        <is>
          <t>filtered by keyword pre-scan</t>
        </is>
      </c>
      <c r="L2155" s="17" t="inlineStr">
        <is>
          <t>new</t>
        </is>
      </c>
      <c r="M2155" s="18" t="inlineStr"/>
      <c r="N2155" s="7" t="inlineStr">
        <is>
          <t>7137d816b43a635088915be9904d526c3059436f</t>
        </is>
      </c>
      <c r="O2155" s="14" t="n">
        <v>46183</v>
      </c>
      <c r="P2155" s="7" t="inlineStr">
        <is>
          <t>jobspy</t>
        </is>
      </c>
      <c r="Q2155" s="8" t="inlineStr">
        <is>
          <t>python</t>
        </is>
      </c>
      <c r="R2155" s="8" t="inlineStr">
        <is>
          <t>junior/graduate Junior Python Developer</t>
        </is>
      </c>
      <c r="S2155" s="19" t="n"/>
      <c r="T2155" s="19" t="n"/>
      <c r="U2155" s="14" t="n">
        <v>46191</v>
      </c>
      <c r="V2155" s="7" t="inlineStr">
        <is>
          <t>v2-cv-accuracy-13b988b18da8ea7d</t>
        </is>
      </c>
    </row>
    <row r="2156" ht="28" customHeight="1">
      <c r="A2156" s="12">
        <f>IF($L2156="applied","Applied",IF($L2156="interview","Interview",IF($L2156="offer","Offer",IF($L2156="rejected","Rejected",IF($L2156="ignore","Ignore",IF($L2156="archive","Archive",IF($L2156="closed","Closed",IF($B2156="","Unscored",IF(AND($B2156&gt;=8,OR($H2156="",$H2156-TODAY()&lt;=14)),"P1 Apply",IF($B2156&gt;=7,"P2 Strong",IF($B2156&gt;=5,"P3 Maybe","P4 Low")))))))))))</f>
        <v/>
      </c>
      <c r="B2156" s="13" t="n">
        <v>0</v>
      </c>
      <c r="C2156" s="12" t="inlineStr">
        <is>
          <t>Unspecified</t>
        </is>
      </c>
      <c r="D2156" s="8" t="inlineStr">
        <is>
          <t>JavaScript Developer | $55/hr Remote</t>
        </is>
      </c>
      <c r="E2156" s="7" t="inlineStr">
        <is>
          <t>Crossing Hurdles</t>
        </is>
      </c>
      <c r="F2156" s="8" t="inlineStr"/>
      <c r="G2156" s="8" t="n"/>
      <c r="H2156" s="14" t="n"/>
      <c r="I2156" s="15">
        <f>IF($H2156="","",$H2156-TODAY())</f>
        <v/>
      </c>
      <c r="J2156" s="16" t="inlineStr">
        <is>
          <t>Open posting</t>
        </is>
      </c>
      <c r="K2156" s="8" t="inlineStr">
        <is>
          <t>filtered by keyword pre-scan</t>
        </is>
      </c>
      <c r="L2156" s="17" t="inlineStr">
        <is>
          <t>new</t>
        </is>
      </c>
      <c r="M2156" s="18" t="inlineStr"/>
      <c r="N2156" s="7" t="inlineStr">
        <is>
          <t>ca5d952506d93ed1a928c12380f58fb90448bb57</t>
        </is>
      </c>
      <c r="O2156" s="14" t="n">
        <v>46178</v>
      </c>
      <c r="P2156" s="7" t="inlineStr">
        <is>
          <t>jobspy</t>
        </is>
      </c>
      <c r="Q2156" s="8" t="inlineStr">
        <is>
          <t>javascript</t>
        </is>
      </c>
      <c r="R2156" s="8" t="inlineStr">
        <is>
          <t>Full Stack Developer</t>
        </is>
      </c>
      <c r="S2156" s="19" t="n"/>
      <c r="T2156" s="19" t="n"/>
      <c r="U2156" s="14" t="n">
        <v>46191</v>
      </c>
      <c r="V2156" s="7" t="inlineStr">
        <is>
          <t>v2-cv-accuracy-13b988b18da8ea7d</t>
        </is>
      </c>
    </row>
    <row r="2157" ht="28" customHeight="1">
      <c r="A2157" s="12">
        <f>IF($L2157="applied","Applied",IF($L2157="interview","Interview",IF($L2157="offer","Offer",IF($L2157="rejected","Rejected",IF($L2157="ignore","Ignore",IF($L2157="archive","Archive",IF($L2157="closed","Closed",IF($B2157="","Unscored",IF(AND($B2157&gt;=8,OR($H2157="",$H2157-TODAY()&lt;=14)),"P1 Apply",IF($B2157&gt;=7,"P2 Strong",IF($B2157&gt;=5,"P3 Maybe","P4 Low")))))))))))</f>
        <v/>
      </c>
      <c r="B2157" s="13" t="n">
        <v>0</v>
      </c>
      <c r="C2157" s="12" t="inlineStr">
        <is>
          <t>Unspecified</t>
        </is>
      </c>
      <c r="D2157" s="8" t="inlineStr">
        <is>
          <t>VodafoneThree - Full Stack Developer</t>
        </is>
      </c>
      <c r="E2157" s="7" t="inlineStr">
        <is>
          <t>VodafoneThree</t>
        </is>
      </c>
      <c r="F2157" s="8" t="inlineStr">
        <is>
          <t>Newbury, England, UK</t>
        </is>
      </c>
      <c r="G2157" s="8" t="n"/>
      <c r="H2157" s="14" t="n"/>
      <c r="I2157" s="15">
        <f>IF($H2157="","",$H2157-TODAY())</f>
        <v/>
      </c>
      <c r="J2157" s="16" t="inlineStr">
        <is>
          <t>Open posting</t>
        </is>
      </c>
      <c r="K2157" s="8" t="inlineStr">
        <is>
          <t>filtered by keyword pre-scan</t>
        </is>
      </c>
      <c r="L2157" s="17" t="inlineStr">
        <is>
          <t>new</t>
        </is>
      </c>
      <c r="M2157" s="18" t="inlineStr"/>
      <c r="N2157" s="7" t="inlineStr">
        <is>
          <t>ec5f1f46651fe3b445f9a6c2775180d029d8f134</t>
        </is>
      </c>
      <c r="O2157" s="14" t="n">
        <v>46189</v>
      </c>
      <c r="P2157" s="7" t="inlineStr">
        <is>
          <t>jobspy</t>
        </is>
      </c>
      <c r="Q2157" s="8" t="inlineStr">
        <is>
          <t>python, sql, git</t>
        </is>
      </c>
      <c r="R2157" s="8" t="inlineStr">
        <is>
          <t>graduate Full Stack Developer</t>
        </is>
      </c>
      <c r="S2157" s="19" t="n"/>
      <c r="T2157" s="19" t="n"/>
      <c r="U2157" s="14" t="n">
        <v>46191</v>
      </c>
      <c r="V2157" s="7" t="inlineStr">
        <is>
          <t>v2-cv-accuracy-13b988b18da8ea7d</t>
        </is>
      </c>
    </row>
    <row r="2158" ht="28" customHeight="1">
      <c r="A2158" s="12">
        <f>IF($L2158="applied","Applied",IF($L2158="interview","Interview",IF($L2158="offer","Offer",IF($L2158="rejected","Rejected",IF($L2158="ignore","Ignore",IF($L2158="archive","Archive",IF($L2158="closed","Closed",IF($B2158="","Unscored",IF(AND($B2158&gt;=8,OR($H2158="",$H2158-TODAY()&lt;=14)),"P1 Apply",IF($B2158&gt;=7,"P2 Strong",IF($B2158&gt;=5,"P3 Maybe","P4 Low")))))))))))</f>
        <v/>
      </c>
      <c r="B2158" s="13" t="n">
        <v>0</v>
      </c>
      <c r="C2158" s="12" t="inlineStr">
        <is>
          <t>Junior</t>
        </is>
      </c>
      <c r="D2158" s="8" t="inlineStr">
        <is>
          <t>Junior Full Stack Engineer (React + Java) - Glasgow - Fulltime Hybrid - C1</t>
        </is>
      </c>
      <c r="E2158" s="7" t="inlineStr">
        <is>
          <t>Capgemini</t>
        </is>
      </c>
      <c r="F2158" s="8" t="inlineStr">
        <is>
          <t>Glasgow, Scotland, UK</t>
        </is>
      </c>
      <c r="G2158" s="8" t="n"/>
      <c r="H2158" s="14" t="n"/>
      <c r="I2158" s="15">
        <f>IF($H2158="","",$H2158-TODAY())</f>
        <v/>
      </c>
      <c r="J2158" s="16" t="inlineStr">
        <is>
          <t>Open posting</t>
        </is>
      </c>
      <c r="K2158" s="8" t="inlineStr">
        <is>
          <t>filtered by keyword pre-scan</t>
        </is>
      </c>
      <c r="L2158" s="17" t="inlineStr">
        <is>
          <t>new</t>
        </is>
      </c>
      <c r="M2158" s="18" t="inlineStr"/>
      <c r="N2158" s="7" t="inlineStr">
        <is>
          <t>6e40f5a7027ae7c74bda9972b69fd0ffb2a95795</t>
        </is>
      </c>
      <c r="O2158" s="14" t="n">
        <v>46189</v>
      </c>
      <c r="P2158" s="7" t="inlineStr">
        <is>
          <t>jobspy</t>
        </is>
      </c>
      <c r="Q2158" s="8" t="inlineStr">
        <is>
          <t>javascript, git</t>
        </is>
      </c>
      <c r="R2158" s="8" t="inlineStr">
        <is>
          <t>entry level Full Stack Developer</t>
        </is>
      </c>
      <c r="S2158" s="19" t="n"/>
      <c r="T2158" s="19" t="n"/>
      <c r="U2158" s="14" t="n">
        <v>46191</v>
      </c>
      <c r="V2158" s="7" t="inlineStr">
        <is>
          <t>v2-cv-accuracy-13b988b18da8ea7d</t>
        </is>
      </c>
    </row>
    <row r="2159" ht="28" customHeight="1">
      <c r="A2159" s="12">
        <f>IF($L2159="applied","Applied",IF($L2159="interview","Interview",IF($L2159="offer","Offer",IF($L2159="rejected","Rejected",IF($L2159="ignore","Ignore",IF($L2159="archive","Archive",IF($L2159="closed","Closed",IF($B2159="","Unscored",IF(AND($B2159&gt;=8,OR($H2159="",$H2159-TODAY()&lt;=14)),"P1 Apply",IF($B2159&gt;=7,"P2 Strong",IF($B2159&gt;=5,"P3 Maybe","P4 Low")))))))))))</f>
        <v/>
      </c>
      <c r="B2159" s="13" t="n">
        <v>0</v>
      </c>
      <c r="C2159" s="12" t="inlineStr">
        <is>
          <t>Graduate/Entry</t>
        </is>
      </c>
      <c r="D2159" s="8" t="inlineStr">
        <is>
          <t>2026 Graduate Software Engineer - Triton</t>
        </is>
      </c>
      <c r="E2159" s="7" t="inlineStr">
        <is>
          <t>Graphcore</t>
        </is>
      </c>
      <c r="F2159" s="8" t="inlineStr">
        <is>
          <t>Bristol, England, UK</t>
        </is>
      </c>
      <c r="G2159" s="8" t="n"/>
      <c r="H2159" s="14" t="n"/>
      <c r="I2159" s="15">
        <f>IF($H2159="","",$H2159-TODAY())</f>
        <v/>
      </c>
      <c r="J2159" s="16" t="inlineStr">
        <is>
          <t>Open posting</t>
        </is>
      </c>
      <c r="K2159" s="8" t="inlineStr">
        <is>
          <t>filtered by keyword pre-scan</t>
        </is>
      </c>
      <c r="L2159" s="17" t="inlineStr">
        <is>
          <t>new</t>
        </is>
      </c>
      <c r="M2159" s="18" t="inlineStr"/>
      <c r="N2159" s="7" t="inlineStr">
        <is>
          <t>93f7df269cfae5aa84e293d72218d11eb64cbb87</t>
        </is>
      </c>
      <c r="O2159" s="14" t="n">
        <v>46178</v>
      </c>
      <c r="P2159" s="7" t="inlineStr">
        <is>
          <t>jobspy</t>
        </is>
      </c>
      <c r="Q2159" s="8" t="inlineStr">
        <is>
          <t>python</t>
        </is>
      </c>
      <c r="R2159" s="8" t="inlineStr">
        <is>
          <t>Graduate Software Developer Sheffield</t>
        </is>
      </c>
      <c r="S2159" s="19" t="n"/>
      <c r="T2159" s="19" t="n"/>
      <c r="U2159" s="14" t="n">
        <v>46191</v>
      </c>
      <c r="V2159" s="7" t="inlineStr">
        <is>
          <t>v2-cv-accuracy-13b988b18da8ea7d</t>
        </is>
      </c>
    </row>
    <row r="2160" ht="28" customHeight="1">
      <c r="A2160" s="12">
        <f>IF($L2160="applied","Applied",IF($L2160="interview","Interview",IF($L2160="offer","Offer",IF($L2160="rejected","Rejected",IF($L2160="ignore","Ignore",IF($L2160="archive","Archive",IF($L2160="closed","Closed",IF($B2160="","Unscored",IF(AND($B2160&gt;=8,OR($H2160="",$H2160-TODAY()&lt;=14)),"P1 Apply",IF($B2160&gt;=7,"P2 Strong",IF($B2160&gt;=5,"P3 Maybe","P4 Low")))))))))))</f>
        <v/>
      </c>
      <c r="B2160" s="13" t="n">
        <v>0</v>
      </c>
      <c r="C2160" s="12" t="inlineStr">
        <is>
          <t>Mid-level</t>
        </is>
      </c>
      <c r="D2160" s="8" t="inlineStr">
        <is>
          <t>Salesforce Implementation Specialist</t>
        </is>
      </c>
      <c r="E2160" s="7" t="inlineStr">
        <is>
          <t>UniHomes</t>
        </is>
      </c>
      <c r="F2160" s="8" t="inlineStr">
        <is>
          <t>South Yorkshire, England, UK</t>
        </is>
      </c>
      <c r="G2160" s="8" t="n"/>
      <c r="H2160" s="14" t="n"/>
      <c r="I2160" s="15">
        <f>IF($H2160="","",$H2160-TODAY())</f>
        <v/>
      </c>
      <c r="J2160" s="16" t="inlineStr">
        <is>
          <t>Open posting</t>
        </is>
      </c>
      <c r="K2160" s="8" t="inlineStr">
        <is>
          <t>filtered by keyword pre-scan</t>
        </is>
      </c>
      <c r="L2160" s="17" t="inlineStr">
        <is>
          <t>new</t>
        </is>
      </c>
      <c r="M2160" s="18" t="inlineStr"/>
      <c r="N2160" s="7" t="inlineStr">
        <is>
          <t>574866f2bc1d0d6771fb134d312268131817467d</t>
        </is>
      </c>
      <c r="O2160" s="14" t="n">
        <v>46176</v>
      </c>
      <c r="P2160" s="7" t="inlineStr">
        <is>
          <t>jobspy</t>
        </is>
      </c>
      <c r="Q2160" s="8" t="inlineStr"/>
      <c r="R2160" s="8" t="inlineStr">
        <is>
          <t>Graduate Software Developer Sheffield</t>
        </is>
      </c>
      <c r="S2160" s="19" t="n"/>
      <c r="T2160" s="19" t="n"/>
      <c r="U2160" s="14" t="n">
        <v>46191</v>
      </c>
      <c r="V2160" s="7" t="inlineStr">
        <is>
          <t>v2-cv-accuracy-13b988b18da8ea7d</t>
        </is>
      </c>
    </row>
    <row r="2161" ht="28" customHeight="1">
      <c r="A2161" s="12">
        <f>IF($L2161="applied","Applied",IF($L2161="interview","Interview",IF($L2161="offer","Offer",IF($L2161="rejected","Rejected",IF($L2161="ignore","Ignore",IF($L2161="archive","Archive",IF($L2161="closed","Closed",IF($B2161="","Unscored",IF(AND($B2161&gt;=8,OR($H2161="",$H2161-TODAY()&lt;=14)),"P1 Apply",IF($B2161&gt;=7,"P2 Strong",IF($B2161&gt;=5,"P3 Maybe","P4 Low")))))))))))</f>
        <v/>
      </c>
      <c r="B2161" s="13" t="n">
        <v>0</v>
      </c>
      <c r="C2161" s="12" t="inlineStr">
        <is>
          <t>Unspecified</t>
        </is>
      </c>
      <c r="D2161" s="8" t="inlineStr">
        <is>
          <t>IAM-Automation Test engineer</t>
        </is>
      </c>
      <c r="E2161" s="7" t="inlineStr">
        <is>
          <t>Test Yantra</t>
        </is>
      </c>
      <c r="F2161" s="8" t="inlineStr">
        <is>
          <t>Sheffield, England, UK</t>
        </is>
      </c>
      <c r="G2161" s="8" t="n"/>
      <c r="H2161" s="14" t="n"/>
      <c r="I2161" s="15">
        <f>IF($H2161="","",$H2161-TODAY())</f>
        <v/>
      </c>
      <c r="J2161" s="16" t="inlineStr">
        <is>
          <t>Open posting</t>
        </is>
      </c>
      <c r="K2161" s="8" t="inlineStr">
        <is>
          <t>filtered by keyword pre-scan</t>
        </is>
      </c>
      <c r="L2161" s="17" t="inlineStr">
        <is>
          <t>new</t>
        </is>
      </c>
      <c r="M2161" s="18" t="inlineStr"/>
      <c r="N2161" s="7" t="inlineStr">
        <is>
          <t>4b6c00f9a31cd516e5c69da74336173acb56c38f</t>
        </is>
      </c>
      <c r="O2161" s="14" t="n"/>
      <c r="P2161" s="7" t="inlineStr">
        <is>
          <t>jobspy</t>
        </is>
      </c>
      <c r="Q2161" s="8" t="inlineStr">
        <is>
          <t>python, sql</t>
        </is>
      </c>
      <c r="R2161" s="8" t="inlineStr">
        <is>
          <t>Graduate Software Developer Sheffield</t>
        </is>
      </c>
      <c r="S2161" s="19" t="n"/>
      <c r="T2161" s="19" t="n"/>
      <c r="U2161" s="14" t="n">
        <v>46191</v>
      </c>
      <c r="V2161" s="7" t="inlineStr">
        <is>
          <t>v2-cv-accuracy-13b988b18da8ea7d</t>
        </is>
      </c>
    </row>
    <row r="2162" ht="28" customHeight="1">
      <c r="A2162" s="12">
        <f>IF($L2162="applied","Applied",IF($L2162="interview","Interview",IF($L2162="offer","Offer",IF($L2162="rejected","Rejected",IF($L2162="ignore","Ignore",IF($L2162="archive","Archive",IF($L2162="closed","Closed",IF($B2162="","Unscored",IF(AND($B2162&gt;=8,OR($H2162="",$H2162-TODAY()&lt;=14)),"P1 Apply",IF($B2162&gt;=7,"P2 Strong",IF($B2162&gt;=5,"P3 Maybe","P4 Low")))))))))))</f>
        <v/>
      </c>
      <c r="B2162" s="13" t="n">
        <v>0</v>
      </c>
      <c r="C2162" s="12" t="inlineStr">
        <is>
          <t>Senior/Lead</t>
        </is>
      </c>
      <c r="D2162" s="8" t="inlineStr">
        <is>
          <t>Principal Content Model Lead</t>
        </is>
      </c>
      <c r="E2162" s="7" t="inlineStr">
        <is>
          <t>Autodesk</t>
        </is>
      </c>
      <c r="F2162" s="8" t="inlineStr">
        <is>
          <t>Sheffield, England, UK</t>
        </is>
      </c>
      <c r="G2162" s="8" t="n"/>
      <c r="H2162" s="14" t="n"/>
      <c r="I2162" s="15">
        <f>IF($H2162="","",$H2162-TODAY())</f>
        <v/>
      </c>
      <c r="J2162" s="16" t="inlineStr">
        <is>
          <t>Open posting</t>
        </is>
      </c>
      <c r="K2162" s="8" t="inlineStr">
        <is>
          <t>filtered by keyword pre-scan</t>
        </is>
      </c>
      <c r="L2162" s="17" t="inlineStr">
        <is>
          <t>new</t>
        </is>
      </c>
      <c r="M2162" s="18" t="inlineStr"/>
      <c r="N2162" s="7" t="inlineStr">
        <is>
          <t>3392ac649e95a15c718bc920cd4bd4aae3669118</t>
        </is>
      </c>
      <c r="O2162" s="14" t="n"/>
      <c r="P2162" s="7" t="inlineStr">
        <is>
          <t>jobspy</t>
        </is>
      </c>
      <c r="Q2162" s="8" t="inlineStr">
        <is>
          <t>python</t>
        </is>
      </c>
      <c r="R2162" s="8" t="inlineStr">
        <is>
          <t>Graduate Software Developer Sheffield</t>
        </is>
      </c>
      <c r="S2162" s="19" t="n"/>
      <c r="T2162" s="19" t="n"/>
      <c r="U2162" s="14" t="n">
        <v>46191</v>
      </c>
      <c r="V2162" s="7" t="inlineStr">
        <is>
          <t>v2-cv-accuracy-13b988b18da8ea7d</t>
        </is>
      </c>
    </row>
    <row r="2163" ht="28" customHeight="1">
      <c r="A2163" s="12">
        <f>IF($L2163="applied","Applied",IF($L2163="interview","Interview",IF($L2163="offer","Offer",IF($L2163="rejected","Rejected",IF($L2163="ignore","Ignore",IF($L2163="archive","Archive",IF($L2163="closed","Closed",IF($B2163="","Unscored",IF(AND($B2163&gt;=8,OR($H2163="",$H2163-TODAY()&lt;=14)),"P1 Apply",IF($B2163&gt;=7,"P2 Strong",IF($B2163&gt;=5,"P3 Maybe","P4 Low")))))))))))</f>
        <v/>
      </c>
      <c r="B2163" s="13" t="n">
        <v>0</v>
      </c>
      <c r="C2163" s="12" t="inlineStr">
        <is>
          <t>Junior</t>
        </is>
      </c>
      <c r="D2163" s="8" t="inlineStr">
        <is>
          <t>Junior Back End Engineer</t>
        </is>
      </c>
      <c r="E2163" s="7" t="inlineStr">
        <is>
          <t>Motorola Solutions</t>
        </is>
      </c>
      <c r="F2163" s="8" t="inlineStr">
        <is>
          <t>Edinburgh, Scotland, UK</t>
        </is>
      </c>
      <c r="G2163" s="8" t="n"/>
      <c r="H2163" s="14" t="n"/>
      <c r="I2163" s="15">
        <f>IF($H2163="","",$H2163-TODAY())</f>
        <v/>
      </c>
      <c r="J2163" s="16" t="inlineStr">
        <is>
          <t>Open posting</t>
        </is>
      </c>
      <c r="K2163" s="8" t="inlineStr">
        <is>
          <t>filtered by keyword pre-scan</t>
        </is>
      </c>
      <c r="L2163" s="17" t="inlineStr">
        <is>
          <t>new</t>
        </is>
      </c>
      <c r="M2163" s="18" t="inlineStr"/>
      <c r="N2163" s="7" t="inlineStr">
        <is>
          <t>a629cac7d5a7237c1dab1c916d67f2a17d3d90c5</t>
        </is>
      </c>
      <c r="O2163" s="14" t="n">
        <v>46176</v>
      </c>
      <c r="P2163" s="7" t="inlineStr">
        <is>
          <t>jobspy</t>
        </is>
      </c>
      <c r="Q2163" s="8" t="inlineStr">
        <is>
          <t>python, javascript, rest apis, git</t>
        </is>
      </c>
      <c r="R2163" s="8" t="inlineStr">
        <is>
          <t>graduate Graduate Software Developer</t>
        </is>
      </c>
      <c r="S2163" s="19" t="n"/>
      <c r="T2163" s="19" t="n"/>
      <c r="U2163" s="14" t="n">
        <v>46191</v>
      </c>
      <c r="V2163" s="7" t="inlineStr">
        <is>
          <t>v2-cv-accuracy-13b988b18da8ea7d</t>
        </is>
      </c>
    </row>
    <row r="2164" ht="28" customHeight="1">
      <c r="A2164" s="12">
        <f>IF($L2164="applied","Applied",IF($L2164="interview","Interview",IF($L2164="offer","Offer",IF($L2164="rejected","Rejected",IF($L2164="ignore","Ignore",IF($L2164="archive","Archive",IF($L2164="closed","Closed",IF($B2164="","Unscored",IF(AND($B2164&gt;=8,OR($H2164="",$H2164-TODAY()&lt;=14)),"P1 Apply",IF($B2164&gt;=7,"P2 Strong",IF($B2164&gt;=5,"P3 Maybe","P4 Low")))))))))))</f>
        <v/>
      </c>
      <c r="B2164" s="13" t="n">
        <v>0</v>
      </c>
      <c r="C2164" s="12" t="inlineStr">
        <is>
          <t>Junior</t>
        </is>
      </c>
      <c r="D2164" s="8" t="inlineStr">
        <is>
          <t>Junior Device Software Developer</t>
        </is>
      </c>
      <c r="E2164" s="7" t="inlineStr">
        <is>
          <t>One Big Circle Ltd</t>
        </is>
      </c>
      <c r="F2164" s="8" t="inlineStr">
        <is>
          <t>City Of Bristol, England, UK</t>
        </is>
      </c>
      <c r="G2164" s="8" t="n"/>
      <c r="H2164" s="14" t="n"/>
      <c r="I2164" s="15">
        <f>IF($H2164="","",$H2164-TODAY())</f>
        <v/>
      </c>
      <c r="J2164" s="16" t="inlineStr">
        <is>
          <t>Open posting</t>
        </is>
      </c>
      <c r="K2164" s="8" t="inlineStr">
        <is>
          <t>filtered by keyword pre-scan</t>
        </is>
      </c>
      <c r="L2164" s="17" t="inlineStr">
        <is>
          <t>new</t>
        </is>
      </c>
      <c r="M2164" s="18" t="inlineStr"/>
      <c r="N2164" s="7" t="inlineStr">
        <is>
          <t>d1e5bebe88651c72ff0daf52a3bb53c56a47f366</t>
        </is>
      </c>
      <c r="O2164" s="14" t="n">
        <v>46181</v>
      </c>
      <c r="P2164" s="7" t="inlineStr">
        <is>
          <t>jobspy</t>
        </is>
      </c>
      <c r="Q2164" s="8" t="inlineStr">
        <is>
          <t>python, software development</t>
        </is>
      </c>
      <c r="R2164" s="8" t="inlineStr">
        <is>
          <t>junior/graduate Graduate Software Developer</t>
        </is>
      </c>
      <c r="S2164" s="19" t="n"/>
      <c r="T2164" s="19" t="n"/>
      <c r="U2164" s="14" t="n">
        <v>46191</v>
      </c>
      <c r="V2164" s="7" t="inlineStr">
        <is>
          <t>v2-cv-accuracy-13b988b18da8ea7d</t>
        </is>
      </c>
    </row>
    <row r="2165" ht="28" customHeight="1">
      <c r="A2165" s="12">
        <f>IF($L2165="applied","Applied",IF($L2165="interview","Interview",IF($L2165="offer","Offer",IF($L2165="rejected","Rejected",IF($L2165="ignore","Ignore",IF($L2165="archive","Archive",IF($L2165="closed","Closed",IF($B2165="","Unscored",IF(AND($B2165&gt;=8,OR($H2165="",$H2165-TODAY()&lt;=14)),"P1 Apply",IF($B2165&gt;=7,"P2 Strong",IF($B2165&gt;=5,"P3 Maybe","P4 Low")))))))))))</f>
        <v/>
      </c>
      <c r="B2165" s="13" t="n">
        <v>0</v>
      </c>
      <c r="C2165" s="12" t="inlineStr">
        <is>
          <t>Apprentice/Trainee</t>
        </is>
      </c>
      <c r="D2165" s="8" t="inlineStr">
        <is>
          <t>Apprentice Software Developer</t>
        </is>
      </c>
      <c r="E2165" s="7" t="inlineStr">
        <is>
          <t>NEC Software Solutions</t>
        </is>
      </c>
      <c r="F2165" s="8" t="inlineStr">
        <is>
          <t>Bracknell, England, UK</t>
        </is>
      </c>
      <c r="G2165" s="8" t="n"/>
      <c r="H2165" s="14" t="n"/>
      <c r="I2165" s="15">
        <f>IF($H2165="","",$H2165-TODAY())</f>
        <v/>
      </c>
      <c r="J2165" s="16" t="inlineStr">
        <is>
          <t>Open posting</t>
        </is>
      </c>
      <c r="K2165" s="8" t="inlineStr">
        <is>
          <t>filtered by keyword pre-scan</t>
        </is>
      </c>
      <c r="L2165" s="17" t="inlineStr">
        <is>
          <t>new</t>
        </is>
      </c>
      <c r="M2165" s="18" t="inlineStr"/>
      <c r="N2165" s="7" t="inlineStr">
        <is>
          <t>33252c7e8e70e8c97cc360545aadf95003d0144b</t>
        </is>
      </c>
      <c r="O2165" s="14" t="n">
        <v>46185</v>
      </c>
      <c r="P2165" s="7" t="inlineStr">
        <is>
          <t>jobspy</t>
        </is>
      </c>
      <c r="Q2165" s="8" t="inlineStr">
        <is>
          <t>git, software development</t>
        </is>
      </c>
      <c r="R2165" s="8" t="inlineStr">
        <is>
          <t>Graduate Software Developer remote</t>
        </is>
      </c>
      <c r="S2165" s="19" t="n"/>
      <c r="T2165" s="19" t="n"/>
      <c r="U2165" s="14" t="n">
        <v>46191</v>
      </c>
      <c r="V2165" s="7" t="inlineStr">
        <is>
          <t>v2-cv-accuracy-13b988b18da8ea7d</t>
        </is>
      </c>
    </row>
    <row r="2166" ht="28" customHeight="1">
      <c r="A2166" s="12">
        <f>IF($L2166="applied","Applied",IF($L2166="interview","Interview",IF($L2166="offer","Offer",IF($L2166="rejected","Rejected",IF($L2166="ignore","Ignore",IF($L2166="archive","Archive",IF($L2166="closed","Closed",IF($B2166="","Unscored",IF(AND($B2166&gt;=8,OR($H2166="",$H2166-TODAY()&lt;=14)),"P1 Apply",IF($B2166&gt;=7,"P2 Strong",IF($B2166&gt;=5,"P3 Maybe","P4 Low")))))))))))</f>
        <v/>
      </c>
      <c r="B2166" s="13" t="n">
        <v>0</v>
      </c>
      <c r="C2166" s="12" t="inlineStr">
        <is>
          <t>Junior</t>
        </is>
      </c>
      <c r="D2166" s="8" t="inlineStr">
        <is>
          <t>Associate Backend Software Engineer (Python)</t>
        </is>
      </c>
      <c r="E2166" s="7" t="inlineStr">
        <is>
          <t>Anaplan</t>
        </is>
      </c>
      <c r="F2166" s="8" t="inlineStr">
        <is>
          <t>Manchester, England, UK</t>
        </is>
      </c>
      <c r="G2166" s="8" t="n"/>
      <c r="H2166" s="14" t="n"/>
      <c r="I2166" s="15">
        <f>IF($H2166="","",$H2166-TODAY())</f>
        <v/>
      </c>
      <c r="J2166" s="16" t="inlineStr">
        <is>
          <t>Open posting</t>
        </is>
      </c>
      <c r="K2166" s="8" t="inlineStr">
        <is>
          <t>filtered by keyword pre-scan</t>
        </is>
      </c>
      <c r="L2166" s="17" t="inlineStr">
        <is>
          <t>new</t>
        </is>
      </c>
      <c r="M2166" s="18" t="inlineStr"/>
      <c r="N2166" s="7" t="inlineStr">
        <is>
          <t>0cc5f515dc3f85c660a0a9c6d51a22003eb1b4ef</t>
        </is>
      </c>
      <c r="O2166" s="14" t="n">
        <v>46185</v>
      </c>
      <c r="P2166" s="7" t="inlineStr">
        <is>
          <t>jobspy</t>
        </is>
      </c>
      <c r="Q2166" s="8" t="inlineStr">
        <is>
          <t>python, sql, git</t>
        </is>
      </c>
      <c r="R2166" s="8" t="inlineStr">
        <is>
          <t>Junior Python Developer Sheffield</t>
        </is>
      </c>
      <c r="S2166" s="19" t="n"/>
      <c r="T2166" s="19" t="n"/>
      <c r="U2166" s="14" t="n">
        <v>46191</v>
      </c>
      <c r="V2166" s="7" t="inlineStr">
        <is>
          <t>v2-cv-accuracy-13b988b18da8ea7d</t>
        </is>
      </c>
    </row>
    <row r="2167" ht="28" customHeight="1">
      <c r="A2167" s="12">
        <f>IF($L2167="applied","Applied",IF($L2167="interview","Interview",IF($L2167="offer","Offer",IF($L2167="rejected","Rejected",IF($L2167="ignore","Ignore",IF($L2167="archive","Archive",IF($L2167="closed","Closed",IF($B2167="","Unscored",IF(AND($B2167&gt;=8,OR($H2167="",$H2167-TODAY()&lt;=14)),"P1 Apply",IF($B2167&gt;=7,"P2 Strong",IF($B2167&gt;=5,"P3 Maybe","P4 Low")))))))))))</f>
        <v/>
      </c>
      <c r="B2167" s="13" t="n">
        <v>0</v>
      </c>
      <c r="C2167" s="12" t="inlineStr">
        <is>
          <t>Unspecified</t>
        </is>
      </c>
      <c r="D2167" s="8" t="inlineStr">
        <is>
          <t>Full-Stack Engineer (Back-End Leaning)</t>
        </is>
      </c>
      <c r="E2167" s="7" t="inlineStr">
        <is>
          <t>ElevenLabs</t>
        </is>
      </c>
      <c r="F2167" s="8" t="inlineStr"/>
      <c r="G2167" s="8" t="n"/>
      <c r="H2167" s="14" t="n"/>
      <c r="I2167" s="15">
        <f>IF($H2167="","",$H2167-TODAY())</f>
        <v/>
      </c>
      <c r="J2167" s="16" t="inlineStr">
        <is>
          <t>Open posting</t>
        </is>
      </c>
      <c r="K2167" s="8" t="inlineStr">
        <is>
          <t>filtered by keyword pre-scan</t>
        </is>
      </c>
      <c r="L2167" s="17" t="inlineStr">
        <is>
          <t>new</t>
        </is>
      </c>
      <c r="M2167" s="18" t="inlineStr"/>
      <c r="N2167" s="7" t="inlineStr">
        <is>
          <t>366e511205b04a9d73bb1391c7ba641b9e03a696</t>
        </is>
      </c>
      <c r="O2167" s="14" t="n">
        <v>46184</v>
      </c>
      <c r="P2167" s="7" t="inlineStr">
        <is>
          <t>jobspy</t>
        </is>
      </c>
      <c r="Q2167" s="8" t="inlineStr">
        <is>
          <t>python, git</t>
        </is>
      </c>
      <c r="R2167" s="8" t="inlineStr">
        <is>
          <t>Junior Python Developer remote</t>
        </is>
      </c>
      <c r="S2167" s="19" t="n"/>
      <c r="T2167" s="19" t="n"/>
      <c r="U2167" s="14" t="n">
        <v>46191</v>
      </c>
      <c r="V2167" s="7" t="inlineStr">
        <is>
          <t>v2-cv-accuracy-13b988b18da8ea7d</t>
        </is>
      </c>
    </row>
    <row r="2168" ht="28" customHeight="1">
      <c r="A2168" s="12">
        <f>IF($L2168="applied","Applied",IF($L2168="interview","Interview",IF($L2168="offer","Offer",IF($L2168="rejected","Rejected",IF($L2168="ignore","Ignore",IF($L2168="archive","Archive",IF($L2168="closed","Closed",IF($B2168="","Unscored",IF(AND($B2168&gt;=8,OR($H2168="",$H2168-TODAY()&lt;=14)),"P1 Apply",IF($B2168&gt;=7,"P2 Strong",IF($B2168&gt;=5,"P3 Maybe","P4 Low")))))))))))</f>
        <v/>
      </c>
      <c r="B2168" s="13" t="n">
        <v>0</v>
      </c>
      <c r="C2168" s="12" t="inlineStr">
        <is>
          <t>Junior</t>
        </is>
      </c>
      <c r="D2168" s="8" t="inlineStr">
        <is>
          <t>Junior Software Engineer</t>
        </is>
      </c>
      <c r="E2168" s="7" t="inlineStr">
        <is>
          <t>Spectrum IT Recruitment</t>
        </is>
      </c>
      <c r="F2168" s="8" t="inlineStr">
        <is>
          <t>London Area, United Kingdom</t>
        </is>
      </c>
      <c r="G2168" s="8" t="n"/>
      <c r="H2168" s="14" t="n"/>
      <c r="I2168" s="15">
        <f>IF($H2168="","",$H2168-TODAY())</f>
        <v/>
      </c>
      <c r="J2168" s="16" t="inlineStr">
        <is>
          <t>Open posting</t>
        </is>
      </c>
      <c r="K2168" s="8" t="inlineStr">
        <is>
          <t>filtered by keyword pre-scan</t>
        </is>
      </c>
      <c r="L2168" s="17" t="inlineStr">
        <is>
          <t>new</t>
        </is>
      </c>
      <c r="M2168" s="18" t="inlineStr"/>
      <c r="N2168" s="7" t="inlineStr">
        <is>
          <t>791ddaa4114a9747e69518e189194cb0bfd9cf40</t>
        </is>
      </c>
      <c r="O2168" s="14" t="n">
        <v>46188</v>
      </c>
      <c r="P2168" s="7" t="inlineStr">
        <is>
          <t>jobspy</t>
        </is>
      </c>
      <c r="Q2168" s="8" t="inlineStr">
        <is>
          <t>sql, git, software development</t>
        </is>
      </c>
      <c r="R2168" s="8" t="inlineStr">
        <is>
          <t>junior Graduate Software Developer</t>
        </is>
      </c>
      <c r="S2168" s="19" t="n"/>
      <c r="T2168" s="19" t="n"/>
      <c r="U2168" s="14" t="n">
        <v>46191</v>
      </c>
      <c r="V2168" s="7" t="inlineStr">
        <is>
          <t>v2-cv-accuracy-13b988b18da8ea7d</t>
        </is>
      </c>
    </row>
    <row r="2169" ht="28" customHeight="1">
      <c r="A2169" s="12">
        <f>IF($L2169="applied","Applied",IF($L2169="interview","Interview",IF($L2169="offer","Offer",IF($L2169="rejected","Rejected",IF($L2169="ignore","Ignore",IF($L2169="archive","Archive",IF($L2169="closed","Closed",IF($B2169="","Unscored",IF(AND($B2169&gt;=8,OR($H2169="",$H2169-TODAY()&lt;=14)),"P1 Apply",IF($B2169&gt;=7,"P2 Strong",IF($B2169&gt;=5,"P3 Maybe","P4 Low")))))))))))</f>
        <v/>
      </c>
      <c r="B2169" s="13" t="n">
        <v>0</v>
      </c>
      <c r="C2169" s="12" t="inlineStr">
        <is>
          <t>Mid-level</t>
        </is>
      </c>
      <c r="D2169" s="8" t="inlineStr">
        <is>
          <t>Software Engineer</t>
        </is>
      </c>
      <c r="E2169" s="7" t="inlineStr">
        <is>
          <t>Accenture</t>
        </is>
      </c>
      <c r="F2169" s="8" t="inlineStr">
        <is>
          <t>Leeds, England, UK</t>
        </is>
      </c>
      <c r="G2169" s="8" t="n"/>
      <c r="H2169" s="14" t="n"/>
      <c r="I2169" s="15">
        <f>IF($H2169="","",$H2169-TODAY())</f>
        <v/>
      </c>
      <c r="J2169" s="16" t="inlineStr">
        <is>
          <t>Open posting</t>
        </is>
      </c>
      <c r="K2169" s="8" t="inlineStr">
        <is>
          <t>filtered by keyword pre-scan</t>
        </is>
      </c>
      <c r="L2169" s="17" t="inlineStr">
        <is>
          <t>new</t>
        </is>
      </c>
      <c r="M2169" s="18" t="inlineStr"/>
      <c r="N2169" s="7" t="inlineStr">
        <is>
          <t>307d47fb514c89ac4bf260934a5808d15b18be4c</t>
        </is>
      </c>
      <c r="O2169" s="14" t="n">
        <v>46176</v>
      </c>
      <c r="P2169" s="7" t="inlineStr">
        <is>
          <t>jobspy</t>
        </is>
      </c>
      <c r="Q2169" s="8" t="inlineStr">
        <is>
          <t>python, git</t>
        </is>
      </c>
      <c r="R2169" s="8" t="inlineStr">
        <is>
          <t>Graduate Software Developer Sheffield</t>
        </is>
      </c>
      <c r="S2169" s="19" t="n"/>
      <c r="T2169" s="19" t="n"/>
      <c r="U2169" s="14" t="n">
        <v>46191</v>
      </c>
      <c r="V2169" s="7" t="inlineStr">
        <is>
          <t>v2-cv-accuracy-13b988b18da8ea7d</t>
        </is>
      </c>
    </row>
    <row r="2170" ht="28" customHeight="1">
      <c r="A2170" s="12">
        <f>IF($L2170="applied","Applied",IF($L2170="interview","Interview",IF($L2170="offer","Offer",IF($L2170="rejected","Rejected",IF($L2170="ignore","Ignore",IF($L2170="archive","Archive",IF($L2170="closed","Closed",IF($B2170="","Unscored",IF(AND($B2170&gt;=8,OR($H2170="",$H2170-TODAY()&lt;=14)),"P1 Apply",IF($B2170&gt;=7,"P2 Strong",IF($B2170&gt;=5,"P3 Maybe","P4 Low")))))))))))</f>
        <v/>
      </c>
      <c r="B2170" s="13" t="n">
        <v>0</v>
      </c>
      <c r="C2170" s="12" t="inlineStr">
        <is>
          <t>Junior</t>
        </is>
      </c>
      <c r="D2170" s="8" t="inlineStr">
        <is>
          <t>Associate Software Engineer</t>
        </is>
      </c>
      <c r="E2170" s="7" t="inlineStr">
        <is>
          <t>Awaze</t>
        </is>
      </c>
      <c r="F2170" s="8" t="inlineStr">
        <is>
          <t>Manchester, England, UK</t>
        </is>
      </c>
      <c r="G2170" s="8" t="n"/>
      <c r="H2170" s="14" t="n"/>
      <c r="I2170" s="15">
        <f>IF($H2170="","",$H2170-TODAY())</f>
        <v/>
      </c>
      <c r="J2170" s="16" t="inlineStr">
        <is>
          <t>Open posting</t>
        </is>
      </c>
      <c r="K2170" s="8" t="inlineStr">
        <is>
          <t>filtered by keyword pre-scan</t>
        </is>
      </c>
      <c r="L2170" s="17" t="inlineStr">
        <is>
          <t>new</t>
        </is>
      </c>
      <c r="M2170" s="18" t="inlineStr"/>
      <c r="N2170" s="7" t="inlineStr">
        <is>
          <t>6e644117ca3c00e29171af1b88c184d9b046b065</t>
        </is>
      </c>
      <c r="O2170" s="14" t="n">
        <v>46172</v>
      </c>
      <c r="P2170" s="7" t="inlineStr">
        <is>
          <t>jobspy</t>
        </is>
      </c>
      <c r="Q2170" s="8" t="inlineStr">
        <is>
          <t>git</t>
        </is>
      </c>
      <c r="R2170" s="8" t="inlineStr">
        <is>
          <t>Graduate Software Developer Sheffield</t>
        </is>
      </c>
      <c r="S2170" s="19" t="n"/>
      <c r="T2170" s="19" t="n"/>
      <c r="U2170" s="14" t="n">
        <v>46191</v>
      </c>
      <c r="V2170" s="7" t="inlineStr">
        <is>
          <t>v2-cv-accuracy-13b988b18da8ea7d</t>
        </is>
      </c>
    </row>
    <row r="2171" ht="28" customHeight="1">
      <c r="A2171" s="12">
        <f>IF($L2171="applied","Applied",IF($L2171="interview","Interview",IF($L2171="offer","Offer",IF($L2171="rejected","Rejected",IF($L2171="ignore","Ignore",IF($L2171="archive","Archive",IF($L2171="closed","Closed",IF($B2171="","Unscored",IF(AND($B2171&gt;=8,OR($H2171="",$H2171-TODAY()&lt;=14)),"P1 Apply",IF($B2171&gt;=7,"P2 Strong",IF($B2171&gt;=5,"P3 Maybe","P4 Low")))))))))))</f>
        <v/>
      </c>
      <c r="B2171" s="13" t="n">
        <v>0</v>
      </c>
      <c r="C2171" s="12" t="inlineStr">
        <is>
          <t>Mid-level</t>
        </is>
      </c>
      <c r="D2171" s="8" t="inlineStr">
        <is>
          <t>Software Development Engineer – 2026</t>
        </is>
      </c>
      <c r="E2171" s="7" t="inlineStr">
        <is>
          <t>Amazon</t>
        </is>
      </c>
      <c r="F2171" s="8" t="inlineStr">
        <is>
          <t>Edinburgh, Scotland, UK</t>
        </is>
      </c>
      <c r="G2171" s="8" t="n"/>
      <c r="H2171" s="14" t="n"/>
      <c r="I2171" s="15">
        <f>IF($H2171="","",$H2171-TODAY())</f>
        <v/>
      </c>
      <c r="J2171" s="16" t="inlineStr">
        <is>
          <t>Open posting</t>
        </is>
      </c>
      <c r="K2171" s="8" t="inlineStr">
        <is>
          <t>filtered by keyword pre-scan</t>
        </is>
      </c>
      <c r="L2171" s="17" t="inlineStr">
        <is>
          <t>new</t>
        </is>
      </c>
      <c r="M2171" s="18" t="inlineStr"/>
      <c r="N2171" s="7" t="inlineStr">
        <is>
          <t>965f4f286988c6c81a828e152433d3d98d18ca3f</t>
        </is>
      </c>
      <c r="O2171" s="14" t="n">
        <v>46186</v>
      </c>
      <c r="P2171" s="7" t="inlineStr">
        <is>
          <t>jobspy</t>
        </is>
      </c>
      <c r="Q2171" s="8" t="inlineStr">
        <is>
          <t>python, sql, software development</t>
        </is>
      </c>
      <c r="R2171" s="8" t="inlineStr">
        <is>
          <t>junior Graduate Software Developer</t>
        </is>
      </c>
      <c r="S2171" s="19" t="n"/>
      <c r="T2171" s="19" t="n"/>
      <c r="U2171" s="14" t="n">
        <v>46191</v>
      </c>
      <c r="V2171" s="7" t="inlineStr">
        <is>
          <t>v2-cv-accuracy-13b988b18da8ea7d</t>
        </is>
      </c>
    </row>
    <row r="2172" ht="28" customHeight="1">
      <c r="A2172" s="12">
        <f>IF($L2172="applied","Applied",IF($L2172="interview","Interview",IF($L2172="offer","Offer",IF($L2172="rejected","Rejected",IF($L2172="ignore","Ignore",IF($L2172="archive","Archive",IF($L2172="closed","Closed",IF($B2172="","Unscored",IF(AND($B2172&gt;=8,OR($H2172="",$H2172-TODAY()&lt;=14)),"P1 Apply",IF($B2172&gt;=7,"P2 Strong",IF($B2172&gt;=5,"P3 Maybe","P4 Low")))))))))))</f>
        <v/>
      </c>
      <c r="B2172" s="13" t="n">
        <v>0</v>
      </c>
      <c r="C2172" s="12" t="inlineStr">
        <is>
          <t>Senior/Lead</t>
        </is>
      </c>
      <c r="D2172" s="8" t="inlineStr">
        <is>
          <t>Senior Engineer- Platform Engineering</t>
        </is>
      </c>
      <c r="E2172" s="7" t="inlineStr">
        <is>
          <t>Janus Henderson Investors</t>
        </is>
      </c>
      <c r="F2172" s="8" t="inlineStr">
        <is>
          <t>London, ENG, GB</t>
        </is>
      </c>
      <c r="G2172" s="8" t="n"/>
      <c r="H2172" s="14" t="n"/>
      <c r="I2172" s="15">
        <f>IF($H2172="","",$H2172-TODAY())</f>
        <v/>
      </c>
      <c r="J2172" s="16" t="inlineStr">
        <is>
          <t>Open posting</t>
        </is>
      </c>
      <c r="K2172" s="8" t="inlineStr">
        <is>
          <t>filtered by keyword pre-scan</t>
        </is>
      </c>
      <c r="L2172" s="17" t="inlineStr">
        <is>
          <t>new</t>
        </is>
      </c>
      <c r="M2172" s="18" t="inlineStr"/>
      <c r="N2172" s="7" t="inlineStr">
        <is>
          <t>5c4fd235af8ec899059abd4e0389ecc4c927f945</t>
        </is>
      </c>
      <c r="O2172" s="14" t="n">
        <v>46182</v>
      </c>
      <c r="P2172" s="7" t="inlineStr">
        <is>
          <t>jobspy</t>
        </is>
      </c>
      <c r="Q2172" s="8" t="inlineStr">
        <is>
          <t>git</t>
        </is>
      </c>
      <c r="R2172" s="8" t="inlineStr">
        <is>
          <t>junior Junior Python Developer</t>
        </is>
      </c>
      <c r="S2172" s="19" t="n"/>
      <c r="T2172" s="19" t="n"/>
      <c r="U2172" s="14" t="n">
        <v>46191</v>
      </c>
      <c r="V2172" s="7" t="inlineStr">
        <is>
          <t>v2-cv-accuracy-13b988b18da8ea7d</t>
        </is>
      </c>
    </row>
  </sheetData>
  <autoFilter ref="A1:V2172"/>
  <conditionalFormatting sqref="B2:B2172">
    <cfRule type="expression" priority="1" dxfId="0">
      <formula>B2&gt;=8</formula>
    </cfRule>
    <cfRule type="expression" priority="2" dxfId="1">
      <formula>AND(B2&gt;=5,B2&lt;8)</formula>
    </cfRule>
    <cfRule type="expression" priority="3" dxfId="2">
      <formula>AND(B2&lt;&gt;"",B2&lt;5)</formula>
    </cfRule>
  </conditionalFormatting>
  <conditionalFormatting sqref="L2:L2172">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2172">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2172">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2172">
    <cfRule type="expression" priority="32" dxfId="19">
      <formula>AND(I2&lt;&gt;"",I2&gt;=0,I2&lt;=7)</formula>
    </cfRule>
  </conditionalFormatting>
  <conditionalFormatting sqref="A2:V2172">
    <cfRule type="expression" priority="33" dxfId="20">
      <formula>$B2&gt;=9</formula>
    </cfRule>
    <cfRule type="expression" priority="34" dxfId="21">
      <formula>AND($B2&gt;=7,$B2&lt;9)</formula>
    </cfRule>
  </conditionalFormatting>
  <dataValidations count="1">
    <dataValidation sqref="L2:L2272"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s>
  <pageMargins left="0.75" right="0.75" top="1" bottom="1" header="0.5" footer="0.5"/>
  <legacyDrawing xmlns:r="http://schemas.openxmlformats.org/officeDocument/2006/relationships" r:id="anysvml"/>
  <tableParts count="1">
    <tablePart xmlns:r="http://schemas.openxmlformats.org/officeDocument/2006/relationships" r:id="rId2172"/>
  </tableParts>
</worksheet>
</file>

<file path=xl/worksheets/sheet3.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34</v>
      </c>
      <c r="B2" t="inlineStr">
        <is>
          <t>2026-06-25T20:58:06.988188</t>
        </is>
      </c>
      <c r="D2" t="n">
        <v>0</v>
      </c>
      <c r="E2" t="n">
        <v>5</v>
      </c>
      <c r="F2" t="n">
        <v>0</v>
      </c>
      <c r="G2" t="n">
        <v>976</v>
      </c>
      <c r="H2" t="n">
        <v>30</v>
      </c>
      <c r="I2" t="n">
        <v>0</v>
      </c>
      <c r="J2" t="inlineStr">
        <is>
          <t>[]</t>
        </is>
      </c>
    </row>
    <row r="3">
      <c r="A3" t="n">
        <v>33</v>
      </c>
      <c r="B3" t="inlineStr">
        <is>
          <t>2026-06-25T15:43:49.952644</t>
        </is>
      </c>
      <c r="D3" t="n">
        <v>0</v>
      </c>
      <c r="E3" t="n">
        <v>5</v>
      </c>
      <c r="F3" t="n">
        <v>0</v>
      </c>
      <c r="G3" t="n">
        <v>898</v>
      </c>
      <c r="H3" t="n">
        <v>30</v>
      </c>
      <c r="I3" t="n">
        <v>0</v>
      </c>
      <c r="J3" t="inlineStr">
        <is>
          <t>[]</t>
        </is>
      </c>
    </row>
    <row r="4">
      <c r="A4" t="n">
        <v>32</v>
      </c>
      <c r="B4" t="inlineStr">
        <is>
          <t>2026-06-25T10:17:38.750049</t>
        </is>
      </c>
      <c r="D4" t="n">
        <v>0</v>
      </c>
      <c r="E4" t="n">
        <v>5</v>
      </c>
      <c r="F4" t="n">
        <v>0</v>
      </c>
      <c r="G4" t="n">
        <v>870</v>
      </c>
      <c r="H4" t="n">
        <v>31</v>
      </c>
      <c r="I4" t="n">
        <v>0</v>
      </c>
      <c r="J4" t="inlineStr">
        <is>
          <t>[]</t>
        </is>
      </c>
    </row>
    <row r="5">
      <c r="A5" t="n">
        <v>31</v>
      </c>
      <c r="B5" t="inlineStr">
        <is>
          <t>2026-06-24T20:30:05.100164</t>
        </is>
      </c>
      <c r="D5" t="n">
        <v>0</v>
      </c>
      <c r="E5" t="n">
        <v>5</v>
      </c>
      <c r="F5" t="n">
        <v>0</v>
      </c>
      <c r="G5" t="n">
        <v>850</v>
      </c>
      <c r="H5" t="n">
        <v>16</v>
      </c>
      <c r="I5" t="n">
        <v>0</v>
      </c>
      <c r="J5" t="inlineStr">
        <is>
          <t>[]</t>
        </is>
      </c>
    </row>
    <row r="6">
      <c r="A6" t="n">
        <v>30</v>
      </c>
      <c r="B6" t="inlineStr">
        <is>
          <t>2026-06-24T15:36:56.300855</t>
        </is>
      </c>
      <c r="D6" t="n">
        <v>0</v>
      </c>
      <c r="E6" t="n">
        <v>5</v>
      </c>
      <c r="F6" t="n">
        <v>0</v>
      </c>
      <c r="G6" t="n">
        <v>872</v>
      </c>
      <c r="H6" t="n">
        <v>39</v>
      </c>
      <c r="I6" t="n">
        <v>0</v>
      </c>
      <c r="J6" t="inlineStr">
        <is>
          <t>[]</t>
        </is>
      </c>
    </row>
    <row r="7">
      <c r="A7" t="n">
        <v>29</v>
      </c>
      <c r="B7" t="inlineStr">
        <is>
          <t>2026-06-24T10:21:17.595405</t>
        </is>
      </c>
      <c r="D7" t="n">
        <v>0</v>
      </c>
      <c r="E7" t="n">
        <v>5</v>
      </c>
      <c r="F7" t="n">
        <v>0</v>
      </c>
      <c r="G7" t="n">
        <v>832</v>
      </c>
      <c r="H7" t="n">
        <v>22</v>
      </c>
      <c r="I7" t="n">
        <v>0</v>
      </c>
      <c r="J7" t="inlineStr">
        <is>
          <t>[]</t>
        </is>
      </c>
    </row>
    <row r="8">
      <c r="A8" t="n">
        <v>28</v>
      </c>
      <c r="B8" t="inlineStr">
        <is>
          <t>2026-06-23T21:02:01.973349</t>
        </is>
      </c>
      <c r="D8" t="n">
        <v>0</v>
      </c>
      <c r="E8" t="n">
        <v>5</v>
      </c>
      <c r="F8" t="n">
        <v>0</v>
      </c>
      <c r="G8" t="n">
        <v>802</v>
      </c>
      <c r="H8" t="n">
        <v>24</v>
      </c>
      <c r="I8" t="n">
        <v>0</v>
      </c>
      <c r="J8" t="inlineStr">
        <is>
          <t>[]</t>
        </is>
      </c>
    </row>
    <row r="9">
      <c r="A9" t="n">
        <v>27</v>
      </c>
      <c r="B9" t="inlineStr">
        <is>
          <t>2026-06-23T15:50:30.229961</t>
        </is>
      </c>
      <c r="D9" t="n">
        <v>0</v>
      </c>
      <c r="E9" t="n">
        <v>5</v>
      </c>
      <c r="F9" t="n">
        <v>0</v>
      </c>
      <c r="G9" t="n">
        <v>837</v>
      </c>
      <c r="H9" t="n">
        <v>28</v>
      </c>
      <c r="I9" t="n">
        <v>0</v>
      </c>
      <c r="J9" t="inlineStr">
        <is>
          <t>[]</t>
        </is>
      </c>
    </row>
    <row r="10">
      <c r="A10" t="n">
        <v>26</v>
      </c>
      <c r="B10" t="inlineStr">
        <is>
          <t>2026-06-23T10:37:23.461298</t>
        </is>
      </c>
      <c r="D10" t="n">
        <v>0</v>
      </c>
      <c r="E10" t="n">
        <v>5</v>
      </c>
      <c r="F10" t="n">
        <v>0</v>
      </c>
      <c r="G10" t="n">
        <v>868</v>
      </c>
      <c r="H10" t="n">
        <v>48</v>
      </c>
      <c r="I10" t="n">
        <v>0</v>
      </c>
      <c r="J10" t="inlineStr">
        <is>
          <t>[]</t>
        </is>
      </c>
    </row>
    <row r="11">
      <c r="A11" t="n">
        <v>25</v>
      </c>
      <c r="B11" t="inlineStr">
        <is>
          <t>2026-06-22T21:31:38.359994</t>
        </is>
      </c>
      <c r="D11" t="n">
        <v>0</v>
      </c>
      <c r="E11" t="n">
        <v>5</v>
      </c>
      <c r="F11" t="n">
        <v>0</v>
      </c>
      <c r="G11" t="n">
        <v>823</v>
      </c>
      <c r="H11" t="n">
        <v>18</v>
      </c>
      <c r="I11" t="n">
        <v>0</v>
      </c>
      <c r="J11" t="inlineStr">
        <is>
          <t>[]</t>
        </is>
      </c>
    </row>
    <row r="12">
      <c r="A12" t="n">
        <v>24</v>
      </c>
      <c r="B12" t="inlineStr">
        <is>
          <t>2026-06-22T19:51:00.942159</t>
        </is>
      </c>
      <c r="D12" t="n">
        <v>0</v>
      </c>
      <c r="E12" t="n">
        <v>5</v>
      </c>
      <c r="F12" t="n">
        <v>0</v>
      </c>
      <c r="G12" t="n">
        <v>1037</v>
      </c>
      <c r="H12" t="n">
        <v>43</v>
      </c>
      <c r="I12" t="n">
        <v>0</v>
      </c>
      <c r="J12" t="inlineStr">
        <is>
          <t>[]</t>
        </is>
      </c>
    </row>
    <row r="13">
      <c r="A13" t="n">
        <v>23</v>
      </c>
      <c r="B13" t="inlineStr">
        <is>
          <t>2026-06-22T17:33:52.668245</t>
        </is>
      </c>
      <c r="D13" t="n">
        <v>0</v>
      </c>
      <c r="E13" t="n">
        <v>5</v>
      </c>
      <c r="F13" t="n">
        <v>0</v>
      </c>
      <c r="G13" t="n">
        <v>842</v>
      </c>
      <c r="H13" t="n">
        <v>38</v>
      </c>
      <c r="I13" t="n">
        <v>0</v>
      </c>
      <c r="J13" t="inlineStr">
        <is>
          <t>[]</t>
        </is>
      </c>
    </row>
    <row r="14">
      <c r="A14" t="n">
        <v>22</v>
      </c>
      <c r="B14" t="inlineStr">
        <is>
          <t>2026-06-22T12:51:48.370780</t>
        </is>
      </c>
      <c r="D14" t="n">
        <v>0</v>
      </c>
      <c r="E14" t="n">
        <v>5</v>
      </c>
      <c r="F14" t="n">
        <v>0</v>
      </c>
      <c r="G14" t="n">
        <v>928</v>
      </c>
      <c r="H14" t="n">
        <v>49</v>
      </c>
      <c r="I14" t="n">
        <v>0</v>
      </c>
      <c r="J14" t="inlineStr">
        <is>
          <t>[]</t>
        </is>
      </c>
    </row>
    <row r="15">
      <c r="A15" t="n">
        <v>21</v>
      </c>
      <c r="B15" t="inlineStr">
        <is>
          <t>2026-06-21T20:26:18.367617</t>
        </is>
      </c>
      <c r="D15" t="n">
        <v>0</v>
      </c>
      <c r="E15" t="n">
        <v>5</v>
      </c>
      <c r="F15" t="n">
        <v>0</v>
      </c>
      <c r="G15" t="n">
        <v>945</v>
      </c>
      <c r="H15" t="n">
        <v>38</v>
      </c>
      <c r="I15" t="n">
        <v>0</v>
      </c>
      <c r="J15" t="inlineStr">
        <is>
          <t>[]</t>
        </is>
      </c>
    </row>
    <row r="16">
      <c r="A16" t="n">
        <v>20</v>
      </c>
      <c r="B16" t="inlineStr">
        <is>
          <t>2026-06-21T15:15:29.162801</t>
        </is>
      </c>
      <c r="D16" t="n">
        <v>0</v>
      </c>
      <c r="E16" t="n">
        <v>5</v>
      </c>
      <c r="F16" t="n">
        <v>0</v>
      </c>
      <c r="G16" t="n">
        <v>924</v>
      </c>
      <c r="H16" t="n">
        <v>54</v>
      </c>
      <c r="I16" t="n">
        <v>0</v>
      </c>
      <c r="J16" t="inlineStr">
        <is>
          <t>[]</t>
        </is>
      </c>
    </row>
    <row r="17">
      <c r="A17" t="n">
        <v>19</v>
      </c>
      <c r="B17" t="inlineStr">
        <is>
          <t>2026-06-21T10:32:33.668519</t>
        </is>
      </c>
      <c r="D17" t="n">
        <v>0</v>
      </c>
      <c r="E17" t="n">
        <v>5</v>
      </c>
      <c r="F17" t="n">
        <v>0</v>
      </c>
      <c r="G17" t="n">
        <v>909</v>
      </c>
      <c r="H17" t="n">
        <v>38</v>
      </c>
      <c r="I17" t="n">
        <v>0</v>
      </c>
      <c r="J17" t="inlineStr">
        <is>
          <t>[]</t>
        </is>
      </c>
    </row>
    <row r="18">
      <c r="A18" t="n">
        <v>18</v>
      </c>
      <c r="B18" t="inlineStr">
        <is>
          <t>2026-06-20T20:18:23.177852</t>
        </is>
      </c>
      <c r="D18" t="n">
        <v>0</v>
      </c>
      <c r="E18" t="n">
        <v>5</v>
      </c>
      <c r="F18" t="n">
        <v>0</v>
      </c>
      <c r="G18" t="n">
        <v>1057</v>
      </c>
      <c r="H18" t="n">
        <v>120</v>
      </c>
      <c r="I18" t="n">
        <v>0</v>
      </c>
      <c r="J18" t="inlineStr">
        <is>
          <t>[]</t>
        </is>
      </c>
    </row>
    <row r="19">
      <c r="A19" t="n">
        <v>17</v>
      </c>
      <c r="B19" t="inlineStr">
        <is>
          <t>2026-06-20T15:15:13.727639</t>
        </is>
      </c>
      <c r="D19" t="n">
        <v>0</v>
      </c>
      <c r="E19" t="n">
        <v>5</v>
      </c>
      <c r="F19" t="n">
        <v>0</v>
      </c>
      <c r="G19" t="n">
        <v>950</v>
      </c>
      <c r="H19" t="n">
        <v>60</v>
      </c>
      <c r="I19" t="n">
        <v>0</v>
      </c>
      <c r="J19" t="inlineStr">
        <is>
          <t>[]</t>
        </is>
      </c>
    </row>
    <row r="20">
      <c r="A20" t="n">
        <v>16</v>
      </c>
      <c r="B20" t="inlineStr">
        <is>
          <t>2026-06-20T10:04:12.507394</t>
        </is>
      </c>
      <c r="D20" t="n">
        <v>0</v>
      </c>
      <c r="E20" t="n">
        <v>5</v>
      </c>
      <c r="F20" t="n">
        <v>0</v>
      </c>
      <c r="G20" t="n">
        <v>872</v>
      </c>
      <c r="H20" t="n">
        <v>52</v>
      </c>
      <c r="I20" t="n">
        <v>0</v>
      </c>
      <c r="J20" t="inlineStr">
        <is>
          <t>[]</t>
        </is>
      </c>
    </row>
    <row r="21">
      <c r="A21" t="n">
        <v>15</v>
      </c>
      <c r="B21" t="inlineStr">
        <is>
          <t>2026-06-19T20:30:38.590790</t>
        </is>
      </c>
      <c r="D21" t="n">
        <v>0</v>
      </c>
      <c r="E21" t="n">
        <v>5</v>
      </c>
      <c r="F21" t="n">
        <v>0</v>
      </c>
      <c r="G21" t="n">
        <v>934</v>
      </c>
      <c r="H21" t="n">
        <v>90</v>
      </c>
      <c r="I21" t="n">
        <v>0</v>
      </c>
      <c r="J21" t="inlineStr">
        <is>
          <t>[]</t>
        </is>
      </c>
    </row>
    <row r="22">
      <c r="A22" t="n">
        <v>14</v>
      </c>
      <c r="B22" t="inlineStr">
        <is>
          <t>2026-06-19T16:05:19.692486</t>
        </is>
      </c>
      <c r="D22" t="n">
        <v>0</v>
      </c>
      <c r="E22" t="n">
        <v>5</v>
      </c>
      <c r="F22" t="n">
        <v>0</v>
      </c>
      <c r="G22" t="n">
        <v>900</v>
      </c>
      <c r="H22" t="n">
        <v>85</v>
      </c>
      <c r="I22" t="n">
        <v>0</v>
      </c>
      <c r="J22" t="inlineStr">
        <is>
          <t>[]</t>
        </is>
      </c>
    </row>
    <row r="23">
      <c r="A23" t="n">
        <v>13</v>
      </c>
      <c r="B23" t="inlineStr">
        <is>
          <t>2026-06-19T11:47:40.966430</t>
        </is>
      </c>
      <c r="D23" t="n">
        <v>0</v>
      </c>
      <c r="E23" t="n">
        <v>5</v>
      </c>
      <c r="F23" t="n">
        <v>0</v>
      </c>
      <c r="G23" t="n">
        <v>880</v>
      </c>
      <c r="H23" t="n">
        <v>74</v>
      </c>
      <c r="I23" t="n">
        <v>0</v>
      </c>
      <c r="J23" t="inlineStr">
        <is>
          <t>[]</t>
        </is>
      </c>
    </row>
    <row r="24">
      <c r="A24" t="n">
        <v>12</v>
      </c>
      <c r="B24" t="inlineStr">
        <is>
          <t>2026-06-19T11:27:01.075003</t>
        </is>
      </c>
      <c r="D24" t="n">
        <v>0</v>
      </c>
      <c r="E24" t="n">
        <v>5</v>
      </c>
      <c r="F24" t="n">
        <v>0</v>
      </c>
      <c r="G24" t="n">
        <v>1028</v>
      </c>
      <c r="H24" t="n">
        <v>46</v>
      </c>
      <c r="I24" t="n">
        <v>0</v>
      </c>
      <c r="J24" t="inlineStr">
        <is>
          <t>[]</t>
        </is>
      </c>
    </row>
    <row r="25">
      <c r="A25" t="n">
        <v>11</v>
      </c>
      <c r="B25" t="inlineStr">
        <is>
          <t>2026-06-18T23:02:27.809714</t>
        </is>
      </c>
      <c r="D25" t="n">
        <v>0</v>
      </c>
      <c r="E25" t="n">
        <v>5</v>
      </c>
      <c r="F25" t="n">
        <v>0</v>
      </c>
      <c r="G25" t="n">
        <v>1036</v>
      </c>
      <c r="H25" t="n">
        <v>8</v>
      </c>
      <c r="I25" t="n">
        <v>0</v>
      </c>
      <c r="J25" t="inlineStr">
        <is>
          <t>[]</t>
        </is>
      </c>
    </row>
    <row r="26">
      <c r="A26" t="n">
        <v>10</v>
      </c>
      <c r="B26" t="inlineStr">
        <is>
          <t>2026-06-18T21:24:06.196346</t>
        </is>
      </c>
      <c r="D26" t="n">
        <v>0</v>
      </c>
      <c r="E26" t="n">
        <v>5</v>
      </c>
      <c r="F26" t="n">
        <v>0</v>
      </c>
      <c r="G26" t="n">
        <v>1046</v>
      </c>
      <c r="H26" t="n">
        <v>4</v>
      </c>
      <c r="I26" t="n">
        <v>0</v>
      </c>
      <c r="J26" t="inlineStr">
        <is>
          <t>[]</t>
        </is>
      </c>
    </row>
    <row r="27">
      <c r="A27" t="n">
        <v>9</v>
      </c>
      <c r="B27" t="inlineStr">
        <is>
          <t>2026-06-18T20:53:21.169585</t>
        </is>
      </c>
      <c r="D27" t="n">
        <v>0</v>
      </c>
      <c r="E27" t="n">
        <v>5</v>
      </c>
      <c r="F27" t="n">
        <v>0</v>
      </c>
      <c r="G27" t="n">
        <v>1037</v>
      </c>
      <c r="H27" t="n">
        <v>21</v>
      </c>
      <c r="I27" t="n">
        <v>0</v>
      </c>
      <c r="J27" t="inlineStr">
        <is>
          <t>[]</t>
        </is>
      </c>
    </row>
    <row r="28">
      <c r="A28" t="n">
        <v>8</v>
      </c>
      <c r="B28" t="inlineStr">
        <is>
          <t>2026-06-18T20:39:56.505028</t>
        </is>
      </c>
      <c r="D28" t="n">
        <v>0</v>
      </c>
      <c r="E28" t="n">
        <v>5</v>
      </c>
      <c r="F28" t="n">
        <v>0</v>
      </c>
      <c r="G28" t="n">
        <v>1042</v>
      </c>
      <c r="H28" t="n">
        <v>32</v>
      </c>
      <c r="I28" t="n">
        <v>0</v>
      </c>
      <c r="J28" t="inlineStr">
        <is>
          <t>[]</t>
        </is>
      </c>
    </row>
    <row r="29">
      <c r="A29" t="n">
        <v>7</v>
      </c>
      <c r="B29" t="inlineStr">
        <is>
          <t>2026-06-18T16:38:55.488547</t>
        </is>
      </c>
      <c r="D29" t="n">
        <v>0</v>
      </c>
      <c r="E29" t="n">
        <v>5</v>
      </c>
      <c r="F29" t="n">
        <v>0</v>
      </c>
      <c r="G29" t="n">
        <v>1042</v>
      </c>
      <c r="H29" t="n">
        <v>116</v>
      </c>
      <c r="I29" t="n">
        <v>0</v>
      </c>
      <c r="J29" t="inlineStr">
        <is>
          <t>[]</t>
        </is>
      </c>
    </row>
    <row r="30">
      <c r="A30" t="n">
        <v>6</v>
      </c>
      <c r="B30" t="inlineStr">
        <is>
          <t>2026-06-18T11:22:06.370109</t>
        </is>
      </c>
      <c r="D30" t="n">
        <v>0</v>
      </c>
      <c r="E30" t="n">
        <v>5</v>
      </c>
      <c r="F30" t="n">
        <v>0</v>
      </c>
      <c r="G30" t="n">
        <v>1003</v>
      </c>
      <c r="H30" t="n">
        <v>51</v>
      </c>
      <c r="I30" t="n">
        <v>0</v>
      </c>
      <c r="J30" t="inlineStr">
        <is>
          <t>[]</t>
        </is>
      </c>
    </row>
    <row r="31">
      <c r="A31" t="n">
        <v>5</v>
      </c>
      <c r="B31" t="inlineStr">
        <is>
          <t>2026-06-18T09:03:56.175664</t>
        </is>
      </c>
      <c r="D31" t="n">
        <v>0</v>
      </c>
      <c r="E31" t="n">
        <v>5</v>
      </c>
      <c r="F31" t="n">
        <v>0</v>
      </c>
      <c r="G31" t="n">
        <v>994</v>
      </c>
      <c r="H31" t="n">
        <v>452</v>
      </c>
      <c r="I31" t="n">
        <v>0</v>
      </c>
      <c r="J31"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David Cracknell</t>
        </is>
      </c>
    </row>
    <row r="3">
      <c r="A3" t="inlineStr">
        <is>
          <t>domain</t>
        </is>
      </c>
      <c r="B3" t="inlineStr">
        <is>
          <t>general</t>
        </is>
      </c>
    </row>
    <row r="4">
      <c r="A4" t="inlineStr">
        <is>
          <t>secondary_domains</t>
        </is>
      </c>
      <c r="B4" t="inlineStr">
        <is>
          <t>[]</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is>
          <t>MEng Electronic and Computer Engineering</t>
        </is>
      </c>
    </row>
    <row r="11">
      <c r="A11" t="inlineStr">
        <is>
          <t>education.institution</t>
        </is>
      </c>
      <c r="B11" t="inlineStr">
        <is>
          <t>University of Sheffield</t>
        </is>
      </c>
    </row>
    <row r="12">
      <c r="A12" t="inlineStr">
        <is>
          <t>education.completion_year</t>
        </is>
      </c>
      <c r="B12" t="inlineStr">
        <is>
          <t>2026</t>
        </is>
      </c>
    </row>
    <row r="13">
      <c r="A13" t="inlineStr">
        <is>
          <t>education.grade</t>
        </is>
      </c>
      <c r="B13" t="inlineStr">
        <is>
          <t>First-class (years 1-3)</t>
        </is>
      </c>
    </row>
    <row r="14">
      <c r="A14" t="inlineStr">
        <is>
          <t>education.registrations</t>
        </is>
      </c>
      <c r="B14" t="inlineStr">
        <is>
          <t>[]</t>
        </is>
      </c>
    </row>
    <row r="15">
      <c r="A15" t="inlineStr">
        <is>
          <t>experience_years</t>
        </is>
      </c>
      <c r="B15" t="inlineStr">
        <is>
          <t>2</t>
        </is>
      </c>
    </row>
    <row r="16">
      <c r="A16" t="inlineStr">
        <is>
          <t>experience_summary</t>
        </is>
      </c>
      <c r="B16" t="inlineStr">
        <is>
          <t>MEng Electronic and Computer Engineering student graduating 2026, first-class years 1-3. Two AMRC internships: SQL databases, LoRaWAN IoT, API integration, SolidWorks CAD, AR/VR demos. FPGA dissertation using Vivado and Verilog, AI accelerator with measured power results. Backend dev with Raspberry Pi, MySQL, Docker, Kubernetes. Sheffield Space Initiative treasurer. Strong across hardware-software interfaces, embedded systems, digital design, and backend data pipelines.</t>
        </is>
      </c>
    </row>
    <row r="17">
      <c r="A17" t="inlineStr">
        <is>
          <t>core_skills</t>
        </is>
      </c>
      <c r="B17" t="inlineStr">
        <is>
          <t>["Python", "SQL", "Verilog", "FPGA", "Vivado", "STM32", "KL25Z", "Raspberry Pi", "LoRaWAN", "API integration", "MySQL", "Docker", "Kubernetes", "Git", "SolidWorks", "C", "JavaScript", "embedded systems", "digital design", "hardware design", "DSP", "data capture", "backend development", "sensor integration"]</t>
        </is>
      </c>
    </row>
    <row r="18">
      <c r="A18" t="inlineStr">
        <is>
          <t>adjacent_skills</t>
        </is>
      </c>
      <c r="B18" t="inlineStr">
        <is>
          <t>["React", "Node.js", "REST APIs", "BLE", "IoT", "AR/VR", "CAD", "MATLAB", "Linux", "CI/CD", "Expo", "mobile development", "Monte Carlo analysis", "tolerance analysis", "signal processing", "microcontrollers", "budget management", "technical writing", "safety supervision", "project management", "data analysis"]</t>
        </is>
      </c>
    </row>
    <row r="19">
      <c r="A19" t="inlineStr">
        <is>
          <t>negative_signals.title_excludes</t>
        </is>
      </c>
      <c r="B19" t="inlineStr">
        <is>
          <t>["senior", "staff", "principal", "lead", "head of", "director", "manager", "vp", "vice president", "sales", "retail", "account manager", "business development", "marketing", "compliance", "sourcing", "procurement", "legal", "hr", "recruitment", "office manager", "programme manager", "program manager", "product manager"]</t>
        </is>
      </c>
    </row>
    <row r="20">
      <c r="A20" t="inlineStr">
        <is>
          <t>negative_signals.requires_years_above</t>
        </is>
      </c>
      <c r="B20" t="inlineStr">
        <is>
          <t>4</t>
        </is>
      </c>
    </row>
    <row r="21">
      <c r="A21" t="inlineStr">
        <is>
          <t>negative_signals.description_excludes</t>
        </is>
      </c>
      <c r="B21" t="inlineStr">
        <is>
          <t>["10+ years", "8+ years", "7+ years", "6+ years", "5+ years", "must have right to work", "active sc clearance", "active dv clearance"]</t>
        </is>
      </c>
    </row>
    <row r="22">
      <c r="A22" t="inlineStr">
        <is>
          <t>negative_signals.company_blocklist</t>
        </is>
      </c>
      <c r="B22" t="inlineStr">
        <is>
          <t>[]</t>
        </is>
      </c>
    </row>
    <row r="23">
      <c r="A23" t="inlineStr">
        <is>
          <t>target_roles.core</t>
        </is>
      </c>
      <c r="B23" t="inlineStr">
        <is>
          <t>["Graduate Hardware Engineer", "Graduate Electronics Engineer", "Graduate Embedded Engineer", "Graduate FPGA Engineer", "Graduate Digital Design Engineer", "Graduate PCB Design Engineer", "Graduate Avionics Engineer", "Graduate Aerospace Engineer", "Graduate Defence Engineer", "Graduate Systems Engineer", "Graduate Computer Engineer", "Graduate Signal Processing Engineer", "Junior Hardware Engineer", "Junior Embedded Engineer", "Junior Electronics Engineer", "Junior FPGA Engineer", "Junior Digital Design Engineer", "Graduate Engineer", "Associate Engineer", "Graduate Software Engineer", "PhD Studentship Electronics", "PhD Studentship Embedded Systems", "PhD Studentship FPGA", "PhD Studentship Signal Processing", "PhD Studentship Digital Systems", "PhD Studentship Hardware", "PhD Studentship Wireless Communications", "PhD Studentship IoT", "PhD Research Engineer", "Industrial PhD Electronics", "Industrial PhD Embedded Systems"]</t>
        </is>
      </c>
    </row>
    <row r="24">
      <c r="A24" t="inlineStr">
        <is>
          <t>target_roles.adjacent</t>
        </is>
      </c>
      <c r="B24" t="inlineStr">
        <is>
          <t>["Embedded Software Engineer", "Digital Design Engineer", "FPGA Engineer", "Firmware Engineer", "Hardware Engineer", "Electronics Engineer", "Signal Processing Engineer", "Verification Engineer", "Systems Engineer", "IoT Engineer", "PCB Engineer", "Avionics Engineer", "RF Engineer", "Platform Engineer", "Graduate Backend Developer", "Graduate Software Developer", "Graduate Data Engineer", "Junior Python Developer", "PhD Studentship Machine Learning Hardware", "PhD Studentship Power Electronics", "PhD Studentship Communications Engineering", "PhD Studentship Computer Architecture", "EngD Studentship Electronics", "EngD Research Engineer"]</t>
        </is>
      </c>
    </row>
    <row r="25">
      <c r="A25" t="inlineStr">
        <is>
          <t>target_roles.stretch</t>
        </is>
      </c>
      <c r="B25" t="inlineStr">
        <is>
          <t>["Software Developer", "Backend Developer", "Full Stack Developer", "DevOps Engineer", "Junior Data Analyst", "Application Developer", "Graduate Fintech Engineer", "Electronics Engineer", "Defence Engineer", "Machine Learning Engineer", "Cloud Engineer", "Test Engineer", "PhD Studentship Robotics", "PhD Studentship Artificial Intelligence", "PhD Studentship Photonics", "PhD Studentship VLSI", "PhD Studentship Autonomous Systems"]</t>
        </is>
      </c>
    </row>
    <row r="26">
      <c r="A26" t="inlineStr">
        <is>
          <t>filters.salary_floor_gbp</t>
        </is>
      </c>
      <c r="B26" t="inlineStr">
        <is>
          <t>25000</t>
        </is>
      </c>
    </row>
    <row r="27">
      <c r="A27" t="inlineStr">
        <is>
          <t>filters.salary_unit</t>
        </is>
      </c>
      <c r="B27" t="inlineStr">
        <is>
          <t>annual</t>
        </is>
      </c>
    </row>
    <row r="28">
      <c r="A28" t="inlineStr">
        <is>
          <t>filters.max_days_since_posted</t>
        </is>
      </c>
      <c r="B28" t="inlineStr">
        <is>
          <t>30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2026-06-25</t>
        </is>
      </c>
      <c r="B2" t="inlineStr">
        <is>
          <t>rank</t>
        </is>
      </c>
      <c r="C2" t="inlineStr">
        <is>
          <t>claude-sonnet-4-6</t>
        </is>
      </c>
      <c r="D2" t="n">
        <v>9</v>
      </c>
      <c r="E2" t="n">
        <v>31761</v>
      </c>
      <c r="F2" t="n">
        <v>10950</v>
      </c>
      <c r="G2" t="n">
        <v>3043</v>
      </c>
      <c r="H2" t="n">
        <v>0.0891</v>
      </c>
    </row>
    <row r="3">
      <c r="A3" t="inlineStr">
        <is>
          <t>2026-06-25</t>
        </is>
      </c>
      <c r="B3" t="inlineStr">
        <is>
          <t>queries</t>
        </is>
      </c>
      <c r="C3" t="inlineStr">
        <is>
          <t>claude-sonnet-4-6</t>
        </is>
      </c>
      <c r="D3" t="n">
        <v>3</v>
      </c>
      <c r="E3" t="n">
        <v>3681</v>
      </c>
      <c r="F3" t="n">
        <v>0</v>
      </c>
      <c r="G3" t="n">
        <v>794</v>
      </c>
      <c r="H3" t="n">
        <v>0.0184</v>
      </c>
    </row>
    <row r="4">
      <c r="A4" t="inlineStr">
        <is>
          <t>2026-06-24</t>
        </is>
      </c>
      <c r="B4" t="inlineStr">
        <is>
          <t>rank</t>
        </is>
      </c>
      <c r="C4" t="inlineStr">
        <is>
          <t>claude-sonnet-4-6</t>
        </is>
      </c>
      <c r="D4" t="n">
        <v>10</v>
      </c>
      <c r="E4" t="n">
        <v>34789</v>
      </c>
      <c r="F4" t="n">
        <v>12775</v>
      </c>
      <c r="G4" t="n">
        <v>3302</v>
      </c>
      <c r="H4" t="n">
        <v>0.0965</v>
      </c>
    </row>
    <row r="5">
      <c r="A5" t="inlineStr">
        <is>
          <t>2026-06-24</t>
        </is>
      </c>
      <c r="B5" t="inlineStr">
        <is>
          <t>queries</t>
        </is>
      </c>
      <c r="C5" t="inlineStr">
        <is>
          <t>claude-sonnet-4-6</t>
        </is>
      </c>
      <c r="D5" t="n">
        <v>3</v>
      </c>
      <c r="E5" t="n">
        <v>3681</v>
      </c>
      <c r="F5" t="n">
        <v>0</v>
      </c>
      <c r="G5" t="n">
        <v>794</v>
      </c>
      <c r="H5" t="n">
        <v>0.0184</v>
      </c>
    </row>
    <row r="6">
      <c r="A6" t="inlineStr">
        <is>
          <t>2026-06-23</t>
        </is>
      </c>
      <c r="B6" t="inlineStr">
        <is>
          <t>rank</t>
        </is>
      </c>
      <c r="C6" t="inlineStr">
        <is>
          <t>claude-sonnet-4-6</t>
        </is>
      </c>
      <c r="D6" t="n">
        <v>10</v>
      </c>
      <c r="E6" t="n">
        <v>29842</v>
      </c>
      <c r="F6" t="n">
        <v>12775</v>
      </c>
      <c r="G6" t="n">
        <v>2984</v>
      </c>
      <c r="H6" t="n">
        <v>0.0823</v>
      </c>
    </row>
    <row r="7">
      <c r="A7" t="inlineStr">
        <is>
          <t>2026-06-23</t>
        </is>
      </c>
      <c r="B7" t="inlineStr">
        <is>
          <t>queries</t>
        </is>
      </c>
      <c r="C7" t="inlineStr">
        <is>
          <t>claude-sonnet-4-6</t>
        </is>
      </c>
      <c r="D7" t="n">
        <v>3</v>
      </c>
      <c r="E7" t="n">
        <v>3681</v>
      </c>
      <c r="F7" t="n">
        <v>0</v>
      </c>
      <c r="G7" t="n">
        <v>797</v>
      </c>
      <c r="H7" t="n">
        <v>0.0184</v>
      </c>
    </row>
    <row r="8">
      <c r="A8" t="inlineStr">
        <is>
          <t>2026-06-22</t>
        </is>
      </c>
      <c r="B8" t="inlineStr">
        <is>
          <t>rank</t>
        </is>
      </c>
      <c r="C8" t="inlineStr">
        <is>
          <t>claude-sonnet-4-6</t>
        </is>
      </c>
      <c r="D8" t="n">
        <v>15</v>
      </c>
      <c r="E8" t="n">
        <v>51247</v>
      </c>
      <c r="F8" t="n">
        <v>18255</v>
      </c>
      <c r="G8" t="n">
        <v>4967</v>
      </c>
      <c r="H8" t="n">
        <v>0.1452</v>
      </c>
    </row>
    <row r="9">
      <c r="A9" t="inlineStr">
        <is>
          <t>2026-06-22</t>
        </is>
      </c>
      <c r="B9" t="inlineStr">
        <is>
          <t>queries</t>
        </is>
      </c>
      <c r="C9" t="inlineStr">
        <is>
          <t>claude-sonnet-4-6</t>
        </is>
      </c>
      <c r="D9" t="n">
        <v>4</v>
      </c>
      <c r="E9" t="n">
        <v>4362</v>
      </c>
      <c r="F9" t="n">
        <v>0</v>
      </c>
      <c r="G9" t="n">
        <v>991</v>
      </c>
      <c r="H9" t="n">
        <v>0.0224</v>
      </c>
    </row>
    <row r="10">
      <c r="A10" t="inlineStr">
        <is>
          <t>2026-06-21</t>
        </is>
      </c>
      <c r="B10" t="inlineStr">
        <is>
          <t>rank</t>
        </is>
      </c>
      <c r="C10" t="inlineStr">
        <is>
          <t>claude-sonnet-4-6</t>
        </is>
      </c>
      <c r="D10" t="n">
        <v>11</v>
      </c>
      <c r="E10" t="n">
        <v>35469</v>
      </c>
      <c r="F10" t="n">
        <v>13144</v>
      </c>
      <c r="G10" t="n">
        <v>3662</v>
      </c>
      <c r="H10" t="n">
        <v>0.1027</v>
      </c>
    </row>
    <row r="11">
      <c r="A11" t="inlineStr">
        <is>
          <t>2026-06-21</t>
        </is>
      </c>
      <c r="B11" t="inlineStr">
        <is>
          <t>queries</t>
        </is>
      </c>
      <c r="C11" t="inlineStr">
        <is>
          <t>claude-sonnet-4-6</t>
        </is>
      </c>
      <c r="D11" t="n">
        <v>3</v>
      </c>
      <c r="E11" t="n">
        <v>3135</v>
      </c>
      <c r="F11" t="n">
        <v>0</v>
      </c>
      <c r="G11" t="n">
        <v>710</v>
      </c>
      <c r="H11" t="n">
        <v>0.016</v>
      </c>
    </row>
    <row r="12">
      <c r="A12" t="inlineStr">
        <is>
          <t>2026-06-20</t>
        </is>
      </c>
      <c r="B12" t="inlineStr">
        <is>
          <t>rank</t>
        </is>
      </c>
      <c r="C12" t="inlineStr">
        <is>
          <t>claude-sonnet-4-6</t>
        </is>
      </c>
      <c r="D12" t="n">
        <v>17</v>
      </c>
      <c r="E12" t="n">
        <v>58173</v>
      </c>
      <c r="F12" t="n">
        <v>23002</v>
      </c>
      <c r="G12" t="n">
        <v>5580</v>
      </c>
      <c r="H12" t="n">
        <v>0.1598</v>
      </c>
    </row>
    <row r="13">
      <c r="A13" t="inlineStr">
        <is>
          <t>2026-06-20</t>
        </is>
      </c>
      <c r="B13" t="inlineStr">
        <is>
          <t>queries</t>
        </is>
      </c>
      <c r="C13" t="inlineStr">
        <is>
          <t>claude-sonnet-4-6</t>
        </is>
      </c>
      <c r="D13" t="n">
        <v>3</v>
      </c>
      <c r="E13" t="n">
        <v>3135</v>
      </c>
      <c r="F13" t="n">
        <v>0</v>
      </c>
      <c r="G13" t="n">
        <v>730</v>
      </c>
      <c r="H13" t="n">
        <v>0.0163</v>
      </c>
    </row>
    <row r="14">
      <c r="A14" t="inlineStr">
        <is>
          <t>2026-06-19</t>
        </is>
      </c>
      <c r="B14" t="inlineStr">
        <is>
          <t>rank</t>
        </is>
      </c>
      <c r="C14" t="inlineStr">
        <is>
          <t>claude-sonnet-4-6</t>
        </is>
      </c>
      <c r="D14" t="n">
        <v>30</v>
      </c>
      <c r="E14" t="n">
        <v>104726</v>
      </c>
      <c r="F14" t="n">
        <v>39754</v>
      </c>
      <c r="G14" t="n">
        <v>9875</v>
      </c>
      <c r="H14" t="n">
        <v>0.284</v>
      </c>
    </row>
    <row r="15">
      <c r="A15" t="inlineStr">
        <is>
          <t>2026-06-19</t>
        </is>
      </c>
      <c r="B15" t="inlineStr">
        <is>
          <t>queries</t>
        </is>
      </c>
      <c r="C15" t="inlineStr">
        <is>
          <t>claude-sonnet-4-6</t>
        </is>
      </c>
      <c r="D15" t="n">
        <v>3</v>
      </c>
      <c r="E15" t="n">
        <v>3135</v>
      </c>
      <c r="F15" t="n">
        <v>0</v>
      </c>
      <c r="G15" t="n">
        <v>730</v>
      </c>
      <c r="H15" t="n">
        <v>0.0163</v>
      </c>
    </row>
    <row r="16">
      <c r="A16" t="inlineStr">
        <is>
          <t>2026-06-19</t>
        </is>
      </c>
      <c r="B16" t="inlineStr">
        <is>
          <t>queries</t>
        </is>
      </c>
      <c r="C16" t="inlineStr"/>
      <c r="D16" t="n">
        <v>1</v>
      </c>
      <c r="E16" t="n">
        <v>0</v>
      </c>
      <c r="F16" t="n">
        <v>0</v>
      </c>
      <c r="G16" t="n">
        <v>0</v>
      </c>
      <c r="H16" t="n">
        <v>0</v>
      </c>
    </row>
    <row r="17">
      <c r="A17" t="inlineStr">
        <is>
          <t>2026-06-18</t>
        </is>
      </c>
      <c r="B17" t="inlineStr">
        <is>
          <t>queries</t>
        </is>
      </c>
      <c r="C17" t="inlineStr"/>
      <c r="D17" t="n">
        <v>8</v>
      </c>
      <c r="E17" t="n">
        <v>0</v>
      </c>
      <c r="F17" t="n">
        <v>0</v>
      </c>
      <c r="G17" t="n">
        <v>0</v>
      </c>
      <c r="H17" t="n">
        <v>0</v>
      </c>
    </row>
    <row r="18">
      <c r="A18" t="inlineStr">
        <is>
          <t>2026-06-18</t>
        </is>
      </c>
      <c r="B18" t="inlineStr">
        <is>
          <t>rank</t>
        </is>
      </c>
      <c r="C18" t="inlineStr"/>
      <c r="D18" t="n">
        <v>129</v>
      </c>
      <c r="E18" t="n">
        <v>0</v>
      </c>
      <c r="F18" t="n">
        <v>0</v>
      </c>
      <c r="G18" t="n">
        <v>0</v>
      </c>
      <c r="H18" t="n">
        <v>0</v>
      </c>
    </row>
    <row r="19">
      <c r="A19" t="inlineStr">
        <is>
          <t>2026-06-17</t>
        </is>
      </c>
      <c r="B19" t="inlineStr">
        <is>
          <t>rank</t>
        </is>
      </c>
      <c r="C19" t="inlineStr"/>
      <c r="D19" t="n">
        <v>35</v>
      </c>
      <c r="E19" t="n">
        <v>0</v>
      </c>
      <c r="F19" t="n">
        <v>0</v>
      </c>
      <c r="G19" t="n">
        <v>0</v>
      </c>
      <c r="H19" t="n">
        <v>0</v>
      </c>
    </row>
    <row r="20">
      <c r="A20" t="inlineStr">
        <is>
          <t>2026-06-16</t>
        </is>
      </c>
      <c r="B20" t="inlineStr">
        <is>
          <t>rank</t>
        </is>
      </c>
      <c r="C20" t="inlineStr"/>
      <c r="D20" t="n">
        <v>70</v>
      </c>
      <c r="E20" t="n">
        <v>0</v>
      </c>
      <c r="F20" t="n">
        <v>0</v>
      </c>
      <c r="G20" t="n">
        <v>0</v>
      </c>
      <c r="H2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2026-06-25T20:58:06Z</dcterms:created>
  <dcterms:modified xsi:type="dcterms:W3CDTF">2026-06-25T20:58:09Z</dcterms:modified>
</cp:coreProperties>
</file>