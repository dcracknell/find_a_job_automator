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jobs" sheetId="2" state="visible" r:id="rId2"/>
    <sheet name="runs" sheetId="3" state="visible" r:id="rId3"/>
    <sheet name="profile" sheetId="4" state="visible" r:id="rId4"/>
    <sheet name="quota" sheetId="5" state="visible" r:id="rId5"/>
  </sheets>
  <definedNames>
    <definedName name="_xlnm._FilterDatabase" localSheetId="1" hidden="1">'jobs'!$A$1:$V$1626</definedName>
  </definedNames>
  <calcPr calcId="124519" fullCalcOnLoad="1" forceFullCalc="1"/>
</workbook>
</file>

<file path=xl/styles.xml><?xml version="1.0" encoding="utf-8"?>
<styleSheet xmlns="http://schemas.openxmlformats.org/spreadsheetml/2006/main">
  <numFmts count="6">
    <numFmt numFmtId="164" formatCode="yyyy-mm-dd h:mm:ss"/>
    <numFmt numFmtId="165" formatCode="d mmm yyyy h:mm"/>
    <numFmt numFmtId="166" formatCode="yyyy-mm-dd"/>
    <numFmt numFmtId="167" formatCode="d mmm yyyy"/>
    <numFmt numFmtId="168" formatCode="£#,##0"/>
    <numFmt numFmtId="169" formatCode="0.0"/>
  </numFmts>
  <fonts count="8">
    <font>
      <name val="Calibri"/>
      <family val="2"/>
      <color theme="1"/>
      <sz val="11"/>
      <scheme val="minor"/>
    </font>
    <font>
      <b val="1"/>
      <color rgb="001F4E78"/>
      <sz val="18"/>
    </font>
    <font>
      <b val="1"/>
    </font>
    <font>
      <b val="1"/>
      <color rgb="001F4E78"/>
      <sz val="14"/>
    </font>
    <font>
      <b val="1"/>
      <color rgb="00FFFFFF"/>
    </font>
    <font>
      <name val="Calibri"/>
      <family val="2"/>
      <color theme="10"/>
      <sz val="12"/>
      <scheme val="minor"/>
    </font>
    <font>
      <b val="1"/>
      <color rgb="00000000"/>
    </font>
    <font>
      <b val="1"/>
      <sz val="12"/>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rgb="00EAF3F8"/>
      </patternFill>
    </fill>
  </fills>
  <borders count="2">
    <border>
      <left/>
      <right/>
      <top/>
      <bottom/>
      <diagonal/>
    </border>
    <border>
      <bottom style="thin">
        <color rgb="00D9E2F3"/>
      </bottom>
    </border>
  </borders>
  <cellStyleXfs count="2">
    <xf numFmtId="0" fontId="0" fillId="0" borderId="0"/>
    <xf numFmtId="0" fontId="5" fillId="0" borderId="0"/>
  </cellStyleXfs>
  <cellXfs count="21">
    <xf numFmtId="0" fontId="0" fillId="0" borderId="0" pivotButton="0" quotePrefix="0" xfId="0"/>
    <xf numFmtId="0" fontId="1" fillId="0" borderId="0" pivotButton="0" quotePrefix="0" xfId="0"/>
    <xf numFmtId="165" fontId="0"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4" fillId="3"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vertical="top" wrapText="1"/>
    </xf>
    <xf numFmtId="0" fontId="5" fillId="0" borderId="0" pivotButton="0" quotePrefix="0" xfId="1"/>
    <xf numFmtId="0" fontId="4"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0" fillId="5" borderId="0" applyAlignment="1" pivotButton="0" quotePrefix="0" xfId="0">
      <alignment vertical="top"/>
    </xf>
    <xf numFmtId="169" fontId="7" fillId="0" borderId="0" applyAlignment="1" pivotButton="0" quotePrefix="0" xfId="0">
      <alignment horizontal="center" vertical="center"/>
    </xf>
    <xf numFmtId="167" fontId="0" fillId="0" borderId="0" applyAlignment="1" pivotButton="0" quotePrefix="0" xfId="0">
      <alignment vertical="top"/>
    </xf>
    <xf numFmtId="1" fontId="0" fillId="5" borderId="0" applyAlignment="1" pivotButton="0" quotePrefix="0" xfId="0">
      <alignment vertical="top"/>
    </xf>
    <xf numFmtId="0" fontId="5" fillId="0" borderId="0" applyAlignment="1" pivotButton="0" quotePrefix="0" xfId="1">
      <alignment vertical="top"/>
    </xf>
    <xf numFmtId="0" fontId="0" fillId="4" borderId="0" applyAlignment="1" pivotButton="0" quotePrefix="0" xfId="0">
      <alignment vertical="top"/>
    </xf>
    <xf numFmtId="0" fontId="0" fillId="4" borderId="0" applyAlignment="1" pivotButton="0" quotePrefix="0" xfId="0">
      <alignment vertical="top" wrapText="1"/>
    </xf>
    <xf numFmtId="168" fontId="0" fillId="0" borderId="0" applyAlignment="1" pivotButton="0" quotePrefix="0" xfId="0">
      <alignment vertical="top"/>
    </xf>
    <xf numFmtId="0" fontId="2" fillId="0" borderId="0" pivotButton="0" quotePrefix="0" xfId="0"/>
  </cellXfs>
  <cellStyles count="2">
    <cellStyle name="Normal" xfId="0" builtinId="0" hidden="0"/>
    <cellStyle name="Hyperlink" xfId="1" builtinId="8" hidden="0"/>
  </cellStyles>
  <dxfs count="22">
    <dxf>
      <fill>
        <patternFill patternType="solid">
          <fgColor rgb="0000B050"/>
          <bgColor rgb="0000B050"/>
        </patternFill>
      </fill>
    </dxf>
    <dxf>
      <fill>
        <patternFill patternType="solid">
          <fgColor rgb="00FFC000"/>
          <bgColor rgb="00FFC000"/>
        </patternFill>
      </fill>
    </dxf>
    <dxf>
      <fill>
        <patternFill patternType="solid">
          <fgColor rgb="00FF0000"/>
          <bgColor rgb="00FF0000"/>
        </patternFill>
      </fill>
    </dxf>
    <dxf>
      <fill>
        <patternFill patternType="solid">
          <fgColor rgb="00EAF3F8"/>
          <bgColor rgb="00EAF3F8"/>
        </patternFill>
      </fill>
    </dxf>
    <dxf>
      <fill>
        <patternFill patternType="solid">
          <fgColor rgb="00D9EAD3"/>
          <bgColor rgb="00D9EAD3"/>
        </patternFill>
      </fill>
    </dxf>
    <dxf>
      <fill>
        <patternFill patternType="solid">
          <fgColor rgb="00D9E2F3"/>
          <bgColor rgb="00D9E2F3"/>
        </patternFill>
      </fill>
    </dxf>
    <dxf>
      <fill>
        <patternFill patternType="solid">
          <fgColor rgb="00B6D7A8"/>
          <bgColor rgb="00B6D7A8"/>
        </patternFill>
      </fill>
    </dxf>
    <dxf>
      <fill>
        <patternFill patternType="solid">
          <fgColor rgb="00F4CCCC"/>
          <bgColor rgb="00F4CCCC"/>
        </patternFill>
      </fill>
    </dxf>
    <dxf>
      <fill>
        <patternFill patternType="solid">
          <fgColor rgb="00D3D3D3"/>
          <bgColor rgb="00D3D3D3"/>
        </patternFill>
      </fill>
    </dxf>
    <dxf>
      <fill>
        <patternFill patternType="solid">
          <fgColor rgb="00BEBEBE"/>
          <bgColor rgb="00BEBEBE"/>
        </patternFill>
      </fill>
    </dxf>
    <dxf>
      <fill>
        <patternFill patternType="solid">
          <fgColor rgb="00F0E68C"/>
          <bgColor rgb="00F0E68C"/>
        </patternFill>
      </fill>
    </dxf>
    <dxf>
      <fill>
        <patternFill patternType="solid">
          <fgColor rgb="00FCE5CD"/>
          <bgColor rgb="00FCE5CD"/>
        </patternFill>
      </fill>
    </dxf>
    <dxf>
      <fill>
        <patternFill patternType="solid">
          <fgColor rgb="00FFF2CC"/>
          <bgColor rgb="00FFF2CC"/>
        </patternFill>
      </fill>
    </dxf>
    <dxf>
      <fill>
        <patternFill patternType="solid">
          <fgColor rgb="00EADCF8"/>
          <bgColor rgb="00EADCF8"/>
        </patternFill>
      </fill>
    </dxf>
    <dxf>
      <fill>
        <patternFill patternType="solid">
          <fgColor rgb="00E6B8AF"/>
          <bgColor rgb="00E6B8AF"/>
        </patternFill>
      </fill>
    </dxf>
    <dxf>
      <fill>
        <patternFill patternType="solid">
          <fgColor rgb="00D9D9D9"/>
          <bgColor rgb="00D9D9D9"/>
        </patternFill>
      </fill>
    </dxf>
    <dxf>
      <fill>
        <patternFill patternType="solid">
          <fgColor rgb="00E7E6E6"/>
          <bgColor rgb="00E7E6E6"/>
        </patternFill>
      </fill>
    </dxf>
    <dxf>
      <fill>
        <patternFill patternType="solid">
          <fgColor rgb="00D9EAF7"/>
          <bgColor rgb="00D9EAF7"/>
        </patternFill>
      </fill>
    </dxf>
    <dxf>
      <fill>
        <patternFill patternType="solid">
          <fgColor rgb="00E2F0D9"/>
          <bgColor rgb="00E2F0D9"/>
        </patternFill>
      </fill>
    </dxf>
    <dxf>
      <font>
        <b val="1"/>
        <color rgb="00FF0000"/>
      </font>
      <fill>
        <patternFill patternType="solid">
          <fgColor rgb="00FCE4D6"/>
          <bgColor rgb="00FCE4D6"/>
        </patternFill>
      </fill>
    </dxf>
    <dxf>
      <fill>
        <patternFill patternType="solid">
          <fgColor rgb="00C6EFCE"/>
          <bgColor rgb="00C6EFCE"/>
        </patternFill>
      </fill>
    </dxf>
    <dxf>
      <fill>
        <patternFill patternType="solid">
          <fgColor rgb="00DDEEFF"/>
          <bgColor rgb="00DDEE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job-search</author>
  </authors>
  <commentList>
    <comment ref="C1" authorId="0" shapeId="0">
      <text>
        <t>Inferred from the title and job description. Treat as a quick filter, not a guarantee.</t>
      </text>
    </comment>
    <comment ref="K1" authorId="0" shapeId="0">
      <text>
        <t>This is the model's fit rationale from the ranking step.</t>
      </text>
    </comment>
    <comment ref="L1" authorId="0" shapeId="0">
      <text>
        <t>Pick from the dropdown. Use 'applied' after submitting an application.</t>
      </text>
    </comment>
    <comment ref="M1" authorId="0" shapeId="0">
      <text>
        <t>Add application date, contact name, follow-up reminder, or anything you want to keep.</t>
      </text>
    </comment>
  </commentList>
</comments>
</file>

<file path=xl/tables/table1.xml><?xml version="1.0" encoding="utf-8"?>
<table xmlns="http://schemas.openxmlformats.org/spreadsheetml/2006/main" id="1" name="JobsTable" displayName="JobsTable" ref="A1:V1626" headerRowCount="1">
  <autoFilter ref="A1:V1626"/>
  <tableColumns count="22">
    <tableColumn id="1" name="Action"/>
    <tableColumn id="2" name="Score"/>
    <tableColumn id="3" name="Experience"/>
    <tableColumn id="4" name="Title"/>
    <tableColumn id="5" name="Company"/>
    <tableColumn id="6" name="Location"/>
    <tableColumn id="7" name="Salary"/>
    <tableColumn id="8" name="Closes"/>
    <tableColumn id="9" name="Days Left"/>
    <tableColumn id="10" name="Apply"/>
    <tableColumn id="11" name="Why Claude likes it"/>
    <tableColumn id="12" name="Status"/>
    <tableColumn id="13" name="Notes"/>
    <tableColumn id="14" name="Job ID"/>
    <tableColumn id="15" name="Posted"/>
    <tableColumn id="16" name="Source"/>
    <tableColumn id="17" name="Matched Keywords"/>
    <tableColumn id="18" name="Query"/>
    <tableColumn id="19" name="Salary Min"/>
    <tableColumn id="20" name="Salary Max"/>
    <tableColumn id="21" name="First Seen"/>
    <tableColumn id="22" name="Ranker V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uk.indeed.com/viewjob" TargetMode="External" Id="rId6" /><Relationship Type="http://schemas.openxmlformats.org/officeDocument/2006/relationships/hyperlink" Target="https://www.linkedin.com/jobs/view/4429225838" TargetMode="External" Id="rId7" /><Relationship Type="http://schemas.openxmlformats.org/officeDocument/2006/relationships/hyperlink" Target="https://www.linkedin.com/jobs/view/4425827162" TargetMode="External" Id="rId8" /><Relationship Type="http://schemas.openxmlformats.org/officeDocument/2006/relationships/hyperlink" Target="https://uk.indeed.com/viewjob" TargetMode="External" Id="rId9" /><Relationship Type="http://schemas.openxmlformats.org/officeDocument/2006/relationships/hyperlink" Target="https://uk.indeed.com/viewjob" TargetMode="External" Id="rId10" /><Relationship Type="http://schemas.openxmlformats.org/officeDocument/2006/relationships/hyperlink" Target="https://www.linkedin.com/jobs/view/4428214732" TargetMode="External" Id="rId11" /><Relationship Type="http://schemas.openxmlformats.org/officeDocument/2006/relationships/hyperlink" Target="https://www.linkedin.com/jobs/view/4428265124" TargetMode="External" Id="rId12" /><Relationship Type="http://schemas.openxmlformats.org/officeDocument/2006/relationships/hyperlink" Target="https://www.linkedin.com/jobs/view/4321439643" TargetMode="External" Id="rId13" /><Relationship Type="http://schemas.openxmlformats.org/officeDocument/2006/relationships/hyperlink" Target="https://www.linkedin.com/jobs/view/4425631457" TargetMode="External" Id="rId14" /><Relationship Type="http://schemas.openxmlformats.org/officeDocument/2006/relationships/hyperlink" Target="https://uk.indeed.com/viewjob" TargetMode="External" Id="rId15" /></Relationships>
</file>

<file path=xl/worksheets/_rels/sheet2.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uk.indeed.com/viewjob" TargetMode="External" Id="rId6" /><Relationship Type="http://schemas.openxmlformats.org/officeDocument/2006/relationships/hyperlink" Target="https://www.linkedin.com/jobs/view/4429225838" TargetMode="External" Id="rId7" /><Relationship Type="http://schemas.openxmlformats.org/officeDocument/2006/relationships/hyperlink" Target="https://www.linkedin.com/jobs/view/4425827162" TargetMode="External" Id="rId8" /><Relationship Type="http://schemas.openxmlformats.org/officeDocument/2006/relationships/hyperlink" Target="https://uk.indeed.com/viewjob" TargetMode="External" Id="rId9" /><Relationship Type="http://schemas.openxmlformats.org/officeDocument/2006/relationships/hyperlink" Target="https://uk.indeed.com/viewjob" TargetMode="External" Id="rId10" /><Relationship Type="http://schemas.openxmlformats.org/officeDocument/2006/relationships/hyperlink" Target="https://www.linkedin.com/jobs/view/4428214732" TargetMode="External" Id="rId11" /><Relationship Type="http://schemas.openxmlformats.org/officeDocument/2006/relationships/hyperlink" Target="https://www.linkedin.com/jobs/view/4428265124" TargetMode="External" Id="rId12" /><Relationship Type="http://schemas.openxmlformats.org/officeDocument/2006/relationships/hyperlink" Target="https://www.linkedin.com/jobs/view/4321439643" TargetMode="External" Id="rId13" /><Relationship Type="http://schemas.openxmlformats.org/officeDocument/2006/relationships/hyperlink" Target="https://www.linkedin.com/jobs/view/4425631457" TargetMode="External" Id="rId14" /><Relationship Type="http://schemas.openxmlformats.org/officeDocument/2006/relationships/hyperlink" Target="https://uk.indeed.com/viewjob" TargetMode="External" Id="rId15" /><Relationship Type="http://schemas.openxmlformats.org/officeDocument/2006/relationships/hyperlink" Target="https://uk.indeed.com/viewjob" TargetMode="External" Id="rId16" /><Relationship Type="http://schemas.openxmlformats.org/officeDocument/2006/relationships/hyperlink" Target="https://www.linkedin.com/jobs/view/4427981490" TargetMode="External" Id="rId17" /><Relationship Type="http://schemas.openxmlformats.org/officeDocument/2006/relationships/hyperlink" Target="https://www.linkedin.com/jobs/view/4422898003" TargetMode="External" Id="rId18" /><Relationship Type="http://schemas.openxmlformats.org/officeDocument/2006/relationships/hyperlink" Target="https://www.linkedin.com/jobs/view/4428231728" TargetMode="External" Id="rId19" /><Relationship Type="http://schemas.openxmlformats.org/officeDocument/2006/relationships/hyperlink" Target="https://www.linkedin.com/jobs/view/4430935012" TargetMode="External" Id="rId20" /><Relationship Type="http://schemas.openxmlformats.org/officeDocument/2006/relationships/hyperlink" Target="https://www.linkedin.com/jobs/view/3980058714" TargetMode="External" Id="rId21" /><Relationship Type="http://schemas.openxmlformats.org/officeDocument/2006/relationships/hyperlink" Target="https://www.linkedin.com/jobs/view/4420400605" TargetMode="External" Id="rId22" /><Relationship Type="http://schemas.openxmlformats.org/officeDocument/2006/relationships/hyperlink" Target="https://www.linkedin.com/jobs/view/4419825846" TargetMode="External" Id="rId23" /><Relationship Type="http://schemas.openxmlformats.org/officeDocument/2006/relationships/hyperlink" Target="https://uk.indeed.com/viewjob" TargetMode="External" Id="rId24" /><Relationship Type="http://schemas.openxmlformats.org/officeDocument/2006/relationships/hyperlink" Target="https://www.linkedin.com/jobs/view/4427523645" TargetMode="External" Id="rId25" /><Relationship Type="http://schemas.openxmlformats.org/officeDocument/2006/relationships/hyperlink" Target="https://www.linkedin.com/jobs/view/4429399130" TargetMode="External" Id="rId26" /><Relationship Type="http://schemas.openxmlformats.org/officeDocument/2006/relationships/hyperlink" Target="https://www.linkedin.com/jobs/view/4398235144" TargetMode="External" Id="rId27" /><Relationship Type="http://schemas.openxmlformats.org/officeDocument/2006/relationships/hyperlink" Target="https://www.linkedin.com/jobs/view/4427936631" TargetMode="External" Id="rId28" /><Relationship Type="http://schemas.openxmlformats.org/officeDocument/2006/relationships/hyperlink" Target="https://www.linkedin.com/jobs/view/4421690043" TargetMode="External" Id="rId29" /><Relationship Type="http://schemas.openxmlformats.org/officeDocument/2006/relationships/hyperlink" Target="https://www.linkedin.com/jobs/view/4368768223" TargetMode="External" Id="rId30" /><Relationship Type="http://schemas.openxmlformats.org/officeDocument/2006/relationships/hyperlink" Target="https://www.linkedin.com/jobs/view/4368538161" TargetMode="External" Id="rId31" /><Relationship Type="http://schemas.openxmlformats.org/officeDocument/2006/relationships/hyperlink" Target="https://www.linkedin.com/jobs/view/4430931067" TargetMode="External" Id="rId32" /><Relationship Type="http://schemas.openxmlformats.org/officeDocument/2006/relationships/hyperlink" Target="https://www.linkedin.com/jobs/view/4423949766" TargetMode="External" Id="rId33" /><Relationship Type="http://schemas.openxmlformats.org/officeDocument/2006/relationships/hyperlink" Target="https://www.linkedin.com/jobs/view/4425623640" TargetMode="External" Id="rId34" /><Relationship Type="http://schemas.openxmlformats.org/officeDocument/2006/relationships/hyperlink" Target="https://www.linkedin.com/jobs/view/4361930320" TargetMode="External" Id="rId35" /><Relationship Type="http://schemas.openxmlformats.org/officeDocument/2006/relationships/hyperlink" Target="https://www.linkedin.com/jobs/view/4357634994" TargetMode="External" Id="rId36" /><Relationship Type="http://schemas.openxmlformats.org/officeDocument/2006/relationships/hyperlink" Target="https://www.linkedin.com/jobs/view/4403530385" TargetMode="External" Id="rId37" /><Relationship Type="http://schemas.openxmlformats.org/officeDocument/2006/relationships/hyperlink" Target="https://www.linkedin.com/jobs/view/4425237729" TargetMode="External" Id="rId38" /><Relationship Type="http://schemas.openxmlformats.org/officeDocument/2006/relationships/hyperlink" Target="https://www.linkedin.com/jobs/view/4426982422" TargetMode="External" Id="rId39" /><Relationship Type="http://schemas.openxmlformats.org/officeDocument/2006/relationships/hyperlink" Target="https://www.linkedin.com/jobs/view/4426603513" TargetMode="External" Id="rId40" /><Relationship Type="http://schemas.openxmlformats.org/officeDocument/2006/relationships/hyperlink" Target="https://dyson.wd3.myworkdayjobs.com/job/United-Kingdom---Malmesbury-Office/Security-Shift-Officer_JR36909" TargetMode="External" Id="rId41" /><Relationship Type="http://schemas.openxmlformats.org/officeDocument/2006/relationships/hyperlink" Target="https://dyson.wd3.myworkdayjobs.com/job/Malaysia---Global-Development-Campus-Johor-Bahru/Advanced-New-Product-Development-Graduate-Engineer_JR36989" TargetMode="External" Id="rId42" /><Relationship Type="http://schemas.openxmlformats.org/officeDocument/2006/relationships/hyperlink" Target="https://dyson.wd3.myworkdayjobs.com/job/France---Paris-Opera-Demo-Store/Expert_JR35891" TargetMode="External" Id="rId43" /><Relationship Type="http://schemas.openxmlformats.org/officeDocument/2006/relationships/hyperlink" Target="https://dyson.wd3.myworkdayjobs.com/job/India---Bangalore-Sales-Office/General-Sales-Manager_JR36858" TargetMode="External" Id="rId44" /><Relationship Type="http://schemas.openxmlformats.org/officeDocument/2006/relationships/hyperlink" Target="https://dyson.wd3.myworkdayjobs.com/job/Australia---Victoria-Remote/Retail-Sales-Assistant---Various-Locations_JR35717" TargetMode="External" Id="rId45" /><Relationship Type="http://schemas.openxmlformats.org/officeDocument/2006/relationships/hyperlink" Target="https://dyson.wd3.myworkdayjobs.com/job/Netherlands---Amsterdam-Office/Marketplaces-COE-Manager_JR35508" TargetMode="External" Id="rId46" /><Relationship Type="http://schemas.openxmlformats.org/officeDocument/2006/relationships/hyperlink" Target="https://dyson.wd3.myworkdayjobs.com/job/Sweden---Stockholm-Office/Trading-Activation-Executive--Parental-Leave-Cover-_JR36693" TargetMode="External" Id="rId47" /><Relationship Type="http://schemas.openxmlformats.org/officeDocument/2006/relationships/hyperlink" Target="https://job-boards.greenhouse.io/graphcore/jobs/8238597002" TargetMode="External" Id="rId48" /><Relationship Type="http://schemas.openxmlformats.org/officeDocument/2006/relationships/hyperlink" Target="https://job-boards.greenhouse.io/graphcore/jobs/8238605002" TargetMode="External" Id="rId49" /><Relationship Type="http://schemas.openxmlformats.org/officeDocument/2006/relationships/hyperlink" Target="https://job-boards.greenhouse.io/graphcore/jobs/8245742002" TargetMode="External" Id="rId50" /><Relationship Type="http://schemas.openxmlformats.org/officeDocument/2006/relationships/hyperlink" Target="https://job-boards.greenhouse.io/graphcore/jobs/8230202002" TargetMode="External" Id="rId51" /><Relationship Type="http://schemas.openxmlformats.org/officeDocument/2006/relationships/hyperlink" Target="https://job-boards.greenhouse.io/graphcore/jobs/8235270002" TargetMode="External" Id="rId52" /><Relationship Type="http://schemas.openxmlformats.org/officeDocument/2006/relationships/hyperlink" Target="https://job-boards.greenhouse.io/graphcore/jobs/8238577002" TargetMode="External" Id="rId53" /><Relationship Type="http://schemas.openxmlformats.org/officeDocument/2006/relationships/hyperlink" Target="https://job-boards.greenhouse.io/graphcore/jobs/8471683002" TargetMode="External" Id="rId54" /><Relationship Type="http://schemas.openxmlformats.org/officeDocument/2006/relationships/hyperlink" Target="https://job-boards.greenhouse.io/graphcore/jobs/8562515002" TargetMode="External" Id="rId55" /><Relationship Type="http://schemas.openxmlformats.org/officeDocument/2006/relationships/hyperlink" Target="https://job-boards.greenhouse.io/graphcore/jobs/8478749002" TargetMode="External" Id="rId56" /><Relationship Type="http://schemas.openxmlformats.org/officeDocument/2006/relationships/hyperlink" Target="https://job-boards.greenhouse.io/graphcore/jobs/8570452002" TargetMode="External" Id="rId57" /><Relationship Type="http://schemas.openxmlformats.org/officeDocument/2006/relationships/hyperlink" Target="https://job-boards.greenhouse.io/graphcore/jobs/8539033002" TargetMode="External" Id="rId58" /><Relationship Type="http://schemas.openxmlformats.org/officeDocument/2006/relationships/hyperlink" Target="https://job-boards.greenhouse.io/graphcore/jobs/8557829002" TargetMode="External" Id="rId59" /><Relationship Type="http://schemas.openxmlformats.org/officeDocument/2006/relationships/hyperlink" Target="https://job-boards.greenhouse.io/graphcore/jobs/8551488002" TargetMode="External" Id="rId60" /><Relationship Type="http://schemas.openxmlformats.org/officeDocument/2006/relationships/hyperlink" Target="https://job-boards.greenhouse.io/graphcore/jobs/8504462002" TargetMode="External" Id="rId61" /><Relationship Type="http://schemas.openxmlformats.org/officeDocument/2006/relationships/hyperlink" Target="https://job-boards.greenhouse.io/graphcore/jobs/8564594002" TargetMode="External" Id="rId62" /><Relationship Type="http://schemas.openxmlformats.org/officeDocument/2006/relationships/hyperlink" Target="https://job-boards.greenhouse.io/graphcore/jobs/8383085002" TargetMode="External" Id="rId63" /><Relationship Type="http://schemas.openxmlformats.org/officeDocument/2006/relationships/hyperlink" Target="https://job-boards.greenhouse.io/graphcore/jobs/8589876002" TargetMode="External" Id="rId64" /><Relationship Type="http://schemas.openxmlformats.org/officeDocument/2006/relationships/hyperlink" Target="https://job-boards.greenhouse.io/graphcore/jobs/8539920002" TargetMode="External" Id="rId65" /><Relationship Type="http://schemas.openxmlformats.org/officeDocument/2006/relationships/hyperlink" Target="https://job-boards.greenhouse.io/graphcore/jobs/8570813002" TargetMode="External" Id="rId66" /><Relationship Type="http://schemas.openxmlformats.org/officeDocument/2006/relationships/hyperlink" Target="https://job-boards.greenhouse.io/graphcore/jobs/8537160002" TargetMode="External" Id="rId67" /><Relationship Type="http://schemas.openxmlformats.org/officeDocument/2006/relationships/hyperlink" Target="https://job-boards.greenhouse.io/graphcore/jobs/8552086002" TargetMode="External" Id="rId68" /><Relationship Type="http://schemas.openxmlformats.org/officeDocument/2006/relationships/hyperlink" Target="https://job-boards.greenhouse.io/graphcore/jobs/8453609002" TargetMode="External" Id="rId69" /><Relationship Type="http://schemas.openxmlformats.org/officeDocument/2006/relationships/hyperlink" Target="https://job-boards.greenhouse.io/graphcore/jobs/8562938002" TargetMode="External" Id="rId70" /><Relationship Type="http://schemas.openxmlformats.org/officeDocument/2006/relationships/hyperlink" Target="https://job-boards.greenhouse.io/graphcore/jobs/8360506002" TargetMode="External" Id="rId71" /><Relationship Type="http://schemas.openxmlformats.org/officeDocument/2006/relationships/hyperlink" Target="https://job-boards.greenhouse.io/graphcore/jobs/8360495002" TargetMode="External" Id="rId72" /><Relationship Type="http://schemas.openxmlformats.org/officeDocument/2006/relationships/hyperlink" Target="https://job-boards.greenhouse.io/graphcore/jobs/8554922002" TargetMode="External" Id="rId73" /><Relationship Type="http://schemas.openxmlformats.org/officeDocument/2006/relationships/hyperlink" Target="https://job-boards.greenhouse.io/graphcore/jobs/8550173002" TargetMode="External" Id="rId74" /><Relationship Type="http://schemas.openxmlformats.org/officeDocument/2006/relationships/hyperlink" Target="https://job-boards.greenhouse.io/graphcore/jobs/8549336002" TargetMode="External" Id="rId75" /><Relationship Type="http://schemas.openxmlformats.org/officeDocument/2006/relationships/hyperlink" Target="https://job-boards.greenhouse.io/graphcore/jobs/8558136002" TargetMode="External" Id="rId76" /><Relationship Type="http://schemas.openxmlformats.org/officeDocument/2006/relationships/hyperlink" Target="https://job-boards.greenhouse.io/graphcore/jobs/8555006002" TargetMode="External" Id="rId77" /><Relationship Type="http://schemas.openxmlformats.org/officeDocument/2006/relationships/hyperlink" Target="https://job-boards.greenhouse.io/graphcore/jobs/8530945002" TargetMode="External" Id="rId78" /><Relationship Type="http://schemas.openxmlformats.org/officeDocument/2006/relationships/hyperlink" Target="https://job-boards.greenhouse.io/graphcore/jobs/8420380002" TargetMode="External" Id="rId79" /><Relationship Type="http://schemas.openxmlformats.org/officeDocument/2006/relationships/hyperlink" Target="https://job-boards.greenhouse.io/graphcore/jobs/8540581002" TargetMode="External" Id="rId80" /><Relationship Type="http://schemas.openxmlformats.org/officeDocument/2006/relationships/hyperlink" Target="https://job-boards.greenhouse.io/graphcore/jobs/8571154002" TargetMode="External" Id="rId81" /><Relationship Type="http://schemas.openxmlformats.org/officeDocument/2006/relationships/hyperlink" Target="https://job-boards.greenhouse.io/graphcore/jobs/8535462002" TargetMode="External" Id="rId82" /><Relationship Type="http://schemas.openxmlformats.org/officeDocument/2006/relationships/hyperlink" Target="https://job-boards.greenhouse.io/graphcore/jobs/8542613002" TargetMode="External" Id="rId83" /><Relationship Type="http://schemas.openxmlformats.org/officeDocument/2006/relationships/hyperlink" Target="https://job-boards.greenhouse.io/graphcore/jobs/8540773002" TargetMode="External" Id="rId84" /><Relationship Type="http://schemas.openxmlformats.org/officeDocument/2006/relationships/hyperlink" Target="https://job-boards.greenhouse.io/graphcore/jobs/8550053002" TargetMode="External" Id="rId85" /><Relationship Type="http://schemas.openxmlformats.org/officeDocument/2006/relationships/hyperlink" Target="https://job-boards.greenhouse.io/graphcore/jobs/8533046002" TargetMode="External" Id="rId86" /><Relationship Type="http://schemas.openxmlformats.org/officeDocument/2006/relationships/hyperlink" Target="https://job-boards.greenhouse.io/graphcore/jobs/8559553002" TargetMode="External" Id="rId87" /><Relationship Type="http://schemas.openxmlformats.org/officeDocument/2006/relationships/hyperlink" Target="https://job-boards.greenhouse.io/graphcore/jobs/8353227002" TargetMode="External" Id="rId88" /><Relationship Type="http://schemas.openxmlformats.org/officeDocument/2006/relationships/hyperlink" Target="https://job-boards.greenhouse.io/graphcore/jobs/8223577002" TargetMode="External" Id="rId89" /><Relationship Type="http://schemas.openxmlformats.org/officeDocument/2006/relationships/hyperlink" Target="https://job-boards.greenhouse.io/graphcore/jobs/8549419002" TargetMode="External" Id="rId90" /><Relationship Type="http://schemas.openxmlformats.org/officeDocument/2006/relationships/hyperlink" Target="https://job-boards.greenhouse.io/graphcore/jobs/8587365002" TargetMode="External" Id="rId91" /><Relationship Type="http://schemas.openxmlformats.org/officeDocument/2006/relationships/hyperlink" Target="https://job-boards.greenhouse.io/graphcore/jobs/8518940002" TargetMode="External" Id="rId92" /><Relationship Type="http://schemas.openxmlformats.org/officeDocument/2006/relationships/hyperlink" Target="https://job-boards.greenhouse.io/graphcore/jobs/8491548002" TargetMode="External" Id="rId93" /><Relationship Type="http://schemas.openxmlformats.org/officeDocument/2006/relationships/hyperlink" Target="https://job-boards.greenhouse.io/graphcore/jobs/8559597002" TargetMode="External" Id="rId94" /><Relationship Type="http://schemas.openxmlformats.org/officeDocument/2006/relationships/hyperlink" Target="https://job-boards.greenhouse.io/graphcore/jobs/8539084002" TargetMode="External" Id="rId95" /><Relationship Type="http://schemas.openxmlformats.org/officeDocument/2006/relationships/hyperlink" Target="https://job-boards.greenhouse.io/graphcore/jobs/8549968002" TargetMode="External" Id="rId96" /><Relationship Type="http://schemas.openxmlformats.org/officeDocument/2006/relationships/hyperlink" Target="https://job-boards.greenhouse.io/graphcore/jobs/8467394002" TargetMode="External" Id="rId97" /><Relationship Type="http://schemas.openxmlformats.org/officeDocument/2006/relationships/hyperlink" Target="https://job-boards.greenhouse.io/graphcore/jobs/8549391002" TargetMode="External" Id="rId98" /><Relationship Type="http://schemas.openxmlformats.org/officeDocument/2006/relationships/hyperlink" Target="https://job-boards.greenhouse.io/graphcore/jobs/8383084002" TargetMode="External" Id="rId99" /><Relationship Type="http://schemas.openxmlformats.org/officeDocument/2006/relationships/hyperlink" Target="https://job-boards.greenhouse.io/graphcore/jobs/8383035002" TargetMode="External" Id="rId100" /><Relationship Type="http://schemas.openxmlformats.org/officeDocument/2006/relationships/hyperlink" Target="https://job-boards.greenhouse.io/graphcore/jobs/8471155002" TargetMode="External" Id="rId101" /><Relationship Type="http://schemas.openxmlformats.org/officeDocument/2006/relationships/hyperlink" Target="https://job-boards.greenhouse.io/graphcore/jobs/8547739002" TargetMode="External" Id="rId102" /><Relationship Type="http://schemas.openxmlformats.org/officeDocument/2006/relationships/hyperlink" Target="https://job-boards.greenhouse.io/graphcore/jobs/8557915002" TargetMode="External" Id="rId103" /><Relationship Type="http://schemas.openxmlformats.org/officeDocument/2006/relationships/hyperlink" Target="https://job-boards.greenhouse.io/graphcore/jobs/8556059002" TargetMode="External" Id="rId104" /><Relationship Type="http://schemas.openxmlformats.org/officeDocument/2006/relationships/hyperlink" Target="https://job-boards.greenhouse.io/graphcore/jobs/8420314002" TargetMode="External" Id="rId105" /><Relationship Type="http://schemas.openxmlformats.org/officeDocument/2006/relationships/hyperlink" Target="https://job-boards.greenhouse.io/graphcore/jobs/8551495002" TargetMode="External" Id="rId106" /><Relationship Type="http://schemas.openxmlformats.org/officeDocument/2006/relationships/hyperlink" Target="https://job-boards.greenhouse.io/graphcore/jobs/8491405002" TargetMode="External" Id="rId107" /><Relationship Type="http://schemas.openxmlformats.org/officeDocument/2006/relationships/hyperlink" Target="https://job-boards.greenhouse.io/graphcore/jobs/8466438002" TargetMode="External" Id="rId108" /><Relationship Type="http://schemas.openxmlformats.org/officeDocument/2006/relationships/hyperlink" Target="https://job-boards.greenhouse.io/graphcore/jobs/8554852002" TargetMode="External" Id="rId109" /><Relationship Type="http://schemas.openxmlformats.org/officeDocument/2006/relationships/hyperlink" Target="https://job-boards.greenhouse.io/graphcore/jobs/8420432002" TargetMode="External" Id="rId110" /><Relationship Type="http://schemas.openxmlformats.org/officeDocument/2006/relationships/hyperlink" Target="https://job-boards.greenhouse.io/graphcore/jobs/8463817002" TargetMode="External" Id="rId111" /><Relationship Type="http://schemas.openxmlformats.org/officeDocument/2006/relationships/hyperlink" Target="https://job-boards.greenhouse.io/graphcore/jobs/8545354002" TargetMode="External" Id="rId112" /><Relationship Type="http://schemas.openxmlformats.org/officeDocument/2006/relationships/hyperlink" Target="https://job-boards.greenhouse.io/graphcore/jobs/8554653002" TargetMode="External" Id="rId113" /><Relationship Type="http://schemas.openxmlformats.org/officeDocument/2006/relationships/hyperlink" Target="https://job-boards.greenhouse.io/graphcore/jobs/8545352002" TargetMode="External" Id="rId114" /><Relationship Type="http://schemas.openxmlformats.org/officeDocument/2006/relationships/hyperlink" Target="https://job-boards.greenhouse.io/graphcore/jobs/8522539002" TargetMode="External" Id="rId115" /><Relationship Type="http://schemas.openxmlformats.org/officeDocument/2006/relationships/hyperlink" Target="https://job-boards.greenhouse.io/graphcore/jobs/8522637002" TargetMode="External" Id="rId116" /><Relationship Type="http://schemas.openxmlformats.org/officeDocument/2006/relationships/hyperlink" Target="https://job-boards.greenhouse.io/graphcore/jobs/8540898002" TargetMode="External" Id="rId117" /><Relationship Type="http://schemas.openxmlformats.org/officeDocument/2006/relationships/hyperlink" Target="https://job-boards.greenhouse.io/graphcore/jobs/8484842002" TargetMode="External" Id="rId118" /><Relationship Type="http://schemas.openxmlformats.org/officeDocument/2006/relationships/hyperlink" Target="https://job-boards.greenhouse.io/graphcore/jobs/8467387002" TargetMode="External" Id="rId119" /><Relationship Type="http://schemas.openxmlformats.org/officeDocument/2006/relationships/hyperlink" Target="https://job-boards.greenhouse.io/graphcore/jobs/8561992002" TargetMode="External" Id="rId120" /><Relationship Type="http://schemas.openxmlformats.org/officeDocument/2006/relationships/hyperlink" Target="https://job-boards.greenhouse.io/graphcore/jobs/8559423002" TargetMode="External" Id="rId121" /><Relationship Type="http://schemas.openxmlformats.org/officeDocument/2006/relationships/hyperlink" Target="https://job-boards.greenhouse.io/graphcore/jobs/8558047002" TargetMode="External" Id="rId122" /><Relationship Type="http://schemas.openxmlformats.org/officeDocument/2006/relationships/hyperlink" Target="https://job-boards.greenhouse.io/cerebrassystems/jobs/6538655003" TargetMode="External" Id="rId123" /><Relationship Type="http://schemas.openxmlformats.org/officeDocument/2006/relationships/hyperlink" Target="https://job-boards.greenhouse.io/cerebrassystems/jobs/7691353003" TargetMode="External" Id="rId124" /><Relationship Type="http://schemas.openxmlformats.org/officeDocument/2006/relationships/hyperlink" Target="https://job-boards.greenhouse.io/cerebrassystems/jobs/7683606003" TargetMode="External" Id="rId125" /><Relationship Type="http://schemas.openxmlformats.org/officeDocument/2006/relationships/hyperlink" Target="https://job-boards.greenhouse.io/cerebrassystems/jobs/7691343003" TargetMode="External" Id="rId126" /><Relationship Type="http://schemas.openxmlformats.org/officeDocument/2006/relationships/hyperlink" Target="https://job-boards.greenhouse.io/cerebrassystems/jobs/7735288003" TargetMode="External" Id="rId127" /><Relationship Type="http://schemas.openxmlformats.org/officeDocument/2006/relationships/hyperlink" Target="https://job-boards.greenhouse.io/cerebrassystems/jobs/7625563003" TargetMode="External" Id="rId128" /><Relationship Type="http://schemas.openxmlformats.org/officeDocument/2006/relationships/hyperlink" Target="https://job-boards.greenhouse.io/cerebrassystems/jobs/5913347003" TargetMode="External" Id="rId129" /><Relationship Type="http://schemas.openxmlformats.org/officeDocument/2006/relationships/hyperlink" Target="https://job-boards.greenhouse.io/cerebrassystems/jobs/7593896003" TargetMode="External" Id="rId130" /><Relationship Type="http://schemas.openxmlformats.org/officeDocument/2006/relationships/hyperlink" Target="https://job-boards.greenhouse.io/cerebrassystems/jobs/6549894003" TargetMode="External" Id="rId131" /><Relationship Type="http://schemas.openxmlformats.org/officeDocument/2006/relationships/hyperlink" Target="https://job-boards.greenhouse.io/cerebrassystems/jobs/7588502003" TargetMode="External" Id="rId132" /><Relationship Type="http://schemas.openxmlformats.org/officeDocument/2006/relationships/hyperlink" Target="https://job-boards.greenhouse.io/cerebrassystems/jobs/7655035003" TargetMode="External" Id="rId133" /><Relationship Type="http://schemas.openxmlformats.org/officeDocument/2006/relationships/hyperlink" Target="https://job-boards.greenhouse.io/cerebrassystems/jobs/7753254003" TargetMode="External" Id="rId134" /><Relationship Type="http://schemas.openxmlformats.org/officeDocument/2006/relationships/hyperlink" Target="https://job-boards.greenhouse.io/cerebrassystems/jobs/7614890003" TargetMode="External" Id="rId135" /><Relationship Type="http://schemas.openxmlformats.org/officeDocument/2006/relationships/hyperlink" Target="https://job-boards.greenhouse.io/cerebrassystems/jobs/7580399003" TargetMode="External" Id="rId136" /><Relationship Type="http://schemas.openxmlformats.org/officeDocument/2006/relationships/hyperlink" Target="https://job-boards.greenhouse.io/cerebrassystems/jobs/7635821003" TargetMode="External" Id="rId137" /><Relationship Type="http://schemas.openxmlformats.org/officeDocument/2006/relationships/hyperlink" Target="https://job-boards.greenhouse.io/cerebrassystems/jobs/7522566003" TargetMode="External" Id="rId138" /><Relationship Type="http://schemas.openxmlformats.org/officeDocument/2006/relationships/hyperlink" Target="https://job-boards.greenhouse.io/cerebrassystems/jobs/7763846003" TargetMode="External" Id="rId139" /><Relationship Type="http://schemas.openxmlformats.org/officeDocument/2006/relationships/hyperlink" Target="https://job-boards.greenhouse.io/cerebrassystems/jobs/7763894003" TargetMode="External" Id="rId140" /><Relationship Type="http://schemas.openxmlformats.org/officeDocument/2006/relationships/hyperlink" Target="https://job-boards.greenhouse.io/cerebrassystems/jobs/7582638003" TargetMode="External" Id="rId141" /><Relationship Type="http://schemas.openxmlformats.org/officeDocument/2006/relationships/hyperlink" Target="https://job-boards.greenhouse.io/cerebrassystems/jobs/7628237003" TargetMode="External" Id="rId142" /><Relationship Type="http://schemas.openxmlformats.org/officeDocument/2006/relationships/hyperlink" Target="https://job-boards.greenhouse.io/cerebrassystems/jobs/7677112003" TargetMode="External" Id="rId143" /><Relationship Type="http://schemas.openxmlformats.org/officeDocument/2006/relationships/hyperlink" Target="https://job-boards.greenhouse.io/cerebrassystems/jobs/7582897003" TargetMode="External" Id="rId144" /><Relationship Type="http://schemas.openxmlformats.org/officeDocument/2006/relationships/hyperlink" Target="https://job-boards.greenhouse.io/cerebrassystems/jobs/7628224003" TargetMode="External" Id="rId145" /><Relationship Type="http://schemas.openxmlformats.org/officeDocument/2006/relationships/hyperlink" Target="https://job-boards.greenhouse.io/cerebrassystems/jobs/6654277003" TargetMode="External" Id="rId146" /><Relationship Type="http://schemas.openxmlformats.org/officeDocument/2006/relationships/hyperlink" Target="https://job-boards.greenhouse.io/cerebrassystems/jobs/7636808003" TargetMode="External" Id="rId147" /><Relationship Type="http://schemas.openxmlformats.org/officeDocument/2006/relationships/hyperlink" Target="https://job-boards.greenhouse.io/cerebrassystems/jobs/7486714003" TargetMode="External" Id="rId148" /><Relationship Type="http://schemas.openxmlformats.org/officeDocument/2006/relationships/hyperlink" Target="https://job-boards.greenhouse.io/cerebrassystems/jobs/7618093003" TargetMode="External" Id="rId149" /><Relationship Type="http://schemas.openxmlformats.org/officeDocument/2006/relationships/hyperlink" Target="https://job-boards.greenhouse.io/cerebrassystems/jobs/6658665003" TargetMode="External" Id="rId150" /><Relationship Type="http://schemas.openxmlformats.org/officeDocument/2006/relationships/hyperlink" Target="https://job-boards.greenhouse.io/cerebrassystems/jobs/7720168003" TargetMode="External" Id="rId151" /><Relationship Type="http://schemas.openxmlformats.org/officeDocument/2006/relationships/hyperlink" Target="https://job-boards.greenhouse.io/cerebrassystems/jobs/7611652003" TargetMode="External" Id="rId152" /><Relationship Type="http://schemas.openxmlformats.org/officeDocument/2006/relationships/hyperlink" Target="https://job-boards.greenhouse.io/cerebrassystems/jobs/7628218003" TargetMode="External" Id="rId153" /><Relationship Type="http://schemas.openxmlformats.org/officeDocument/2006/relationships/hyperlink" Target="https://job-boards.greenhouse.io/cerebrassystems/jobs/7628220003" TargetMode="External" Id="rId154" /><Relationship Type="http://schemas.openxmlformats.org/officeDocument/2006/relationships/hyperlink" Target="https://job-boards.greenhouse.io/cerebrassystems/jobs/7629637003" TargetMode="External" Id="rId155" /><Relationship Type="http://schemas.openxmlformats.org/officeDocument/2006/relationships/hyperlink" Target="https://job-boards.greenhouse.io/cerebrassystems/jobs/7524095003" TargetMode="External" Id="rId156" /><Relationship Type="http://schemas.openxmlformats.org/officeDocument/2006/relationships/hyperlink" Target="https://job-boards.greenhouse.io/cerebrassystems/jobs/7752149003" TargetMode="External" Id="rId157" /><Relationship Type="http://schemas.openxmlformats.org/officeDocument/2006/relationships/hyperlink" Target="https://job-boards.greenhouse.io/cerebrassystems/jobs/7669166003" TargetMode="External" Id="rId158" /><Relationship Type="http://schemas.openxmlformats.org/officeDocument/2006/relationships/hyperlink" Target="https://job-boards.greenhouse.io/cerebrassystems/jobs/7694185003" TargetMode="External" Id="rId159" /><Relationship Type="http://schemas.openxmlformats.org/officeDocument/2006/relationships/hyperlink" Target="https://job-boards.greenhouse.io/cerebrassystems/jobs/7634141003" TargetMode="External" Id="rId160" /><Relationship Type="http://schemas.openxmlformats.org/officeDocument/2006/relationships/hyperlink" Target="https://job-boards.greenhouse.io/cerebrassystems/jobs/7774479003" TargetMode="External" Id="rId161" /><Relationship Type="http://schemas.openxmlformats.org/officeDocument/2006/relationships/hyperlink" Target="https://job-boards.greenhouse.io/cerebrassystems/jobs/7599454003" TargetMode="External" Id="rId162" /><Relationship Type="http://schemas.openxmlformats.org/officeDocument/2006/relationships/hyperlink" Target="https://job-boards.greenhouse.io/cerebrassystems/jobs/7527601003" TargetMode="External" Id="rId163" /><Relationship Type="http://schemas.openxmlformats.org/officeDocument/2006/relationships/hyperlink" Target="https://job-boards.greenhouse.io/cerebrassystems/jobs/7762739003" TargetMode="External" Id="rId164" /><Relationship Type="http://schemas.openxmlformats.org/officeDocument/2006/relationships/hyperlink" Target="https://job-boards.greenhouse.io/cerebrassystems/jobs/7112048003" TargetMode="External" Id="rId165" /><Relationship Type="http://schemas.openxmlformats.org/officeDocument/2006/relationships/hyperlink" Target="https://job-boards.greenhouse.io/cerebrassystems/jobs/7528266003" TargetMode="External" Id="rId166" /><Relationship Type="http://schemas.openxmlformats.org/officeDocument/2006/relationships/hyperlink" Target="https://job-boards.greenhouse.io/cerebrassystems/jobs/7724730003" TargetMode="External" Id="rId167" /><Relationship Type="http://schemas.openxmlformats.org/officeDocument/2006/relationships/hyperlink" Target="https://job-boards.greenhouse.io/cerebrassystems/jobs/7764007003" TargetMode="External" Id="rId168" /><Relationship Type="http://schemas.openxmlformats.org/officeDocument/2006/relationships/hyperlink" Target="https://job-boards.greenhouse.io/cerebrassystems/jobs/6585289003" TargetMode="External" Id="rId169" /><Relationship Type="http://schemas.openxmlformats.org/officeDocument/2006/relationships/hyperlink" Target="https://job-boards.greenhouse.io/cerebrassystems/jobs/7720309003" TargetMode="External" Id="rId170" /><Relationship Type="http://schemas.openxmlformats.org/officeDocument/2006/relationships/hyperlink" Target="https://job-boards.greenhouse.io/cerebrassystems/jobs/7751790003" TargetMode="External" Id="rId171" /><Relationship Type="http://schemas.openxmlformats.org/officeDocument/2006/relationships/hyperlink" Target="https://job-boards.greenhouse.io/cerebrassystems/jobs/7647319003" TargetMode="External" Id="rId172" /><Relationship Type="http://schemas.openxmlformats.org/officeDocument/2006/relationships/hyperlink" Target="https://job-boards.greenhouse.io/cerebrassystems/jobs/7497712003" TargetMode="External" Id="rId173" /><Relationship Type="http://schemas.openxmlformats.org/officeDocument/2006/relationships/hyperlink" Target="https://job-boards.greenhouse.io/cerebrassystems/jobs/7749004003" TargetMode="External" Id="rId174" /><Relationship Type="http://schemas.openxmlformats.org/officeDocument/2006/relationships/hyperlink" Target="https://job-boards.greenhouse.io/cerebrassystems/jobs/7730279003" TargetMode="External" Id="rId175" /><Relationship Type="http://schemas.openxmlformats.org/officeDocument/2006/relationships/hyperlink" Target="https://job-boards.greenhouse.io/cerebrassystems/jobs/7647330003" TargetMode="External" Id="rId176" /><Relationship Type="http://schemas.openxmlformats.org/officeDocument/2006/relationships/hyperlink" Target="https://job-boards.greenhouse.io/cerebrassystems/jobs/7656210003" TargetMode="External" Id="rId177" /><Relationship Type="http://schemas.openxmlformats.org/officeDocument/2006/relationships/hyperlink" Target="https://job-boards.greenhouse.io/cerebrassystems/jobs/7628229003" TargetMode="External" Id="rId178" /><Relationship Type="http://schemas.openxmlformats.org/officeDocument/2006/relationships/hyperlink" Target="https://job-boards.greenhouse.io/cerebrassystems/jobs/7628240003" TargetMode="External" Id="rId179" /><Relationship Type="http://schemas.openxmlformats.org/officeDocument/2006/relationships/hyperlink" Target="https://sifive.wd1.myworkdayjobs.com/job/Ahmedabad-India/NoC-Design-Verification-Engineer_R-101348" TargetMode="External" Id="rId180" /><Relationship Type="http://schemas.openxmlformats.org/officeDocument/2006/relationships/hyperlink" Target="https://sifive.wd1.myworkdayjobs.com/job/Cambridge-England-United-Kingdom/Technical-Functional-Safety-Program-Manager_R-101332" TargetMode="External" Id="rId181" /><Relationship Type="http://schemas.openxmlformats.org/officeDocument/2006/relationships/hyperlink" Target="https://sifive.wd1.myworkdayjobs.com/job/Hyderabad-India/Sr-CPU-DV-Engineer_R-101279" TargetMode="External" Id="rId182" /><Relationship Type="http://schemas.openxmlformats.org/officeDocument/2006/relationships/hyperlink" Target="https://sifive.wd1.myworkdayjobs.com/job/Santa-Clara-California-United-States/Intern---Design-Verification-Infrastructure-Engineer---Platform_R-101292" TargetMode="External" Id="rId183" /><Relationship Type="http://schemas.openxmlformats.org/officeDocument/2006/relationships/hyperlink" Target="https://sifive.wd1.myworkdayjobs.com/job/Hsinchu-Taiwan/RTL-Design-Engineer_R-101289" TargetMode="External" Id="rId184" /><Relationship Type="http://schemas.openxmlformats.org/officeDocument/2006/relationships/hyperlink" Target="https://sifive.wd1.myworkdayjobs.com/job/Hsinchu-Taiwan/Performance-Model-Engineer_R-101283" TargetMode="External" Id="rId185" /><Relationship Type="http://schemas.openxmlformats.org/officeDocument/2006/relationships/hyperlink" Target="https://sifive.wd1.myworkdayjobs.com/job/Santa-Clara-California-United-States/CPU-Power-Management-Design-Engineer_R-101089" TargetMode="External" Id="rId186" /><Relationship Type="http://schemas.openxmlformats.org/officeDocument/2006/relationships/hyperlink" Target="https://sifive.wd1.myworkdayjobs.com/job/Santa-Clara-California-United-States/Core-Performance-Architect_R-101086" TargetMode="External" Id="rId187" /><Relationship Type="http://schemas.openxmlformats.org/officeDocument/2006/relationships/hyperlink" Target="https://sifive.wd1.myworkdayjobs.com/job/Santa-Clara-CA/Datacenter-System-Software-Architect_R-101140" TargetMode="External" Id="rId188" /><Relationship Type="http://schemas.openxmlformats.org/officeDocument/2006/relationships/hyperlink" Target="https://sifive.wd1.myworkdayjobs.com/job/Santa-Clara-California-United-States/Debug-Trace-Profiling-Design-Engineer_R-101155" TargetMode="External" Id="rId189" /><Relationship Type="http://schemas.openxmlformats.org/officeDocument/2006/relationships/hyperlink" Target="https://sifive.wd1.myworkdayjobs.com/job/Santa-Clara-California-United-States/Executive-Business-Partner---Executive-Assistant-to-the-CTO---EVP-Engineering_R-101189" TargetMode="External" Id="rId190" /><Relationship Type="http://schemas.openxmlformats.org/officeDocument/2006/relationships/hyperlink" Target="https://sifive.wd1.myworkdayjobs.com/job/Santa-Clara-CA/Interconnect-Design-Engineer_R-101156" TargetMode="External" Id="rId191" /><Relationship Type="http://schemas.openxmlformats.org/officeDocument/2006/relationships/hyperlink" Target="https://sifive.wd1.myworkdayjobs.com/job/Santa-Clara-California-United-States/Platform-Technologies-Language---Frontend-Design-Engineer_R-101130" TargetMode="External" Id="rId192" /><Relationship Type="http://schemas.openxmlformats.org/officeDocument/2006/relationships/hyperlink" Target="https://dyson.wd3.myworkdayjobs.com/job/Germany---Nordrhein-Westfalen-Remote/Retail-Stores--Supervisor---Team-Lead_JR35735" TargetMode="External" Id="rId193" /><Relationship Type="http://schemas.openxmlformats.org/officeDocument/2006/relationships/hyperlink" Target="https://dyson.wd3.myworkdayjobs.com/job/United-Kingdom---London-Oxford-Street-Office/Key-Account-Executive---John-Lewis-Partnership_JR36723" TargetMode="External" Id="rId194" /><Relationship Type="http://schemas.openxmlformats.org/officeDocument/2006/relationships/hyperlink" Target="https://dyson.wd3.myworkdayjobs.com/job/United-Kingdom---Malmesbury-Office/Key-Account-Executive---Beauty_JR36722" TargetMode="External" Id="rId195" /><Relationship Type="http://schemas.openxmlformats.org/officeDocument/2006/relationships/hyperlink" Target="https://dyson.wd3.myworkdayjobs.com/job/Spain---Madrid-Office/Performance-Media-Manager_JR35336-1" TargetMode="External" Id="rId196" /><Relationship Type="http://schemas.openxmlformats.org/officeDocument/2006/relationships/hyperlink" Target="https://dyson.wd3.myworkdayjobs.com/job/Poland---Krakow-Office/Payroll-Specialist_JR36652" TargetMode="External" Id="rId197" /><Relationship Type="http://schemas.openxmlformats.org/officeDocument/2006/relationships/hyperlink" Target="https://dyson.wd3.myworkdayjobs.com/job/Germany---Bayern-Remote/Friseurin-Hair-Stylistin_JR36356" TargetMode="External" Id="rId198" /><Relationship Type="http://schemas.openxmlformats.org/officeDocument/2006/relationships/hyperlink" Target="https://dyson.wd3.myworkdayjobs.com/job/Turkey---Ankara-Panora-Demo-Zone/Store-Manager---Ankara-Panora-AVM_JR36061" TargetMode="External" Id="rId199" /><Relationship Type="http://schemas.openxmlformats.org/officeDocument/2006/relationships/hyperlink" Target="https://dyson.wd3.myworkdayjobs.com/job/Germany---Baden-Wrttemberg-Remote/Dyson-Expert_JR34858" TargetMode="External" Id="rId200" /><Relationship Type="http://schemas.openxmlformats.org/officeDocument/2006/relationships/hyperlink" Target="https://dyson.wd3.myworkdayjobs.com/job/Germany---Nordrhein-Westfalen-Remote/Retail-Expert_JR33565" TargetMode="External" Id="rId201" /><Relationship Type="http://schemas.openxmlformats.org/officeDocument/2006/relationships/hyperlink" Target="https://dyson.wd3.myworkdayjobs.com/job/Germany---Nordrhein-Westfalen-Remote/Verkaufsberater-in-Sales-Associate_JR36157-1" TargetMode="External" Id="rId202" /><Relationship Type="http://schemas.openxmlformats.org/officeDocument/2006/relationships/hyperlink" Target="https://dyson.wd3.myworkdayjobs.com/job/India---Lucknow-Sales-Office/Zonal-Sales-Manager_JR36591" TargetMode="External" Id="rId203" /><Relationship Type="http://schemas.openxmlformats.org/officeDocument/2006/relationships/hyperlink" Target="https://dyson.wd3.myworkdayjobs.com/job/Singapore---Technology-Centre/Demand-Planner_JR36845" TargetMode="External" Id="rId204" /><Relationship Type="http://schemas.openxmlformats.org/officeDocument/2006/relationships/hyperlink" Target="https://dyson.wd3.myworkdayjobs.com/job/China---Dalian-Office/Sales-Order-Processing--Analyst---Specialist_JR36877-1" TargetMode="External" Id="rId205" /><Relationship Type="http://schemas.openxmlformats.org/officeDocument/2006/relationships/hyperlink" Target="https://dyson.wd3.myworkdayjobs.com/job/China---Dalian-Office/Sales-Order-Processing-Analyst_JR36878" TargetMode="External" Id="rId206" /><Relationship Type="http://schemas.openxmlformats.org/officeDocument/2006/relationships/hyperlink" Target="https://dyson.wd3.myworkdayjobs.com/job/Singapore---St-James-Power-Station-Headquarters/Finance-Manager---Cost-of-Acquisition_JR36776" TargetMode="External" Id="rId207" /><Relationship Type="http://schemas.openxmlformats.org/officeDocument/2006/relationships/hyperlink" Target="https://dyson.wd3.myworkdayjobs.com/job/Germany---Rheinland-Pfalz-Remote/Dyson-Expert_JR35086" TargetMode="External" Id="rId208" /><Relationship Type="http://schemas.openxmlformats.org/officeDocument/2006/relationships/hyperlink" Target="https://dyson.wd3.myworkdayjobs.com/job/Germany---Frankfurt-MyZeil-Demo-Store/Verkaufsberaterin-Sales-Associate_JR36564" TargetMode="External" Id="rId209" /><Relationship Type="http://schemas.openxmlformats.org/officeDocument/2006/relationships/hyperlink" Target="https://dyson.wd3.myworkdayjobs.com/job/Turkey---Istanbul-Office/Sales-Planning-Manager_JR36812" TargetMode="External" Id="rId210" /><Relationship Type="http://schemas.openxmlformats.org/officeDocument/2006/relationships/hyperlink" Target="https://dyson.wd3.myworkdayjobs.com/job/Turkey---Ankara-Panora-Demo-Zone/Dyson-Expert---Ankara-Panora-AVM--Part-Time-_JR36599" TargetMode="External" Id="rId211" /><Relationship Type="http://schemas.openxmlformats.org/officeDocument/2006/relationships/hyperlink" Target="https://dyson.wd3.myworkdayjobs.com/job/Germany---Cologne-Office/Finance-Manager--Retailer-Accounts-_JR36769" TargetMode="External" Id="rId212" /><Relationship Type="http://schemas.openxmlformats.org/officeDocument/2006/relationships/hyperlink" Target="https://dyson.wd3.myworkdayjobs.com/job/Germany---Niedersachsen-Remote/Dyson-Expert_JR34697" TargetMode="External" Id="rId213" /><Relationship Type="http://schemas.openxmlformats.org/officeDocument/2006/relationships/hyperlink" Target="https://dyson.wd3.myworkdayjobs.com/job/Malaysia---Global-Development-Campus-Johor-Bahru/Graduate-Electronics-Hardware-Engineer--Malaysia-_JR36942" TargetMode="External" Id="rId214" /><Relationship Type="http://schemas.openxmlformats.org/officeDocument/2006/relationships/hyperlink" Target="https://dyson.wd3.myworkdayjobs.com/job/Singapore---Technology-Centre/Global-Supply-Chain-Graduate_JR35368" TargetMode="External" Id="rId215" /><Relationship Type="http://schemas.openxmlformats.org/officeDocument/2006/relationships/hyperlink" Target="https://dyson.wd3.myworkdayjobs.com/job/Malaysia---Global-Development-Campus-Johor-Bahru/Graduate-Packaging-Engineer_JR36941" TargetMode="External" Id="rId216" /><Relationship Type="http://schemas.openxmlformats.org/officeDocument/2006/relationships/hyperlink" Target="https://dyson.wd3.myworkdayjobs.com/job/Malaysia---Global-Development-Campus-Johor-Bahru/Graduate-Electronics-Engineer_JR36936" TargetMode="External" Id="rId217" /><Relationship Type="http://schemas.openxmlformats.org/officeDocument/2006/relationships/hyperlink" Target="https://dyson.wd3.myworkdayjobs.com/job/Singapore---Technology-Centre/Design-Engineer_JR36893" TargetMode="External" Id="rId218" /><Relationship Type="http://schemas.openxmlformats.org/officeDocument/2006/relationships/hyperlink" Target="https://dyson.wd3.myworkdayjobs.com/job/Malaysia---Global-Development-Campus-Johor-Bahru/Graduate-Design-Engineer--Malaysia-_JR36908-1" TargetMode="External" Id="rId219" /><Relationship Type="http://schemas.openxmlformats.org/officeDocument/2006/relationships/hyperlink" Target="https://dyson.wd3.myworkdayjobs.com/job/Japan---Tokyo-Office/Sales-Manager--Department-Store----Key-Account-Manager--EM-_JR34537" TargetMode="External" Id="rId220" /><Relationship Type="http://schemas.openxmlformats.org/officeDocument/2006/relationships/hyperlink" Target="https://dyson.wd3.myworkdayjobs.com/job/Singapore---St-James-Power-Station-Headquarters/Design-Manager---Experience_JR36331-1" TargetMode="External" Id="rId221" /><Relationship Type="http://schemas.openxmlformats.org/officeDocument/2006/relationships/hyperlink" Target="https://uk.indeed.com/viewjob" TargetMode="External" Id="rId222" /><Relationship Type="http://schemas.openxmlformats.org/officeDocument/2006/relationships/hyperlink" Target="https://www.linkedin.com/jobs/view/4424367816" TargetMode="External" Id="rId223" /><Relationship Type="http://schemas.openxmlformats.org/officeDocument/2006/relationships/hyperlink" Target="https://www.linkedin.com/jobs/view/4414001759" TargetMode="External" Id="rId224" /><Relationship Type="http://schemas.openxmlformats.org/officeDocument/2006/relationships/hyperlink" Target="https://uk.indeed.com/viewjob" TargetMode="External" Id="rId225" /><Relationship Type="http://schemas.openxmlformats.org/officeDocument/2006/relationships/hyperlink" Target="https://www.linkedin.com/jobs/view/4428107057" TargetMode="External" Id="rId226" /><Relationship Type="http://schemas.openxmlformats.org/officeDocument/2006/relationships/hyperlink" Target="https://www.linkedin.com/jobs/view/4421804402" TargetMode="External" Id="rId227" /><Relationship Type="http://schemas.openxmlformats.org/officeDocument/2006/relationships/hyperlink" Target="https://www.linkedin.com/jobs/view/4426203528" TargetMode="External" Id="rId228" /><Relationship Type="http://schemas.openxmlformats.org/officeDocument/2006/relationships/hyperlink" Target="https://uk.indeed.com/viewjob" TargetMode="External" Id="rId229" /><Relationship Type="http://schemas.openxmlformats.org/officeDocument/2006/relationships/hyperlink" Target="https://www.linkedin.com/jobs/view/4415917167" TargetMode="External" Id="rId230" /><Relationship Type="http://schemas.openxmlformats.org/officeDocument/2006/relationships/hyperlink" Target="https://uk.indeed.com/viewjob" TargetMode="External" Id="rId231" /><Relationship Type="http://schemas.openxmlformats.org/officeDocument/2006/relationships/hyperlink" Target="https://www.linkedin.com/jobs/view/4421125234" TargetMode="External" Id="rId232" /><Relationship Type="http://schemas.openxmlformats.org/officeDocument/2006/relationships/hyperlink" Target="https://www.linkedin.com/jobs/view/4421117629" TargetMode="External" Id="rId233" /><Relationship Type="http://schemas.openxmlformats.org/officeDocument/2006/relationships/hyperlink" Target="https://www.linkedin.com/jobs/view/4421109592" TargetMode="External" Id="rId234" /><Relationship Type="http://schemas.openxmlformats.org/officeDocument/2006/relationships/hyperlink" Target="https://www.linkedin.com/jobs/view/4428826015" TargetMode="External" Id="rId235" /><Relationship Type="http://schemas.openxmlformats.org/officeDocument/2006/relationships/hyperlink" Target="https://www.linkedin.com/jobs/view/4427387178" TargetMode="External" Id="rId236" /><Relationship Type="http://schemas.openxmlformats.org/officeDocument/2006/relationships/hyperlink" Target="https://www.linkedin.com/jobs/view/4353476730" TargetMode="External" Id="rId237" /><Relationship Type="http://schemas.openxmlformats.org/officeDocument/2006/relationships/hyperlink" Target="https://www.linkedin.com/jobs/view/4353646278" TargetMode="External" Id="rId238" /><Relationship Type="http://schemas.openxmlformats.org/officeDocument/2006/relationships/hyperlink" Target="https://www.linkedin.com/jobs/view/4430476481" TargetMode="External" Id="rId239" /><Relationship Type="http://schemas.openxmlformats.org/officeDocument/2006/relationships/hyperlink" Target="https://www.linkedin.com/jobs/view/4353683499" TargetMode="External" Id="rId240" /><Relationship Type="http://schemas.openxmlformats.org/officeDocument/2006/relationships/hyperlink" Target="https://www.linkedin.com/jobs/view/4405333727" TargetMode="External" Id="rId241" /><Relationship Type="http://schemas.openxmlformats.org/officeDocument/2006/relationships/hyperlink" Target="https://www.linkedin.com/jobs/view/4402131567" TargetMode="External" Id="rId242" /><Relationship Type="http://schemas.openxmlformats.org/officeDocument/2006/relationships/hyperlink" Target="https://www.linkedin.com/jobs/view/4424406771" TargetMode="External" Id="rId243" /><Relationship Type="http://schemas.openxmlformats.org/officeDocument/2006/relationships/hyperlink" Target="https://www.linkedin.com/jobs/view/4426919730" TargetMode="External" Id="rId244" /><Relationship Type="http://schemas.openxmlformats.org/officeDocument/2006/relationships/hyperlink" Target="https://www.linkedin.com/jobs/view/4421152484" TargetMode="External" Id="rId245" /><Relationship Type="http://schemas.openxmlformats.org/officeDocument/2006/relationships/hyperlink" Target="https://www.linkedin.com/jobs/view/4393023078" TargetMode="External" Id="rId246" /><Relationship Type="http://schemas.openxmlformats.org/officeDocument/2006/relationships/hyperlink" Target="https://www.linkedin.com/jobs/view/4422922018" TargetMode="External" Id="rId247" /><Relationship Type="http://schemas.openxmlformats.org/officeDocument/2006/relationships/hyperlink" Target="https://www.linkedin.com/jobs/view/4423918503" TargetMode="External" Id="rId248" /><Relationship Type="http://schemas.openxmlformats.org/officeDocument/2006/relationships/hyperlink" Target="https://www.linkedin.com/jobs/view/4417205784" TargetMode="External" Id="rId249" /><Relationship Type="http://schemas.openxmlformats.org/officeDocument/2006/relationships/hyperlink" Target="https://www.linkedin.com/jobs/view/4424184433" TargetMode="External" Id="rId250" /><Relationship Type="http://schemas.openxmlformats.org/officeDocument/2006/relationships/hyperlink" Target="https://uk.indeed.com/viewjob" TargetMode="External" Id="rId251" /><Relationship Type="http://schemas.openxmlformats.org/officeDocument/2006/relationships/hyperlink" Target="https://uk.indeed.com/viewjob" TargetMode="External" Id="rId252" /><Relationship Type="http://schemas.openxmlformats.org/officeDocument/2006/relationships/hyperlink" Target="https://www.linkedin.com/jobs/view/4411352812" TargetMode="External" Id="rId253" /><Relationship Type="http://schemas.openxmlformats.org/officeDocument/2006/relationships/hyperlink" Target="https://www.linkedin.com/jobs/view/4419611065" TargetMode="External" Id="rId254" /><Relationship Type="http://schemas.openxmlformats.org/officeDocument/2006/relationships/hyperlink" Target="https://www.linkedin.com/jobs/view/4425694502" TargetMode="External" Id="rId255" /><Relationship Type="http://schemas.openxmlformats.org/officeDocument/2006/relationships/hyperlink" Target="https://www.linkedin.com/jobs/view/4425334139" TargetMode="External" Id="rId256" /><Relationship Type="http://schemas.openxmlformats.org/officeDocument/2006/relationships/hyperlink" Target="https://www.linkedin.com/jobs/view/4416711528" TargetMode="External" Id="rId257" /><Relationship Type="http://schemas.openxmlformats.org/officeDocument/2006/relationships/hyperlink" Target="https://www.linkedin.com/jobs/view/4426807493" TargetMode="External" Id="rId258" /><Relationship Type="http://schemas.openxmlformats.org/officeDocument/2006/relationships/hyperlink" Target="https://www.linkedin.com/jobs/view/4420704367" TargetMode="External" Id="rId259" /><Relationship Type="http://schemas.openxmlformats.org/officeDocument/2006/relationships/hyperlink" Target="https://www.linkedin.com/jobs/view/4423628870" TargetMode="External" Id="rId260" /><Relationship Type="http://schemas.openxmlformats.org/officeDocument/2006/relationships/hyperlink" Target="https://uk.indeed.com/viewjob" TargetMode="External" Id="rId261" /><Relationship Type="http://schemas.openxmlformats.org/officeDocument/2006/relationships/hyperlink" Target="https://uk.indeed.com/viewjob" TargetMode="External" Id="rId262" /><Relationship Type="http://schemas.openxmlformats.org/officeDocument/2006/relationships/hyperlink" Target="https://uk.indeed.com/viewjob" TargetMode="External" Id="rId263" /><Relationship Type="http://schemas.openxmlformats.org/officeDocument/2006/relationships/hyperlink" Target="https://uk.indeed.com/viewjob" TargetMode="External" Id="rId264" /><Relationship Type="http://schemas.openxmlformats.org/officeDocument/2006/relationships/hyperlink" Target="https://www.linkedin.com/jobs/view/4416784944" TargetMode="External" Id="rId265" /><Relationship Type="http://schemas.openxmlformats.org/officeDocument/2006/relationships/hyperlink" Target="https://www.linkedin.com/jobs/view/4426975479" TargetMode="External" Id="rId266" /><Relationship Type="http://schemas.openxmlformats.org/officeDocument/2006/relationships/hyperlink" Target="https://www.linkedin.com/jobs/view/4426967603" TargetMode="External" Id="rId267" /><Relationship Type="http://schemas.openxmlformats.org/officeDocument/2006/relationships/hyperlink" Target="https://www.linkedin.com/jobs/view/4424085531" TargetMode="External" Id="rId268" /><Relationship Type="http://schemas.openxmlformats.org/officeDocument/2006/relationships/hyperlink" Target="https://www.linkedin.com/jobs/view/4418218257" TargetMode="External" Id="rId269" /><Relationship Type="http://schemas.openxmlformats.org/officeDocument/2006/relationships/hyperlink" Target="https://www.linkedin.com/jobs/view/4417220303" TargetMode="External" Id="rId270" /><Relationship Type="http://schemas.openxmlformats.org/officeDocument/2006/relationships/hyperlink" Target="https://www.linkedin.com/jobs/view/4422349050" TargetMode="External" Id="rId271" /><Relationship Type="http://schemas.openxmlformats.org/officeDocument/2006/relationships/hyperlink" Target="https://www.linkedin.com/jobs/view/4427938376" TargetMode="External" Id="rId272" /><Relationship Type="http://schemas.openxmlformats.org/officeDocument/2006/relationships/hyperlink" Target="https://www.linkedin.com/jobs/view/4423511163" TargetMode="External" Id="rId273" /><Relationship Type="http://schemas.openxmlformats.org/officeDocument/2006/relationships/hyperlink" Target="https://www.linkedin.com/jobs/view/4425861231" TargetMode="External" Id="rId274" /><Relationship Type="http://schemas.openxmlformats.org/officeDocument/2006/relationships/hyperlink" Target="https://uk.indeed.com/viewjob" TargetMode="External" Id="rId275" /><Relationship Type="http://schemas.openxmlformats.org/officeDocument/2006/relationships/hyperlink" Target="https://uk.indeed.com/viewjob" TargetMode="External" Id="rId276" /><Relationship Type="http://schemas.openxmlformats.org/officeDocument/2006/relationships/hyperlink" Target="https://www.linkedin.com/jobs/view/4424754458" TargetMode="External" Id="rId277" /><Relationship Type="http://schemas.openxmlformats.org/officeDocument/2006/relationships/hyperlink" Target="https://www.linkedin.com/jobs/view/4429982729" TargetMode="External" Id="rId278" /><Relationship Type="http://schemas.openxmlformats.org/officeDocument/2006/relationships/hyperlink" Target="https://www.linkedin.com/jobs/view/4417312512" TargetMode="External" Id="rId279" /><Relationship Type="http://schemas.openxmlformats.org/officeDocument/2006/relationships/hyperlink" Target="https://uk.indeed.com/viewjob" TargetMode="External" Id="rId280" /><Relationship Type="http://schemas.openxmlformats.org/officeDocument/2006/relationships/hyperlink" Target="https://www.linkedin.com/jobs/view/4420999102" TargetMode="External" Id="rId281" /><Relationship Type="http://schemas.openxmlformats.org/officeDocument/2006/relationships/hyperlink" Target="https://www.linkedin.com/jobs/view/4428499793" TargetMode="External" Id="rId282" /><Relationship Type="http://schemas.openxmlformats.org/officeDocument/2006/relationships/hyperlink" Target="https://www.linkedin.com/jobs/view/4429542837" TargetMode="External" Id="rId283" /><Relationship Type="http://schemas.openxmlformats.org/officeDocument/2006/relationships/hyperlink" Target="https://uk.indeed.com/viewjob" TargetMode="External" Id="rId284" /><Relationship Type="http://schemas.openxmlformats.org/officeDocument/2006/relationships/hyperlink" Target="https://www.linkedin.com/jobs/view/4430490115" TargetMode="External" Id="rId285" /><Relationship Type="http://schemas.openxmlformats.org/officeDocument/2006/relationships/hyperlink" Target="https://www.linkedin.com/jobs/view/4341879428" TargetMode="External" Id="rId286" /><Relationship Type="http://schemas.openxmlformats.org/officeDocument/2006/relationships/hyperlink" Target="https://www.linkedin.com/jobs/view/4416629284" TargetMode="External" Id="rId287" /><Relationship Type="http://schemas.openxmlformats.org/officeDocument/2006/relationships/hyperlink" Target="https://www.linkedin.com/jobs/view/4404999568" TargetMode="External" Id="rId288" /><Relationship Type="http://schemas.openxmlformats.org/officeDocument/2006/relationships/hyperlink" Target="https://www.linkedin.com/jobs/view/4419438174" TargetMode="External" Id="rId289" /><Relationship Type="http://schemas.openxmlformats.org/officeDocument/2006/relationships/hyperlink" Target="https://www.linkedin.com/jobs/view/4416532150" TargetMode="External" Id="rId290" /><Relationship Type="http://schemas.openxmlformats.org/officeDocument/2006/relationships/hyperlink" Target="https://job-boards.greenhouse.io/gocardless/jobs/7942125" TargetMode="External" Id="rId291" /><Relationship Type="http://schemas.openxmlformats.org/officeDocument/2006/relationships/hyperlink" Target="https://www.linkedin.com/jobs/view/4426829327" TargetMode="External" Id="rId292" /><Relationship Type="http://schemas.openxmlformats.org/officeDocument/2006/relationships/hyperlink" Target="https://www.linkedin.com/jobs/view/4421796090" TargetMode="External" Id="rId293" /><Relationship Type="http://schemas.openxmlformats.org/officeDocument/2006/relationships/hyperlink" Target="https://www.linkedin.com/jobs/view/4405801761" TargetMode="External" Id="rId294" /><Relationship Type="http://schemas.openxmlformats.org/officeDocument/2006/relationships/hyperlink" Target="https://www.linkedin.com/jobs/view/4419837938" TargetMode="External" Id="rId295" /><Relationship Type="http://schemas.openxmlformats.org/officeDocument/2006/relationships/hyperlink" Target="https://uk.indeed.com/viewjob" TargetMode="External" Id="rId296" /><Relationship Type="http://schemas.openxmlformats.org/officeDocument/2006/relationships/hyperlink" Target="https://www.linkedin.com/jobs/view/4417084012" TargetMode="External" Id="rId297" /><Relationship Type="http://schemas.openxmlformats.org/officeDocument/2006/relationships/hyperlink" Target="https://www.linkedin.com/jobs/view/4410985669" TargetMode="External" Id="rId298" /><Relationship Type="http://schemas.openxmlformats.org/officeDocument/2006/relationships/hyperlink" Target="https://www.linkedin.com/jobs/view/4418956698" TargetMode="External" Id="rId299" /><Relationship Type="http://schemas.openxmlformats.org/officeDocument/2006/relationships/hyperlink" Target="https://job-boards.greenhouse.io/gocardless/jobs/7996584" TargetMode="External" Id="rId300" /><Relationship Type="http://schemas.openxmlformats.org/officeDocument/2006/relationships/hyperlink" Target="https://job-boards.greenhouse.io/gocardless/jobs/7436395" TargetMode="External" Id="rId301" /><Relationship Type="http://schemas.openxmlformats.org/officeDocument/2006/relationships/hyperlink" Target="https://www.linkedin.com/jobs/view/4426459629" TargetMode="External" Id="rId302" /><Relationship Type="http://schemas.openxmlformats.org/officeDocument/2006/relationships/hyperlink" Target="https://www.linkedin.com/jobs/view/4414339439" TargetMode="External" Id="rId303" /><Relationship Type="http://schemas.openxmlformats.org/officeDocument/2006/relationships/hyperlink" Target="https://www.linkedin.com/jobs/view/4417936467" TargetMode="External" Id="rId304" /><Relationship Type="http://schemas.openxmlformats.org/officeDocument/2006/relationships/hyperlink" Target="https://www.linkedin.com/jobs/view/4413615784" TargetMode="External" Id="rId305" /><Relationship Type="http://schemas.openxmlformats.org/officeDocument/2006/relationships/hyperlink" Target="https://www.linkedin.com/jobs/view/4423981707" TargetMode="External" Id="rId306" /><Relationship Type="http://schemas.openxmlformats.org/officeDocument/2006/relationships/hyperlink" Target="https://www.linkedin.com/jobs/view/4429928492" TargetMode="External" Id="rId307" /><Relationship Type="http://schemas.openxmlformats.org/officeDocument/2006/relationships/hyperlink" Target="https://www.linkedin.com/jobs/view/4415773612" TargetMode="External" Id="rId308" /><Relationship Type="http://schemas.openxmlformats.org/officeDocument/2006/relationships/hyperlink" Target="https://www.linkedin.com/jobs/view/4418993007" TargetMode="External" Id="rId309" /><Relationship Type="http://schemas.openxmlformats.org/officeDocument/2006/relationships/hyperlink" Target="https://www.linkedin.com/jobs/view/4417653790" TargetMode="External" Id="rId310" /><Relationship Type="http://schemas.openxmlformats.org/officeDocument/2006/relationships/hyperlink" Target="https://www.linkedin.com/jobs/view/4419683836" TargetMode="External" Id="rId311" /><Relationship Type="http://schemas.openxmlformats.org/officeDocument/2006/relationships/hyperlink" Target="https://www.linkedin.com/jobs/view/4428728939" TargetMode="External" Id="rId312" /><Relationship Type="http://schemas.openxmlformats.org/officeDocument/2006/relationships/hyperlink" Target="https://www.linkedin.com/jobs/view/4429527348" TargetMode="External" Id="rId313" /><Relationship Type="http://schemas.openxmlformats.org/officeDocument/2006/relationships/hyperlink" Target="https://uk.indeed.com/viewjob" TargetMode="External" Id="rId314" /><Relationship Type="http://schemas.openxmlformats.org/officeDocument/2006/relationships/hyperlink" Target="https://www.linkedin.com/jobs/view/4418590254" TargetMode="External" Id="rId315" /><Relationship Type="http://schemas.openxmlformats.org/officeDocument/2006/relationships/hyperlink" Target="https://uk.indeed.com/viewjob" TargetMode="External" Id="rId316" /><Relationship Type="http://schemas.openxmlformats.org/officeDocument/2006/relationships/hyperlink" Target="https://www.linkedin.com/jobs/view/4420701459" TargetMode="External" Id="rId317" /><Relationship Type="http://schemas.openxmlformats.org/officeDocument/2006/relationships/hyperlink" Target="https://www.linkedin.com/jobs/view/4429944589" TargetMode="External" Id="rId318" /><Relationship Type="http://schemas.openxmlformats.org/officeDocument/2006/relationships/hyperlink" Target="https://www.linkedin.com/jobs/view/4424548261" TargetMode="External" Id="rId319" /><Relationship Type="http://schemas.openxmlformats.org/officeDocument/2006/relationships/hyperlink" Target="https://www.linkedin.com/jobs/view/4413973520" TargetMode="External" Id="rId320" /><Relationship Type="http://schemas.openxmlformats.org/officeDocument/2006/relationships/hyperlink" Target="https://www.linkedin.com/jobs/view/4419693535" TargetMode="External" Id="rId321" /><Relationship Type="http://schemas.openxmlformats.org/officeDocument/2006/relationships/hyperlink" Target="https://www.linkedin.com/jobs/view/4429037794" TargetMode="External" Id="rId322" /><Relationship Type="http://schemas.openxmlformats.org/officeDocument/2006/relationships/hyperlink" Target="https://www.linkedin.com/jobs/view/4428861979" TargetMode="External" Id="rId323" /><Relationship Type="http://schemas.openxmlformats.org/officeDocument/2006/relationships/hyperlink" Target="https://www.linkedin.com/jobs/view/4426622237" TargetMode="External" Id="rId324" /><Relationship Type="http://schemas.openxmlformats.org/officeDocument/2006/relationships/hyperlink" Target="https://www.linkedin.com/jobs/view/4422255995" TargetMode="External" Id="rId325" /><Relationship Type="http://schemas.openxmlformats.org/officeDocument/2006/relationships/hyperlink" Target="https://www.linkedin.com/jobs/view/4430420163" TargetMode="External" Id="rId326" /><Relationship Type="http://schemas.openxmlformats.org/officeDocument/2006/relationships/hyperlink" Target="https://www.linkedin.com/jobs/view/4423649170" TargetMode="External" Id="rId327" /><Relationship Type="http://schemas.openxmlformats.org/officeDocument/2006/relationships/hyperlink" Target="https://www.linkedin.com/jobs/view/4420469884" TargetMode="External" Id="rId328" /><Relationship Type="http://schemas.openxmlformats.org/officeDocument/2006/relationships/hyperlink" Target="https://www.linkedin.com/jobs/view/4426306065" TargetMode="External" Id="rId329" /><Relationship Type="http://schemas.openxmlformats.org/officeDocument/2006/relationships/hyperlink" Target="https://www.linkedin.com/jobs/view/4427470911" TargetMode="External" Id="rId330" /><Relationship Type="http://schemas.openxmlformats.org/officeDocument/2006/relationships/hyperlink" Target="https://www.linkedin.com/jobs/view/4427246621" TargetMode="External" Id="rId331" /><Relationship Type="http://schemas.openxmlformats.org/officeDocument/2006/relationships/hyperlink" Target="https://uk.indeed.com/viewjob" TargetMode="External" Id="rId332" /><Relationship Type="http://schemas.openxmlformats.org/officeDocument/2006/relationships/hyperlink" Target="https://www.linkedin.com/jobs/view/4406209036" TargetMode="External" Id="rId333" /><Relationship Type="http://schemas.openxmlformats.org/officeDocument/2006/relationships/hyperlink" Target="https://www.linkedin.com/jobs/view/4404049606" TargetMode="External" Id="rId334" /><Relationship Type="http://schemas.openxmlformats.org/officeDocument/2006/relationships/hyperlink" Target="https://www.linkedin.com/jobs/view/4397074215" TargetMode="External" Id="rId335" /><Relationship Type="http://schemas.openxmlformats.org/officeDocument/2006/relationships/hyperlink" Target="https://job-boards.greenhouse.io/typeform/jobs/7942504" TargetMode="External" Id="rId336" /><Relationship Type="http://schemas.openxmlformats.org/officeDocument/2006/relationships/hyperlink" Target="https://www.linkedin.com/jobs/view/4424363559" TargetMode="External" Id="rId337" /><Relationship Type="http://schemas.openxmlformats.org/officeDocument/2006/relationships/hyperlink" Target="https://uk.indeed.com/viewjob" TargetMode="External" Id="rId338" /><Relationship Type="http://schemas.openxmlformats.org/officeDocument/2006/relationships/hyperlink" Target="https://www.linkedin.com/jobs/view/4422474521" TargetMode="External" Id="rId339" /><Relationship Type="http://schemas.openxmlformats.org/officeDocument/2006/relationships/hyperlink" Target="https://www.linkedin.com/jobs/view/4421927415" TargetMode="External" Id="rId340" /><Relationship Type="http://schemas.openxmlformats.org/officeDocument/2006/relationships/hyperlink" Target="https://www.linkedin.com/jobs/view/4418741606" TargetMode="External" Id="rId341" /><Relationship Type="http://schemas.openxmlformats.org/officeDocument/2006/relationships/hyperlink" Target="https://uk.indeed.com/viewjob" TargetMode="External" Id="rId342" /><Relationship Type="http://schemas.openxmlformats.org/officeDocument/2006/relationships/hyperlink" Target="https://uk.indeed.com/viewjob" TargetMode="External" Id="rId343" /><Relationship Type="http://schemas.openxmlformats.org/officeDocument/2006/relationships/hyperlink" Target="https://uk.indeed.com/viewjob" TargetMode="External" Id="rId344" /><Relationship Type="http://schemas.openxmlformats.org/officeDocument/2006/relationships/hyperlink" Target="https://www.linkedin.com/jobs/view/4415192785" TargetMode="External" Id="rId345" /><Relationship Type="http://schemas.openxmlformats.org/officeDocument/2006/relationships/hyperlink" Target="https://www.linkedin.com/jobs/view/4418107037" TargetMode="External" Id="rId346" /><Relationship Type="http://schemas.openxmlformats.org/officeDocument/2006/relationships/hyperlink" Target="https://www.linkedin.com/jobs/view/4420834893" TargetMode="External" Id="rId347" /><Relationship Type="http://schemas.openxmlformats.org/officeDocument/2006/relationships/hyperlink" Target="https://uk.indeed.com/viewjob" TargetMode="External" Id="rId348" /><Relationship Type="http://schemas.openxmlformats.org/officeDocument/2006/relationships/hyperlink" Target="https://www.linkedin.com/jobs/view/4426805391" TargetMode="External" Id="rId349" /><Relationship Type="http://schemas.openxmlformats.org/officeDocument/2006/relationships/hyperlink" Target="https://uk.indeed.com/viewjob" TargetMode="External" Id="rId350" /><Relationship Type="http://schemas.openxmlformats.org/officeDocument/2006/relationships/hyperlink" Target="https://www.linkedin.com/jobs/view/4426414007" TargetMode="External" Id="rId351" /><Relationship Type="http://schemas.openxmlformats.org/officeDocument/2006/relationships/hyperlink" Target="https://www.linkedin.com/jobs/view/4424745252" TargetMode="External" Id="rId352" /><Relationship Type="http://schemas.openxmlformats.org/officeDocument/2006/relationships/hyperlink" Target="https://www.linkedin.com/jobs/view/4418085677" TargetMode="External" Id="rId353" /><Relationship Type="http://schemas.openxmlformats.org/officeDocument/2006/relationships/hyperlink" Target="https://uk.indeed.com/viewjob" TargetMode="External" Id="rId354" /><Relationship Type="http://schemas.openxmlformats.org/officeDocument/2006/relationships/hyperlink" Target="https://www.linkedin.com/jobs/view/4426288811" TargetMode="External" Id="rId355" /><Relationship Type="http://schemas.openxmlformats.org/officeDocument/2006/relationships/hyperlink" Target="https://www.linkedin.com/jobs/view/4415267222" TargetMode="External" Id="rId356" /><Relationship Type="http://schemas.openxmlformats.org/officeDocument/2006/relationships/hyperlink" Target="https://uk.indeed.com/viewjob" TargetMode="External" Id="rId357" /><Relationship Type="http://schemas.openxmlformats.org/officeDocument/2006/relationships/hyperlink" Target="https://uk.indeed.com/viewjob" TargetMode="External" Id="rId358" /><Relationship Type="http://schemas.openxmlformats.org/officeDocument/2006/relationships/hyperlink" Target="https://www.linkedin.com/jobs/view/4427544322" TargetMode="External" Id="rId359" /><Relationship Type="http://schemas.openxmlformats.org/officeDocument/2006/relationships/hyperlink" Target="https://www.linkedin.com/jobs/view/4420294183" TargetMode="External" Id="rId360" /><Relationship Type="http://schemas.openxmlformats.org/officeDocument/2006/relationships/hyperlink" Target="https://www.linkedin.com/jobs/view/4423351827" TargetMode="External" Id="rId361" /><Relationship Type="http://schemas.openxmlformats.org/officeDocument/2006/relationships/hyperlink" Target="https://www.linkedin.com/jobs/view/4279718488" TargetMode="External" Id="rId362" /><Relationship Type="http://schemas.openxmlformats.org/officeDocument/2006/relationships/hyperlink" Target="https://www.linkedin.com/jobs/view/4428701815" TargetMode="External" Id="rId363" /><Relationship Type="http://schemas.openxmlformats.org/officeDocument/2006/relationships/hyperlink" Target="https://www.linkedin.com/jobs/view/4425921106" TargetMode="External" Id="rId364" /><Relationship Type="http://schemas.openxmlformats.org/officeDocument/2006/relationships/hyperlink" Target="https://www.linkedin.com/jobs/view/4429505174" TargetMode="External" Id="rId365" /><Relationship Type="http://schemas.openxmlformats.org/officeDocument/2006/relationships/hyperlink" Target="https://www.linkedin.com/jobs/view/4430459950" TargetMode="External" Id="rId366" /><Relationship Type="http://schemas.openxmlformats.org/officeDocument/2006/relationships/hyperlink" Target="https://www.linkedin.com/jobs/view/4423651481" TargetMode="External" Id="rId367" /><Relationship Type="http://schemas.openxmlformats.org/officeDocument/2006/relationships/hyperlink" Target="https://www.linkedin.com/jobs/view/4429355922" TargetMode="External" Id="rId368" /><Relationship Type="http://schemas.openxmlformats.org/officeDocument/2006/relationships/hyperlink" Target="https://boards.greenhouse.io/cloudflare/jobs/7446310" TargetMode="External" Id="rId369" /><Relationship Type="http://schemas.openxmlformats.org/officeDocument/2006/relationships/hyperlink" Target="https://www.linkedin.com/jobs/view/4425251495" TargetMode="External" Id="rId370" /><Relationship Type="http://schemas.openxmlformats.org/officeDocument/2006/relationships/hyperlink" Target="https://uk.indeed.com/viewjob" TargetMode="External" Id="rId371" /><Relationship Type="http://schemas.openxmlformats.org/officeDocument/2006/relationships/hyperlink" Target="https://www.linkedin.com/jobs/view/4427338134" TargetMode="External" Id="rId372" /><Relationship Type="http://schemas.openxmlformats.org/officeDocument/2006/relationships/hyperlink" Target="https://www.linkedin.com/jobs/view/4427989102" TargetMode="External" Id="rId373" /><Relationship Type="http://schemas.openxmlformats.org/officeDocument/2006/relationships/hyperlink" Target="https://www.linkedin.com/jobs/view/4425875965" TargetMode="External" Id="rId374" /><Relationship Type="http://schemas.openxmlformats.org/officeDocument/2006/relationships/hyperlink" Target="https://www.linkedin.com/jobs/view/4418810736" TargetMode="External" Id="rId375" /><Relationship Type="http://schemas.openxmlformats.org/officeDocument/2006/relationships/hyperlink" Target="https://www.linkedin.com/jobs/view/4424773611" TargetMode="External" Id="rId376" /><Relationship Type="http://schemas.openxmlformats.org/officeDocument/2006/relationships/hyperlink" Target="https://uk.indeed.com/viewjob" TargetMode="External" Id="rId377" /><Relationship Type="http://schemas.openxmlformats.org/officeDocument/2006/relationships/hyperlink" Target="https://www.linkedin.com/jobs/view/4427335881" TargetMode="External" Id="rId378" /><Relationship Type="http://schemas.openxmlformats.org/officeDocument/2006/relationships/hyperlink" Target="https://www.linkedin.com/jobs/view/4424766591" TargetMode="External" Id="rId379" /><Relationship Type="http://schemas.openxmlformats.org/officeDocument/2006/relationships/hyperlink" Target="https://www.linkedin.com/jobs/view/4422427722" TargetMode="External" Id="rId380" /><Relationship Type="http://schemas.openxmlformats.org/officeDocument/2006/relationships/hyperlink" Target="https://www.linkedin.com/jobs/view/4417079291" TargetMode="External" Id="rId381" /><Relationship Type="http://schemas.openxmlformats.org/officeDocument/2006/relationships/hyperlink" Target="https://uk.indeed.com/viewjob" TargetMode="External" Id="rId382" /><Relationship Type="http://schemas.openxmlformats.org/officeDocument/2006/relationships/hyperlink" Target="https://www.linkedin.com/jobs/view/4423380719" TargetMode="External" Id="rId383" /><Relationship Type="http://schemas.openxmlformats.org/officeDocument/2006/relationships/hyperlink" Target="https://www.linkedin.com/jobs/view/4427295210" TargetMode="External" Id="rId384" /><Relationship Type="http://schemas.openxmlformats.org/officeDocument/2006/relationships/hyperlink" Target="https://www.linkedin.com/jobs/view/4419094634" TargetMode="External" Id="rId385" /><Relationship Type="http://schemas.openxmlformats.org/officeDocument/2006/relationships/hyperlink" Target="https://www.linkedin.com/jobs/view/4427840569" TargetMode="External" Id="rId386" /><Relationship Type="http://schemas.openxmlformats.org/officeDocument/2006/relationships/hyperlink" Target="https://www.linkedin.com/jobs/view/4419221212" TargetMode="External" Id="rId387" /><Relationship Type="http://schemas.openxmlformats.org/officeDocument/2006/relationships/hyperlink" Target="https://www.linkedin.com/jobs/view/4407945731" TargetMode="External" Id="rId388" /><Relationship Type="http://schemas.openxmlformats.org/officeDocument/2006/relationships/hyperlink" Target="https://www.linkedin.com/jobs/view/4428121508" TargetMode="External" Id="rId389" /><Relationship Type="http://schemas.openxmlformats.org/officeDocument/2006/relationships/hyperlink" Target="https://uk.indeed.com/viewjob" TargetMode="External" Id="rId390" /><Relationship Type="http://schemas.openxmlformats.org/officeDocument/2006/relationships/hyperlink" Target="https://www.linkedin.com/jobs/view/4421928358" TargetMode="External" Id="rId391" /><Relationship Type="http://schemas.openxmlformats.org/officeDocument/2006/relationships/hyperlink" Target="https://www.linkedin.com/jobs/view/4402473779" TargetMode="External" Id="rId392" /><Relationship Type="http://schemas.openxmlformats.org/officeDocument/2006/relationships/hyperlink" Target="https://www.linkedin.com/jobs/view/4425802905" TargetMode="External" Id="rId393" /><Relationship Type="http://schemas.openxmlformats.org/officeDocument/2006/relationships/hyperlink" Target="https://www.linkedin.com/jobs/view/4430073676" TargetMode="External" Id="rId394" /><Relationship Type="http://schemas.openxmlformats.org/officeDocument/2006/relationships/hyperlink" Target="https://uk.indeed.com/viewjob" TargetMode="External" Id="rId395" /><Relationship Type="http://schemas.openxmlformats.org/officeDocument/2006/relationships/hyperlink" Target="https://uk.indeed.com/viewjob" TargetMode="External" Id="rId396" /><Relationship Type="http://schemas.openxmlformats.org/officeDocument/2006/relationships/hyperlink" Target="https://www.linkedin.com/jobs/view/4430490371" TargetMode="External" Id="rId397" /><Relationship Type="http://schemas.openxmlformats.org/officeDocument/2006/relationships/hyperlink" Target="https://www.linkedin.com/jobs/view/4415697388" TargetMode="External" Id="rId398" /><Relationship Type="http://schemas.openxmlformats.org/officeDocument/2006/relationships/hyperlink" Target="https://www.linkedin.com/jobs/view/4337647906" TargetMode="External" Id="rId399" /><Relationship Type="http://schemas.openxmlformats.org/officeDocument/2006/relationships/hyperlink" Target="https://www.linkedin.com/jobs/view/4423557840" TargetMode="External" Id="rId400" /><Relationship Type="http://schemas.openxmlformats.org/officeDocument/2006/relationships/hyperlink" Target="https://www.linkedin.com/jobs/view/4431197739" TargetMode="External" Id="rId401" /><Relationship Type="http://schemas.openxmlformats.org/officeDocument/2006/relationships/hyperlink" Target="https://www.linkedin.com/jobs/view/4428601190" TargetMode="External" Id="rId402" /><Relationship Type="http://schemas.openxmlformats.org/officeDocument/2006/relationships/hyperlink" Target="https://www.linkedin.com/jobs/view/4425484078" TargetMode="External" Id="rId403" /><Relationship Type="http://schemas.openxmlformats.org/officeDocument/2006/relationships/hyperlink" Target="https://uk.indeed.com/viewjob" TargetMode="External" Id="rId404" /><Relationship Type="http://schemas.openxmlformats.org/officeDocument/2006/relationships/hyperlink" Target="https://www.linkedin.com/jobs/view/4427974765" TargetMode="External" Id="rId405" /><Relationship Type="http://schemas.openxmlformats.org/officeDocument/2006/relationships/hyperlink" Target="https://www.linkedin.com/jobs/view/4374112834" TargetMode="External" Id="rId406" /><Relationship Type="http://schemas.openxmlformats.org/officeDocument/2006/relationships/hyperlink" Target="https://www.linkedin.com/jobs/view/4374110902" TargetMode="External" Id="rId407" /><Relationship Type="http://schemas.openxmlformats.org/officeDocument/2006/relationships/hyperlink" Target="https://www.linkedin.com/jobs/view/4314643049" TargetMode="External" Id="rId408" /><Relationship Type="http://schemas.openxmlformats.org/officeDocument/2006/relationships/hyperlink" Target="https://www.linkedin.com/jobs/view/4374126011" TargetMode="External" Id="rId409" /><Relationship Type="http://schemas.openxmlformats.org/officeDocument/2006/relationships/hyperlink" Target="https://www.linkedin.com/jobs/view/4374108909" TargetMode="External" Id="rId410" /><Relationship Type="http://schemas.openxmlformats.org/officeDocument/2006/relationships/hyperlink" Target="https://www.linkedin.com/jobs/view/4424335907" TargetMode="External" Id="rId411" /><Relationship Type="http://schemas.openxmlformats.org/officeDocument/2006/relationships/hyperlink" Target="https://www.linkedin.com/jobs/view/4430904691" TargetMode="External" Id="rId412" /><Relationship Type="http://schemas.openxmlformats.org/officeDocument/2006/relationships/hyperlink" Target="https://www.linkedin.com/jobs/view/4406822320" TargetMode="External" Id="rId413" /><Relationship Type="http://schemas.openxmlformats.org/officeDocument/2006/relationships/hyperlink" Target="https://www.linkedin.com/jobs/view/4402713874" TargetMode="External" Id="rId414" /><Relationship Type="http://schemas.openxmlformats.org/officeDocument/2006/relationships/hyperlink" Target="https://www.linkedin.com/jobs/view/4374122092" TargetMode="External" Id="rId415" /><Relationship Type="http://schemas.openxmlformats.org/officeDocument/2006/relationships/hyperlink" Target="https://www.linkedin.com/jobs/view/4423981389" TargetMode="External" Id="rId416" /><Relationship Type="http://schemas.openxmlformats.org/officeDocument/2006/relationships/hyperlink" Target="https://www.linkedin.com/jobs/view/4415271707" TargetMode="External" Id="rId417" /><Relationship Type="http://schemas.openxmlformats.org/officeDocument/2006/relationships/hyperlink" Target="https://www.linkedin.com/jobs/view/4427258805" TargetMode="External" Id="rId418" /><Relationship Type="http://schemas.openxmlformats.org/officeDocument/2006/relationships/hyperlink" Target="https://www.linkedin.com/jobs/view/4427266362" TargetMode="External" Id="rId419" /><Relationship Type="http://schemas.openxmlformats.org/officeDocument/2006/relationships/hyperlink" Target="https://www.linkedin.com/jobs/view/4427258804" TargetMode="External" Id="rId420" /><Relationship Type="http://schemas.openxmlformats.org/officeDocument/2006/relationships/hyperlink" Target="https://www.linkedin.com/jobs/view/4427274287" TargetMode="External" Id="rId421" /><Relationship Type="http://schemas.openxmlformats.org/officeDocument/2006/relationships/hyperlink" Target="https://www.linkedin.com/jobs/view/4427276278" TargetMode="External" Id="rId422" /><Relationship Type="http://schemas.openxmlformats.org/officeDocument/2006/relationships/hyperlink" Target="https://www.linkedin.com/jobs/view/4427267353" TargetMode="External" Id="rId423" /><Relationship Type="http://schemas.openxmlformats.org/officeDocument/2006/relationships/hyperlink" Target="https://www.linkedin.com/jobs/view/4427268352" TargetMode="External" Id="rId424" /><Relationship Type="http://schemas.openxmlformats.org/officeDocument/2006/relationships/hyperlink" Target="https://www.linkedin.com/jobs/view/4427279219" TargetMode="External" Id="rId425" /><Relationship Type="http://schemas.openxmlformats.org/officeDocument/2006/relationships/hyperlink" Target="https://www.linkedin.com/jobs/view/4427264388" TargetMode="External" Id="rId426" /><Relationship Type="http://schemas.openxmlformats.org/officeDocument/2006/relationships/hyperlink" Target="https://uk.indeed.com/viewjob" TargetMode="External" Id="rId427" /><Relationship Type="http://schemas.openxmlformats.org/officeDocument/2006/relationships/hyperlink" Target="https://www.linkedin.com/jobs/view/4427790642" TargetMode="External" Id="rId428" /><Relationship Type="http://schemas.openxmlformats.org/officeDocument/2006/relationships/hyperlink" Target="https://uk.indeed.com/viewjob" TargetMode="External" Id="rId429" /><Relationship Type="http://schemas.openxmlformats.org/officeDocument/2006/relationships/hyperlink" Target="https://www.linkedin.com/jobs/view/4427456132" TargetMode="External" Id="rId430" /><Relationship Type="http://schemas.openxmlformats.org/officeDocument/2006/relationships/hyperlink" Target="https://www.linkedin.com/jobs/view/4427449263" TargetMode="External" Id="rId431" /><Relationship Type="http://schemas.openxmlformats.org/officeDocument/2006/relationships/hyperlink" Target="https://www.linkedin.com/jobs/view/4427277248" TargetMode="External" Id="rId432" /><Relationship Type="http://schemas.openxmlformats.org/officeDocument/2006/relationships/hyperlink" Target="https://www.linkedin.com/jobs/view/4418776341" TargetMode="External" Id="rId433" /><Relationship Type="http://schemas.openxmlformats.org/officeDocument/2006/relationships/hyperlink" Target="https://uk.indeed.com/viewjob" TargetMode="External" Id="rId434" /><Relationship Type="http://schemas.openxmlformats.org/officeDocument/2006/relationships/hyperlink" Target="https://uk.indeed.com/viewjob" TargetMode="External" Id="rId435" /><Relationship Type="http://schemas.openxmlformats.org/officeDocument/2006/relationships/hyperlink" Target="https://www.linkedin.com/jobs/view/4371573316" TargetMode="External" Id="rId436" /><Relationship Type="http://schemas.openxmlformats.org/officeDocument/2006/relationships/hyperlink" Target="https://www.linkedin.com/jobs/view/4424702280" TargetMode="External" Id="rId437" /><Relationship Type="http://schemas.openxmlformats.org/officeDocument/2006/relationships/hyperlink" Target="https://uk.indeed.com/viewjob" TargetMode="External" Id="rId438" /><Relationship Type="http://schemas.openxmlformats.org/officeDocument/2006/relationships/hyperlink" Target="https://www.linkedin.com/jobs/view/4396652953" TargetMode="External" Id="rId439" /><Relationship Type="http://schemas.openxmlformats.org/officeDocument/2006/relationships/hyperlink" Target="https://www.linkedin.com/jobs/view/4428425111" TargetMode="External" Id="rId440" /><Relationship Type="http://schemas.openxmlformats.org/officeDocument/2006/relationships/hyperlink" Target="https://www.linkedin.com/jobs/view/4427450289" TargetMode="External" Id="rId441" /><Relationship Type="http://schemas.openxmlformats.org/officeDocument/2006/relationships/hyperlink" Target="https://www.linkedin.com/jobs/view/4427266360" TargetMode="External" Id="rId442" /><Relationship Type="http://schemas.openxmlformats.org/officeDocument/2006/relationships/hyperlink" Target="https://www.linkedin.com/jobs/view/4427282178" TargetMode="External" Id="rId443" /><Relationship Type="http://schemas.openxmlformats.org/officeDocument/2006/relationships/hyperlink" Target="https://www.linkedin.com/jobs/view/4426248160" TargetMode="External" Id="rId444" /><Relationship Type="http://schemas.openxmlformats.org/officeDocument/2006/relationships/hyperlink" Target="https://www.linkedin.com/jobs/view/4429313389" TargetMode="External" Id="rId445" /><Relationship Type="http://schemas.openxmlformats.org/officeDocument/2006/relationships/hyperlink" Target="https://www.linkedin.com/jobs/view/4429092783" TargetMode="External" Id="rId446" /><Relationship Type="http://schemas.openxmlformats.org/officeDocument/2006/relationships/hyperlink" Target="https://www.linkedin.com/jobs/view/4429308155" TargetMode="External" Id="rId447" /><Relationship Type="http://schemas.openxmlformats.org/officeDocument/2006/relationships/hyperlink" Target="https://www.linkedin.com/jobs/view/4428435035" TargetMode="External" Id="rId448" /><Relationship Type="http://schemas.openxmlformats.org/officeDocument/2006/relationships/hyperlink" Target="https://www.linkedin.com/jobs/view/4424895142" TargetMode="External" Id="rId449" /><Relationship Type="http://schemas.openxmlformats.org/officeDocument/2006/relationships/hyperlink" Target="https://www.linkedin.com/jobs/view/4427538763" TargetMode="External" Id="rId450" /><Relationship Type="http://schemas.openxmlformats.org/officeDocument/2006/relationships/hyperlink" Target="https://www.linkedin.com/jobs/view/4429302516" TargetMode="External" Id="rId451" /><Relationship Type="http://schemas.openxmlformats.org/officeDocument/2006/relationships/hyperlink" Target="https://www.linkedin.com/jobs/view/4429096286" TargetMode="External" Id="rId452" /><Relationship Type="http://schemas.openxmlformats.org/officeDocument/2006/relationships/hyperlink" Target="https://www.linkedin.com/jobs/view/4429099292" TargetMode="External" Id="rId453" /><Relationship Type="http://schemas.openxmlformats.org/officeDocument/2006/relationships/hyperlink" Target="https://www.linkedin.com/jobs/view/4427458104" TargetMode="External" Id="rId454" /><Relationship Type="http://schemas.openxmlformats.org/officeDocument/2006/relationships/hyperlink" Target="https://www.linkedin.com/jobs/view/4429312477" TargetMode="External" Id="rId455" /><Relationship Type="http://schemas.openxmlformats.org/officeDocument/2006/relationships/hyperlink" Target="https://www.linkedin.com/jobs/view/4429309148" TargetMode="External" Id="rId456" /><Relationship Type="http://schemas.openxmlformats.org/officeDocument/2006/relationships/hyperlink" Target="https://www.linkedin.com/jobs/view/4429095658" TargetMode="External" Id="rId457" /><Relationship Type="http://schemas.openxmlformats.org/officeDocument/2006/relationships/hyperlink" Target="https://www.linkedin.com/jobs/view/4429311465" TargetMode="External" Id="rId458" /><Relationship Type="http://schemas.openxmlformats.org/officeDocument/2006/relationships/hyperlink" Target="https://www.linkedin.com/jobs/view/4418831595" TargetMode="External" Id="rId459" /><Relationship Type="http://schemas.openxmlformats.org/officeDocument/2006/relationships/hyperlink" Target="https://www.linkedin.com/jobs/view/4424853322" TargetMode="External" Id="rId460" /><Relationship Type="http://schemas.openxmlformats.org/officeDocument/2006/relationships/hyperlink" Target="https://www.linkedin.com/jobs/view/4426197674" TargetMode="External" Id="rId461" /><Relationship Type="http://schemas.openxmlformats.org/officeDocument/2006/relationships/hyperlink" Target="https://uk.indeed.com/viewjob" TargetMode="External" Id="rId462" /><Relationship Type="http://schemas.openxmlformats.org/officeDocument/2006/relationships/hyperlink" Target="https://www.linkedin.com/jobs/view/4423131116" TargetMode="External" Id="rId463" /><Relationship Type="http://schemas.openxmlformats.org/officeDocument/2006/relationships/hyperlink" Target="https://www.linkedin.com/jobs/view/4429311112" TargetMode="External" Id="rId464" /><Relationship Type="http://schemas.openxmlformats.org/officeDocument/2006/relationships/hyperlink" Target="https://www.linkedin.com/jobs/view/4424637450" TargetMode="External" Id="rId465" /><Relationship Type="http://schemas.openxmlformats.org/officeDocument/2006/relationships/hyperlink" Target="https://www.linkedin.com/jobs/view/4426483426" TargetMode="External" Id="rId466" /><Relationship Type="http://schemas.openxmlformats.org/officeDocument/2006/relationships/hyperlink" Target="https://www.linkedin.com/jobs/view/4428423133" TargetMode="External" Id="rId467" /><Relationship Type="http://schemas.openxmlformats.org/officeDocument/2006/relationships/hyperlink" Target="https://www.linkedin.com/jobs/view/4429100222" TargetMode="External" Id="rId468" /><Relationship Type="http://schemas.openxmlformats.org/officeDocument/2006/relationships/hyperlink" Target="https://www.linkedin.com/jobs/view/4426400716" TargetMode="External" Id="rId469" /><Relationship Type="http://schemas.openxmlformats.org/officeDocument/2006/relationships/hyperlink" Target="https://www.linkedin.com/jobs/view/4421961663" TargetMode="External" Id="rId470" /><Relationship Type="http://schemas.openxmlformats.org/officeDocument/2006/relationships/hyperlink" Target="https://www.linkedin.com/jobs/view/4414658257" TargetMode="External" Id="rId471" /><Relationship Type="http://schemas.openxmlformats.org/officeDocument/2006/relationships/hyperlink" Target="https://www.linkedin.com/jobs/view/4413995066" TargetMode="External" Id="rId472" /><Relationship Type="http://schemas.openxmlformats.org/officeDocument/2006/relationships/hyperlink" Target="https://www.linkedin.com/jobs/view/4420293893" TargetMode="External" Id="rId473" /><Relationship Type="http://schemas.openxmlformats.org/officeDocument/2006/relationships/hyperlink" Target="https://uk.indeed.com/viewjob" TargetMode="External" Id="rId474" /><Relationship Type="http://schemas.openxmlformats.org/officeDocument/2006/relationships/hyperlink" Target="https://www.linkedin.com/jobs/view/4423347550" TargetMode="External" Id="rId475" /><Relationship Type="http://schemas.openxmlformats.org/officeDocument/2006/relationships/hyperlink" Target="https://www.linkedin.com/jobs/view/4431332583" TargetMode="External" Id="rId476" /><Relationship Type="http://schemas.openxmlformats.org/officeDocument/2006/relationships/hyperlink" Target="https://uk.indeed.com/viewjob" TargetMode="External" Id="rId477" /><Relationship Type="http://schemas.openxmlformats.org/officeDocument/2006/relationships/hyperlink" Target="https://www.linkedin.com/jobs/view/4430012754" TargetMode="External" Id="rId478" /><Relationship Type="http://schemas.openxmlformats.org/officeDocument/2006/relationships/hyperlink" Target="https://www.linkedin.com/jobs/view/4428843328" TargetMode="External" Id="rId479" /><Relationship Type="http://schemas.openxmlformats.org/officeDocument/2006/relationships/hyperlink" Target="https://www.linkedin.com/jobs/view/4430952006" TargetMode="External" Id="rId480" /><Relationship Type="http://schemas.openxmlformats.org/officeDocument/2006/relationships/hyperlink" Target="https://uk.indeed.com/viewjob" TargetMode="External" Id="rId481" /><Relationship Type="http://schemas.openxmlformats.org/officeDocument/2006/relationships/hyperlink" Target="https://www.linkedin.com/jobs/view/4346173838" TargetMode="External" Id="rId482" /><Relationship Type="http://schemas.openxmlformats.org/officeDocument/2006/relationships/hyperlink" Target="https://www.linkedin.com/jobs/view/4430931921" TargetMode="External" Id="rId483" /><Relationship Type="http://schemas.openxmlformats.org/officeDocument/2006/relationships/hyperlink" Target="https://www.linkedin.com/jobs/view/4361206836" TargetMode="External" Id="rId484" /><Relationship Type="http://schemas.openxmlformats.org/officeDocument/2006/relationships/hyperlink" Target="https://www.linkedin.com/jobs/view/4346178265" TargetMode="External" Id="rId485" /><Relationship Type="http://schemas.openxmlformats.org/officeDocument/2006/relationships/hyperlink" Target="https://www.linkedin.com/jobs/view/4422950602" TargetMode="External" Id="rId486" /><Relationship Type="http://schemas.openxmlformats.org/officeDocument/2006/relationships/hyperlink" Target="https://www.linkedin.com/jobs/view/4419620327" TargetMode="External" Id="rId487" /><Relationship Type="http://schemas.openxmlformats.org/officeDocument/2006/relationships/hyperlink" Target="https://www.linkedin.com/jobs/view/4412967334" TargetMode="External" Id="rId488" /><Relationship Type="http://schemas.openxmlformats.org/officeDocument/2006/relationships/hyperlink" Target="https://www.linkedin.com/jobs/view/4429633861" TargetMode="External" Id="rId489" /><Relationship Type="http://schemas.openxmlformats.org/officeDocument/2006/relationships/hyperlink" Target="https://www.linkedin.com/jobs/view/4424759747" TargetMode="External" Id="rId490" /><Relationship Type="http://schemas.openxmlformats.org/officeDocument/2006/relationships/hyperlink" Target="https://www.linkedin.com/jobs/view/4343355500" TargetMode="External" Id="rId491" /><Relationship Type="http://schemas.openxmlformats.org/officeDocument/2006/relationships/hyperlink" Target="https://www.linkedin.com/jobs/view/4187442788" TargetMode="External" Id="rId492" /><Relationship Type="http://schemas.openxmlformats.org/officeDocument/2006/relationships/hyperlink" Target="https://www.linkedin.com/jobs/view/4352311143" TargetMode="External" Id="rId493" /><Relationship Type="http://schemas.openxmlformats.org/officeDocument/2006/relationships/hyperlink" Target="https://www.linkedin.com/jobs/view/4352370999" TargetMode="External" Id="rId494" /><Relationship Type="http://schemas.openxmlformats.org/officeDocument/2006/relationships/hyperlink" Target="https://www.linkedin.com/jobs/view/4352370996" TargetMode="External" Id="rId495" /><Relationship Type="http://schemas.openxmlformats.org/officeDocument/2006/relationships/hyperlink" Target="https://www.linkedin.com/jobs/view/4352271885" TargetMode="External" Id="rId496" /><Relationship Type="http://schemas.openxmlformats.org/officeDocument/2006/relationships/hyperlink" Target="https://www.linkedin.com/jobs/view/4352390897" TargetMode="External" Id="rId497" /><Relationship Type="http://schemas.openxmlformats.org/officeDocument/2006/relationships/hyperlink" Target="https://www.linkedin.com/jobs/view/4352218352" TargetMode="External" Id="rId498" /><Relationship Type="http://schemas.openxmlformats.org/officeDocument/2006/relationships/hyperlink" Target="https://www.linkedin.com/jobs/view/4429640050" TargetMode="External" Id="rId499" /><Relationship Type="http://schemas.openxmlformats.org/officeDocument/2006/relationships/hyperlink" Target="https://www.linkedin.com/jobs/view/4318540350" TargetMode="External" Id="rId500" /><Relationship Type="http://schemas.openxmlformats.org/officeDocument/2006/relationships/hyperlink" Target="https://uk.indeed.com/viewjob" TargetMode="External" Id="rId501" /><Relationship Type="http://schemas.openxmlformats.org/officeDocument/2006/relationships/hyperlink" Target="https://www.linkedin.com/jobs/view/4424166719" TargetMode="External" Id="rId502" /><Relationship Type="http://schemas.openxmlformats.org/officeDocument/2006/relationships/hyperlink" Target="https://uk.indeed.com/viewjob" TargetMode="External" Id="rId503" /><Relationship Type="http://schemas.openxmlformats.org/officeDocument/2006/relationships/hyperlink" Target="https://uk.indeed.com/viewjob" TargetMode="External" Id="rId504" /><Relationship Type="http://schemas.openxmlformats.org/officeDocument/2006/relationships/hyperlink" Target="https://www.linkedin.com/jobs/view/4428411998" TargetMode="External" Id="rId505" /><Relationship Type="http://schemas.openxmlformats.org/officeDocument/2006/relationships/hyperlink" Target="https://www.linkedin.com/jobs/view/4428429082" TargetMode="External" Id="rId506" /><Relationship Type="http://schemas.openxmlformats.org/officeDocument/2006/relationships/hyperlink" Target="https://www.linkedin.com/jobs/view/4428420166" TargetMode="External" Id="rId507" /><Relationship Type="http://schemas.openxmlformats.org/officeDocument/2006/relationships/hyperlink" Target="https://www.linkedin.com/jobs/view/4428411997" TargetMode="External" Id="rId508" /><Relationship Type="http://schemas.openxmlformats.org/officeDocument/2006/relationships/hyperlink" Target="https://www.linkedin.com/jobs/view/4427449261" TargetMode="External" Id="rId509" /><Relationship Type="http://schemas.openxmlformats.org/officeDocument/2006/relationships/hyperlink" Target="https://www.linkedin.com/jobs/view/4427436715" TargetMode="External" Id="rId510" /><Relationship Type="http://schemas.openxmlformats.org/officeDocument/2006/relationships/hyperlink" Target="https://www.linkedin.com/jobs/view/4427453201" TargetMode="External" Id="rId511" /><Relationship Type="http://schemas.openxmlformats.org/officeDocument/2006/relationships/hyperlink" Target="https://www.linkedin.com/jobs/view/4427436714" TargetMode="External" Id="rId512" /><Relationship Type="http://schemas.openxmlformats.org/officeDocument/2006/relationships/hyperlink" Target="https://www.linkedin.com/jobs/view/4430497232" TargetMode="External" Id="rId513" /><Relationship Type="http://schemas.openxmlformats.org/officeDocument/2006/relationships/hyperlink" Target="https://www.linkedin.com/jobs/view/4187439973" TargetMode="External" Id="rId514" /><Relationship Type="http://schemas.openxmlformats.org/officeDocument/2006/relationships/hyperlink" Target="https://www.linkedin.com/jobs/view/4402292559" TargetMode="External" Id="rId515" /><Relationship Type="http://schemas.openxmlformats.org/officeDocument/2006/relationships/hyperlink" Target="https://www.linkedin.com/jobs/view/4429358051" TargetMode="External" Id="rId516" /><Relationship Type="http://schemas.openxmlformats.org/officeDocument/2006/relationships/hyperlink" Target="https://www.linkedin.com/jobs/view/4429305593" TargetMode="External" Id="rId517" /><Relationship Type="http://schemas.openxmlformats.org/officeDocument/2006/relationships/hyperlink" Target="https://www.linkedin.com/jobs/view/4426179349" TargetMode="External" Id="rId518" /><Relationship Type="http://schemas.openxmlformats.org/officeDocument/2006/relationships/hyperlink" Target="https://www.linkedin.com/jobs/view/4420293878" TargetMode="External" Id="rId519" /><Relationship Type="http://schemas.openxmlformats.org/officeDocument/2006/relationships/hyperlink" Target="https://www.linkedin.com/jobs/view/4428289219" TargetMode="External" Id="rId520" /><Relationship Type="http://schemas.openxmlformats.org/officeDocument/2006/relationships/hyperlink" Target="https://www.linkedin.com/jobs/view/4430918816" TargetMode="External" Id="rId521" /><Relationship Type="http://schemas.openxmlformats.org/officeDocument/2006/relationships/hyperlink" Target="https://job-boards.greenhouse.io/monzo/jobs/7916598" TargetMode="External" Id="rId522" /><Relationship Type="http://schemas.openxmlformats.org/officeDocument/2006/relationships/hyperlink" Target="https://www.linkedin.com/jobs/view/4379662791" TargetMode="External" Id="rId523" /><Relationship Type="http://schemas.openxmlformats.org/officeDocument/2006/relationships/hyperlink" Target="https://www.linkedin.com/jobs/view/4422290001" TargetMode="External" Id="rId524" /><Relationship Type="http://schemas.openxmlformats.org/officeDocument/2006/relationships/hyperlink" Target="https://uk.indeed.com/viewjob" TargetMode="External" Id="rId525" /><Relationship Type="http://schemas.openxmlformats.org/officeDocument/2006/relationships/hyperlink" Target="https://www.linkedin.com/jobs/view/4424944587" TargetMode="External" Id="rId526" /><Relationship Type="http://schemas.openxmlformats.org/officeDocument/2006/relationships/hyperlink" Target="https://www.linkedin.com/jobs/view/4427043090" TargetMode="External" Id="rId527" /><Relationship Type="http://schemas.openxmlformats.org/officeDocument/2006/relationships/hyperlink" Target="https://www.linkedin.com/jobs/view/4429559438" TargetMode="External" Id="rId528" /><Relationship Type="http://schemas.openxmlformats.org/officeDocument/2006/relationships/hyperlink" Target="https://www.linkedin.com/jobs/view/4426265438" TargetMode="External" Id="rId529" /><Relationship Type="http://schemas.openxmlformats.org/officeDocument/2006/relationships/hyperlink" Target="https://www.linkedin.com/jobs/view/4415296707" TargetMode="External" Id="rId530" /><Relationship Type="http://schemas.openxmlformats.org/officeDocument/2006/relationships/hyperlink" Target="https://www.linkedin.com/jobs/view/4426959659" TargetMode="External" Id="rId531" /><Relationship Type="http://schemas.openxmlformats.org/officeDocument/2006/relationships/hyperlink" Target="https://www.linkedin.com/jobs/view/4409357961" TargetMode="External" Id="rId532" /><Relationship Type="http://schemas.openxmlformats.org/officeDocument/2006/relationships/hyperlink" Target="https://www.linkedin.com/jobs/view/4416572098" TargetMode="External" Id="rId533" /><Relationship Type="http://schemas.openxmlformats.org/officeDocument/2006/relationships/hyperlink" Target="https://uk.indeed.com/viewjob" TargetMode="External" Id="rId534" /><Relationship Type="http://schemas.openxmlformats.org/officeDocument/2006/relationships/hyperlink" Target="https://www.linkedin.com/jobs/view/4417335830" TargetMode="External" Id="rId535" /><Relationship Type="http://schemas.openxmlformats.org/officeDocument/2006/relationships/hyperlink" Target="https://www.linkedin.com/jobs/view/4425808581" TargetMode="External" Id="rId536" /><Relationship Type="http://schemas.openxmlformats.org/officeDocument/2006/relationships/hyperlink" Target="https://www.linkedin.com/jobs/view/4418822848" TargetMode="External" Id="rId537" /><Relationship Type="http://schemas.openxmlformats.org/officeDocument/2006/relationships/hyperlink" Target="https://www.linkedin.com/jobs/view/4419751772" TargetMode="External" Id="rId538" /><Relationship Type="http://schemas.openxmlformats.org/officeDocument/2006/relationships/hyperlink" Target="https://uk.indeed.com/viewjob" TargetMode="External" Id="rId539" /><Relationship Type="http://schemas.openxmlformats.org/officeDocument/2006/relationships/hyperlink" Target="https://www.linkedin.com/jobs/view/4427512142" TargetMode="External" Id="rId540" /><Relationship Type="http://schemas.openxmlformats.org/officeDocument/2006/relationships/hyperlink" Target="https://www.linkedin.com/jobs/view/4426310512" TargetMode="External" Id="rId541" /><Relationship Type="http://schemas.openxmlformats.org/officeDocument/2006/relationships/hyperlink" Target="https://www.linkedin.com/jobs/view/4424708701" TargetMode="External" Id="rId542" /><Relationship Type="http://schemas.openxmlformats.org/officeDocument/2006/relationships/hyperlink" Target="https://www.linkedin.com/jobs/view/4421745982" TargetMode="External" Id="rId543" /><Relationship Type="http://schemas.openxmlformats.org/officeDocument/2006/relationships/hyperlink" Target="https://www.linkedin.com/jobs/view/4427463298" TargetMode="External" Id="rId544" /><Relationship Type="http://schemas.openxmlformats.org/officeDocument/2006/relationships/hyperlink" Target="https://www.linkedin.com/jobs/view/4427626920" TargetMode="External" Id="rId545" /><Relationship Type="http://schemas.openxmlformats.org/officeDocument/2006/relationships/hyperlink" Target="https://uk.indeed.com/viewjob" TargetMode="External" Id="rId546" /><Relationship Type="http://schemas.openxmlformats.org/officeDocument/2006/relationships/hyperlink" Target="https://www.linkedin.com/jobs/view/4416801766" TargetMode="External" Id="rId547" /><Relationship Type="http://schemas.openxmlformats.org/officeDocument/2006/relationships/hyperlink" Target="https://uk.indeed.com/viewjob" TargetMode="External" Id="rId548" /><Relationship Type="http://schemas.openxmlformats.org/officeDocument/2006/relationships/hyperlink" Target="https://www.linkedin.com/jobs/view/4378193198" TargetMode="External" Id="rId549" /><Relationship Type="http://schemas.openxmlformats.org/officeDocument/2006/relationships/hyperlink" Target="https://www.linkedin.com/jobs/view/4423359192" TargetMode="External" Id="rId550" /><Relationship Type="http://schemas.openxmlformats.org/officeDocument/2006/relationships/hyperlink" Target="https://uk.indeed.com/viewjob" TargetMode="External" Id="rId551" /><Relationship Type="http://schemas.openxmlformats.org/officeDocument/2006/relationships/hyperlink" Target="https://uk.indeed.com/viewjob" TargetMode="External" Id="rId552" /><Relationship Type="http://schemas.openxmlformats.org/officeDocument/2006/relationships/hyperlink" Target="https://www.linkedin.com/jobs/view/4409930992" TargetMode="External" Id="rId553" /><Relationship Type="http://schemas.openxmlformats.org/officeDocument/2006/relationships/hyperlink" Target="https://www.linkedin.com/jobs/view/4397403251" TargetMode="External" Id="rId554" /><Relationship Type="http://schemas.openxmlformats.org/officeDocument/2006/relationships/hyperlink" Target="https://www.linkedin.com/jobs/view/4424895326" TargetMode="External" Id="rId555" /><Relationship Type="http://schemas.openxmlformats.org/officeDocument/2006/relationships/hyperlink" Target="https://www.linkedin.com/jobs/view/4423148930" TargetMode="External" Id="rId556" /><Relationship Type="http://schemas.openxmlformats.org/officeDocument/2006/relationships/hyperlink" Target="https://www.linkedin.com/jobs/view/4423007710" TargetMode="External" Id="rId557" /><Relationship Type="http://schemas.openxmlformats.org/officeDocument/2006/relationships/hyperlink" Target="https://www.linkedin.com/jobs/view/4430124265" TargetMode="External" Id="rId558" /><Relationship Type="http://schemas.openxmlformats.org/officeDocument/2006/relationships/hyperlink" Target="https://www.linkedin.com/jobs/view/4391564515" TargetMode="External" Id="rId559" /><Relationship Type="http://schemas.openxmlformats.org/officeDocument/2006/relationships/hyperlink" Target="https://www.linkedin.com/jobs/view/4426495763" TargetMode="External" Id="rId560" /><Relationship Type="http://schemas.openxmlformats.org/officeDocument/2006/relationships/hyperlink" Target="https://www.linkedin.com/jobs/view/4404067913" TargetMode="External" Id="rId561" /><Relationship Type="http://schemas.openxmlformats.org/officeDocument/2006/relationships/hyperlink" Target="https://www.linkedin.com/jobs/view/4352526153" TargetMode="External" Id="rId562" /><Relationship Type="http://schemas.openxmlformats.org/officeDocument/2006/relationships/hyperlink" Target="https://www.linkedin.com/jobs/view/4423100448" TargetMode="External" Id="rId563" /><Relationship Type="http://schemas.openxmlformats.org/officeDocument/2006/relationships/hyperlink" Target="https://www.linkedin.com/jobs/view/4398247096" TargetMode="External" Id="rId564" /><Relationship Type="http://schemas.openxmlformats.org/officeDocument/2006/relationships/hyperlink" Target="https://www.linkedin.com/jobs/view/4429950389" TargetMode="External" Id="rId565" /><Relationship Type="http://schemas.openxmlformats.org/officeDocument/2006/relationships/hyperlink" Target="https://www.linkedin.com/jobs/view/4426825173" TargetMode="External" Id="rId566" /><Relationship Type="http://schemas.openxmlformats.org/officeDocument/2006/relationships/hyperlink" Target="https://www.linkedin.com/jobs/view/4424069802" TargetMode="External" Id="rId567" /><Relationship Type="http://schemas.openxmlformats.org/officeDocument/2006/relationships/hyperlink" Target="https://www.linkedin.com/jobs/view/4426305783" TargetMode="External" Id="rId568" /><Relationship Type="http://schemas.openxmlformats.org/officeDocument/2006/relationships/hyperlink" Target="https://www.linkedin.com/jobs/view/4379456422" TargetMode="External" Id="rId569" /><Relationship Type="http://schemas.openxmlformats.org/officeDocument/2006/relationships/hyperlink" Target="https://www.linkedin.com/jobs/view/4426305591" TargetMode="External" Id="rId570" /><Relationship Type="http://schemas.openxmlformats.org/officeDocument/2006/relationships/hyperlink" Target="https://www.linkedin.com/jobs/view/4425985261" TargetMode="External" Id="rId571" /><Relationship Type="http://schemas.openxmlformats.org/officeDocument/2006/relationships/hyperlink" Target="https://www.linkedin.com/jobs/view/4361789945" TargetMode="External" Id="rId572" /><Relationship Type="http://schemas.openxmlformats.org/officeDocument/2006/relationships/hyperlink" Target="https://www.linkedin.com/jobs/view/4423626539" TargetMode="External" Id="rId573" /><Relationship Type="http://schemas.openxmlformats.org/officeDocument/2006/relationships/hyperlink" Target="https://www.linkedin.com/jobs/view/4428519828" TargetMode="External" Id="rId574" /><Relationship Type="http://schemas.openxmlformats.org/officeDocument/2006/relationships/hyperlink" Target="https://www.linkedin.com/jobs/view/4413335839" TargetMode="External" Id="rId575" /><Relationship Type="http://schemas.openxmlformats.org/officeDocument/2006/relationships/hyperlink" Target="https://www.linkedin.com/jobs/view/4425025321" TargetMode="External" Id="rId576" /><Relationship Type="http://schemas.openxmlformats.org/officeDocument/2006/relationships/hyperlink" Target="https://www.linkedin.com/jobs/view/4414688351" TargetMode="External" Id="rId577" /><Relationship Type="http://schemas.openxmlformats.org/officeDocument/2006/relationships/hyperlink" Target="https://www.linkedin.com/jobs/view/4418123994" TargetMode="External" Id="rId578" /><Relationship Type="http://schemas.openxmlformats.org/officeDocument/2006/relationships/hyperlink" Target="https://uk.indeed.com/viewjob" TargetMode="External" Id="rId579" /><Relationship Type="http://schemas.openxmlformats.org/officeDocument/2006/relationships/hyperlink" Target="https://www.linkedin.com/jobs/view/4422366068" TargetMode="External" Id="rId580" /><Relationship Type="http://schemas.openxmlformats.org/officeDocument/2006/relationships/hyperlink" Target="https://www.linkedin.com/jobs/view/4426260032" TargetMode="External" Id="rId581" /><Relationship Type="http://schemas.openxmlformats.org/officeDocument/2006/relationships/hyperlink" Target="https://www.linkedin.com/jobs/view/4425255577" TargetMode="External" Id="rId582" /><Relationship Type="http://schemas.openxmlformats.org/officeDocument/2006/relationships/hyperlink" Target="https://www.linkedin.com/jobs/view/4424889845" TargetMode="External" Id="rId583" /><Relationship Type="http://schemas.openxmlformats.org/officeDocument/2006/relationships/hyperlink" Target="https://www.linkedin.com/jobs/view/4310709296" TargetMode="External" Id="rId584" /><Relationship Type="http://schemas.openxmlformats.org/officeDocument/2006/relationships/hyperlink" Target="https://www.linkedin.com/jobs/view/4427715136" TargetMode="External" Id="rId585" /><Relationship Type="http://schemas.openxmlformats.org/officeDocument/2006/relationships/hyperlink" Target="https://www.linkedin.com/jobs/view/4422949290" TargetMode="External" Id="rId586" /><Relationship Type="http://schemas.openxmlformats.org/officeDocument/2006/relationships/hyperlink" Target="https://www.linkedin.com/jobs/view/4413317128" TargetMode="External" Id="rId587" /><Relationship Type="http://schemas.openxmlformats.org/officeDocument/2006/relationships/hyperlink" Target="https://www.linkedin.com/jobs/view/4427754084" TargetMode="External" Id="rId588" /><Relationship Type="http://schemas.openxmlformats.org/officeDocument/2006/relationships/hyperlink" Target="https://www.linkedin.com/jobs/view/4427557433" TargetMode="External" Id="rId589" /><Relationship Type="http://schemas.openxmlformats.org/officeDocument/2006/relationships/hyperlink" Target="https://www.linkedin.com/jobs/view/4374792255" TargetMode="External" Id="rId590" /><Relationship Type="http://schemas.openxmlformats.org/officeDocument/2006/relationships/hyperlink" Target="https://www.linkedin.com/jobs/view/4385415733" TargetMode="External" Id="rId591" /><Relationship Type="http://schemas.openxmlformats.org/officeDocument/2006/relationships/hyperlink" Target="https://www.linkedin.com/jobs/view/4299326370" TargetMode="External" Id="rId592" /><Relationship Type="http://schemas.openxmlformats.org/officeDocument/2006/relationships/hyperlink" Target="https://www.linkedin.com/jobs/view/4422903923" TargetMode="External" Id="rId593" /><Relationship Type="http://schemas.openxmlformats.org/officeDocument/2006/relationships/hyperlink" Target="https://www.linkedin.com/jobs/view/4430919960" TargetMode="External" Id="rId594" /><Relationship Type="http://schemas.openxmlformats.org/officeDocument/2006/relationships/hyperlink" Target="https://www.linkedin.com/jobs/view/4427575498" TargetMode="External" Id="rId595" /><Relationship Type="http://schemas.openxmlformats.org/officeDocument/2006/relationships/hyperlink" Target="https://www.linkedin.com/jobs/view/4424555650" TargetMode="External" Id="rId596" /><Relationship Type="http://schemas.openxmlformats.org/officeDocument/2006/relationships/hyperlink" Target="https://www.linkedin.com/jobs/view/4428229446" TargetMode="External" Id="rId597" /><Relationship Type="http://schemas.openxmlformats.org/officeDocument/2006/relationships/hyperlink" Target="https://uk.indeed.com/viewjob" TargetMode="External" Id="rId598" /><Relationship Type="http://schemas.openxmlformats.org/officeDocument/2006/relationships/hyperlink" Target="https://www.linkedin.com/jobs/view/4428219572" TargetMode="External" Id="rId599" /><Relationship Type="http://schemas.openxmlformats.org/officeDocument/2006/relationships/hyperlink" Target="https://www.linkedin.com/jobs/view/4429623973" TargetMode="External" Id="rId600" /><Relationship Type="http://schemas.openxmlformats.org/officeDocument/2006/relationships/hyperlink" Target="https://boards.greenhouse.io/cloudflare/jobs/7581107" TargetMode="External" Id="rId601" /><Relationship Type="http://schemas.openxmlformats.org/officeDocument/2006/relationships/hyperlink" Target="https://www.linkedin.com/jobs/view/4424616466" TargetMode="External" Id="rId602" /><Relationship Type="http://schemas.openxmlformats.org/officeDocument/2006/relationships/hyperlink" Target="https://www.linkedin.com/jobs/view/4423346340" TargetMode="External" Id="rId603" /><Relationship Type="http://schemas.openxmlformats.org/officeDocument/2006/relationships/hyperlink" Target="https://uk.indeed.com/viewjob" TargetMode="External" Id="rId604" /><Relationship Type="http://schemas.openxmlformats.org/officeDocument/2006/relationships/hyperlink" Target="https://uk.indeed.com/viewjob" TargetMode="External" Id="rId605" /><Relationship Type="http://schemas.openxmlformats.org/officeDocument/2006/relationships/hyperlink" Target="https://www.linkedin.com/jobs/view/4428847996" TargetMode="External" Id="rId606" /><Relationship Type="http://schemas.openxmlformats.org/officeDocument/2006/relationships/hyperlink" Target="https://uk.indeed.com/viewjob" TargetMode="External" Id="rId607" /><Relationship Type="http://schemas.openxmlformats.org/officeDocument/2006/relationships/hyperlink" Target="https://uk.indeed.com/viewjob" TargetMode="External" Id="rId608" /><Relationship Type="http://schemas.openxmlformats.org/officeDocument/2006/relationships/hyperlink" Target="https://www.linkedin.com/jobs/view/4424552523" TargetMode="External" Id="rId609" /><Relationship Type="http://schemas.openxmlformats.org/officeDocument/2006/relationships/hyperlink" Target="https://www.linkedin.com/jobs/view/4427358474" TargetMode="External" Id="rId610" /><Relationship Type="http://schemas.openxmlformats.org/officeDocument/2006/relationships/hyperlink" Target="https://www.linkedin.com/jobs/view/4425585284" TargetMode="External" Id="rId611" /><Relationship Type="http://schemas.openxmlformats.org/officeDocument/2006/relationships/hyperlink" Target="https://www.linkedin.com/jobs/view/4408429111" TargetMode="External" Id="rId612" /><Relationship Type="http://schemas.openxmlformats.org/officeDocument/2006/relationships/hyperlink" Target="https://www.linkedin.com/jobs/view/4422253838" TargetMode="External" Id="rId613" /><Relationship Type="http://schemas.openxmlformats.org/officeDocument/2006/relationships/hyperlink" Target="https://www.linkedin.com/jobs/view/4420683235" TargetMode="External" Id="rId614" /><Relationship Type="http://schemas.openxmlformats.org/officeDocument/2006/relationships/hyperlink" Target="https://www.linkedin.com/jobs/view/4423606636" TargetMode="External" Id="rId615" /><Relationship Type="http://schemas.openxmlformats.org/officeDocument/2006/relationships/hyperlink" Target="https://www.linkedin.com/jobs/view/4426981471" TargetMode="External" Id="rId616" /><Relationship Type="http://schemas.openxmlformats.org/officeDocument/2006/relationships/hyperlink" Target="https://www.linkedin.com/jobs/view/4428857716" TargetMode="External" Id="rId617" /><Relationship Type="http://schemas.openxmlformats.org/officeDocument/2006/relationships/hyperlink" Target="https://www.linkedin.com/jobs/view/4428867092" TargetMode="External" Id="rId618" /><Relationship Type="http://schemas.openxmlformats.org/officeDocument/2006/relationships/hyperlink" Target="https://www.linkedin.com/jobs/view/4430412298" TargetMode="External" Id="rId619" /><Relationship Type="http://schemas.openxmlformats.org/officeDocument/2006/relationships/hyperlink" Target="https://www.linkedin.com/jobs/view/4429305442" TargetMode="External" Id="rId620" /><Relationship Type="http://schemas.openxmlformats.org/officeDocument/2006/relationships/hyperlink" Target="https://www.linkedin.com/jobs/view/4416833931" TargetMode="External" Id="rId621" /><Relationship Type="http://schemas.openxmlformats.org/officeDocument/2006/relationships/hyperlink" Target="https://www.linkedin.com/jobs/view/4422912294" TargetMode="External" Id="rId622" /><Relationship Type="http://schemas.openxmlformats.org/officeDocument/2006/relationships/hyperlink" Target="https://www.linkedin.com/jobs/view/4416155367" TargetMode="External" Id="rId623" /><Relationship Type="http://schemas.openxmlformats.org/officeDocument/2006/relationships/hyperlink" Target="https://www.linkedin.com/jobs/view/4372394149" TargetMode="External" Id="rId624" /><Relationship Type="http://schemas.openxmlformats.org/officeDocument/2006/relationships/hyperlink" Target="https://www.linkedin.com/jobs/view/4412864329" TargetMode="External" Id="rId625" /><Relationship Type="http://schemas.openxmlformats.org/officeDocument/2006/relationships/hyperlink" Target="https://www.linkedin.com/jobs/view/4424745807" TargetMode="External" Id="rId626" /><Relationship Type="http://schemas.openxmlformats.org/officeDocument/2006/relationships/hyperlink" Target="https://www.linkedin.com/jobs/view/4420974292" TargetMode="External" Id="rId627" /><Relationship Type="http://schemas.openxmlformats.org/officeDocument/2006/relationships/hyperlink" Target="https://www.linkedin.com/jobs/view/4415288342" TargetMode="External" Id="rId628" /><Relationship Type="http://schemas.openxmlformats.org/officeDocument/2006/relationships/hyperlink" Target="https://www.linkedin.com/jobs/view/4430949386" TargetMode="External" Id="rId629" /><Relationship Type="http://schemas.openxmlformats.org/officeDocument/2006/relationships/hyperlink" Target="https://www.linkedin.com/jobs/view/4383961522" TargetMode="External" Id="rId630" /><Relationship Type="http://schemas.openxmlformats.org/officeDocument/2006/relationships/hyperlink" Target="https://uk.indeed.com/viewjob" TargetMode="External" Id="rId631" /><Relationship Type="http://schemas.openxmlformats.org/officeDocument/2006/relationships/hyperlink" Target="https://www.linkedin.com/jobs/view/4403476635" TargetMode="External" Id="rId632" /><Relationship Type="http://schemas.openxmlformats.org/officeDocument/2006/relationships/hyperlink" Target="https://www.linkedin.com/jobs/view/4411161352" TargetMode="External" Id="rId633" /><Relationship Type="http://schemas.openxmlformats.org/officeDocument/2006/relationships/hyperlink" Target="https://www.linkedin.com/jobs/view/4423362888" TargetMode="External" Id="rId634" /><Relationship Type="http://schemas.openxmlformats.org/officeDocument/2006/relationships/hyperlink" Target="https://www.linkedin.com/jobs/view/4423366508" TargetMode="External" Id="rId635" /><Relationship Type="http://schemas.openxmlformats.org/officeDocument/2006/relationships/hyperlink" Target="https://www.linkedin.com/jobs/view/4427190274" TargetMode="External" Id="rId636" /><Relationship Type="http://schemas.openxmlformats.org/officeDocument/2006/relationships/hyperlink" Target="https://www.linkedin.com/jobs/view/4425260203" TargetMode="External" Id="rId637" /><Relationship Type="http://schemas.openxmlformats.org/officeDocument/2006/relationships/hyperlink" Target="https://uk.indeed.com/viewjob" TargetMode="External" Id="rId638" /><Relationship Type="http://schemas.openxmlformats.org/officeDocument/2006/relationships/hyperlink" Target="https://www.linkedin.com/jobs/view/4369594926" TargetMode="External" Id="rId639" /><Relationship Type="http://schemas.openxmlformats.org/officeDocument/2006/relationships/hyperlink" Target="https://www.linkedin.com/jobs/view/4369816387" TargetMode="External" Id="rId640" /><Relationship Type="http://schemas.openxmlformats.org/officeDocument/2006/relationships/hyperlink" Target="https://uk.indeed.com/viewjob" TargetMode="External" Id="rId641" /><Relationship Type="http://schemas.openxmlformats.org/officeDocument/2006/relationships/hyperlink" Target="https://www.linkedin.com/jobs/view/4325338065" TargetMode="External" Id="rId642" /><Relationship Type="http://schemas.openxmlformats.org/officeDocument/2006/relationships/hyperlink" Target="https://www.linkedin.com/jobs/view/4417052715" TargetMode="External" Id="rId643" /><Relationship Type="http://schemas.openxmlformats.org/officeDocument/2006/relationships/hyperlink" Target="https://www.linkedin.com/jobs/view/4427982253" TargetMode="External" Id="rId644" /><Relationship Type="http://schemas.openxmlformats.org/officeDocument/2006/relationships/hyperlink" Target="https://www.linkedin.com/jobs/view/3930442053" TargetMode="External" Id="rId645" /><Relationship Type="http://schemas.openxmlformats.org/officeDocument/2006/relationships/hyperlink" Target="https://www.linkedin.com/jobs/view/4426860362" TargetMode="External" Id="rId646" /><Relationship Type="http://schemas.openxmlformats.org/officeDocument/2006/relationships/hyperlink" Target="https://www.linkedin.com/jobs/view/4395999500" TargetMode="External" Id="rId647" /><Relationship Type="http://schemas.openxmlformats.org/officeDocument/2006/relationships/hyperlink" Target="https://www.linkedin.com/jobs/view/4416277317" TargetMode="External" Id="rId648" /><Relationship Type="http://schemas.openxmlformats.org/officeDocument/2006/relationships/hyperlink" Target="https://www.linkedin.com/jobs/view/4410190747" TargetMode="External" Id="rId649" /><Relationship Type="http://schemas.openxmlformats.org/officeDocument/2006/relationships/hyperlink" Target="https://www.linkedin.com/jobs/view/4422279679" TargetMode="External" Id="rId650" /><Relationship Type="http://schemas.openxmlformats.org/officeDocument/2006/relationships/hyperlink" Target="https://www.linkedin.com/jobs/view/4411654202" TargetMode="External" Id="rId651" /><Relationship Type="http://schemas.openxmlformats.org/officeDocument/2006/relationships/hyperlink" Target="https://www.linkedin.com/jobs/view/4421710262" TargetMode="External" Id="rId652" /><Relationship Type="http://schemas.openxmlformats.org/officeDocument/2006/relationships/hyperlink" Target="https://www.linkedin.com/jobs/view/4396458165" TargetMode="External" Id="rId653" /><Relationship Type="http://schemas.openxmlformats.org/officeDocument/2006/relationships/hyperlink" Target="https://www.linkedin.com/jobs/view/4396450613" TargetMode="External" Id="rId654" /><Relationship Type="http://schemas.openxmlformats.org/officeDocument/2006/relationships/hyperlink" Target="https://uk.indeed.com/viewjob" TargetMode="External" Id="rId655" /><Relationship Type="http://schemas.openxmlformats.org/officeDocument/2006/relationships/hyperlink" Target="https://www.linkedin.com/jobs/view/4424368478" TargetMode="External" Id="rId656" /><Relationship Type="http://schemas.openxmlformats.org/officeDocument/2006/relationships/hyperlink" Target="https://www.linkedin.com/jobs/view/4422915746" TargetMode="External" Id="rId657" /><Relationship Type="http://schemas.openxmlformats.org/officeDocument/2006/relationships/hyperlink" Target="https://uk.indeed.com/viewjob" TargetMode="External" Id="rId658" /><Relationship Type="http://schemas.openxmlformats.org/officeDocument/2006/relationships/hyperlink" Target="https://uk.indeed.com/viewjob" TargetMode="External" Id="rId659" /><Relationship Type="http://schemas.openxmlformats.org/officeDocument/2006/relationships/hyperlink" Target="https://www.linkedin.com/jobs/view/4426648664" TargetMode="External" Id="rId660" /><Relationship Type="http://schemas.openxmlformats.org/officeDocument/2006/relationships/hyperlink" Target="https://www.linkedin.com/jobs/view/4424178803" TargetMode="External" Id="rId661" /><Relationship Type="http://schemas.openxmlformats.org/officeDocument/2006/relationships/hyperlink" Target="https://www.linkedin.com/jobs/view/4410809866" TargetMode="External" Id="rId662" /><Relationship Type="http://schemas.openxmlformats.org/officeDocument/2006/relationships/hyperlink" Target="https://uk.indeed.com/viewjob" TargetMode="External" Id="rId663" /><Relationship Type="http://schemas.openxmlformats.org/officeDocument/2006/relationships/hyperlink" Target="https://www.linkedin.com/jobs/view/4426773991" TargetMode="External" Id="rId664" /><Relationship Type="http://schemas.openxmlformats.org/officeDocument/2006/relationships/hyperlink" Target="https://www.linkedin.com/jobs/view/4429712275" TargetMode="External" Id="rId665" /><Relationship Type="http://schemas.openxmlformats.org/officeDocument/2006/relationships/hyperlink" Target="https://www.linkedin.com/jobs/view/4393503807" TargetMode="External" Id="rId666" /><Relationship Type="http://schemas.openxmlformats.org/officeDocument/2006/relationships/hyperlink" Target="https://www.linkedin.com/jobs/view/4429649913" TargetMode="External" Id="rId667" /><Relationship Type="http://schemas.openxmlformats.org/officeDocument/2006/relationships/hyperlink" Target="https://www.linkedin.com/jobs/view/4429667601" TargetMode="External" Id="rId668" /><Relationship Type="http://schemas.openxmlformats.org/officeDocument/2006/relationships/hyperlink" Target="https://www.linkedin.com/jobs/view/4414758089" TargetMode="External" Id="rId669" /><Relationship Type="http://schemas.openxmlformats.org/officeDocument/2006/relationships/hyperlink" Target="https://uk.indeed.com/viewjob" TargetMode="External" Id="rId670" /><Relationship Type="http://schemas.openxmlformats.org/officeDocument/2006/relationships/hyperlink" Target="https://www.linkedin.com/jobs/view/4428811303" TargetMode="External" Id="rId671" /><Relationship Type="http://schemas.openxmlformats.org/officeDocument/2006/relationships/hyperlink" Target="https://www.linkedin.com/jobs/view/4427021784" TargetMode="External" Id="rId672" /><Relationship Type="http://schemas.openxmlformats.org/officeDocument/2006/relationships/hyperlink" Target="https://www.linkedin.com/jobs/view/4414338195" TargetMode="External" Id="rId673" /><Relationship Type="http://schemas.openxmlformats.org/officeDocument/2006/relationships/hyperlink" Target="https://www.linkedin.com/jobs/view/4428880132" TargetMode="External" Id="rId674" /><Relationship Type="http://schemas.openxmlformats.org/officeDocument/2006/relationships/hyperlink" Target="https://job-boards.greenhouse.io/gocardless/jobs/8018099" TargetMode="External" Id="rId675" /><Relationship Type="http://schemas.openxmlformats.org/officeDocument/2006/relationships/hyperlink" Target="https://job-boards.greenhouse.io/monzo/jobs/7768140" TargetMode="External" Id="rId676" /><Relationship Type="http://schemas.openxmlformats.org/officeDocument/2006/relationships/hyperlink" Target="https://www.linkedin.com/jobs/view/4428485589" TargetMode="External" Id="rId677" /><Relationship Type="http://schemas.openxmlformats.org/officeDocument/2006/relationships/hyperlink" Target="https://www.linkedin.com/jobs/view/4426821693" TargetMode="External" Id="rId678" /><Relationship Type="http://schemas.openxmlformats.org/officeDocument/2006/relationships/hyperlink" Target="https://www.linkedin.com/jobs/view/4413323903" TargetMode="External" Id="rId679" /><Relationship Type="http://schemas.openxmlformats.org/officeDocument/2006/relationships/hyperlink" Target="https://www.linkedin.com/jobs/view/4417202156" TargetMode="External" Id="rId680" /><Relationship Type="http://schemas.openxmlformats.org/officeDocument/2006/relationships/hyperlink" Target="https://www.linkedin.com/jobs/view/4413314822" TargetMode="External" Id="rId681" /><Relationship Type="http://schemas.openxmlformats.org/officeDocument/2006/relationships/hyperlink" Target="https://www.linkedin.com/jobs/view/4422818846" TargetMode="External" Id="rId682" /><Relationship Type="http://schemas.openxmlformats.org/officeDocument/2006/relationships/hyperlink" Target="https://www.linkedin.com/jobs/view/4424204521" TargetMode="External" Id="rId683" /><Relationship Type="http://schemas.openxmlformats.org/officeDocument/2006/relationships/hyperlink" Target="https://www.linkedin.com/jobs/view/4424186451" TargetMode="External" Id="rId684" /><Relationship Type="http://schemas.openxmlformats.org/officeDocument/2006/relationships/hyperlink" Target="https://www.linkedin.com/jobs/view/4429003936" TargetMode="External" Id="rId685" /><Relationship Type="http://schemas.openxmlformats.org/officeDocument/2006/relationships/hyperlink" Target="https://uk.indeed.com/viewjob" TargetMode="External" Id="rId686" /><Relationship Type="http://schemas.openxmlformats.org/officeDocument/2006/relationships/hyperlink" Target="https://www.linkedin.com/jobs/view/4429351953" TargetMode="External" Id="rId687" /><Relationship Type="http://schemas.openxmlformats.org/officeDocument/2006/relationships/hyperlink" Target="https://www.linkedin.com/jobs/view/4419620171" TargetMode="External" Id="rId688" /><Relationship Type="http://schemas.openxmlformats.org/officeDocument/2006/relationships/hyperlink" Target="https://www.linkedin.com/jobs/view/4424890248" TargetMode="External" Id="rId689" /><Relationship Type="http://schemas.openxmlformats.org/officeDocument/2006/relationships/hyperlink" Target="https://www.linkedin.com/jobs/view/4417652742" TargetMode="External" Id="rId690" /><Relationship Type="http://schemas.openxmlformats.org/officeDocument/2006/relationships/hyperlink" Target="https://www.linkedin.com/jobs/view/4328150936" TargetMode="External" Id="rId691" /><Relationship Type="http://schemas.openxmlformats.org/officeDocument/2006/relationships/hyperlink" Target="https://www.linkedin.com/jobs/view/4430933615" TargetMode="External" Id="rId692" /><Relationship Type="http://schemas.openxmlformats.org/officeDocument/2006/relationships/hyperlink" Target="https://job-boards.greenhouse.io/graphcore/jobs/8597205002" TargetMode="External" Id="rId693" /><Relationship Type="http://schemas.openxmlformats.org/officeDocument/2006/relationships/hyperlink" Target="https://www.linkedin.com/jobs/view/4429947511" TargetMode="External" Id="rId694" /><Relationship Type="http://schemas.openxmlformats.org/officeDocument/2006/relationships/hyperlink" Target="https://www.linkedin.com/jobs/view/4421843735" TargetMode="External" Id="rId695" /><Relationship Type="http://schemas.openxmlformats.org/officeDocument/2006/relationships/hyperlink" Target="https://www.linkedin.com/jobs/view/4353100431" TargetMode="External" Id="rId696" /><Relationship Type="http://schemas.openxmlformats.org/officeDocument/2006/relationships/hyperlink" Target="https://uk.indeed.com/viewjob" TargetMode="External" Id="rId697" /><Relationship Type="http://schemas.openxmlformats.org/officeDocument/2006/relationships/hyperlink" Target="https://www.linkedin.com/jobs/view/4428848987" TargetMode="External" Id="rId698" /><Relationship Type="http://schemas.openxmlformats.org/officeDocument/2006/relationships/hyperlink" Target="https://www.linkedin.com/jobs/view/4310121222" TargetMode="External" Id="rId699" /><Relationship Type="http://schemas.openxmlformats.org/officeDocument/2006/relationships/hyperlink" Target="https://www.linkedin.com/jobs/view/4364299632" TargetMode="External" Id="rId700" /><Relationship Type="http://schemas.openxmlformats.org/officeDocument/2006/relationships/hyperlink" Target="https://uk.indeed.com/viewjob" TargetMode="External" Id="rId701" /><Relationship Type="http://schemas.openxmlformats.org/officeDocument/2006/relationships/hyperlink" Target="https://www.linkedin.com/jobs/view/4416591590" TargetMode="External" Id="rId702" /><Relationship Type="http://schemas.openxmlformats.org/officeDocument/2006/relationships/hyperlink" Target="https://uk.indeed.com/viewjob" TargetMode="External" Id="rId703" /><Relationship Type="http://schemas.openxmlformats.org/officeDocument/2006/relationships/hyperlink" Target="https://www.linkedin.com/jobs/view/4429236840" TargetMode="External" Id="rId704" /><Relationship Type="http://schemas.openxmlformats.org/officeDocument/2006/relationships/hyperlink" Target="https://www.linkedin.com/jobs/view/4420120956" TargetMode="External" Id="rId705" /><Relationship Type="http://schemas.openxmlformats.org/officeDocument/2006/relationships/hyperlink" Target="https://www.linkedin.com/jobs/view/4421801172" TargetMode="External" Id="rId706" /><Relationship Type="http://schemas.openxmlformats.org/officeDocument/2006/relationships/hyperlink" Target="https://www.linkedin.com/jobs/view/4412726962" TargetMode="External" Id="rId707" /><Relationship Type="http://schemas.openxmlformats.org/officeDocument/2006/relationships/hyperlink" Target="https://www.linkedin.com/jobs/view/4429904924" TargetMode="External" Id="rId708" /><Relationship Type="http://schemas.openxmlformats.org/officeDocument/2006/relationships/hyperlink" Target="https://www.linkedin.com/jobs/view/4400805132" TargetMode="External" Id="rId709" /><Relationship Type="http://schemas.openxmlformats.org/officeDocument/2006/relationships/hyperlink" Target="https://uk.indeed.com/viewjob" TargetMode="External" Id="rId710" /><Relationship Type="http://schemas.openxmlformats.org/officeDocument/2006/relationships/hyperlink" Target="https://www.linkedin.com/jobs/view/4427978459" TargetMode="External" Id="rId711" /><Relationship Type="http://schemas.openxmlformats.org/officeDocument/2006/relationships/hyperlink" Target="https://www.linkedin.com/jobs/view/4429650654" TargetMode="External" Id="rId712" /><Relationship Type="http://schemas.openxmlformats.org/officeDocument/2006/relationships/hyperlink" Target="https://www.linkedin.com/jobs/view/4425310804" TargetMode="External" Id="rId713" /><Relationship Type="http://schemas.openxmlformats.org/officeDocument/2006/relationships/hyperlink" Target="https://www.linkedin.com/jobs/view/4387288409" TargetMode="External" Id="rId714" /><Relationship Type="http://schemas.openxmlformats.org/officeDocument/2006/relationships/hyperlink" Target="https://www.linkedin.com/jobs/view/4426404851" TargetMode="External" Id="rId715" /><Relationship Type="http://schemas.openxmlformats.org/officeDocument/2006/relationships/hyperlink" Target="https://www.linkedin.com/jobs/view/4422698195" TargetMode="External" Id="rId716" /><Relationship Type="http://schemas.openxmlformats.org/officeDocument/2006/relationships/hyperlink" Target="https://www.linkedin.com/jobs/view/4417665075" TargetMode="External" Id="rId717" /><Relationship Type="http://schemas.openxmlformats.org/officeDocument/2006/relationships/hyperlink" Target="https://www.linkedin.com/jobs/view/4415280991" TargetMode="External" Id="rId718" /><Relationship Type="http://schemas.openxmlformats.org/officeDocument/2006/relationships/hyperlink" Target="https://www.linkedin.com/jobs/view/4384258608" TargetMode="External" Id="rId719" /><Relationship Type="http://schemas.openxmlformats.org/officeDocument/2006/relationships/hyperlink" Target="https://www.linkedin.com/jobs/view/4428527837" TargetMode="External" Id="rId720" /><Relationship Type="http://schemas.openxmlformats.org/officeDocument/2006/relationships/hyperlink" Target="https://www.linkedin.com/jobs/view/4429796657" TargetMode="External" Id="rId721" /><Relationship Type="http://schemas.openxmlformats.org/officeDocument/2006/relationships/hyperlink" Target="https://www.linkedin.com/jobs/view/4415597337" TargetMode="External" Id="rId722" /><Relationship Type="http://schemas.openxmlformats.org/officeDocument/2006/relationships/hyperlink" Target="https://www.linkedin.com/jobs/view/4412738742" TargetMode="External" Id="rId723" /><Relationship Type="http://schemas.openxmlformats.org/officeDocument/2006/relationships/hyperlink" Target="https://www.linkedin.com/jobs/view/4429317069" TargetMode="External" Id="rId724" /><Relationship Type="http://schemas.openxmlformats.org/officeDocument/2006/relationships/hyperlink" Target="https://uk.indeed.com/viewjob" TargetMode="External" Id="rId725" /><Relationship Type="http://schemas.openxmlformats.org/officeDocument/2006/relationships/hyperlink" Target="https://www.linkedin.com/jobs/view/4419142741" TargetMode="External" Id="rId726" /><Relationship Type="http://schemas.openxmlformats.org/officeDocument/2006/relationships/hyperlink" Target="https://uk.indeed.com/viewjob" TargetMode="External" Id="rId727" /><Relationship Type="http://schemas.openxmlformats.org/officeDocument/2006/relationships/hyperlink" Target="https://uk.indeed.com/viewjob" TargetMode="External" Id="rId728" /><Relationship Type="http://schemas.openxmlformats.org/officeDocument/2006/relationships/hyperlink" Target="https://www.linkedin.com/jobs/view/4415289487" TargetMode="External" Id="rId729" /><Relationship Type="http://schemas.openxmlformats.org/officeDocument/2006/relationships/hyperlink" Target="https://www.linkedin.com/jobs/view/4417242012" TargetMode="External" Id="rId730" /><Relationship Type="http://schemas.openxmlformats.org/officeDocument/2006/relationships/hyperlink" Target="https://uk.indeed.com/viewjob" TargetMode="External" Id="rId731" /><Relationship Type="http://schemas.openxmlformats.org/officeDocument/2006/relationships/hyperlink" Target="https://www.linkedin.com/jobs/view/4428343580" TargetMode="External" Id="rId732" /><Relationship Type="http://schemas.openxmlformats.org/officeDocument/2006/relationships/hyperlink" Target="https://www.linkedin.com/jobs/view/4428480290" TargetMode="External" Id="rId733" /><Relationship Type="http://schemas.openxmlformats.org/officeDocument/2006/relationships/hyperlink" Target="https://www.linkedin.com/jobs/view/4422008576" TargetMode="External" Id="rId734" /><Relationship Type="http://schemas.openxmlformats.org/officeDocument/2006/relationships/hyperlink" Target="https://uk.indeed.com/viewjob" TargetMode="External" Id="rId735" /><Relationship Type="http://schemas.openxmlformats.org/officeDocument/2006/relationships/hyperlink" Target="https://www.linkedin.com/jobs/view/4427857109" TargetMode="External" Id="rId736" /><Relationship Type="http://schemas.openxmlformats.org/officeDocument/2006/relationships/hyperlink" Target="https://www.linkedin.com/jobs/view/4415137874" TargetMode="External" Id="rId737" /><Relationship Type="http://schemas.openxmlformats.org/officeDocument/2006/relationships/hyperlink" Target="https://www.linkedin.com/jobs/view/4100040117" TargetMode="External" Id="rId738" /><Relationship Type="http://schemas.openxmlformats.org/officeDocument/2006/relationships/hyperlink" Target="https://www.linkedin.com/jobs/view/4428750343" TargetMode="External" Id="rId739" /><Relationship Type="http://schemas.openxmlformats.org/officeDocument/2006/relationships/hyperlink" Target="https://uk.indeed.com/viewjob" TargetMode="External" Id="rId740" /><Relationship Type="http://schemas.openxmlformats.org/officeDocument/2006/relationships/hyperlink" Target="https://www.linkedin.com/jobs/view/4430450015" TargetMode="External" Id="rId741" /><Relationship Type="http://schemas.openxmlformats.org/officeDocument/2006/relationships/hyperlink" Target="https://uk.indeed.com/viewjob" TargetMode="External" Id="rId742" /><Relationship Type="http://schemas.openxmlformats.org/officeDocument/2006/relationships/hyperlink" Target="https://www.linkedin.com/jobs/view/4429328233" TargetMode="External" Id="rId743" /><Relationship Type="http://schemas.openxmlformats.org/officeDocument/2006/relationships/hyperlink" Target="https://www.linkedin.com/jobs/view/4430725829" TargetMode="External" Id="rId744" /><Relationship Type="http://schemas.openxmlformats.org/officeDocument/2006/relationships/hyperlink" Target="https://job-boards.greenhouse.io/monzo/jobs/7065636" TargetMode="External" Id="rId745" /><Relationship Type="http://schemas.openxmlformats.org/officeDocument/2006/relationships/hyperlink" Target="https://job-boards.greenhouse.io/monzo/jobs/6758449" TargetMode="External" Id="rId746" /><Relationship Type="http://schemas.openxmlformats.org/officeDocument/2006/relationships/hyperlink" Target="https://uk.indeed.com/viewjob" TargetMode="External" Id="rId747" /><Relationship Type="http://schemas.openxmlformats.org/officeDocument/2006/relationships/hyperlink" Target="https://www.linkedin.com/jobs/view/4426334877" TargetMode="External" Id="rId748" /><Relationship Type="http://schemas.openxmlformats.org/officeDocument/2006/relationships/hyperlink" Target="https://www.linkedin.com/jobs/view/4425594723" TargetMode="External" Id="rId749" /><Relationship Type="http://schemas.openxmlformats.org/officeDocument/2006/relationships/hyperlink" Target="https://www.linkedin.com/jobs/view/4413628179" TargetMode="External" Id="rId750" /><Relationship Type="http://schemas.openxmlformats.org/officeDocument/2006/relationships/hyperlink" Target="https://uk.indeed.com/viewjob" TargetMode="External" Id="rId751" /><Relationship Type="http://schemas.openxmlformats.org/officeDocument/2006/relationships/hyperlink" Target="https://uk.indeed.com/viewjob" TargetMode="External" Id="rId752" /><Relationship Type="http://schemas.openxmlformats.org/officeDocument/2006/relationships/hyperlink" Target="https://www.linkedin.com/jobs/view/4418139716" TargetMode="External" Id="rId753" /><Relationship Type="http://schemas.openxmlformats.org/officeDocument/2006/relationships/hyperlink" Target="https://www.linkedin.com/jobs/view/4430475914" TargetMode="External" Id="rId754" /><Relationship Type="http://schemas.openxmlformats.org/officeDocument/2006/relationships/hyperlink" Target="https://www.linkedin.com/jobs/view/4420097588" TargetMode="External" Id="rId755" /><Relationship Type="http://schemas.openxmlformats.org/officeDocument/2006/relationships/hyperlink" Target="https://www.linkedin.com/jobs/view/4421967570" TargetMode="External" Id="rId756" /><Relationship Type="http://schemas.openxmlformats.org/officeDocument/2006/relationships/hyperlink" Target="https://www.linkedin.com/jobs/view/4429235740" TargetMode="External" Id="rId757" /><Relationship Type="http://schemas.openxmlformats.org/officeDocument/2006/relationships/hyperlink" Target="https://www.linkedin.com/jobs/view/4430441310" TargetMode="External" Id="rId758" /><Relationship Type="http://schemas.openxmlformats.org/officeDocument/2006/relationships/hyperlink" Target="https://www.linkedin.com/jobs/view/4429300971" TargetMode="External" Id="rId759" /><Relationship Type="http://schemas.openxmlformats.org/officeDocument/2006/relationships/hyperlink" Target="https://www.linkedin.com/jobs/view/4429320268" TargetMode="External" Id="rId760" /><Relationship Type="http://schemas.openxmlformats.org/officeDocument/2006/relationships/hyperlink" Target="https://www.linkedin.com/jobs/view/4414054559" TargetMode="External" Id="rId761" /><Relationship Type="http://schemas.openxmlformats.org/officeDocument/2006/relationships/hyperlink" Target="https://www.linkedin.com/jobs/view/4423930002" TargetMode="External" Id="rId762" /><Relationship Type="http://schemas.openxmlformats.org/officeDocument/2006/relationships/hyperlink" Target="https://job-boards.greenhouse.io/graphcore/jobs/8593496002" TargetMode="External" Id="rId763" /><Relationship Type="http://schemas.openxmlformats.org/officeDocument/2006/relationships/hyperlink" Target="https://job-boards.greenhouse.io/graphcore/jobs/8593486002" TargetMode="External" Id="rId764" /><Relationship Type="http://schemas.openxmlformats.org/officeDocument/2006/relationships/hyperlink" Target="https://sifive.wd1.myworkdayjobs.com/job/Cambridge-England-United-Kingdom/Senior-ALU-Design-Engineer_R-101196" TargetMode="External" Id="rId765" /><Relationship Type="http://schemas.openxmlformats.org/officeDocument/2006/relationships/hyperlink" Target="https://dyson.wd3.myworkdayjobs.com/job/Germany---Hamburg-Mnckeberg-Strasse-Demo-Store/Store-Leader_JR36274" TargetMode="External" Id="rId766" /><Relationship Type="http://schemas.openxmlformats.org/officeDocument/2006/relationships/hyperlink" Target="https://dyson.wd3.myworkdayjobs.com/job/Philippines---Advanced-Manufacturing-Office/Head-of-HR---Philippines_JR36686-1" TargetMode="External" Id="rId767" /><Relationship Type="http://schemas.openxmlformats.org/officeDocument/2006/relationships/hyperlink" Target="https://dyson.wd3.myworkdayjobs.com/job/Singapore---St-James-Power-Station-Headquarters/Senior-Security-Officer-2_JR36548" TargetMode="External" Id="rId768" /><Relationship Type="http://schemas.openxmlformats.org/officeDocument/2006/relationships/hyperlink" Target="https://dyson.wd3.myworkdayjobs.com/job/Netherlands---Amsterdam-Office/Senior-Amazon-COE-Manager_JR35509" TargetMode="External" Id="rId769" /><Relationship Type="http://schemas.openxmlformats.org/officeDocument/2006/relationships/hyperlink" Target="https://job-boards.greenhouse.io/graphcore/jobs/8231827002" TargetMode="External" Id="rId770" /><Relationship Type="http://schemas.openxmlformats.org/officeDocument/2006/relationships/hyperlink" Target="https://job-boards.greenhouse.io/graphcore/jobs/8518723002" TargetMode="External" Id="rId771" /><Relationship Type="http://schemas.openxmlformats.org/officeDocument/2006/relationships/hyperlink" Target="https://job-boards.greenhouse.io/graphcore/jobs/8557788002" TargetMode="External" Id="rId772" /><Relationship Type="http://schemas.openxmlformats.org/officeDocument/2006/relationships/hyperlink" Target="https://job-boards.greenhouse.io/graphcore/jobs/8400021002" TargetMode="External" Id="rId773" /><Relationship Type="http://schemas.openxmlformats.org/officeDocument/2006/relationships/hyperlink" Target="https://job-boards.greenhouse.io/graphcore/jobs/8286166002" TargetMode="External" Id="rId774" /><Relationship Type="http://schemas.openxmlformats.org/officeDocument/2006/relationships/hyperlink" Target="https://job-boards.greenhouse.io/graphcore/jobs/8491411002" TargetMode="External" Id="rId775" /><Relationship Type="http://schemas.openxmlformats.org/officeDocument/2006/relationships/hyperlink" Target="https://job-boards.greenhouse.io/graphcore/jobs/8331005002" TargetMode="External" Id="rId776" /><Relationship Type="http://schemas.openxmlformats.org/officeDocument/2006/relationships/hyperlink" Target="https://job-boards.greenhouse.io/graphcore/jobs/8592111002" TargetMode="External" Id="rId777" /><Relationship Type="http://schemas.openxmlformats.org/officeDocument/2006/relationships/hyperlink" Target="https://job-boards.greenhouse.io/graphcore/jobs/8592142002" TargetMode="External" Id="rId778" /><Relationship Type="http://schemas.openxmlformats.org/officeDocument/2006/relationships/hyperlink" Target="https://job-boards.greenhouse.io/graphcore/jobs/8578833002" TargetMode="External" Id="rId779" /><Relationship Type="http://schemas.openxmlformats.org/officeDocument/2006/relationships/hyperlink" Target="https://job-boards.greenhouse.io/graphcore/jobs/8508226002" TargetMode="External" Id="rId780" /><Relationship Type="http://schemas.openxmlformats.org/officeDocument/2006/relationships/hyperlink" Target="https://job-boards.greenhouse.io/graphcore/jobs/8556420002" TargetMode="External" Id="rId781" /><Relationship Type="http://schemas.openxmlformats.org/officeDocument/2006/relationships/hyperlink" Target="https://job-boards.greenhouse.io/graphcore/jobs/8518844002" TargetMode="External" Id="rId782" /><Relationship Type="http://schemas.openxmlformats.org/officeDocument/2006/relationships/hyperlink" Target="https://job-boards.greenhouse.io/graphcore/jobs/8539076002" TargetMode="External" Id="rId783" /><Relationship Type="http://schemas.openxmlformats.org/officeDocument/2006/relationships/hyperlink" Target="https://job-boards.greenhouse.io/graphcore/jobs/8580104002" TargetMode="External" Id="rId784" /><Relationship Type="http://schemas.openxmlformats.org/officeDocument/2006/relationships/hyperlink" Target="https://job-boards.greenhouse.io/graphcore/jobs/8570429002" TargetMode="External" Id="rId785" /><Relationship Type="http://schemas.openxmlformats.org/officeDocument/2006/relationships/hyperlink" Target="https://job-boards.greenhouse.io/graphcore/jobs/8540620002" TargetMode="External" Id="rId786" /><Relationship Type="http://schemas.openxmlformats.org/officeDocument/2006/relationships/hyperlink" Target="https://job-boards.greenhouse.io/graphcore/jobs/8539141002" TargetMode="External" Id="rId787" /><Relationship Type="http://schemas.openxmlformats.org/officeDocument/2006/relationships/hyperlink" Target="https://job-boards.greenhouse.io/graphcore/jobs/8563755002" TargetMode="External" Id="rId788" /><Relationship Type="http://schemas.openxmlformats.org/officeDocument/2006/relationships/hyperlink" Target="https://job-boards.greenhouse.io/graphcore/jobs/8563760002" TargetMode="External" Id="rId789" /><Relationship Type="http://schemas.openxmlformats.org/officeDocument/2006/relationships/hyperlink" Target="https://job-boards.greenhouse.io/graphcore/jobs/8552250002" TargetMode="External" Id="rId790" /><Relationship Type="http://schemas.openxmlformats.org/officeDocument/2006/relationships/hyperlink" Target="https://job-boards.greenhouse.io/graphcore/jobs/8570757002" TargetMode="External" Id="rId791" /><Relationship Type="http://schemas.openxmlformats.org/officeDocument/2006/relationships/hyperlink" Target="https://job-boards.greenhouse.io/graphcore/jobs/8518792002" TargetMode="External" Id="rId792" /><Relationship Type="http://schemas.openxmlformats.org/officeDocument/2006/relationships/hyperlink" Target="https://job-boards.greenhouse.io/graphcore/jobs/8591785002" TargetMode="External" Id="rId793" /><Relationship Type="http://schemas.openxmlformats.org/officeDocument/2006/relationships/hyperlink" Target="https://job-boards.greenhouse.io/graphcore/jobs/8221993002" TargetMode="External" Id="rId794" /><Relationship Type="http://schemas.openxmlformats.org/officeDocument/2006/relationships/hyperlink" Target="https://job-boards.greenhouse.io/graphcore/jobs/8385929002" TargetMode="External" Id="rId795" /><Relationship Type="http://schemas.openxmlformats.org/officeDocument/2006/relationships/hyperlink" Target="https://job-boards.greenhouse.io/graphcore/jobs/8591764002" TargetMode="External" Id="rId796" /><Relationship Type="http://schemas.openxmlformats.org/officeDocument/2006/relationships/hyperlink" Target="https://job-boards.greenhouse.io/graphcore/jobs/8552164002" TargetMode="External" Id="rId797" /><Relationship Type="http://schemas.openxmlformats.org/officeDocument/2006/relationships/hyperlink" Target="https://job-boards.greenhouse.io/graphcore/jobs/8555848002" TargetMode="External" Id="rId798" /><Relationship Type="http://schemas.openxmlformats.org/officeDocument/2006/relationships/hyperlink" Target="https://job-boards.greenhouse.io/graphcore/jobs/8452538002" TargetMode="External" Id="rId799" /><Relationship Type="http://schemas.openxmlformats.org/officeDocument/2006/relationships/hyperlink" Target="https://job-boards.greenhouse.io/graphcore/jobs/8562527002" TargetMode="External" Id="rId800" /><Relationship Type="http://schemas.openxmlformats.org/officeDocument/2006/relationships/hyperlink" Target="https://job-boards.greenhouse.io/graphcore/jobs/8331057002" TargetMode="External" Id="rId801" /><Relationship Type="http://schemas.openxmlformats.org/officeDocument/2006/relationships/hyperlink" Target="https://job-boards.greenhouse.io/graphcore/jobs/8397788002" TargetMode="External" Id="rId802" /><Relationship Type="http://schemas.openxmlformats.org/officeDocument/2006/relationships/hyperlink" Target="https://job-boards.greenhouse.io/graphcore/jobs/8587305002" TargetMode="External" Id="rId803" /><Relationship Type="http://schemas.openxmlformats.org/officeDocument/2006/relationships/hyperlink" Target="https://job-boards.greenhouse.io/graphcore/jobs/8556007002" TargetMode="External" Id="rId804" /><Relationship Type="http://schemas.openxmlformats.org/officeDocument/2006/relationships/hyperlink" Target="https://job-boards.greenhouse.io/graphcore/jobs/8551299002" TargetMode="External" Id="rId805" /><Relationship Type="http://schemas.openxmlformats.org/officeDocument/2006/relationships/hyperlink" Target="https://job-boards.greenhouse.io/graphcore/jobs/8288720002" TargetMode="External" Id="rId806" /><Relationship Type="http://schemas.openxmlformats.org/officeDocument/2006/relationships/hyperlink" Target="https://job-boards.greenhouse.io/graphcore/jobs/8486444002" TargetMode="External" Id="rId807" /><Relationship Type="http://schemas.openxmlformats.org/officeDocument/2006/relationships/hyperlink" Target="https://job-boards.greenhouse.io/graphcore/jobs/8392083002" TargetMode="External" Id="rId808" /><Relationship Type="http://schemas.openxmlformats.org/officeDocument/2006/relationships/hyperlink" Target="https://job-boards.greenhouse.io/graphcore/jobs/8584807002" TargetMode="External" Id="rId809" /><Relationship Type="http://schemas.openxmlformats.org/officeDocument/2006/relationships/hyperlink" Target="https://job-boards.greenhouse.io/graphcore/jobs/8555843002" TargetMode="External" Id="rId810" /><Relationship Type="http://schemas.openxmlformats.org/officeDocument/2006/relationships/hyperlink" Target="https://job-boards.greenhouse.io/graphcore/jobs/8487598002" TargetMode="External" Id="rId811" /><Relationship Type="http://schemas.openxmlformats.org/officeDocument/2006/relationships/hyperlink" Target="https://job-boards.greenhouse.io/graphcore/jobs/8551772002" TargetMode="External" Id="rId812" /><Relationship Type="http://schemas.openxmlformats.org/officeDocument/2006/relationships/hyperlink" Target="https://job-boards.greenhouse.io/graphcore/jobs/8499911002" TargetMode="External" Id="rId813" /><Relationship Type="http://schemas.openxmlformats.org/officeDocument/2006/relationships/hyperlink" Target="https://job-boards.greenhouse.io/graphcore/jobs/8307216002" TargetMode="External" Id="rId814" /><Relationship Type="http://schemas.openxmlformats.org/officeDocument/2006/relationships/hyperlink" Target="https://job-boards.greenhouse.io/graphcore/jobs/8561921002" TargetMode="External" Id="rId815" /><Relationship Type="http://schemas.openxmlformats.org/officeDocument/2006/relationships/hyperlink" Target="https://job-boards.greenhouse.io/graphcore/jobs/8561933002" TargetMode="External" Id="rId816" /><Relationship Type="http://schemas.openxmlformats.org/officeDocument/2006/relationships/hyperlink" Target="https://job-boards.greenhouse.io/graphcore/jobs/8532820002" TargetMode="External" Id="rId817" /><Relationship Type="http://schemas.openxmlformats.org/officeDocument/2006/relationships/hyperlink" Target="https://job-boards.greenhouse.io/graphcore/jobs/8532823002" TargetMode="External" Id="rId818" /><Relationship Type="http://schemas.openxmlformats.org/officeDocument/2006/relationships/hyperlink" Target="https://job-boards.greenhouse.io/graphcore/jobs/8561919002" TargetMode="External" Id="rId819" /><Relationship Type="http://schemas.openxmlformats.org/officeDocument/2006/relationships/hyperlink" Target="https://job-boards.greenhouse.io/graphcore/jobs/8561935002" TargetMode="External" Id="rId820" /><Relationship Type="http://schemas.openxmlformats.org/officeDocument/2006/relationships/hyperlink" Target="https://job-boards.greenhouse.io/graphcore/jobs/8491246002" TargetMode="External" Id="rId821" /><Relationship Type="http://schemas.openxmlformats.org/officeDocument/2006/relationships/hyperlink" Target="https://job-boards.greenhouse.io/graphcore/jobs/8561922002" TargetMode="External" Id="rId822" /><Relationship Type="http://schemas.openxmlformats.org/officeDocument/2006/relationships/hyperlink" Target="https://job-boards.greenhouse.io/graphcore/jobs/8561937002" TargetMode="External" Id="rId823" /><Relationship Type="http://schemas.openxmlformats.org/officeDocument/2006/relationships/hyperlink" Target="https://job-boards.greenhouse.io/graphcore/jobs/8236243002" TargetMode="External" Id="rId824" /><Relationship Type="http://schemas.openxmlformats.org/officeDocument/2006/relationships/hyperlink" Target="https://job-boards.greenhouse.io/graphcore/jobs/8215495002" TargetMode="External" Id="rId825" /><Relationship Type="http://schemas.openxmlformats.org/officeDocument/2006/relationships/hyperlink" Target="https://job-boards.greenhouse.io/graphcore/jobs/8561885002" TargetMode="External" Id="rId826" /><Relationship Type="http://schemas.openxmlformats.org/officeDocument/2006/relationships/hyperlink" Target="https://job-boards.greenhouse.io/graphcore/jobs/8561882002" TargetMode="External" Id="rId827" /><Relationship Type="http://schemas.openxmlformats.org/officeDocument/2006/relationships/hyperlink" Target="https://job-boards.greenhouse.io/graphcore/jobs/8561880002" TargetMode="External" Id="rId828" /><Relationship Type="http://schemas.openxmlformats.org/officeDocument/2006/relationships/hyperlink" Target="https://job-boards.greenhouse.io/graphcore/jobs/8570789002" TargetMode="External" Id="rId829" /><Relationship Type="http://schemas.openxmlformats.org/officeDocument/2006/relationships/hyperlink" Target="https://job-boards.greenhouse.io/graphcore/jobs/8540740002" TargetMode="External" Id="rId830" /><Relationship Type="http://schemas.openxmlformats.org/officeDocument/2006/relationships/hyperlink" Target="https://job-boards.greenhouse.io/graphcore/jobs/8345184002" TargetMode="External" Id="rId831" /><Relationship Type="http://schemas.openxmlformats.org/officeDocument/2006/relationships/hyperlink" Target="https://job-boards.greenhouse.io/graphcore/jobs/8588177002" TargetMode="External" Id="rId832" /><Relationship Type="http://schemas.openxmlformats.org/officeDocument/2006/relationships/hyperlink" Target="https://job-boards.greenhouse.io/graphcore/jobs/8491680002" TargetMode="External" Id="rId833" /><Relationship Type="http://schemas.openxmlformats.org/officeDocument/2006/relationships/hyperlink" Target="https://job-boards.greenhouse.io/graphcore/jobs/8564380002" TargetMode="External" Id="rId834" /><Relationship Type="http://schemas.openxmlformats.org/officeDocument/2006/relationships/hyperlink" Target="https://job-boards.greenhouse.io/graphcore/jobs/8392724002" TargetMode="External" Id="rId835" /><Relationship Type="http://schemas.openxmlformats.org/officeDocument/2006/relationships/hyperlink" Target="https://job-boards.greenhouse.io/graphcore/jobs/8331061002" TargetMode="External" Id="rId836" /><Relationship Type="http://schemas.openxmlformats.org/officeDocument/2006/relationships/hyperlink" Target="https://job-boards.greenhouse.io/graphcore/jobs/8314206002" TargetMode="External" Id="rId837" /><Relationship Type="http://schemas.openxmlformats.org/officeDocument/2006/relationships/hyperlink" Target="https://job-boards.greenhouse.io/graphcore/jobs/8587344002" TargetMode="External" Id="rId838" /><Relationship Type="http://schemas.openxmlformats.org/officeDocument/2006/relationships/hyperlink" Target="https://job-boards.greenhouse.io/graphcore/jobs/8463815002" TargetMode="External" Id="rId839" /><Relationship Type="http://schemas.openxmlformats.org/officeDocument/2006/relationships/hyperlink" Target="https://job-boards.greenhouse.io/graphcore/jobs/8424276002" TargetMode="External" Id="rId840" /><Relationship Type="http://schemas.openxmlformats.org/officeDocument/2006/relationships/hyperlink" Target="https://job-boards.greenhouse.io/graphcore/jobs/8483256002" TargetMode="External" Id="rId841" /><Relationship Type="http://schemas.openxmlformats.org/officeDocument/2006/relationships/hyperlink" Target="https://job-boards.greenhouse.io/graphcore/jobs/8475041002" TargetMode="External" Id="rId842" /><Relationship Type="http://schemas.openxmlformats.org/officeDocument/2006/relationships/hyperlink" Target="https://job-boards.greenhouse.io/graphcore/jobs/8559387002" TargetMode="External" Id="rId843" /><Relationship Type="http://schemas.openxmlformats.org/officeDocument/2006/relationships/hyperlink" Target="https://job-boards.greenhouse.io/graphcore/jobs/8537163002" TargetMode="External" Id="rId844" /><Relationship Type="http://schemas.openxmlformats.org/officeDocument/2006/relationships/hyperlink" Target="https://job-boards.greenhouse.io/graphcore/jobs/8588019002" TargetMode="External" Id="rId845" /><Relationship Type="http://schemas.openxmlformats.org/officeDocument/2006/relationships/hyperlink" Target="https://job-boards.greenhouse.io/graphcore/jobs/8288832002" TargetMode="External" Id="rId846" /><Relationship Type="http://schemas.openxmlformats.org/officeDocument/2006/relationships/hyperlink" Target="https://job-boards.greenhouse.io/graphcore/jobs/8471161002" TargetMode="External" Id="rId847" /><Relationship Type="http://schemas.openxmlformats.org/officeDocument/2006/relationships/hyperlink" Target="https://job-boards.greenhouse.io/graphcore/jobs/8551809002" TargetMode="External" Id="rId848" /><Relationship Type="http://schemas.openxmlformats.org/officeDocument/2006/relationships/hyperlink" Target="https://job-boards.greenhouse.io/graphcore/jobs/8551607002" TargetMode="External" Id="rId849" /><Relationship Type="http://schemas.openxmlformats.org/officeDocument/2006/relationships/hyperlink" Target="https://job-boards.greenhouse.io/graphcore/jobs/8461897002" TargetMode="External" Id="rId850" /><Relationship Type="http://schemas.openxmlformats.org/officeDocument/2006/relationships/hyperlink" Target="https://job-boards.greenhouse.io/graphcore/jobs/8557872002" TargetMode="External" Id="rId851" /><Relationship Type="http://schemas.openxmlformats.org/officeDocument/2006/relationships/hyperlink" Target="https://job-boards.greenhouse.io/graphcore/jobs/8558195002" TargetMode="External" Id="rId852" /><Relationship Type="http://schemas.openxmlformats.org/officeDocument/2006/relationships/hyperlink" Target="https://job-boards.greenhouse.io/graphcore/jobs/8556367002" TargetMode="External" Id="rId853" /><Relationship Type="http://schemas.openxmlformats.org/officeDocument/2006/relationships/hyperlink" Target="https://job-boards.greenhouse.io/graphcore/jobs/8561889002" TargetMode="External" Id="rId854" /><Relationship Type="http://schemas.openxmlformats.org/officeDocument/2006/relationships/hyperlink" Target="https://job-boards.greenhouse.io/graphcore/jobs/8561894002" TargetMode="External" Id="rId855" /><Relationship Type="http://schemas.openxmlformats.org/officeDocument/2006/relationships/hyperlink" Target="https://job-boards.greenhouse.io/graphcore/jobs/8561891002" TargetMode="External" Id="rId856" /><Relationship Type="http://schemas.openxmlformats.org/officeDocument/2006/relationships/hyperlink" Target="https://job-boards.greenhouse.io/graphcore/jobs/8375821002" TargetMode="External" Id="rId857" /><Relationship Type="http://schemas.openxmlformats.org/officeDocument/2006/relationships/hyperlink" Target="https://job-boards.greenhouse.io/graphcore/jobs/8504354002" TargetMode="External" Id="rId858" /><Relationship Type="http://schemas.openxmlformats.org/officeDocument/2006/relationships/hyperlink" Target="https://job-boards.greenhouse.io/graphcore/jobs/8533901002" TargetMode="External" Id="rId859" /><Relationship Type="http://schemas.openxmlformats.org/officeDocument/2006/relationships/hyperlink" Target="https://job-boards.greenhouse.io/graphcore/jobs/8533902002" TargetMode="External" Id="rId860" /><Relationship Type="http://schemas.openxmlformats.org/officeDocument/2006/relationships/hyperlink" Target="https://job-boards.greenhouse.io/graphcore/jobs/8533895002" TargetMode="External" Id="rId861" /><Relationship Type="http://schemas.openxmlformats.org/officeDocument/2006/relationships/hyperlink" Target="https://job-boards.greenhouse.io/graphcore/jobs/8533897002" TargetMode="External" Id="rId862" /><Relationship Type="http://schemas.openxmlformats.org/officeDocument/2006/relationships/hyperlink" Target="https://job-boards.greenhouse.io/graphcore/jobs/8533907002" TargetMode="External" Id="rId863" /><Relationship Type="http://schemas.openxmlformats.org/officeDocument/2006/relationships/hyperlink" Target="https://job-boards.greenhouse.io/graphcore/jobs/8533906002" TargetMode="External" Id="rId864" /><Relationship Type="http://schemas.openxmlformats.org/officeDocument/2006/relationships/hyperlink" Target="https://job-boards.greenhouse.io/graphcore/jobs/8558989002" TargetMode="External" Id="rId865" /><Relationship Type="http://schemas.openxmlformats.org/officeDocument/2006/relationships/hyperlink" Target="https://job-boards.greenhouse.io/graphcore/jobs/8446037002" TargetMode="External" Id="rId866" /><Relationship Type="http://schemas.openxmlformats.org/officeDocument/2006/relationships/hyperlink" Target="https://job-boards.greenhouse.io/graphcore/jobs/8570801002" TargetMode="External" Id="rId867" /><Relationship Type="http://schemas.openxmlformats.org/officeDocument/2006/relationships/hyperlink" Target="https://job-boards.greenhouse.io/graphcore/jobs/8426780002" TargetMode="External" Id="rId868" /><Relationship Type="http://schemas.openxmlformats.org/officeDocument/2006/relationships/hyperlink" Target="https://job-boards.greenhouse.io/graphcore/jobs/8574179002" TargetMode="External" Id="rId869" /><Relationship Type="http://schemas.openxmlformats.org/officeDocument/2006/relationships/hyperlink" Target="https://job-boards.greenhouse.io/graphcore/jobs/8551732002" TargetMode="External" Id="rId870" /><Relationship Type="http://schemas.openxmlformats.org/officeDocument/2006/relationships/hyperlink" Target="https://job-boards.greenhouse.io/graphcore/jobs/8499922002" TargetMode="External" Id="rId871" /><Relationship Type="http://schemas.openxmlformats.org/officeDocument/2006/relationships/hyperlink" Target="https://job-boards.greenhouse.io/graphcore/jobs/8307242002" TargetMode="External" Id="rId872" /><Relationship Type="http://schemas.openxmlformats.org/officeDocument/2006/relationships/hyperlink" Target="https://job-boards.greenhouse.io/graphcore/jobs/8562401002" TargetMode="External" Id="rId873" /><Relationship Type="http://schemas.openxmlformats.org/officeDocument/2006/relationships/hyperlink" Target="https://job-boards.greenhouse.io/graphcore/jobs/8562405002" TargetMode="External" Id="rId874" /><Relationship Type="http://schemas.openxmlformats.org/officeDocument/2006/relationships/hyperlink" Target="https://job-boards.greenhouse.io/graphcore/jobs/8551907002" TargetMode="External" Id="rId875" /><Relationship Type="http://schemas.openxmlformats.org/officeDocument/2006/relationships/hyperlink" Target="https://job-boards.greenhouse.io/graphcore/jobs/8288728002" TargetMode="External" Id="rId876" /><Relationship Type="http://schemas.openxmlformats.org/officeDocument/2006/relationships/hyperlink" Target="https://job-boards.greenhouse.io/graphcore/jobs/8563081002" TargetMode="External" Id="rId877" /><Relationship Type="http://schemas.openxmlformats.org/officeDocument/2006/relationships/hyperlink" Target="https://job-boards.greenhouse.io/graphcore/jobs/8560612002" TargetMode="External" Id="rId878" /><Relationship Type="http://schemas.openxmlformats.org/officeDocument/2006/relationships/hyperlink" Target="https://job-boards.greenhouse.io/graphcore/jobs/8561870002" TargetMode="External" Id="rId879" /><Relationship Type="http://schemas.openxmlformats.org/officeDocument/2006/relationships/hyperlink" Target="https://job-boards.greenhouse.io/graphcore/jobs/8561868002" TargetMode="External" Id="rId880" /><Relationship Type="http://schemas.openxmlformats.org/officeDocument/2006/relationships/hyperlink" Target="https://job-boards.greenhouse.io/graphcore/jobs/8561869002" TargetMode="External" Id="rId881" /><Relationship Type="http://schemas.openxmlformats.org/officeDocument/2006/relationships/hyperlink" Target="https://job-boards.greenhouse.io/graphcore/jobs/8505287002" TargetMode="External" Id="rId882" /><Relationship Type="http://schemas.openxmlformats.org/officeDocument/2006/relationships/hyperlink" Target="https://job-boards.greenhouse.io/graphcore/jobs/8385996002" TargetMode="External" Id="rId883" /><Relationship Type="http://schemas.openxmlformats.org/officeDocument/2006/relationships/hyperlink" Target="https://job-boards.greenhouse.io/graphcore/jobs/8505267002" TargetMode="External" Id="rId884" /><Relationship Type="http://schemas.openxmlformats.org/officeDocument/2006/relationships/hyperlink" Target="https://job-boards.greenhouse.io/graphcore/jobs/8527814002" TargetMode="External" Id="rId885" /><Relationship Type="http://schemas.openxmlformats.org/officeDocument/2006/relationships/hyperlink" Target="https://job-boards.greenhouse.io/graphcore/jobs/8542598002" TargetMode="External" Id="rId886" /><Relationship Type="http://schemas.openxmlformats.org/officeDocument/2006/relationships/hyperlink" Target="https://job-boards.greenhouse.io/graphcore/jobs/8586161002" TargetMode="External" Id="rId887" /><Relationship Type="http://schemas.openxmlformats.org/officeDocument/2006/relationships/hyperlink" Target="https://job-boards.greenhouse.io/graphcore/jobs/8480456002" TargetMode="External" Id="rId888" /><Relationship Type="http://schemas.openxmlformats.org/officeDocument/2006/relationships/hyperlink" Target="https://job-boards.greenhouse.io/graphcore/jobs/8587313002" TargetMode="External" Id="rId889" /><Relationship Type="http://schemas.openxmlformats.org/officeDocument/2006/relationships/hyperlink" Target="https://job-boards.greenhouse.io/graphcore/jobs/8557773002" TargetMode="External" Id="rId890" /><Relationship Type="http://schemas.openxmlformats.org/officeDocument/2006/relationships/hyperlink" Target="https://job-boards.greenhouse.io/graphcore/jobs/8475099002" TargetMode="External" Id="rId891" /><Relationship Type="http://schemas.openxmlformats.org/officeDocument/2006/relationships/hyperlink" Target="https://job-boards.greenhouse.io/graphcore/jobs/8551924002" TargetMode="External" Id="rId892" /><Relationship Type="http://schemas.openxmlformats.org/officeDocument/2006/relationships/hyperlink" Target="https://job-boards.greenhouse.io/graphcore/jobs/8286990002" TargetMode="External" Id="rId893" /><Relationship Type="http://schemas.openxmlformats.org/officeDocument/2006/relationships/hyperlink" Target="https://job-boards.greenhouse.io/graphcore/jobs/8221995002" TargetMode="External" Id="rId894" /><Relationship Type="http://schemas.openxmlformats.org/officeDocument/2006/relationships/hyperlink" Target="https://job-boards.greenhouse.io/graphcore/jobs/8486440002" TargetMode="External" Id="rId895" /><Relationship Type="http://schemas.openxmlformats.org/officeDocument/2006/relationships/hyperlink" Target="https://job-boards.greenhouse.io/graphcore/jobs/8547700002" TargetMode="External" Id="rId896" /><Relationship Type="http://schemas.openxmlformats.org/officeDocument/2006/relationships/hyperlink" Target="https://job-boards.greenhouse.io/graphcore/jobs/8558223002" TargetMode="External" Id="rId897" /><Relationship Type="http://schemas.openxmlformats.org/officeDocument/2006/relationships/hyperlink" Target="https://job-boards.greenhouse.io/graphcore/jobs/8558651002" TargetMode="External" Id="rId898" /><Relationship Type="http://schemas.openxmlformats.org/officeDocument/2006/relationships/hyperlink" Target="https://job-boards.greenhouse.io/graphcore/jobs/8556276002" TargetMode="External" Id="rId899" /><Relationship Type="http://schemas.openxmlformats.org/officeDocument/2006/relationships/hyperlink" Target="https://job-boards.greenhouse.io/graphcore/jobs/8556269002" TargetMode="External" Id="rId900" /><Relationship Type="http://schemas.openxmlformats.org/officeDocument/2006/relationships/hyperlink" Target="https://job-boards.greenhouse.io/graphcore/jobs/8551935002" TargetMode="External" Id="rId901" /><Relationship Type="http://schemas.openxmlformats.org/officeDocument/2006/relationships/hyperlink" Target="https://job-boards.greenhouse.io/graphcore/jobs/8561854002" TargetMode="External" Id="rId902" /><Relationship Type="http://schemas.openxmlformats.org/officeDocument/2006/relationships/hyperlink" Target="https://job-boards.greenhouse.io/graphcore/jobs/8561855002" TargetMode="External" Id="rId903" /><Relationship Type="http://schemas.openxmlformats.org/officeDocument/2006/relationships/hyperlink" Target="https://job-boards.greenhouse.io/graphcore/jobs/8561856002" TargetMode="External" Id="rId904" /><Relationship Type="http://schemas.openxmlformats.org/officeDocument/2006/relationships/hyperlink" Target="https://job-boards.greenhouse.io/graphcore/jobs/8504323002" TargetMode="External" Id="rId905" /><Relationship Type="http://schemas.openxmlformats.org/officeDocument/2006/relationships/hyperlink" Target="https://job-boards.greenhouse.io/graphcore/jobs/8460095002" TargetMode="External" Id="rId906" /><Relationship Type="http://schemas.openxmlformats.org/officeDocument/2006/relationships/hyperlink" Target="https://job-boards.greenhouse.io/graphcore/jobs/8554645002" TargetMode="External" Id="rId907" /><Relationship Type="http://schemas.openxmlformats.org/officeDocument/2006/relationships/hyperlink" Target="https://job-boards.greenhouse.io/graphcore/jobs/8460920002" TargetMode="External" Id="rId908" /><Relationship Type="http://schemas.openxmlformats.org/officeDocument/2006/relationships/hyperlink" Target="https://job-boards.greenhouse.io/graphcore/jobs/8460942002" TargetMode="External" Id="rId909" /><Relationship Type="http://schemas.openxmlformats.org/officeDocument/2006/relationships/hyperlink" Target="https://job-boards.greenhouse.io/graphcore/jobs/8593516002" TargetMode="External" Id="rId910" /><Relationship Type="http://schemas.openxmlformats.org/officeDocument/2006/relationships/hyperlink" Target="https://job-boards.greenhouse.io/graphcore/jobs/8558960002" TargetMode="External" Id="rId911" /><Relationship Type="http://schemas.openxmlformats.org/officeDocument/2006/relationships/hyperlink" Target="https://job-boards.greenhouse.io/graphcore/jobs/8511201002" TargetMode="External" Id="rId912" /><Relationship Type="http://schemas.openxmlformats.org/officeDocument/2006/relationships/hyperlink" Target="https://job-boards.greenhouse.io/graphcore/jobs/8570785002" TargetMode="External" Id="rId913" /><Relationship Type="http://schemas.openxmlformats.org/officeDocument/2006/relationships/hyperlink" Target="https://job-boards.greenhouse.io/graphcore/jobs/8372323002" TargetMode="External" Id="rId914" /><Relationship Type="http://schemas.openxmlformats.org/officeDocument/2006/relationships/hyperlink" Target="https://job-boards.greenhouse.io/graphcore/jobs/8558952002" TargetMode="External" Id="rId915" /><Relationship Type="http://schemas.openxmlformats.org/officeDocument/2006/relationships/hyperlink" Target="https://job-boards.greenhouse.io/cerebrassystems/jobs/7763752003" TargetMode="External" Id="rId916" /><Relationship Type="http://schemas.openxmlformats.org/officeDocument/2006/relationships/hyperlink" Target="https://job-boards.greenhouse.io/cerebrassystems/jobs/7608975003" TargetMode="External" Id="rId917" /><Relationship Type="http://schemas.openxmlformats.org/officeDocument/2006/relationships/hyperlink" Target="https://job-boards.greenhouse.io/cerebrassystems/jobs/7652064003" TargetMode="External" Id="rId918" /><Relationship Type="http://schemas.openxmlformats.org/officeDocument/2006/relationships/hyperlink" Target="https://job-boards.greenhouse.io/cerebrassystems/jobs/7579627003" TargetMode="External" Id="rId919" /><Relationship Type="http://schemas.openxmlformats.org/officeDocument/2006/relationships/hyperlink" Target="https://job-boards.greenhouse.io/cerebrassystems/jobs/7762028003" TargetMode="External" Id="rId920" /><Relationship Type="http://schemas.openxmlformats.org/officeDocument/2006/relationships/hyperlink" Target="https://job-boards.greenhouse.io/cerebrassystems/jobs/7742830003" TargetMode="External" Id="rId921" /><Relationship Type="http://schemas.openxmlformats.org/officeDocument/2006/relationships/hyperlink" Target="https://job-boards.greenhouse.io/cerebrassystems/jobs/6519874003" TargetMode="External" Id="rId922" /><Relationship Type="http://schemas.openxmlformats.org/officeDocument/2006/relationships/hyperlink" Target="https://job-boards.greenhouse.io/cerebrassystems/jobs/7677635003" TargetMode="External" Id="rId923" /><Relationship Type="http://schemas.openxmlformats.org/officeDocument/2006/relationships/hyperlink" Target="https://job-boards.greenhouse.io/cerebrassystems/jobs/7629636003" TargetMode="External" Id="rId924" /><Relationship Type="http://schemas.openxmlformats.org/officeDocument/2006/relationships/hyperlink" Target="https://job-boards.greenhouse.io/cerebrassystems/jobs/7767933003" TargetMode="External" Id="rId925" /><Relationship Type="http://schemas.openxmlformats.org/officeDocument/2006/relationships/hyperlink" Target="https://job-boards.greenhouse.io/cerebrassystems/jobs/7527591003" TargetMode="External" Id="rId926" /><Relationship Type="http://schemas.openxmlformats.org/officeDocument/2006/relationships/hyperlink" Target="https://job-boards.greenhouse.io/cerebrassystems/jobs/7728798003" TargetMode="External" Id="rId927" /><Relationship Type="http://schemas.openxmlformats.org/officeDocument/2006/relationships/hyperlink" Target="https://job-boards.greenhouse.io/cerebrassystems/jobs/7511484003" TargetMode="External" Id="rId928" /><Relationship Type="http://schemas.openxmlformats.org/officeDocument/2006/relationships/hyperlink" Target="https://job-boards.greenhouse.io/cerebrassystems/jobs/7480543003" TargetMode="External" Id="rId929" /><Relationship Type="http://schemas.openxmlformats.org/officeDocument/2006/relationships/hyperlink" Target="https://job-boards.greenhouse.io/cerebrassystems/jobs/7560555003" TargetMode="External" Id="rId930" /><Relationship Type="http://schemas.openxmlformats.org/officeDocument/2006/relationships/hyperlink" Target="https://job-boards.greenhouse.io/cerebrassystems/jobs/7647324003" TargetMode="External" Id="rId931" /><Relationship Type="http://schemas.openxmlformats.org/officeDocument/2006/relationships/hyperlink" Target="https://job-boards.greenhouse.io/cerebrassystems/jobs/7748840003" TargetMode="External" Id="rId932" /><Relationship Type="http://schemas.openxmlformats.org/officeDocument/2006/relationships/hyperlink" Target="https://job-boards.greenhouse.io/cerebrassystems/jobs/7612274003" TargetMode="External" Id="rId933" /><Relationship Type="http://schemas.openxmlformats.org/officeDocument/2006/relationships/hyperlink" Target="https://job-boards.greenhouse.io/cerebrassystems/jobs/7763907003" TargetMode="External" Id="rId934" /><Relationship Type="http://schemas.openxmlformats.org/officeDocument/2006/relationships/hyperlink" Target="https://job-boards.greenhouse.io/cerebrassystems/jobs/7694944003" TargetMode="External" Id="rId935" /><Relationship Type="http://schemas.openxmlformats.org/officeDocument/2006/relationships/hyperlink" Target="https://job-boards.greenhouse.io/cerebrassystems/jobs/7675820003" TargetMode="External" Id="rId936" /><Relationship Type="http://schemas.openxmlformats.org/officeDocument/2006/relationships/hyperlink" Target="https://job-boards.greenhouse.io/cerebrassystems/jobs/7522557003" TargetMode="External" Id="rId937" /><Relationship Type="http://schemas.openxmlformats.org/officeDocument/2006/relationships/hyperlink" Target="https://job-boards.greenhouse.io/cerebrassystems/jobs/7620384003" TargetMode="External" Id="rId938" /><Relationship Type="http://schemas.openxmlformats.org/officeDocument/2006/relationships/hyperlink" Target="https://job-boards.greenhouse.io/cerebrassystems/jobs/7622330003" TargetMode="External" Id="rId939" /><Relationship Type="http://schemas.openxmlformats.org/officeDocument/2006/relationships/hyperlink" Target="https://job-boards.greenhouse.io/cerebrassystems/jobs/7698266003" TargetMode="External" Id="rId940" /><Relationship Type="http://schemas.openxmlformats.org/officeDocument/2006/relationships/hyperlink" Target="https://job-boards.greenhouse.io/cerebrassystems/jobs/7628238003" TargetMode="External" Id="rId941" /><Relationship Type="http://schemas.openxmlformats.org/officeDocument/2006/relationships/hyperlink" Target="https://job-boards.greenhouse.io/cerebrassystems/jobs/7720337003" TargetMode="External" Id="rId942" /><Relationship Type="http://schemas.openxmlformats.org/officeDocument/2006/relationships/hyperlink" Target="https://job-boards.greenhouse.io/cerebrassystems/jobs/7510635003" TargetMode="External" Id="rId943" /><Relationship Type="http://schemas.openxmlformats.org/officeDocument/2006/relationships/hyperlink" Target="https://job-boards.greenhouse.io/cerebrassystems/jobs/7628233003" TargetMode="External" Id="rId944" /><Relationship Type="http://schemas.openxmlformats.org/officeDocument/2006/relationships/hyperlink" Target="https://job-boards.greenhouse.io/cerebrassystems/jobs/7628230003" TargetMode="External" Id="rId945" /><Relationship Type="http://schemas.openxmlformats.org/officeDocument/2006/relationships/hyperlink" Target="https://job-boards.greenhouse.io/cerebrassystems/jobs/7762063003" TargetMode="External" Id="rId946" /><Relationship Type="http://schemas.openxmlformats.org/officeDocument/2006/relationships/hyperlink" Target="https://job-boards.greenhouse.io/cerebrassystems/jobs/7522548003" TargetMode="External" Id="rId947" /><Relationship Type="http://schemas.openxmlformats.org/officeDocument/2006/relationships/hyperlink" Target="https://job-boards.greenhouse.io/cerebrassystems/jobs/7684098003" TargetMode="External" Id="rId948" /><Relationship Type="http://schemas.openxmlformats.org/officeDocument/2006/relationships/hyperlink" Target="https://job-boards.greenhouse.io/cerebrassystems/jobs/7628236003" TargetMode="External" Id="rId949" /><Relationship Type="http://schemas.openxmlformats.org/officeDocument/2006/relationships/hyperlink" Target="https://job-boards.greenhouse.io/cerebrassystems/jobs/7728796003" TargetMode="External" Id="rId950" /><Relationship Type="http://schemas.openxmlformats.org/officeDocument/2006/relationships/hyperlink" Target="https://job-boards.greenhouse.io/cerebrassystems/jobs/7763735003" TargetMode="External" Id="rId951" /><Relationship Type="http://schemas.openxmlformats.org/officeDocument/2006/relationships/hyperlink" Target="https://job-boards.greenhouse.io/cerebrassystems/jobs/7728797003" TargetMode="External" Id="rId952" /><Relationship Type="http://schemas.openxmlformats.org/officeDocument/2006/relationships/hyperlink" Target="https://job-boards.greenhouse.io/cerebrassystems/jobs/7523546003" TargetMode="External" Id="rId953" /><Relationship Type="http://schemas.openxmlformats.org/officeDocument/2006/relationships/hyperlink" Target="https://job-boards.greenhouse.io/cerebrassystems/jobs/7620254003" TargetMode="External" Id="rId954" /><Relationship Type="http://schemas.openxmlformats.org/officeDocument/2006/relationships/hyperlink" Target="https://job-boards.greenhouse.io/cerebrassystems/jobs/7513711003" TargetMode="External" Id="rId955" /><Relationship Type="http://schemas.openxmlformats.org/officeDocument/2006/relationships/hyperlink" Target="https://job-boards.greenhouse.io/cerebrassystems/jobs/7487314003" TargetMode="External" Id="rId956" /><Relationship Type="http://schemas.openxmlformats.org/officeDocument/2006/relationships/hyperlink" Target="https://job-boards.greenhouse.io/cerebrassystems/jobs/6053533003" TargetMode="External" Id="rId957" /><Relationship Type="http://schemas.openxmlformats.org/officeDocument/2006/relationships/hyperlink" Target="https://sifive.wd1.myworkdayjobs.com/job/Hsinchu-Taiwan/Performance-benchmarking-and-Infrastructure-Engineer-to-Senior-Engineer_R-101357" TargetMode="External" Id="rId958" /><Relationship Type="http://schemas.openxmlformats.org/officeDocument/2006/relationships/hyperlink" Target="https://sifive.wd1.myworkdayjobs.com/job/Ahmedabad-India/Staff-Engineer_R-101347-1" TargetMode="External" Id="rId959" /><Relationship Type="http://schemas.openxmlformats.org/officeDocument/2006/relationships/hyperlink" Target="https://sifive.wd1.myworkdayjobs.com/job/Hsinchu-Taiwan/Staff-System-Software-Engineer_R-101331" TargetMode="External" Id="rId960" /><Relationship Type="http://schemas.openxmlformats.org/officeDocument/2006/relationships/hyperlink" Target="https://sifive.wd1.myworkdayjobs.com/job/Hsinchu-Taiwan/Staff-Verification-Engineer_R-101222" TargetMode="External" Id="rId961" /><Relationship Type="http://schemas.openxmlformats.org/officeDocument/2006/relationships/hyperlink" Target="https://sifive.wd1.myworkdayjobs.com/job/Cambridge-England-United-Kingdom/Director-of-Licensing_R-101177" TargetMode="External" Id="rId962" /><Relationship Type="http://schemas.openxmlformats.org/officeDocument/2006/relationships/hyperlink" Target="https://sifive.wd1.myworkdayjobs.com/job/Bengaluru-Karnataka-India/Staff-Design-Verification-Infrastructure-Engineer---VIPs-and-Testbench_R-101270" TargetMode="External" Id="rId963" /><Relationship Type="http://schemas.openxmlformats.org/officeDocument/2006/relationships/hyperlink" Target="https://sifive.wd1.myworkdayjobs.com/job/Bengaluru-Karnataka-India/Staff-Design-Verification-Infrastructure-Engineer---VIPs-and-Testbench_R-101272" TargetMode="External" Id="rId964" /><Relationship Type="http://schemas.openxmlformats.org/officeDocument/2006/relationships/hyperlink" Target="https://sifive.wd1.myworkdayjobs.com/job/Bengaluru-Karnataka-India/Staff-Engineer-for-RAS_R-101051-1" TargetMode="External" Id="rId965" /><Relationship Type="http://schemas.openxmlformats.org/officeDocument/2006/relationships/hyperlink" Target="https://sifive.wd1.myworkdayjobs.com/job/Boston-Massachusetts-United-States/Staff-Design-Verification-Engineer---Coherent-Interconnect_R-101212" TargetMode="External" Id="rId966" /><Relationship Type="http://schemas.openxmlformats.org/officeDocument/2006/relationships/hyperlink" Target="https://sifive.wd1.myworkdayjobs.com/job/Bengaluru-Karnataka-India/Senior-Engineer--PPA-Analytics---CAD_R-101160" TargetMode="External" Id="rId967" /><Relationship Type="http://schemas.openxmlformats.org/officeDocument/2006/relationships/hyperlink" Target="https://sifive.wd1.myworkdayjobs.com/job/Bengaluru-Karnataka-India/Staff-Engineer--Low-Power-Verification---Formal-Equivalence_R-101164" TargetMode="External" Id="rId968" /><Relationship Type="http://schemas.openxmlformats.org/officeDocument/2006/relationships/hyperlink" Target="https://sifive.wd1.myworkdayjobs.com/job/Bengaluru-Karnataka-India/Staff-Engineer--Physical-Design---Caches_R-101153" TargetMode="External" Id="rId969" /><Relationship Type="http://schemas.openxmlformats.org/officeDocument/2006/relationships/hyperlink" Target="https://sifive.wd1.myworkdayjobs.com/job/Bengaluru-Karnataka-India/Senior-Staff-Engineer--Physical-Design---NoC_R-101150-1" TargetMode="External" Id="rId970" /><Relationship Type="http://schemas.openxmlformats.org/officeDocument/2006/relationships/hyperlink" Target="https://sifive.wd1.myworkdayjobs.com/job/Austin-Texas-United-States/Principal-Design-Verification-Engineer---High-Performance-CPU-Subsystem_R-101284" TargetMode="External" Id="rId971" /><Relationship Type="http://schemas.openxmlformats.org/officeDocument/2006/relationships/hyperlink" Target="https://sifive.wd1.myworkdayjobs.com/job/Boston-Massachusetts-United-States/Staff-Design-Verification-Engineer---Coherent-Interconnect_R-101214" TargetMode="External" Id="rId972" /><Relationship Type="http://schemas.openxmlformats.org/officeDocument/2006/relationships/hyperlink" Target="https://sifive.wd1.myworkdayjobs.com/job/Ahmedabad-India/Senior---Lead-Design-Verification-Engineer--Formal---Simulation-_R-101325" TargetMode="External" Id="rId973" /><Relationship Type="http://schemas.openxmlformats.org/officeDocument/2006/relationships/hyperlink" Target="https://sifive.wd1.myworkdayjobs.com/job/Ahmedabad-India/Sr-Design-Verification-Engineer_R-101324" TargetMode="External" Id="rId974" /><Relationship Type="http://schemas.openxmlformats.org/officeDocument/2006/relationships/hyperlink" Target="https://sifive.wd1.myworkdayjobs.com/job/Hsinchu-Taiwan/Senior-Verification-Engineer_R-101220" TargetMode="External" Id="rId975" /><Relationship Type="http://schemas.openxmlformats.org/officeDocument/2006/relationships/hyperlink" Target="https://sifive.wd1.myworkdayjobs.com/job/Hsinchu-Taiwan/Senior-Software-Engineer--Algorithms-and-Libraries-of-AI-ML-DSP_R-101298" TargetMode="External" Id="rId976" /><Relationship Type="http://schemas.openxmlformats.org/officeDocument/2006/relationships/hyperlink" Target="https://sifive.wd1.myworkdayjobs.com/job/Hsinchu-Taiwan/Staff-Software-Engineer--AI-ML-Heterogeneous-Systems_R-101299" TargetMode="External" Id="rId977" /><Relationship Type="http://schemas.openxmlformats.org/officeDocument/2006/relationships/hyperlink" Target="https://sifive.wd1.myworkdayjobs.com/job/Hsinchu-Taiwan/Senior-Software-Quality-Assurance-Engineer_R-101236" TargetMode="External" Id="rId978" /><Relationship Type="http://schemas.openxmlformats.org/officeDocument/2006/relationships/hyperlink" Target="https://sifive.wd1.myworkdayjobs.com/job/Hsinchu-Taiwan/Staff-Software-Development-Engineer-in-Test_R-101235" TargetMode="External" Id="rId979" /><Relationship Type="http://schemas.openxmlformats.org/officeDocument/2006/relationships/hyperlink" Target="https://sifive.wd1.myworkdayjobs.com/job/Hsinchu-Taiwan/System-Validation-Engineer-to-Staff-Engineer_R-101202" TargetMode="External" Id="rId980" /><Relationship Type="http://schemas.openxmlformats.org/officeDocument/2006/relationships/hyperlink" Target="https://sifive.wd1.myworkdayjobs.com/job/Austin-Texas-United-States/Principal-Verification-Engineer_R-101194" TargetMode="External" Id="rId981" /><Relationship Type="http://schemas.openxmlformats.org/officeDocument/2006/relationships/hyperlink" Target="https://sifive.wd1.myworkdayjobs.com/job/Austin-Texas-United-States/Staff-Verification-Engineer_R-101207" TargetMode="External" Id="rId982" /><Relationship Type="http://schemas.openxmlformats.org/officeDocument/2006/relationships/hyperlink" Target="https://sifive.wd1.myworkdayjobs.com/job/Santa-Clara-California-United-States/Senior-Product-Manager_R-101190" TargetMode="External" Id="rId983" /><Relationship Type="http://schemas.openxmlformats.org/officeDocument/2006/relationships/hyperlink" Target="https://sifive.wd1.myworkdayjobs.com/job/Santa-Clara-California-United-States/Linux-Platform-BSP-Lead_R-101145" TargetMode="External" Id="rId984" /><Relationship Type="http://schemas.openxmlformats.org/officeDocument/2006/relationships/hyperlink" Target="https://dyson.wd3.myworkdayjobs.com/job/Mexico---Mexico-City-Office/Senior-Retail-Operations-Manager_JR36787" TargetMode="External" Id="rId985" /><Relationship Type="http://schemas.openxmlformats.org/officeDocument/2006/relationships/hyperlink" Target="https://dyson.wd3.myworkdayjobs.com/job/Netherlands---Amsterdam-Office/Senior-E-Commerce-Trading-Manager_JR36758" TargetMode="External" Id="rId986" /><Relationship Type="http://schemas.openxmlformats.org/officeDocument/2006/relationships/hyperlink" Target="https://dyson.wd3.myworkdayjobs.com/job/Portugal---Lisboa-Office/Senior-Trading-Activation---Affiliation-Executive_JR35858" TargetMode="External" Id="rId987" /><Relationship Type="http://schemas.openxmlformats.org/officeDocument/2006/relationships/hyperlink" Target="https://dyson.wd3.myworkdayjobs.com/job/Philippines---Technology-Campus/Lead-Electronics-Project-Manager_JR36598" TargetMode="External" Id="rId988" /><Relationship Type="http://schemas.openxmlformats.org/officeDocument/2006/relationships/hyperlink" Target="https://dyson.wd3.myworkdayjobs.com/job/China---Shenzhen-Office/Lead-Test-Engineer_JR36896" TargetMode="External" Id="rId989" /><Relationship Type="http://schemas.openxmlformats.org/officeDocument/2006/relationships/hyperlink" Target="https://dyson.wd3.myworkdayjobs.com/job/Singapore---Technology-Centre/Lead-Analyst-FBI---Reporting-and-Data-Engineering_JR36899" TargetMode="External" Id="rId990" /><Relationship Type="http://schemas.openxmlformats.org/officeDocument/2006/relationships/hyperlink" Target="https://dyson.wd3.myworkdayjobs.com/job/Philippines---Technology-Campus/Lead-Power-Electronics-Engineer_JR36603" TargetMode="External" Id="rId991" /><Relationship Type="http://schemas.openxmlformats.org/officeDocument/2006/relationships/hyperlink" Target="https://dyson.wd3.myworkdayjobs.com/job/Singapore---St-James-Power-Station-Headquarters/Global-Senior-Manager--B2B-Product_JR35778" TargetMode="External" Id="rId992" /><Relationship Type="http://schemas.openxmlformats.org/officeDocument/2006/relationships/hyperlink" Target="https://dyson.wd3.myworkdayjobs.com/job/Philippines---Technology-Campus/Lead-Electronics-Engineer_JR36601" TargetMode="External" Id="rId993" /><Relationship Type="http://schemas.openxmlformats.org/officeDocument/2006/relationships/hyperlink" Target="https://dyson.wd3.myworkdayjobs.com/job/Philippines---Technology-Campus/Lead-Design-Engineer_JR36076" TargetMode="External" Id="rId994" /><Relationship Type="http://schemas.openxmlformats.org/officeDocument/2006/relationships/hyperlink" Target="https://dyson.wd3.myworkdayjobs.com/job/Philippines---Technology-Campus/Senior-Operations-Manager--Outsourced-Operations_JR35841" TargetMode="External" Id="rId995" /><Relationship Type="http://schemas.openxmlformats.org/officeDocument/2006/relationships/hyperlink" Target="https://www.linkedin.com/jobs/view/4419278853" TargetMode="External" Id="rId996" /><Relationship Type="http://schemas.openxmlformats.org/officeDocument/2006/relationships/hyperlink" Target="https://www.linkedin.com/jobs/view/4429100941" TargetMode="External" Id="rId997" /><Relationship Type="http://schemas.openxmlformats.org/officeDocument/2006/relationships/hyperlink" Target="https://www.linkedin.com/jobs/view/4427839174" TargetMode="External" Id="rId998" /><Relationship Type="http://schemas.openxmlformats.org/officeDocument/2006/relationships/hyperlink" Target="https://www.linkedin.com/jobs/view/3420722266" TargetMode="External" Id="rId999" /><Relationship Type="http://schemas.openxmlformats.org/officeDocument/2006/relationships/hyperlink" Target="https://uk.indeed.com/viewjob" TargetMode="External" Id="rId1000" /><Relationship Type="http://schemas.openxmlformats.org/officeDocument/2006/relationships/hyperlink" Target="https://www.linkedin.com/jobs/view/4423643399" TargetMode="External" Id="rId1001" /><Relationship Type="http://schemas.openxmlformats.org/officeDocument/2006/relationships/hyperlink" Target="https://www.linkedin.com/jobs/view/4425791728" TargetMode="External" Id="rId1002" /><Relationship Type="http://schemas.openxmlformats.org/officeDocument/2006/relationships/hyperlink" Target="https://uk.indeed.com/viewjob" TargetMode="External" Id="rId1003" /><Relationship Type="http://schemas.openxmlformats.org/officeDocument/2006/relationships/hyperlink" Target="https://www.linkedin.com/jobs/view/4413661677" TargetMode="External" Id="rId1004" /><Relationship Type="http://schemas.openxmlformats.org/officeDocument/2006/relationships/hyperlink" Target="https://uk.indeed.com/viewjob" TargetMode="External" Id="rId1005" /><Relationship Type="http://schemas.openxmlformats.org/officeDocument/2006/relationships/hyperlink" Target="https://www.linkedin.com/jobs/view/4429026317" TargetMode="External" Id="rId1006" /><Relationship Type="http://schemas.openxmlformats.org/officeDocument/2006/relationships/hyperlink" Target="https://www.linkedin.com/jobs/view/4426176448" TargetMode="External" Id="rId1007" /><Relationship Type="http://schemas.openxmlformats.org/officeDocument/2006/relationships/hyperlink" Target="https://www.linkedin.com/jobs/view/4429790761" TargetMode="External" Id="rId1008" /><Relationship Type="http://schemas.openxmlformats.org/officeDocument/2006/relationships/hyperlink" Target="https://uk.indeed.com/viewjob" TargetMode="External" Id="rId1009" /><Relationship Type="http://schemas.openxmlformats.org/officeDocument/2006/relationships/hyperlink" Target="https://www.linkedin.com/jobs/view/4426088280" TargetMode="External" Id="rId1010" /><Relationship Type="http://schemas.openxmlformats.org/officeDocument/2006/relationships/hyperlink" Target="https://job-boards.greenhouse.io/cerebrassystems/jobs/7779234003" TargetMode="External" Id="rId1011" /><Relationship Type="http://schemas.openxmlformats.org/officeDocument/2006/relationships/hyperlink" Target="https://www.linkedin.com/jobs/view/4430009525" TargetMode="External" Id="rId1012" /><Relationship Type="http://schemas.openxmlformats.org/officeDocument/2006/relationships/hyperlink" Target="https://www.linkedin.com/jobs/view/4419904698" TargetMode="External" Id="rId1013" /><Relationship Type="http://schemas.openxmlformats.org/officeDocument/2006/relationships/hyperlink" Target="https://www.linkedin.com/jobs/view/4422693819" TargetMode="External" Id="rId1014" /><Relationship Type="http://schemas.openxmlformats.org/officeDocument/2006/relationships/hyperlink" Target="https://www.linkedin.com/jobs/view/4416655229" TargetMode="External" Id="rId1015" /><Relationship Type="http://schemas.openxmlformats.org/officeDocument/2006/relationships/hyperlink" Target="https://www.linkedin.com/jobs/view/4428083308" TargetMode="External" Id="rId1016" /><Relationship Type="http://schemas.openxmlformats.org/officeDocument/2006/relationships/hyperlink" Target="https://uk.indeed.com/viewjob" TargetMode="External" Id="rId1017" /><Relationship Type="http://schemas.openxmlformats.org/officeDocument/2006/relationships/hyperlink" Target="https://www.linkedin.com/jobs/view/4429799629" TargetMode="External" Id="rId1018" /><Relationship Type="http://schemas.openxmlformats.org/officeDocument/2006/relationships/hyperlink" Target="https://www.linkedin.com/jobs/view/4404867320" TargetMode="External" Id="rId1019" /><Relationship Type="http://schemas.openxmlformats.org/officeDocument/2006/relationships/hyperlink" Target="https://www.linkedin.com/jobs/view/4427393012" TargetMode="External" Id="rId1020" /><Relationship Type="http://schemas.openxmlformats.org/officeDocument/2006/relationships/hyperlink" Target="https://www.linkedin.com/jobs/view/4410137954" TargetMode="External" Id="rId1021" /><Relationship Type="http://schemas.openxmlformats.org/officeDocument/2006/relationships/hyperlink" Target="https://www.linkedin.com/jobs/view/4424426708" TargetMode="External" Id="rId1022" /><Relationship Type="http://schemas.openxmlformats.org/officeDocument/2006/relationships/hyperlink" Target="https://www.linkedin.com/jobs/view/4426824006" TargetMode="External" Id="rId1023" /><Relationship Type="http://schemas.openxmlformats.org/officeDocument/2006/relationships/hyperlink" Target="https://www.linkedin.com/jobs/view/4420918524" TargetMode="External" Id="rId1024" /><Relationship Type="http://schemas.openxmlformats.org/officeDocument/2006/relationships/hyperlink" Target="https://www.linkedin.com/jobs/view/4371306505" TargetMode="External" Id="rId1025" /><Relationship Type="http://schemas.openxmlformats.org/officeDocument/2006/relationships/hyperlink" Target="https://uk.indeed.com/viewjob" TargetMode="External" Id="rId1026" /><Relationship Type="http://schemas.openxmlformats.org/officeDocument/2006/relationships/hyperlink" Target="https://www.linkedin.com/jobs/view/4429630702" TargetMode="External" Id="rId1027" /><Relationship Type="http://schemas.openxmlformats.org/officeDocument/2006/relationships/hyperlink" Target="https://www.linkedin.com/jobs/view/4425267566" TargetMode="External" Id="rId1028" /><Relationship Type="http://schemas.openxmlformats.org/officeDocument/2006/relationships/hyperlink" Target="https://job-boards.greenhouse.io/gocardless/jobs/7916619" TargetMode="External" Id="rId1029" /><Relationship Type="http://schemas.openxmlformats.org/officeDocument/2006/relationships/hyperlink" Target="https://job-boards.greenhouse.io/gocardless/jobs/7938467" TargetMode="External" Id="rId1030" /><Relationship Type="http://schemas.openxmlformats.org/officeDocument/2006/relationships/hyperlink" Target="https://boards.greenhouse.io/cloudflare/jobs/7956851" TargetMode="External" Id="rId1031" /><Relationship Type="http://schemas.openxmlformats.org/officeDocument/2006/relationships/hyperlink" Target="https://boards.greenhouse.io/cloudflare/jobs/7956758" TargetMode="External" Id="rId1032" /><Relationship Type="http://schemas.openxmlformats.org/officeDocument/2006/relationships/hyperlink" Target="https://boards.greenhouse.io/cloudflare/jobs/6660802" TargetMode="External" Id="rId1033" /><Relationship Type="http://schemas.openxmlformats.org/officeDocument/2006/relationships/hyperlink" Target="https://boards.greenhouse.io/cloudflare/jobs/7975427" TargetMode="External" Id="rId1034" /><Relationship Type="http://schemas.openxmlformats.org/officeDocument/2006/relationships/hyperlink" Target="https://boards.greenhouse.io/cloudflare/jobs/7242551" TargetMode="External" Id="rId1035" /><Relationship Type="http://schemas.openxmlformats.org/officeDocument/2006/relationships/hyperlink" Target="https://boards.greenhouse.io/cloudflare/jobs/7907255" TargetMode="External" Id="rId1036" /><Relationship Type="http://schemas.openxmlformats.org/officeDocument/2006/relationships/hyperlink" Target="https://uk.indeed.com/viewjob" TargetMode="External" Id="rId1037" /><Relationship Type="http://schemas.openxmlformats.org/officeDocument/2006/relationships/hyperlink" Target="https://www.linkedin.com/jobs/view/4425241571" TargetMode="External" Id="rId1038" /><Relationship Type="http://schemas.openxmlformats.org/officeDocument/2006/relationships/hyperlink" Target="https://www.linkedin.com/jobs/view/4418087561" TargetMode="External" Id="rId1039" /><Relationship Type="http://schemas.openxmlformats.org/officeDocument/2006/relationships/hyperlink" Target="https://www.linkedin.com/jobs/view/4426969182" TargetMode="External" Id="rId1040" /><Relationship Type="http://schemas.openxmlformats.org/officeDocument/2006/relationships/hyperlink" Target="https://www.linkedin.com/jobs/view/4422408091" TargetMode="External" Id="rId1041" /><Relationship Type="http://schemas.openxmlformats.org/officeDocument/2006/relationships/hyperlink" Target="https://www.linkedin.com/jobs/view/4419441039" TargetMode="External" Id="rId1042" /><Relationship Type="http://schemas.openxmlformats.org/officeDocument/2006/relationships/hyperlink" Target="https://www.linkedin.com/jobs/view/4426491381" TargetMode="External" Id="rId1043" /><Relationship Type="http://schemas.openxmlformats.org/officeDocument/2006/relationships/hyperlink" Target="https://www.linkedin.com/jobs/view/4427490841" TargetMode="External" Id="rId1044" /><Relationship Type="http://schemas.openxmlformats.org/officeDocument/2006/relationships/hyperlink" Target="https://www.linkedin.com/jobs/view/4423363391" TargetMode="External" Id="rId1045" /><Relationship Type="http://schemas.openxmlformats.org/officeDocument/2006/relationships/hyperlink" Target="https://uk.indeed.com/viewjob" TargetMode="External" Id="rId1046" /><Relationship Type="http://schemas.openxmlformats.org/officeDocument/2006/relationships/hyperlink" Target="https://www.linkedin.com/jobs/view/4427934895" TargetMode="External" Id="rId1047" /><Relationship Type="http://schemas.openxmlformats.org/officeDocument/2006/relationships/hyperlink" Target="https://www.linkedin.com/jobs/view/4419284831" TargetMode="External" Id="rId1048" /><Relationship Type="http://schemas.openxmlformats.org/officeDocument/2006/relationships/hyperlink" Target="https://www.linkedin.com/jobs/view/4426754022" TargetMode="External" Id="rId1049" /><Relationship Type="http://schemas.openxmlformats.org/officeDocument/2006/relationships/hyperlink" Target="https://www.linkedin.com/jobs/view/4421102125" TargetMode="External" Id="rId1050" /><Relationship Type="http://schemas.openxmlformats.org/officeDocument/2006/relationships/hyperlink" Target="https://www.linkedin.com/jobs/view/4424051526" TargetMode="External" Id="rId1051" /><Relationship Type="http://schemas.openxmlformats.org/officeDocument/2006/relationships/hyperlink" Target="https://www.linkedin.com/jobs/view/4426305415" TargetMode="External" Id="rId1052" /><Relationship Type="http://schemas.openxmlformats.org/officeDocument/2006/relationships/hyperlink" Target="https://www.linkedin.com/jobs/view/4417201522" TargetMode="External" Id="rId1053" /><Relationship Type="http://schemas.openxmlformats.org/officeDocument/2006/relationships/hyperlink" Target="https://www.linkedin.com/jobs/view/4427704862" TargetMode="External" Id="rId1054" /><Relationship Type="http://schemas.openxmlformats.org/officeDocument/2006/relationships/hyperlink" Target="https://www.linkedin.com/jobs/view/4426987978" TargetMode="External" Id="rId1055" /><Relationship Type="http://schemas.openxmlformats.org/officeDocument/2006/relationships/hyperlink" Target="https://job-boards.greenhouse.io/typeform/jobs/7686285" TargetMode="External" Id="rId1056" /><Relationship Type="http://schemas.openxmlformats.org/officeDocument/2006/relationships/hyperlink" Target="https://job-boards.greenhouse.io/typeform/jobs/7913052" TargetMode="External" Id="rId1057" /><Relationship Type="http://schemas.openxmlformats.org/officeDocument/2006/relationships/hyperlink" Target="https://www.linkedin.com/jobs/view/4426965572" TargetMode="External" Id="rId1058" /><Relationship Type="http://schemas.openxmlformats.org/officeDocument/2006/relationships/hyperlink" Target="https://www.linkedin.com/jobs/view/4420947689" TargetMode="External" Id="rId1059" /><Relationship Type="http://schemas.openxmlformats.org/officeDocument/2006/relationships/hyperlink" Target="https://www.linkedin.com/jobs/view/4422252794" TargetMode="External" Id="rId1060" /><Relationship Type="http://schemas.openxmlformats.org/officeDocument/2006/relationships/hyperlink" Target="https://www.linkedin.com/jobs/view/4419687237" TargetMode="External" Id="rId1061" /><Relationship Type="http://schemas.openxmlformats.org/officeDocument/2006/relationships/hyperlink" Target="https://www.linkedin.com/jobs/view/4425559103" TargetMode="External" Id="rId1062" /><Relationship Type="http://schemas.openxmlformats.org/officeDocument/2006/relationships/hyperlink" Target="https://www.linkedin.com/jobs/view/4428858341" TargetMode="External" Id="rId1063" /><Relationship Type="http://schemas.openxmlformats.org/officeDocument/2006/relationships/hyperlink" Target="https://www.linkedin.com/jobs/view/4423405123" TargetMode="External" Id="rId1064" /><Relationship Type="http://schemas.openxmlformats.org/officeDocument/2006/relationships/hyperlink" Target="https://www.linkedin.com/jobs/view/4417619548" TargetMode="External" Id="rId1065" /><Relationship Type="http://schemas.openxmlformats.org/officeDocument/2006/relationships/hyperlink" Target="https://www.linkedin.com/jobs/view/4430962281" TargetMode="External" Id="rId1066" /><Relationship Type="http://schemas.openxmlformats.org/officeDocument/2006/relationships/hyperlink" Target="https://www.linkedin.com/jobs/view/4424352701" TargetMode="External" Id="rId1067" /><Relationship Type="http://schemas.openxmlformats.org/officeDocument/2006/relationships/hyperlink" Target="https://www.linkedin.com/jobs/view/4418442573" TargetMode="External" Id="rId1068" /><Relationship Type="http://schemas.openxmlformats.org/officeDocument/2006/relationships/hyperlink" Target="https://www.linkedin.com/jobs/view/4413994778" TargetMode="External" Id="rId1069" /><Relationship Type="http://schemas.openxmlformats.org/officeDocument/2006/relationships/hyperlink" Target="https://www.linkedin.com/jobs/view/4414216109" TargetMode="External" Id="rId1070" /><Relationship Type="http://schemas.openxmlformats.org/officeDocument/2006/relationships/hyperlink" Target="https://www.linkedin.com/jobs/view/4391862930" TargetMode="External" Id="rId1071" /><Relationship Type="http://schemas.openxmlformats.org/officeDocument/2006/relationships/hyperlink" Target="https://www.linkedin.com/jobs/view/4429660503" TargetMode="External" Id="rId1072" /><Relationship Type="http://schemas.openxmlformats.org/officeDocument/2006/relationships/hyperlink" Target="https://www.linkedin.com/jobs/view/4422259712" TargetMode="External" Id="rId1073" /><Relationship Type="http://schemas.openxmlformats.org/officeDocument/2006/relationships/hyperlink" Target="https://www.linkedin.com/jobs/view/4427406354" TargetMode="External" Id="rId1074" /><Relationship Type="http://schemas.openxmlformats.org/officeDocument/2006/relationships/hyperlink" Target="https://www.linkedin.com/jobs/view/4421798401" TargetMode="External" Id="rId1075" /><Relationship Type="http://schemas.openxmlformats.org/officeDocument/2006/relationships/hyperlink" Target="https://uk.indeed.com/viewjob" TargetMode="External" Id="rId1076" /><Relationship Type="http://schemas.openxmlformats.org/officeDocument/2006/relationships/hyperlink" Target="https://www.linkedin.com/jobs/view/4428727050" TargetMode="External" Id="rId1077" /><Relationship Type="http://schemas.openxmlformats.org/officeDocument/2006/relationships/hyperlink" Target="https://www.linkedin.com/jobs/view/4295837574" TargetMode="External" Id="rId1078" /><Relationship Type="http://schemas.openxmlformats.org/officeDocument/2006/relationships/hyperlink" Target="https://www.linkedin.com/jobs/view/4424882851" TargetMode="External" Id="rId1079" /><Relationship Type="http://schemas.openxmlformats.org/officeDocument/2006/relationships/hyperlink" Target="https://www.linkedin.com/jobs/view/4390154133" TargetMode="External" Id="rId1080" /><Relationship Type="http://schemas.openxmlformats.org/officeDocument/2006/relationships/hyperlink" Target="https://www.linkedin.com/jobs/view/4423515466" TargetMode="External" Id="rId1081" /><Relationship Type="http://schemas.openxmlformats.org/officeDocument/2006/relationships/hyperlink" Target="https://www.linkedin.com/jobs/view/4400124309" TargetMode="External" Id="rId1082" /><Relationship Type="http://schemas.openxmlformats.org/officeDocument/2006/relationships/hyperlink" Target="https://www.linkedin.com/jobs/view/4430964634" TargetMode="External" Id="rId1083" /><Relationship Type="http://schemas.openxmlformats.org/officeDocument/2006/relationships/hyperlink" Target="https://www.linkedin.com/jobs/view/4413996886" TargetMode="External" Id="rId1084" /><Relationship Type="http://schemas.openxmlformats.org/officeDocument/2006/relationships/hyperlink" Target="https://www.linkedin.com/jobs/view/4422831573" TargetMode="External" Id="rId1085" /><Relationship Type="http://schemas.openxmlformats.org/officeDocument/2006/relationships/hyperlink" Target="https://www.linkedin.com/jobs/view/4422365132" TargetMode="External" Id="rId1086" /><Relationship Type="http://schemas.openxmlformats.org/officeDocument/2006/relationships/hyperlink" Target="https://www.linkedin.com/jobs/view/4431136578" TargetMode="External" Id="rId1087" /><Relationship Type="http://schemas.openxmlformats.org/officeDocument/2006/relationships/hyperlink" Target="https://www.linkedin.com/jobs/view/4422679568" TargetMode="External" Id="rId1088" /><Relationship Type="http://schemas.openxmlformats.org/officeDocument/2006/relationships/hyperlink" Target="https://www.linkedin.com/jobs/view/4425477191" TargetMode="External" Id="rId1089" /><Relationship Type="http://schemas.openxmlformats.org/officeDocument/2006/relationships/hyperlink" Target="https://www.linkedin.com/jobs/view/4427704286" TargetMode="External" Id="rId1090" /><Relationship Type="http://schemas.openxmlformats.org/officeDocument/2006/relationships/hyperlink" Target="https://uk.indeed.com/viewjob" TargetMode="External" Id="rId1091" /><Relationship Type="http://schemas.openxmlformats.org/officeDocument/2006/relationships/hyperlink" Target="https://www.linkedin.com/jobs/view/4422925031" TargetMode="External" Id="rId1092" /><Relationship Type="http://schemas.openxmlformats.org/officeDocument/2006/relationships/hyperlink" Target="https://www.linkedin.com/jobs/view/4419433658" TargetMode="External" Id="rId1093" /><Relationship Type="http://schemas.openxmlformats.org/officeDocument/2006/relationships/hyperlink" Target="https://www.linkedin.com/jobs/view/4429945627" TargetMode="External" Id="rId1094" /><Relationship Type="http://schemas.openxmlformats.org/officeDocument/2006/relationships/hyperlink" Target="https://www.linkedin.com/jobs/view/4429529040" TargetMode="External" Id="rId1095" /><Relationship Type="http://schemas.openxmlformats.org/officeDocument/2006/relationships/hyperlink" Target="https://www.linkedin.com/jobs/view/4429655106" TargetMode="External" Id="rId1096" /><Relationship Type="http://schemas.openxmlformats.org/officeDocument/2006/relationships/hyperlink" Target="https://job-boards.greenhouse.io/gocardless/jobs/7996723" TargetMode="External" Id="rId1097" /><Relationship Type="http://schemas.openxmlformats.org/officeDocument/2006/relationships/hyperlink" Target="https://uk.indeed.com/viewjob" TargetMode="External" Id="rId1098" /><Relationship Type="http://schemas.openxmlformats.org/officeDocument/2006/relationships/hyperlink" Target="https://www.linkedin.com/jobs/view/4413310318" TargetMode="External" Id="rId1099" /><Relationship Type="http://schemas.openxmlformats.org/officeDocument/2006/relationships/hyperlink" Target="https://www.linkedin.com/jobs/view/4414038032" TargetMode="External" Id="rId1100" /><Relationship Type="http://schemas.openxmlformats.org/officeDocument/2006/relationships/hyperlink" Target="https://www.linkedin.com/jobs/view/4413928926" TargetMode="External" Id="rId1101" /><Relationship Type="http://schemas.openxmlformats.org/officeDocument/2006/relationships/hyperlink" Target="https://www.linkedin.com/jobs/view/4427490926" TargetMode="External" Id="rId1102" /><Relationship Type="http://schemas.openxmlformats.org/officeDocument/2006/relationships/hyperlink" Target="https://www.linkedin.com/jobs/view/4426641780" TargetMode="External" Id="rId1103" /><Relationship Type="http://schemas.openxmlformats.org/officeDocument/2006/relationships/hyperlink" Target="https://www.linkedin.com/jobs/view/4427551992" TargetMode="External" Id="rId1104" /><Relationship Type="http://schemas.openxmlformats.org/officeDocument/2006/relationships/hyperlink" Target="https://www.linkedin.com/jobs/view/4429919483" TargetMode="External" Id="rId1105" /><Relationship Type="http://schemas.openxmlformats.org/officeDocument/2006/relationships/hyperlink" Target="https://www.linkedin.com/jobs/view/4384264455" TargetMode="External" Id="rId1106" /><Relationship Type="http://schemas.openxmlformats.org/officeDocument/2006/relationships/hyperlink" Target="https://www.linkedin.com/jobs/view/4423357615" TargetMode="External" Id="rId1107" /><Relationship Type="http://schemas.openxmlformats.org/officeDocument/2006/relationships/hyperlink" Target="https://uk.indeed.com/viewjob" TargetMode="External" Id="rId1108" /><Relationship Type="http://schemas.openxmlformats.org/officeDocument/2006/relationships/hyperlink" Target="https://www.linkedin.com/jobs/view/4427527012" TargetMode="External" Id="rId1109" /><Relationship Type="http://schemas.openxmlformats.org/officeDocument/2006/relationships/hyperlink" Target="https://www.linkedin.com/jobs/view/4426937021" TargetMode="External" Id="rId1110" /><Relationship Type="http://schemas.openxmlformats.org/officeDocument/2006/relationships/hyperlink" Target="https://www.linkedin.com/jobs/view/4420287758" TargetMode="External" Id="rId1111" /><Relationship Type="http://schemas.openxmlformats.org/officeDocument/2006/relationships/hyperlink" Target="https://www.linkedin.com/jobs/view/4397288291" TargetMode="External" Id="rId1112" /><Relationship Type="http://schemas.openxmlformats.org/officeDocument/2006/relationships/hyperlink" Target="https://www.linkedin.com/jobs/view/4428701778" TargetMode="External" Id="rId1113" /><Relationship Type="http://schemas.openxmlformats.org/officeDocument/2006/relationships/hyperlink" Target="https://www.linkedin.com/jobs/view/4430168342" TargetMode="External" Id="rId1114" /><Relationship Type="http://schemas.openxmlformats.org/officeDocument/2006/relationships/hyperlink" Target="https://www.linkedin.com/jobs/view/4422017156" TargetMode="External" Id="rId1115" /><Relationship Type="http://schemas.openxmlformats.org/officeDocument/2006/relationships/hyperlink" Target="https://www.linkedin.com/jobs/view/4430476788" TargetMode="External" Id="rId1116" /><Relationship Type="http://schemas.openxmlformats.org/officeDocument/2006/relationships/hyperlink" Target="https://www.linkedin.com/jobs/view/4423885681" TargetMode="External" Id="rId1117" /><Relationship Type="http://schemas.openxmlformats.org/officeDocument/2006/relationships/hyperlink" Target="https://www.linkedin.com/jobs/view/4421767658" TargetMode="External" Id="rId1118" /><Relationship Type="http://schemas.openxmlformats.org/officeDocument/2006/relationships/hyperlink" Target="https://www.linkedin.com/jobs/view/4425228918" TargetMode="External" Id="rId1119" /><Relationship Type="http://schemas.openxmlformats.org/officeDocument/2006/relationships/hyperlink" Target="https://www.linkedin.com/jobs/view/4420628268" TargetMode="External" Id="rId1120" /><Relationship Type="http://schemas.openxmlformats.org/officeDocument/2006/relationships/hyperlink" Target="https://www.linkedin.com/jobs/view/4429536265" TargetMode="External" Id="rId1121" /><Relationship Type="http://schemas.openxmlformats.org/officeDocument/2006/relationships/hyperlink" Target="https://www.linkedin.com/jobs/view/4424511867" TargetMode="External" Id="rId1122" /><Relationship Type="http://schemas.openxmlformats.org/officeDocument/2006/relationships/hyperlink" Target="https://www.linkedin.com/jobs/view/4427963531" TargetMode="External" Id="rId1123" /><Relationship Type="http://schemas.openxmlformats.org/officeDocument/2006/relationships/hyperlink" Target="https://www.linkedin.com/jobs/view/4311563103" TargetMode="External" Id="rId1124" /><Relationship Type="http://schemas.openxmlformats.org/officeDocument/2006/relationships/hyperlink" Target="https://www.linkedin.com/jobs/view/4413309340" TargetMode="External" Id="rId1125" /><Relationship Type="http://schemas.openxmlformats.org/officeDocument/2006/relationships/hyperlink" Target="https://uk.indeed.com/viewjob" TargetMode="External" Id="rId1126" /><Relationship Type="http://schemas.openxmlformats.org/officeDocument/2006/relationships/hyperlink" Target="https://www.linkedin.com/jobs/view/4428817861" TargetMode="External" Id="rId1127" /><Relationship Type="http://schemas.openxmlformats.org/officeDocument/2006/relationships/hyperlink" Target="https://www.linkedin.com/jobs/view/4427745203" TargetMode="External" Id="rId1128" /><Relationship Type="http://schemas.openxmlformats.org/officeDocument/2006/relationships/hyperlink" Target="https://www.linkedin.com/jobs/view/4430425532" TargetMode="External" Id="rId1129" /><Relationship Type="http://schemas.openxmlformats.org/officeDocument/2006/relationships/hyperlink" Target="https://www.linkedin.com/jobs/view/4427636686" TargetMode="External" Id="rId1130" /><Relationship Type="http://schemas.openxmlformats.org/officeDocument/2006/relationships/hyperlink" Target="https://www.linkedin.com/jobs/view/4422956320" TargetMode="External" Id="rId1131" /><Relationship Type="http://schemas.openxmlformats.org/officeDocument/2006/relationships/hyperlink" Target="https://www.linkedin.com/jobs/view/4426659586" TargetMode="External" Id="rId1132" /><Relationship Type="http://schemas.openxmlformats.org/officeDocument/2006/relationships/hyperlink" Target="https://www.linkedin.com/jobs/view/4426429723" TargetMode="External" Id="rId1133" /><Relationship Type="http://schemas.openxmlformats.org/officeDocument/2006/relationships/hyperlink" Target="https://www.linkedin.com/jobs/view/4430959869" TargetMode="External" Id="rId1134" /><Relationship Type="http://schemas.openxmlformats.org/officeDocument/2006/relationships/hyperlink" Target="https://uk.indeed.com/viewjob" TargetMode="External" Id="rId1135" /><Relationship Type="http://schemas.openxmlformats.org/officeDocument/2006/relationships/hyperlink" Target="https://www.linkedin.com/jobs/view/4426749633" TargetMode="External" Id="rId1136" /><Relationship Type="http://schemas.openxmlformats.org/officeDocument/2006/relationships/hyperlink" Target="https://www.linkedin.com/jobs/view/4417214817" TargetMode="External" Id="rId1137" /><Relationship Type="http://schemas.openxmlformats.org/officeDocument/2006/relationships/hyperlink" Target="https://www.linkedin.com/jobs/view/4425753109" TargetMode="External" Id="rId1138" /><Relationship Type="http://schemas.openxmlformats.org/officeDocument/2006/relationships/hyperlink" Target="https://www.linkedin.com/jobs/view/4408778124" TargetMode="External" Id="rId1139" /><Relationship Type="http://schemas.openxmlformats.org/officeDocument/2006/relationships/hyperlink" Target="https://www.linkedin.com/jobs/view/4421946904" TargetMode="External" Id="rId1140" /><Relationship Type="http://schemas.openxmlformats.org/officeDocument/2006/relationships/hyperlink" Target="https://www.linkedin.com/jobs/view/4423000166" TargetMode="External" Id="rId1141" /><Relationship Type="http://schemas.openxmlformats.org/officeDocument/2006/relationships/hyperlink" Target="https://www.linkedin.com/jobs/view/4428704799" TargetMode="External" Id="rId1142" /><Relationship Type="http://schemas.openxmlformats.org/officeDocument/2006/relationships/hyperlink" Target="https://job-boards.greenhouse.io/gocardless/jobs/7627201" TargetMode="External" Id="rId1143" /><Relationship Type="http://schemas.openxmlformats.org/officeDocument/2006/relationships/hyperlink" Target="https://uk.indeed.com/viewjob" TargetMode="External" Id="rId1144" /><Relationship Type="http://schemas.openxmlformats.org/officeDocument/2006/relationships/hyperlink" Target="https://uk.indeed.com/viewjob" TargetMode="External" Id="rId1145" /><Relationship Type="http://schemas.openxmlformats.org/officeDocument/2006/relationships/hyperlink" Target="https://uk.indeed.com/viewjob" TargetMode="External" Id="rId1146" /><Relationship Type="http://schemas.openxmlformats.org/officeDocument/2006/relationships/hyperlink" Target="https://uk.indeed.com/viewjob" TargetMode="External" Id="rId1147" /><Relationship Type="http://schemas.openxmlformats.org/officeDocument/2006/relationships/hyperlink" Target="https://uk.indeed.com/viewjob" TargetMode="External" Id="rId1148" /><Relationship Type="http://schemas.openxmlformats.org/officeDocument/2006/relationships/hyperlink" Target="https://uk.indeed.com/viewjob" TargetMode="External" Id="rId1149" /><Relationship Type="http://schemas.openxmlformats.org/officeDocument/2006/relationships/hyperlink" Target="https://www.linkedin.com/jobs/view/4429020341" TargetMode="External" Id="rId1150" /><Relationship Type="http://schemas.openxmlformats.org/officeDocument/2006/relationships/hyperlink" Target="https://www.linkedin.com/jobs/view/4427366360" TargetMode="External" Id="rId1151" /><Relationship Type="http://schemas.openxmlformats.org/officeDocument/2006/relationships/hyperlink" Target="https://www.linkedin.com/jobs/view/4424426262" TargetMode="External" Id="rId1152" /><Relationship Type="http://schemas.openxmlformats.org/officeDocument/2006/relationships/hyperlink" Target="https://uk.indeed.com/viewjob" TargetMode="External" Id="rId1153" /><Relationship Type="http://schemas.openxmlformats.org/officeDocument/2006/relationships/hyperlink" Target="https://job-boards.greenhouse.io/monzo/jobs/7118972" TargetMode="External" Id="rId1154" /><Relationship Type="http://schemas.openxmlformats.org/officeDocument/2006/relationships/hyperlink" Target="https://boards.greenhouse.io/cloudflare/jobs/7736431" TargetMode="External" Id="rId1155" /><Relationship Type="http://schemas.openxmlformats.org/officeDocument/2006/relationships/hyperlink" Target="https://boards.greenhouse.io/cloudflare/jobs/7742347" TargetMode="External" Id="rId1156" /><Relationship Type="http://schemas.openxmlformats.org/officeDocument/2006/relationships/hyperlink" Target="https://boards.greenhouse.io/cloudflare/jobs/7610071" TargetMode="External" Id="rId1157" /><Relationship Type="http://schemas.openxmlformats.org/officeDocument/2006/relationships/hyperlink" Target="https://uk.indeed.com/viewjob" TargetMode="External" Id="rId1158" /><Relationship Type="http://schemas.openxmlformats.org/officeDocument/2006/relationships/hyperlink" Target="https://www.linkedin.com/jobs/view/4417943554" TargetMode="External" Id="rId1159" /><Relationship Type="http://schemas.openxmlformats.org/officeDocument/2006/relationships/hyperlink" Target="https://www.linkedin.com/jobs/view/4418147828" TargetMode="External" Id="rId1160" /><Relationship Type="http://schemas.openxmlformats.org/officeDocument/2006/relationships/hyperlink" Target="https://www.linkedin.com/jobs/view/4414938391" TargetMode="External" Id="rId1161" /><Relationship Type="http://schemas.openxmlformats.org/officeDocument/2006/relationships/hyperlink" Target="https://www.linkedin.com/jobs/view/4402628995" TargetMode="External" Id="rId1162" /><Relationship Type="http://schemas.openxmlformats.org/officeDocument/2006/relationships/hyperlink" Target="https://www.linkedin.com/jobs/view/4421443830" TargetMode="External" Id="rId1163" /><Relationship Type="http://schemas.openxmlformats.org/officeDocument/2006/relationships/hyperlink" Target="https://uk.indeed.com/viewjob" TargetMode="External" Id="rId1164" /><Relationship Type="http://schemas.openxmlformats.org/officeDocument/2006/relationships/hyperlink" Target="https://www.linkedin.com/jobs/view/4424023550" TargetMode="External" Id="rId1165" /><Relationship Type="http://schemas.openxmlformats.org/officeDocument/2006/relationships/hyperlink" Target="https://www.linkedin.com/jobs/view/4424165873" TargetMode="External" Id="rId1166" /><Relationship Type="http://schemas.openxmlformats.org/officeDocument/2006/relationships/hyperlink" Target="https://www.linkedin.com/jobs/view/4430748101" TargetMode="External" Id="rId1167" /><Relationship Type="http://schemas.openxmlformats.org/officeDocument/2006/relationships/hyperlink" Target="https://www.linkedin.com/jobs/view/4428227504" TargetMode="External" Id="rId1168" /><Relationship Type="http://schemas.openxmlformats.org/officeDocument/2006/relationships/hyperlink" Target="https://boards.greenhouse.io/cloudflare/jobs/7955378" TargetMode="External" Id="rId1169" /><Relationship Type="http://schemas.openxmlformats.org/officeDocument/2006/relationships/hyperlink" Target="https://boards.greenhouse.io/cloudflare/jobs/7956849" TargetMode="External" Id="rId1170" /><Relationship Type="http://schemas.openxmlformats.org/officeDocument/2006/relationships/hyperlink" Target="https://boards.greenhouse.io/cloudflare/jobs/8002300" TargetMode="External" Id="rId1171" /><Relationship Type="http://schemas.openxmlformats.org/officeDocument/2006/relationships/hyperlink" Target="https://boards.greenhouse.io/cloudflare/jobs/7462799" TargetMode="External" Id="rId1172" /><Relationship Type="http://schemas.openxmlformats.org/officeDocument/2006/relationships/hyperlink" Target="https://boards.greenhouse.io/cloudflare/jobs/7462803" TargetMode="External" Id="rId1173" /><Relationship Type="http://schemas.openxmlformats.org/officeDocument/2006/relationships/hyperlink" Target="https://boards.greenhouse.io/cloudflare/jobs/7462801" TargetMode="External" Id="rId1174" /><Relationship Type="http://schemas.openxmlformats.org/officeDocument/2006/relationships/hyperlink" Target="https://boards.greenhouse.io/cloudflare/jobs/7462802" TargetMode="External" Id="rId1175" /><Relationship Type="http://schemas.openxmlformats.org/officeDocument/2006/relationships/hyperlink" Target="https://boards.greenhouse.io/cloudflare/jobs/7976246" TargetMode="External" Id="rId1176" /><Relationship Type="http://schemas.openxmlformats.org/officeDocument/2006/relationships/hyperlink" Target="https://boards.greenhouse.io/cloudflare/jobs/7956846" TargetMode="External" Id="rId1177" /><Relationship Type="http://schemas.openxmlformats.org/officeDocument/2006/relationships/hyperlink" Target="https://boards.greenhouse.io/cloudflare/jobs/7778796" TargetMode="External" Id="rId1178" /><Relationship Type="http://schemas.openxmlformats.org/officeDocument/2006/relationships/hyperlink" Target="https://boards.greenhouse.io/cloudflare/jobs/7577564" TargetMode="External" Id="rId1179" /><Relationship Type="http://schemas.openxmlformats.org/officeDocument/2006/relationships/hyperlink" Target="https://boards.greenhouse.io/cloudflare/jobs/7963860" TargetMode="External" Id="rId1180" /><Relationship Type="http://schemas.openxmlformats.org/officeDocument/2006/relationships/hyperlink" Target="https://boards.greenhouse.io/cloudflare/jobs/7972472" TargetMode="External" Id="rId1181" /><Relationship Type="http://schemas.openxmlformats.org/officeDocument/2006/relationships/hyperlink" Target="https://boards.greenhouse.io/cloudflare/jobs/7649981" TargetMode="External" Id="rId1182" /><Relationship Type="http://schemas.openxmlformats.org/officeDocument/2006/relationships/hyperlink" Target="https://boards.greenhouse.io/cloudflare/jobs/7855832" TargetMode="External" Id="rId1183" /><Relationship Type="http://schemas.openxmlformats.org/officeDocument/2006/relationships/hyperlink" Target="https://boards.greenhouse.io/cloudflare/jobs/7855864" TargetMode="External" Id="rId1184" /><Relationship Type="http://schemas.openxmlformats.org/officeDocument/2006/relationships/hyperlink" Target="https://boards.greenhouse.io/cloudflare/jobs/7863831" TargetMode="External" Id="rId1185" /><Relationship Type="http://schemas.openxmlformats.org/officeDocument/2006/relationships/hyperlink" Target="https://boards.greenhouse.io/cloudflare/jobs/7505582" TargetMode="External" Id="rId1186" /><Relationship Type="http://schemas.openxmlformats.org/officeDocument/2006/relationships/hyperlink" Target="https://boards.greenhouse.io/cloudflare/jobs/7831414" TargetMode="External" Id="rId1187" /><Relationship Type="http://schemas.openxmlformats.org/officeDocument/2006/relationships/hyperlink" Target="https://boards.greenhouse.io/cloudflare/jobs/7978788" TargetMode="External" Id="rId1188" /><Relationship Type="http://schemas.openxmlformats.org/officeDocument/2006/relationships/hyperlink" Target="https://boards.greenhouse.io/cloudflare/jobs/7742773" TargetMode="External" Id="rId1189" /><Relationship Type="http://schemas.openxmlformats.org/officeDocument/2006/relationships/hyperlink" Target="https://uk.indeed.com/viewjob" TargetMode="External" Id="rId1190" /><Relationship Type="http://schemas.openxmlformats.org/officeDocument/2006/relationships/hyperlink" Target="https://uk.indeed.com/viewjob" TargetMode="External" Id="rId1191" /><Relationship Type="http://schemas.openxmlformats.org/officeDocument/2006/relationships/hyperlink" Target="https://uk.indeed.com/viewjob" TargetMode="External" Id="rId1192" /><Relationship Type="http://schemas.openxmlformats.org/officeDocument/2006/relationships/hyperlink" Target="https://www.linkedin.com/jobs/view/4426779869" TargetMode="External" Id="rId1193" /><Relationship Type="http://schemas.openxmlformats.org/officeDocument/2006/relationships/hyperlink" Target="https://www.linkedin.com/jobs/view/4423984629" TargetMode="External" Id="rId1194" /><Relationship Type="http://schemas.openxmlformats.org/officeDocument/2006/relationships/hyperlink" Target="https://www.linkedin.com/jobs/view/4423391706" TargetMode="External" Id="rId1195" /><Relationship Type="http://schemas.openxmlformats.org/officeDocument/2006/relationships/hyperlink" Target="https://www.linkedin.com/jobs/view/4418769430" TargetMode="External" Id="rId1196" /><Relationship Type="http://schemas.openxmlformats.org/officeDocument/2006/relationships/hyperlink" Target="https://www.linkedin.com/jobs/view/4425993180" TargetMode="External" Id="rId1197" /><Relationship Type="http://schemas.openxmlformats.org/officeDocument/2006/relationships/hyperlink" Target="https://www.linkedin.com/jobs/view/4428482963" TargetMode="External" Id="rId1198" /><Relationship Type="http://schemas.openxmlformats.org/officeDocument/2006/relationships/hyperlink" Target="https://www.linkedin.com/jobs/view/4420424760" TargetMode="External" Id="rId1199" /><Relationship Type="http://schemas.openxmlformats.org/officeDocument/2006/relationships/hyperlink" Target="https://www.linkedin.com/jobs/view/4418622139" TargetMode="External" Id="rId1200" /><Relationship Type="http://schemas.openxmlformats.org/officeDocument/2006/relationships/hyperlink" Target="https://www.linkedin.com/jobs/view/4430423540" TargetMode="External" Id="rId1201" /><Relationship Type="http://schemas.openxmlformats.org/officeDocument/2006/relationships/hyperlink" Target="https://www.linkedin.com/jobs/view/4427328486" TargetMode="External" Id="rId1202" /><Relationship Type="http://schemas.openxmlformats.org/officeDocument/2006/relationships/hyperlink" Target="https://www.linkedin.com/jobs/view/4419917474" TargetMode="External" Id="rId1203" /><Relationship Type="http://schemas.openxmlformats.org/officeDocument/2006/relationships/hyperlink" Target="https://www.linkedin.com/jobs/view/4427764704" TargetMode="External" Id="rId1204" /><Relationship Type="http://schemas.openxmlformats.org/officeDocument/2006/relationships/hyperlink" Target="https://www.linkedin.com/jobs/view/4415317949" TargetMode="External" Id="rId1205" /><Relationship Type="http://schemas.openxmlformats.org/officeDocument/2006/relationships/hyperlink" Target="https://job-boards.greenhouse.io/cerebrassystems/jobs/7779235003" TargetMode="External" Id="rId1206" /><Relationship Type="http://schemas.openxmlformats.org/officeDocument/2006/relationships/hyperlink" Target="https://job-boards.greenhouse.io/cerebrassystems/jobs/7779149003" TargetMode="External" Id="rId1207" /><Relationship Type="http://schemas.openxmlformats.org/officeDocument/2006/relationships/hyperlink" Target="https://sifive.wd1.myworkdayjobs.com/job/Hyderabad-India/Engijneer-1_R-101364" TargetMode="External" Id="rId1208" /><Relationship Type="http://schemas.openxmlformats.org/officeDocument/2006/relationships/hyperlink" Target="https://www.linkedin.com/jobs/view/3794404672" TargetMode="External" Id="rId1209" /><Relationship Type="http://schemas.openxmlformats.org/officeDocument/2006/relationships/hyperlink" Target="https://uk.indeed.com/viewjob" TargetMode="External" Id="rId1210" /><Relationship Type="http://schemas.openxmlformats.org/officeDocument/2006/relationships/hyperlink" Target="https://uk.indeed.com/viewjob" TargetMode="External" Id="rId1211" /><Relationship Type="http://schemas.openxmlformats.org/officeDocument/2006/relationships/hyperlink" Target="https://www.linkedin.com/jobs/view/4429610436" TargetMode="External" Id="rId1212" /><Relationship Type="http://schemas.openxmlformats.org/officeDocument/2006/relationships/hyperlink" Target="https://www.linkedin.com/jobs/view/4427346572" TargetMode="External" Id="rId1213" /><Relationship Type="http://schemas.openxmlformats.org/officeDocument/2006/relationships/hyperlink" Target="https://www.linkedin.com/jobs/view/4429541281" TargetMode="External" Id="rId1214" /><Relationship Type="http://schemas.openxmlformats.org/officeDocument/2006/relationships/hyperlink" Target="https://www.linkedin.com/jobs/view/4427525518" TargetMode="External" Id="rId1215" /><Relationship Type="http://schemas.openxmlformats.org/officeDocument/2006/relationships/hyperlink" Target="https://www.linkedin.com/jobs/view/4418751594" TargetMode="External" Id="rId1216" /><Relationship Type="http://schemas.openxmlformats.org/officeDocument/2006/relationships/hyperlink" Target="https://www.linkedin.com/jobs/view/4407184916" TargetMode="External" Id="rId1217" /><Relationship Type="http://schemas.openxmlformats.org/officeDocument/2006/relationships/hyperlink" Target="https://www.linkedin.com/jobs/view/4414022218" TargetMode="External" Id="rId1218" /><Relationship Type="http://schemas.openxmlformats.org/officeDocument/2006/relationships/hyperlink" Target="https://uk.indeed.com/viewjob" TargetMode="External" Id="rId1219" /><Relationship Type="http://schemas.openxmlformats.org/officeDocument/2006/relationships/hyperlink" Target="https://uk.indeed.com/viewjob" TargetMode="External" Id="rId1220" /><Relationship Type="http://schemas.openxmlformats.org/officeDocument/2006/relationships/hyperlink" Target="https://www.linkedin.com/jobs/view/4418840504" TargetMode="External" Id="rId1221" /><Relationship Type="http://schemas.openxmlformats.org/officeDocument/2006/relationships/hyperlink" Target="https://www.linkedin.com/jobs/view/4424048787" TargetMode="External" Id="rId1222" /><Relationship Type="http://schemas.openxmlformats.org/officeDocument/2006/relationships/hyperlink" Target="https://www.linkedin.com/jobs/view/4430013482" TargetMode="External" Id="rId1223" /><Relationship Type="http://schemas.openxmlformats.org/officeDocument/2006/relationships/hyperlink" Target="https://www.linkedin.com/jobs/view/4430418682" TargetMode="External" Id="rId1224" /><Relationship Type="http://schemas.openxmlformats.org/officeDocument/2006/relationships/hyperlink" Target="https://www.linkedin.com/jobs/view/4412683607" TargetMode="External" Id="rId1225" /><Relationship Type="http://schemas.openxmlformats.org/officeDocument/2006/relationships/hyperlink" Target="https://uk.indeed.com/viewjob" TargetMode="External" Id="rId1226" /><Relationship Type="http://schemas.openxmlformats.org/officeDocument/2006/relationships/hyperlink" Target="https://uk.indeed.com/viewjob" TargetMode="External" Id="rId1227" /><Relationship Type="http://schemas.openxmlformats.org/officeDocument/2006/relationships/hyperlink" Target="https://uk.indeed.com/viewjob" TargetMode="External" Id="rId1228" /><Relationship Type="http://schemas.openxmlformats.org/officeDocument/2006/relationships/hyperlink" Target="https://uk.indeed.com/viewjob" TargetMode="External" Id="rId1229" /><Relationship Type="http://schemas.openxmlformats.org/officeDocument/2006/relationships/hyperlink" Target="https://uk.indeed.com/viewjob" TargetMode="External" Id="rId1230" /><Relationship Type="http://schemas.openxmlformats.org/officeDocument/2006/relationships/hyperlink" Target="https://uk.indeed.com/viewjob" TargetMode="External" Id="rId1231" /><Relationship Type="http://schemas.openxmlformats.org/officeDocument/2006/relationships/hyperlink" Target="https://uk.indeed.com/viewjob" TargetMode="External" Id="rId1232" /><Relationship Type="http://schemas.openxmlformats.org/officeDocument/2006/relationships/hyperlink" Target="https://uk.indeed.com/viewjob" TargetMode="External" Id="rId1233" /><Relationship Type="http://schemas.openxmlformats.org/officeDocument/2006/relationships/hyperlink" Target="https://uk.indeed.com/viewjob" TargetMode="External" Id="rId1234" /><Relationship Type="http://schemas.openxmlformats.org/officeDocument/2006/relationships/hyperlink" Target="https://www.linkedin.com/jobs/view/4430957834" TargetMode="External" Id="rId1235" /><Relationship Type="http://schemas.openxmlformats.org/officeDocument/2006/relationships/hyperlink" Target="https://www.linkedin.com/jobs/view/4426469855" TargetMode="External" Id="rId1236" /><Relationship Type="http://schemas.openxmlformats.org/officeDocument/2006/relationships/hyperlink" Target="https://www.linkedin.com/jobs/view/4426455821" TargetMode="External" Id="rId1237" /><Relationship Type="http://schemas.openxmlformats.org/officeDocument/2006/relationships/hyperlink" Target="https://www.linkedin.com/jobs/view/4408260478" TargetMode="External" Id="rId1238" /><Relationship Type="http://schemas.openxmlformats.org/officeDocument/2006/relationships/hyperlink" Target="https://www.linkedin.com/jobs/view/4418185701" TargetMode="External" Id="rId1239" /><Relationship Type="http://schemas.openxmlformats.org/officeDocument/2006/relationships/hyperlink" Target="https://www.linkedin.com/jobs/view/4421161622" TargetMode="External" Id="rId1240" /><Relationship Type="http://schemas.openxmlformats.org/officeDocument/2006/relationships/hyperlink" Target="https://www.linkedin.com/jobs/view/4424398750" TargetMode="External" Id="rId1241" /><Relationship Type="http://schemas.openxmlformats.org/officeDocument/2006/relationships/hyperlink" Target="https://www.linkedin.com/jobs/view/4414264812" TargetMode="External" Id="rId1242" /><Relationship Type="http://schemas.openxmlformats.org/officeDocument/2006/relationships/hyperlink" Target="https://www.linkedin.com/jobs/view/4422393273" TargetMode="External" Id="rId1243" /><Relationship Type="http://schemas.openxmlformats.org/officeDocument/2006/relationships/hyperlink" Target="https://www.linkedin.com/jobs/view/4408546739" TargetMode="External" Id="rId1244" /><Relationship Type="http://schemas.openxmlformats.org/officeDocument/2006/relationships/hyperlink" Target="https://www.linkedin.com/jobs/view/4419679885" TargetMode="External" Id="rId1245" /><Relationship Type="http://schemas.openxmlformats.org/officeDocument/2006/relationships/hyperlink" Target="https://uk.indeed.com/viewjob" TargetMode="External" Id="rId1246" /><Relationship Type="http://schemas.openxmlformats.org/officeDocument/2006/relationships/hyperlink" Target="https://www.linkedin.com/jobs/view/4427645095" TargetMode="External" Id="rId1247" /><Relationship Type="http://schemas.openxmlformats.org/officeDocument/2006/relationships/hyperlink" Target="https://www.linkedin.com/jobs/view/4415774637" TargetMode="External" Id="rId1248" /><Relationship Type="http://schemas.openxmlformats.org/officeDocument/2006/relationships/hyperlink" Target="https://www.linkedin.com/jobs/view/4425167172" TargetMode="External" Id="rId1249" /><Relationship Type="http://schemas.openxmlformats.org/officeDocument/2006/relationships/hyperlink" Target="https://uk.indeed.com/viewjob" TargetMode="External" Id="rId1250" /><Relationship Type="http://schemas.openxmlformats.org/officeDocument/2006/relationships/hyperlink" Target="https://uk.indeed.com/viewjob" TargetMode="External" Id="rId1251" /><Relationship Type="http://schemas.openxmlformats.org/officeDocument/2006/relationships/hyperlink" Target="https://uk.indeed.com/viewjob" TargetMode="External" Id="rId1252" /><Relationship Type="http://schemas.openxmlformats.org/officeDocument/2006/relationships/hyperlink" Target="https://uk.indeed.com/viewjob" TargetMode="External" Id="rId1253" /><Relationship Type="http://schemas.openxmlformats.org/officeDocument/2006/relationships/hyperlink" Target="https://www.linkedin.com/jobs/view/4428077487" TargetMode="External" Id="rId1254" /><Relationship Type="http://schemas.openxmlformats.org/officeDocument/2006/relationships/hyperlink" Target="https://www.linkedin.com/jobs/view/4425080795" TargetMode="External" Id="rId1255" /><Relationship Type="http://schemas.openxmlformats.org/officeDocument/2006/relationships/hyperlink" Target="https://uk.indeed.com/viewjob" TargetMode="External" Id="rId1256" /><Relationship Type="http://schemas.openxmlformats.org/officeDocument/2006/relationships/hyperlink" Target="https://uk.indeed.com/viewjob" TargetMode="External" Id="rId1257" /><Relationship Type="http://schemas.openxmlformats.org/officeDocument/2006/relationships/hyperlink" Target="https://uk.indeed.com/viewjob" TargetMode="External" Id="rId1258" /><Relationship Type="http://schemas.openxmlformats.org/officeDocument/2006/relationships/hyperlink" Target="https://uk.indeed.com/viewjob" TargetMode="External" Id="rId1259" /><Relationship Type="http://schemas.openxmlformats.org/officeDocument/2006/relationships/hyperlink" Target="https://uk.indeed.com/viewjob" TargetMode="External" Id="rId1260" /><Relationship Type="http://schemas.openxmlformats.org/officeDocument/2006/relationships/hyperlink" Target="https://uk.indeed.com/viewjob" TargetMode="External" Id="rId1261" /><Relationship Type="http://schemas.openxmlformats.org/officeDocument/2006/relationships/hyperlink" Target="https://uk.indeed.com/viewjob" TargetMode="External" Id="rId1262" /><Relationship Type="http://schemas.openxmlformats.org/officeDocument/2006/relationships/hyperlink" Target="https://uk.indeed.com/viewjob" TargetMode="External" Id="rId1263" /><Relationship Type="http://schemas.openxmlformats.org/officeDocument/2006/relationships/hyperlink" Target="https://www.linkedin.com/jobs/view/4322243474" TargetMode="External" Id="rId1264" /><Relationship Type="http://schemas.openxmlformats.org/officeDocument/2006/relationships/hyperlink" Target="https://www.linkedin.com/jobs/view/4429265181" TargetMode="External" Id="rId1265" /><Relationship Type="http://schemas.openxmlformats.org/officeDocument/2006/relationships/hyperlink" Target="https://www.linkedin.com/jobs/view/4414775888" TargetMode="External" Id="rId1266" /><Relationship Type="http://schemas.openxmlformats.org/officeDocument/2006/relationships/hyperlink" Target="https://www.linkedin.com/jobs/view/4351235120" TargetMode="External" Id="rId1267" /><Relationship Type="http://schemas.openxmlformats.org/officeDocument/2006/relationships/hyperlink" Target="https://www.linkedin.com/jobs/view/4403168905" TargetMode="External" Id="rId1268" /><Relationship Type="http://schemas.openxmlformats.org/officeDocument/2006/relationships/hyperlink" Target="https://uk.indeed.com/viewjob" TargetMode="External" Id="rId1269" /><Relationship Type="http://schemas.openxmlformats.org/officeDocument/2006/relationships/hyperlink" Target="https://uk.indeed.com/viewjob" TargetMode="External" Id="rId1270" /><Relationship Type="http://schemas.openxmlformats.org/officeDocument/2006/relationships/hyperlink" Target="https://uk.indeed.com/viewjob" TargetMode="External" Id="rId1271" /><Relationship Type="http://schemas.openxmlformats.org/officeDocument/2006/relationships/hyperlink" Target="https://uk.indeed.com/viewjob" TargetMode="External" Id="rId1272" /><Relationship Type="http://schemas.openxmlformats.org/officeDocument/2006/relationships/hyperlink" Target="https://uk.indeed.com/viewjob" TargetMode="External" Id="rId1273" /><Relationship Type="http://schemas.openxmlformats.org/officeDocument/2006/relationships/hyperlink" Target="https://uk.indeed.com/viewjob" TargetMode="External" Id="rId1274" /><Relationship Type="http://schemas.openxmlformats.org/officeDocument/2006/relationships/hyperlink" Target="https://uk.indeed.com/viewjob" TargetMode="External" Id="rId1275" /><Relationship Type="http://schemas.openxmlformats.org/officeDocument/2006/relationships/hyperlink" Target="https://uk.indeed.com/viewjob" TargetMode="External" Id="rId1276" /><Relationship Type="http://schemas.openxmlformats.org/officeDocument/2006/relationships/hyperlink" Target="https://job-boards.greenhouse.io/graphcore/jobs/8471683002" TargetMode="External" Id="rId1277" /><Relationship Type="http://schemas.openxmlformats.org/officeDocument/2006/relationships/hyperlink" Target="https://job-boards.greenhouse.io/graphcore/jobs/8593492002" TargetMode="External" Id="rId1278" /><Relationship Type="http://schemas.openxmlformats.org/officeDocument/2006/relationships/hyperlink" Target="https://job-boards.greenhouse.io/monzo/jobs/7988046" TargetMode="External" Id="rId1279" /><Relationship Type="http://schemas.openxmlformats.org/officeDocument/2006/relationships/hyperlink" Target="https://boards.greenhouse.io/cloudflare/jobs/8007032" TargetMode="External" Id="rId1280" /><Relationship Type="http://schemas.openxmlformats.org/officeDocument/2006/relationships/hyperlink" Target="https://sifive.wd1.myworkdayjobs.com/job/Hyderabad-India/Engijneer-1_R-101364" TargetMode="External" Id="rId1281" /><Relationship Type="http://schemas.openxmlformats.org/officeDocument/2006/relationships/hyperlink" Target="https://sifive.wd1.myworkdayjobs.com/job/Bengaluru-Karnataka-India/Staff-Engineer---Formal-Verification_R-101363" TargetMode="External" Id="rId1282" /><Relationship Type="http://schemas.openxmlformats.org/officeDocument/2006/relationships/hyperlink" Target="https://dyson.wd3.myworkdayjobs.com/job/Netherlands---Amsterdam-Office/Rewards-Partner---EMEA---m-v-x-_JR34768" TargetMode="External" Id="rId1283" /><Relationship Type="http://schemas.openxmlformats.org/officeDocument/2006/relationships/hyperlink" Target="https://dyson.wd3.myworkdayjobs.com/job/Netherlands---Amsterdam-Office/Profit-Protection-Manager_JR33809-1" TargetMode="External" Id="rId1284" /><Relationship Type="http://schemas.openxmlformats.org/officeDocument/2006/relationships/hyperlink" Target="https://dyson.wd3.myworkdayjobs.com/job/Netherlands---Amsterdam-Office/Platform-Content-Specialist---Dysoncom_JR36823" TargetMode="External" Id="rId1285" /><Relationship Type="http://schemas.openxmlformats.org/officeDocument/2006/relationships/hyperlink" Target="https://dyson.wd3.myworkdayjobs.com/job/Poland---Krakow-Office/Order-to-Cash-Lead_JR36946" TargetMode="External" Id="rId1286" /><Relationship Type="http://schemas.openxmlformats.org/officeDocument/2006/relationships/hyperlink" Target="https://dyson.wd3.myworkdayjobs.com/job/France---Paris-Office/Performance-Media-Manager_JR36309" TargetMode="External" Id="rId1287" /><Relationship Type="http://schemas.openxmlformats.org/officeDocument/2006/relationships/hyperlink" Target="https://dyson.wd3.myworkdayjobs.com/job/Germany---Hessen-Remote/Jr-Area-Manager_JR36008-1" TargetMode="External" Id="rId1288" /><Relationship Type="http://schemas.openxmlformats.org/officeDocument/2006/relationships/hyperlink" Target="https://dyson.wd3.myworkdayjobs.com/job/United-Kingdom---England-Remote/Dyson-Expert---Middlesbrough-Teesside--Part-Time-_JR36108" TargetMode="External" Id="rId1289" /><Relationship Type="http://schemas.openxmlformats.org/officeDocument/2006/relationships/hyperlink" Target="https://dyson.wd3.myworkdayjobs.com/job/Ireland---Country-Remote/Dyson-Hair-Stylist---Brown-Thomas-Cork_JR34942" TargetMode="External" Id="rId1290" /><Relationship Type="http://schemas.openxmlformats.org/officeDocument/2006/relationships/hyperlink" Target="https://dyson.wd3.myworkdayjobs.com/job/Netherlands---Amsterdam-Office/eCommerce-Experience-Manager_JR36612" TargetMode="External" Id="rId1291" /><Relationship Type="http://schemas.openxmlformats.org/officeDocument/2006/relationships/hyperlink" Target="https://dyson.wd3.myworkdayjobs.com/job/Poland---Krakow-Office/Workday-Specialist_JR36710" TargetMode="External" Id="rId1292" /><Relationship Type="http://schemas.openxmlformats.org/officeDocument/2006/relationships/hyperlink" Target="https://dyson.wd3.myworkdayjobs.com/job/Malaysia---Global-Development-Campus-Johor-Bahru/SKU-Range-Graduate-Engineer_JR37016" TargetMode="External" Id="rId1293" /><Relationship Type="http://schemas.openxmlformats.org/officeDocument/2006/relationships/hyperlink" Target="https://dyson.wd3.myworkdayjobs.com/job/Malaysia---Global-Development-Campus-Johor-Bahru/Graduate-Product-Engineer_JR37015" TargetMode="External" Id="rId1294" /><Relationship Type="http://schemas.openxmlformats.org/officeDocument/2006/relationships/hyperlink" Target="https://www.linkedin.com/jobs/view/4429629721" TargetMode="External" Id="rId1295" /><Relationship Type="http://schemas.openxmlformats.org/officeDocument/2006/relationships/hyperlink" Target="https://www.linkedin.com/jobs/view/4429653059" TargetMode="External" Id="rId1296" /><Relationship Type="http://schemas.openxmlformats.org/officeDocument/2006/relationships/hyperlink" Target="https://www.linkedin.com/jobs/view/4429344371" TargetMode="External" Id="rId1297" /><Relationship Type="http://schemas.openxmlformats.org/officeDocument/2006/relationships/hyperlink" Target="https://www.linkedin.com/jobs/view/4428221636" TargetMode="External" Id="rId1298" /><Relationship Type="http://schemas.openxmlformats.org/officeDocument/2006/relationships/hyperlink" Target="https://uk.indeed.com/viewjob" TargetMode="External" Id="rId1299" /><Relationship Type="http://schemas.openxmlformats.org/officeDocument/2006/relationships/hyperlink" Target="https://job-boards.greenhouse.io/monzo/jobs/8018222" TargetMode="External" Id="rId1300" /><Relationship Type="http://schemas.openxmlformats.org/officeDocument/2006/relationships/hyperlink" Target="https://dyson.wd3.myworkdayjobs.com/job/United-Kingdom---London-Press-Office/Strategist---Influencers---Partnerships_JR34448" TargetMode="External" Id="rId1301" /><Relationship Type="http://schemas.openxmlformats.org/officeDocument/2006/relationships/hyperlink" Target="https://uk.indeed.com/viewjob" TargetMode="External" Id="rId1302" /><Relationship Type="http://schemas.openxmlformats.org/officeDocument/2006/relationships/hyperlink" Target="https://www.linkedin.com/jobs/view/4425482775" TargetMode="External" Id="rId1303" /><Relationship Type="http://schemas.openxmlformats.org/officeDocument/2006/relationships/hyperlink" Target="https://www.linkedin.com/jobs/view/4412905085" TargetMode="External" Id="rId1304" /><Relationship Type="http://schemas.openxmlformats.org/officeDocument/2006/relationships/hyperlink" Target="https://www.linkedin.com/jobs/view/4389582251" TargetMode="External" Id="rId1305" /><Relationship Type="http://schemas.openxmlformats.org/officeDocument/2006/relationships/hyperlink" Target="https://www.linkedin.com/jobs/view/4418836210" TargetMode="External" Id="rId1306" /><Relationship Type="http://schemas.openxmlformats.org/officeDocument/2006/relationships/hyperlink" Target="https://www.linkedin.com/jobs/view/4414463140" TargetMode="External" Id="rId1307" /><Relationship Type="http://schemas.openxmlformats.org/officeDocument/2006/relationships/hyperlink" Target="https://www.linkedin.com/jobs/view/4423670184" TargetMode="External" Id="rId1308" /><Relationship Type="http://schemas.openxmlformats.org/officeDocument/2006/relationships/hyperlink" Target="https://uk.indeed.com/viewjob" TargetMode="External" Id="rId1309" /><Relationship Type="http://schemas.openxmlformats.org/officeDocument/2006/relationships/hyperlink" Target="https://www.linkedin.com/jobs/view/4427839556" TargetMode="External" Id="rId1310" /><Relationship Type="http://schemas.openxmlformats.org/officeDocument/2006/relationships/hyperlink" Target="https://job-boards.greenhouse.io/graphcore/jobs/8539141002" TargetMode="External" Id="rId1311" /><Relationship Type="http://schemas.openxmlformats.org/officeDocument/2006/relationships/hyperlink" Target="https://job-boards.greenhouse.io/graphcore/jobs/8540620002" TargetMode="External" Id="rId1312" /><Relationship Type="http://schemas.openxmlformats.org/officeDocument/2006/relationships/hyperlink" Target="https://job-boards.greenhouse.io/monzo/jobs/8018267" TargetMode="External" Id="rId1313" /><Relationship Type="http://schemas.openxmlformats.org/officeDocument/2006/relationships/hyperlink" Target="https://job-boards.greenhouse.io/monzo/jobs/8007314" TargetMode="External" Id="rId1314" /><Relationship Type="http://schemas.openxmlformats.org/officeDocument/2006/relationships/hyperlink" Target="https://www.linkedin.com/jobs/view/4401310571" TargetMode="External" Id="rId1315" /><Relationship Type="http://schemas.openxmlformats.org/officeDocument/2006/relationships/hyperlink" Target="https://www.linkedin.com/jobs/view/4425615834" TargetMode="External" Id="rId1316" /><Relationship Type="http://schemas.openxmlformats.org/officeDocument/2006/relationships/hyperlink" Target="https://www.linkedin.com/jobs/view/4405425506" TargetMode="External" Id="rId1317" /><Relationship Type="http://schemas.openxmlformats.org/officeDocument/2006/relationships/hyperlink" Target="https://www.linkedin.com/jobs/view/4424349631" TargetMode="External" Id="rId1318" /><Relationship Type="http://schemas.openxmlformats.org/officeDocument/2006/relationships/hyperlink" Target="https://www.linkedin.com/jobs/view/4417200531" TargetMode="External" Id="rId1319" /><Relationship Type="http://schemas.openxmlformats.org/officeDocument/2006/relationships/hyperlink" Target="https://www.linkedin.com/jobs/view/4427839939" TargetMode="External" Id="rId1320" /><Relationship Type="http://schemas.openxmlformats.org/officeDocument/2006/relationships/hyperlink" Target="https://www.linkedin.com/jobs/view/4428262018" TargetMode="External" Id="rId1321" /><Relationship Type="http://schemas.openxmlformats.org/officeDocument/2006/relationships/hyperlink" Target="https://www.linkedin.com/jobs/view/4428290103" TargetMode="External" Id="rId1322" /><Relationship Type="http://schemas.openxmlformats.org/officeDocument/2006/relationships/hyperlink" Target="https://www.linkedin.com/jobs/view/4416634656" TargetMode="External" Id="rId1323" /><Relationship Type="http://schemas.openxmlformats.org/officeDocument/2006/relationships/hyperlink" Target="https://www.linkedin.com/jobs/view/4386503804" TargetMode="External" Id="rId1324" /><Relationship Type="http://schemas.openxmlformats.org/officeDocument/2006/relationships/hyperlink" Target="https://www.linkedin.com/jobs/view/4416264054" TargetMode="External" Id="rId1325" /><Relationship Type="http://schemas.openxmlformats.org/officeDocument/2006/relationships/hyperlink" Target="https://www.linkedin.com/jobs/view/4409377270" TargetMode="External" Id="rId1326" /><Relationship Type="http://schemas.openxmlformats.org/officeDocument/2006/relationships/hyperlink" Target="https://www.linkedin.com/jobs/view/4414366341" TargetMode="External" Id="rId1327" /><Relationship Type="http://schemas.openxmlformats.org/officeDocument/2006/relationships/hyperlink" Target="https://www.linkedin.com/jobs/view/4426805827" TargetMode="External" Id="rId1328" /><Relationship Type="http://schemas.openxmlformats.org/officeDocument/2006/relationships/hyperlink" Target="https://www.linkedin.com/jobs/view/4414084658" TargetMode="External" Id="rId1329" /><Relationship Type="http://schemas.openxmlformats.org/officeDocument/2006/relationships/hyperlink" Target="https://job-boards.greenhouse.io/graphcore/jobs/8598270002" TargetMode="External" Id="rId1330" /><Relationship Type="http://schemas.openxmlformats.org/officeDocument/2006/relationships/hyperlink" Target="https://job-boards.greenhouse.io/graphcore/jobs/8598240002" TargetMode="External" Id="rId1331" /><Relationship Type="http://schemas.openxmlformats.org/officeDocument/2006/relationships/hyperlink" Target="https://job-boards.greenhouse.io/graphcore/jobs/8598257002" TargetMode="External" Id="rId1332" /><Relationship Type="http://schemas.openxmlformats.org/officeDocument/2006/relationships/hyperlink" Target="https://job-boards.greenhouse.io/monzo/jobs/7343996" TargetMode="External" Id="rId1333" /><Relationship Type="http://schemas.openxmlformats.org/officeDocument/2006/relationships/hyperlink" Target="https://job-boards.greenhouse.io/monzo/jobs/6635595" TargetMode="External" Id="rId1334" /><Relationship Type="http://schemas.openxmlformats.org/officeDocument/2006/relationships/hyperlink" Target="https://job-boards.greenhouse.io/monzo/jobs/7908745" TargetMode="External" Id="rId1335" /><Relationship Type="http://schemas.openxmlformats.org/officeDocument/2006/relationships/hyperlink" Target="https://job-boards.greenhouse.io/monzo/jobs/7893962" TargetMode="External" Id="rId1336" /><Relationship Type="http://schemas.openxmlformats.org/officeDocument/2006/relationships/hyperlink" Target="https://job-boards.greenhouse.io/monzo/jobs/7817471" TargetMode="External" Id="rId1337" /><Relationship Type="http://schemas.openxmlformats.org/officeDocument/2006/relationships/hyperlink" Target="https://job-boards.greenhouse.io/monzo/jobs/7991200" TargetMode="External" Id="rId1338" /><Relationship Type="http://schemas.openxmlformats.org/officeDocument/2006/relationships/hyperlink" Target="https://job-boards.greenhouse.io/monzo/jobs/7991227" TargetMode="External" Id="rId1339" /><Relationship Type="http://schemas.openxmlformats.org/officeDocument/2006/relationships/hyperlink" Target="https://job-boards.greenhouse.io/monzo/jobs/8002441" TargetMode="External" Id="rId1340" /><Relationship Type="http://schemas.openxmlformats.org/officeDocument/2006/relationships/hyperlink" Target="https://job-boards.greenhouse.io/monzo/jobs/7912647" TargetMode="External" Id="rId1341" /><Relationship Type="http://schemas.openxmlformats.org/officeDocument/2006/relationships/hyperlink" Target="https://job-boards.greenhouse.io/monzo/jobs/5018066" TargetMode="External" Id="rId1342" /><Relationship Type="http://schemas.openxmlformats.org/officeDocument/2006/relationships/hyperlink" Target="https://job-boards.greenhouse.io/monzo/jobs/6945371" TargetMode="External" Id="rId1343" /><Relationship Type="http://schemas.openxmlformats.org/officeDocument/2006/relationships/hyperlink" Target="https://job-boards.greenhouse.io/monzo/jobs/7982132" TargetMode="External" Id="rId1344" /><Relationship Type="http://schemas.openxmlformats.org/officeDocument/2006/relationships/hyperlink" Target="https://job-boards.greenhouse.io/monzo/jobs/7982261" TargetMode="External" Id="rId1345" /><Relationship Type="http://schemas.openxmlformats.org/officeDocument/2006/relationships/hyperlink" Target="https://job-boards.greenhouse.io/monzo/jobs/7904222" TargetMode="External" Id="rId1346" /><Relationship Type="http://schemas.openxmlformats.org/officeDocument/2006/relationships/hyperlink" Target="https://job-boards.greenhouse.io/monzo/jobs/8000900" TargetMode="External" Id="rId1347" /><Relationship Type="http://schemas.openxmlformats.org/officeDocument/2006/relationships/hyperlink" Target="https://job-boards.greenhouse.io/monzo/jobs/8000142" TargetMode="External" Id="rId1348" /><Relationship Type="http://schemas.openxmlformats.org/officeDocument/2006/relationships/hyperlink" Target="https://job-boards.greenhouse.io/monzo/jobs/7873998" TargetMode="External" Id="rId1349" /><Relationship Type="http://schemas.openxmlformats.org/officeDocument/2006/relationships/hyperlink" Target="https://job-boards.greenhouse.io/monzo/jobs/7457551" TargetMode="External" Id="rId1350" /><Relationship Type="http://schemas.openxmlformats.org/officeDocument/2006/relationships/hyperlink" Target="https://job-boards.greenhouse.io/monzo/jobs/6758088" TargetMode="External" Id="rId1351" /><Relationship Type="http://schemas.openxmlformats.org/officeDocument/2006/relationships/hyperlink" Target="https://job-boards.greenhouse.io/monzo/jobs/7866258" TargetMode="External" Id="rId1352" /><Relationship Type="http://schemas.openxmlformats.org/officeDocument/2006/relationships/hyperlink" Target="https://job-boards.greenhouse.io/monzo/jobs/7973753" TargetMode="External" Id="rId1353" /><Relationship Type="http://schemas.openxmlformats.org/officeDocument/2006/relationships/hyperlink" Target="https://job-boards.greenhouse.io/monzo/jobs/7996449" TargetMode="External" Id="rId1354" /><Relationship Type="http://schemas.openxmlformats.org/officeDocument/2006/relationships/hyperlink" Target="https://job-boards.greenhouse.io/monzo/jobs/7775842" TargetMode="External" Id="rId1355" /><Relationship Type="http://schemas.openxmlformats.org/officeDocument/2006/relationships/hyperlink" Target="https://job-boards.greenhouse.io/monzo/jobs/7851401" TargetMode="External" Id="rId1356" /><Relationship Type="http://schemas.openxmlformats.org/officeDocument/2006/relationships/hyperlink" Target="https://job-boards.greenhouse.io/monzo/jobs/7653517" TargetMode="External" Id="rId1357" /><Relationship Type="http://schemas.openxmlformats.org/officeDocument/2006/relationships/hyperlink" Target="https://job-boards.greenhouse.io/monzo/jobs/7686358" TargetMode="External" Id="rId1358" /><Relationship Type="http://schemas.openxmlformats.org/officeDocument/2006/relationships/hyperlink" Target="https://job-boards.greenhouse.io/monzo/jobs/7775035" TargetMode="External" Id="rId1359" /><Relationship Type="http://schemas.openxmlformats.org/officeDocument/2006/relationships/hyperlink" Target="https://job-boards.greenhouse.io/monzo/jobs/6635837" TargetMode="External" Id="rId1360" /><Relationship Type="http://schemas.openxmlformats.org/officeDocument/2006/relationships/hyperlink" Target="https://job-boards.greenhouse.io/monzo/jobs/7988046" TargetMode="External" Id="rId1361" /><Relationship Type="http://schemas.openxmlformats.org/officeDocument/2006/relationships/hyperlink" Target="https://job-boards.greenhouse.io/monzo/jobs/7979692" TargetMode="External" Id="rId1362" /><Relationship Type="http://schemas.openxmlformats.org/officeDocument/2006/relationships/hyperlink" Target="https://job-boards.greenhouse.io/monzo/jobs/7655258" TargetMode="External" Id="rId1363" /><Relationship Type="http://schemas.openxmlformats.org/officeDocument/2006/relationships/hyperlink" Target="https://job-boards.greenhouse.io/monzo/jobs/6394676" TargetMode="External" Id="rId1364" /><Relationship Type="http://schemas.openxmlformats.org/officeDocument/2006/relationships/hyperlink" Target="https://job-boards.greenhouse.io/monzo/jobs/7978691" TargetMode="External" Id="rId1365" /><Relationship Type="http://schemas.openxmlformats.org/officeDocument/2006/relationships/hyperlink" Target="https://job-boards.greenhouse.io/monzo/jobs/7989321" TargetMode="External" Id="rId1366" /><Relationship Type="http://schemas.openxmlformats.org/officeDocument/2006/relationships/hyperlink" Target="https://job-boards.greenhouse.io/monzo/jobs/7061954" TargetMode="External" Id="rId1367" /><Relationship Type="http://schemas.openxmlformats.org/officeDocument/2006/relationships/hyperlink" Target="https://job-boards.greenhouse.io/monzo/jobs/7996433" TargetMode="External" Id="rId1368" /><Relationship Type="http://schemas.openxmlformats.org/officeDocument/2006/relationships/hyperlink" Target="https://job-boards.greenhouse.io/monzo/jobs/7686352" TargetMode="External" Id="rId1369" /><Relationship Type="http://schemas.openxmlformats.org/officeDocument/2006/relationships/hyperlink" Target="https://job-boards.greenhouse.io/monzo/jobs/7988048" TargetMode="External" Id="rId1370" /><Relationship Type="http://schemas.openxmlformats.org/officeDocument/2006/relationships/hyperlink" Target="https://job-boards.greenhouse.io/monzo/jobs/7981938" TargetMode="External" Id="rId1371" /><Relationship Type="http://schemas.openxmlformats.org/officeDocument/2006/relationships/hyperlink" Target="https://job-boards.greenhouse.io/monzo/jobs/7732437" TargetMode="External" Id="rId1372" /><Relationship Type="http://schemas.openxmlformats.org/officeDocument/2006/relationships/hyperlink" Target="https://job-boards.greenhouse.io/monzo/jobs/6656737" TargetMode="External" Id="rId1373" /><Relationship Type="http://schemas.openxmlformats.org/officeDocument/2006/relationships/hyperlink" Target="https://job-boards.greenhouse.io/monzo/jobs/6036797" TargetMode="External" Id="rId1374" /><Relationship Type="http://schemas.openxmlformats.org/officeDocument/2006/relationships/hyperlink" Target="https://job-boards.greenhouse.io/monzo/jobs/8007672" TargetMode="External" Id="rId1375" /><Relationship Type="http://schemas.openxmlformats.org/officeDocument/2006/relationships/hyperlink" Target="https://job-boards.greenhouse.io/monzo/jobs/6656228" TargetMode="External" Id="rId1376" /><Relationship Type="http://schemas.openxmlformats.org/officeDocument/2006/relationships/hyperlink" Target="https://job-boards.greenhouse.io/monzo/jobs/6636147" TargetMode="External" Id="rId1377" /><Relationship Type="http://schemas.openxmlformats.org/officeDocument/2006/relationships/hyperlink" Target="https://job-boards.greenhouse.io/monzo/jobs/6994700" TargetMode="External" Id="rId1378" /><Relationship Type="http://schemas.openxmlformats.org/officeDocument/2006/relationships/hyperlink" Target="https://job-boards.greenhouse.io/monzo/jobs/7902934" TargetMode="External" Id="rId1379" /><Relationship Type="http://schemas.openxmlformats.org/officeDocument/2006/relationships/hyperlink" Target="https://job-boards.greenhouse.io/monzo/jobs/7893700" TargetMode="External" Id="rId1380" /><Relationship Type="http://schemas.openxmlformats.org/officeDocument/2006/relationships/hyperlink" Target="https://job-boards.greenhouse.io/typeform/jobs/7850909" TargetMode="External" Id="rId1381" /><Relationship Type="http://schemas.openxmlformats.org/officeDocument/2006/relationships/hyperlink" Target="https://job-boards.greenhouse.io/typeform/jobs/7681767" TargetMode="External" Id="rId1382" /><Relationship Type="http://schemas.openxmlformats.org/officeDocument/2006/relationships/hyperlink" Target="https://job-boards.greenhouse.io/typeform/jobs/7457853" TargetMode="External" Id="rId1383" /><Relationship Type="http://schemas.openxmlformats.org/officeDocument/2006/relationships/hyperlink" Target="https://job-boards.greenhouse.io/gocardless/jobs/7795791" TargetMode="External" Id="rId1384" /><Relationship Type="http://schemas.openxmlformats.org/officeDocument/2006/relationships/hyperlink" Target="https://job-boards.greenhouse.io/gocardless/jobs/7957736" TargetMode="External" Id="rId1385" /><Relationship Type="http://schemas.openxmlformats.org/officeDocument/2006/relationships/hyperlink" Target="https://job-boards.greenhouse.io/gocardless/jobs/7972997" TargetMode="External" Id="rId1386" /><Relationship Type="http://schemas.openxmlformats.org/officeDocument/2006/relationships/hyperlink" Target="https://job-boards.greenhouse.io/gocardless/jobs/7556592" TargetMode="External" Id="rId1387" /><Relationship Type="http://schemas.openxmlformats.org/officeDocument/2006/relationships/hyperlink" Target="https://boards.greenhouse.io/cloudflare/jobs/6557318" TargetMode="External" Id="rId1388" /><Relationship Type="http://schemas.openxmlformats.org/officeDocument/2006/relationships/hyperlink" Target="https://boards.greenhouse.io/cloudflare/jobs/7991345" TargetMode="External" Id="rId1389" /><Relationship Type="http://schemas.openxmlformats.org/officeDocument/2006/relationships/hyperlink" Target="https://boards.greenhouse.io/cloudflare/jobs/7358456" TargetMode="External" Id="rId1390" /><Relationship Type="http://schemas.openxmlformats.org/officeDocument/2006/relationships/hyperlink" Target="https://boards.greenhouse.io/cloudflare/jobs/7588061" TargetMode="External" Id="rId1391" /><Relationship Type="http://schemas.openxmlformats.org/officeDocument/2006/relationships/hyperlink" Target="https://boards.greenhouse.io/cloudflare/jobs/7988072" TargetMode="External" Id="rId1392" /><Relationship Type="http://schemas.openxmlformats.org/officeDocument/2006/relationships/hyperlink" Target="https://boards.greenhouse.io/cloudflare/jobs/7535803" TargetMode="External" Id="rId1393" /><Relationship Type="http://schemas.openxmlformats.org/officeDocument/2006/relationships/hyperlink" Target="https://boards.greenhouse.io/cloudflare/jobs/7962540" TargetMode="External" Id="rId1394" /><Relationship Type="http://schemas.openxmlformats.org/officeDocument/2006/relationships/hyperlink" Target="https://boards.greenhouse.io/cloudflare/jobs/7964809" TargetMode="External" Id="rId1395" /><Relationship Type="http://schemas.openxmlformats.org/officeDocument/2006/relationships/hyperlink" Target="https://boards.greenhouse.io/cloudflare/jobs/7647474" TargetMode="External" Id="rId1396" /><Relationship Type="http://schemas.openxmlformats.org/officeDocument/2006/relationships/hyperlink" Target="https://boards.greenhouse.io/cloudflare/jobs/7799138" TargetMode="External" Id="rId1397" /><Relationship Type="http://schemas.openxmlformats.org/officeDocument/2006/relationships/hyperlink" Target="https://boards.greenhouse.io/cloudflare/jobs/7428796" TargetMode="External" Id="rId1398" /><Relationship Type="http://schemas.openxmlformats.org/officeDocument/2006/relationships/hyperlink" Target="https://boards.greenhouse.io/cloudflare/jobs/7756883" TargetMode="External" Id="rId1399" /><Relationship Type="http://schemas.openxmlformats.org/officeDocument/2006/relationships/hyperlink" Target="https://boards.greenhouse.io/cloudflare/jobs/7917883" TargetMode="External" Id="rId1400" /><Relationship Type="http://schemas.openxmlformats.org/officeDocument/2006/relationships/hyperlink" Target="https://boards.greenhouse.io/cloudflare/jobs/7606240" TargetMode="External" Id="rId1401" /><Relationship Type="http://schemas.openxmlformats.org/officeDocument/2006/relationships/hyperlink" Target="https://boards.greenhouse.io/cloudflare/jobs/7376838" TargetMode="External" Id="rId1402" /><Relationship Type="http://schemas.openxmlformats.org/officeDocument/2006/relationships/hyperlink" Target="https://boards.greenhouse.io/cloudflare/jobs/7641930" TargetMode="External" Id="rId1403" /><Relationship Type="http://schemas.openxmlformats.org/officeDocument/2006/relationships/hyperlink" Target="https://boards.greenhouse.io/cloudflare/jobs/7953656" TargetMode="External" Id="rId1404" /><Relationship Type="http://schemas.openxmlformats.org/officeDocument/2006/relationships/hyperlink" Target="https://boards.greenhouse.io/cloudflare/jobs/6998777" TargetMode="External" Id="rId1405" /><Relationship Type="http://schemas.openxmlformats.org/officeDocument/2006/relationships/hyperlink" Target="https://boards.greenhouse.io/cloudflare/jobs/7990300" TargetMode="External" Id="rId1406" /><Relationship Type="http://schemas.openxmlformats.org/officeDocument/2006/relationships/hyperlink" Target="https://boards.greenhouse.io/cloudflare/jobs/7997706" TargetMode="External" Id="rId1407" /><Relationship Type="http://schemas.openxmlformats.org/officeDocument/2006/relationships/hyperlink" Target="https://boards.greenhouse.io/cloudflare/jobs/7731626" TargetMode="External" Id="rId1408" /><Relationship Type="http://schemas.openxmlformats.org/officeDocument/2006/relationships/hyperlink" Target="https://boards.greenhouse.io/cloudflare/jobs/7731685" TargetMode="External" Id="rId1409" /><Relationship Type="http://schemas.openxmlformats.org/officeDocument/2006/relationships/hyperlink" Target="https://boards.greenhouse.io/cloudflare/jobs/7728103" TargetMode="External" Id="rId1410" /><Relationship Type="http://schemas.openxmlformats.org/officeDocument/2006/relationships/hyperlink" Target="https://boards.greenhouse.io/cloudflare/jobs/7469508" TargetMode="External" Id="rId1411" /><Relationship Type="http://schemas.openxmlformats.org/officeDocument/2006/relationships/hyperlink" Target="https://boards.greenhouse.io/cloudflare/jobs/7493333" TargetMode="External" Id="rId1412" /><Relationship Type="http://schemas.openxmlformats.org/officeDocument/2006/relationships/hyperlink" Target="https://boards.greenhouse.io/cloudflare/jobs/7817755" TargetMode="External" Id="rId1413" /><Relationship Type="http://schemas.openxmlformats.org/officeDocument/2006/relationships/hyperlink" Target="https://boards.greenhouse.io/cloudflare/jobs/7963589" TargetMode="External" Id="rId1414" /><Relationship Type="http://schemas.openxmlformats.org/officeDocument/2006/relationships/hyperlink" Target="https://boards.greenhouse.io/cloudflare/jobs/7985691" TargetMode="External" Id="rId1415" /><Relationship Type="http://schemas.openxmlformats.org/officeDocument/2006/relationships/hyperlink" Target="https://boards.greenhouse.io/cloudflare/jobs/7960699" TargetMode="External" Id="rId1416" /><Relationship Type="http://schemas.openxmlformats.org/officeDocument/2006/relationships/hyperlink" Target="https://boards.greenhouse.io/cloudflare/jobs/7946795" TargetMode="External" Id="rId1417" /><Relationship Type="http://schemas.openxmlformats.org/officeDocument/2006/relationships/hyperlink" Target="https://boards.greenhouse.io/cloudflare/jobs/7648618" TargetMode="External" Id="rId1418" /><Relationship Type="http://schemas.openxmlformats.org/officeDocument/2006/relationships/hyperlink" Target="https://boards.greenhouse.io/cloudflare/jobs/7817793" TargetMode="External" Id="rId1419" /><Relationship Type="http://schemas.openxmlformats.org/officeDocument/2006/relationships/hyperlink" Target="https://boards.greenhouse.io/cloudflare/jobs/7463793" TargetMode="External" Id="rId1420" /><Relationship Type="http://schemas.openxmlformats.org/officeDocument/2006/relationships/hyperlink" Target="https://boards.greenhouse.io/cloudflare/jobs/7793013" TargetMode="External" Id="rId1421" /><Relationship Type="http://schemas.openxmlformats.org/officeDocument/2006/relationships/hyperlink" Target="https://boards.greenhouse.io/cloudflare/jobs/7276690" TargetMode="External" Id="rId1422" /><Relationship Type="http://schemas.openxmlformats.org/officeDocument/2006/relationships/hyperlink" Target="https://boards.greenhouse.io/cloudflare/jobs/7521551" TargetMode="External" Id="rId1423" /><Relationship Type="http://schemas.openxmlformats.org/officeDocument/2006/relationships/hyperlink" Target="https://boards.greenhouse.io/cloudflare/jobs/7954710" TargetMode="External" Id="rId1424" /><Relationship Type="http://schemas.openxmlformats.org/officeDocument/2006/relationships/hyperlink" Target="https://boards.greenhouse.io/cloudflare/jobs/7956799" TargetMode="External" Id="rId1425" /><Relationship Type="http://schemas.openxmlformats.org/officeDocument/2006/relationships/hyperlink" Target="https://boards.greenhouse.io/cloudflare/jobs/7778747" TargetMode="External" Id="rId1426" /><Relationship Type="http://schemas.openxmlformats.org/officeDocument/2006/relationships/hyperlink" Target="https://boards.greenhouse.io/cloudflare/jobs/7518684" TargetMode="External" Id="rId1427" /><Relationship Type="http://schemas.openxmlformats.org/officeDocument/2006/relationships/hyperlink" Target="https://boards.greenhouse.io/cloudflare/jobs/7782508" TargetMode="External" Id="rId1428" /><Relationship Type="http://schemas.openxmlformats.org/officeDocument/2006/relationships/hyperlink" Target="https://boards.greenhouse.io/cloudflare/jobs/7778956" TargetMode="External" Id="rId1429" /><Relationship Type="http://schemas.openxmlformats.org/officeDocument/2006/relationships/hyperlink" Target="https://boards.greenhouse.io/cloudflare/jobs/7518699" TargetMode="External" Id="rId1430" /><Relationship Type="http://schemas.openxmlformats.org/officeDocument/2006/relationships/hyperlink" Target="https://boards.greenhouse.io/cloudflare/jobs/7975434" TargetMode="External" Id="rId1431" /><Relationship Type="http://schemas.openxmlformats.org/officeDocument/2006/relationships/hyperlink" Target="https://boards.greenhouse.io/cloudflare/jobs/7374554" TargetMode="External" Id="rId1432" /><Relationship Type="http://schemas.openxmlformats.org/officeDocument/2006/relationships/hyperlink" Target="https://boards.greenhouse.io/cloudflare/jobs/7812112" TargetMode="External" Id="rId1433" /><Relationship Type="http://schemas.openxmlformats.org/officeDocument/2006/relationships/hyperlink" Target="https://boards.greenhouse.io/cloudflare/jobs/7980647" TargetMode="External" Id="rId1434" /><Relationship Type="http://schemas.openxmlformats.org/officeDocument/2006/relationships/hyperlink" Target="https://boards.greenhouse.io/cloudflare/jobs/7520051" TargetMode="External" Id="rId1435" /><Relationship Type="http://schemas.openxmlformats.org/officeDocument/2006/relationships/hyperlink" Target="https://boards.greenhouse.io/cloudflare/jobs/7864156" TargetMode="External" Id="rId1436" /><Relationship Type="http://schemas.openxmlformats.org/officeDocument/2006/relationships/hyperlink" Target="https://boards.greenhouse.io/cloudflare/jobs/7551589" TargetMode="External" Id="rId1437" /><Relationship Type="http://schemas.openxmlformats.org/officeDocument/2006/relationships/hyperlink" Target="https://boards.greenhouse.io/cloudflare/jobs/7786402" TargetMode="External" Id="rId1438" /><Relationship Type="http://schemas.openxmlformats.org/officeDocument/2006/relationships/hyperlink" Target="https://boards.greenhouse.io/cloudflare/jobs/7954702" TargetMode="External" Id="rId1439" /><Relationship Type="http://schemas.openxmlformats.org/officeDocument/2006/relationships/hyperlink" Target="https://boards.greenhouse.io/cloudflare/jobs/7826822" TargetMode="External" Id="rId1440" /><Relationship Type="http://schemas.openxmlformats.org/officeDocument/2006/relationships/hyperlink" Target="https://boards.greenhouse.io/cloudflare/jobs/7518670" TargetMode="External" Id="rId1441" /><Relationship Type="http://schemas.openxmlformats.org/officeDocument/2006/relationships/hyperlink" Target="https://boards.greenhouse.io/cloudflare/jobs/7530475" TargetMode="External" Id="rId1442" /><Relationship Type="http://schemas.openxmlformats.org/officeDocument/2006/relationships/hyperlink" Target="https://boards.greenhouse.io/cloudflare/jobs/7526134" TargetMode="External" Id="rId1443" /><Relationship Type="http://schemas.openxmlformats.org/officeDocument/2006/relationships/hyperlink" Target="https://boards.greenhouse.io/cloudflare/jobs/7261894" TargetMode="External" Id="rId1444" /><Relationship Type="http://schemas.openxmlformats.org/officeDocument/2006/relationships/hyperlink" Target="https://boards.greenhouse.io/cloudflare/jobs/7994999" TargetMode="External" Id="rId1445" /><Relationship Type="http://schemas.openxmlformats.org/officeDocument/2006/relationships/hyperlink" Target="https://boards.greenhouse.io/cloudflare/jobs/7967144" TargetMode="External" Id="rId1446" /><Relationship Type="http://schemas.openxmlformats.org/officeDocument/2006/relationships/hyperlink" Target="https://boards.greenhouse.io/cloudflare/jobs/7767908" TargetMode="External" Id="rId1447" /><Relationship Type="http://schemas.openxmlformats.org/officeDocument/2006/relationships/hyperlink" Target="https://boards.greenhouse.io/cloudflare/jobs/7558153" TargetMode="External" Id="rId1448" /><Relationship Type="http://schemas.openxmlformats.org/officeDocument/2006/relationships/hyperlink" Target="https://boards.greenhouse.io/cloudflare/jobs/7520215" TargetMode="External" Id="rId1449" /><Relationship Type="http://schemas.openxmlformats.org/officeDocument/2006/relationships/hyperlink" Target="https://boards.greenhouse.io/cloudflare/jobs/7826916" TargetMode="External" Id="rId1450" /><Relationship Type="http://schemas.openxmlformats.org/officeDocument/2006/relationships/hyperlink" Target="https://boards.greenhouse.io/cloudflare/jobs/7947516" TargetMode="External" Id="rId1451" /><Relationship Type="http://schemas.openxmlformats.org/officeDocument/2006/relationships/hyperlink" Target="https://boards.greenhouse.io/cloudflare/jobs/7912382" TargetMode="External" Id="rId1452" /><Relationship Type="http://schemas.openxmlformats.org/officeDocument/2006/relationships/hyperlink" Target="https://boards.greenhouse.io/cloudflare/jobs/7577205" TargetMode="External" Id="rId1453" /><Relationship Type="http://schemas.openxmlformats.org/officeDocument/2006/relationships/hyperlink" Target="https://sifive.wd1.myworkdayjobs.com/job/La-Ciotat-France/Debug-Trace-Profiling-Design-Engineer_R-101155" TargetMode="External" Id="rId1454" /><Relationship Type="http://schemas.openxmlformats.org/officeDocument/2006/relationships/hyperlink" Target="https://sifive.wd1.myworkdayjobs.com/job/La-Ciotat-France/Lead-Debug-Trace-Profiling-Design-Engineer_R-101025" TargetMode="External" Id="rId1455" /><Relationship Type="http://schemas.openxmlformats.org/officeDocument/2006/relationships/hyperlink" Target="https://dyson.wd3.myworkdayjobs.com/job/United-Kingdom---England-Remote/Dyson-Expert---Newcastle-North-Shields--Part-Time-_JR34544" TargetMode="External" Id="rId1456" /><Relationship Type="http://schemas.openxmlformats.org/officeDocument/2006/relationships/hyperlink" Target="https://dyson.wd3.myworkdayjobs.com/job/China---Shenzhen-Office/Associate-Principal-Engineer_JR34975" TargetMode="External" Id="rId1457" /><Relationship Type="http://schemas.openxmlformats.org/officeDocument/2006/relationships/hyperlink" Target="https://dyson.wd3.myworkdayjobs.com/job/China---Shenzhen-Office/Service-Parts-Specialist_JR36327" TargetMode="External" Id="rId1458" /><Relationship Type="http://schemas.openxmlformats.org/officeDocument/2006/relationships/hyperlink" Target="https://dyson.wd3.myworkdayjobs.com/job/Philippines---Technology-Campus/Senior-Software-Manager_JR36348" TargetMode="External" Id="rId1459" /><Relationship Type="http://schemas.openxmlformats.org/officeDocument/2006/relationships/hyperlink" Target="https://dyson.wd3.myworkdayjobs.com/job/Canada---British-Columbia-Remote/Dyson-Expert_JR36960" TargetMode="External" Id="rId1460" /><Relationship Type="http://schemas.openxmlformats.org/officeDocument/2006/relationships/hyperlink" Target="https://dyson.wd3.myworkdayjobs.com/job/United-Kingdom---England-Remote/Dyson-Expert---Curry-s---Milton-Keynes--Part-Time-_JR36399" TargetMode="External" Id="rId1461" /><Relationship Type="http://schemas.openxmlformats.org/officeDocument/2006/relationships/hyperlink" Target="https://dyson.wd3.myworkdayjobs.com/job/United-Kingdom---England-Remote/Dyson-Expert---Curry-s--Staples-Corner--Part-Time-_JR36398" TargetMode="External" Id="rId1462" /><Relationship Type="http://schemas.openxmlformats.org/officeDocument/2006/relationships/hyperlink" Target="https://dyson.wd3.myworkdayjobs.com/job/United-Kingdom---England-Remote/Dyson-Expert---Watford-Curry-s_JR36726" TargetMode="External" Id="rId1463" /><Relationship Type="http://schemas.openxmlformats.org/officeDocument/2006/relationships/hyperlink" Target="https://dyson.wd3.myworkdayjobs.com/job/Turkey---Ankara-Panora-Demo-Zone/Assistant-Store-Manager---Ankara-Panora-AVM_JR36063" TargetMode="External" Id="rId1464" /><Relationship Type="http://schemas.openxmlformats.org/officeDocument/2006/relationships/hyperlink" Target="https://dyson.wd3.myworkdayjobs.com/job/Turkey---Ankara-Panora-Demo-Zone/Hair-Stylist---Ankara-Panora-AVM_JR36602" TargetMode="External" Id="rId1465" /><Relationship Type="http://schemas.openxmlformats.org/officeDocument/2006/relationships/hyperlink" Target="https://dyson.wd3.myworkdayjobs.com/job/Netherlands---Amsterdam-Office/Senior-Inventory-Optimization-Specialist---Central-Hub--Maternity-Leave-_JR35686" TargetMode="External" Id="rId1466" /><Relationship Type="http://schemas.openxmlformats.org/officeDocument/2006/relationships/hyperlink" Target="https://dyson.wd3.myworkdayjobs.com/job/United-Kingdom---Malmesbury-Office/Security-Shift-Officer_JR36911" TargetMode="External" Id="rId1467" /><Relationship Type="http://schemas.openxmlformats.org/officeDocument/2006/relationships/hyperlink" Target="https://dyson.wd3.myworkdayjobs.com/job/Turkey---Istanbul-Office/Delivery-Manager_JR36420" TargetMode="External" Id="rId1468" /><Relationship Type="http://schemas.openxmlformats.org/officeDocument/2006/relationships/hyperlink" Target="https://uk.indeed.com/viewjob" TargetMode="External" Id="rId1469" /><Relationship Type="http://schemas.openxmlformats.org/officeDocument/2006/relationships/hyperlink" Target="https://uk.indeed.com/viewjob" TargetMode="External" Id="rId1470" /><Relationship Type="http://schemas.openxmlformats.org/officeDocument/2006/relationships/hyperlink" Target="https://uk.indeed.com/viewjob" TargetMode="External" Id="rId1471" /><Relationship Type="http://schemas.openxmlformats.org/officeDocument/2006/relationships/hyperlink" Target="https://uk.indeed.com/viewjob" TargetMode="External" Id="rId1472" /><Relationship Type="http://schemas.openxmlformats.org/officeDocument/2006/relationships/hyperlink" Target="https://uk.indeed.com/viewjob" TargetMode="External" Id="rId1473" /><Relationship Type="http://schemas.openxmlformats.org/officeDocument/2006/relationships/hyperlink" Target="https://uk.indeed.com/viewjob" TargetMode="External" Id="rId1474" /><Relationship Type="http://schemas.openxmlformats.org/officeDocument/2006/relationships/hyperlink" Target="https://uk.indeed.com/viewjob" TargetMode="External" Id="rId1475" /><Relationship Type="http://schemas.openxmlformats.org/officeDocument/2006/relationships/hyperlink" Target="https://uk.indeed.com/viewjob" TargetMode="External" Id="rId1476" /><Relationship Type="http://schemas.openxmlformats.org/officeDocument/2006/relationships/hyperlink" Target="https://uk.indeed.com/viewjob" TargetMode="External" Id="rId1477" /><Relationship Type="http://schemas.openxmlformats.org/officeDocument/2006/relationships/hyperlink" Target="https://uk.indeed.com/viewjob" TargetMode="External" Id="rId1478" /><Relationship Type="http://schemas.openxmlformats.org/officeDocument/2006/relationships/hyperlink" Target="https://www.linkedin.com/jobs/view/4427708294" TargetMode="External" Id="rId1479" /><Relationship Type="http://schemas.openxmlformats.org/officeDocument/2006/relationships/hyperlink" Target="https://www.linkedin.com/jobs/view/4427286277" TargetMode="External" Id="rId1480" /><Relationship Type="http://schemas.openxmlformats.org/officeDocument/2006/relationships/hyperlink" Target="https://www.linkedin.com/jobs/view/4428704551" TargetMode="External" Id="rId1481" /><Relationship Type="http://schemas.openxmlformats.org/officeDocument/2006/relationships/hyperlink" Target="https://www.linkedin.com/jobs/view/4421801553" TargetMode="External" Id="rId1482" /><Relationship Type="http://schemas.openxmlformats.org/officeDocument/2006/relationships/hyperlink" Target="https://uk.indeed.com/viewjob" TargetMode="External" Id="rId1483" /><Relationship Type="http://schemas.openxmlformats.org/officeDocument/2006/relationships/hyperlink" Target="https://www.linkedin.com/jobs/view/4426239155" TargetMode="External" Id="rId1484" /><Relationship Type="http://schemas.openxmlformats.org/officeDocument/2006/relationships/hyperlink" Target="https://www.linkedin.com/jobs/view/4426534093" TargetMode="External" Id="rId1485" /><Relationship Type="http://schemas.openxmlformats.org/officeDocument/2006/relationships/hyperlink" Target="https://www.linkedin.com/jobs/view/4418579907" TargetMode="External" Id="rId1486" /><Relationship Type="http://schemas.openxmlformats.org/officeDocument/2006/relationships/hyperlink" Target="https://www.linkedin.com/jobs/view/4406965551" TargetMode="External" Id="rId1487" /><Relationship Type="http://schemas.openxmlformats.org/officeDocument/2006/relationships/hyperlink" Target="https://uk.indeed.com/viewjob" TargetMode="External" Id="rId1488" /><Relationship Type="http://schemas.openxmlformats.org/officeDocument/2006/relationships/hyperlink" Target="https://uk.indeed.com/viewjob" TargetMode="External" Id="rId1489" /><Relationship Type="http://schemas.openxmlformats.org/officeDocument/2006/relationships/hyperlink" Target="https://uk.indeed.com/viewjob" TargetMode="External" Id="rId1490" /><Relationship Type="http://schemas.openxmlformats.org/officeDocument/2006/relationships/hyperlink" Target="https://www.linkedin.com/jobs/view/4428676823" TargetMode="External" Id="rId1491" /><Relationship Type="http://schemas.openxmlformats.org/officeDocument/2006/relationships/hyperlink" Target="https://www.linkedin.com/jobs/view/4428713434" TargetMode="External" Id="rId1492" /><Relationship Type="http://schemas.openxmlformats.org/officeDocument/2006/relationships/hyperlink" Target="https://www.linkedin.com/jobs/view/4428713957" TargetMode="External" Id="rId1493" /><Relationship Type="http://schemas.openxmlformats.org/officeDocument/2006/relationships/hyperlink" Target="https://www.linkedin.com/jobs/view/4423400154" TargetMode="External" Id="rId1494" /><Relationship Type="http://schemas.openxmlformats.org/officeDocument/2006/relationships/hyperlink" Target="https://www.linkedin.com/jobs/view/4429510567" TargetMode="External" Id="rId1495" /><Relationship Type="http://schemas.openxmlformats.org/officeDocument/2006/relationships/hyperlink" Target="https://www.linkedin.com/jobs/view/4428849936" TargetMode="External" Id="rId1496" /><Relationship Type="http://schemas.openxmlformats.org/officeDocument/2006/relationships/hyperlink" Target="https://www.linkedin.com/jobs/view/4392586768" TargetMode="External" Id="rId1497" /><Relationship Type="http://schemas.openxmlformats.org/officeDocument/2006/relationships/hyperlink" Target="https://www.linkedin.com/jobs/view/4426217726" TargetMode="External" Id="rId1498" /><Relationship Type="http://schemas.openxmlformats.org/officeDocument/2006/relationships/hyperlink" Target="https://www.linkedin.com/jobs/view/4411516199" TargetMode="External" Id="rId1499" /><Relationship Type="http://schemas.openxmlformats.org/officeDocument/2006/relationships/hyperlink" Target="https://www.linkedin.com/jobs/view/4423586246" TargetMode="External" Id="rId1500" /><Relationship Type="http://schemas.openxmlformats.org/officeDocument/2006/relationships/hyperlink" Target="https://www.linkedin.com/jobs/view/4422254930" TargetMode="External" Id="rId1501" /><Relationship Type="http://schemas.openxmlformats.org/officeDocument/2006/relationships/hyperlink" Target="https://uk.indeed.com/viewjob" TargetMode="External" Id="rId1502" /><Relationship Type="http://schemas.openxmlformats.org/officeDocument/2006/relationships/hyperlink" Target="https://uk.indeed.com/viewjob" TargetMode="External" Id="rId1503" /><Relationship Type="http://schemas.openxmlformats.org/officeDocument/2006/relationships/hyperlink" Target="https://uk.indeed.com/viewjob" TargetMode="External" Id="rId1504" /><Relationship Type="http://schemas.openxmlformats.org/officeDocument/2006/relationships/hyperlink" Target="https://uk.indeed.com/viewjob" TargetMode="External" Id="rId1505" /><Relationship Type="http://schemas.openxmlformats.org/officeDocument/2006/relationships/hyperlink" Target="https://uk.indeed.com/viewjob" TargetMode="External" Id="rId1506" /><Relationship Type="http://schemas.openxmlformats.org/officeDocument/2006/relationships/hyperlink" Target="https://uk.indeed.com/viewjob" TargetMode="External" Id="rId1507" /><Relationship Type="http://schemas.openxmlformats.org/officeDocument/2006/relationships/hyperlink" Target="https://uk.indeed.com/viewjob" TargetMode="External" Id="rId1508" /><Relationship Type="http://schemas.openxmlformats.org/officeDocument/2006/relationships/hyperlink" Target="https://uk.indeed.com/viewjob" TargetMode="External" Id="rId1509" /><Relationship Type="http://schemas.openxmlformats.org/officeDocument/2006/relationships/hyperlink" Target="https://uk.indeed.com/viewjob" TargetMode="External" Id="rId1510" /><Relationship Type="http://schemas.openxmlformats.org/officeDocument/2006/relationships/hyperlink" Target="https://uk.indeed.com/viewjob" TargetMode="External" Id="rId1511" /><Relationship Type="http://schemas.openxmlformats.org/officeDocument/2006/relationships/hyperlink" Target="https://uk.indeed.com/viewjob" TargetMode="External" Id="rId1512" /><Relationship Type="http://schemas.openxmlformats.org/officeDocument/2006/relationships/hyperlink" Target="https://uk.indeed.com/viewjob" TargetMode="External" Id="rId1513" /><Relationship Type="http://schemas.openxmlformats.org/officeDocument/2006/relationships/hyperlink" Target="https://uk.indeed.com/viewjob" TargetMode="External" Id="rId1514" /><Relationship Type="http://schemas.openxmlformats.org/officeDocument/2006/relationships/hyperlink" Target="https://uk.indeed.com/viewjob" TargetMode="External" Id="rId1515" /><Relationship Type="http://schemas.openxmlformats.org/officeDocument/2006/relationships/hyperlink" Target="https://uk.indeed.com/viewjob" TargetMode="External" Id="rId1516" /><Relationship Type="http://schemas.openxmlformats.org/officeDocument/2006/relationships/hyperlink" Target="https://www.linkedin.com/jobs/view/4426858509" TargetMode="External" Id="rId1517" /><Relationship Type="http://schemas.openxmlformats.org/officeDocument/2006/relationships/hyperlink" Target="https://www.linkedin.com/jobs/view/4426688854" TargetMode="External" Id="rId1518" /><Relationship Type="http://schemas.openxmlformats.org/officeDocument/2006/relationships/hyperlink" Target="https://www.linkedin.com/jobs/view/4425461628" TargetMode="External" Id="rId1519" /><Relationship Type="http://schemas.openxmlformats.org/officeDocument/2006/relationships/hyperlink" Target="https://www.linkedin.com/jobs/view/4412757285" TargetMode="External" Id="rId1520" /><Relationship Type="http://schemas.openxmlformats.org/officeDocument/2006/relationships/hyperlink" Target="https://www.linkedin.com/jobs/view/4412741396" TargetMode="External" Id="rId1521" /><Relationship Type="http://schemas.openxmlformats.org/officeDocument/2006/relationships/hyperlink" Target="https://www.linkedin.com/jobs/view/4427939822" TargetMode="External" Id="rId1522" /><Relationship Type="http://schemas.openxmlformats.org/officeDocument/2006/relationships/hyperlink" Target="https://www.linkedin.com/jobs/view/4419286076" TargetMode="External" Id="rId1523" /><Relationship Type="http://schemas.openxmlformats.org/officeDocument/2006/relationships/hyperlink" Target="https://www.linkedin.com/jobs/view/4407874356" TargetMode="External" Id="rId1524" /><Relationship Type="http://schemas.openxmlformats.org/officeDocument/2006/relationships/hyperlink" Target="https://uk.indeed.com/viewjob" TargetMode="External" Id="rId1525" /><Relationship Type="http://schemas.openxmlformats.org/officeDocument/2006/relationships/hyperlink" Target="https://uk.indeed.com/viewjob" TargetMode="External" Id="rId1526" /><Relationship Type="http://schemas.openxmlformats.org/officeDocument/2006/relationships/hyperlink" Target="https://uk.indeed.com/viewjob" TargetMode="External" Id="rId1527" /><Relationship Type="http://schemas.openxmlformats.org/officeDocument/2006/relationships/hyperlink" Target="https://uk.indeed.com/viewjob" TargetMode="External" Id="rId1528" /><Relationship Type="http://schemas.openxmlformats.org/officeDocument/2006/relationships/hyperlink" Target="https://www.linkedin.com/jobs/view/4421330433" TargetMode="External" Id="rId1529" /><Relationship Type="http://schemas.openxmlformats.org/officeDocument/2006/relationships/hyperlink" Target="https://www.linkedin.com/jobs/view/4420416255" TargetMode="External" Id="rId1530" /><Relationship Type="http://schemas.openxmlformats.org/officeDocument/2006/relationships/hyperlink" Target="https://www.linkedin.com/jobs/view/4417876652" TargetMode="External" Id="rId1531" /><Relationship Type="http://schemas.openxmlformats.org/officeDocument/2006/relationships/hyperlink" Target="https://www.linkedin.com/jobs/view/4426486853" TargetMode="External" Id="rId1532" /><Relationship Type="http://schemas.openxmlformats.org/officeDocument/2006/relationships/hyperlink" Target="https://www.linkedin.com/jobs/view/4413560639" TargetMode="External" Id="rId1533" /><Relationship Type="http://schemas.openxmlformats.org/officeDocument/2006/relationships/hyperlink" Target="https://www.linkedin.com/jobs/view/4376890976" TargetMode="External" Id="rId1534" /><Relationship Type="http://schemas.openxmlformats.org/officeDocument/2006/relationships/hyperlink" Target="https://uk.indeed.com/viewjob" TargetMode="External" Id="rId1535" /><Relationship Type="http://schemas.openxmlformats.org/officeDocument/2006/relationships/hyperlink" Target="https://uk.indeed.com/viewjob" TargetMode="External" Id="rId1536" /><Relationship Type="http://schemas.openxmlformats.org/officeDocument/2006/relationships/hyperlink" Target="https://www.linkedin.com/jobs/view/4427281740" TargetMode="External" Id="rId1537" /><Relationship Type="http://schemas.openxmlformats.org/officeDocument/2006/relationships/hyperlink" Target="https://www.linkedin.com/jobs/view/4423333629" TargetMode="External" Id="rId1538" /><Relationship Type="http://schemas.openxmlformats.org/officeDocument/2006/relationships/hyperlink" Target="https://www.linkedin.com/jobs/view/4428701209" TargetMode="External" Id="rId1539" /><Relationship Type="http://schemas.openxmlformats.org/officeDocument/2006/relationships/hyperlink" Target="https://uk.indeed.com/viewjob" TargetMode="External" Id="rId1540" /><Relationship Type="http://schemas.openxmlformats.org/officeDocument/2006/relationships/hyperlink" Target="https://uk.indeed.com/viewjob" TargetMode="External" Id="rId1541" /><Relationship Type="http://schemas.openxmlformats.org/officeDocument/2006/relationships/hyperlink" Target="https://uk.indeed.com/viewjob" TargetMode="External" Id="rId1542" /><Relationship Type="http://schemas.openxmlformats.org/officeDocument/2006/relationships/hyperlink" Target="https://uk.indeed.com/viewjob" TargetMode="External" Id="rId1543" /><Relationship Type="http://schemas.openxmlformats.org/officeDocument/2006/relationships/hyperlink" Target="https://uk.indeed.com/viewjob" TargetMode="External" Id="rId1544" /><Relationship Type="http://schemas.openxmlformats.org/officeDocument/2006/relationships/hyperlink" Target="https://www.linkedin.com/jobs/view/4429781139" TargetMode="External" Id="rId1545" /><Relationship Type="http://schemas.openxmlformats.org/officeDocument/2006/relationships/hyperlink" Target="https://www.linkedin.com/jobs/view/4424885813" TargetMode="External" Id="rId1546" /><Relationship Type="http://schemas.openxmlformats.org/officeDocument/2006/relationships/hyperlink" Target="https://www.linkedin.com/jobs/view/4422103727" TargetMode="External" Id="rId1547" /><Relationship Type="http://schemas.openxmlformats.org/officeDocument/2006/relationships/hyperlink" Target="https://www.linkedin.com/jobs/view/4365108171" TargetMode="External" Id="rId1548" /><Relationship Type="http://schemas.openxmlformats.org/officeDocument/2006/relationships/hyperlink" Target="https://www.linkedin.com/jobs/view/4365110132" TargetMode="External" Id="rId1549" /><Relationship Type="http://schemas.openxmlformats.org/officeDocument/2006/relationships/hyperlink" Target="https://www.linkedin.com/jobs/view/4416700506" TargetMode="External" Id="rId1550" /><Relationship Type="http://schemas.openxmlformats.org/officeDocument/2006/relationships/hyperlink" Target="https://www.linkedin.com/jobs/view/4428714856" TargetMode="External" Id="rId1551" /><Relationship Type="http://schemas.openxmlformats.org/officeDocument/2006/relationships/hyperlink" Target="https://www.linkedin.com/jobs/view/4429021469" TargetMode="External" Id="rId1552" /><Relationship Type="http://schemas.openxmlformats.org/officeDocument/2006/relationships/hyperlink" Target="https://uk.indeed.com/viewjob" TargetMode="External" Id="rId1553" /><Relationship Type="http://schemas.openxmlformats.org/officeDocument/2006/relationships/hyperlink" Target="https://uk.indeed.com/viewjob" TargetMode="External" Id="rId1554" /><Relationship Type="http://schemas.openxmlformats.org/officeDocument/2006/relationships/hyperlink" Target="https://uk.indeed.com/viewjob" TargetMode="External" Id="rId1555" /><Relationship Type="http://schemas.openxmlformats.org/officeDocument/2006/relationships/hyperlink" Target="https://uk.indeed.com/viewjob" TargetMode="External" Id="rId1556" /><Relationship Type="http://schemas.openxmlformats.org/officeDocument/2006/relationships/hyperlink" Target="https://uk.indeed.com/viewjob" TargetMode="External" Id="rId1557" /><Relationship Type="http://schemas.openxmlformats.org/officeDocument/2006/relationships/hyperlink" Target="https://www.linkedin.com/jobs/view/4405156392" TargetMode="External" Id="rId1558" /><Relationship Type="http://schemas.openxmlformats.org/officeDocument/2006/relationships/hyperlink" Target="https://uk.indeed.com/viewjob" TargetMode="External" Id="rId1559" /><Relationship Type="http://schemas.openxmlformats.org/officeDocument/2006/relationships/hyperlink" Target="https://www.linkedin.com/jobs/view/4426072177" TargetMode="External" Id="rId1560" /><Relationship Type="http://schemas.openxmlformats.org/officeDocument/2006/relationships/hyperlink" Target="https://www.linkedin.com/jobs/view/4427533501" TargetMode="External" Id="rId1561" /><Relationship Type="http://schemas.openxmlformats.org/officeDocument/2006/relationships/hyperlink" Target="https://uk.indeed.com/viewjob" TargetMode="External" Id="rId1562" /><Relationship Type="http://schemas.openxmlformats.org/officeDocument/2006/relationships/hyperlink" Target="https://job-boards.greenhouse.io/monzo/jobs/7916595" TargetMode="External" Id="rId1563" /><Relationship Type="http://schemas.openxmlformats.org/officeDocument/2006/relationships/hyperlink" Target="https://job-boards.greenhouse.io/monzo/jobs/7850667" TargetMode="External" Id="rId1564" /><Relationship Type="http://schemas.openxmlformats.org/officeDocument/2006/relationships/hyperlink" Target="https://www.linkedin.com/jobs/view/4428013681" TargetMode="External" Id="rId1565" /><Relationship Type="http://schemas.openxmlformats.org/officeDocument/2006/relationships/hyperlink" Target="https://www.linkedin.com/jobs/view/4416320303" TargetMode="External" Id="rId1566" /><Relationship Type="http://schemas.openxmlformats.org/officeDocument/2006/relationships/hyperlink" Target="https://www.linkedin.com/jobs/view/4417094460" TargetMode="External" Id="rId1567" /><Relationship Type="http://schemas.openxmlformats.org/officeDocument/2006/relationships/hyperlink" Target="https://www.linkedin.com/jobs/view/4425307037" TargetMode="External" Id="rId1568" /><Relationship Type="http://schemas.openxmlformats.org/officeDocument/2006/relationships/hyperlink" Target="https://www.linkedin.com/jobs/view/4415563125" TargetMode="External" Id="rId1569" /><Relationship Type="http://schemas.openxmlformats.org/officeDocument/2006/relationships/hyperlink" Target="https://www.linkedin.com/jobs/view/4426191931" TargetMode="External" Id="rId1570" /><Relationship Type="http://schemas.openxmlformats.org/officeDocument/2006/relationships/hyperlink" Target="https://www.linkedin.com/jobs/view/4427204891" TargetMode="External" Id="rId1571" /><Relationship Type="http://schemas.openxmlformats.org/officeDocument/2006/relationships/hyperlink" Target="https://www.linkedin.com/jobs/view/4419068003" TargetMode="External" Id="rId1572" /><Relationship Type="http://schemas.openxmlformats.org/officeDocument/2006/relationships/hyperlink" Target="https://job-boards.greenhouse.io/graphcore/jobs/8542613002" TargetMode="External" Id="rId1573" /><Relationship Type="http://schemas.openxmlformats.org/officeDocument/2006/relationships/hyperlink" Target="https://job-boards.greenhouse.io/graphcore/jobs/8385695002" TargetMode="External" Id="rId1574" /><Relationship Type="http://schemas.openxmlformats.org/officeDocument/2006/relationships/hyperlink" Target="https://job-boards.greenhouse.io/monzo/jobs/8015626" TargetMode="External" Id="rId1575" /><Relationship Type="http://schemas.openxmlformats.org/officeDocument/2006/relationships/hyperlink" Target="https://job-boards.greenhouse.io/monzo/jobs/7582354" TargetMode="External" Id="rId1576" /><Relationship Type="http://schemas.openxmlformats.org/officeDocument/2006/relationships/hyperlink" Target="https://job-boards.greenhouse.io/monzo/jobs/6076740" TargetMode="External" Id="rId1577" /><Relationship Type="http://schemas.openxmlformats.org/officeDocument/2006/relationships/hyperlink" Target="https://job-boards.greenhouse.io/typeform/jobs/7905097" TargetMode="External" Id="rId1578" /><Relationship Type="http://schemas.openxmlformats.org/officeDocument/2006/relationships/hyperlink" Target="https://job-boards.greenhouse.io/typeform/jobs/7700412" TargetMode="External" Id="rId1579" /><Relationship Type="http://schemas.openxmlformats.org/officeDocument/2006/relationships/hyperlink" Target="https://job-boards.greenhouse.io/typeform/jobs/7905113" TargetMode="External" Id="rId1580" /><Relationship Type="http://schemas.openxmlformats.org/officeDocument/2006/relationships/hyperlink" Target="https://boards.greenhouse.io/cloudflare/jobs/8000779" TargetMode="External" Id="rId1581" /><Relationship Type="http://schemas.openxmlformats.org/officeDocument/2006/relationships/hyperlink" Target="https://boards.greenhouse.io/cloudflare/jobs/7896462" TargetMode="External" Id="rId1582" /><Relationship Type="http://schemas.openxmlformats.org/officeDocument/2006/relationships/hyperlink" Target="https://dyson.wd3.myworkdayjobs.com/job/United-Arab-Emirates---Dubai-Office/E-Commerce-Traffic---CRM-Manager_JR36836" TargetMode="External" Id="rId1583" /><Relationship Type="http://schemas.openxmlformats.org/officeDocument/2006/relationships/hyperlink" Target="https://dyson.wd3.myworkdayjobs.com/job/United-Arab-Emirates---Dubai-Office/Content-and-Social-Strategy-Executive_JR36895" TargetMode="External" Id="rId1584" /><Relationship Type="http://schemas.openxmlformats.org/officeDocument/2006/relationships/hyperlink" Target="https://dyson.wd3.myworkdayjobs.com/job/Germany---Baden-Wrttemberg-Remote/Dyson-Stylist_JR34859" TargetMode="External" Id="rId1585" /><Relationship Type="http://schemas.openxmlformats.org/officeDocument/2006/relationships/hyperlink" Target="https://dyson.wd3.myworkdayjobs.com/job/Germany---Baden-Wrttemberg-Remote/Stylist_JR34854" TargetMode="External" Id="rId1586" /><Relationship Type="http://schemas.openxmlformats.org/officeDocument/2006/relationships/hyperlink" Target="https://dyson.wd3.myworkdayjobs.com/job/Germany---Sachsen-Remote/Merchandiser_JR36818" TargetMode="External" Id="rId1587" /><Relationship Type="http://schemas.openxmlformats.org/officeDocument/2006/relationships/hyperlink" Target="https://uk.indeed.com/viewjob" TargetMode="External" Id="rId1588" /><Relationship Type="http://schemas.openxmlformats.org/officeDocument/2006/relationships/hyperlink" Target="https://www.linkedin.com/jobs/view/4426888519" TargetMode="External" Id="rId1589" /><Relationship Type="http://schemas.openxmlformats.org/officeDocument/2006/relationships/hyperlink" Target="https://www.linkedin.com/jobs/view/4399269415" TargetMode="External" Id="rId1590" /><Relationship Type="http://schemas.openxmlformats.org/officeDocument/2006/relationships/hyperlink" Target="https://www.linkedin.com/jobs/view/4395905189" TargetMode="External" Id="rId1591" /><Relationship Type="http://schemas.openxmlformats.org/officeDocument/2006/relationships/hyperlink" Target="https://www.linkedin.com/jobs/view/4429094248" TargetMode="External" Id="rId1592" /><Relationship Type="http://schemas.openxmlformats.org/officeDocument/2006/relationships/hyperlink" Target="https://www.linkedin.com/jobs/view/4427030455" TargetMode="External" Id="rId1593" /><Relationship Type="http://schemas.openxmlformats.org/officeDocument/2006/relationships/hyperlink" Target="https://www.linkedin.com/jobs/view/4427023667" TargetMode="External" Id="rId1594" /><Relationship Type="http://schemas.openxmlformats.org/officeDocument/2006/relationships/hyperlink" Target="https://www.linkedin.com/jobs/view/4417669023" TargetMode="External" Id="rId1595" /><Relationship Type="http://schemas.openxmlformats.org/officeDocument/2006/relationships/hyperlink" Target="https://www.linkedin.com/jobs/view/4429309943" TargetMode="External" Id="rId1596" /><Relationship Type="http://schemas.openxmlformats.org/officeDocument/2006/relationships/hyperlink" Target="https://www.linkedin.com/jobs/view/4429303960" TargetMode="External" Id="rId1597" /><Relationship Type="http://schemas.openxmlformats.org/officeDocument/2006/relationships/hyperlink" Target="https://www.linkedin.com/jobs/view/4427818682" TargetMode="External" Id="rId1598" /><Relationship Type="http://schemas.openxmlformats.org/officeDocument/2006/relationships/hyperlink" Target="https://uk.indeed.com/viewjob" TargetMode="External" Id="rId1599" /><Relationship Type="http://schemas.openxmlformats.org/officeDocument/2006/relationships/hyperlink" Target="https://uk.indeed.com/viewjob" TargetMode="External" Id="rId1600" /><Relationship Type="http://schemas.openxmlformats.org/officeDocument/2006/relationships/hyperlink" Target="https://uk.indeed.com/viewjob" TargetMode="External" Id="rId1601" /><Relationship Type="http://schemas.openxmlformats.org/officeDocument/2006/relationships/hyperlink" Target="https://uk.indeed.com/viewjob" TargetMode="External" Id="rId1602" /><Relationship Type="http://schemas.openxmlformats.org/officeDocument/2006/relationships/hyperlink" Target="https://www.linkedin.com/jobs/view/4426245432" TargetMode="External" Id="rId1603" /><Relationship Type="http://schemas.openxmlformats.org/officeDocument/2006/relationships/hyperlink" Target="https://www.linkedin.com/jobs/view/4400789807" TargetMode="External" Id="rId1604" /><Relationship Type="http://schemas.openxmlformats.org/officeDocument/2006/relationships/hyperlink" Target="https://job-boards.greenhouse.io/graphcore/jobs/8552045002" TargetMode="External" Id="rId1605" /><Relationship Type="http://schemas.openxmlformats.org/officeDocument/2006/relationships/hyperlink" Target="https://www.linkedin.com/jobs/view/4426360207" TargetMode="External" Id="rId1606" /><Relationship Type="http://schemas.openxmlformats.org/officeDocument/2006/relationships/hyperlink" Target="https://www.linkedin.com/jobs/view/4428390815" TargetMode="External" Id="rId1607" /><Relationship Type="http://schemas.openxmlformats.org/officeDocument/2006/relationships/hyperlink" Target="https://www.linkedin.com/jobs/view/4406958979" TargetMode="External" Id="rId1608" /><Relationship Type="http://schemas.openxmlformats.org/officeDocument/2006/relationships/hyperlink" Target="https://www.linkedin.com/jobs/view/4424354338" TargetMode="External" Id="rId1609" /><Relationship Type="http://schemas.openxmlformats.org/officeDocument/2006/relationships/hyperlink" Target="https://www.linkedin.com/jobs/view/4425380631" TargetMode="External" Id="rId1610" /><Relationship Type="http://schemas.openxmlformats.org/officeDocument/2006/relationships/hyperlink" Target="https://www.linkedin.com/jobs/view/4427997788" TargetMode="External" Id="rId1611" /><Relationship Type="http://schemas.openxmlformats.org/officeDocument/2006/relationships/hyperlink" Target="https://www.linkedin.com/jobs/view/4374049890" TargetMode="External" Id="rId1612" /><Relationship Type="http://schemas.openxmlformats.org/officeDocument/2006/relationships/hyperlink" Target="https://www.linkedin.com/jobs/view/4424222006" TargetMode="External" Id="rId1613" /><Relationship Type="http://schemas.openxmlformats.org/officeDocument/2006/relationships/hyperlink" Target="https://www.linkedin.com/jobs/view/4429020244" TargetMode="External" Id="rId1614" /><Relationship Type="http://schemas.openxmlformats.org/officeDocument/2006/relationships/hyperlink" Target="https://www.linkedin.com/jobs/view/4409377270" TargetMode="External" Id="rId1615" /><Relationship Type="http://schemas.openxmlformats.org/officeDocument/2006/relationships/hyperlink" Target="https://www.linkedin.com/jobs/view/4422655530" TargetMode="External" Id="rId1616" /><Relationship Type="http://schemas.openxmlformats.org/officeDocument/2006/relationships/hyperlink" Target="https://www.linkedin.com/jobs/view/4408403004" TargetMode="External" Id="rId1617" /><Relationship Type="http://schemas.openxmlformats.org/officeDocument/2006/relationships/hyperlink" Target="https://www.linkedin.com/jobs/view/4426966411" TargetMode="External" Id="rId1618" /><Relationship Type="http://schemas.openxmlformats.org/officeDocument/2006/relationships/hyperlink" Target="https://www.linkedin.com/jobs/view/4427983313" TargetMode="External" Id="rId1619" /><Relationship Type="http://schemas.openxmlformats.org/officeDocument/2006/relationships/hyperlink" Target="https://www.linkedin.com/jobs/view/4064409754" TargetMode="External" Id="rId1620" /><Relationship Type="http://schemas.openxmlformats.org/officeDocument/2006/relationships/hyperlink" Target="https://www.linkedin.com/jobs/view/4402700537" TargetMode="External" Id="rId1621" /><Relationship Type="http://schemas.openxmlformats.org/officeDocument/2006/relationships/hyperlink" Target="https://www.linkedin.com/jobs/view/4420119435" TargetMode="External" Id="rId1622" /><Relationship Type="http://schemas.openxmlformats.org/officeDocument/2006/relationships/hyperlink" Target="https://www.linkedin.com/jobs/view/4411360810" TargetMode="External" Id="rId1623" /><Relationship Type="http://schemas.openxmlformats.org/officeDocument/2006/relationships/hyperlink" Target="https://www.linkedin.com/jobs/view/4409459257" TargetMode="External" Id="rId1624" /><Relationship Type="http://schemas.openxmlformats.org/officeDocument/2006/relationships/hyperlink" Target="https://uk.indeed.com/viewjob" TargetMode="External" Id="rId1625" /><Relationship Type="http://schemas.openxmlformats.org/officeDocument/2006/relationships/table" Target="/xl/tables/table1.xml" Id="rId162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43"/>
  <sheetViews>
    <sheetView showGridLines="0" workbookViewId="0">
      <pane ySplit="5" topLeftCell="A6" activePane="bottomLeft" state="frozen"/>
      <selection pane="bottomLeft" activeCell="A1" sqref="A1"/>
    </sheetView>
  </sheetViews>
  <sheetFormatPr baseColWidth="8" defaultRowHeight="15"/>
  <cols>
    <col width="16" customWidth="1" min="1" max="1"/>
    <col width="10" customWidth="1" min="2" max="2"/>
    <col width="18" customWidth="1" min="3" max="3"/>
    <col width="12" customWidth="1" min="4" max="4"/>
    <col width="38" customWidth="1" min="5" max="5"/>
    <col width="24" customWidth="1" min="6" max="6"/>
    <col width="24" customWidth="1" min="7" max="7"/>
    <col width="12" customWidth="1" min="8" max="8"/>
    <col width="16" customWidth="1" min="9" max="9"/>
    <col width="52" customWidth="1" min="10" max="10"/>
  </cols>
  <sheetData>
    <row r="1">
      <c r="A1" s="1" t="inlineStr">
        <is>
          <t>Job Search Overview</t>
        </is>
      </c>
    </row>
    <row r="2">
      <c r="A2" t="inlineStr">
        <is>
          <t>Last exported</t>
        </is>
      </c>
      <c r="B2" s="2" t="n">
        <v>46193.84609953704</v>
      </c>
    </row>
    <row r="4" ht="34" customHeight="1">
      <c r="A4" s="3" t="inlineStr">
        <is>
          <t>Use Status to track each role. Set Status to applied when you apply, then add the date and details in Notes.</t>
        </is>
      </c>
    </row>
    <row r="6">
      <c r="A6" s="4" t="inlineStr">
        <is>
          <t>Status</t>
        </is>
      </c>
      <c r="B6" s="4" t="inlineStr">
        <is>
          <t>Count</t>
        </is>
      </c>
    </row>
    <row r="7">
      <c r="A7" t="inlineStr">
        <is>
          <t>new</t>
        </is>
      </c>
      <c r="B7">
        <f>COUNTIF(jobs!$B:$B,A7)</f>
        <v/>
      </c>
    </row>
    <row r="8">
      <c r="A8" t="inlineStr">
        <is>
          <t>applied</t>
        </is>
      </c>
      <c r="B8">
        <f>COUNTIF(jobs!$B:$B,A8)</f>
        <v/>
      </c>
    </row>
    <row r="9">
      <c r="A9" t="inlineStr">
        <is>
          <t>interview</t>
        </is>
      </c>
      <c r="B9">
        <f>COUNTIF(jobs!$B:$B,A9)</f>
        <v/>
      </c>
    </row>
    <row r="10">
      <c r="A10" t="inlineStr">
        <is>
          <t>offer</t>
        </is>
      </c>
      <c r="B10">
        <f>COUNTIF(jobs!$B:$B,A10)</f>
        <v/>
      </c>
    </row>
    <row r="11">
      <c r="A11" t="inlineStr">
        <is>
          <t>rejected</t>
        </is>
      </c>
      <c r="B11">
        <f>COUNTIF(jobs!$B:$B,A11)</f>
        <v/>
      </c>
    </row>
    <row r="12">
      <c r="A12" t="inlineStr">
        <is>
          <t>ignore</t>
        </is>
      </c>
      <c r="B12">
        <f>COUNTIF(jobs!$B:$B,A12)</f>
        <v/>
      </c>
    </row>
    <row r="13">
      <c r="A13" t="inlineStr">
        <is>
          <t>archive</t>
        </is>
      </c>
      <c r="B13">
        <f>COUNTIF(jobs!$B:$B,A13)</f>
        <v/>
      </c>
    </row>
    <row r="14">
      <c r="A14" t="inlineStr">
        <is>
          <t>closed</t>
        </is>
      </c>
      <c r="B14">
        <f>COUNTIF(jobs!$B:$B,A14)</f>
        <v/>
      </c>
    </row>
    <row r="17">
      <c r="A17" s="4" t="inlineStr">
        <is>
          <t>Priority</t>
        </is>
      </c>
      <c r="B17" s="4" t="inlineStr">
        <is>
          <t>Count</t>
        </is>
      </c>
    </row>
    <row r="18">
      <c r="A18" t="inlineStr">
        <is>
          <t>P1 Apply</t>
        </is>
      </c>
      <c r="B18">
        <f>COUNTIF(jobs!$C:$C,A18)</f>
        <v/>
      </c>
    </row>
    <row r="19">
      <c r="A19" t="inlineStr">
        <is>
          <t>P2 Strong</t>
        </is>
      </c>
      <c r="B19">
        <f>COUNTIF(jobs!$C:$C,A19)</f>
        <v/>
      </c>
    </row>
    <row r="20">
      <c r="A20" t="inlineStr">
        <is>
          <t>P3 Maybe</t>
        </is>
      </c>
      <c r="B20">
        <f>COUNTIF(jobs!$C:$C,A20)</f>
        <v/>
      </c>
    </row>
    <row r="21">
      <c r="A21" t="inlineStr">
        <is>
          <t>P4 Low</t>
        </is>
      </c>
      <c r="B21">
        <f>COUNTIF(jobs!$C:$C,A21)</f>
        <v/>
      </c>
    </row>
    <row r="22">
      <c r="A22" t="inlineStr">
        <is>
          <t>Applied</t>
        </is>
      </c>
      <c r="B22">
        <f>COUNTIF(jobs!$C:$C,A22)</f>
        <v/>
      </c>
    </row>
    <row r="23">
      <c r="A23" t="inlineStr">
        <is>
          <t>Interview</t>
        </is>
      </c>
      <c r="B23">
        <f>COUNTIF(jobs!$C:$C,A23)</f>
        <v/>
      </c>
    </row>
    <row r="24">
      <c r="A24" t="inlineStr">
        <is>
          <t>Offer</t>
        </is>
      </c>
      <c r="B24">
        <f>COUNTIF(jobs!$C:$C,A24)</f>
        <v/>
      </c>
    </row>
    <row r="27">
      <c r="A27" s="5" t="inlineStr">
        <is>
          <t>Top Jobs to Apply For</t>
        </is>
      </c>
    </row>
    <row r="28">
      <c r="A28" s="6" t="inlineStr">
        <is>
          <t>Priority</t>
        </is>
      </c>
      <c r="B28" s="6" t="inlineStr">
        <is>
          <t>Score</t>
        </is>
      </c>
      <c r="C28" s="6" t="inlineStr">
        <is>
          <t>Experience</t>
        </is>
      </c>
      <c r="D28" s="6" t="inlineStr">
        <is>
          <t>Status</t>
        </is>
      </c>
      <c r="E28" s="6" t="inlineStr">
        <is>
          <t>Title</t>
        </is>
      </c>
      <c r="F28" s="6" t="inlineStr">
        <is>
          <t>Company</t>
        </is>
      </c>
      <c r="G28" s="6" t="inlineStr">
        <is>
          <t>Location</t>
        </is>
      </c>
      <c r="H28" s="6" t="inlineStr">
        <is>
          <t>Closes</t>
        </is>
      </c>
      <c r="I28" s="6" t="inlineStr">
        <is>
          <t>Apply</t>
        </is>
      </c>
      <c r="J28" s="6" t="inlineStr">
        <is>
          <t>Why Claude likes it</t>
        </is>
      </c>
    </row>
    <row r="29">
      <c r="A29" s="7" t="inlineStr">
        <is>
          <t>P1 Apply</t>
        </is>
      </c>
      <c r="B29" s="7" t="n">
        <v>8.5</v>
      </c>
      <c r="C29" s="7" t="inlineStr">
        <is>
          <t>Junior</t>
        </is>
      </c>
      <c r="D29" s="7" t="inlineStr">
        <is>
          <t>new</t>
        </is>
      </c>
      <c r="E29" s="8" t="inlineStr">
        <is>
          <t>Junior Python Developer</t>
        </is>
      </c>
      <c r="F29" s="7" t="inlineStr">
        <is>
          <t>Station</t>
        </is>
      </c>
      <c r="G29" s="8" t="inlineStr">
        <is>
          <t>London Area, United Kingdom</t>
        </is>
      </c>
      <c r="H29" s="7" t="n"/>
      <c r="I29" s="9" t="inlineStr">
        <is>
          <t>Open posting</t>
        </is>
      </c>
      <c r="J29" s="8" t="inlineStr">
        <is>
          <t>Junior Python Developer title, Python, REST APIs, SQL/PostgreSQL, Django/Flask/FastAPI all match core and adjacent skills; London hybrid is within remote-ok policy.</t>
        </is>
      </c>
    </row>
    <row r="30">
      <c r="A30" s="7" t="inlineStr">
        <is>
          <t>P1 Apply</t>
        </is>
      </c>
      <c r="B30" s="7" t="n">
        <v>8.5</v>
      </c>
      <c r="C30" s="7" t="inlineStr">
        <is>
          <t>Graduate/Entry</t>
        </is>
      </c>
      <c r="D30" s="7" t="inlineStr">
        <is>
          <t>new</t>
        </is>
      </c>
      <c r="E30" s="8" t="inlineStr">
        <is>
          <t>Graduate Digital Design Engineer</t>
        </is>
      </c>
      <c r="F30" s="7" t="inlineStr">
        <is>
          <t>Renesas Electronics</t>
        </is>
      </c>
      <c r="G30" s="8" t="inlineStr">
        <is>
          <t>Edinburgh, Scotland, UK</t>
        </is>
      </c>
      <c r="H30" s="7" t="n"/>
      <c r="I30" s="9" t="inlineStr">
        <is>
          <t>Open posting</t>
        </is>
      </c>
      <c r="J30" s="8" t="inlineStr">
        <is>
          <t>FPGA/Verilog dissertation and digital design skills match RTL/HDL requirements; SystemVerilog vs Verilog minor gap.</t>
        </is>
      </c>
    </row>
    <row r="31">
      <c r="A31" s="7" t="inlineStr">
        <is>
          <t>P1 Apply</t>
        </is>
      </c>
      <c r="B31" s="7" t="n">
        <v>8.199999999999999</v>
      </c>
      <c r="C31" s="7" t="inlineStr">
        <is>
          <t>Graduate/Entry</t>
        </is>
      </c>
      <c r="D31" s="7" t="inlineStr">
        <is>
          <t>new</t>
        </is>
      </c>
      <c r="E31" s="8" t="inlineStr">
        <is>
          <t>Graduate Digital Design Engineer</t>
        </is>
      </c>
      <c r="F31" s="7" t="inlineStr">
        <is>
          <t>targetjobs UK</t>
        </is>
      </c>
      <c r="G31" s="8" t="inlineStr">
        <is>
          <t>Edinburgh, Scotland, UK</t>
        </is>
      </c>
      <c r="H31" s="7" t="n"/>
      <c r="I31" s="9" t="inlineStr">
        <is>
          <t>Open posting</t>
        </is>
      </c>
      <c r="J31" s="8" t="inlineStr">
        <is>
          <t>Graduate Digital Design Engineer matches core target role; Verilog, FPGA, Python, Git all evidenced; SystemVerilog is a minor gap.</t>
        </is>
      </c>
    </row>
    <row r="32">
      <c r="A32" s="7" t="inlineStr">
        <is>
          <t>P1 Apply</t>
        </is>
      </c>
      <c r="B32" s="7" t="n">
        <v>8</v>
      </c>
      <c r="C32" s="7" t="inlineStr">
        <is>
          <t>Junior</t>
        </is>
      </c>
      <c r="D32" s="7" t="inlineStr">
        <is>
          <t>new</t>
        </is>
      </c>
      <c r="E32" s="8" t="inlineStr">
        <is>
          <t>Full Stack Engineer</t>
        </is>
      </c>
      <c r="F32" s="7" t="inlineStr">
        <is>
          <t>Fortray Global Service Limited</t>
        </is>
      </c>
      <c r="G32" s="8" t="inlineStr">
        <is>
          <t>England, United Kingdom</t>
        </is>
      </c>
      <c r="H32" s="7" t="n"/>
      <c r="I32" s="9" t="inlineStr">
        <is>
          <t>Open posting</t>
        </is>
      </c>
      <c r="J32" s="8" t="inlineStr">
        <is>
          <t>Strong match for early-career full-stack role; Python, JS, REST APIs, Git, React, MongoDB, and Agile all present in profile.</t>
        </is>
      </c>
    </row>
    <row r="33">
      <c r="A33" s="7" t="inlineStr">
        <is>
          <t>P2 Strong</t>
        </is>
      </c>
      <c r="B33" s="7" t="n">
        <v>7.8</v>
      </c>
      <c r="C33" s="7" t="inlineStr">
        <is>
          <t>Graduate/Entry</t>
        </is>
      </c>
      <c r="D33" s="7" t="inlineStr">
        <is>
          <t>new</t>
        </is>
      </c>
      <c r="E33" s="8" t="inlineStr">
        <is>
          <t>Junior Software Engineer / Computer Science Graduate (Remote)</t>
        </is>
      </c>
      <c r="F33" s="7" t="inlineStr">
        <is>
          <t>CTW Content Protection</t>
        </is>
      </c>
      <c r="G33" s="8" t="inlineStr">
        <is>
          <t>GB</t>
        </is>
      </c>
      <c r="H33" s="7" t="n"/>
      <c r="I33" s="9" t="inlineStr">
        <is>
          <t>Open posting</t>
        </is>
      </c>
      <c r="J33" s="8" t="inlineStr">
        <is>
          <t>Python, SQL/MySQL, APIs, Docker, backend dev all directly match core skills; fully remote, salary £30-35k above floor, graduate-level role.</t>
        </is>
      </c>
    </row>
    <row r="34">
      <c r="A34" s="7" t="inlineStr">
        <is>
          <t>P2 Strong</t>
        </is>
      </c>
      <c r="B34" s="7" t="n">
        <v>7.5</v>
      </c>
      <c r="C34" s="7" t="inlineStr">
        <is>
          <t>Graduate/Entry</t>
        </is>
      </c>
      <c r="D34" s="7" t="inlineStr">
        <is>
          <t>new</t>
        </is>
      </c>
      <c r="E34" s="8" t="inlineStr">
        <is>
          <t>Graduate R&amp;D Engineer – System &amp; Architecture</t>
        </is>
      </c>
      <c r="F34" s="7" t="inlineStr">
        <is>
          <t>Microchip Technology</t>
        </is>
      </c>
      <c r="G34" s="8" t="inlineStr">
        <is>
          <t>Whiteley, ENG, GB</t>
        </is>
      </c>
      <c r="H34" s="7" t="n"/>
      <c r="I34" s="9" t="inlineStr">
        <is>
          <t>Open posting</t>
        </is>
      </c>
      <c r="J34" s="8" t="inlineStr">
        <is>
          <t>Graduate/early-career role matching embedded firmware, signal processing, and hardware-software interface skills from candidate's profile.</t>
        </is>
      </c>
    </row>
    <row r="35">
      <c r="A35" s="7" t="inlineStr">
        <is>
          <t>P2 Strong</t>
        </is>
      </c>
      <c r="B35" s="7" t="n">
        <v>7.5</v>
      </c>
      <c r="C35" s="7" t="inlineStr">
        <is>
          <t>Unspecified</t>
        </is>
      </c>
      <c r="D35" s="7" t="inlineStr">
        <is>
          <t>new</t>
        </is>
      </c>
      <c r="E35" s="8" t="inlineStr">
        <is>
          <t>Embedded Engineer - IoT Sensors &amp; Gateways / Smart Buildings</t>
        </is>
      </c>
      <c r="F35" s="7" t="inlineStr">
        <is>
          <t>Pressac Communications</t>
        </is>
      </c>
      <c r="G35" s="8" t="inlineStr">
        <is>
          <t>Nottingham, England, UK</t>
        </is>
      </c>
      <c r="H35" s="7" t="n"/>
      <c r="I35" s="9" t="inlineStr">
        <is>
          <t>Open posting</t>
        </is>
      </c>
      <c r="J35" s="8" t="inlineStr">
        <is>
          <t>Strong IoT/LoRaWAN, STM32, Raspberry Pi, and embedded C/Python match; missing commercial firmware experience and specific IDE tools (STM32 IDE, Keil).</t>
        </is>
      </c>
    </row>
    <row r="36">
      <c r="A36" s="7" t="inlineStr">
        <is>
          <t>P2 Strong</t>
        </is>
      </c>
      <c r="B36" s="7" t="n">
        <v>7.2</v>
      </c>
      <c r="C36" s="7" t="inlineStr">
        <is>
          <t>Junior</t>
        </is>
      </c>
      <c r="D36" s="7" t="inlineStr">
        <is>
          <t>new</t>
        </is>
      </c>
      <c r="E36" s="8" t="inlineStr">
        <is>
          <t>Digital Design Engineer (AP)</t>
        </is>
      </c>
      <c r="F36" s="7" t="inlineStr">
        <is>
          <t>Cirrus Logic</t>
        </is>
      </c>
      <c r="G36" s="8" t="inlineStr">
        <is>
          <t>Edinburgh, Scotland, UK</t>
        </is>
      </c>
      <c r="H36" s="7" t="n"/>
      <c r="I36" s="9" t="inlineStr">
        <is>
          <t>Open posting</t>
        </is>
      </c>
      <c r="J36" s="8" t="inlineStr">
        <is>
          <t>Verilog and FPGA skills match well; gaps in SystemVerilog, synthesis flows, CDC tools, and Edinburgh location adds friction.</t>
        </is>
      </c>
    </row>
    <row r="37">
      <c r="A37" s="7" t="inlineStr">
        <is>
          <t>P2 Strong</t>
        </is>
      </c>
      <c r="B37" s="7" t="n">
        <v>7.2</v>
      </c>
      <c r="C37" s="7" t="inlineStr">
        <is>
          <t>Senior/Lead</t>
        </is>
      </c>
      <c r="D37" s="7" t="inlineStr">
        <is>
          <t>new</t>
        </is>
      </c>
      <c r="E37" s="8" t="inlineStr">
        <is>
          <t>Software Engineer</t>
        </is>
      </c>
      <c r="F37" s="7" t="inlineStr">
        <is>
          <t>Crowder Consulting</t>
        </is>
      </c>
      <c r="G37" s="8" t="inlineStr">
        <is>
          <t>Birkenhead, ENG, GB</t>
        </is>
      </c>
      <c r="H37" s="7" t="n"/>
      <c r="I37" s="9" t="inlineStr">
        <is>
          <t>Open posting</t>
        </is>
      </c>
      <c r="J37" s="8" t="inlineStr">
        <is>
          <t>Python, SQL, Docker, REST APIs, and backend dev match well; no Java or cloud-platform experience evident in profile.</t>
        </is>
      </c>
    </row>
    <row r="38">
      <c r="A38" s="7" t="inlineStr">
        <is>
          <t>P2 Strong</t>
        </is>
      </c>
      <c r="B38" s="7" t="n">
        <v>7.2</v>
      </c>
      <c r="C38" s="7" t="inlineStr">
        <is>
          <t>Mid-level</t>
        </is>
      </c>
      <c r="D38" s="7" t="inlineStr">
        <is>
          <t>new</t>
        </is>
      </c>
      <c r="E38" s="8" t="inlineStr">
        <is>
          <t>Verification Engineer (f/m/d)</t>
        </is>
      </c>
      <c r="F38" s="7" t="inlineStr">
        <is>
          <t>Renesas</t>
        </is>
      </c>
      <c r="G38" s="8" t="inlineStr">
        <is>
          <t>Edinburgh, SCT, GB</t>
        </is>
      </c>
      <c r="H38" s="7" t="n"/>
      <c r="I38" s="9" t="inlineStr">
        <is>
          <t>Open posting</t>
        </is>
      </c>
      <c r="J38" s="8" t="inlineStr">
        <is>
          <t>FPGA dissertation, Verilog, digital design, and Git strongly match; SystemVerilog/UVM not explicitly evidenced but role accepts academic FPGA experience.</t>
        </is>
      </c>
    </row>
    <row r="39">
      <c r="A39" s="7" t="inlineStr">
        <is>
          <t>P2 Strong</t>
        </is>
      </c>
      <c r="B39" s="7" t="n">
        <v>7</v>
      </c>
      <c r="C39" s="7" t="inlineStr">
        <is>
          <t>Junior</t>
        </is>
      </c>
      <c r="D39" s="7" t="inlineStr">
        <is>
          <t>new</t>
        </is>
      </c>
      <c r="E39" s="8" t="inlineStr">
        <is>
          <t>Junior Full Stack Developer</t>
        </is>
      </c>
      <c r="F39" s="7" t="inlineStr">
        <is>
          <t>Haystack</t>
        </is>
      </c>
      <c r="G39" s="8" t="inlineStr">
        <is>
          <t>London, England, UK</t>
        </is>
      </c>
      <c r="H39" s="7" t="n"/>
      <c r="I39" s="9" t="inlineStr">
        <is>
          <t>Open posting</t>
        </is>
      </c>
      <c r="J39" s="8" t="inlineStr">
        <is>
          <t>JavaScript, React, Node.js, APIs and AWS match adjacent skills; fully remote suits profile; limited JD detail on seniority requirements.</t>
        </is>
      </c>
    </row>
    <row r="40">
      <c r="A40" s="7" t="inlineStr">
        <is>
          <t>P2 Strong</t>
        </is>
      </c>
      <c r="B40" s="7" t="n">
        <v>7</v>
      </c>
      <c r="C40" s="7" t="inlineStr">
        <is>
          <t>Mid-level</t>
        </is>
      </c>
      <c r="D40" s="7" t="inlineStr">
        <is>
          <t>new</t>
        </is>
      </c>
      <c r="E40" s="8" t="inlineStr">
        <is>
          <t>Software Engineer - Graduates Considered</t>
        </is>
      </c>
      <c r="F40" s="7" t="inlineStr">
        <is>
          <t>RedTech Recruitment</t>
        </is>
      </c>
      <c r="G40" s="8" t="inlineStr">
        <is>
          <t>London Area, United Kingdom</t>
        </is>
      </c>
      <c r="H40" s="7" t="n"/>
      <c r="I40" s="9" t="inlineStr">
        <is>
          <t>Open posting</t>
        </is>
      </c>
      <c r="J40" s="8" t="inlineStr">
        <is>
          <t>Graduate-level Python role matching core skills; Cambridge/London location is outside 60-mile radius but hybrid is partial mitigation.</t>
        </is>
      </c>
    </row>
    <row r="41">
      <c r="A41" s="7" t="inlineStr">
        <is>
          <t>P2 Strong</t>
        </is>
      </c>
      <c r="B41" s="7" t="n">
        <v>7</v>
      </c>
      <c r="C41" s="7" t="inlineStr">
        <is>
          <t>Graduate/Entry</t>
        </is>
      </c>
      <c r="D41" s="7" t="inlineStr">
        <is>
          <t>new</t>
        </is>
      </c>
      <c r="E41" s="8" t="inlineStr">
        <is>
          <t>Graduate Validation Engineer</t>
        </is>
      </c>
      <c r="F41" s="7" t="inlineStr">
        <is>
          <t>Cirrus Logic</t>
        </is>
      </c>
      <c r="G41" s="8" t="inlineStr">
        <is>
          <t>Edinburgh, Scotland, UK</t>
        </is>
      </c>
      <c r="H41" s="7" t="n"/>
      <c r="I41" s="9" t="inlineStr">
        <is>
          <t>Open posting</t>
        </is>
      </c>
      <c r="J41" s="8" t="inlineStr">
        <is>
          <t>Graduate validation role suits experience level; Python, FPGA, digital/mixed-signal debugging align, though PCB design and LabVIEW are minor gaps.</t>
        </is>
      </c>
    </row>
    <row r="42">
      <c r="A42" s="7" t="inlineStr">
        <is>
          <t>P3 Maybe</t>
        </is>
      </c>
      <c r="B42" s="7" t="n">
        <v>6.5</v>
      </c>
      <c r="C42" s="7" t="inlineStr">
        <is>
          <t>Unspecified</t>
        </is>
      </c>
      <c r="D42" s="7" t="inlineStr">
        <is>
          <t>new</t>
        </is>
      </c>
      <c r="E42" s="8" t="inlineStr">
        <is>
          <t>Embedded System Engineer</t>
        </is>
      </c>
      <c r="F42" s="7" t="inlineStr">
        <is>
          <t>Open Cosmos</t>
        </is>
      </c>
      <c r="G42" s="8" t="inlineStr">
        <is>
          <t>Harwell, England, UK</t>
        </is>
      </c>
      <c r="H42" s="7" t="n"/>
      <c r="I42" s="9" t="inlineStr">
        <is>
          <t>Open posting</t>
        </is>
      </c>
      <c r="J42" s="8" t="inlineStr">
        <is>
          <t>Verilog, FPGA, and embedded systems match well but C/C++ RTOS proficiency and fault-tolerant space-grade design are gaps.</t>
        </is>
      </c>
    </row>
    <row r="43">
      <c r="A43" s="7" t="inlineStr">
        <is>
          <t>P3 Maybe</t>
        </is>
      </c>
      <c r="B43" s="7" t="n">
        <v>6.5</v>
      </c>
      <c r="C43" s="7" t="inlineStr">
        <is>
          <t>Junior</t>
        </is>
      </c>
      <c r="D43" s="7" t="inlineStr">
        <is>
          <t>new</t>
        </is>
      </c>
      <c r="E43" s="8" t="inlineStr">
        <is>
          <t>Junior Platform Engineer</t>
        </is>
      </c>
      <c r="F43" s="7" t="inlineStr">
        <is>
          <t>Bud Systems</t>
        </is>
      </c>
      <c r="G43" s="8" t="inlineStr">
        <is>
          <t>Bristol, ENG, GB</t>
        </is>
      </c>
      <c r="H43" s="7" t="n"/>
      <c r="I43" s="9" t="inlineStr">
        <is>
          <t>Open posting</t>
        </is>
      </c>
      <c r="J43" s="8" t="inlineStr">
        <is>
          <t>Good match on Python, SQL, Docker, Kubernetes, Git and CI/CD; SC Clearance eligibility requirement is a potential flag not confirmed in profile.</t>
        </is>
      </c>
    </row>
  </sheetData>
  <hyperlinks>
    <hyperlink xmlns:r="http://schemas.openxmlformats.org/officeDocument/2006/relationships" ref="I29" r:id="rId1"/>
    <hyperlink xmlns:r="http://schemas.openxmlformats.org/officeDocument/2006/relationships" ref="I30" r:id="rId2"/>
    <hyperlink xmlns:r="http://schemas.openxmlformats.org/officeDocument/2006/relationships" ref="I31" r:id="rId3"/>
    <hyperlink xmlns:r="http://schemas.openxmlformats.org/officeDocument/2006/relationships" ref="I32" r:id="rId4"/>
    <hyperlink xmlns:r="http://schemas.openxmlformats.org/officeDocument/2006/relationships" ref="I33" r:id="rId5"/>
    <hyperlink xmlns:r="http://schemas.openxmlformats.org/officeDocument/2006/relationships" ref="I34" r:id="rId6"/>
    <hyperlink xmlns:r="http://schemas.openxmlformats.org/officeDocument/2006/relationships" ref="I35" r:id="rId7"/>
    <hyperlink xmlns:r="http://schemas.openxmlformats.org/officeDocument/2006/relationships" ref="I36" r:id="rId8"/>
    <hyperlink xmlns:r="http://schemas.openxmlformats.org/officeDocument/2006/relationships" ref="I37" r:id="rId9"/>
    <hyperlink xmlns:r="http://schemas.openxmlformats.org/officeDocument/2006/relationships" ref="I38" r:id="rId10"/>
    <hyperlink xmlns:r="http://schemas.openxmlformats.org/officeDocument/2006/relationships" ref="I39" r:id="rId11"/>
    <hyperlink xmlns:r="http://schemas.openxmlformats.org/officeDocument/2006/relationships" ref="I40" r:id="rId12"/>
    <hyperlink xmlns:r="http://schemas.openxmlformats.org/officeDocument/2006/relationships" ref="I41" r:id="rId13"/>
    <hyperlink xmlns:r="http://schemas.openxmlformats.org/officeDocument/2006/relationships" ref="I42" r:id="rId14"/>
    <hyperlink xmlns:r="http://schemas.openxmlformats.org/officeDocument/2006/relationships" ref="I43"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626"/>
  <sheetViews>
    <sheetView showGridLines="0" zoomScale="90"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6" customWidth="1" min="3" max="3"/>
    <col width="46" customWidth="1" min="4" max="4"/>
    <col width="26" customWidth="1" min="5" max="5"/>
    <col width="30" customWidth="1" min="6" max="6"/>
    <col width="20" customWidth="1" min="7" max="7"/>
    <col width="12" customWidth="1" min="8" max="8"/>
    <col width="10" customWidth="1" min="9" max="9"/>
    <col width="16" customWidth="1" min="10" max="10"/>
    <col width="52" customWidth="1" min="11" max="11"/>
    <col width="14" customWidth="1" min="12" max="12"/>
    <col width="48" customWidth="1" min="13" max="13"/>
    <col hidden="1" width="10" customWidth="1" min="14" max="14"/>
    <col hidden="1" width="12" customWidth="1" min="15" max="15"/>
    <col hidden="1" width="16" customWidth="1" min="16" max="16"/>
    <col hidden="1" width="30" customWidth="1" min="17" max="17"/>
    <col hidden="1" width="28" customWidth="1" min="18" max="18"/>
    <col hidden="1" width="12" customWidth="1" min="19" max="19"/>
    <col hidden="1" width="12" customWidth="1" min="20" max="20"/>
    <col hidden="1" width="12" customWidth="1" min="21" max="21"/>
    <col hidden="1" width="12" customWidth="1" min="22" max="22"/>
  </cols>
  <sheetData>
    <row r="1" ht="28" customHeight="1">
      <c r="A1" s="10" t="inlineStr">
        <is>
          <t>Action</t>
        </is>
      </c>
      <c r="B1" s="10" t="inlineStr">
        <is>
          <t>Score</t>
        </is>
      </c>
      <c r="C1" s="10" t="inlineStr">
        <is>
          <t>Experience</t>
        </is>
      </c>
      <c r="D1" s="10" t="inlineStr">
        <is>
          <t>Title</t>
        </is>
      </c>
      <c r="E1" s="10" t="inlineStr">
        <is>
          <t>Company</t>
        </is>
      </c>
      <c r="F1" s="10" t="inlineStr">
        <is>
          <t>Location</t>
        </is>
      </c>
      <c r="G1" s="10" t="inlineStr">
        <is>
          <t>Salary</t>
        </is>
      </c>
      <c r="H1" s="10" t="inlineStr">
        <is>
          <t>Closes</t>
        </is>
      </c>
      <c r="I1" s="10" t="inlineStr">
        <is>
          <t>Days Left</t>
        </is>
      </c>
      <c r="J1" s="10" t="inlineStr">
        <is>
          <t>Apply</t>
        </is>
      </c>
      <c r="K1" s="10" t="inlineStr">
        <is>
          <t>Why Claude likes it</t>
        </is>
      </c>
      <c r="L1" s="11" t="inlineStr">
        <is>
          <t>Status</t>
        </is>
      </c>
      <c r="M1" s="11" t="inlineStr">
        <is>
          <t>Notes</t>
        </is>
      </c>
      <c r="N1" s="10" t="inlineStr">
        <is>
          <t>Job ID</t>
        </is>
      </c>
      <c r="O1" s="10" t="inlineStr">
        <is>
          <t>Posted</t>
        </is>
      </c>
      <c r="P1" s="10" t="inlineStr">
        <is>
          <t>Source</t>
        </is>
      </c>
      <c r="Q1" s="10" t="inlineStr">
        <is>
          <t>Matched Keywords</t>
        </is>
      </c>
      <c r="R1" s="10" t="inlineStr">
        <is>
          <t>Query</t>
        </is>
      </c>
      <c r="S1" s="10" t="inlineStr">
        <is>
          <t>Salary Min</t>
        </is>
      </c>
      <c r="T1" s="10" t="inlineStr">
        <is>
          <t>Salary Max</t>
        </is>
      </c>
      <c r="U1" s="10" t="inlineStr">
        <is>
          <t>First Seen</t>
        </is>
      </c>
      <c r="V1" s="10" t="inlineStr">
        <is>
          <t>Ranker Ver.</t>
        </is>
      </c>
    </row>
    <row r="2" ht="28" customHeight="1">
      <c r="A2" s="12">
        <f>IF($L2="applied","Applied",IF($L2="interview","Interview",IF($L2="offer","Offer",IF($L2="rejected","Rejected",IF($L2="ignore","Ignore",IF($L2="archive","Archive",IF($L2="closed","Closed",IF($B2="","Unscored",IF(AND($B2&gt;=8,OR($H2="",$H2-TODAY()&lt;=14)),"P1 Apply",IF($B2&gt;=7,"P2 Strong",IF($B2&gt;=5,"P3 Maybe","P4 Low")))))))))))</f>
        <v/>
      </c>
      <c r="B2" s="13" t="n">
        <v>8.5</v>
      </c>
      <c r="C2" s="12" t="inlineStr">
        <is>
          <t>Junior</t>
        </is>
      </c>
      <c r="D2" s="8" t="inlineStr">
        <is>
          <t>Junior Python Developer</t>
        </is>
      </c>
      <c r="E2" s="7" t="inlineStr">
        <is>
          <t>Station</t>
        </is>
      </c>
      <c r="F2" s="8" t="inlineStr">
        <is>
          <t>London Area, United Kingdom</t>
        </is>
      </c>
      <c r="G2" s="8" t="n"/>
      <c r="H2" s="14" t="n"/>
      <c r="I2" s="15">
        <f>IF($H2="","",$H2-TODAY())</f>
        <v/>
      </c>
      <c r="J2" s="16" t="inlineStr">
        <is>
          <t>Open posting</t>
        </is>
      </c>
      <c r="K2" s="8" t="inlineStr">
        <is>
          <t>Junior Python Developer title, Python, REST APIs, SQL/PostgreSQL, Django/Flask/FastAPI all match core and adjacent skills; London hybrid is within remote-ok policy.</t>
        </is>
      </c>
      <c r="L2" s="17" t="inlineStr">
        <is>
          <t>new</t>
        </is>
      </c>
      <c r="M2" s="18" t="inlineStr"/>
      <c r="N2" s="7" t="inlineStr">
        <is>
          <t>46f1d6296a3c9d0be7206d78909b5b20ff30a25d</t>
        </is>
      </c>
      <c r="O2" s="14" t="n"/>
      <c r="P2" s="7" t="inlineStr">
        <is>
          <t>jobspy</t>
        </is>
      </c>
      <c r="Q2" s="8" t="inlineStr">
        <is>
          <t>Python, REST APIs, SQL, FastAPI, Flask</t>
        </is>
      </c>
      <c r="R2" s="8" t="inlineStr">
        <is>
          <t>Junior Python Developer</t>
        </is>
      </c>
      <c r="S2" s="19" t="n"/>
      <c r="T2" s="19" t="n"/>
      <c r="U2" s="14" t="n">
        <v>46192</v>
      </c>
      <c r="V2" s="7" t="inlineStr">
        <is>
          <t>v2-cv-accuracy-13b988b18da8ea7d</t>
        </is>
      </c>
    </row>
    <row r="3" ht="28" customHeight="1">
      <c r="A3" s="12">
        <f>IF($L3="applied","Applied",IF($L3="interview","Interview",IF($L3="offer","Offer",IF($L3="rejected","Rejected",IF($L3="ignore","Ignore",IF($L3="archive","Archive",IF($L3="closed","Closed",IF($B3="","Unscored",IF(AND($B3&gt;=8,OR($H3="",$H3-TODAY()&lt;=14)),"P1 Apply",IF($B3&gt;=7,"P2 Strong",IF($B3&gt;=5,"P3 Maybe","P4 Low")))))))))))</f>
        <v/>
      </c>
      <c r="B3" s="13" t="n">
        <v>8.5</v>
      </c>
      <c r="C3" s="12" t="inlineStr">
        <is>
          <t>Graduate/Entry</t>
        </is>
      </c>
      <c r="D3" s="8" t="inlineStr">
        <is>
          <t>Graduate Digital Design Engineer</t>
        </is>
      </c>
      <c r="E3" s="7" t="inlineStr">
        <is>
          <t>Renesas Electronics</t>
        </is>
      </c>
      <c r="F3" s="8" t="inlineStr">
        <is>
          <t>Edinburgh, Scotland, UK</t>
        </is>
      </c>
      <c r="G3" s="8" t="n"/>
      <c r="H3" s="14" t="n"/>
      <c r="I3" s="15">
        <f>IF($H3="","",$H3-TODAY())</f>
        <v/>
      </c>
      <c r="J3" s="16" t="inlineStr">
        <is>
          <t>Open posting</t>
        </is>
      </c>
      <c r="K3" s="8" t="inlineStr">
        <is>
          <t>FPGA/Verilog dissertation and digital design skills match RTL/HDL requirements; SystemVerilog vs Verilog minor gap.</t>
        </is>
      </c>
      <c r="L3" s="17" t="inlineStr">
        <is>
          <t>new</t>
        </is>
      </c>
      <c r="M3" s="18" t="inlineStr"/>
      <c r="N3" s="7" t="inlineStr">
        <is>
          <t>9384b9741d9c0cb3b1a7ef6886b9de5772942944</t>
        </is>
      </c>
      <c r="O3" s="14" t="n">
        <v>46176</v>
      </c>
      <c r="P3" s="7" t="inlineStr">
        <is>
          <t>jobspy</t>
        </is>
      </c>
      <c r="Q3" s="8" t="inlineStr">
        <is>
          <t>Verilog, FPGA, Python, Git, digital design</t>
        </is>
      </c>
      <c r="R3" s="8" t="inlineStr">
        <is>
          <t>Graduate FPGA Engineer Verilog Vivado</t>
        </is>
      </c>
      <c r="S3" s="19" t="n"/>
      <c r="T3" s="19" t="n"/>
      <c r="U3" s="14" t="n">
        <v>46192</v>
      </c>
      <c r="V3" s="7" t="inlineStr">
        <is>
          <t>v2-cv-accuracy-13b988b18da8ea7d</t>
        </is>
      </c>
    </row>
    <row r="4" ht="28" customHeight="1">
      <c r="A4" s="12">
        <f>IF($L4="applied","Applied",IF($L4="interview","Interview",IF($L4="offer","Offer",IF($L4="rejected","Rejected",IF($L4="ignore","Ignore",IF($L4="archive","Archive",IF($L4="closed","Closed",IF($B4="","Unscored",IF(AND($B4&gt;=8,OR($H4="",$H4-TODAY()&lt;=14)),"P1 Apply",IF($B4&gt;=7,"P2 Strong",IF($B4&gt;=5,"P3 Maybe","P4 Low")))))))))))</f>
        <v/>
      </c>
      <c r="B4" s="13" t="n">
        <v>8.199999999999999</v>
      </c>
      <c r="C4" s="12" t="inlineStr">
        <is>
          <t>Graduate/Entry</t>
        </is>
      </c>
      <c r="D4" s="8" t="inlineStr">
        <is>
          <t>Graduate Digital Design Engineer</t>
        </is>
      </c>
      <c r="E4" s="7" t="inlineStr">
        <is>
          <t>targetjobs UK</t>
        </is>
      </c>
      <c r="F4" s="8" t="inlineStr">
        <is>
          <t>Edinburgh, Scotland, UK</t>
        </is>
      </c>
      <c r="G4" s="8" t="n"/>
      <c r="H4" s="14" t="n"/>
      <c r="I4" s="15">
        <f>IF($H4="","",$H4-TODAY())</f>
        <v/>
      </c>
      <c r="J4" s="16" t="inlineStr">
        <is>
          <t>Open posting</t>
        </is>
      </c>
      <c r="K4" s="8" t="inlineStr">
        <is>
          <t>Graduate Digital Design Engineer matches core target role; Verilog, FPGA, Python, Git all evidenced; SystemVerilog is a minor gap.</t>
        </is>
      </c>
      <c r="L4" s="17" t="inlineStr">
        <is>
          <t>new</t>
        </is>
      </c>
      <c r="M4" s="18" t="inlineStr"/>
      <c r="N4" s="7" t="inlineStr">
        <is>
          <t>e0f837217efc0250adb5a458ad8ad16bf518ff2a</t>
        </is>
      </c>
      <c r="O4" s="14" t="n">
        <v>46191</v>
      </c>
      <c r="P4" s="7" t="inlineStr">
        <is>
          <t>jobspy</t>
        </is>
      </c>
      <c r="Q4" s="8" t="inlineStr">
        <is>
          <t>Verilog, FPGA, Python, Git, digital design</t>
        </is>
      </c>
      <c r="R4" s="8" t="inlineStr">
        <is>
          <t>Graduate FPGA Engineer UK remote</t>
        </is>
      </c>
      <c r="S4" s="19" t="n"/>
      <c r="T4" s="19" t="n"/>
      <c r="U4" s="14" t="n">
        <v>46192</v>
      </c>
      <c r="V4" s="7" t="inlineStr">
        <is>
          <t>v2-cv-accuracy-13b988b18da8ea7d</t>
        </is>
      </c>
    </row>
    <row r="5" ht="28" customHeight="1">
      <c r="A5" s="12">
        <f>IF($L5="applied","Applied",IF($L5="interview","Interview",IF($L5="offer","Offer",IF($L5="rejected","Rejected",IF($L5="ignore","Ignore",IF($L5="archive","Archive",IF($L5="closed","Closed",IF($B5="","Unscored",IF(AND($B5&gt;=8,OR($H5="",$H5-TODAY()&lt;=14)),"P1 Apply",IF($B5&gt;=7,"P2 Strong",IF($B5&gt;=5,"P3 Maybe","P4 Low")))))))))))</f>
        <v/>
      </c>
      <c r="B5" s="13" t="n">
        <v>8</v>
      </c>
      <c r="C5" s="12" t="inlineStr">
        <is>
          <t>Junior</t>
        </is>
      </c>
      <c r="D5" s="8" t="inlineStr">
        <is>
          <t>Full Stack Engineer</t>
        </is>
      </c>
      <c r="E5" s="7" t="inlineStr">
        <is>
          <t>Fortray Global Service Limited</t>
        </is>
      </c>
      <c r="F5" s="8" t="inlineStr">
        <is>
          <t>England, United Kingdom</t>
        </is>
      </c>
      <c r="G5" s="8" t="n"/>
      <c r="H5" s="14" t="n"/>
      <c r="I5" s="15">
        <f>IF($H5="","",$H5-TODAY())</f>
        <v/>
      </c>
      <c r="J5" s="16" t="inlineStr">
        <is>
          <t>Open posting</t>
        </is>
      </c>
      <c r="K5" s="8" t="inlineStr">
        <is>
          <t>Strong match for early-career full-stack role; Python, JS, REST APIs, Git, React, MongoDB, and Agile all present in profile.</t>
        </is>
      </c>
      <c r="L5" s="17" t="inlineStr">
        <is>
          <t>new</t>
        </is>
      </c>
      <c r="M5" s="18" t="inlineStr"/>
      <c r="N5" s="7" t="inlineStr">
        <is>
          <t>6923b68fabb4fd9d9bc9051a629b6694c6be29e7</t>
        </is>
      </c>
      <c r="O5" s="14" t="n">
        <v>46188</v>
      </c>
      <c r="P5" s="7" t="inlineStr">
        <is>
          <t>jobspy</t>
        </is>
      </c>
      <c r="Q5" s="8" t="inlineStr">
        <is>
          <t>Python, JavaScript, REST APIs, Git, React</t>
        </is>
      </c>
      <c r="R5" s="8" t="inlineStr">
        <is>
          <t>entry level Full Stack Developer</t>
        </is>
      </c>
      <c r="S5" s="19" t="n"/>
      <c r="T5" s="19" t="n"/>
      <c r="U5" s="14" t="n">
        <v>46192</v>
      </c>
      <c r="V5" s="7" t="inlineStr">
        <is>
          <t>v2-cv-accuracy-13b988b18da8ea7d</t>
        </is>
      </c>
    </row>
    <row r="6" ht="28" customHeight="1">
      <c r="A6" s="12">
        <f>IF($L6="applied","Applied",IF($L6="interview","Interview",IF($L6="offer","Offer",IF($L6="rejected","Rejected",IF($L6="ignore","Ignore",IF($L6="archive","Archive",IF($L6="closed","Closed",IF($B6="","Unscored",IF(AND($B6&gt;=8,OR($H6="",$H6-TODAY()&lt;=14)),"P1 Apply",IF($B6&gt;=7,"P2 Strong",IF($B6&gt;=5,"P3 Maybe","P4 Low")))))))))))</f>
        <v/>
      </c>
      <c r="B6" s="13" t="n">
        <v>7.8</v>
      </c>
      <c r="C6" s="12" t="inlineStr">
        <is>
          <t>Graduate/Entry</t>
        </is>
      </c>
      <c r="D6" s="8" t="inlineStr">
        <is>
          <t>Junior Software Engineer / Computer Science Graduate (Remote)</t>
        </is>
      </c>
      <c r="E6" s="7" t="inlineStr">
        <is>
          <t>CTW Content Protection</t>
        </is>
      </c>
      <c r="F6" s="8" t="inlineStr">
        <is>
          <t>GB</t>
        </is>
      </c>
      <c r="G6" s="8" t="n"/>
      <c r="H6" s="14" t="n"/>
      <c r="I6" s="15">
        <f>IF($H6="","",$H6-TODAY())</f>
        <v/>
      </c>
      <c r="J6" s="16" t="inlineStr">
        <is>
          <t>Open posting</t>
        </is>
      </c>
      <c r="K6" s="8" t="inlineStr">
        <is>
          <t>Python, SQL/MySQL, APIs, Docker, backend dev all directly match core skills; fully remote, salary £30-35k above floor, graduate-level role.</t>
        </is>
      </c>
      <c r="L6" s="17" t="inlineStr">
        <is>
          <t>new</t>
        </is>
      </c>
      <c r="M6" s="18" t="inlineStr"/>
      <c r="N6" s="7" t="inlineStr">
        <is>
          <t>d0d916f9adcdabb6ccab921b95bc4589da3e3c50</t>
        </is>
      </c>
      <c r="O6" s="14" t="n">
        <v>46188</v>
      </c>
      <c r="P6" s="7" t="inlineStr">
        <is>
          <t>jobspy</t>
        </is>
      </c>
      <c r="Q6" s="8" t="inlineStr">
        <is>
          <t>Python, MySQL, Docker, API integration, SQL</t>
        </is>
      </c>
      <c r="R6" s="8" t="inlineStr">
        <is>
          <t>Platform Engineer backend Python SQL graduate</t>
        </is>
      </c>
      <c r="S6" s="19" t="n"/>
      <c r="T6" s="19" t="n"/>
      <c r="U6" s="14" t="n">
        <v>46192</v>
      </c>
      <c r="V6" s="7" t="inlineStr">
        <is>
          <t>v2-cv-accuracy-13b988b18da8ea7d</t>
        </is>
      </c>
    </row>
    <row r="7" ht="28" customHeight="1">
      <c r="A7" s="12">
        <f>IF($L7="applied","Applied",IF($L7="interview","Interview",IF($L7="offer","Offer",IF($L7="rejected","Rejected",IF($L7="ignore","Ignore",IF($L7="archive","Archive",IF($L7="closed","Closed",IF($B7="","Unscored",IF(AND($B7&gt;=8,OR($H7="",$H7-TODAY()&lt;=14)),"P1 Apply",IF($B7&gt;=7,"P2 Strong",IF($B7&gt;=5,"P3 Maybe","P4 Low")))))))))))</f>
        <v/>
      </c>
      <c r="B7" s="13" t="n">
        <v>7.5</v>
      </c>
      <c r="C7" s="12" t="inlineStr">
        <is>
          <t>Graduate/Entry</t>
        </is>
      </c>
      <c r="D7" s="8" t="inlineStr">
        <is>
          <t>Graduate R&amp;D Engineer – System &amp; Architecture</t>
        </is>
      </c>
      <c r="E7" s="7" t="inlineStr">
        <is>
          <t>Microchip Technology</t>
        </is>
      </c>
      <c r="F7" s="8" t="inlineStr">
        <is>
          <t>Whiteley, ENG, GB</t>
        </is>
      </c>
      <c r="G7" s="8" t="n"/>
      <c r="H7" s="14" t="n"/>
      <c r="I7" s="15">
        <f>IF($H7="","",$H7-TODAY())</f>
        <v/>
      </c>
      <c r="J7" s="16" t="inlineStr">
        <is>
          <t>Open posting</t>
        </is>
      </c>
      <c r="K7" s="8" t="inlineStr">
        <is>
          <t>Graduate/early-career role matching embedded firmware, signal processing, and hardware-software interface skills from candidate's profile.</t>
        </is>
      </c>
      <c r="L7" s="17" t="inlineStr">
        <is>
          <t>new</t>
        </is>
      </c>
      <c r="M7" s="18" t="inlineStr"/>
      <c r="N7" s="7" t="inlineStr">
        <is>
          <t>739a7a4fbff2e88cb93edf982e7e4550aea7d26c</t>
        </is>
      </c>
      <c r="O7" s="14" t="n">
        <v>46190</v>
      </c>
      <c r="P7" s="7" t="inlineStr">
        <is>
          <t>jobspy</t>
        </is>
      </c>
      <c r="Q7" s="8" t="inlineStr">
        <is>
          <t>embedded systems, C, STM32, signal processing, Python</t>
        </is>
      </c>
      <c r="R7" s="8" t="inlineStr">
        <is>
          <t>Graduate Systems Engineer embedded hardware software</t>
        </is>
      </c>
      <c r="S7" s="19" t="n"/>
      <c r="T7" s="19" t="n"/>
      <c r="U7" s="14" t="n">
        <v>46192</v>
      </c>
      <c r="V7" s="7" t="inlineStr">
        <is>
          <t>v2-cv-accuracy-13b988b18da8ea7d</t>
        </is>
      </c>
    </row>
    <row r="8" ht="28" customHeight="1">
      <c r="A8" s="12">
        <f>IF($L8="applied","Applied",IF($L8="interview","Interview",IF($L8="offer","Offer",IF($L8="rejected","Rejected",IF($L8="ignore","Ignore",IF($L8="archive","Archive",IF($L8="closed","Closed",IF($B8="","Unscored",IF(AND($B8&gt;=8,OR($H8="",$H8-TODAY()&lt;=14)),"P1 Apply",IF($B8&gt;=7,"P2 Strong",IF($B8&gt;=5,"P3 Maybe","P4 Low")))))))))))</f>
        <v/>
      </c>
      <c r="B8" s="13" t="n">
        <v>7.5</v>
      </c>
      <c r="C8" s="12" t="inlineStr">
        <is>
          <t>Unspecified</t>
        </is>
      </c>
      <c r="D8" s="8" t="inlineStr">
        <is>
          <t>Embedded Engineer - IoT Sensors &amp; Gateways / Smart Buildings</t>
        </is>
      </c>
      <c r="E8" s="7" t="inlineStr">
        <is>
          <t>Pressac Communications</t>
        </is>
      </c>
      <c r="F8" s="8" t="inlineStr">
        <is>
          <t>Nottingham, England, UK</t>
        </is>
      </c>
      <c r="G8" s="8" t="n"/>
      <c r="H8" s="14" t="n"/>
      <c r="I8" s="15">
        <f>IF($H8="","",$H8-TODAY())</f>
        <v/>
      </c>
      <c r="J8" s="16" t="inlineStr">
        <is>
          <t>Open posting</t>
        </is>
      </c>
      <c r="K8" s="8" t="inlineStr">
        <is>
          <t>Strong IoT/LoRaWAN, STM32, Raspberry Pi, and embedded C/Python match; missing commercial firmware experience and specific IDE tools (STM32 IDE, Keil).</t>
        </is>
      </c>
      <c r="L8" s="17" t="inlineStr">
        <is>
          <t>new</t>
        </is>
      </c>
      <c r="M8" s="18" t="inlineStr"/>
      <c r="N8" s="7" t="inlineStr">
        <is>
          <t>aae6ade6b34a2ad208b86b4d2dad8ba09445fbbe</t>
        </is>
      </c>
      <c r="O8" s="14" t="n">
        <v>46189</v>
      </c>
      <c r="P8" s="7" t="inlineStr">
        <is>
          <t>jobspy</t>
        </is>
      </c>
      <c r="Q8" s="8" t="inlineStr">
        <is>
          <t>LoRaWAN, STM32, Raspberry Pi, Python, embedded systems</t>
        </is>
      </c>
      <c r="R8" s="8" t="inlineStr">
        <is>
          <t>Junior Embedded Software Engineer STM32</t>
        </is>
      </c>
      <c r="S8" s="19" t="n"/>
      <c r="T8" s="19" t="n"/>
      <c r="U8" s="14" t="n">
        <v>46192</v>
      </c>
      <c r="V8" s="7" t="inlineStr">
        <is>
          <t>v2-cv-accuracy-13b988b18da8ea7d</t>
        </is>
      </c>
    </row>
    <row r="9" ht="28" customHeight="1">
      <c r="A9" s="12">
        <f>IF($L9="applied","Applied",IF($L9="interview","Interview",IF($L9="offer","Offer",IF($L9="rejected","Rejected",IF($L9="ignore","Ignore",IF($L9="archive","Archive",IF($L9="closed","Closed",IF($B9="","Unscored",IF(AND($B9&gt;=8,OR($H9="",$H9-TODAY()&lt;=14)),"P1 Apply",IF($B9&gt;=7,"P2 Strong",IF($B9&gt;=5,"P3 Maybe","P4 Low")))))))))))</f>
        <v/>
      </c>
      <c r="B9" s="13" t="n">
        <v>7.2</v>
      </c>
      <c r="C9" s="12" t="inlineStr">
        <is>
          <t>Junior</t>
        </is>
      </c>
      <c r="D9" s="8" t="inlineStr">
        <is>
          <t>Digital Design Engineer (AP)</t>
        </is>
      </c>
      <c r="E9" s="7" t="inlineStr">
        <is>
          <t>Cirrus Logic</t>
        </is>
      </c>
      <c r="F9" s="8" t="inlineStr">
        <is>
          <t>Edinburgh, Scotland, UK</t>
        </is>
      </c>
      <c r="G9" s="8" t="n"/>
      <c r="H9" s="14" t="n"/>
      <c r="I9" s="15">
        <f>IF($H9="","",$H9-TODAY())</f>
        <v/>
      </c>
      <c r="J9" s="16" t="inlineStr">
        <is>
          <t>Open posting</t>
        </is>
      </c>
      <c r="K9" s="8" t="inlineStr">
        <is>
          <t>Verilog and FPGA skills match well; gaps in SystemVerilog, synthesis flows, CDC tools, and Edinburgh location adds friction.</t>
        </is>
      </c>
      <c r="L9" s="17" t="inlineStr">
        <is>
          <t>new</t>
        </is>
      </c>
      <c r="M9" s="18" t="inlineStr"/>
      <c r="N9" s="7" t="inlineStr">
        <is>
          <t>a1cc467249a00aa9b92d12e7648d43e8f69f41e6</t>
        </is>
      </c>
      <c r="O9" s="14" t="n">
        <v>46182</v>
      </c>
      <c r="P9" s="7" t="inlineStr">
        <is>
          <t>jobspy</t>
        </is>
      </c>
      <c r="Q9" s="8" t="inlineStr">
        <is>
          <t>Verilog, FPGA, Vivado, digital design, DSP</t>
        </is>
      </c>
      <c r="R9" s="8" t="inlineStr">
        <is>
          <t>Graduate Digital Design Engineer FPGA</t>
        </is>
      </c>
      <c r="S9" s="19" t="n"/>
      <c r="T9" s="19" t="n"/>
      <c r="U9" s="14" t="n">
        <v>46193</v>
      </c>
      <c r="V9" s="7" t="inlineStr">
        <is>
          <t>v2-cv-accuracy-13b988b18da8ea7d</t>
        </is>
      </c>
    </row>
    <row r="10" ht="28" customHeight="1">
      <c r="A10" s="12">
        <f>IF($L10="applied","Applied",IF($L10="interview","Interview",IF($L10="offer","Offer",IF($L10="rejected","Rejected",IF($L10="ignore","Ignore",IF($L10="archive","Archive",IF($L10="closed","Closed",IF($B10="","Unscored",IF(AND($B10&gt;=8,OR($H10="",$H10-TODAY()&lt;=14)),"P1 Apply",IF($B10&gt;=7,"P2 Strong",IF($B10&gt;=5,"P3 Maybe","P4 Low")))))))))))</f>
        <v/>
      </c>
      <c r="B10" s="13" t="n">
        <v>7.2</v>
      </c>
      <c r="C10" s="12" t="inlineStr">
        <is>
          <t>Senior/Lead</t>
        </is>
      </c>
      <c r="D10" s="8" t="inlineStr">
        <is>
          <t>Software Engineer</t>
        </is>
      </c>
      <c r="E10" s="7" t="inlineStr">
        <is>
          <t>Crowder Consulting</t>
        </is>
      </c>
      <c r="F10" s="8" t="inlineStr">
        <is>
          <t>Birkenhead, ENG, GB</t>
        </is>
      </c>
      <c r="G10" s="8" t="n"/>
      <c r="H10" s="14" t="n"/>
      <c r="I10" s="15">
        <f>IF($H10="","",$H10-TODAY())</f>
        <v/>
      </c>
      <c r="J10" s="16" t="inlineStr">
        <is>
          <t>Open posting</t>
        </is>
      </c>
      <c r="K10" s="8" t="inlineStr">
        <is>
          <t>Python, SQL, Docker, REST APIs, and backend dev match well; no Java or cloud-platform experience evident in profile.</t>
        </is>
      </c>
      <c r="L10" s="17" t="inlineStr">
        <is>
          <t>new</t>
        </is>
      </c>
      <c r="M10" s="18" t="inlineStr"/>
      <c r="N10" s="7" t="inlineStr">
        <is>
          <t>8bae9f5a399a163efc3fbe14a19862a5fa85f27a</t>
        </is>
      </c>
      <c r="O10" s="14" t="n">
        <v>46183</v>
      </c>
      <c r="P10" s="7" t="inlineStr">
        <is>
          <t>jobspy</t>
        </is>
      </c>
      <c r="Q10" s="8" t="inlineStr">
        <is>
          <t>Python, SQL, Docker, MySQL, REST APIs</t>
        </is>
      </c>
      <c r="R10" s="8" t="inlineStr">
        <is>
          <t>Graduate Software Engineer Python Docker</t>
        </is>
      </c>
      <c r="S10" s="19" t="n"/>
      <c r="T10" s="19" t="n"/>
      <c r="U10" s="14" t="n">
        <v>46193</v>
      </c>
      <c r="V10" s="7" t="inlineStr">
        <is>
          <t>v2-cv-accuracy-13b988b18da8ea7d</t>
        </is>
      </c>
    </row>
    <row r="11" ht="28" customHeight="1">
      <c r="A11" s="12">
        <f>IF($L11="applied","Applied",IF($L11="interview","Interview",IF($L11="offer","Offer",IF($L11="rejected","Rejected",IF($L11="ignore","Ignore",IF($L11="archive","Archive",IF($L11="closed","Closed",IF($B11="","Unscored",IF(AND($B11&gt;=8,OR($H11="",$H11-TODAY()&lt;=14)),"P1 Apply",IF($B11&gt;=7,"P2 Strong",IF($B11&gt;=5,"P3 Maybe","P4 Low")))))))))))</f>
        <v/>
      </c>
      <c r="B11" s="13" t="n">
        <v>7.2</v>
      </c>
      <c r="C11" s="12" t="inlineStr">
        <is>
          <t>Mid-level</t>
        </is>
      </c>
      <c r="D11" s="8" t="inlineStr">
        <is>
          <t>Verification Engineer (f/m/d)</t>
        </is>
      </c>
      <c r="E11" s="7" t="inlineStr">
        <is>
          <t>Renesas</t>
        </is>
      </c>
      <c r="F11" s="8" t="inlineStr">
        <is>
          <t>Edinburgh, SCT, GB</t>
        </is>
      </c>
      <c r="G11" s="8" t="n"/>
      <c r="H11" s="14" t="n"/>
      <c r="I11" s="15">
        <f>IF($H11="","",$H11-TODAY())</f>
        <v/>
      </c>
      <c r="J11" s="16" t="inlineStr">
        <is>
          <t>Open posting</t>
        </is>
      </c>
      <c r="K11" s="8" t="inlineStr">
        <is>
          <t>FPGA dissertation, Verilog, digital design, and Git strongly match; SystemVerilog/UVM not explicitly evidenced but role accepts academic FPGA experience.</t>
        </is>
      </c>
      <c r="L11" s="17" t="inlineStr">
        <is>
          <t>new</t>
        </is>
      </c>
      <c r="M11" s="18" t="inlineStr"/>
      <c r="N11" s="7" t="inlineStr">
        <is>
          <t>656ebc383881b04d4b39edc8c7c8498c5a04a43f</t>
        </is>
      </c>
      <c r="O11" s="14" t="n">
        <v>46185</v>
      </c>
      <c r="P11" s="7" t="inlineStr">
        <is>
          <t>jobspy</t>
        </is>
      </c>
      <c r="Q11" s="8" t="inlineStr">
        <is>
          <t>Verilog, FPGA, digital design, Python, Git</t>
        </is>
      </c>
      <c r="R11" s="8" t="inlineStr">
        <is>
          <t>Digital Design Engineer FPGA Verilog</t>
        </is>
      </c>
      <c r="S11" s="19" t="n"/>
      <c r="T11" s="19" t="n"/>
      <c r="U11" s="14" t="n">
        <v>46193</v>
      </c>
      <c r="V11" s="7" t="inlineStr">
        <is>
          <t>v2-cv-accuracy-13b988b18da8ea7d</t>
        </is>
      </c>
    </row>
    <row r="12" ht="28" customHeight="1">
      <c r="A12" s="12">
        <f>IF($L12="applied","Applied",IF($L12="interview","Interview",IF($L12="offer","Offer",IF($L12="rejected","Rejected",IF($L12="ignore","Ignore",IF($L12="archive","Archive",IF($L12="closed","Closed",IF($B12="","Unscored",IF(AND($B12&gt;=8,OR($H12="",$H12-TODAY()&lt;=14)),"P1 Apply",IF($B12&gt;=7,"P2 Strong",IF($B12&gt;=5,"P3 Maybe","P4 Low")))))))))))</f>
        <v/>
      </c>
      <c r="B12" s="13" t="n">
        <v>7</v>
      </c>
      <c r="C12" s="12" t="inlineStr">
        <is>
          <t>Junior</t>
        </is>
      </c>
      <c r="D12" s="8" t="inlineStr">
        <is>
          <t>Junior Full Stack Developer</t>
        </is>
      </c>
      <c r="E12" s="7" t="inlineStr">
        <is>
          <t>Haystack</t>
        </is>
      </c>
      <c r="F12" s="8" t="inlineStr">
        <is>
          <t>London, England, UK</t>
        </is>
      </c>
      <c r="G12" s="8" t="n"/>
      <c r="H12" s="14" t="n"/>
      <c r="I12" s="15">
        <f>IF($H12="","",$H12-TODAY())</f>
        <v/>
      </c>
      <c r="J12" s="16" t="inlineStr">
        <is>
          <t>Open posting</t>
        </is>
      </c>
      <c r="K12" s="8" t="inlineStr">
        <is>
          <t>JavaScript, React, Node.js, APIs and AWS match adjacent skills; fully remote suits profile; limited JD detail on seniority requirements.</t>
        </is>
      </c>
      <c r="L12" s="17" t="inlineStr">
        <is>
          <t>new</t>
        </is>
      </c>
      <c r="M12" s="18" t="inlineStr"/>
      <c r="N12" s="7" t="inlineStr">
        <is>
          <t>eacb8ba7c567f6e07699dc4724081786e55aecf1</t>
        </is>
      </c>
      <c r="O12" s="14" t="n"/>
      <c r="P12" s="7" t="inlineStr">
        <is>
          <t>jobspy</t>
        </is>
      </c>
      <c r="Q12" s="8" t="inlineStr">
        <is>
          <t>JavaScript, React, Node.js, REST APIs, AWS</t>
        </is>
      </c>
      <c r="R12" s="8" t="inlineStr">
        <is>
          <t>junior Graduate Software Developer</t>
        </is>
      </c>
      <c r="S12" s="19" t="n"/>
      <c r="T12" s="19" t="n"/>
      <c r="U12" s="14" t="n">
        <v>46192</v>
      </c>
      <c r="V12" s="7" t="inlineStr">
        <is>
          <t>v2-cv-accuracy-13b988b18da8ea7d</t>
        </is>
      </c>
    </row>
    <row r="13" ht="28" customHeight="1">
      <c r="A13" s="12">
        <f>IF($L13="applied","Applied",IF($L13="interview","Interview",IF($L13="offer","Offer",IF($L13="rejected","Rejected",IF($L13="ignore","Ignore",IF($L13="archive","Archive",IF($L13="closed","Closed",IF($B13="","Unscored",IF(AND($B13&gt;=8,OR($H13="",$H13-TODAY()&lt;=14)),"P1 Apply",IF($B13&gt;=7,"P2 Strong",IF($B13&gt;=5,"P3 Maybe","P4 Low")))))))))))</f>
        <v/>
      </c>
      <c r="B13" s="13" t="n">
        <v>7</v>
      </c>
      <c r="C13" s="12" t="inlineStr">
        <is>
          <t>Mid-level</t>
        </is>
      </c>
      <c r="D13" s="8" t="inlineStr">
        <is>
          <t>Software Engineer - Graduates Considered</t>
        </is>
      </c>
      <c r="E13" s="7" t="inlineStr">
        <is>
          <t>RedTech Recruitment</t>
        </is>
      </c>
      <c r="F13" s="8" t="inlineStr">
        <is>
          <t>London Area, United Kingdom</t>
        </is>
      </c>
      <c r="G13" s="8" t="n"/>
      <c r="H13" s="14" t="n"/>
      <c r="I13" s="15">
        <f>IF($H13="","",$H13-TODAY())</f>
        <v/>
      </c>
      <c r="J13" s="16" t="inlineStr">
        <is>
          <t>Open posting</t>
        </is>
      </c>
      <c r="K13" s="8" t="inlineStr">
        <is>
          <t>Graduate-level Python role matching core skills; Cambridge/London location is outside 60-mile radius but hybrid is partial mitigation.</t>
        </is>
      </c>
      <c r="L13" s="17" t="inlineStr">
        <is>
          <t>new</t>
        </is>
      </c>
      <c r="M13" s="18" t="inlineStr"/>
      <c r="N13" s="7" t="inlineStr">
        <is>
          <t>845cfaa77fa2493790127833cc58821b2ef358c5</t>
        </is>
      </c>
      <c r="O13" s="14" t="n"/>
      <c r="P13" s="7" t="inlineStr">
        <is>
          <t>jobspy</t>
        </is>
      </c>
      <c r="Q13" s="8" t="inlineStr">
        <is>
          <t>Python, Docker, JavaScript, Git</t>
        </is>
      </c>
      <c r="R13" s="8" t="inlineStr">
        <is>
          <t>Junior Python Developer Docker Kubernetes Sheffield</t>
        </is>
      </c>
      <c r="S13" s="19" t="n"/>
      <c r="T13" s="19" t="n"/>
      <c r="U13" s="14" t="n">
        <v>46192</v>
      </c>
      <c r="V13" s="7" t="inlineStr">
        <is>
          <t>v2-cv-accuracy-13b988b18da8ea7d</t>
        </is>
      </c>
    </row>
    <row r="14" ht="28" customHeight="1">
      <c r="A14" s="12">
        <f>IF($L14="applied","Applied",IF($L14="interview","Interview",IF($L14="offer","Offer",IF($L14="rejected","Rejected",IF($L14="ignore","Ignore",IF($L14="archive","Archive",IF($L14="closed","Closed",IF($B14="","Unscored",IF(AND($B14&gt;=8,OR($H14="",$H14-TODAY()&lt;=14)),"P1 Apply",IF($B14&gt;=7,"P2 Strong",IF($B14&gt;=5,"P3 Maybe","P4 Low")))))))))))</f>
        <v/>
      </c>
      <c r="B14" s="13" t="n">
        <v>7</v>
      </c>
      <c r="C14" s="12" t="inlineStr">
        <is>
          <t>Graduate/Entry</t>
        </is>
      </c>
      <c r="D14" s="8" t="inlineStr">
        <is>
          <t>Graduate Validation Engineer</t>
        </is>
      </c>
      <c r="E14" s="7" t="inlineStr">
        <is>
          <t>Cirrus Logic</t>
        </is>
      </c>
      <c r="F14" s="8" t="inlineStr">
        <is>
          <t>Edinburgh, Scotland, UK</t>
        </is>
      </c>
      <c r="G14" s="8" t="n"/>
      <c r="H14" s="14" t="n"/>
      <c r="I14" s="15">
        <f>IF($H14="","",$H14-TODAY())</f>
        <v/>
      </c>
      <c r="J14" s="16" t="inlineStr">
        <is>
          <t>Open posting</t>
        </is>
      </c>
      <c r="K14" s="8" t="inlineStr">
        <is>
          <t>Graduate validation role suits experience level; Python, FPGA, digital/mixed-signal debugging align, though PCB design and LabVIEW are minor gaps.</t>
        </is>
      </c>
      <c r="L14" s="17" t="inlineStr">
        <is>
          <t>new</t>
        </is>
      </c>
      <c r="M14" s="18" t="inlineStr"/>
      <c r="N14" s="7" t="inlineStr">
        <is>
          <t>3cd185f1454f7f595f7f6679e2076489236211aa</t>
        </is>
      </c>
      <c r="O14" s="14" t="n">
        <v>46170</v>
      </c>
      <c r="P14" s="7" t="inlineStr">
        <is>
          <t>jobspy</t>
        </is>
      </c>
      <c r="Q14" s="8" t="inlineStr">
        <is>
          <t>Python, FPGA, digital design, embedded systems, signal processing</t>
        </is>
      </c>
      <c r="R14" s="8" t="inlineStr">
        <is>
          <t>Graduate Verification Engineer Verilog digital</t>
        </is>
      </c>
      <c r="S14" s="19" t="n"/>
      <c r="T14" s="19" t="n"/>
      <c r="U14" s="14" t="n">
        <v>46192</v>
      </c>
      <c r="V14" s="7" t="inlineStr">
        <is>
          <t>v2-cv-accuracy-13b988b18da8ea7d</t>
        </is>
      </c>
    </row>
    <row r="15" ht="28" customHeight="1">
      <c r="A15" s="12">
        <f>IF($L15="applied","Applied",IF($L15="interview","Interview",IF($L15="offer","Offer",IF($L15="rejected","Rejected",IF($L15="ignore","Ignore",IF($L15="archive","Archive",IF($L15="closed","Closed",IF($B15="","Unscored",IF(AND($B15&gt;=8,OR($H15="",$H15-TODAY()&lt;=14)),"P1 Apply",IF($B15&gt;=7,"P2 Strong",IF($B15&gt;=5,"P3 Maybe","P4 Low")))))))))))</f>
        <v/>
      </c>
      <c r="B15" s="13" t="n">
        <v>6.5</v>
      </c>
      <c r="C15" s="12" t="inlineStr">
        <is>
          <t>Unspecified</t>
        </is>
      </c>
      <c r="D15" s="8" t="inlineStr">
        <is>
          <t>Embedded System Engineer</t>
        </is>
      </c>
      <c r="E15" s="7" t="inlineStr">
        <is>
          <t>Open Cosmos</t>
        </is>
      </c>
      <c r="F15" s="8" t="inlineStr">
        <is>
          <t>Harwell, England, UK</t>
        </is>
      </c>
      <c r="G15" s="8" t="n"/>
      <c r="H15" s="14" t="n"/>
      <c r="I15" s="15">
        <f>IF($H15="","",$H15-TODAY())</f>
        <v/>
      </c>
      <c r="J15" s="16" t="inlineStr">
        <is>
          <t>Open posting</t>
        </is>
      </c>
      <c r="K15" s="8" t="inlineStr">
        <is>
          <t>Verilog, FPGA, and embedded systems match well but C/C++ RTOS proficiency and fault-tolerant space-grade design are gaps.</t>
        </is>
      </c>
      <c r="L15" s="17" t="inlineStr">
        <is>
          <t>new</t>
        </is>
      </c>
      <c r="M15" s="18" t="inlineStr"/>
      <c r="N15" s="7" t="inlineStr">
        <is>
          <t>f799d76cb9290d22f3ddec958fb63c3911d1857e</t>
        </is>
      </c>
      <c r="O15" s="14" t="n">
        <v>46181</v>
      </c>
      <c r="P15" s="7" t="inlineStr">
        <is>
          <t>jobspy</t>
        </is>
      </c>
      <c r="Q15" s="8" t="inlineStr">
        <is>
          <t>Verilog, FPGA, embedded systems, Vivado, sensor integration</t>
        </is>
      </c>
      <c r="R15" s="8" t="inlineStr">
        <is>
          <t>Graduate Signal Processing Engineer DSP</t>
        </is>
      </c>
      <c r="S15" s="19" t="n"/>
      <c r="T15" s="19" t="n"/>
      <c r="U15" s="14" t="n">
        <v>46193</v>
      </c>
      <c r="V15" s="7" t="inlineStr">
        <is>
          <t>v2-cv-accuracy-13b988b18da8ea7d</t>
        </is>
      </c>
    </row>
    <row r="16" ht="28" customHeight="1">
      <c r="A16" s="12">
        <f>IF($L16="applied","Applied",IF($L16="interview","Interview",IF($L16="offer","Offer",IF($L16="rejected","Rejected",IF($L16="ignore","Ignore",IF($L16="archive","Archive",IF($L16="closed","Closed",IF($B16="","Unscored",IF(AND($B16&gt;=8,OR($H16="",$H16-TODAY()&lt;=14)),"P1 Apply",IF($B16&gt;=7,"P2 Strong",IF($B16&gt;=5,"P3 Maybe","P4 Low")))))))))))</f>
        <v/>
      </c>
      <c r="B16" s="13" t="n">
        <v>6.5</v>
      </c>
      <c r="C16" s="12" t="inlineStr">
        <is>
          <t>Junior</t>
        </is>
      </c>
      <c r="D16" s="8" t="inlineStr">
        <is>
          <t>Junior Platform Engineer</t>
        </is>
      </c>
      <c r="E16" s="7" t="inlineStr">
        <is>
          <t>Bud Systems</t>
        </is>
      </c>
      <c r="F16" s="8" t="inlineStr">
        <is>
          <t>Bristol, ENG, GB</t>
        </is>
      </c>
      <c r="G16" s="8" t="n"/>
      <c r="H16" s="14" t="n"/>
      <c r="I16" s="15">
        <f>IF($H16="","",$H16-TODAY())</f>
        <v/>
      </c>
      <c r="J16" s="16" t="inlineStr">
        <is>
          <t>Open posting</t>
        </is>
      </c>
      <c r="K16" s="8" t="inlineStr">
        <is>
          <t>Good match on Python, SQL, Docker, Kubernetes, Git and CI/CD; SC Clearance eligibility requirement is a potential flag not confirmed in profile.</t>
        </is>
      </c>
      <c r="L16" s="17" t="inlineStr">
        <is>
          <t>new</t>
        </is>
      </c>
      <c r="M16" s="18" t="inlineStr"/>
      <c r="N16" s="7" t="inlineStr">
        <is>
          <t>5b010348e00166189f6e1862022ed946d204e1bf</t>
        </is>
      </c>
      <c r="O16" s="14" t="n">
        <v>46181</v>
      </c>
      <c r="P16" s="7" t="inlineStr">
        <is>
          <t>jobspy</t>
        </is>
      </c>
      <c r="Q16" s="8" t="inlineStr">
        <is>
          <t>Python, SQL, Docker, Kubernetes, Git</t>
        </is>
      </c>
      <c r="R16" s="8" t="inlineStr">
        <is>
          <t>Junior Python Developer SQL Docker</t>
        </is>
      </c>
      <c r="S16" s="19" t="n"/>
      <c r="T16" s="19" t="n"/>
      <c r="U16" s="14" t="n">
        <v>46193</v>
      </c>
      <c r="V16" s="7" t="inlineStr">
        <is>
          <t>v2-cv-accuracy-13b988b18da8ea7d</t>
        </is>
      </c>
    </row>
    <row r="17" ht="28" customHeight="1">
      <c r="A17" s="12">
        <f>IF($L17="applied","Applied",IF($L17="interview","Interview",IF($L17="offer","Offer",IF($L17="rejected","Rejected",IF($L17="ignore","Ignore",IF($L17="archive","Archive",IF($L17="closed","Closed",IF($B17="","Unscored",IF(AND($B17&gt;=8,OR($H17="",$H17-TODAY()&lt;=14)),"P1 Apply",IF($B17&gt;=7,"P2 Strong",IF($B17&gt;=5,"P3 Maybe","P4 Low")))))))))))</f>
        <v/>
      </c>
      <c r="B17" s="13" t="n">
        <v>6.5</v>
      </c>
      <c r="C17" s="12" t="inlineStr">
        <is>
          <t>Unspecified</t>
        </is>
      </c>
      <c r="D17" s="8" t="inlineStr">
        <is>
          <t>Software Developer</t>
        </is>
      </c>
      <c r="E17" s="7" t="inlineStr">
        <is>
          <t>nan</t>
        </is>
      </c>
      <c r="F17" s="8" t="inlineStr">
        <is>
          <t>Harrow, ENG, GB</t>
        </is>
      </c>
      <c r="G17" s="8" t="n"/>
      <c r="H17" s="14" t="n"/>
      <c r="I17" s="15">
        <f>IF($H17="","",$H17-TODAY())</f>
        <v/>
      </c>
      <c r="J17" s="16" t="inlineStr">
        <is>
          <t>Open posting</t>
        </is>
      </c>
      <c r="K17" s="8" t="inlineStr">
        <is>
          <t>Python, SQL, Docker, Kubernetes, REST APIs, and JavaScript match well; fintech/banking domain and OAuth2/compliance experience are gaps.</t>
        </is>
      </c>
      <c r="L17" s="17" t="inlineStr">
        <is>
          <t>new</t>
        </is>
      </c>
      <c r="M17" s="18" t="inlineStr"/>
      <c r="N17" s="7" t="inlineStr">
        <is>
          <t>e0a174ff327047b93e55ad030810b3af8a33f165</t>
        </is>
      </c>
      <c r="O17" s="14" t="n">
        <v>46191</v>
      </c>
      <c r="P17" s="7" t="inlineStr">
        <is>
          <t>jobspy</t>
        </is>
      </c>
      <c r="Q17" s="8" t="inlineStr">
        <is>
          <t>Python, SQL, Docker, Kubernetes, JavaScript</t>
        </is>
      </c>
      <c r="R17" s="8" t="inlineStr">
        <is>
          <t>Platform Engineer Docker Kubernetes Python</t>
        </is>
      </c>
      <c r="S17" s="19" t="n"/>
      <c r="T17" s="19" t="n"/>
      <c r="U17" s="14" t="n">
        <v>46193</v>
      </c>
      <c r="V17" s="7" t="inlineStr">
        <is>
          <t>v2-cv-accuracy-13b988b18da8ea7d</t>
        </is>
      </c>
    </row>
    <row r="18" ht="28" customHeight="1">
      <c r="A18" s="12">
        <f>IF($L18="applied","Applied",IF($L18="interview","Interview",IF($L18="offer","Offer",IF($L18="rejected","Rejected",IF($L18="ignore","Ignore",IF($L18="archive","Archive",IF($L18="closed","Closed",IF($B18="","Unscored",IF(AND($B18&gt;=8,OR($H18="",$H18-TODAY()&lt;=14)),"P1 Apply",IF($B18&gt;=7,"P2 Strong",IF($B18&gt;=5,"P3 Maybe","P4 Low")))))))))))</f>
        <v/>
      </c>
      <c r="B18" s="13" t="n">
        <v>6.5</v>
      </c>
      <c r="C18" s="12" t="inlineStr">
        <is>
          <t>Mid-level</t>
        </is>
      </c>
      <c r="D18" s="8" t="inlineStr">
        <is>
          <t>Verification Engineer (f/m/d)</t>
        </is>
      </c>
      <c r="E18" s="7" t="inlineStr">
        <is>
          <t>Renesas Electronics</t>
        </is>
      </c>
      <c r="F18" s="8" t="inlineStr">
        <is>
          <t>Edinburgh, Scotland, UK</t>
        </is>
      </c>
      <c r="G18" s="8" t="n"/>
      <c r="H18" s="14" t="n"/>
      <c r="I18" s="15">
        <f>IF($H18="","",$H18-TODAY())</f>
        <v/>
      </c>
      <c r="J18" s="16" t="inlineStr">
        <is>
          <t>Open posting</t>
        </is>
      </c>
      <c r="K18" s="8" t="inlineStr">
        <is>
          <t>Verilog/FPGA ASIC verification role suits profile well; SystemVerilog/UVM gap exists but 2-5 years experience and graduate-level entry align well.</t>
        </is>
      </c>
      <c r="L18" s="17" t="inlineStr">
        <is>
          <t>new</t>
        </is>
      </c>
      <c r="M18" s="18" t="inlineStr"/>
      <c r="N18" s="7" t="inlineStr">
        <is>
          <t>5787a86335d01a78a4ce39707259868b05fb9d30</t>
        </is>
      </c>
      <c r="O18" s="14" t="n">
        <v>46185</v>
      </c>
      <c r="P18" s="7" t="inlineStr">
        <is>
          <t>jobspy</t>
        </is>
      </c>
      <c r="Q18" s="8" t="inlineStr">
        <is>
          <t>Verilog, FPGA, Python, Git, digital design</t>
        </is>
      </c>
      <c r="R18" s="8" t="inlineStr">
        <is>
          <t>Verification Engineer FPGA Verilog digital</t>
        </is>
      </c>
      <c r="S18" s="19" t="n"/>
      <c r="T18" s="19" t="n"/>
      <c r="U18" s="14" t="n">
        <v>46193</v>
      </c>
      <c r="V18" s="7" t="inlineStr">
        <is>
          <t>v2-cv-accuracy-13b988b18da8ea7d</t>
        </is>
      </c>
    </row>
    <row r="19" ht="28" customHeight="1">
      <c r="A19" s="12">
        <f>IF($L19="applied","Applied",IF($L19="interview","Interview",IF($L19="offer","Offer",IF($L19="rejected","Rejected",IF($L19="ignore","Ignore",IF($L19="archive","Archive",IF($L19="closed","Closed",IF($B19="","Unscored",IF(AND($B19&gt;=8,OR($H19="",$H19-TODAY()&lt;=14)),"P1 Apply",IF($B19&gt;=7,"P2 Strong",IF($B19&gt;=5,"P3 Maybe","P4 Low")))))))))))</f>
        <v/>
      </c>
      <c r="B19" s="13" t="n">
        <v>6.5</v>
      </c>
      <c r="C19" s="12" t="inlineStr">
        <is>
          <t>Unspecified</t>
        </is>
      </c>
      <c r="D19" s="8" t="inlineStr">
        <is>
          <t>Software Engineer</t>
        </is>
      </c>
      <c r="E19" s="7" t="inlineStr">
        <is>
          <t>GlobalLogic</t>
        </is>
      </c>
      <c r="F19" s="8" t="inlineStr">
        <is>
          <t>London Area, United Kingdom</t>
        </is>
      </c>
      <c r="G19" s="8" t="n"/>
      <c r="H19" s="14" t="n"/>
      <c r="I19" s="15">
        <f>IF($H19="","",$H19-TODAY())</f>
        <v/>
      </c>
      <c r="J19" s="16" t="inlineStr">
        <is>
          <t>Open posting</t>
        </is>
      </c>
      <c r="K19" s="8" t="inlineStr">
        <is>
          <t>Python, JavaScript, and REST APIs match core skills; role leans toward workflow automation and operations engineering, slightly off target but technically relevant.</t>
        </is>
      </c>
      <c r="L19" s="17" t="inlineStr">
        <is>
          <t>new</t>
        </is>
      </c>
      <c r="M19" s="18" t="inlineStr"/>
      <c r="N19" s="7" t="inlineStr">
        <is>
          <t>22cf1dd318a8ee52173e705cd10025b10315ad6c</t>
        </is>
      </c>
      <c r="O19" s="14" t="n">
        <v>46174</v>
      </c>
      <c r="P19" s="7" t="inlineStr">
        <is>
          <t>jobspy</t>
        </is>
      </c>
      <c r="Q19" s="8" t="inlineStr">
        <is>
          <t>Python, JavaScript, REST APIs, Git</t>
        </is>
      </c>
      <c r="R19" s="8" t="inlineStr">
        <is>
          <t>Junior Python Developer</t>
        </is>
      </c>
      <c r="S19" s="19" t="n"/>
      <c r="T19" s="19" t="n"/>
      <c r="U19" s="14" t="n">
        <v>46192</v>
      </c>
      <c r="V19" s="7" t="inlineStr">
        <is>
          <t>v2-cv-accuracy-13b988b18da8ea7d</t>
        </is>
      </c>
    </row>
    <row r="20" ht="28" customHeight="1">
      <c r="A20" s="12">
        <f>IF($L20="applied","Applied",IF($L20="interview","Interview",IF($L20="offer","Offer",IF($L20="rejected","Rejected",IF($L20="ignore","Ignore",IF($L20="archive","Archive",IF($L20="closed","Closed",IF($B20="","Unscored",IF(AND($B20&gt;=8,OR($H20="",$H20-TODAY()&lt;=14)),"P1 Apply",IF($B20&gt;=7,"P2 Strong",IF($B20&gt;=5,"P3 Maybe","P4 Low")))))))))))</f>
        <v/>
      </c>
      <c r="B20" s="13" t="n">
        <v>6.5</v>
      </c>
      <c r="C20" s="12" t="inlineStr">
        <is>
          <t>Unspecified</t>
        </is>
      </c>
      <c r="D20" s="8" t="inlineStr">
        <is>
          <t>Python / Django Developer</t>
        </is>
      </c>
      <c r="E20" s="7" t="inlineStr">
        <is>
          <t>Bright Purple</t>
        </is>
      </c>
      <c r="F20" s="8" t="inlineStr">
        <is>
          <t>Edinburgh, Scotland, UK</t>
        </is>
      </c>
      <c r="G20" s="8" t="n"/>
      <c r="H20" s="14" t="n"/>
      <c r="I20" s="15">
        <f>IF($H20="","",$H20-TODAY())</f>
        <v/>
      </c>
      <c r="J20" s="16" t="inlineStr">
        <is>
          <t>Open posting</t>
        </is>
      </c>
      <c r="K20" s="8" t="inlineStr">
        <is>
          <t>Python, Django, REST APIs, JavaScript match core skills; remote role above salary floor; JD is vague on seniority but implies more than 2 years.</t>
        </is>
      </c>
      <c r="L20" s="17" t="inlineStr">
        <is>
          <t>new</t>
        </is>
      </c>
      <c r="M20" s="18" t="inlineStr"/>
      <c r="N20" s="7" t="inlineStr">
        <is>
          <t>e9f1e76d6840bf343c7cfbe370f7d4ccb01b627d</t>
        </is>
      </c>
      <c r="O20" s="14" t="n"/>
      <c r="P20" s="7" t="inlineStr">
        <is>
          <t>jobspy</t>
        </is>
      </c>
      <c r="Q20" s="8" t="inlineStr">
        <is>
          <t>Python, Django, REST APIs, JavaScript, Git</t>
        </is>
      </c>
      <c r="R20" s="8" t="inlineStr">
        <is>
          <t>Junior Python Developer remote</t>
        </is>
      </c>
      <c r="S20" s="19" t="n"/>
      <c r="T20" s="19" t="n"/>
      <c r="U20" s="14" t="n">
        <v>46192</v>
      </c>
      <c r="V20" s="7" t="inlineStr">
        <is>
          <t>v2-cv-accuracy-13b988b18da8ea7d</t>
        </is>
      </c>
    </row>
    <row r="21" ht="28" customHeight="1">
      <c r="A21" s="12">
        <f>IF($L21="applied","Applied",IF($L21="interview","Interview",IF($L21="offer","Offer",IF($L21="rejected","Rejected",IF($L21="ignore","Ignore",IF($L21="archive","Archive",IF($L21="closed","Closed",IF($B21="","Unscored",IF(AND($B21&gt;=8,OR($H21="",$H21-TODAY()&lt;=14)),"P1 Apply",IF($B21&gt;=7,"P2 Strong",IF($B21&gt;=5,"P3 Maybe","P4 Low")))))))))))</f>
        <v/>
      </c>
      <c r="B21" s="13" t="n">
        <v>6.5</v>
      </c>
      <c r="C21" s="12" t="inlineStr">
        <is>
          <t>Unspecified</t>
        </is>
      </c>
      <c r="D21" s="8" t="inlineStr">
        <is>
          <t>Software Developer, Risk and Regulatory</t>
        </is>
      </c>
      <c r="E21" s="7" t="inlineStr">
        <is>
          <t>bet365</t>
        </is>
      </c>
      <c r="F21" s="8" t="inlineStr">
        <is>
          <t>Stoke-On-Trent, England, UK</t>
        </is>
      </c>
      <c r="G21" s="8" t="n"/>
      <c r="H21" s="14" t="n"/>
      <c r="I21" s="15">
        <f>IF($H21="","",$H21-TODAY())</f>
        <v/>
      </c>
      <c r="J21" s="16" t="inlineStr">
        <is>
          <t>Open posting</t>
        </is>
      </c>
      <c r="K21" s="8" t="inlineStr">
        <is>
          <t>JavaScript and SQL match; Golang is a hard requirement not in profile, and Typescript only adjacent; full-stack focus partially fits.</t>
        </is>
      </c>
      <c r="L21" s="17" t="inlineStr">
        <is>
          <t>new</t>
        </is>
      </c>
      <c r="M21" s="18" t="inlineStr"/>
      <c r="N21" s="7" t="inlineStr">
        <is>
          <t>13273956279b754cdc860371b472255926d98f29</t>
        </is>
      </c>
      <c r="O21" s="14" t="n"/>
      <c r="P21" s="7" t="inlineStr">
        <is>
          <t>jobspy</t>
        </is>
      </c>
      <c r="Q21" s="8" t="inlineStr">
        <is>
          <t>JavaScript, SQL, React, Linux, Agile</t>
        </is>
      </c>
      <c r="R21" s="8" t="inlineStr">
        <is>
          <t>graduate Full Stack Developer</t>
        </is>
      </c>
      <c r="S21" s="19" t="n"/>
      <c r="T21" s="19" t="n"/>
      <c r="U21" s="14" t="n">
        <v>46192</v>
      </c>
      <c r="V21" s="7" t="inlineStr">
        <is>
          <t>v2-cv-accuracy-13b988b18da8ea7d</t>
        </is>
      </c>
    </row>
    <row r="22" ht="28" customHeight="1">
      <c r="A22" s="12">
        <f>IF($L22="applied","Applied",IF($L22="interview","Interview",IF($L22="offer","Offer",IF($L22="rejected","Rejected",IF($L22="ignore","Ignore",IF($L22="archive","Archive",IF($L22="closed","Closed",IF($B22="","Unscored",IF(AND($B22&gt;=8,OR($H22="",$H22-TODAY()&lt;=14)),"P1 Apply",IF($B22&gt;=7,"P2 Strong",IF($B22&gt;=5,"P3 Maybe","P4 Low")))))))))))</f>
        <v/>
      </c>
      <c r="B22" s="13" t="n">
        <v>6.5</v>
      </c>
      <c r="C22" s="12" t="inlineStr">
        <is>
          <t>Senior/Lead</t>
        </is>
      </c>
      <c r="D22" s="8" t="inlineStr">
        <is>
          <t>Embedded Digital Design Engineer</t>
        </is>
      </c>
      <c r="E22" s="7" t="inlineStr">
        <is>
          <t>MBDA</t>
        </is>
      </c>
      <c r="F22" s="8" t="inlineStr">
        <is>
          <t>Stevenage, England, UK</t>
        </is>
      </c>
      <c r="G22" s="8" t="n"/>
      <c r="H22" s="14" t="n"/>
      <c r="I22" s="15">
        <f>IF($H22="","",$H22-TODAY())</f>
        <v/>
      </c>
      <c r="J22" s="16" t="inlineStr">
        <is>
          <t>Open posting</t>
        </is>
      </c>
      <c r="K22" s="8" t="inlineStr">
        <is>
          <t>FPGA, Verilog, Vivado, DSP, and embedded systems directly match core skills; salary ~£50-60k is above floor but role may expect more experience than 2 years.</t>
        </is>
      </c>
      <c r="L22" s="17" t="inlineStr">
        <is>
          <t>new</t>
        </is>
      </c>
      <c r="M22" s="18" t="inlineStr"/>
      <c r="N22" s="7" t="inlineStr">
        <is>
          <t>04114849b6056cbc526a993d041db9e0cf911b97</t>
        </is>
      </c>
      <c r="O22" s="14" t="n">
        <v>46177</v>
      </c>
      <c r="P22" s="7" t="inlineStr">
        <is>
          <t>jobspy</t>
        </is>
      </c>
      <c r="Q22" s="8" t="inlineStr">
        <is>
          <t>FPGA, Verilog, Vivado, embedded systems, DSP</t>
        </is>
      </c>
      <c r="R22" s="8" t="inlineStr">
        <is>
          <t>Junior Hardware Engineer embedded digital design UK</t>
        </is>
      </c>
      <c r="S22" s="19" t="n"/>
      <c r="T22" s="19" t="n"/>
      <c r="U22" s="14" t="n">
        <v>46192</v>
      </c>
      <c r="V22" s="7" t="inlineStr">
        <is>
          <t>v2-cv-accuracy-13b988b18da8ea7d</t>
        </is>
      </c>
    </row>
    <row r="23" ht="28" customHeight="1">
      <c r="A23" s="12">
        <f>IF($L23="applied","Applied",IF($L23="interview","Interview",IF($L23="offer","Offer",IF($L23="rejected","Rejected",IF($L23="ignore","Ignore",IF($L23="archive","Archive",IF($L23="closed","Closed",IF($B23="","Unscored",IF(AND($B23&gt;=8,OR($H23="",$H23-TODAY()&lt;=14)),"P1 Apply",IF($B23&gt;=7,"P2 Strong",IF($B23&gt;=5,"P3 Maybe","P4 Low")))))))))))</f>
        <v/>
      </c>
      <c r="B23" s="13" t="n">
        <v>6.5</v>
      </c>
      <c r="C23" s="12" t="inlineStr">
        <is>
          <t>Graduate/Entry</t>
        </is>
      </c>
      <c r="D23" s="8" t="inlineStr">
        <is>
          <t>Graduate Platform Engineer</t>
        </is>
      </c>
      <c r="E23" s="7" t="inlineStr">
        <is>
          <t>Lean Tree</t>
        </is>
      </c>
      <c r="F23" s="8" t="inlineStr">
        <is>
          <t>London Area, United Kingdom</t>
        </is>
      </c>
      <c r="G23" s="8" t="n"/>
      <c r="H23" s="14" t="n"/>
      <c r="I23" s="15">
        <f>IF($H23="","",$H23-TODAY())</f>
        <v/>
      </c>
      <c r="J23" s="16" t="inlineStr">
        <is>
          <t>Open posting</t>
        </is>
      </c>
      <c r="K23" s="8" t="inlineStr">
        <is>
          <t>Graduate platform/cloud role matches level and some skills (Docker, Kubernetes, CI/CD, Git) but cloud infrastructure and IaC experience are absent from profile.</t>
        </is>
      </c>
      <c r="L23" s="17" t="inlineStr">
        <is>
          <t>new</t>
        </is>
      </c>
      <c r="M23" s="18" t="inlineStr"/>
      <c r="N23" s="7" t="inlineStr">
        <is>
          <t>f48697877b5a0b3d7ebb77639619f9e6e0a7e519</t>
        </is>
      </c>
      <c r="O23" s="14" t="n">
        <v>46170</v>
      </c>
      <c r="P23" s="7" t="inlineStr">
        <is>
          <t>jobspy</t>
        </is>
      </c>
      <c r="Q23" s="8" t="inlineStr">
        <is>
          <t>Docker, Kubernetes, Git, CI/CD, Python</t>
        </is>
      </c>
      <c r="R23" s="8" t="inlineStr">
        <is>
          <t>Graduate DevOps Engineer Docker Kubernetes Python</t>
        </is>
      </c>
      <c r="S23" s="19" t="n"/>
      <c r="T23" s="19" t="n"/>
      <c r="U23" s="14" t="n">
        <v>46192</v>
      </c>
      <c r="V23" s="7" t="inlineStr">
        <is>
          <t>v2-cv-accuracy-13b988b18da8ea7d</t>
        </is>
      </c>
    </row>
    <row r="24" ht="28" customHeight="1">
      <c r="A24" s="12">
        <f>IF($L24="applied","Applied",IF($L24="interview","Interview",IF($L24="offer","Offer",IF($L24="rejected","Rejected",IF($L24="ignore","Ignore",IF($L24="archive","Archive",IF($L24="closed","Closed",IF($B24="","Unscored",IF(AND($B24&gt;=8,OR($H24="",$H24-TODAY()&lt;=14)),"P1 Apply",IF($B24&gt;=7,"P2 Strong",IF($B24&gt;=5,"P3 Maybe","P4 Low")))))))))))</f>
        <v/>
      </c>
      <c r="B24" s="13" t="n">
        <v>6.2</v>
      </c>
      <c r="C24" s="12" t="inlineStr">
        <is>
          <t>Unspecified</t>
        </is>
      </c>
      <c r="D24" s="8" t="inlineStr">
        <is>
          <t>Software Engineer</t>
        </is>
      </c>
      <c r="E24" s="7" t="inlineStr">
        <is>
          <t>SRG</t>
        </is>
      </c>
      <c r="F24" s="8" t="inlineStr">
        <is>
          <t>Sedgefield, England, UK</t>
        </is>
      </c>
      <c r="G24" s="8" t="n"/>
      <c r="H24" s="14" t="n"/>
      <c r="I24" s="15">
        <f>IF($H24="","",$H24-TODAY())</f>
        <v/>
      </c>
      <c r="J24" s="16" t="inlineStr">
        <is>
          <t>Open posting</t>
        </is>
      </c>
      <c r="K24" s="8" t="inlineStr">
        <is>
          <t>Python, React, Node.js, sensor/hardware integration align well, but role is Sedgefield (outside 60mi radius) and salary above floor; AI/ML gaps minor.</t>
        </is>
      </c>
      <c r="L24" s="17" t="inlineStr">
        <is>
          <t>new</t>
        </is>
      </c>
      <c r="M24" s="18" t="inlineStr"/>
      <c r="N24" s="7" t="inlineStr">
        <is>
          <t>021546f4b2a5689f8452010b141d19155033ed6d</t>
        </is>
      </c>
      <c r="O24" s="14" t="n">
        <v>46183</v>
      </c>
      <c r="P24" s="7" t="inlineStr">
        <is>
          <t>jobspy</t>
        </is>
      </c>
      <c r="Q24" s="8" t="inlineStr">
        <is>
          <t>Python, React, Node.js, sensor integration, embedded systems</t>
        </is>
      </c>
      <c r="R24" s="8" t="inlineStr">
        <is>
          <t>Firmware Engineer Raspberry Pi embedded</t>
        </is>
      </c>
      <c r="S24" s="19" t="n"/>
      <c r="T24" s="19" t="n"/>
      <c r="U24" s="14" t="n">
        <v>46192</v>
      </c>
      <c r="V24" s="7" t="inlineStr">
        <is>
          <t>v2-cv-accuracy-13b988b18da8ea7d</t>
        </is>
      </c>
    </row>
    <row r="25" ht="28" customHeight="1">
      <c r="A25" s="12">
        <f>IF($L25="applied","Applied",IF($L25="interview","Interview",IF($L25="offer","Offer",IF($L25="rejected","Rejected",IF($L25="ignore","Ignore",IF($L25="archive","Archive",IF($L25="closed","Closed",IF($B25="","Unscored",IF(AND($B25&gt;=8,OR($H25="",$H25-TODAY()&lt;=14)),"P1 Apply",IF($B25&gt;=7,"P2 Strong",IF($B25&gt;=5,"P3 Maybe","P4 Low")))))))))))</f>
        <v/>
      </c>
      <c r="B25" s="13" t="n">
        <v>6</v>
      </c>
      <c r="C25" s="12" t="inlineStr">
        <is>
          <t>Unspecified</t>
        </is>
      </c>
      <c r="D25" s="8" t="inlineStr">
        <is>
          <t>Software Engineer - Birkenhead</t>
        </is>
      </c>
      <c r="E25" s="7" t="inlineStr">
        <is>
          <t>Crowder Consulting</t>
        </is>
      </c>
      <c r="F25" s="8" t="inlineStr">
        <is>
          <t>Birkenhead, ENG, GB</t>
        </is>
      </c>
      <c r="G25" s="8" t="n"/>
      <c r="H25" s="14" t="n"/>
      <c r="I25" s="15">
        <f>IF($H25="","",$H25-TODAY())</f>
        <v/>
      </c>
      <c r="J25" s="16" t="inlineStr">
        <is>
          <t>Open posting</t>
        </is>
      </c>
      <c r="K25" s="8" t="inlineStr">
        <is>
          <t>Python, MySQL, Docker, APIs and CI/CD match well; Birkenhead location is ~70 miles from Sheffield, slightly outside search radius with hybrid working.</t>
        </is>
      </c>
      <c r="L25" s="17" t="inlineStr">
        <is>
          <t>new</t>
        </is>
      </c>
      <c r="M25" s="18" t="inlineStr"/>
      <c r="N25" s="7" t="inlineStr">
        <is>
          <t>97a37e8d5532300b5982e90ab78f83ac7ba8e4c3</t>
        </is>
      </c>
      <c r="O25" s="14" t="n">
        <v>46183</v>
      </c>
      <c r="P25" s="7" t="inlineStr">
        <is>
          <t>jobspy</t>
        </is>
      </c>
      <c r="Q25" s="8" t="inlineStr">
        <is>
          <t>Python, MySQL, Docker, API integration, JavaScript</t>
        </is>
      </c>
      <c r="R25" s="8" t="inlineStr">
        <is>
          <t>Graduate Software Engineer Python Docker</t>
        </is>
      </c>
      <c r="S25" s="19" t="n"/>
      <c r="T25" s="19" t="n"/>
      <c r="U25" s="14" t="n">
        <v>46193</v>
      </c>
      <c r="V25" s="7" t="inlineStr">
        <is>
          <t>v2-cv-accuracy-13b988b18da8ea7d</t>
        </is>
      </c>
    </row>
    <row r="26" ht="28" customHeight="1">
      <c r="A26" s="12">
        <f>IF($L26="applied","Applied",IF($L26="interview","Interview",IF($L26="offer","Offer",IF($L26="rejected","Rejected",IF($L26="ignore","Ignore",IF($L26="archive","Archive",IF($L26="closed","Closed",IF($B26="","Unscored",IF(AND($B26&gt;=8,OR($H26="",$H26-TODAY()&lt;=14)),"P1 Apply",IF($B26&gt;=7,"P2 Strong",IF($B26&gt;=5,"P3 Maybe","P4 Low")))))))))))</f>
        <v/>
      </c>
      <c r="B26" s="13" t="n">
        <v>6</v>
      </c>
      <c r="C26" s="12" t="inlineStr">
        <is>
          <t>Mid-level</t>
        </is>
      </c>
      <c r="D26" s="8" t="inlineStr">
        <is>
          <t>Public Cloud Assistant Infrastructure Engineer</t>
        </is>
      </c>
      <c r="E26" s="7" t="inlineStr">
        <is>
          <t>Lloyds Banking Group</t>
        </is>
      </c>
      <c r="F26" s="8" t="inlineStr">
        <is>
          <t>Leeds, England, UK</t>
        </is>
      </c>
      <c r="G26" s="8" t="n"/>
      <c r="H26" s="14" t="n"/>
      <c r="I26" s="15">
        <f>IF($H26="","",$H26-TODAY())</f>
        <v/>
      </c>
      <c r="J26" s="16" t="inlineStr">
        <is>
          <t>Open posting</t>
        </is>
      </c>
      <c r="K26" s="8" t="inlineStr">
        <is>
          <t>Kubernetes, Docker, Python, and CI/CD adjacent skills match this assistant-level cloud role; Terraform and Azure-specific experience are gaps but role suits a junior.</t>
        </is>
      </c>
      <c r="L26" s="17" t="inlineStr">
        <is>
          <t>new</t>
        </is>
      </c>
      <c r="M26" s="18" t="inlineStr"/>
      <c r="N26" s="7" t="inlineStr">
        <is>
          <t>899ac74c5d9863d95f709d93dbedc72db0bdb9c4</t>
        </is>
      </c>
      <c r="O26" s="14" t="n">
        <v>46184</v>
      </c>
      <c r="P26" s="7" t="inlineStr">
        <is>
          <t>jobspy</t>
        </is>
      </c>
      <c r="Q26" s="8" t="inlineStr">
        <is>
          <t>Docker, Kubernetes, Python, CI/CD, API integration</t>
        </is>
      </c>
      <c r="R26" s="8" t="inlineStr">
        <is>
          <t>Graduate Computer Engineer Sheffield</t>
        </is>
      </c>
      <c r="S26" s="19" t="n"/>
      <c r="T26" s="19" t="n"/>
      <c r="U26" s="14" t="n">
        <v>46193</v>
      </c>
      <c r="V26" s="7" t="inlineStr">
        <is>
          <t>v2-cv-accuracy-13b988b18da8ea7d</t>
        </is>
      </c>
    </row>
    <row r="27" ht="28" customHeight="1">
      <c r="A27" s="12">
        <f>IF($L27="applied","Applied",IF($L27="interview","Interview",IF($L27="offer","Offer",IF($L27="rejected","Rejected",IF($L27="ignore","Ignore",IF($L27="archive","Archive",IF($L27="closed","Closed",IF($B27="","Unscored",IF(AND($B27&gt;=8,OR($H27="",$H27-TODAY()&lt;=14)),"P1 Apply",IF($B27&gt;=7,"P2 Strong",IF($B27&gt;=5,"P3 Maybe","P4 Low")))))))))))</f>
        <v/>
      </c>
      <c r="B27" s="13" t="n">
        <v>6</v>
      </c>
      <c r="C27" s="12" t="inlineStr">
        <is>
          <t>Graduate/Entry</t>
        </is>
      </c>
      <c r="D27" s="8" t="inlineStr">
        <is>
          <t>Graduate Software Engineer</t>
        </is>
      </c>
      <c r="E27" s="7" t="inlineStr">
        <is>
          <t>targetjobs UK</t>
        </is>
      </c>
      <c r="F27" s="8" t="inlineStr">
        <is>
          <t>Gloucester, England, UK</t>
        </is>
      </c>
      <c r="G27" s="8" t="n"/>
      <c r="H27" s="14" t="n"/>
      <c r="I27" s="15">
        <f>IF($H27="","",$H27-TODAY())</f>
        <v/>
      </c>
      <c r="J27" s="16" t="inlineStr">
        <is>
          <t>Open posting</t>
        </is>
      </c>
      <c r="K27" s="8" t="inlineStr">
        <is>
          <t>Graduate SE role matches level and Python/JS/SQL skills, but Gloucester location exceeds 60-mile radius and defence context may require clearance.</t>
        </is>
      </c>
      <c r="L27" s="17" t="inlineStr">
        <is>
          <t>new</t>
        </is>
      </c>
      <c r="M27" s="18" t="inlineStr"/>
      <c r="N27" s="7" t="inlineStr">
        <is>
          <t>6f837dcdbfc2a939261956a535b2913948fce8d3</t>
        </is>
      </c>
      <c r="O27" s="14" t="n"/>
      <c r="P27" s="7" t="inlineStr">
        <is>
          <t>jobspy</t>
        </is>
      </c>
      <c r="Q27" s="8" t="inlineStr">
        <is>
          <t>Python, JavaScript, Agile, Git, PostgreSQL</t>
        </is>
      </c>
      <c r="R27" s="8" t="inlineStr">
        <is>
          <t>graduate Graduate Software Developer</t>
        </is>
      </c>
      <c r="S27" s="19" t="n"/>
      <c r="T27" s="19" t="n"/>
      <c r="U27" s="14" t="n">
        <v>46192</v>
      </c>
      <c r="V27" s="7" t="inlineStr">
        <is>
          <t>v2-cv-accuracy-13b988b18da8ea7d</t>
        </is>
      </c>
    </row>
    <row r="28" ht="28" customHeight="1">
      <c r="A28" s="12">
        <f>IF($L28="applied","Applied",IF($L28="interview","Interview",IF($L28="offer","Offer",IF($L28="rejected","Rejected",IF($L28="ignore","Ignore",IF($L28="archive","Archive",IF($L28="closed","Closed",IF($B28="","Unscored",IF(AND($B28&gt;=8,OR($H28="",$H28-TODAY()&lt;=14)),"P1 Apply",IF($B28&gt;=7,"P2 Strong",IF($B28&gt;=5,"P3 Maybe","P4 Low")))))))))))</f>
        <v/>
      </c>
      <c r="B28" s="13" t="n">
        <v>5.5</v>
      </c>
      <c r="C28" s="12" t="inlineStr">
        <is>
          <t>Unspecified</t>
        </is>
      </c>
      <c r="D28" s="8" t="inlineStr">
        <is>
          <t>Digital Signal Processing DSP Engineer</t>
        </is>
      </c>
      <c r="E28" s="7" t="inlineStr">
        <is>
          <t>Lockheed Martin</t>
        </is>
      </c>
      <c r="F28" s="8" t="inlineStr">
        <is>
          <t>Gloucester, England, UK</t>
        </is>
      </c>
      <c r="G28" s="8" t="n"/>
      <c r="H28" s="14" t="n"/>
      <c r="I28" s="15">
        <f>IF($H28="","",$H28-TODAY())</f>
        <v/>
      </c>
      <c r="J28" s="16" t="inlineStr">
        <is>
          <t>Open posting</t>
        </is>
      </c>
      <c r="K28" s="8" t="inlineStr">
        <is>
          <t>DSP and signal processing skills align, but role requires RF/SDR reverse engineering experience absent from profile; Gloucester location is outside 60-mile radius.</t>
        </is>
      </c>
      <c r="L28" s="17" t="inlineStr">
        <is>
          <t>new</t>
        </is>
      </c>
      <c r="M28" s="18" t="inlineStr"/>
      <c r="N28" s="7" t="inlineStr">
        <is>
          <t>c3cbea0593f8cfedd9b79713be21af12a5d44922</t>
        </is>
      </c>
      <c r="O28" s="14" t="n">
        <v>46175</v>
      </c>
      <c r="P28" s="7" t="inlineStr">
        <is>
          <t>jobspy</t>
        </is>
      </c>
      <c r="Q28" s="8" t="inlineStr">
        <is>
          <t>DSP, Python, C, signal processing, digital design</t>
        </is>
      </c>
      <c r="R28" s="8" t="inlineStr">
        <is>
          <t>Graduate Signal Processing Engineer DSP</t>
        </is>
      </c>
      <c r="S28" s="19" t="n"/>
      <c r="T28" s="19" t="n"/>
      <c r="U28" s="14" t="n">
        <v>46193</v>
      </c>
      <c r="V28" s="7" t="inlineStr">
        <is>
          <t>v2-cv-accuracy-13b988b18da8ea7d</t>
        </is>
      </c>
    </row>
    <row r="29" ht="28" customHeight="1">
      <c r="A29" s="12">
        <f>IF($L29="applied","Applied",IF($L29="interview","Interview",IF($L29="offer","Offer",IF($L29="rejected","Rejected",IF($L29="ignore","Ignore",IF($L29="archive","Archive",IF($L29="closed","Closed",IF($B29="","Unscored",IF(AND($B29&gt;=8,OR($H29="",$H29-TODAY()&lt;=14)),"P1 Apply",IF($B29&gt;=7,"P2 Strong",IF($B29&gt;=5,"P3 Maybe","P4 Low")))))))))))</f>
        <v/>
      </c>
      <c r="B29" s="13" t="n">
        <v>5.5</v>
      </c>
      <c r="C29" s="12" t="inlineStr">
        <is>
          <t>Unspecified</t>
        </is>
      </c>
      <c r="D29" s="8" t="inlineStr">
        <is>
          <t>Field-Programmable Gate Arrays Engineer</t>
        </is>
      </c>
      <c r="E29" s="7" t="inlineStr">
        <is>
          <t>AAA Global</t>
        </is>
      </c>
      <c r="F29" s="8" t="inlineStr">
        <is>
          <t>England, United Kingdom</t>
        </is>
      </c>
      <c r="G29" s="8" t="n"/>
      <c r="H29" s="14" t="n"/>
      <c r="I29" s="15">
        <f>IF($H29="","",$H29-TODAY())</f>
        <v/>
      </c>
      <c r="J29" s="16" t="inlineStr">
        <is>
          <t>Open posting</t>
        </is>
      </c>
      <c r="K29" s="8" t="inlineStr">
        <is>
          <t>FPGA dissertation and Verilog are directly relevant, but role requires professional FPGA/ASIC experience and C++, which the profile lacks.</t>
        </is>
      </c>
      <c r="L29" s="17" t="inlineStr">
        <is>
          <t>new</t>
        </is>
      </c>
      <c r="M29" s="18" t="inlineStr"/>
      <c r="N29" s="7" t="inlineStr">
        <is>
          <t>1d66456f6a8ff61c8aaaa086e50cb68c8646cc0c</t>
        </is>
      </c>
      <c r="O29" s="14" t="n">
        <v>46185</v>
      </c>
      <c r="P29" s="7" t="inlineStr">
        <is>
          <t>jobspy</t>
        </is>
      </c>
      <c r="Q29" s="8" t="inlineStr">
        <is>
          <t>FPGA, Verilog, Vivado, digital design, Python</t>
        </is>
      </c>
      <c r="R29" s="8" t="inlineStr">
        <is>
          <t>Hardware Engineer graduate FPGA digital design</t>
        </is>
      </c>
      <c r="S29" s="19" t="n"/>
      <c r="T29" s="19" t="n"/>
      <c r="U29" s="14" t="n">
        <v>46193</v>
      </c>
      <c r="V29" s="7" t="inlineStr">
        <is>
          <t>v2-cv-accuracy-13b988b18da8ea7d</t>
        </is>
      </c>
    </row>
    <row r="30" ht="28" customHeight="1">
      <c r="A30" s="12">
        <f>IF($L30="applied","Applied",IF($L30="interview","Interview",IF($L30="offer","Offer",IF($L30="rejected","Rejected",IF($L30="ignore","Ignore",IF($L30="archive","Archive",IF($L30="closed","Closed",IF($B30="","Unscored",IF(AND($B30&gt;=8,OR($H30="",$H30-TODAY()&lt;=14)),"P1 Apply",IF($B30&gt;=7,"P2 Strong",IF($B30&gt;=5,"P3 Maybe","P4 Low")))))))))))</f>
        <v/>
      </c>
      <c r="B30" s="13" t="n">
        <v>5.5</v>
      </c>
      <c r="C30" s="12" t="inlineStr">
        <is>
          <t>Unspecified</t>
        </is>
      </c>
      <c r="D30" s="8" t="inlineStr">
        <is>
          <t>Software Engineer (Yocto / Buildroot) – Next-Generation Space Tech</t>
        </is>
      </c>
      <c r="E30" s="7" t="inlineStr">
        <is>
          <t>GTS Group Ltd</t>
        </is>
      </c>
      <c r="F30" s="8" t="inlineStr">
        <is>
          <t>Loughborough, England, UK</t>
        </is>
      </c>
      <c r="G30" s="8" t="n"/>
      <c r="H30" s="14" t="n"/>
      <c r="I30" s="15">
        <f>IF($H30="","",$H30-TODAY())</f>
        <v/>
      </c>
      <c r="J30" s="16" t="inlineStr">
        <is>
          <t>Open posting</t>
        </is>
      </c>
      <c r="K30" s="8" t="inlineStr">
        <is>
          <t>IoT and embedded systems overlap, but Yocto/Buildroot and bootloader dev are missing from profile; on-site Loughborough may exceed 60-mile radius.</t>
        </is>
      </c>
      <c r="L30" s="17" t="inlineStr">
        <is>
          <t>new</t>
        </is>
      </c>
      <c r="M30" s="18" t="inlineStr"/>
      <c r="N30" s="7" t="inlineStr">
        <is>
          <t>36fc034bb9c49f538199e3290b6484188c50243d</t>
        </is>
      </c>
      <c r="O30" s="14" t="n">
        <v>46174</v>
      </c>
      <c r="P30" s="7" t="inlineStr">
        <is>
          <t>jobspy</t>
        </is>
      </c>
      <c r="Q30" s="8" t="inlineStr">
        <is>
          <t>IoT, STM32, Python, embedded systems, LoRaWAN</t>
        </is>
      </c>
      <c r="R30" s="8" t="inlineStr">
        <is>
          <t>Firmware Engineer Embedded C Microcontroller</t>
        </is>
      </c>
      <c r="S30" s="19" t="n"/>
      <c r="T30" s="19" t="n"/>
      <c r="U30" s="14" t="n">
        <v>46193</v>
      </c>
      <c r="V30" s="7" t="inlineStr">
        <is>
          <t>v2-cv-accuracy-13b988b18da8ea7d</t>
        </is>
      </c>
    </row>
    <row r="31" ht="28" customHeight="1">
      <c r="A31" s="12">
        <f>IF($L31="applied","Applied",IF($L31="interview","Interview",IF($L31="offer","Offer",IF($L31="rejected","Rejected",IF($L31="ignore","Ignore",IF($L31="archive","Archive",IF($L31="closed","Closed",IF($B31="","Unscored",IF(AND($B31&gt;=8,OR($H31="",$H31-TODAY()&lt;=14)),"P1 Apply",IF($B31&gt;=7,"P2 Strong",IF($B31&gt;=5,"P3 Maybe","P4 Low")))))))))))</f>
        <v/>
      </c>
      <c r="B31" s="13" t="n">
        <v>5.5</v>
      </c>
      <c r="C31" s="12" t="inlineStr">
        <is>
          <t>Unspecified</t>
        </is>
      </c>
      <c r="D31" s="8" t="inlineStr">
        <is>
          <t>Embedded Software Engineer (LDN)</t>
        </is>
      </c>
      <c r="E31" s="7" t="inlineStr">
        <is>
          <t>Cirrus Logic</t>
        </is>
      </c>
      <c r="F31" s="8" t="inlineStr">
        <is>
          <t>London, England, UK</t>
        </is>
      </c>
      <c r="G31" s="8" t="n"/>
      <c r="H31" s="14" t="n"/>
      <c r="I31" s="15">
        <f>IF($H31="","",$H31-TODAY())</f>
        <v/>
      </c>
      <c r="J31" s="16" t="inlineStr">
        <is>
          <t>Open posting</t>
        </is>
      </c>
      <c r="K31" s="8" t="inlineStr">
        <is>
          <t>Strong embedded/DSP/FPGA alignment but role requires professional C/C++ MCU firmware experience beyond candidate's academic level.</t>
        </is>
      </c>
      <c r="L31" s="17" t="inlineStr">
        <is>
          <t>new</t>
        </is>
      </c>
      <c r="M31" s="18" t="inlineStr"/>
      <c r="N31" s="7" t="inlineStr">
        <is>
          <t>864164eb4888b72b85c23bec7ce000d613957a63</t>
        </is>
      </c>
      <c r="O31" s="14" t="n">
        <v>46187</v>
      </c>
      <c r="P31" s="7" t="inlineStr">
        <is>
          <t>jobspy</t>
        </is>
      </c>
      <c r="Q31" s="8" t="inlineStr">
        <is>
          <t>embedded systems, DSP, FPGA, C, digital design</t>
        </is>
      </c>
      <c r="R31" s="8" t="inlineStr">
        <is>
          <t>Embedded Systems Engineer FPGA DSP</t>
        </is>
      </c>
      <c r="S31" s="19" t="n"/>
      <c r="T31" s="19" t="n"/>
      <c r="U31" s="14" t="n">
        <v>46193</v>
      </c>
      <c r="V31" s="7" t="inlineStr">
        <is>
          <t>v2-cv-accuracy-13b988b18da8ea7d</t>
        </is>
      </c>
    </row>
    <row r="32" ht="28" customHeight="1">
      <c r="A32" s="12">
        <f>IF($L32="applied","Applied",IF($L32="interview","Interview",IF($L32="offer","Offer",IF($L32="rejected","Rejected",IF($L32="ignore","Ignore",IF($L32="archive","Archive",IF($L32="closed","Closed",IF($B32="","Unscored",IF(AND($B32&gt;=8,OR($H32="",$H32-TODAY()&lt;=14)),"P1 Apply",IF($B32&gt;=7,"P2 Strong",IF($B32&gt;=5,"P3 Maybe","P4 Low")))))))))))</f>
        <v/>
      </c>
      <c r="B32" s="13" t="n">
        <v>5.5</v>
      </c>
      <c r="C32" s="12" t="inlineStr">
        <is>
          <t>Unspecified</t>
        </is>
      </c>
      <c r="D32" s="8" t="inlineStr">
        <is>
          <t>Embedded Software Engineer (NWB)</t>
        </is>
      </c>
      <c r="E32" s="7" t="inlineStr">
        <is>
          <t>Cirrus Logic</t>
        </is>
      </c>
      <c r="F32" s="8" t="inlineStr">
        <is>
          <t>London, England, UK</t>
        </is>
      </c>
      <c r="G32" s="8" t="n"/>
      <c r="H32" s="14" t="n"/>
      <c r="I32" s="15">
        <f>IF($H32="","",$H32-TODAY())</f>
        <v/>
      </c>
      <c r="J32" s="16" t="inlineStr">
        <is>
          <t>Open posting</t>
        </is>
      </c>
      <c r="K32" s="8" t="inlineStr">
        <is>
          <t>Same strong embedded alignment as LDN role but location unclear; same gap in professional C/C++ MCU firmware depth.</t>
        </is>
      </c>
      <c r="L32" s="17" t="inlineStr">
        <is>
          <t>new</t>
        </is>
      </c>
      <c r="M32" s="18" t="inlineStr"/>
      <c r="N32" s="7" t="inlineStr">
        <is>
          <t>0b191a5177b6fdce5edb0fe0125d6842582176d6</t>
        </is>
      </c>
      <c r="O32" s="14" t="n">
        <v>46186</v>
      </c>
      <c r="P32" s="7" t="inlineStr">
        <is>
          <t>jobspy</t>
        </is>
      </c>
      <c r="Q32" s="8" t="inlineStr">
        <is>
          <t>embedded systems, DSP, FPGA, C, digital design</t>
        </is>
      </c>
      <c r="R32" s="8" t="inlineStr">
        <is>
          <t>Embedded Systems Engineer FPGA DSP</t>
        </is>
      </c>
      <c r="S32" s="19" t="n"/>
      <c r="T32" s="19" t="n"/>
      <c r="U32" s="14" t="n">
        <v>46193</v>
      </c>
      <c r="V32" s="7" t="inlineStr">
        <is>
          <t>v2-cv-accuracy-13b988b18da8ea7d</t>
        </is>
      </c>
    </row>
    <row r="33" ht="28" customHeight="1">
      <c r="A33" s="12">
        <f>IF($L33="applied","Applied",IF($L33="interview","Interview",IF($L33="offer","Offer",IF($L33="rejected","Rejected",IF($L33="ignore","Ignore",IF($L33="archive","Archive",IF($L33="closed","Closed",IF($B33="","Unscored",IF(AND($B33&gt;=8,OR($H33="",$H33-TODAY()&lt;=14)),"P1 Apply",IF($B33&gt;=7,"P2 Strong",IF($B33&gt;=5,"P3 Maybe","P4 Low")))))))))))</f>
        <v/>
      </c>
      <c r="B33" s="13" t="n">
        <v>5.5</v>
      </c>
      <c r="C33" s="12" t="inlineStr">
        <is>
          <t>Unspecified</t>
        </is>
      </c>
      <c r="D33" s="8" t="inlineStr">
        <is>
          <t>Software Developer, Risk and Regulatory</t>
        </is>
      </c>
      <c r="E33" s="7" t="inlineStr">
        <is>
          <t>bet365</t>
        </is>
      </c>
      <c r="F33" s="8" t="inlineStr">
        <is>
          <t>Manchester, England, UK</t>
        </is>
      </c>
      <c r="G33" s="8" t="n"/>
      <c r="H33" s="14" t="n"/>
      <c r="I33" s="15">
        <f>IF($H33="","",$H33-TODAY())</f>
        <v/>
      </c>
      <c r="J33" s="16" t="inlineStr">
        <is>
          <t>Open posting</t>
        </is>
      </c>
      <c r="K33" s="8" t="inlineStr">
        <is>
          <t>JavaScript and SQL match but core stack requires Golang and TypeScript which are not in candidate's core skills; Stoke location unclear.</t>
        </is>
      </c>
      <c r="L33" s="17" t="inlineStr">
        <is>
          <t>new</t>
        </is>
      </c>
      <c r="M33" s="18" t="inlineStr"/>
      <c r="N33" s="7" t="inlineStr">
        <is>
          <t>bbea7bd22439c0bc3828a489345a5dcabd3ff61b</t>
        </is>
      </c>
      <c r="O33" s="14" t="n"/>
      <c r="P33" s="7" t="inlineStr">
        <is>
          <t>jobspy</t>
        </is>
      </c>
      <c r="Q33" s="8" t="inlineStr">
        <is>
          <t>JavaScript, SQL, Agile, REST APIs</t>
        </is>
      </c>
      <c r="R33" s="8" t="inlineStr">
        <is>
          <t>Full Stack Developer</t>
        </is>
      </c>
      <c r="S33" s="19" t="n"/>
      <c r="T33" s="19" t="n"/>
      <c r="U33" s="14" t="n">
        <v>46192</v>
      </c>
      <c r="V33" s="7" t="inlineStr">
        <is>
          <t>v2-cv-accuracy-13b988b18da8ea7d</t>
        </is>
      </c>
    </row>
    <row r="34" ht="28" customHeight="1">
      <c r="A34" s="12">
        <f>IF($L34="applied","Applied",IF($L34="interview","Interview",IF($L34="offer","Offer",IF($L34="rejected","Rejected",IF($L34="ignore","Ignore",IF($L34="archive","Archive",IF($L34="closed","Closed",IF($B34="","Unscored",IF(AND($B34&gt;=8,OR($H34="",$H34-TODAY()&lt;=14)),"P1 Apply",IF($B34&gt;=7,"P2 Strong",IF($B34&gt;=5,"P3 Maybe","P4 Low")))))))))))</f>
        <v/>
      </c>
      <c r="B34" s="13" t="n">
        <v>5.5</v>
      </c>
      <c r="C34" s="12" t="inlineStr">
        <is>
          <t>Senior/Lead</t>
        </is>
      </c>
      <c r="D34" s="8" t="inlineStr">
        <is>
          <t>Data Engineer</t>
        </is>
      </c>
      <c r="E34" s="7" t="inlineStr">
        <is>
          <t>Fasanara Capital</t>
        </is>
      </c>
      <c r="F34" s="8" t="inlineStr">
        <is>
          <t>London, England, UK</t>
        </is>
      </c>
      <c r="G34" s="8" t="n"/>
      <c r="H34" s="14" t="n"/>
      <c r="I34" s="15">
        <f>IF($H34="","",$H34-TODAY())</f>
        <v/>
      </c>
      <c r="J34" s="16" t="inlineStr">
        <is>
          <t>Open posting</t>
        </is>
      </c>
      <c r="K34" s="8" t="inlineStr">
        <is>
          <t>Python and SQL/data pipeline skills match, but role targets crypto fintech with real-time low-latency trading systems beyond candidate's experience level.</t>
        </is>
      </c>
      <c r="L34" s="17" t="inlineStr">
        <is>
          <t>new</t>
        </is>
      </c>
      <c r="M34" s="18" t="inlineStr"/>
      <c r="N34" s="7" t="inlineStr">
        <is>
          <t>b2f150dae5218a0d0347341c053ad35bc38f8958</t>
        </is>
      </c>
      <c r="O34" s="14" t="n">
        <v>46175</v>
      </c>
      <c r="P34" s="7" t="inlineStr">
        <is>
          <t>jobspy</t>
        </is>
      </c>
      <c r="Q34" s="8" t="inlineStr">
        <is>
          <t>Python, SQL, data pipelines, API integration, backend development</t>
        </is>
      </c>
      <c r="R34" s="8" t="inlineStr">
        <is>
          <t>Graduate Data Engineer SQL Python pipeline</t>
        </is>
      </c>
      <c r="S34" s="19" t="n"/>
      <c r="T34" s="19" t="n"/>
      <c r="U34" s="14" t="n">
        <v>46192</v>
      </c>
      <c r="V34" s="7" t="inlineStr">
        <is>
          <t>v2-cv-accuracy-13b988b18da8ea7d</t>
        </is>
      </c>
    </row>
    <row r="35" ht="28" customHeight="1">
      <c r="A35" s="12">
        <f>IF($L35="applied","Applied",IF($L35="interview","Interview",IF($L35="offer","Offer",IF($L35="rejected","Rejected",IF($L35="ignore","Ignore",IF($L35="archive","Archive",IF($L35="closed","Closed",IF($B35="","Unscored",IF(AND($B35&gt;=8,OR($H35="",$H35-TODAY()&lt;=14)),"P1 Apply",IF($B35&gt;=7,"P2 Strong",IF($B35&gt;=5,"P3 Maybe","P4 Low")))))))))))</f>
        <v/>
      </c>
      <c r="B35" s="13" t="n">
        <v>5.5</v>
      </c>
      <c r="C35" s="12" t="inlineStr">
        <is>
          <t>Unspecified</t>
        </is>
      </c>
      <c r="D35" s="8" t="inlineStr">
        <is>
          <t>Data Engineer</t>
        </is>
      </c>
      <c r="E35" s="7" t="inlineStr">
        <is>
          <t>Investigo</t>
        </is>
      </c>
      <c r="F35" s="8" t="inlineStr">
        <is>
          <t>Birmingham, England, UK</t>
        </is>
      </c>
      <c r="G35" s="8" t="n"/>
      <c r="H35" s="14" t="n"/>
      <c r="I35" s="15">
        <f>IF($H35="","",$H35-TODAY())</f>
        <v/>
      </c>
      <c r="J35" s="16" t="inlineStr">
        <is>
          <t>Open posting</t>
        </is>
      </c>
      <c r="K35" s="8" t="inlineStr">
        <is>
          <t>SQL, Python, Docker, API integration match well, but role expects cloud data warehouse and Airflow experience not evidenced in the profile.</t>
        </is>
      </c>
      <c r="L35" s="17" t="inlineStr">
        <is>
          <t>new</t>
        </is>
      </c>
      <c r="M35" s="18" t="inlineStr"/>
      <c r="N35" s="7" t="inlineStr">
        <is>
          <t>209242566c1938717eed2a3d254c0abb85aa200a</t>
        </is>
      </c>
      <c r="O35" s="14" t="n">
        <v>46181</v>
      </c>
      <c r="P35" s="7" t="inlineStr">
        <is>
          <t>jobspy</t>
        </is>
      </c>
      <c r="Q35" s="8" t="inlineStr">
        <is>
          <t>Python, SQL, Docker, API integration, Git</t>
        </is>
      </c>
      <c r="R35" s="8" t="inlineStr">
        <is>
          <t>Graduate Data Engineer SQL Python pipeline</t>
        </is>
      </c>
      <c r="S35" s="19" t="n"/>
      <c r="T35" s="19" t="n"/>
      <c r="U35" s="14" t="n">
        <v>46192</v>
      </c>
      <c r="V35" s="7" t="inlineStr">
        <is>
          <t>v2-cv-accuracy-13b988b18da8ea7d</t>
        </is>
      </c>
    </row>
    <row r="36" ht="28" customHeight="1">
      <c r="A36" s="12">
        <f>IF($L36="applied","Applied",IF($L36="interview","Interview",IF($L36="offer","Offer",IF($L36="rejected","Rejected",IF($L36="ignore","Ignore",IF($L36="archive","Archive",IF($L36="closed","Closed",IF($B36="","Unscored",IF(AND($B36&gt;=8,OR($H36="",$H36-TODAY()&lt;=14)),"P1 Apply",IF($B36&gt;=7,"P2 Strong",IF($B36&gt;=5,"P3 Maybe","P4 Low")))))))))))</f>
        <v/>
      </c>
      <c r="B36" s="13" t="n">
        <v>5.5</v>
      </c>
      <c r="C36" s="12" t="inlineStr">
        <is>
          <t>Unspecified</t>
        </is>
      </c>
      <c r="D36" s="8" t="inlineStr">
        <is>
          <t>Validation Engineer</t>
        </is>
      </c>
      <c r="E36" s="7" t="inlineStr">
        <is>
          <t>Cirrus Logic</t>
        </is>
      </c>
      <c r="F36" s="8" t="inlineStr">
        <is>
          <t>Edinburgh, Scotland, UK</t>
        </is>
      </c>
      <c r="G36" s="8" t="n"/>
      <c r="H36" s="14" t="n"/>
      <c r="I36" s="15">
        <f>IF($H36="","",$H36-TODAY())</f>
        <v/>
      </c>
      <c r="J36" s="16" t="inlineStr">
        <is>
          <t>Open posting</t>
        </is>
      </c>
      <c r="K36" s="8" t="inlineStr">
        <is>
          <t>Electronics degree and Python/hardware skills align, but role needs analog/mixed-signal validation and PCB design experience not evidenced in profile.</t>
        </is>
      </c>
      <c r="L36" s="17" t="inlineStr">
        <is>
          <t>new</t>
        </is>
      </c>
      <c r="M36" s="18" t="inlineStr"/>
      <c r="N36" s="7" t="inlineStr">
        <is>
          <t>2746feee3ae53f62b800611973c920e0eeace21b</t>
        </is>
      </c>
      <c r="O36" s="14" t="n">
        <v>46170</v>
      </c>
      <c r="P36" s="7" t="inlineStr">
        <is>
          <t>jobspy</t>
        </is>
      </c>
      <c r="Q36" s="8" t="inlineStr">
        <is>
          <t>Python, FPGA, digital design, embedded systems, hardware design</t>
        </is>
      </c>
      <c r="R36" s="8" t="inlineStr">
        <is>
          <t>Graduate Verification Engineer Verilog digital</t>
        </is>
      </c>
      <c r="S36" s="19" t="n"/>
      <c r="T36" s="19" t="n"/>
      <c r="U36" s="14" t="n">
        <v>46192</v>
      </c>
      <c r="V36" s="7" t="inlineStr">
        <is>
          <t>v2-cv-accuracy-13b988b18da8ea7d</t>
        </is>
      </c>
    </row>
    <row r="37" ht="28" customHeight="1">
      <c r="A37" s="12">
        <f>IF($L37="applied","Applied",IF($L37="interview","Interview",IF($L37="offer","Offer",IF($L37="rejected","Rejected",IF($L37="ignore","Ignore",IF($L37="archive","Archive",IF($L37="closed","Closed",IF($B37="","Unscored",IF(AND($B37&gt;=8,OR($H37="",$H37-TODAY()&lt;=14)),"P1 Apply",IF($B37&gt;=7,"P2 Strong",IF($B37&gt;=5,"P3 Maybe","P4 Low")))))))))))</f>
        <v/>
      </c>
      <c r="B37" s="13" t="n">
        <v>5.5</v>
      </c>
      <c r="C37" s="12" t="inlineStr">
        <is>
          <t>Senior/Lead</t>
        </is>
      </c>
      <c r="D37" s="8" t="inlineStr">
        <is>
          <t>DevOps Engineer</t>
        </is>
      </c>
      <c r="E37" s="7" t="inlineStr">
        <is>
          <t>Next</t>
        </is>
      </c>
      <c r="F37" s="8" t="inlineStr">
        <is>
          <t>Leicester, England, UK</t>
        </is>
      </c>
      <c r="G37" s="8" t="n"/>
      <c r="H37" s="14" t="n"/>
      <c r="I37" s="15">
        <f>IF($H37="","",$H37-TODAY())</f>
        <v/>
      </c>
      <c r="J37" s="16" t="inlineStr">
        <is>
          <t>Open posting</t>
        </is>
      </c>
      <c r="K37" s="8" t="inlineStr">
        <is>
          <t>Docker, Kubernetes, Git, and CI/CD are present in profile; role lacks hardware focus and JD detail on seniority/salary is thin.</t>
        </is>
      </c>
      <c r="L37" s="17" t="inlineStr">
        <is>
          <t>new</t>
        </is>
      </c>
      <c r="M37" s="18" t="inlineStr"/>
      <c r="N37" s="7" t="inlineStr">
        <is>
          <t>e061a7e5945e808fce2c5563a4fcb6363cb92762</t>
        </is>
      </c>
      <c r="O37" s="14" t="n">
        <v>46188</v>
      </c>
      <c r="P37" s="7" t="inlineStr">
        <is>
          <t>jobspy</t>
        </is>
      </c>
      <c r="Q37" s="8" t="inlineStr">
        <is>
          <t>Docker, Kubernetes, Git, CI/CD, Python</t>
        </is>
      </c>
      <c r="R37" s="8" t="inlineStr">
        <is>
          <t>Graduate DevOps Engineer Docker Kubernetes Git</t>
        </is>
      </c>
      <c r="S37" s="19" t="n"/>
      <c r="T37" s="19" t="n"/>
      <c r="U37" s="14" t="n">
        <v>46192</v>
      </c>
      <c r="V37" s="7" t="inlineStr">
        <is>
          <t>v2-cv-accuracy-13b988b18da8ea7d</t>
        </is>
      </c>
    </row>
    <row r="38" ht="28" customHeight="1">
      <c r="A38" s="12">
        <f>IF($L38="applied","Applied",IF($L38="interview","Interview",IF($L38="offer","Offer",IF($L38="rejected","Rejected",IF($L38="ignore","Ignore",IF($L38="archive","Archive",IF($L38="closed","Closed",IF($B38="","Unscored",IF(AND($B38&gt;=8,OR($H38="",$H38-TODAY()&lt;=14)),"P1 Apply",IF($B38&gt;=7,"P2 Strong",IF($B38&gt;=5,"P3 Maybe","P4 Low")))))))))))</f>
        <v/>
      </c>
      <c r="B38" s="13" t="n">
        <v>5.5</v>
      </c>
      <c r="C38" s="12" t="inlineStr">
        <is>
          <t>Unspecified</t>
        </is>
      </c>
      <c r="D38" s="8" t="inlineStr">
        <is>
          <t>DevOps Engineer</t>
        </is>
      </c>
      <c r="E38" s="7" t="inlineStr">
        <is>
          <t>CGI</t>
        </is>
      </c>
      <c r="F38" s="8" t="inlineStr">
        <is>
          <t>Gloucester, England, UK</t>
        </is>
      </c>
      <c r="G38" s="8" t="n"/>
      <c r="H38" s="14" t="n"/>
      <c r="I38" s="15">
        <f>IF($H38="","",$H38-TODAY())</f>
        <v/>
      </c>
      <c r="J38" s="16" t="inlineStr">
        <is>
          <t>Open posting</t>
        </is>
      </c>
      <c r="K38" s="8" t="inlineStr">
        <is>
          <t>Docker/Kubernetes and Python match, but role needs strong DevOps experience, is Gloucester on-site only, and likely needs SC clearance.</t>
        </is>
      </c>
      <c r="L38" s="17" t="inlineStr">
        <is>
          <t>new</t>
        </is>
      </c>
      <c r="M38" s="18" t="inlineStr"/>
      <c r="N38" s="7" t="inlineStr">
        <is>
          <t>c2544d95879d9c0cea3bd590575b0e121b87b9c0</t>
        </is>
      </c>
      <c r="O38" s="14" t="n">
        <v>46173</v>
      </c>
      <c r="P38" s="7" t="inlineStr">
        <is>
          <t>jobspy</t>
        </is>
      </c>
      <c r="Q38" s="8" t="inlineStr">
        <is>
          <t>Docker, Kubernetes, Python, MySQL, Git</t>
        </is>
      </c>
      <c r="R38" s="8" t="inlineStr">
        <is>
          <t>Graduate DevOps Engineer Docker Kubernetes Git</t>
        </is>
      </c>
      <c r="S38" s="19" t="n"/>
      <c r="T38" s="19" t="n"/>
      <c r="U38" s="14" t="n">
        <v>46192</v>
      </c>
      <c r="V38" s="7" t="inlineStr">
        <is>
          <t>v2-cv-accuracy-13b988b18da8ea7d</t>
        </is>
      </c>
    </row>
    <row r="39" ht="28" customHeight="1">
      <c r="A39" s="12">
        <f>IF($L39="applied","Applied",IF($L39="interview","Interview",IF($L39="offer","Offer",IF($L39="rejected","Rejected",IF($L39="ignore","Ignore",IF($L39="archive","Archive",IF($L39="closed","Closed",IF($B39="","Unscored",IF(AND($B39&gt;=8,OR($H39="",$H39-TODAY()&lt;=14)),"P1 Apply",IF($B39&gt;=7,"P2 Strong",IF($B39&gt;=5,"P3 Maybe","P4 Low")))))))))))</f>
        <v/>
      </c>
      <c r="B39" s="13" t="n">
        <v>5.2</v>
      </c>
      <c r="C39" s="12" t="inlineStr">
        <is>
          <t>Mid-level</t>
        </is>
      </c>
      <c r="D39" s="8" t="inlineStr">
        <is>
          <t>Back End Developer</t>
        </is>
      </c>
      <c r="E39" s="7" t="inlineStr">
        <is>
          <t>Spotted Recruitment</t>
        </is>
      </c>
      <c r="F39" s="8" t="inlineStr">
        <is>
          <t>Manchester, England, UK</t>
        </is>
      </c>
      <c r="G39" s="8" t="n"/>
      <c r="H39" s="14" t="n"/>
      <c r="I39" s="15">
        <f>IF($H39="","",$H39-TODAY())</f>
        <v/>
      </c>
      <c r="J39" s="16" t="inlineStr">
        <is>
          <t>Open posting</t>
        </is>
      </c>
      <c r="K39" s="8" t="inlineStr">
        <is>
          <t>SQL and backend/API skills match well but role requires commercial backend experience and Manchester office attendance weekly, location borderline.</t>
        </is>
      </c>
      <c r="L39" s="17" t="inlineStr">
        <is>
          <t>new</t>
        </is>
      </c>
      <c r="M39" s="18" t="inlineStr"/>
      <c r="N39" s="7" t="inlineStr">
        <is>
          <t>d624f3981eeac0e5726df90b0fc9001a22a10a74</t>
        </is>
      </c>
      <c r="O39" s="14" t="n">
        <v>46181</v>
      </c>
      <c r="P39" s="7" t="inlineStr">
        <is>
          <t>jobspy</t>
        </is>
      </c>
      <c r="Q39" s="8" t="inlineStr">
        <is>
          <t>SQL, MySQL, API integration, Python, Git</t>
        </is>
      </c>
      <c r="R39" s="8" t="inlineStr">
        <is>
          <t>Junior Python Developer backend SQL Sheffield</t>
        </is>
      </c>
      <c r="S39" s="19" t="n"/>
      <c r="T39" s="19" t="n"/>
      <c r="U39" s="14" t="n">
        <v>46193</v>
      </c>
      <c r="V39" s="7" t="inlineStr">
        <is>
          <t>v2-cv-accuracy-13b988b18da8ea7d</t>
        </is>
      </c>
    </row>
    <row r="40" ht="28" customHeight="1">
      <c r="A40" s="12">
        <f>IF($L40="applied","Applied",IF($L40="interview","Interview",IF($L40="offer","Offer",IF($L40="rejected","Rejected",IF($L40="ignore","Ignore",IF($L40="archive","Archive",IF($L40="closed","Closed",IF($B40="","Unscored",IF(AND($B40&gt;=8,OR($H40="",$H40-TODAY()&lt;=14)),"P1 Apply",IF($B40&gt;=7,"P2 Strong",IF($B40&gt;=5,"P3 Maybe","P4 Low")))))))))))</f>
        <v/>
      </c>
      <c r="B40" s="13" t="n">
        <v>5.2</v>
      </c>
      <c r="C40" s="12" t="inlineStr">
        <is>
          <t>Senior/Lead</t>
        </is>
      </c>
      <c r="D40" s="8" t="inlineStr">
        <is>
          <t>Data &amp; ML Platform Engineer</t>
        </is>
      </c>
      <c r="E40" s="7" t="inlineStr">
        <is>
          <t>TEKEVER</t>
        </is>
      </c>
      <c r="F40" s="8" t="inlineStr">
        <is>
          <t>Greater Bristol Area, United Kingdom</t>
        </is>
      </c>
      <c r="G40" s="8" t="n"/>
      <c r="H40" s="14" t="n"/>
      <c r="I40" s="15">
        <f>IF($H40="","",$H40-TODAY())</f>
        <v/>
      </c>
      <c r="J40" s="16" t="inlineStr">
        <is>
          <t>Open posting</t>
        </is>
      </c>
      <c r="K40" s="8" t="inlineStr">
        <is>
          <t>SQL, Docker, Kubernetes, and API integration match, but role requires MLOps/data science background and cloud platform experience absent from profile.</t>
        </is>
      </c>
      <c r="L40" s="17" t="inlineStr">
        <is>
          <t>new</t>
        </is>
      </c>
      <c r="M40" s="18" t="inlineStr"/>
      <c r="N40" s="7" t="inlineStr">
        <is>
          <t>860bf314a5c820450850c1a72e588a4fb721873f</t>
        </is>
      </c>
      <c r="O40" s="14" t="n">
        <v>46185</v>
      </c>
      <c r="P40" s="7" t="inlineStr">
        <is>
          <t>jobspy</t>
        </is>
      </c>
      <c r="Q40" s="8" t="inlineStr">
        <is>
          <t>SQL, Docker, Kubernetes, API integration, Python</t>
        </is>
      </c>
      <c r="R40" s="8" t="inlineStr">
        <is>
          <t>Graduate Data Engineer Python SQL MySQL</t>
        </is>
      </c>
      <c r="S40" s="19" t="n"/>
      <c r="T40" s="19" t="n"/>
      <c r="U40" s="14" t="n">
        <v>46193</v>
      </c>
      <c r="V40" s="7" t="inlineStr">
        <is>
          <t>v2-cv-accuracy-13b988b18da8ea7d</t>
        </is>
      </c>
    </row>
    <row r="41" ht="28" customHeight="1">
      <c r="A41" s="12">
        <f>IF($L41="applied","Applied",IF($L41="interview","Interview",IF($L41="offer","Offer",IF($L41="rejected","Rejected",IF($L41="ignore","Ignore",IF($L41="archive","Archive",IF($L41="closed","Closed",IF($B41="","Unscored",IF(AND($B41&gt;=8,OR($H41="",$H41-TODAY()&lt;=14)),"P1 Apply",IF($B41&gt;=7,"P2 Strong",IF($B41&gt;=5,"P3 Maybe","P4 Low")))))))))))</f>
        <v/>
      </c>
      <c r="B41" s="13" t="n">
        <v>5</v>
      </c>
      <c r="C41" s="12" t="inlineStr">
        <is>
          <t>Mid-level</t>
        </is>
      </c>
      <c r="D41" s="8" t="inlineStr">
        <is>
          <t>Software Engineer I</t>
        </is>
      </c>
      <c r="E41" s="7" t="inlineStr">
        <is>
          <t>RELX</t>
        </is>
      </c>
      <c r="F41" s="8" t="inlineStr">
        <is>
          <t>Cardiff, Wales, UK</t>
        </is>
      </c>
      <c r="G41" s="8" t="n"/>
      <c r="H41" s="14" t="n"/>
      <c r="I41" s="15">
        <f>IF($H41="","",$H41-TODAY())</f>
        <v/>
      </c>
      <c r="J41" s="16" t="inlineStr">
        <is>
          <t>Open posting</t>
        </is>
      </c>
      <c r="K41" s="8" t="inlineStr">
        <is>
          <t>PHP and Go are hard requirements absent from the profile; Python interest credited but core stack mismatch is significant.</t>
        </is>
      </c>
      <c r="L41" s="17" t="inlineStr">
        <is>
          <t>new</t>
        </is>
      </c>
      <c r="M41" s="18" t="inlineStr"/>
      <c r="N41" s="7" t="inlineStr">
        <is>
          <t>91b7f65840c7d67e2b79c8a305d73fe079a8d807</t>
        </is>
      </c>
      <c r="O41" s="14" t="n">
        <v>46184</v>
      </c>
      <c r="P41" s="7" t="inlineStr">
        <is>
          <t>jobspy</t>
        </is>
      </c>
      <c r="Q41" s="8" t="inlineStr">
        <is>
          <t>Python, CI/CD, Agile, Git</t>
        </is>
      </c>
      <c r="R41" s="8" t="inlineStr">
        <is>
          <t>entry level Full Stack Developer</t>
        </is>
      </c>
      <c r="S41" s="19" t="n"/>
      <c r="T41" s="19" t="n"/>
      <c r="U41" s="14" t="n">
        <v>46192</v>
      </c>
      <c r="V41" s="7" t="inlineStr">
        <is>
          <t>v2-cv-accuracy-13b988b18da8ea7d</t>
        </is>
      </c>
    </row>
    <row r="42" ht="28" customHeight="1">
      <c r="A42" s="12">
        <f>IF($L42="applied","Applied",IF($L42="interview","Interview",IF($L42="offer","Offer",IF($L42="rejected","Rejected",IF($L42="ignore","Ignore",IF($L42="archive","Archive",IF($L42="closed","Closed",IF($B42="","Unscored",IF(AND($B42&gt;=8,OR($H42="",$H42-TODAY()&lt;=14)),"P1 Apply",IF($B42&gt;=7,"P2 Strong",IF($B42&gt;=5,"P3 Maybe","P4 Low")))))))))))</f>
        <v/>
      </c>
      <c r="B42" s="13" t="n">
        <v>5</v>
      </c>
      <c r="C42" s="12" t="inlineStr">
        <is>
          <t>Unspecified</t>
        </is>
      </c>
      <c r="D42" s="8" t="inlineStr">
        <is>
          <t>Security Shift Officer</t>
        </is>
      </c>
      <c r="E42" s="7" t="inlineStr">
        <is>
          <t>Dyson</t>
        </is>
      </c>
      <c r="F42" s="8" t="inlineStr">
        <is>
          <t>United Kingdom - Malmesbury Office</t>
        </is>
      </c>
      <c r="G42" s="8" t="n"/>
      <c r="H42" s="14" t="n"/>
      <c r="I42" s="15">
        <f>IF($H42="","",$H42-TODAY())</f>
        <v/>
      </c>
      <c r="J42" s="16" t="inlineStr">
        <is>
          <t>Open posting</t>
        </is>
      </c>
      <c r="K42" s="8" t="n"/>
      <c r="L42" s="17" t="inlineStr">
        <is>
          <t>new</t>
        </is>
      </c>
      <c r="M42" s="18" t="inlineStr"/>
      <c r="N42" s="7" t="inlineStr">
        <is>
          <t>7086bd3d2bb244a5ec739c047c5375c0790713ad</t>
        </is>
      </c>
      <c r="O42" s="14" t="n"/>
      <c r="P42" s="7" t="inlineStr">
        <is>
          <t>workday</t>
        </is>
      </c>
      <c r="Q42" s="8" t="inlineStr"/>
      <c r="R42" s="8" t="n"/>
      <c r="S42" s="19" t="n"/>
      <c r="T42" s="19" t="n"/>
      <c r="U42" s="14" t="n">
        <v>46190</v>
      </c>
      <c r="V42" s="7" t="n"/>
    </row>
    <row r="43" ht="28" customHeight="1">
      <c r="A43" s="12">
        <f>IF($L43="applied","Applied",IF($L43="interview","Interview",IF($L43="offer","Offer",IF($L43="rejected","Rejected",IF($L43="ignore","Ignore",IF($L43="archive","Archive",IF($L43="closed","Closed",IF($B43="","Unscored",IF(AND($B43&gt;=8,OR($H43="",$H43-TODAY()&lt;=14)),"P1 Apply",IF($B43&gt;=7,"P2 Strong",IF($B43&gt;=5,"P3 Maybe","P4 Low")))))))))))</f>
        <v/>
      </c>
      <c r="B43" s="13" t="n">
        <v>5</v>
      </c>
      <c r="C43" s="12" t="inlineStr">
        <is>
          <t>Graduate/Entry</t>
        </is>
      </c>
      <c r="D43" s="8" t="inlineStr">
        <is>
          <t>Advanced New Product Development Graduate Engineer</t>
        </is>
      </c>
      <c r="E43" s="7" t="inlineStr">
        <is>
          <t>Dyson</t>
        </is>
      </c>
      <c r="F43" s="8" t="inlineStr">
        <is>
          <t>Malaysia - Global Development Campus, Johor Bahru</t>
        </is>
      </c>
      <c r="G43" s="8" t="n"/>
      <c r="H43" s="14" t="n"/>
      <c r="I43" s="15">
        <f>IF($H43="","",$H43-TODAY())</f>
        <v/>
      </c>
      <c r="J43" s="16" t="inlineStr">
        <is>
          <t>Open posting</t>
        </is>
      </c>
      <c r="K43" s="8" t="n"/>
      <c r="L43" s="17" t="inlineStr">
        <is>
          <t>new</t>
        </is>
      </c>
      <c r="M43" s="18" t="inlineStr"/>
      <c r="N43" s="7" t="inlineStr">
        <is>
          <t>beb74ed40776b5937ce915f3513ac0700cce6e4b</t>
        </is>
      </c>
      <c r="O43" s="14" t="n"/>
      <c r="P43" s="7" t="inlineStr">
        <is>
          <t>workday</t>
        </is>
      </c>
      <c r="Q43" s="8" t="inlineStr"/>
      <c r="R43" s="8" t="n"/>
      <c r="S43" s="19" t="n"/>
      <c r="T43" s="19" t="n"/>
      <c r="U43" s="14" t="n">
        <v>46190</v>
      </c>
      <c r="V43" s="7" t="n"/>
    </row>
    <row r="44" ht="28" customHeight="1">
      <c r="A44" s="12">
        <f>IF($L44="applied","Applied",IF($L44="interview","Interview",IF($L44="offer","Offer",IF($L44="rejected","Rejected",IF($L44="ignore","Ignore",IF($L44="archive","Archive",IF($L44="closed","Closed",IF($B44="","Unscored",IF(AND($B44&gt;=8,OR($H44="",$H44-TODAY()&lt;=14)),"P1 Apply",IF($B44&gt;=7,"P2 Strong",IF($B44&gt;=5,"P3 Maybe","P4 Low")))))))))))</f>
        <v/>
      </c>
      <c r="B44" s="13" t="n">
        <v>5</v>
      </c>
      <c r="C44" s="12" t="inlineStr">
        <is>
          <t>Unspecified</t>
        </is>
      </c>
      <c r="D44" s="8" t="inlineStr">
        <is>
          <t>Retail Expert (CDD)</t>
        </is>
      </c>
      <c r="E44" s="7" t="inlineStr">
        <is>
          <t>Dyson</t>
        </is>
      </c>
      <c r="F44" s="8" t="inlineStr">
        <is>
          <t>France - Paris Opera Demo Store</t>
        </is>
      </c>
      <c r="G44" s="8" t="n"/>
      <c r="H44" s="14" t="n"/>
      <c r="I44" s="15">
        <f>IF($H44="","",$H44-TODAY())</f>
        <v/>
      </c>
      <c r="J44" s="16" t="inlineStr">
        <is>
          <t>Open posting</t>
        </is>
      </c>
      <c r="K44" s="8" t="n"/>
      <c r="L44" s="17" t="inlineStr">
        <is>
          <t>new</t>
        </is>
      </c>
      <c r="M44" s="18" t="inlineStr"/>
      <c r="N44" s="7" t="inlineStr">
        <is>
          <t>329ac8c8fba466ae0e76c0feaadb235f527d90a4</t>
        </is>
      </c>
      <c r="O44" s="14" t="n"/>
      <c r="P44" s="7" t="inlineStr">
        <is>
          <t>workday</t>
        </is>
      </c>
      <c r="Q44" s="8" t="inlineStr"/>
      <c r="R44" s="8" t="n"/>
      <c r="S44" s="19" t="n"/>
      <c r="T44" s="19" t="n"/>
      <c r="U44" s="14" t="n">
        <v>46190</v>
      </c>
      <c r="V44" s="7" t="n"/>
    </row>
    <row r="45" ht="28" customHeight="1">
      <c r="A45" s="12">
        <f>IF($L45="applied","Applied",IF($L45="interview","Interview",IF($L45="offer","Offer",IF($L45="rejected","Rejected",IF($L45="ignore","Ignore",IF($L45="archive","Archive",IF($L45="closed","Closed",IF($B45="","Unscored",IF(AND($B45&gt;=8,OR($H45="",$H45-TODAY()&lt;=14)),"P1 Apply",IF($B45&gt;=7,"P2 Strong",IF($B45&gt;=5,"P3 Maybe","P4 Low")))))))))))</f>
        <v/>
      </c>
      <c r="B45" s="13" t="n">
        <v>5</v>
      </c>
      <c r="C45" s="12" t="inlineStr">
        <is>
          <t>Manager/Owner</t>
        </is>
      </c>
      <c r="D45" s="8" t="inlineStr">
        <is>
          <t>General Sales Manager</t>
        </is>
      </c>
      <c r="E45" s="7" t="inlineStr">
        <is>
          <t>Dyson</t>
        </is>
      </c>
      <c r="F45" s="8" t="inlineStr">
        <is>
          <t>India - Bangalore Sales Office</t>
        </is>
      </c>
      <c r="G45" s="8" t="n"/>
      <c r="H45" s="14" t="n"/>
      <c r="I45" s="15">
        <f>IF($H45="","",$H45-TODAY())</f>
        <v/>
      </c>
      <c r="J45" s="16" t="inlineStr">
        <is>
          <t>Open posting</t>
        </is>
      </c>
      <c r="K45" s="8" t="n"/>
      <c r="L45" s="17" t="inlineStr">
        <is>
          <t>new</t>
        </is>
      </c>
      <c r="M45" s="18" t="inlineStr"/>
      <c r="N45" s="7" t="inlineStr">
        <is>
          <t>dbe57fe2564478c04f8fc4963cf8a59fa5ed2ce9</t>
        </is>
      </c>
      <c r="O45" s="14" t="n"/>
      <c r="P45" s="7" t="inlineStr">
        <is>
          <t>workday</t>
        </is>
      </c>
      <c r="Q45" s="8" t="inlineStr"/>
      <c r="R45" s="8" t="n"/>
      <c r="S45" s="19" t="n"/>
      <c r="T45" s="19" t="n"/>
      <c r="U45" s="14" t="n">
        <v>46190</v>
      </c>
      <c r="V45" s="7" t="n"/>
    </row>
    <row r="46" ht="28" customHeight="1">
      <c r="A46" s="12">
        <f>IF($L46="applied","Applied",IF($L46="interview","Interview",IF($L46="offer","Offer",IF($L46="rejected","Rejected",IF($L46="ignore","Ignore",IF($L46="archive","Archive",IF($L46="closed","Closed",IF($B46="","Unscored",IF(AND($B46&gt;=8,OR($H46="",$H46-TODAY()&lt;=14)),"P1 Apply",IF($B46&gt;=7,"P2 Strong",IF($B46&gt;=5,"P3 Maybe","P4 Low")))))))))))</f>
        <v/>
      </c>
      <c r="B46" s="13" t="n">
        <v>5</v>
      </c>
      <c r="C46" s="12" t="inlineStr">
        <is>
          <t>Unspecified</t>
        </is>
      </c>
      <c r="D46" s="8" t="inlineStr">
        <is>
          <t>Retail Sales Assistant - Various Locations</t>
        </is>
      </c>
      <c r="E46" s="7" t="inlineStr">
        <is>
          <t>Dyson</t>
        </is>
      </c>
      <c r="F46" s="8" t="inlineStr">
        <is>
          <t>Australia - Victoria Remote</t>
        </is>
      </c>
      <c r="G46" s="8" t="n"/>
      <c r="H46" s="14" t="n"/>
      <c r="I46" s="15">
        <f>IF($H46="","",$H46-TODAY())</f>
        <v/>
      </c>
      <c r="J46" s="16" t="inlineStr">
        <is>
          <t>Open posting</t>
        </is>
      </c>
      <c r="K46" s="8" t="n"/>
      <c r="L46" s="17" t="inlineStr">
        <is>
          <t>new</t>
        </is>
      </c>
      <c r="M46" s="18" t="inlineStr"/>
      <c r="N46" s="7" t="inlineStr">
        <is>
          <t>7d800bdd1ed7c1051307dd72af11ebde27e0b518</t>
        </is>
      </c>
      <c r="O46" s="14" t="n"/>
      <c r="P46" s="7" t="inlineStr">
        <is>
          <t>workday</t>
        </is>
      </c>
      <c r="Q46" s="8" t="inlineStr"/>
      <c r="R46" s="8" t="n"/>
      <c r="S46" s="19" t="n"/>
      <c r="T46" s="19" t="n"/>
      <c r="U46" s="14" t="n">
        <v>46190</v>
      </c>
      <c r="V46" s="7" t="n"/>
    </row>
    <row r="47" ht="28" customHeight="1">
      <c r="A47" s="12">
        <f>IF($L47="applied","Applied",IF($L47="interview","Interview",IF($L47="offer","Offer",IF($L47="rejected","Rejected",IF($L47="ignore","Ignore",IF($L47="archive","Archive",IF($L47="closed","Closed",IF($B47="","Unscored",IF(AND($B47&gt;=8,OR($H47="",$H47-TODAY()&lt;=14)),"P1 Apply",IF($B47&gt;=7,"P2 Strong",IF($B47&gt;=5,"P3 Maybe","P4 Low")))))))))))</f>
        <v/>
      </c>
      <c r="B47" s="13" t="n">
        <v>5</v>
      </c>
      <c r="C47" s="12" t="inlineStr">
        <is>
          <t>Manager/Owner</t>
        </is>
      </c>
      <c r="D47" s="8" t="inlineStr">
        <is>
          <t>Marketplaces Manager</t>
        </is>
      </c>
      <c r="E47" s="7" t="inlineStr">
        <is>
          <t>Dyson</t>
        </is>
      </c>
      <c r="F47" s="8" t="inlineStr">
        <is>
          <t>Netherlands - Amsterdam Office</t>
        </is>
      </c>
      <c r="G47" s="8" t="n"/>
      <c r="H47" s="14" t="n"/>
      <c r="I47" s="15">
        <f>IF($H47="","",$H47-TODAY())</f>
        <v/>
      </c>
      <c r="J47" s="16" t="inlineStr">
        <is>
          <t>Open posting</t>
        </is>
      </c>
      <c r="K47" s="8" t="n"/>
      <c r="L47" s="17" t="inlineStr">
        <is>
          <t>new</t>
        </is>
      </c>
      <c r="M47" s="18" t="inlineStr"/>
      <c r="N47" s="7" t="inlineStr">
        <is>
          <t>62008e66bd3022ebaa97fbad1090a43197b0edbf</t>
        </is>
      </c>
      <c r="O47" s="14" t="n"/>
      <c r="P47" s="7" t="inlineStr">
        <is>
          <t>workday</t>
        </is>
      </c>
      <c r="Q47" s="8" t="inlineStr"/>
      <c r="R47" s="8" t="n"/>
      <c r="S47" s="19" t="n"/>
      <c r="T47" s="19" t="n"/>
      <c r="U47" s="14" t="n">
        <v>46190</v>
      </c>
      <c r="V47" s="7" t="n"/>
    </row>
    <row r="48" ht="28" customHeight="1">
      <c r="A48" s="12">
        <f>IF($L48="applied","Applied",IF($L48="interview","Interview",IF($L48="offer","Offer",IF($L48="rejected","Rejected",IF($L48="ignore","Ignore",IF($L48="archive","Archive",IF($L48="closed","Closed",IF($B48="","Unscored",IF(AND($B48&gt;=8,OR($H48="",$H48-TODAY()&lt;=14)),"P1 Apply",IF($B48&gt;=7,"P2 Strong",IF($B48&gt;=5,"P3 Maybe","P4 Low")))))))))))</f>
        <v/>
      </c>
      <c r="B48" s="13" t="n">
        <v>5</v>
      </c>
      <c r="C48" s="12" t="inlineStr">
        <is>
          <t>Unspecified</t>
        </is>
      </c>
      <c r="D48" s="8" t="inlineStr">
        <is>
          <t>Trading Activation Executive (Parental Leave Cover)</t>
        </is>
      </c>
      <c r="E48" s="7" t="inlineStr">
        <is>
          <t>Dyson</t>
        </is>
      </c>
      <c r="F48" s="8" t="inlineStr">
        <is>
          <t>Sweden - Stockholm Office</t>
        </is>
      </c>
      <c r="G48" s="8" t="n"/>
      <c r="H48" s="14" t="n"/>
      <c r="I48" s="15">
        <f>IF($H48="","",$H48-TODAY())</f>
        <v/>
      </c>
      <c r="J48" s="16" t="inlineStr">
        <is>
          <t>Open posting</t>
        </is>
      </c>
      <c r="K48" s="8" t="n"/>
      <c r="L48" s="17" t="inlineStr">
        <is>
          <t>new</t>
        </is>
      </c>
      <c r="M48" s="18" t="inlineStr"/>
      <c r="N48" s="7" t="inlineStr">
        <is>
          <t>239fac7818f94dd7509d0a00518e1333aaa8675f</t>
        </is>
      </c>
      <c r="O48" s="14" t="n"/>
      <c r="P48" s="7" t="inlineStr">
        <is>
          <t>workday</t>
        </is>
      </c>
      <c r="Q48" s="8" t="inlineStr"/>
      <c r="R48" s="8" t="n"/>
      <c r="S48" s="19" t="n"/>
      <c r="T48" s="19" t="n"/>
      <c r="U48" s="14" t="n">
        <v>46190</v>
      </c>
      <c r="V48" s="7" t="n"/>
    </row>
    <row r="49" ht="28" customHeight="1">
      <c r="A49" s="12">
        <f>IF($L49="applied","Applied",IF($L49="interview","Interview",IF($L49="offer","Offer",IF($L49="rejected","Rejected",IF($L49="ignore","Ignore",IF($L49="archive","Archive",IF($L49="closed","Closed",IF($B49="","Unscored",IF(AND($B49&gt;=8,OR($H49="",$H49-TODAY()&lt;=14)),"P1 Apply",IF($B49&gt;=7,"P2 Strong",IF($B49&gt;=5,"P3 Maybe","P4 Low")))))))))))</f>
        <v/>
      </c>
      <c r="B49" s="13" t="n">
        <v>5</v>
      </c>
      <c r="C49" s="12" t="inlineStr">
        <is>
          <t>Graduate/Entry</t>
        </is>
      </c>
      <c r="D49" s="8" t="inlineStr">
        <is>
          <t>2026 Graduate Firmware Engineer</t>
        </is>
      </c>
      <c r="E49" s="7" t="inlineStr">
        <is>
          <t>Graphcore</t>
        </is>
      </c>
      <c r="F49" s="8" t="inlineStr">
        <is>
          <t>Bristol, UK</t>
        </is>
      </c>
      <c r="G49" s="8" t="n"/>
      <c r="H49" s="14" t="n"/>
      <c r="I49" s="15">
        <f>IF($H49="","",$H49-TODAY())</f>
        <v/>
      </c>
      <c r="J49" s="16" t="inlineStr">
        <is>
          <t>Open posting</t>
        </is>
      </c>
      <c r="K49" s="8" t="n"/>
      <c r="L49" s="17" t="inlineStr">
        <is>
          <t>new</t>
        </is>
      </c>
      <c r="M49" s="18" t="inlineStr"/>
      <c r="N49" s="7" t="inlineStr">
        <is>
          <t>31853c891a9612d645ea869eff2f79c20c7f21fb</t>
        </is>
      </c>
      <c r="O49" s="14" t="n">
        <v>46189</v>
      </c>
      <c r="P49" s="7" t="inlineStr">
        <is>
          <t>greenhouse:graphcore</t>
        </is>
      </c>
      <c r="Q49" s="8" t="inlineStr"/>
      <c r="R49" s="8" t="n"/>
      <c r="S49" s="19" t="n"/>
      <c r="T49" s="19" t="n"/>
      <c r="U49" s="14" t="n">
        <v>46189</v>
      </c>
      <c r="V49" s="7" t="n"/>
    </row>
    <row r="50" ht="28" customHeight="1">
      <c r="A50" s="12">
        <f>IF($L50="applied","Applied",IF($L50="interview","Interview",IF($L50="offer","Offer",IF($L50="rejected","Rejected",IF($L50="ignore","Ignore",IF($L50="archive","Archive",IF($L50="closed","Closed",IF($B50="","Unscored",IF(AND($B50&gt;=8,OR($H50="",$H50-TODAY()&lt;=14)),"P1 Apply",IF($B50&gt;=7,"P2 Strong",IF($B50&gt;=5,"P3 Maybe","P4 Low")))))))))))</f>
        <v/>
      </c>
      <c r="B50" s="13" t="n">
        <v>5</v>
      </c>
      <c r="C50" s="12" t="inlineStr">
        <is>
          <t>Graduate/Entry</t>
        </is>
      </c>
      <c r="D50" s="8" t="inlineStr">
        <is>
          <t>2026 Graduate Software Engineer - Drivers</t>
        </is>
      </c>
      <c r="E50" s="7" t="inlineStr">
        <is>
          <t>Graphcore</t>
        </is>
      </c>
      <c r="F50" s="8" t="inlineStr">
        <is>
          <t>Bristol, UK</t>
        </is>
      </c>
      <c r="G50" s="8" t="n"/>
      <c r="H50" s="14" t="n"/>
      <c r="I50" s="15">
        <f>IF($H50="","",$H50-TODAY())</f>
        <v/>
      </c>
      <c r="J50" s="16" t="inlineStr">
        <is>
          <t>Open posting</t>
        </is>
      </c>
      <c r="K50" s="8" t="n"/>
      <c r="L50" s="17" t="inlineStr">
        <is>
          <t>new</t>
        </is>
      </c>
      <c r="M50" s="18" t="inlineStr"/>
      <c r="N50" s="7" t="inlineStr">
        <is>
          <t>3c4944fca3dbd2cce7be68bba67e371029fa594f</t>
        </is>
      </c>
      <c r="O50" s="14" t="n">
        <v>46189</v>
      </c>
      <c r="P50" s="7" t="inlineStr">
        <is>
          <t>greenhouse:graphcore</t>
        </is>
      </c>
      <c r="Q50" s="8" t="inlineStr"/>
      <c r="R50" s="8" t="n"/>
      <c r="S50" s="19" t="n"/>
      <c r="T50" s="19" t="n"/>
      <c r="U50" s="14" t="n">
        <v>46189</v>
      </c>
      <c r="V50" s="7" t="n"/>
    </row>
    <row r="51" ht="28" customHeight="1">
      <c r="A51" s="12">
        <f>IF($L51="applied","Applied",IF($L51="interview","Interview",IF($L51="offer","Offer",IF($L51="rejected","Rejected",IF($L51="ignore","Ignore",IF($L51="archive","Archive",IF($L51="closed","Closed",IF($B51="","Unscored",IF(AND($B51&gt;=8,OR($H51="",$H51-TODAY()&lt;=14)),"P1 Apply",IF($B51&gt;=7,"P2 Strong",IF($B51&gt;=5,"P3 Maybe","P4 Low")))))))))))</f>
        <v/>
      </c>
      <c r="B51" s="13" t="n">
        <v>5</v>
      </c>
      <c r="C51" s="12" t="inlineStr">
        <is>
          <t>Graduate/Entry</t>
        </is>
      </c>
      <c r="D51" s="8" t="inlineStr">
        <is>
          <t>2026 Graduate Software Engineer - Drivers</t>
        </is>
      </c>
      <c r="E51" s="7" t="inlineStr">
        <is>
          <t>Graphcore</t>
        </is>
      </c>
      <c r="F51" s="8" t="inlineStr">
        <is>
          <t>Cambridge, UK</t>
        </is>
      </c>
      <c r="G51" s="8" t="n"/>
      <c r="H51" s="14" t="n"/>
      <c r="I51" s="15">
        <f>IF($H51="","",$H51-TODAY())</f>
        <v/>
      </c>
      <c r="J51" s="16" t="inlineStr">
        <is>
          <t>Open posting</t>
        </is>
      </c>
      <c r="K51" s="8" t="n"/>
      <c r="L51" s="17" t="inlineStr">
        <is>
          <t>new</t>
        </is>
      </c>
      <c r="M51" s="18" t="inlineStr"/>
      <c r="N51" s="7" t="inlineStr">
        <is>
          <t>de00f232f0af706b5f23b86f2be58e61a979c7a4</t>
        </is>
      </c>
      <c r="O51" s="14" t="n">
        <v>46189</v>
      </c>
      <c r="P51" s="7" t="inlineStr">
        <is>
          <t>greenhouse:graphcore</t>
        </is>
      </c>
      <c r="Q51" s="8" t="inlineStr"/>
      <c r="R51" s="8" t="n"/>
      <c r="S51" s="19" t="n"/>
      <c r="T51" s="19" t="n"/>
      <c r="U51" s="14" t="n">
        <v>46189</v>
      </c>
      <c r="V51" s="7" t="n"/>
    </row>
    <row r="52" ht="28" customHeight="1">
      <c r="A52" s="12">
        <f>IF($L52="applied","Applied",IF($L52="interview","Interview",IF($L52="offer","Offer",IF($L52="rejected","Rejected",IF($L52="ignore","Ignore",IF($L52="archive","Archive",IF($L52="closed","Closed",IF($B52="","Unscored",IF(AND($B52&gt;=8,OR($H52="",$H52-TODAY()&lt;=14)),"P1 Apply",IF($B52&gt;=7,"P2 Strong",IF($B52&gt;=5,"P3 Maybe","P4 Low")))))))))))</f>
        <v/>
      </c>
      <c r="B52" s="13" t="n">
        <v>5</v>
      </c>
      <c r="C52" s="12" t="inlineStr">
        <is>
          <t>Graduate/Entry</t>
        </is>
      </c>
      <c r="D52" s="8" t="inlineStr">
        <is>
          <t>2026 Graduate Software Engineer - ML Kernels &amp; Runtime Team</t>
        </is>
      </c>
      <c r="E52" s="7" t="inlineStr">
        <is>
          <t>Graphcore</t>
        </is>
      </c>
      <c r="F52" s="8" t="inlineStr">
        <is>
          <t>Bristol, UK</t>
        </is>
      </c>
      <c r="G52" s="8" t="n"/>
      <c r="H52" s="14" t="n"/>
      <c r="I52" s="15">
        <f>IF($H52="","",$H52-TODAY())</f>
        <v/>
      </c>
      <c r="J52" s="16" t="inlineStr">
        <is>
          <t>Open posting</t>
        </is>
      </c>
      <c r="K52" s="8" t="n"/>
      <c r="L52" s="17" t="inlineStr">
        <is>
          <t>new</t>
        </is>
      </c>
      <c r="M52" s="18" t="inlineStr"/>
      <c r="N52" s="7" t="inlineStr">
        <is>
          <t>789877cef58d67f00a4c02378a1eed77aeab946c</t>
        </is>
      </c>
      <c r="O52" s="14" t="n">
        <v>46189</v>
      </c>
      <c r="P52" s="7" t="inlineStr">
        <is>
          <t>greenhouse:graphcore</t>
        </is>
      </c>
      <c r="Q52" s="8" t="inlineStr"/>
      <c r="R52" s="8" t="n"/>
      <c r="S52" s="19" t="n"/>
      <c r="T52" s="19" t="n"/>
      <c r="U52" s="14" t="n">
        <v>46189</v>
      </c>
      <c r="V52" s="7" t="n"/>
    </row>
    <row r="53" ht="28" customHeight="1">
      <c r="A53" s="12">
        <f>IF($L53="applied","Applied",IF($L53="interview","Interview",IF($L53="offer","Offer",IF($L53="rejected","Rejected",IF($L53="ignore","Ignore",IF($L53="archive","Archive",IF($L53="closed","Closed",IF($B53="","Unscored",IF(AND($B53&gt;=8,OR($H53="",$H53-TODAY()&lt;=14)),"P1 Apply",IF($B53&gt;=7,"P2 Strong",IF($B53&gt;=5,"P3 Maybe","P4 Low")))))))))))</f>
        <v/>
      </c>
      <c r="B53" s="13" t="n">
        <v>5</v>
      </c>
      <c r="C53" s="12" t="inlineStr">
        <is>
          <t>Graduate/Entry</t>
        </is>
      </c>
      <c r="D53" s="8" t="inlineStr">
        <is>
          <t>2026 Graduate Software Engineer - PyTorch</t>
        </is>
      </c>
      <c r="E53" s="7" t="inlineStr">
        <is>
          <t>Graphcore</t>
        </is>
      </c>
      <c r="F53" s="8" t="inlineStr">
        <is>
          <t>Bristol, UK</t>
        </is>
      </c>
      <c r="G53" s="8" t="n"/>
      <c r="H53" s="14" t="n"/>
      <c r="I53" s="15">
        <f>IF($H53="","",$H53-TODAY())</f>
        <v/>
      </c>
      <c r="J53" s="16" t="inlineStr">
        <is>
          <t>Open posting</t>
        </is>
      </c>
      <c r="K53" s="8" t="n"/>
      <c r="L53" s="17" t="inlineStr">
        <is>
          <t>new</t>
        </is>
      </c>
      <c r="M53" s="18" t="inlineStr"/>
      <c r="N53" s="7" t="inlineStr">
        <is>
          <t>4cb4bf5b936749248e8de6ec1e2c44e95e34b912</t>
        </is>
      </c>
      <c r="O53" s="14" t="n">
        <v>46189</v>
      </c>
      <c r="P53" s="7" t="inlineStr">
        <is>
          <t>greenhouse:graphcore</t>
        </is>
      </c>
      <c r="Q53" s="8" t="inlineStr"/>
      <c r="R53" s="8" t="n"/>
      <c r="S53" s="19" t="n"/>
      <c r="T53" s="19" t="n"/>
      <c r="U53" s="14" t="n">
        <v>46189</v>
      </c>
      <c r="V53" s="7" t="n"/>
    </row>
    <row r="54" ht="28" customHeight="1">
      <c r="A54" s="12">
        <f>IF($L54="applied","Applied",IF($L54="interview","Interview",IF($L54="offer","Offer",IF($L54="rejected","Rejected",IF($L54="ignore","Ignore",IF($L54="archive","Archive",IF($L54="closed","Closed",IF($B54="","Unscored",IF(AND($B54&gt;=8,OR($H54="",$H54-TODAY()&lt;=14)),"P1 Apply",IF($B54&gt;=7,"P2 Strong",IF($B54&gt;=5,"P3 Maybe","P4 Low")))))))))))</f>
        <v/>
      </c>
      <c r="B54" s="13" t="n">
        <v>5</v>
      </c>
      <c r="C54" s="12" t="inlineStr">
        <is>
          <t>Graduate/Entry</t>
        </is>
      </c>
      <c r="D54" s="8" t="inlineStr">
        <is>
          <t>2026 Graduate Software Engineer - Triton</t>
        </is>
      </c>
      <c r="E54" s="7" t="inlineStr">
        <is>
          <t>Graphcore</t>
        </is>
      </c>
      <c r="F54" s="8" t="inlineStr">
        <is>
          <t>Bristol, UK</t>
        </is>
      </c>
      <c r="G54" s="8" t="n"/>
      <c r="H54" s="14" t="n"/>
      <c r="I54" s="15">
        <f>IF($H54="","",$H54-TODAY())</f>
        <v/>
      </c>
      <c r="J54" s="16" t="inlineStr">
        <is>
          <t>Open posting</t>
        </is>
      </c>
      <c r="K54" s="8" t="n"/>
      <c r="L54" s="17" t="inlineStr">
        <is>
          <t>new</t>
        </is>
      </c>
      <c r="M54" s="18" t="inlineStr"/>
      <c r="N54" s="7" t="inlineStr">
        <is>
          <t>f3c6805fd358be96ae330699622fd5bb99a20d4e</t>
        </is>
      </c>
      <c r="O54" s="14" t="n">
        <v>46189</v>
      </c>
      <c r="P54" s="7" t="inlineStr">
        <is>
          <t>greenhouse:graphcore</t>
        </is>
      </c>
      <c r="Q54" s="8" t="inlineStr"/>
      <c r="R54" s="8" t="n"/>
      <c r="S54" s="19" t="n"/>
      <c r="T54" s="19" t="n"/>
      <c r="U54" s="14" t="n">
        <v>46189</v>
      </c>
      <c r="V54" s="7" t="n"/>
    </row>
    <row r="55" ht="28" customHeight="1">
      <c r="A55" s="12">
        <f>IF($L55="applied","Applied",IF($L55="interview","Interview",IF($L55="offer","Offer",IF($L55="rejected","Rejected",IF($L55="ignore","Ignore",IF($L55="archive","Archive",IF($L55="closed","Closed",IF($B55="","Unscored",IF(AND($B55&gt;=8,OR($H55="",$H55-TODAY()&lt;=14)),"P1 Apply",IF($B55&gt;=7,"P2 Strong",IF($B55&gt;=5,"P3 Maybe","P4 Low")))))))))))</f>
        <v/>
      </c>
      <c r="B55" s="13" t="n">
        <v>5</v>
      </c>
      <c r="C55" s="12" t="inlineStr">
        <is>
          <t>Unspecified</t>
        </is>
      </c>
      <c r="D55" s="8" t="inlineStr">
        <is>
          <t>AI Performance Engineer</t>
        </is>
      </c>
      <c r="E55" s="7" t="inlineStr">
        <is>
          <t>Graphcore</t>
        </is>
      </c>
      <c r="F55" s="8" t="inlineStr">
        <is>
          <t>US - Milpitas</t>
        </is>
      </c>
      <c r="G55" s="8" t="n"/>
      <c r="H55" s="14" t="n"/>
      <c r="I55" s="15">
        <f>IF($H55="","",$H55-TODAY())</f>
        <v/>
      </c>
      <c r="J55" s="16" t="inlineStr">
        <is>
          <t>Open posting</t>
        </is>
      </c>
      <c r="K55" s="8" t="n"/>
      <c r="L55" s="17" t="inlineStr">
        <is>
          <t>new</t>
        </is>
      </c>
      <c r="M55" s="18" t="inlineStr"/>
      <c r="N55" s="7" t="inlineStr">
        <is>
          <t>692a5a8edd0d969ff9a4265353e2f00100f72fcc</t>
        </is>
      </c>
      <c r="O55" s="14" t="n">
        <v>46189</v>
      </c>
      <c r="P55" s="7" t="inlineStr">
        <is>
          <t>greenhouse:graphcore</t>
        </is>
      </c>
      <c r="Q55" s="8" t="inlineStr"/>
      <c r="R55" s="8" t="n"/>
      <c r="S55" s="19" t="n"/>
      <c r="T55" s="19" t="n"/>
      <c r="U55" s="14" t="n">
        <v>46189</v>
      </c>
      <c r="V55" s="7" t="n"/>
    </row>
    <row r="56" ht="28" customHeight="1">
      <c r="A56" s="12">
        <f>IF($L56="applied","Applied",IF($L56="interview","Interview",IF($L56="offer","Offer",IF($L56="rejected","Rejected",IF($L56="ignore","Ignore",IF($L56="archive","Archive",IF($L56="closed","Closed",IF($B56="","Unscored",IF(AND($B56&gt;=8,OR($H56="",$H56-TODAY()&lt;=14)),"P1 Apply",IF($B56&gt;=7,"P2 Strong",IF($B56&gt;=5,"P3 Maybe","P4 Low")))))))))))</f>
        <v/>
      </c>
      <c r="B56" s="13" t="n">
        <v>5</v>
      </c>
      <c r="C56" s="12" t="inlineStr">
        <is>
          <t>Senior/Lead</t>
        </is>
      </c>
      <c r="D56" s="8" t="inlineStr">
        <is>
          <t>AI Platform Architect</t>
        </is>
      </c>
      <c r="E56" s="7" t="inlineStr">
        <is>
          <t>Graphcore</t>
        </is>
      </c>
      <c r="F56" s="8" t="inlineStr">
        <is>
          <t>Austin, Texas, United States</t>
        </is>
      </c>
      <c r="G56" s="8" t="n"/>
      <c r="H56" s="14" t="n"/>
      <c r="I56" s="15">
        <f>IF($H56="","",$H56-TODAY())</f>
        <v/>
      </c>
      <c r="J56" s="16" t="inlineStr">
        <is>
          <t>Open posting</t>
        </is>
      </c>
      <c r="K56" s="8" t="n"/>
      <c r="L56" s="17" t="inlineStr">
        <is>
          <t>new</t>
        </is>
      </c>
      <c r="M56" s="18" t="inlineStr"/>
      <c r="N56" s="7" t="inlineStr">
        <is>
          <t>d4528279bfa348bb12136027b1e17006bccd5879</t>
        </is>
      </c>
      <c r="O56" s="14" t="n">
        <v>46189</v>
      </c>
      <c r="P56" s="7" t="inlineStr">
        <is>
          <t>greenhouse:graphcore</t>
        </is>
      </c>
      <c r="Q56" s="8" t="inlineStr"/>
      <c r="R56" s="8" t="n"/>
      <c r="S56" s="19" t="n"/>
      <c r="T56" s="19" t="n"/>
      <c r="U56" s="14" t="n">
        <v>46189</v>
      </c>
      <c r="V56" s="7" t="n"/>
    </row>
    <row r="57" ht="28" customHeight="1">
      <c r="A57" s="12">
        <f>IF($L57="applied","Applied",IF($L57="interview","Interview",IF($L57="offer","Offer",IF($L57="rejected","Rejected",IF($L57="ignore","Ignore",IF($L57="archive","Archive",IF($L57="closed","Closed",IF($B57="","Unscored",IF(AND($B57&gt;=8,OR($H57="",$H57-TODAY()&lt;=14)),"P1 Apply",IF($B57&gt;=7,"P2 Strong",IF($B57&gt;=5,"P3 Maybe","P4 Low")))))))))))</f>
        <v/>
      </c>
      <c r="B57" s="13" t="n">
        <v>5</v>
      </c>
      <c r="C57" s="12" t="inlineStr">
        <is>
          <t>Unspecified</t>
        </is>
      </c>
      <c r="D57" s="8" t="inlineStr">
        <is>
          <t>AI Research Engineer</t>
        </is>
      </c>
      <c r="E57" s="7" t="inlineStr">
        <is>
          <t>Graphcore</t>
        </is>
      </c>
      <c r="F57" s="8" t="inlineStr">
        <is>
          <t>Bristol, UK; Cambridge, UK; London, UK</t>
        </is>
      </c>
      <c r="G57" s="8" t="n"/>
      <c r="H57" s="14" t="n"/>
      <c r="I57" s="15">
        <f>IF($H57="","",$H57-TODAY())</f>
        <v/>
      </c>
      <c r="J57" s="16" t="inlineStr">
        <is>
          <t>Open posting</t>
        </is>
      </c>
      <c r="K57" s="8" t="n"/>
      <c r="L57" s="17" t="inlineStr">
        <is>
          <t>new</t>
        </is>
      </c>
      <c r="M57" s="18" t="inlineStr"/>
      <c r="N57" s="7" t="inlineStr">
        <is>
          <t>a95bcd3a01b424802027196a78bb5225e972c2d6</t>
        </is>
      </c>
      <c r="O57" s="14" t="n">
        <v>46189</v>
      </c>
      <c r="P57" s="7" t="inlineStr">
        <is>
          <t>greenhouse:graphcore</t>
        </is>
      </c>
      <c r="Q57" s="8" t="inlineStr"/>
      <c r="R57" s="8" t="n"/>
      <c r="S57" s="19" t="n"/>
      <c r="T57" s="19" t="n"/>
      <c r="U57" s="14" t="n">
        <v>46189</v>
      </c>
      <c r="V57" s="7" t="n"/>
    </row>
    <row r="58" ht="28" customHeight="1">
      <c r="A58" s="12">
        <f>IF($L58="applied","Applied",IF($L58="interview","Interview",IF($L58="offer","Offer",IF($L58="rejected","Rejected",IF($L58="ignore","Ignore",IF($L58="archive","Archive",IF($L58="closed","Closed",IF($B58="","Unscored",IF(AND($B58&gt;=8,OR($H58="",$H58-TODAY()&lt;=14)),"P1 Apply",IF($B58&gt;=7,"P2 Strong",IF($B58&gt;=5,"P3 Maybe","P4 Low")))))))))))</f>
        <v/>
      </c>
      <c r="B58" s="13" t="n">
        <v>5</v>
      </c>
      <c r="C58" s="12" t="inlineStr">
        <is>
          <t>Senior/Lead</t>
        </is>
      </c>
      <c r="D58" s="8" t="inlineStr">
        <is>
          <t>Atlassian Engineer</t>
        </is>
      </c>
      <c r="E58" s="7" t="inlineStr">
        <is>
          <t>Graphcore</t>
        </is>
      </c>
      <c r="F58" s="8" t="inlineStr">
        <is>
          <t>Bengaluru, India</t>
        </is>
      </c>
      <c r="G58" s="8" t="n"/>
      <c r="H58" s="14" t="n"/>
      <c r="I58" s="15">
        <f>IF($H58="","",$H58-TODAY())</f>
        <v/>
      </c>
      <c r="J58" s="16" t="inlineStr">
        <is>
          <t>Open posting</t>
        </is>
      </c>
      <c r="K58" s="8" t="n"/>
      <c r="L58" s="17" t="inlineStr">
        <is>
          <t>new</t>
        </is>
      </c>
      <c r="M58" s="18" t="inlineStr"/>
      <c r="N58" s="7" t="inlineStr">
        <is>
          <t>7a9950437a23ff2a7512dc76539a24f9f8372863</t>
        </is>
      </c>
      <c r="O58" s="14" t="n">
        <v>46189</v>
      </c>
      <c r="P58" s="7" t="inlineStr">
        <is>
          <t>greenhouse:graphcore</t>
        </is>
      </c>
      <c r="Q58" s="8" t="inlineStr"/>
      <c r="R58" s="8" t="n"/>
      <c r="S58" s="19" t="n"/>
      <c r="T58" s="19" t="n"/>
      <c r="U58" s="14" t="n">
        <v>46189</v>
      </c>
      <c r="V58" s="7" t="n"/>
    </row>
    <row r="59" ht="28" customHeight="1">
      <c r="A59" s="12">
        <f>IF($L59="applied","Applied",IF($L59="interview","Interview",IF($L59="offer","Offer",IF($L59="rejected","Rejected",IF($L59="ignore","Ignore",IF($L59="archive","Archive",IF($L59="closed","Closed",IF($B59="","Unscored",IF(AND($B59&gt;=8,OR($H59="",$H59-TODAY()&lt;=14)),"P1 Apply",IF($B59&gt;=7,"P2 Strong",IF($B59&gt;=5,"P3 Maybe","P4 Low")))))))))))</f>
        <v/>
      </c>
      <c r="B59" s="13" t="n">
        <v>5</v>
      </c>
      <c r="C59" s="12" t="inlineStr">
        <is>
          <t>Senior/Lead</t>
        </is>
      </c>
      <c r="D59" s="8" t="inlineStr">
        <is>
          <t>Automation Engineer</t>
        </is>
      </c>
      <c r="E59" s="7" t="inlineStr">
        <is>
          <t>Graphcore</t>
        </is>
      </c>
      <c r="F59" s="8" t="inlineStr">
        <is>
          <t>Bristol, UK</t>
        </is>
      </c>
      <c r="G59" s="8" t="n"/>
      <c r="H59" s="14" t="n"/>
      <c r="I59" s="15">
        <f>IF($H59="","",$H59-TODAY())</f>
        <v/>
      </c>
      <c r="J59" s="16" t="inlineStr">
        <is>
          <t>Open posting</t>
        </is>
      </c>
      <c r="K59" s="8" t="n"/>
      <c r="L59" s="17" t="inlineStr">
        <is>
          <t>new</t>
        </is>
      </c>
      <c r="M59" s="18" t="inlineStr"/>
      <c r="N59" s="7" t="inlineStr">
        <is>
          <t>120b4cec280e9d6812295a001d8f41371fe85412</t>
        </is>
      </c>
      <c r="O59" s="14" t="n">
        <v>46189</v>
      </c>
      <c r="P59" s="7" t="inlineStr">
        <is>
          <t>greenhouse:graphcore</t>
        </is>
      </c>
      <c r="Q59" s="8" t="inlineStr"/>
      <c r="R59" s="8" t="n"/>
      <c r="S59" s="19" t="n"/>
      <c r="T59" s="19" t="n"/>
      <c r="U59" s="14" t="n">
        <v>46189</v>
      </c>
      <c r="V59" s="7" t="n"/>
    </row>
    <row r="60" ht="28" customHeight="1">
      <c r="A60" s="12">
        <f>IF($L60="applied","Applied",IF($L60="interview","Interview",IF($L60="offer","Offer",IF($L60="rejected","Rejected",IF($L60="ignore","Ignore",IF($L60="archive","Archive",IF($L60="closed","Closed",IF($B60="","Unscored",IF(AND($B60&gt;=8,OR($H60="",$H60-TODAY()&lt;=14)),"P1 Apply",IF($B60&gt;=7,"P2 Strong",IF($B60&gt;=5,"P3 Maybe","P4 Low")))))))))))</f>
        <v/>
      </c>
      <c r="B60" s="13" t="n">
        <v>5</v>
      </c>
      <c r="C60" s="12" t="inlineStr">
        <is>
          <t>Senior/Lead</t>
        </is>
      </c>
      <c r="D60" s="8" t="inlineStr">
        <is>
          <t>BMC Engineer</t>
        </is>
      </c>
      <c r="E60" s="7" t="inlineStr">
        <is>
          <t>Graphcore</t>
        </is>
      </c>
      <c r="F60" s="8" t="inlineStr">
        <is>
          <t>Gdańsk, Pomeranian Voivodeship, Poland</t>
        </is>
      </c>
      <c r="G60" s="8" t="n"/>
      <c r="H60" s="14" t="n"/>
      <c r="I60" s="15">
        <f>IF($H60="","",$H60-TODAY())</f>
        <v/>
      </c>
      <c r="J60" s="16" t="inlineStr">
        <is>
          <t>Open posting</t>
        </is>
      </c>
      <c r="K60" s="8" t="n"/>
      <c r="L60" s="17" t="inlineStr">
        <is>
          <t>new</t>
        </is>
      </c>
      <c r="M60" s="18" t="inlineStr"/>
      <c r="N60" s="7" t="inlineStr">
        <is>
          <t>e43aee60d2c9de02e75b8a67699d6cc0b27a6e3f</t>
        </is>
      </c>
      <c r="O60" s="14" t="n">
        <v>46189</v>
      </c>
      <c r="P60" s="7" t="inlineStr">
        <is>
          <t>greenhouse:graphcore</t>
        </is>
      </c>
      <c r="Q60" s="8" t="inlineStr"/>
      <c r="R60" s="8" t="n"/>
      <c r="S60" s="19" t="n"/>
      <c r="T60" s="19" t="n"/>
      <c r="U60" s="14" t="n">
        <v>46189</v>
      </c>
      <c r="V60" s="7" t="n"/>
    </row>
    <row r="61" ht="28" customHeight="1">
      <c r="A61" s="12">
        <f>IF($L61="applied","Applied",IF($L61="interview","Interview",IF($L61="offer","Offer",IF($L61="rejected","Rejected",IF($L61="ignore","Ignore",IF($L61="archive","Archive",IF($L61="closed","Closed",IF($B61="","Unscored",IF(AND($B61&gt;=8,OR($H61="",$H61-TODAY()&lt;=14)),"P1 Apply",IF($B61&gt;=7,"P2 Strong",IF($B61&gt;=5,"P3 Maybe","P4 Low")))))))))))</f>
        <v/>
      </c>
      <c r="B61" s="13" t="n">
        <v>5</v>
      </c>
      <c r="C61" s="12" t="inlineStr">
        <is>
          <t>Unspecified</t>
        </is>
      </c>
      <c r="D61" s="8" t="inlineStr">
        <is>
          <t>Board Test Operations Engineer</t>
        </is>
      </c>
      <c r="E61" s="7" t="inlineStr">
        <is>
          <t>Graphcore</t>
        </is>
      </c>
      <c r="F61" s="8" t="inlineStr">
        <is>
          <t>Hsinchu City, Hsinchu City, Taiwan</t>
        </is>
      </c>
      <c r="G61" s="8" t="n"/>
      <c r="H61" s="14" t="n"/>
      <c r="I61" s="15">
        <f>IF($H61="","",$H61-TODAY())</f>
        <v/>
      </c>
      <c r="J61" s="16" t="inlineStr">
        <is>
          <t>Open posting</t>
        </is>
      </c>
      <c r="K61" s="8" t="n"/>
      <c r="L61" s="17" t="inlineStr">
        <is>
          <t>new</t>
        </is>
      </c>
      <c r="M61" s="18" t="inlineStr"/>
      <c r="N61" s="7" t="inlineStr">
        <is>
          <t>85f50a5f30ab6d37d627b930521d2c3545799ccd</t>
        </is>
      </c>
      <c r="O61" s="14" t="n">
        <v>46189</v>
      </c>
      <c r="P61" s="7" t="inlineStr">
        <is>
          <t>greenhouse:graphcore</t>
        </is>
      </c>
      <c r="Q61" s="8" t="inlineStr"/>
      <c r="R61" s="8" t="n"/>
      <c r="S61" s="19" t="n"/>
      <c r="T61" s="19" t="n"/>
      <c r="U61" s="14" t="n">
        <v>46189</v>
      </c>
      <c r="V61" s="7" t="n"/>
    </row>
    <row r="62" ht="28" customHeight="1">
      <c r="A62" s="12">
        <f>IF($L62="applied","Applied",IF($L62="interview","Interview",IF($L62="offer","Offer",IF($L62="rejected","Rejected",IF($L62="ignore","Ignore",IF($L62="archive","Archive",IF($L62="closed","Closed",IF($B62="","Unscored",IF(AND($B62&gt;=8,OR($H62="",$H62-TODAY()&lt;=14)),"P1 Apply",IF($B62&gt;=7,"P2 Strong",IF($B62&gt;=5,"P3 Maybe","P4 Low")))))))))))</f>
        <v/>
      </c>
      <c r="B62" s="13" t="n">
        <v>5</v>
      </c>
      <c r="C62" s="12" t="inlineStr">
        <is>
          <t>Manager/Owner</t>
        </is>
      </c>
      <c r="D62" s="8" t="inlineStr">
        <is>
          <t>Compliance Manager - Global Lab Environment</t>
        </is>
      </c>
      <c r="E62" s="7" t="inlineStr">
        <is>
          <t>Graphcore</t>
        </is>
      </c>
      <c r="F62" s="8" t="inlineStr">
        <is>
          <t>US - Milpitas</t>
        </is>
      </c>
      <c r="G62" s="8" t="n"/>
      <c r="H62" s="14" t="n"/>
      <c r="I62" s="15">
        <f>IF($H62="","",$H62-TODAY())</f>
        <v/>
      </c>
      <c r="J62" s="16" t="inlineStr">
        <is>
          <t>Open posting</t>
        </is>
      </c>
      <c r="K62" s="8" t="n"/>
      <c r="L62" s="17" t="inlineStr">
        <is>
          <t>new</t>
        </is>
      </c>
      <c r="M62" s="18" t="inlineStr"/>
      <c r="N62" s="7" t="inlineStr">
        <is>
          <t>48e3a0df49a7bc763a5dcb7fba9d96c56b9eeae1</t>
        </is>
      </c>
      <c r="O62" s="14" t="n">
        <v>46189</v>
      </c>
      <c r="P62" s="7" t="inlineStr">
        <is>
          <t>greenhouse:graphcore</t>
        </is>
      </c>
      <c r="Q62" s="8" t="inlineStr"/>
      <c r="R62" s="8" t="n"/>
      <c r="S62" s="19" t="n"/>
      <c r="T62" s="19" t="n"/>
      <c r="U62" s="14" t="n">
        <v>46189</v>
      </c>
      <c r="V62" s="7" t="n"/>
    </row>
    <row r="63" ht="28" customHeight="1">
      <c r="A63" s="12">
        <f>IF($L63="applied","Applied",IF($L63="interview","Interview",IF($L63="offer","Offer",IF($L63="rejected","Rejected",IF($L63="ignore","Ignore",IF($L63="archive","Archive",IF($L63="closed","Closed",IF($B63="","Unscored",IF(AND($B63&gt;=8,OR($H63="",$H63-TODAY()&lt;=14)),"P1 Apply",IF($B63&gt;=7,"P2 Strong",IF($B63&gt;=5,"P3 Maybe","P4 Low")))))))))))</f>
        <v/>
      </c>
      <c r="B63" s="13" t="n">
        <v>5</v>
      </c>
      <c r="C63" s="12" t="inlineStr">
        <is>
          <t>Unspecified</t>
        </is>
      </c>
      <c r="D63" s="8" t="inlineStr">
        <is>
          <t>Desktop and Engineering Support Engineer</t>
        </is>
      </c>
      <c r="E63" s="7" t="inlineStr">
        <is>
          <t>Graphcore</t>
        </is>
      </c>
      <c r="F63" s="8" t="inlineStr">
        <is>
          <t>臺北市, Taipei, Taiwan</t>
        </is>
      </c>
      <c r="G63" s="8" t="n"/>
      <c r="H63" s="14" t="n"/>
      <c r="I63" s="15">
        <f>IF($H63="","",$H63-TODAY())</f>
        <v/>
      </c>
      <c r="J63" s="16" t="inlineStr">
        <is>
          <t>Open posting</t>
        </is>
      </c>
      <c r="K63" s="8" t="n"/>
      <c r="L63" s="17" t="inlineStr">
        <is>
          <t>new</t>
        </is>
      </c>
      <c r="M63" s="18" t="inlineStr"/>
      <c r="N63" s="7" t="inlineStr">
        <is>
          <t>a1344cac629431ca87d31babade4f024b5bcd798</t>
        </is>
      </c>
      <c r="O63" s="14" t="n">
        <v>46189</v>
      </c>
      <c r="P63" s="7" t="inlineStr">
        <is>
          <t>greenhouse:graphcore</t>
        </is>
      </c>
      <c r="Q63" s="8" t="inlineStr"/>
      <c r="R63" s="8" t="n"/>
      <c r="S63" s="19" t="n"/>
      <c r="T63" s="19" t="n"/>
      <c r="U63" s="14" t="n">
        <v>46189</v>
      </c>
      <c r="V63" s="7" t="n"/>
    </row>
    <row r="64" ht="28" customHeight="1">
      <c r="A64" s="12">
        <f>IF($L64="applied","Applied",IF($L64="interview","Interview",IF($L64="offer","Offer",IF($L64="rejected","Rejected",IF($L64="ignore","Ignore",IF($L64="archive","Archive",IF($L64="closed","Closed",IF($B64="","Unscored",IF(AND($B64&gt;=8,OR($H64="",$H64-TODAY()&lt;=14)),"P1 Apply",IF($B64&gt;=7,"P2 Strong",IF($B64&gt;=5,"P3 Maybe","P4 Low")))))))))))</f>
        <v/>
      </c>
      <c r="B64" s="13" t="n">
        <v>5</v>
      </c>
      <c r="C64" s="12" t="inlineStr">
        <is>
          <t>Mid-level</t>
        </is>
      </c>
      <c r="D64" s="8" t="inlineStr">
        <is>
          <t>DFT Engineer</t>
        </is>
      </c>
      <c r="E64" s="7" t="inlineStr">
        <is>
          <t>Graphcore</t>
        </is>
      </c>
      <c r="F64" s="8" t="inlineStr">
        <is>
          <t>Bristol, UK; Cambridge, UK</t>
        </is>
      </c>
      <c r="G64" s="8" t="n"/>
      <c r="H64" s="14" t="n"/>
      <c r="I64" s="15">
        <f>IF($H64="","",$H64-TODAY())</f>
        <v/>
      </c>
      <c r="J64" s="16" t="inlineStr">
        <is>
          <t>Open posting</t>
        </is>
      </c>
      <c r="K64" s="8" t="n"/>
      <c r="L64" s="17" t="inlineStr">
        <is>
          <t>new</t>
        </is>
      </c>
      <c r="M64" s="18" t="inlineStr"/>
      <c r="N64" s="7" t="inlineStr">
        <is>
          <t>c383dd6aa7bf223c4ec0ba6e527227ff35dc5c00</t>
        </is>
      </c>
      <c r="O64" s="14" t="n">
        <v>46189</v>
      </c>
      <c r="P64" s="7" t="inlineStr">
        <is>
          <t>greenhouse:graphcore</t>
        </is>
      </c>
      <c r="Q64" s="8" t="inlineStr"/>
      <c r="R64" s="8" t="n"/>
      <c r="S64" s="19" t="n"/>
      <c r="T64" s="19" t="n"/>
      <c r="U64" s="14" t="n">
        <v>46189</v>
      </c>
      <c r="V64" s="7" t="n"/>
    </row>
    <row r="65" ht="28" customHeight="1">
      <c r="A65" s="12">
        <f>IF($L65="applied","Applied",IF($L65="interview","Interview",IF($L65="offer","Offer",IF($L65="rejected","Rejected",IF($L65="ignore","Ignore",IF($L65="archive","Archive",IF($L65="closed","Closed",IF($B65="","Unscored",IF(AND($B65&gt;=8,OR($H65="",$H65-TODAY()&lt;=14)),"P1 Apply",IF($B65&gt;=7,"P2 Strong",IF($B65&gt;=5,"P3 Maybe","P4 Low")))))))))))</f>
        <v/>
      </c>
      <c r="B65" s="13" t="n">
        <v>5</v>
      </c>
      <c r="C65" s="12" t="inlineStr">
        <is>
          <t>Senior/Lead</t>
        </is>
      </c>
      <c r="D65" s="8" t="inlineStr">
        <is>
          <t>Distinguished Engineer, End-to-End Security Architect</t>
        </is>
      </c>
      <c r="E65" s="7" t="inlineStr">
        <is>
          <t>Graphcore</t>
        </is>
      </c>
      <c r="F65" s="8" t="inlineStr">
        <is>
          <t>Austin, Texas, United States; US - Milpitas</t>
        </is>
      </c>
      <c r="G65" s="8" t="n"/>
      <c r="H65" s="14" t="n"/>
      <c r="I65" s="15">
        <f>IF($H65="","",$H65-TODAY())</f>
        <v/>
      </c>
      <c r="J65" s="16" t="inlineStr">
        <is>
          <t>Open posting</t>
        </is>
      </c>
      <c r="K65" s="8" t="n"/>
      <c r="L65" s="17" t="inlineStr">
        <is>
          <t>new</t>
        </is>
      </c>
      <c r="M65" s="18" t="inlineStr"/>
      <c r="N65" s="7" t="inlineStr">
        <is>
          <t>245584103bee2ad569d6d7dff163a45a08fd2d9c</t>
        </is>
      </c>
      <c r="O65" s="14" t="n">
        <v>46189</v>
      </c>
      <c r="P65" s="7" t="inlineStr">
        <is>
          <t>greenhouse:graphcore</t>
        </is>
      </c>
      <c r="Q65" s="8" t="inlineStr"/>
      <c r="R65" s="8" t="n"/>
      <c r="S65" s="19" t="n"/>
      <c r="T65" s="19" t="n"/>
      <c r="U65" s="14" t="n">
        <v>46189</v>
      </c>
      <c r="V65" s="7" t="n"/>
    </row>
    <row r="66" ht="28" customHeight="1">
      <c r="A66" s="12">
        <f>IF($L66="applied","Applied",IF($L66="interview","Interview",IF($L66="offer","Offer",IF($L66="rejected","Rejected",IF($L66="ignore","Ignore",IF($L66="archive","Archive",IF($L66="closed","Closed",IF($B66="","Unscored",IF(AND($B66&gt;=8,OR($H66="",$H66-TODAY()&lt;=14)),"P1 Apply",IF($B66&gt;=7,"P2 Strong",IF($B66&gt;=5,"P3 Maybe","P4 Low")))))))))))</f>
        <v/>
      </c>
      <c r="B66" s="13" t="n">
        <v>5</v>
      </c>
      <c r="C66" s="12" t="inlineStr">
        <is>
          <t>Mid-level</t>
        </is>
      </c>
      <c r="D66" s="8" t="inlineStr">
        <is>
          <t>Electrical Engineer</t>
        </is>
      </c>
      <c r="E66" s="7" t="inlineStr">
        <is>
          <t>Graphcore</t>
        </is>
      </c>
      <c r="F66" s="8" t="inlineStr">
        <is>
          <t>Austin, Texas, United States</t>
        </is>
      </c>
      <c r="G66" s="8" t="n"/>
      <c r="H66" s="14" t="n"/>
      <c r="I66" s="15">
        <f>IF($H66="","",$H66-TODAY())</f>
        <v/>
      </c>
      <c r="J66" s="16" t="inlineStr">
        <is>
          <t>Open posting</t>
        </is>
      </c>
      <c r="K66" s="8" t="n"/>
      <c r="L66" s="17" t="inlineStr">
        <is>
          <t>new</t>
        </is>
      </c>
      <c r="M66" s="18" t="inlineStr"/>
      <c r="N66" s="7" t="inlineStr">
        <is>
          <t>67721a28aff2fd56e940b4ca335efdafae3b999e</t>
        </is>
      </c>
      <c r="O66" s="14" t="n">
        <v>46189</v>
      </c>
      <c r="P66" s="7" t="inlineStr">
        <is>
          <t>greenhouse:graphcore</t>
        </is>
      </c>
      <c r="Q66" s="8" t="inlineStr"/>
      <c r="R66" s="8" t="n"/>
      <c r="S66" s="19" t="n"/>
      <c r="T66" s="19" t="n"/>
      <c r="U66" s="14" t="n">
        <v>46189</v>
      </c>
      <c r="V66" s="7" t="n"/>
    </row>
    <row r="67" ht="28" customHeight="1">
      <c r="A67" s="12">
        <f>IF($L67="applied","Applied",IF($L67="interview","Interview",IF($L67="offer","Offer",IF($L67="rejected","Rejected",IF($L67="ignore","Ignore",IF($L67="archive","Archive",IF($L67="closed","Closed",IF($B67="","Unscored",IF(AND($B67&gt;=8,OR($H67="",$H67-TODAY()&lt;=14)),"P1 Apply",IF($B67&gt;=7,"P2 Strong",IF($B67&gt;=5,"P3 Maybe","P4 Low")))))))))))</f>
        <v/>
      </c>
      <c r="B67" s="13" t="n">
        <v>5</v>
      </c>
      <c r="C67" s="12" t="inlineStr">
        <is>
          <t>Unspecified</t>
        </is>
      </c>
      <c r="D67" s="8" t="inlineStr">
        <is>
          <t>Electronics Lab Technician</t>
        </is>
      </c>
      <c r="E67" s="7" t="inlineStr">
        <is>
          <t>Graphcore</t>
        </is>
      </c>
      <c r="F67" s="8" t="inlineStr">
        <is>
          <t>Bristol, UK</t>
        </is>
      </c>
      <c r="G67" s="8" t="n"/>
      <c r="H67" s="14" t="n"/>
      <c r="I67" s="15">
        <f>IF($H67="","",$H67-TODAY())</f>
        <v/>
      </c>
      <c r="J67" s="16" t="inlineStr">
        <is>
          <t>Open posting</t>
        </is>
      </c>
      <c r="K67" s="8" t="n"/>
      <c r="L67" s="17" t="inlineStr">
        <is>
          <t>new</t>
        </is>
      </c>
      <c r="M67" s="18" t="inlineStr"/>
      <c r="N67" s="7" t="inlineStr">
        <is>
          <t>4b30aa96b0f15d99cd4f0042755fa67d67e7608a</t>
        </is>
      </c>
      <c r="O67" s="14" t="n">
        <v>46189</v>
      </c>
      <c r="P67" s="7" t="inlineStr">
        <is>
          <t>greenhouse:graphcore</t>
        </is>
      </c>
      <c r="Q67" s="8" t="inlineStr"/>
      <c r="R67" s="8" t="n"/>
      <c r="S67" s="19" t="n"/>
      <c r="T67" s="19" t="n"/>
      <c r="U67" s="14" t="n">
        <v>46189</v>
      </c>
      <c r="V67" s="7" t="n"/>
    </row>
    <row r="68" ht="28" customHeight="1">
      <c r="A68" s="12">
        <f>IF($L68="applied","Applied",IF($L68="interview","Interview",IF($L68="offer","Offer",IF($L68="rejected","Rejected",IF($L68="ignore","Ignore",IF($L68="archive","Archive",IF($L68="closed","Closed",IF($B68="","Unscored",IF(AND($B68&gt;=8,OR($H68="",$H68-TODAY()&lt;=14)),"P1 Apply",IF($B68&gt;=7,"P2 Strong",IF($B68&gt;=5,"P3 Maybe","P4 Low")))))))))))</f>
        <v/>
      </c>
      <c r="B68" s="13" t="n">
        <v>5</v>
      </c>
      <c r="C68" s="12" t="inlineStr">
        <is>
          <t>Unspecified</t>
        </is>
      </c>
      <c r="D68" s="8" t="inlineStr">
        <is>
          <t>Electronics Lab Technician</t>
        </is>
      </c>
      <c r="E68" s="7" t="inlineStr">
        <is>
          <t>Graphcore</t>
        </is>
      </c>
      <c r="F68" s="8" t="inlineStr">
        <is>
          <t>Bristol, UK</t>
        </is>
      </c>
      <c r="G68" s="8" t="n"/>
      <c r="H68" s="14" t="n"/>
      <c r="I68" s="15">
        <f>IF($H68="","",$H68-TODAY())</f>
        <v/>
      </c>
      <c r="J68" s="16" t="inlineStr">
        <is>
          <t>Open posting</t>
        </is>
      </c>
      <c r="K68" s="8" t="n"/>
      <c r="L68" s="17" t="inlineStr">
        <is>
          <t>new</t>
        </is>
      </c>
      <c r="M68" s="18" t="inlineStr"/>
      <c r="N68" s="7" t="inlineStr">
        <is>
          <t>20bc61a6d87e7dfe71a83f195f77ace0ab470636</t>
        </is>
      </c>
      <c r="O68" s="14" t="n">
        <v>46189</v>
      </c>
      <c r="P68" s="7" t="inlineStr">
        <is>
          <t>greenhouse:graphcore</t>
        </is>
      </c>
      <c r="Q68" s="8" t="inlineStr"/>
      <c r="R68" s="8" t="n"/>
      <c r="S68" s="19" t="n"/>
      <c r="T68" s="19" t="n"/>
      <c r="U68" s="14" t="n">
        <v>46189</v>
      </c>
      <c r="V68" s="7" t="n"/>
    </row>
    <row r="69" ht="28" customHeight="1">
      <c r="A69" s="12">
        <f>IF($L69="applied","Applied",IF($L69="interview","Interview",IF($L69="offer","Offer",IF($L69="rejected","Rejected",IF($L69="ignore","Ignore",IF($L69="archive","Archive",IF($L69="closed","Closed",IF($B69="","Unscored",IF(AND($B69&gt;=8,OR($H69="",$H69-TODAY()&lt;=14)),"P1 Apply",IF($B69&gt;=7,"P2 Strong",IF($B69&gt;=5,"P3 Maybe","P4 Low")))))))))))</f>
        <v/>
      </c>
      <c r="B69" s="13" t="n">
        <v>5</v>
      </c>
      <c r="C69" s="12" t="inlineStr">
        <is>
          <t>Manager/Owner</t>
        </is>
      </c>
      <c r="D69" s="8" t="inlineStr">
        <is>
          <t>Engineering Program Manager</t>
        </is>
      </c>
      <c r="E69" s="7" t="inlineStr">
        <is>
          <t>Graphcore</t>
        </is>
      </c>
      <c r="F69" s="8" t="inlineStr">
        <is>
          <t>Austin, Texas, United States</t>
        </is>
      </c>
      <c r="G69" s="8" t="n"/>
      <c r="H69" s="14" t="n"/>
      <c r="I69" s="15">
        <f>IF($H69="","",$H69-TODAY())</f>
        <v/>
      </c>
      <c r="J69" s="16" t="inlineStr">
        <is>
          <t>Open posting</t>
        </is>
      </c>
      <c r="K69" s="8" t="n"/>
      <c r="L69" s="17" t="inlineStr">
        <is>
          <t>new</t>
        </is>
      </c>
      <c r="M69" s="18" t="inlineStr"/>
      <c r="N69" s="7" t="inlineStr">
        <is>
          <t>2893fc34705f29f59b57ada8196d1b36662cfb5d</t>
        </is>
      </c>
      <c r="O69" s="14" t="n">
        <v>46189</v>
      </c>
      <c r="P69" s="7" t="inlineStr">
        <is>
          <t>greenhouse:graphcore</t>
        </is>
      </c>
      <c r="Q69" s="8" t="inlineStr"/>
      <c r="R69" s="8" t="n"/>
      <c r="S69" s="19" t="n"/>
      <c r="T69" s="19" t="n"/>
      <c r="U69" s="14" t="n">
        <v>46189</v>
      </c>
      <c r="V69" s="7" t="n"/>
    </row>
    <row r="70" ht="28" customHeight="1">
      <c r="A70" s="12">
        <f>IF($L70="applied","Applied",IF($L70="interview","Interview",IF($L70="offer","Offer",IF($L70="rejected","Rejected",IF($L70="ignore","Ignore",IF($L70="archive","Archive",IF($L70="closed","Closed",IF($B70="","Unscored",IF(AND($B70&gt;=8,OR($H70="",$H70-TODAY()&lt;=14)),"P1 Apply",IF($B70&gt;=7,"P2 Strong",IF($B70&gt;=5,"P3 Maybe","P4 Low")))))))))))</f>
        <v/>
      </c>
      <c r="B70" s="13" t="n">
        <v>5</v>
      </c>
      <c r="C70" s="12" t="inlineStr">
        <is>
          <t>Manager/Owner</t>
        </is>
      </c>
      <c r="D70" s="8" t="inlineStr">
        <is>
          <t>Global Sourcing Manager - Rack and Mechanicals</t>
        </is>
      </c>
      <c r="E70" s="7" t="inlineStr">
        <is>
          <t>Graphcore</t>
        </is>
      </c>
      <c r="F70" s="8" t="inlineStr">
        <is>
          <t>US - Milpitas</t>
        </is>
      </c>
      <c r="G70" s="8" t="n"/>
      <c r="H70" s="14" t="n"/>
      <c r="I70" s="15">
        <f>IF($H70="","",$H70-TODAY())</f>
        <v/>
      </c>
      <c r="J70" s="16" t="inlineStr">
        <is>
          <t>Open posting</t>
        </is>
      </c>
      <c r="K70" s="8" t="n"/>
      <c r="L70" s="17" t="inlineStr">
        <is>
          <t>new</t>
        </is>
      </c>
      <c r="M70" s="18" t="inlineStr"/>
      <c r="N70" s="7" t="inlineStr">
        <is>
          <t>3872568f4a3d27ee77abf40d309e0fa34abfb464</t>
        </is>
      </c>
      <c r="O70" s="14" t="n">
        <v>46189</v>
      </c>
      <c r="P70" s="7" t="inlineStr">
        <is>
          <t>greenhouse:graphcore</t>
        </is>
      </c>
      <c r="Q70" s="8" t="inlineStr"/>
      <c r="R70" s="8" t="n"/>
      <c r="S70" s="19" t="n"/>
      <c r="T70" s="19" t="n"/>
      <c r="U70" s="14" t="n">
        <v>46189</v>
      </c>
      <c r="V70" s="7" t="n"/>
    </row>
    <row r="71" ht="28" customHeight="1">
      <c r="A71" s="12">
        <f>IF($L71="applied","Applied",IF($L71="interview","Interview",IF($L71="offer","Offer",IF($L71="rejected","Rejected",IF($L71="ignore","Ignore",IF($L71="archive","Archive",IF($L71="closed","Closed",IF($B71="","Unscored",IF(AND($B71&gt;=8,OR($H71="",$H71-TODAY()&lt;=14)),"P1 Apply",IF($B71&gt;=7,"P2 Strong",IF($B71&gt;=5,"P3 Maybe","P4 Low")))))))))))</f>
        <v/>
      </c>
      <c r="B71" s="13" t="n">
        <v>5</v>
      </c>
      <c r="C71" s="12" t="inlineStr">
        <is>
          <t>Mid-level</t>
        </is>
      </c>
      <c r="D71" s="8" t="inlineStr">
        <is>
          <t>GPU Architect</t>
        </is>
      </c>
      <c r="E71" s="7" t="inlineStr">
        <is>
          <t>Graphcore</t>
        </is>
      </c>
      <c r="F71" s="8" t="inlineStr">
        <is>
          <t>US - Milpitas</t>
        </is>
      </c>
      <c r="G71" s="8" t="n"/>
      <c r="H71" s="14" t="n"/>
      <c r="I71" s="15">
        <f>IF($H71="","",$H71-TODAY())</f>
        <v/>
      </c>
      <c r="J71" s="16" t="inlineStr">
        <is>
          <t>Open posting</t>
        </is>
      </c>
      <c r="K71" s="8" t="n"/>
      <c r="L71" s="17" t="inlineStr">
        <is>
          <t>new</t>
        </is>
      </c>
      <c r="M71" s="18" t="inlineStr"/>
      <c r="N71" s="7" t="inlineStr">
        <is>
          <t>00459d72623c29321f2d2b39dc4508ae2eae10b9</t>
        </is>
      </c>
      <c r="O71" s="14" t="n">
        <v>46189</v>
      </c>
      <c r="P71" s="7" t="inlineStr">
        <is>
          <t>greenhouse:graphcore</t>
        </is>
      </c>
      <c r="Q71" s="8" t="inlineStr"/>
      <c r="R71" s="8" t="n"/>
      <c r="S71" s="19" t="n"/>
      <c r="T71" s="19" t="n"/>
      <c r="U71" s="14" t="n">
        <v>46189</v>
      </c>
      <c r="V71" s="7" t="n"/>
    </row>
    <row r="72" ht="28" customHeight="1">
      <c r="A72" s="12">
        <f>IF($L72="applied","Applied",IF($L72="interview","Interview",IF($L72="offer","Offer",IF($L72="rejected","Rejected",IF($L72="ignore","Ignore",IF($L72="archive","Archive",IF($L72="closed","Closed",IF($B72="","Unscored",IF(AND($B72&gt;=8,OR($H72="",$H72-TODAY()&lt;=14)),"P1 Apply",IF($B72&gt;=7,"P2 Strong",IF($B72&gt;=5,"P3 Maybe","P4 Low")))))))))))</f>
        <v/>
      </c>
      <c r="B72" s="13" t="n">
        <v>5</v>
      </c>
      <c r="C72" s="12" t="inlineStr">
        <is>
          <t>Graduate/Entry</t>
        </is>
      </c>
      <c r="D72" s="8" t="inlineStr">
        <is>
          <t>Graduate Silicon Engineer</t>
        </is>
      </c>
      <c r="E72" s="7" t="inlineStr">
        <is>
          <t>Graphcore</t>
        </is>
      </c>
      <c r="F72" s="8" t="inlineStr">
        <is>
          <t>Cambridge, UK</t>
        </is>
      </c>
      <c r="G72" s="8" t="n"/>
      <c r="H72" s="14" t="n"/>
      <c r="I72" s="15">
        <f>IF($H72="","",$H72-TODAY())</f>
        <v/>
      </c>
      <c r="J72" s="16" t="inlineStr">
        <is>
          <t>Open posting</t>
        </is>
      </c>
      <c r="K72" s="8" t="n"/>
      <c r="L72" s="17" t="inlineStr">
        <is>
          <t>new</t>
        </is>
      </c>
      <c r="M72" s="18" t="inlineStr"/>
      <c r="N72" s="7" t="inlineStr">
        <is>
          <t>73cd4aef40636c4c18cfecdd042be26dba7ead5e</t>
        </is>
      </c>
      <c r="O72" s="14" t="n">
        <v>46189</v>
      </c>
      <c r="P72" s="7" t="inlineStr">
        <is>
          <t>greenhouse:graphcore</t>
        </is>
      </c>
      <c r="Q72" s="8" t="inlineStr"/>
      <c r="R72" s="8" t="n"/>
      <c r="S72" s="19" t="n"/>
      <c r="T72" s="19" t="n"/>
      <c r="U72" s="14" t="n">
        <v>46189</v>
      </c>
      <c r="V72" s="7" t="n"/>
    </row>
    <row r="73" ht="28" customHeight="1">
      <c r="A73" s="12">
        <f>IF($L73="applied","Applied",IF($L73="interview","Interview",IF($L73="offer","Offer",IF($L73="rejected","Rejected",IF($L73="ignore","Ignore",IF($L73="archive","Archive",IF($L73="closed","Closed",IF($B73="","Unscored",IF(AND($B73&gt;=8,OR($H73="",$H73-TODAY()&lt;=14)),"P1 Apply",IF($B73&gt;=7,"P2 Strong",IF($B73&gt;=5,"P3 Maybe","P4 Low")))))))))))</f>
        <v/>
      </c>
      <c r="B73" s="13" t="n">
        <v>5</v>
      </c>
      <c r="C73" s="12" t="inlineStr">
        <is>
          <t>Graduate/Entry</t>
        </is>
      </c>
      <c r="D73" s="8" t="inlineStr">
        <is>
          <t>Graduate Silicon Engineer</t>
        </is>
      </c>
      <c r="E73" s="7" t="inlineStr">
        <is>
          <t>Graphcore</t>
        </is>
      </c>
      <c r="F73" s="8" t="inlineStr">
        <is>
          <t>Bristol, UK</t>
        </is>
      </c>
      <c r="G73" s="8" t="n"/>
      <c r="H73" s="14" t="n"/>
      <c r="I73" s="15">
        <f>IF($H73="","",$H73-TODAY())</f>
        <v/>
      </c>
      <c r="J73" s="16" t="inlineStr">
        <is>
          <t>Open posting</t>
        </is>
      </c>
      <c r="K73" s="8" t="n"/>
      <c r="L73" s="17" t="inlineStr">
        <is>
          <t>new</t>
        </is>
      </c>
      <c r="M73" s="18" t="inlineStr"/>
      <c r="N73" s="7" t="inlineStr">
        <is>
          <t>5dad5e3fb55d3cbbcbfad0a9d3134a58a97a0624</t>
        </is>
      </c>
      <c r="O73" s="14" t="n">
        <v>46189</v>
      </c>
      <c r="P73" s="7" t="inlineStr">
        <is>
          <t>greenhouse:graphcore</t>
        </is>
      </c>
      <c r="Q73" s="8" t="inlineStr"/>
      <c r="R73" s="8" t="n"/>
      <c r="S73" s="19" t="n"/>
      <c r="T73" s="19" t="n"/>
      <c r="U73" s="14" t="n">
        <v>46189</v>
      </c>
      <c r="V73" s="7" t="n"/>
    </row>
    <row r="74" ht="28" customHeight="1">
      <c r="A74" s="12">
        <f>IF($L74="applied","Applied",IF($L74="interview","Interview",IF($L74="offer","Offer",IF($L74="rejected","Rejected",IF($L74="ignore","Ignore",IF($L74="archive","Archive",IF($L74="closed","Closed",IF($B74="","Unscored",IF(AND($B74&gt;=8,OR($H74="",$H74-TODAY()&lt;=14)),"P1 Apply",IF($B74&gt;=7,"P2 Strong",IF($B74&gt;=5,"P3 Maybe","P4 Low")))))))))))</f>
        <v/>
      </c>
      <c r="B74" s="13" t="n">
        <v>5</v>
      </c>
      <c r="C74" s="12" t="inlineStr">
        <is>
          <t>Graduate/Entry</t>
        </is>
      </c>
      <c r="D74" s="8" t="inlineStr">
        <is>
          <t>Graduate SoC Architect</t>
        </is>
      </c>
      <c r="E74" s="7" t="inlineStr">
        <is>
          <t>Graphcore</t>
        </is>
      </c>
      <c r="F74" s="8" t="inlineStr">
        <is>
          <t>Bristol, UK</t>
        </is>
      </c>
      <c r="G74" s="8" t="n"/>
      <c r="H74" s="14" t="n"/>
      <c r="I74" s="15">
        <f>IF($H74="","",$H74-TODAY())</f>
        <v/>
      </c>
      <c r="J74" s="16" t="inlineStr">
        <is>
          <t>Open posting</t>
        </is>
      </c>
      <c r="K74" s="8" t="n"/>
      <c r="L74" s="17" t="inlineStr">
        <is>
          <t>new</t>
        </is>
      </c>
      <c r="M74" s="18" t="inlineStr"/>
      <c r="N74" s="7" t="inlineStr">
        <is>
          <t>e9897bf5eabc3ce2d0d93ca51a9b668521aa52f0</t>
        </is>
      </c>
      <c r="O74" s="14" t="n">
        <v>46189</v>
      </c>
      <c r="P74" s="7" t="inlineStr">
        <is>
          <t>greenhouse:graphcore</t>
        </is>
      </c>
      <c r="Q74" s="8" t="inlineStr"/>
      <c r="R74" s="8" t="n"/>
      <c r="S74" s="19" t="n"/>
      <c r="T74" s="19" t="n"/>
      <c r="U74" s="14" t="n">
        <v>46189</v>
      </c>
      <c r="V74" s="7" t="n"/>
    </row>
    <row r="75" ht="28" customHeight="1">
      <c r="A75" s="12">
        <f>IF($L75="applied","Applied",IF($L75="interview","Interview",IF($L75="offer","Offer",IF($L75="rejected","Rejected",IF($L75="ignore","Ignore",IF($L75="archive","Archive",IF($L75="closed","Closed",IF($B75="","Unscored",IF(AND($B75&gt;=8,OR($H75="",$H75-TODAY()&lt;=14)),"P1 Apply",IF($B75&gt;=7,"P2 Strong",IF($B75&gt;=5,"P3 Maybe","P4 Low")))))))))))</f>
        <v/>
      </c>
      <c r="B75" s="13" t="n">
        <v>5</v>
      </c>
      <c r="C75" s="12" t="inlineStr">
        <is>
          <t>Mid-level</t>
        </is>
      </c>
      <c r="D75" s="8" t="inlineStr">
        <is>
          <t>Hardware Development Engineer</t>
        </is>
      </c>
      <c r="E75" s="7" t="inlineStr">
        <is>
          <t>Graphcore</t>
        </is>
      </c>
      <c r="F75" s="8" t="inlineStr">
        <is>
          <t>Bristol, UK</t>
        </is>
      </c>
      <c r="G75" s="8" t="n"/>
      <c r="H75" s="14" t="n"/>
      <c r="I75" s="15">
        <f>IF($H75="","",$H75-TODAY())</f>
        <v/>
      </c>
      <c r="J75" s="16" t="inlineStr">
        <is>
          <t>Open posting</t>
        </is>
      </c>
      <c r="K75" s="8" t="n"/>
      <c r="L75" s="17" t="inlineStr">
        <is>
          <t>new</t>
        </is>
      </c>
      <c r="M75" s="18" t="inlineStr"/>
      <c r="N75" s="7" t="inlineStr">
        <is>
          <t>d00a4b77c80636db26a777c65d16acf6d09cd7d6</t>
        </is>
      </c>
      <c r="O75" s="14" t="n">
        <v>46189</v>
      </c>
      <c r="P75" s="7" t="inlineStr">
        <is>
          <t>greenhouse:graphcore</t>
        </is>
      </c>
      <c r="Q75" s="8" t="inlineStr"/>
      <c r="R75" s="8" t="n"/>
      <c r="S75" s="19" t="n"/>
      <c r="T75" s="19" t="n"/>
      <c r="U75" s="14" t="n">
        <v>46189</v>
      </c>
      <c r="V75" s="7" t="n"/>
    </row>
    <row r="76" ht="28" customHeight="1">
      <c r="A76" s="12">
        <f>IF($L76="applied","Applied",IF($L76="interview","Interview",IF($L76="offer","Offer",IF($L76="rejected","Rejected",IF($L76="ignore","Ignore",IF($L76="archive","Archive",IF($L76="closed","Closed",IF($B76="","Unscored",IF(AND($B76&gt;=8,OR($H76="",$H76-TODAY()&lt;=14)),"P1 Apply",IF($B76&gt;=7,"P2 Strong",IF($B76&gt;=5,"P3 Maybe","P4 Low")))))))))))</f>
        <v/>
      </c>
      <c r="B76" s="13" t="n">
        <v>5</v>
      </c>
      <c r="C76" s="12" t="inlineStr">
        <is>
          <t>Senior/Lead</t>
        </is>
      </c>
      <c r="D76" s="8" t="inlineStr">
        <is>
          <t>Hardware Reliability Engineer</t>
        </is>
      </c>
      <c r="E76" s="7" t="inlineStr">
        <is>
          <t>Graphcore</t>
        </is>
      </c>
      <c r="F76" s="8" t="inlineStr">
        <is>
          <t>Hsinchu City, Hsinchu City, Taiwan; 臺北市, Taipei, Taiwan</t>
        </is>
      </c>
      <c r="G76" s="8" t="n"/>
      <c r="H76" s="14" t="n"/>
      <c r="I76" s="15">
        <f>IF($H76="","",$H76-TODAY())</f>
        <v/>
      </c>
      <c r="J76" s="16" t="inlineStr">
        <is>
          <t>Open posting</t>
        </is>
      </c>
      <c r="K76" s="8" t="n"/>
      <c r="L76" s="17" t="inlineStr">
        <is>
          <t>new</t>
        </is>
      </c>
      <c r="M76" s="18" t="inlineStr"/>
      <c r="N76" s="7" t="inlineStr">
        <is>
          <t>e861ecac06f23d00b86b365bc97ebd4ff3dec171</t>
        </is>
      </c>
      <c r="O76" s="14" t="n">
        <v>46189</v>
      </c>
      <c r="P76" s="7" t="inlineStr">
        <is>
          <t>greenhouse:graphcore</t>
        </is>
      </c>
      <c r="Q76" s="8" t="inlineStr"/>
      <c r="R76" s="8" t="n"/>
      <c r="S76" s="19" t="n"/>
      <c r="T76" s="19" t="n"/>
      <c r="U76" s="14" t="n">
        <v>46189</v>
      </c>
      <c r="V76" s="7" t="n"/>
    </row>
    <row r="77" ht="28" customHeight="1">
      <c r="A77" s="12">
        <f>IF($L77="applied","Applied",IF($L77="interview","Interview",IF($L77="offer","Offer",IF($L77="rejected","Rejected",IF($L77="ignore","Ignore",IF($L77="archive","Archive",IF($L77="closed","Closed",IF($B77="","Unscored",IF(AND($B77&gt;=8,OR($H77="",$H77-TODAY()&lt;=14)),"P1 Apply",IF($B77&gt;=7,"P2 Strong",IF($B77&gt;=5,"P3 Maybe","P4 Low")))))))))))</f>
        <v/>
      </c>
      <c r="B77" s="13" t="n">
        <v>5</v>
      </c>
      <c r="C77" s="12" t="inlineStr">
        <is>
          <t>Unspecified</t>
        </is>
      </c>
      <c r="D77" s="8" t="inlineStr">
        <is>
          <t>Hardware Validation and Debug Engineer - DDR</t>
        </is>
      </c>
      <c r="E77" s="7" t="inlineStr">
        <is>
          <t>Graphcore</t>
        </is>
      </c>
      <c r="F77" s="8" t="inlineStr">
        <is>
          <t>Bristol, UK</t>
        </is>
      </c>
      <c r="G77" s="8" t="n"/>
      <c r="H77" s="14" t="n"/>
      <c r="I77" s="15">
        <f>IF($H77="","",$H77-TODAY())</f>
        <v/>
      </c>
      <c r="J77" s="16" t="inlineStr">
        <is>
          <t>Open posting</t>
        </is>
      </c>
      <c r="K77" s="8" t="n"/>
      <c r="L77" s="17" t="inlineStr">
        <is>
          <t>new</t>
        </is>
      </c>
      <c r="M77" s="18" t="inlineStr"/>
      <c r="N77" s="7" t="inlineStr">
        <is>
          <t>c3efb9f735b631d34e08ed841c3490dfeacdfb13</t>
        </is>
      </c>
      <c r="O77" s="14" t="n">
        <v>46189</v>
      </c>
      <c r="P77" s="7" t="inlineStr">
        <is>
          <t>greenhouse:graphcore</t>
        </is>
      </c>
      <c r="Q77" s="8" t="inlineStr"/>
      <c r="R77" s="8" t="n"/>
      <c r="S77" s="19" t="n"/>
      <c r="T77" s="19" t="n"/>
      <c r="U77" s="14" t="n">
        <v>46189</v>
      </c>
      <c r="V77" s="7" t="n"/>
    </row>
    <row r="78" ht="28" customHeight="1">
      <c r="A78" s="12">
        <f>IF($L78="applied","Applied",IF($L78="interview","Interview",IF($L78="offer","Offer",IF($L78="rejected","Rejected",IF($L78="ignore","Ignore",IF($L78="archive","Archive",IF($L78="closed","Closed",IF($B78="","Unscored",IF(AND($B78&gt;=8,OR($H78="",$H78-TODAY()&lt;=14)),"P1 Apply",IF($B78&gt;=7,"P2 Strong",IF($B78&gt;=5,"P3 Maybe","P4 Low")))))))))))</f>
        <v/>
      </c>
      <c r="B78" s="13" t="n">
        <v>5</v>
      </c>
      <c r="C78" s="12" t="inlineStr">
        <is>
          <t>Senior/Lead</t>
        </is>
      </c>
      <c r="D78" s="8" t="inlineStr">
        <is>
          <t>Hardware Validation &amp; Debug Engineer</t>
        </is>
      </c>
      <c r="E78" s="7" t="inlineStr">
        <is>
          <t>Graphcore</t>
        </is>
      </c>
      <c r="F78" s="8" t="inlineStr">
        <is>
          <t>Bristol, UK</t>
        </is>
      </c>
      <c r="G78" s="8" t="n"/>
      <c r="H78" s="14" t="n"/>
      <c r="I78" s="15">
        <f>IF($H78="","",$H78-TODAY())</f>
        <v/>
      </c>
      <c r="J78" s="16" t="inlineStr">
        <is>
          <t>Open posting</t>
        </is>
      </c>
      <c r="K78" s="8" t="n"/>
      <c r="L78" s="17" t="inlineStr">
        <is>
          <t>new</t>
        </is>
      </c>
      <c r="M78" s="18" t="inlineStr"/>
      <c r="N78" s="7" t="inlineStr">
        <is>
          <t>71a24caf3157186fd0f005bad12bfc712e2ae851</t>
        </is>
      </c>
      <c r="O78" s="14" t="n">
        <v>46189</v>
      </c>
      <c r="P78" s="7" t="inlineStr">
        <is>
          <t>greenhouse:graphcore</t>
        </is>
      </c>
      <c r="Q78" s="8" t="inlineStr"/>
      <c r="R78" s="8" t="n"/>
      <c r="S78" s="19" t="n"/>
      <c r="T78" s="19" t="n"/>
      <c r="U78" s="14" t="n">
        <v>46189</v>
      </c>
      <c r="V78" s="7" t="n"/>
    </row>
    <row r="79" ht="28" customHeight="1">
      <c r="A79" s="12">
        <f>IF($L79="applied","Applied",IF($L79="interview","Interview",IF($L79="offer","Offer",IF($L79="rejected","Rejected",IF($L79="ignore","Ignore",IF($L79="archive","Archive",IF($L79="closed","Closed",IF($B79="","Unscored",IF(AND($B79&gt;=8,OR($H79="",$H79-TODAY()&lt;=14)),"P1 Apply",IF($B79&gt;=7,"P2 Strong",IF($B79&gt;=5,"P3 Maybe","P4 Low")))))))))))</f>
        <v/>
      </c>
      <c r="B79" s="13" t="n">
        <v>5</v>
      </c>
      <c r="C79" s="12" t="inlineStr">
        <is>
          <t>Manager/Owner</t>
        </is>
      </c>
      <c r="D79" s="8" t="inlineStr">
        <is>
          <t>Hardware Validation Manager</t>
        </is>
      </c>
      <c r="E79" s="7" t="inlineStr">
        <is>
          <t>Graphcore</t>
        </is>
      </c>
      <c r="F79" s="8" t="inlineStr">
        <is>
          <t>Austin, Texas, United States; US - Milpitas</t>
        </is>
      </c>
      <c r="G79" s="8" t="n"/>
      <c r="H79" s="14" t="n"/>
      <c r="I79" s="15">
        <f>IF($H79="","",$H79-TODAY())</f>
        <v/>
      </c>
      <c r="J79" s="16" t="inlineStr">
        <is>
          <t>Open posting</t>
        </is>
      </c>
      <c r="K79" s="8" t="n"/>
      <c r="L79" s="17" t="inlineStr">
        <is>
          <t>new</t>
        </is>
      </c>
      <c r="M79" s="18" t="inlineStr"/>
      <c r="N79" s="7" t="inlineStr">
        <is>
          <t>5d147101507a2ae1a61c0645139bf2d8c080cd39</t>
        </is>
      </c>
      <c r="O79" s="14" t="n">
        <v>46189</v>
      </c>
      <c r="P79" s="7" t="inlineStr">
        <is>
          <t>greenhouse:graphcore</t>
        </is>
      </c>
      <c r="Q79" s="8" t="inlineStr"/>
      <c r="R79" s="8" t="n"/>
      <c r="S79" s="19" t="n"/>
      <c r="T79" s="19" t="n"/>
      <c r="U79" s="14" t="n">
        <v>46189</v>
      </c>
      <c r="V79" s="7" t="n"/>
    </row>
    <row r="80" ht="28" customHeight="1">
      <c r="A80" s="12">
        <f>IF($L80="applied","Applied",IF($L80="interview","Interview",IF($L80="offer","Offer",IF($L80="rejected","Rejected",IF($L80="ignore","Ignore",IF($L80="archive","Archive",IF($L80="closed","Closed",IF($B80="","Unscored",IF(AND($B80&gt;=8,OR($H80="",$H80-TODAY()&lt;=14)),"P1 Apply",IF($B80&gt;=7,"P2 Strong",IF($B80&gt;=5,"P3 Maybe","P4 Low")))))))))))</f>
        <v/>
      </c>
      <c r="B80" s="13" t="n">
        <v>5</v>
      </c>
      <c r="C80" s="12" t="inlineStr">
        <is>
          <t>Unspecified</t>
        </is>
      </c>
      <c r="D80" s="8" t="inlineStr">
        <is>
          <t>Infrastructure and MLOps Engineer</t>
        </is>
      </c>
      <c r="E80" s="7" t="inlineStr">
        <is>
          <t>Graphcore</t>
        </is>
      </c>
      <c r="F80" s="8" t="inlineStr">
        <is>
          <t>Bristol, UK; Cambridge, UK</t>
        </is>
      </c>
      <c r="G80" s="8" t="n"/>
      <c r="H80" s="14" t="n"/>
      <c r="I80" s="15">
        <f>IF($H80="","",$H80-TODAY())</f>
        <v/>
      </c>
      <c r="J80" s="16" t="inlineStr">
        <is>
          <t>Open posting</t>
        </is>
      </c>
      <c r="K80" s="8" t="n"/>
      <c r="L80" s="17" t="inlineStr">
        <is>
          <t>new</t>
        </is>
      </c>
      <c r="M80" s="18" t="inlineStr"/>
      <c r="N80" s="7" t="inlineStr">
        <is>
          <t>13d14220c97ab34dc2a64135a83a76a8f7472435</t>
        </is>
      </c>
      <c r="O80" s="14" t="n">
        <v>46189</v>
      </c>
      <c r="P80" s="7" t="inlineStr">
        <is>
          <t>greenhouse:graphcore</t>
        </is>
      </c>
      <c r="Q80" s="8" t="inlineStr"/>
      <c r="R80" s="8" t="n"/>
      <c r="S80" s="19" t="n"/>
      <c r="T80" s="19" t="n"/>
      <c r="U80" s="14" t="n">
        <v>46189</v>
      </c>
      <c r="V80" s="7" t="n"/>
    </row>
    <row r="81" ht="28" customHeight="1">
      <c r="A81" s="12">
        <f>IF($L81="applied","Applied",IF($L81="interview","Interview",IF($L81="offer","Offer",IF($L81="rejected","Rejected",IF($L81="ignore","Ignore",IF($L81="archive","Archive",IF($L81="closed","Closed",IF($B81="","Unscored",IF(AND($B81&gt;=8,OR($H81="",$H81-TODAY()&lt;=14)),"P1 Apply",IF($B81&gt;=7,"P2 Strong",IF($B81&gt;=5,"P3 Maybe","P4 Low")))))))))))</f>
        <v/>
      </c>
      <c r="B81" s="13" t="n">
        <v>5</v>
      </c>
      <c r="C81" s="12" t="inlineStr">
        <is>
          <t>Unspecified</t>
        </is>
      </c>
      <c r="D81" s="8" t="inlineStr">
        <is>
          <t>Lab Support Engineer (Linux)</t>
        </is>
      </c>
      <c r="E81" s="7" t="inlineStr">
        <is>
          <t>Graphcore</t>
        </is>
      </c>
      <c r="F81" s="8" t="inlineStr">
        <is>
          <t>Bristol, UK</t>
        </is>
      </c>
      <c r="G81" s="8" t="n"/>
      <c r="H81" s="14" t="n"/>
      <c r="I81" s="15">
        <f>IF($H81="","",$H81-TODAY())</f>
        <v/>
      </c>
      <c r="J81" s="16" t="inlineStr">
        <is>
          <t>Open posting</t>
        </is>
      </c>
      <c r="K81" s="8" t="n"/>
      <c r="L81" s="17" t="inlineStr">
        <is>
          <t>new</t>
        </is>
      </c>
      <c r="M81" s="18" t="inlineStr"/>
      <c r="N81" s="7" t="inlineStr">
        <is>
          <t>74fedf6bc136928a9c7ce07bfeac138ff096471a</t>
        </is>
      </c>
      <c r="O81" s="14" t="n">
        <v>46189</v>
      </c>
      <c r="P81" s="7" t="inlineStr">
        <is>
          <t>greenhouse:graphcore</t>
        </is>
      </c>
      <c r="Q81" s="8" t="inlineStr"/>
      <c r="R81" s="8" t="n"/>
      <c r="S81" s="19" t="n"/>
      <c r="T81" s="19" t="n"/>
      <c r="U81" s="14" t="n">
        <v>46189</v>
      </c>
      <c r="V81" s="7" t="n"/>
    </row>
    <row r="82" ht="28" customHeight="1">
      <c r="A82" s="12">
        <f>IF($L82="applied","Applied",IF($L82="interview","Interview",IF($L82="offer","Offer",IF($L82="rejected","Rejected",IF($L82="ignore","Ignore",IF($L82="archive","Archive",IF($L82="closed","Closed",IF($B82="","Unscored",IF(AND($B82&gt;=8,OR($H82="",$H82-TODAY()&lt;=14)),"P1 Apply",IF($B82&gt;=7,"P2 Strong",IF($B82&gt;=5,"P3 Maybe","P4 Low")))))))))))</f>
        <v/>
      </c>
      <c r="B82" s="13" t="n">
        <v>5</v>
      </c>
      <c r="C82" s="12" t="inlineStr">
        <is>
          <t>Junior</t>
        </is>
      </c>
      <c r="D82" s="8" t="inlineStr">
        <is>
          <t>Lab Technician</t>
        </is>
      </c>
      <c r="E82" s="7" t="inlineStr">
        <is>
          <t>Graphcore</t>
        </is>
      </c>
      <c r="F82" s="8" t="inlineStr">
        <is>
          <t>Bengaluru, India</t>
        </is>
      </c>
      <c r="G82" s="8" t="n"/>
      <c r="H82" s="14" t="n"/>
      <c r="I82" s="15">
        <f>IF($H82="","",$H82-TODAY())</f>
        <v/>
      </c>
      <c r="J82" s="16" t="inlineStr">
        <is>
          <t>Open posting</t>
        </is>
      </c>
      <c r="K82" s="8" t="n"/>
      <c r="L82" s="17" t="inlineStr">
        <is>
          <t>new</t>
        </is>
      </c>
      <c r="M82" s="18" t="inlineStr"/>
      <c r="N82" s="7" t="inlineStr">
        <is>
          <t>cb332f6d1f51acd568b1bb8a95476e06f014074c</t>
        </is>
      </c>
      <c r="O82" s="14" t="n">
        <v>46189</v>
      </c>
      <c r="P82" s="7" t="inlineStr">
        <is>
          <t>greenhouse:graphcore</t>
        </is>
      </c>
      <c r="Q82" s="8" t="inlineStr"/>
      <c r="R82" s="8" t="n"/>
      <c r="S82" s="19" t="n"/>
      <c r="T82" s="19" t="n"/>
      <c r="U82" s="14" t="n">
        <v>46189</v>
      </c>
      <c r="V82" s="7" t="n"/>
    </row>
    <row r="83" ht="28" customHeight="1">
      <c r="A83" s="12">
        <f>IF($L83="applied","Applied",IF($L83="interview","Interview",IF($L83="offer","Offer",IF($L83="rejected","Rejected",IF($L83="ignore","Ignore",IF($L83="archive","Archive",IF($L83="closed","Closed",IF($B83="","Unscored",IF(AND($B83&gt;=8,OR($H83="",$H83-TODAY()&lt;=14)),"P1 Apply",IF($B83&gt;=7,"P2 Strong",IF($B83&gt;=5,"P3 Maybe","P4 Low")))))))))))</f>
        <v/>
      </c>
      <c r="B83" s="13" t="n">
        <v>5</v>
      </c>
      <c r="C83" s="12" t="inlineStr">
        <is>
          <t>Mid-level</t>
        </is>
      </c>
      <c r="D83" s="8" t="inlineStr">
        <is>
          <t>Linux Engineer</t>
        </is>
      </c>
      <c r="E83" s="7" t="inlineStr">
        <is>
          <t>Graphcore</t>
        </is>
      </c>
      <c r="F83" s="8" t="inlineStr">
        <is>
          <t>Bristol, UK</t>
        </is>
      </c>
      <c r="G83" s="8" t="n"/>
      <c r="H83" s="14" t="n"/>
      <c r="I83" s="15">
        <f>IF($H83="","",$H83-TODAY())</f>
        <v/>
      </c>
      <c r="J83" s="16" t="inlineStr">
        <is>
          <t>Open posting</t>
        </is>
      </c>
      <c r="K83" s="8" t="n"/>
      <c r="L83" s="17" t="inlineStr">
        <is>
          <t>new</t>
        </is>
      </c>
      <c r="M83" s="18" t="inlineStr"/>
      <c r="N83" s="7" t="inlineStr">
        <is>
          <t>9eec6f274d608d7d89143a0148d30ce6cfeb2ae4</t>
        </is>
      </c>
      <c r="O83" s="14" t="n">
        <v>46189</v>
      </c>
      <c r="P83" s="7" t="inlineStr">
        <is>
          <t>greenhouse:graphcore</t>
        </is>
      </c>
      <c r="Q83" s="8" t="inlineStr"/>
      <c r="R83" s="8" t="n"/>
      <c r="S83" s="19" t="n"/>
      <c r="T83" s="19" t="n"/>
      <c r="U83" s="14" t="n">
        <v>46189</v>
      </c>
      <c r="V83" s="7" t="n"/>
    </row>
    <row r="84" ht="28" customHeight="1">
      <c r="A84" s="12">
        <f>IF($L84="applied","Applied",IF($L84="interview","Interview",IF($L84="offer","Offer",IF($L84="rejected","Rejected",IF($L84="ignore","Ignore",IF($L84="archive","Archive",IF($L84="closed","Closed",IF($B84="","Unscored",IF(AND($B84&gt;=8,OR($H84="",$H84-TODAY()&lt;=14)),"P1 Apply",IF($B84&gt;=7,"P2 Strong",IF($B84&gt;=5,"P3 Maybe","P4 Low")))))))))))</f>
        <v/>
      </c>
      <c r="B84" s="13" t="n">
        <v>5</v>
      </c>
      <c r="C84" s="12" t="inlineStr">
        <is>
          <t>Senior/Lead</t>
        </is>
      </c>
      <c r="D84" s="8" t="inlineStr">
        <is>
          <t>Manufacturing Product Engineer</t>
        </is>
      </c>
      <c r="E84" s="7" t="inlineStr">
        <is>
          <t>Graphcore</t>
        </is>
      </c>
      <c r="F84" s="8" t="inlineStr">
        <is>
          <t>Hsinchu City, Hsinchu City, Taiwan; 臺北市, Taipei, Taiwan</t>
        </is>
      </c>
      <c r="G84" s="8" t="n"/>
      <c r="H84" s="14" t="n"/>
      <c r="I84" s="15">
        <f>IF($H84="","",$H84-TODAY())</f>
        <v/>
      </c>
      <c r="J84" s="16" t="inlineStr">
        <is>
          <t>Open posting</t>
        </is>
      </c>
      <c r="K84" s="8" t="n"/>
      <c r="L84" s="17" t="inlineStr">
        <is>
          <t>new</t>
        </is>
      </c>
      <c r="M84" s="18" t="inlineStr"/>
      <c r="N84" s="7" t="inlineStr">
        <is>
          <t>cd7853f448bed607b07446692a666aaac7998915</t>
        </is>
      </c>
      <c r="O84" s="14" t="n">
        <v>46189</v>
      </c>
      <c r="P84" s="7" t="inlineStr">
        <is>
          <t>greenhouse:graphcore</t>
        </is>
      </c>
      <c r="Q84" s="8" t="inlineStr"/>
      <c r="R84" s="8" t="n"/>
      <c r="S84" s="19" t="n"/>
      <c r="T84" s="19" t="n"/>
      <c r="U84" s="14" t="n">
        <v>46189</v>
      </c>
      <c r="V84" s="7" t="n"/>
    </row>
    <row r="85" ht="28" customHeight="1">
      <c r="A85" s="12">
        <f>IF($L85="applied","Applied",IF($L85="interview","Interview",IF($L85="offer","Offer",IF($L85="rejected","Rejected",IF($L85="ignore","Ignore",IF($L85="archive","Archive",IF($L85="closed","Closed",IF($B85="","Unscored",IF(AND($B85&gt;=8,OR($H85="",$H85-TODAY()&lt;=14)),"P1 Apply",IF($B85&gt;=7,"P2 Strong",IF($B85&gt;=5,"P3 Maybe","P4 Low")))))))))))</f>
        <v/>
      </c>
      <c r="B85" s="13" t="n">
        <v>5</v>
      </c>
      <c r="C85" s="12" t="inlineStr">
        <is>
          <t>Manager/Owner</t>
        </is>
      </c>
      <c r="D85" s="8" t="inlineStr">
        <is>
          <t>Material Planning Manager</t>
        </is>
      </c>
      <c r="E85" s="7" t="inlineStr">
        <is>
          <t>Graphcore</t>
        </is>
      </c>
      <c r="F85" s="8" t="inlineStr">
        <is>
          <t>臺北市, Taipei, Taiwan</t>
        </is>
      </c>
      <c r="G85" s="8" t="n"/>
      <c r="H85" s="14" t="n"/>
      <c r="I85" s="15">
        <f>IF($H85="","",$H85-TODAY())</f>
        <v/>
      </c>
      <c r="J85" s="16" t="inlineStr">
        <is>
          <t>Open posting</t>
        </is>
      </c>
      <c r="K85" s="8" t="n"/>
      <c r="L85" s="17" t="inlineStr">
        <is>
          <t>new</t>
        </is>
      </c>
      <c r="M85" s="18" t="inlineStr"/>
      <c r="N85" s="7" t="inlineStr">
        <is>
          <t>b9a1c699e02f44708fe471ac7e9286701c34ae92</t>
        </is>
      </c>
      <c r="O85" s="14" t="n">
        <v>46189</v>
      </c>
      <c r="P85" s="7" t="inlineStr">
        <is>
          <t>greenhouse:graphcore</t>
        </is>
      </c>
      <c r="Q85" s="8" t="inlineStr"/>
      <c r="R85" s="8" t="n"/>
      <c r="S85" s="19" t="n"/>
      <c r="T85" s="19" t="n"/>
      <c r="U85" s="14" t="n">
        <v>46189</v>
      </c>
      <c r="V85" s="7" t="n"/>
    </row>
    <row r="86" ht="28" customHeight="1">
      <c r="A86" s="12">
        <f>IF($L86="applied","Applied",IF($L86="interview","Interview",IF($L86="offer","Offer",IF($L86="rejected","Rejected",IF($L86="ignore","Ignore",IF($L86="archive","Archive",IF($L86="closed","Closed",IF($B86="","Unscored",IF(AND($B86&gt;=8,OR($H86="",$H86-TODAY()&lt;=14)),"P1 Apply",IF($B86&gt;=7,"P2 Strong",IF($B86&gt;=5,"P3 Maybe","P4 Low")))))))))))</f>
        <v/>
      </c>
      <c r="B86" s="13" t="n">
        <v>5</v>
      </c>
      <c r="C86" s="12" t="inlineStr">
        <is>
          <t>Manager/Owner</t>
        </is>
      </c>
      <c r="D86" s="8" t="inlineStr">
        <is>
          <t>ML QA Technical Product Owner</t>
        </is>
      </c>
      <c r="E86" s="7" t="inlineStr">
        <is>
          <t>Graphcore</t>
        </is>
      </c>
      <c r="F86" s="8" t="inlineStr">
        <is>
          <t>Bristol, UK</t>
        </is>
      </c>
      <c r="G86" s="8" t="n"/>
      <c r="H86" s="14" t="n"/>
      <c r="I86" s="15">
        <f>IF($H86="","",$H86-TODAY())</f>
        <v/>
      </c>
      <c r="J86" s="16" t="inlineStr">
        <is>
          <t>Open posting</t>
        </is>
      </c>
      <c r="K86" s="8" t="n"/>
      <c r="L86" s="17" t="inlineStr">
        <is>
          <t>new</t>
        </is>
      </c>
      <c r="M86" s="18" t="inlineStr"/>
      <c r="N86" s="7" t="inlineStr">
        <is>
          <t>ad18d6a9cee7bd6c1ab8e43e7ca05f707f58af7c</t>
        </is>
      </c>
      <c r="O86" s="14" t="n">
        <v>46189</v>
      </c>
      <c r="P86" s="7" t="inlineStr">
        <is>
          <t>greenhouse:graphcore</t>
        </is>
      </c>
      <c r="Q86" s="8" t="inlineStr"/>
      <c r="R86" s="8" t="n"/>
      <c r="S86" s="19" t="n"/>
      <c r="T86" s="19" t="n"/>
      <c r="U86" s="14" t="n">
        <v>46189</v>
      </c>
      <c r="V86" s="7" t="n"/>
    </row>
    <row r="87" ht="28" customHeight="1">
      <c r="A87" s="12">
        <f>IF($L87="applied","Applied",IF($L87="interview","Interview",IF($L87="offer","Offer",IF($L87="rejected","Rejected",IF($L87="ignore","Ignore",IF($L87="archive","Archive",IF($L87="closed","Closed",IF($B87="","Unscored",IF(AND($B87&gt;=8,OR($H87="",$H87-TODAY()&lt;=14)),"P1 Apply",IF($B87&gt;=7,"P2 Strong",IF($B87&gt;=5,"P3 Maybe","P4 Low")))))))))))</f>
        <v/>
      </c>
      <c r="B87" s="13" t="n">
        <v>5</v>
      </c>
      <c r="C87" s="12" t="inlineStr">
        <is>
          <t>Unspecified</t>
        </is>
      </c>
      <c r="D87" s="8" t="inlineStr">
        <is>
          <t>Observability, Data Scientist</t>
        </is>
      </c>
      <c r="E87" s="7" t="inlineStr">
        <is>
          <t>Graphcore</t>
        </is>
      </c>
      <c r="F87" s="8" t="inlineStr">
        <is>
          <t>Gdańsk, Pomeranian Voivodeship, Poland</t>
        </is>
      </c>
      <c r="G87" s="8" t="n"/>
      <c r="H87" s="14" t="n"/>
      <c r="I87" s="15">
        <f>IF($H87="","",$H87-TODAY())</f>
        <v/>
      </c>
      <c r="J87" s="16" t="inlineStr">
        <is>
          <t>Open posting</t>
        </is>
      </c>
      <c r="K87" s="8" t="n"/>
      <c r="L87" s="17" t="inlineStr">
        <is>
          <t>new</t>
        </is>
      </c>
      <c r="M87" s="18" t="inlineStr"/>
      <c r="N87" s="7" t="inlineStr">
        <is>
          <t>e95cc2890b1b216481c304b201e02fe9f1f853c6</t>
        </is>
      </c>
      <c r="O87" s="14" t="n">
        <v>46189</v>
      </c>
      <c r="P87" s="7" t="inlineStr">
        <is>
          <t>greenhouse:graphcore</t>
        </is>
      </c>
      <c r="Q87" s="8" t="inlineStr"/>
      <c r="R87" s="8" t="n"/>
      <c r="S87" s="19" t="n"/>
      <c r="T87" s="19" t="n"/>
      <c r="U87" s="14" t="n">
        <v>46189</v>
      </c>
      <c r="V87" s="7" t="n"/>
    </row>
    <row r="88" ht="28" customHeight="1">
      <c r="A88" s="12">
        <f>IF($L88="applied","Applied",IF($L88="interview","Interview",IF($L88="offer","Offer",IF($L88="rejected","Rejected",IF($L88="ignore","Ignore",IF($L88="archive","Archive",IF($L88="closed","Closed",IF($B88="","Unscored",IF(AND($B88&gt;=8,OR($H88="",$H88-TODAY()&lt;=14)),"P1 Apply",IF($B88&gt;=7,"P2 Strong",IF($B88&gt;=5,"P3 Maybe","P4 Low")))))))))))</f>
        <v/>
      </c>
      <c r="B88" s="13" t="n">
        <v>5</v>
      </c>
      <c r="C88" s="12" t="inlineStr">
        <is>
          <t>Unspecified</t>
        </is>
      </c>
      <c r="D88" s="8" t="inlineStr">
        <is>
          <t>PCB CAD Librarian</t>
        </is>
      </c>
      <c r="E88" s="7" t="inlineStr">
        <is>
          <t>Graphcore</t>
        </is>
      </c>
      <c r="F88" s="8" t="inlineStr">
        <is>
          <t>Bristol, UK</t>
        </is>
      </c>
      <c r="G88" s="8" t="n"/>
      <c r="H88" s="14" t="n"/>
      <c r="I88" s="15">
        <f>IF($H88="","",$H88-TODAY())</f>
        <v/>
      </c>
      <c r="J88" s="16" t="inlineStr">
        <is>
          <t>Open posting</t>
        </is>
      </c>
      <c r="K88" s="8" t="n"/>
      <c r="L88" s="17" t="inlineStr">
        <is>
          <t>new</t>
        </is>
      </c>
      <c r="M88" s="18" t="inlineStr"/>
      <c r="N88" s="7" t="inlineStr">
        <is>
          <t>6e43e575e468377b2cc7d309fd29ded7f340f71a</t>
        </is>
      </c>
      <c r="O88" s="14" t="n">
        <v>46189</v>
      </c>
      <c r="P88" s="7" t="inlineStr">
        <is>
          <t>greenhouse:graphcore</t>
        </is>
      </c>
      <c r="Q88" s="8" t="inlineStr"/>
      <c r="R88" s="8" t="n"/>
      <c r="S88" s="19" t="n"/>
      <c r="T88" s="19" t="n"/>
      <c r="U88" s="14" t="n">
        <v>46189</v>
      </c>
      <c r="V88" s="7" t="n"/>
    </row>
    <row r="89" ht="28" customHeight="1">
      <c r="A89" s="12">
        <f>IF($L89="applied","Applied",IF($L89="interview","Interview",IF($L89="offer","Offer",IF($L89="rejected","Rejected",IF($L89="ignore","Ignore",IF($L89="archive","Archive",IF($L89="closed","Closed",IF($B89="","Unscored",IF(AND($B89&gt;=8,OR($H89="",$H89-TODAY()&lt;=14)),"P1 Apply",IF($B89&gt;=7,"P2 Strong",IF($B89&gt;=5,"P3 Maybe","P4 Low")))))))))))</f>
        <v/>
      </c>
      <c r="B89" s="13" t="n">
        <v>5</v>
      </c>
      <c r="C89" s="12" t="inlineStr">
        <is>
          <t>Senior/Lead</t>
        </is>
      </c>
      <c r="D89" s="8" t="inlineStr">
        <is>
          <t>People Partner - Poland</t>
        </is>
      </c>
      <c r="E89" s="7" t="inlineStr">
        <is>
          <t>Graphcore</t>
        </is>
      </c>
      <c r="F89" s="8" t="inlineStr">
        <is>
          <t>Gdańsk, Pomeranian Voivodeship, Poland</t>
        </is>
      </c>
      <c r="G89" s="8" t="n"/>
      <c r="H89" s="14" t="n"/>
      <c r="I89" s="15">
        <f>IF($H89="","",$H89-TODAY())</f>
        <v/>
      </c>
      <c r="J89" s="16" t="inlineStr">
        <is>
          <t>Open posting</t>
        </is>
      </c>
      <c r="K89" s="8" t="n"/>
      <c r="L89" s="17" t="inlineStr">
        <is>
          <t>new</t>
        </is>
      </c>
      <c r="M89" s="18" t="inlineStr"/>
      <c r="N89" s="7" t="inlineStr">
        <is>
          <t>65f92ff478a3188716a26431be938d4d8c0b4b6a</t>
        </is>
      </c>
      <c r="O89" s="14" t="n">
        <v>46189</v>
      </c>
      <c r="P89" s="7" t="inlineStr">
        <is>
          <t>greenhouse:graphcore</t>
        </is>
      </c>
      <c r="Q89" s="8" t="inlineStr"/>
      <c r="R89" s="8" t="n"/>
      <c r="S89" s="19" t="n"/>
      <c r="T89" s="19" t="n"/>
      <c r="U89" s="14" t="n">
        <v>46189</v>
      </c>
      <c r="V89" s="7" t="n"/>
    </row>
    <row r="90" ht="28" customHeight="1">
      <c r="A90" s="12">
        <f>IF($L90="applied","Applied",IF($L90="interview","Interview",IF($L90="offer","Offer",IF($L90="rejected","Rejected",IF($L90="ignore","Ignore",IF($L90="archive","Archive",IF($L90="closed","Closed",IF($B90="","Unscored",IF(AND($B90&gt;=8,OR($H90="",$H90-TODAY()&lt;=14)),"P1 Apply",IF($B90&gt;=7,"P2 Strong",IF($B90&gt;=5,"P3 Maybe","P4 Low")))))))))))</f>
        <v/>
      </c>
      <c r="B90" s="13" t="n">
        <v>5</v>
      </c>
      <c r="C90" s="12" t="inlineStr">
        <is>
          <t>Unspecified</t>
        </is>
      </c>
      <c r="D90" s="8" t="inlineStr">
        <is>
          <t>Post Silicon Validation Engineer</t>
        </is>
      </c>
      <c r="E90" s="7" t="inlineStr">
        <is>
          <t>Graphcore</t>
        </is>
      </c>
      <c r="F90" s="8" t="inlineStr">
        <is>
          <t>Bristol, UK</t>
        </is>
      </c>
      <c r="G90" s="8" t="n"/>
      <c r="H90" s="14" t="n"/>
      <c r="I90" s="15">
        <f>IF($H90="","",$H90-TODAY())</f>
        <v/>
      </c>
      <c r="J90" s="16" t="inlineStr">
        <is>
          <t>Open posting</t>
        </is>
      </c>
      <c r="K90" s="8" t="n"/>
      <c r="L90" s="17" t="inlineStr">
        <is>
          <t>new</t>
        </is>
      </c>
      <c r="M90" s="18" t="inlineStr"/>
      <c r="N90" s="7" t="inlineStr">
        <is>
          <t>b5ab1816ee0ea8165af1beff8e02c9c0d42d77da</t>
        </is>
      </c>
      <c r="O90" s="14" t="n">
        <v>46189</v>
      </c>
      <c r="P90" s="7" t="inlineStr">
        <is>
          <t>greenhouse:graphcore</t>
        </is>
      </c>
      <c r="Q90" s="8" t="inlineStr"/>
      <c r="R90" s="8" t="n"/>
      <c r="S90" s="19" t="n"/>
      <c r="T90" s="19" t="n"/>
      <c r="U90" s="14" t="n">
        <v>46189</v>
      </c>
      <c r="V90" s="7" t="n"/>
    </row>
    <row r="91" ht="28" customHeight="1">
      <c r="A91" s="12">
        <f>IF($L91="applied","Applied",IF($L91="interview","Interview",IF($L91="offer","Offer",IF($L91="rejected","Rejected",IF($L91="ignore","Ignore",IF($L91="archive","Archive",IF($L91="closed","Closed",IF($B91="","Unscored",IF(AND($B91&gt;=8,OR($H91="",$H91-TODAY()&lt;=14)),"P1 Apply",IF($B91&gt;=7,"P2 Strong",IF($B91&gt;=5,"P3 Maybe","P4 Low")))))))))))</f>
        <v/>
      </c>
      <c r="B91" s="13" t="n">
        <v>5</v>
      </c>
      <c r="C91" s="12" t="inlineStr">
        <is>
          <t>Unspecified</t>
        </is>
      </c>
      <c r="D91" s="8" t="inlineStr">
        <is>
          <t>Power Integrity Engineer</t>
        </is>
      </c>
      <c r="E91" s="7" t="inlineStr">
        <is>
          <t>Graphcore</t>
        </is>
      </c>
      <c r="F91" s="8" t="inlineStr">
        <is>
          <t>Bristol, UK; Cambridge, UK; London, UK</t>
        </is>
      </c>
      <c r="G91" s="8" t="n"/>
      <c r="H91" s="14" t="n"/>
      <c r="I91" s="15">
        <f>IF($H91="","",$H91-TODAY())</f>
        <v/>
      </c>
      <c r="J91" s="16" t="inlineStr">
        <is>
          <t>Open posting</t>
        </is>
      </c>
      <c r="K91" s="8" t="n"/>
      <c r="L91" s="17" t="inlineStr">
        <is>
          <t>new</t>
        </is>
      </c>
      <c r="M91" s="18" t="inlineStr"/>
      <c r="N91" s="7" t="inlineStr">
        <is>
          <t>2ff004b77c1a1048210023f69df0dfebf438e4c6</t>
        </is>
      </c>
      <c r="O91" s="14" t="n">
        <v>46189</v>
      </c>
      <c r="P91" s="7" t="inlineStr">
        <is>
          <t>greenhouse:graphcore</t>
        </is>
      </c>
      <c r="Q91" s="8" t="inlineStr"/>
      <c r="R91" s="8" t="n"/>
      <c r="S91" s="19" t="n"/>
      <c r="T91" s="19" t="n"/>
      <c r="U91" s="14" t="n">
        <v>46189</v>
      </c>
      <c r="V91" s="7" t="n"/>
    </row>
    <row r="92" ht="28" customHeight="1">
      <c r="A92" s="12">
        <f>IF($L92="applied","Applied",IF($L92="interview","Interview",IF($L92="offer","Offer",IF($L92="rejected","Rejected",IF($L92="ignore","Ignore",IF($L92="archive","Archive",IF($L92="closed","Closed",IF($B92="","Unscored",IF(AND($B92&gt;=8,OR($H92="",$H92-TODAY()&lt;=14)),"P1 Apply",IF($B92&gt;=7,"P2 Strong",IF($B92&gt;=5,"P3 Maybe","P4 Low")))))))))))</f>
        <v/>
      </c>
      <c r="B92" s="13" t="n">
        <v>5</v>
      </c>
      <c r="C92" s="12" t="inlineStr">
        <is>
          <t>Senior/Lead</t>
        </is>
      </c>
      <c r="D92" s="8" t="inlineStr">
        <is>
          <t>Power &amp; Performance Validation Engineer</t>
        </is>
      </c>
      <c r="E92" s="7" t="inlineStr">
        <is>
          <t>Graphcore</t>
        </is>
      </c>
      <c r="F92" s="8" t="inlineStr">
        <is>
          <t>Bengaluru, India</t>
        </is>
      </c>
      <c r="G92" s="8" t="n"/>
      <c r="H92" s="14" t="n"/>
      <c r="I92" s="15">
        <f>IF($H92="","",$H92-TODAY())</f>
        <v/>
      </c>
      <c r="J92" s="16" t="inlineStr">
        <is>
          <t>Open posting</t>
        </is>
      </c>
      <c r="K92" s="8" t="n"/>
      <c r="L92" s="17" t="inlineStr">
        <is>
          <t>new</t>
        </is>
      </c>
      <c r="M92" s="18" t="inlineStr"/>
      <c r="N92" s="7" t="inlineStr">
        <is>
          <t>31ebac692ccc0477d09df23101d1b034d1ef13ee</t>
        </is>
      </c>
      <c r="O92" s="14" t="n">
        <v>46189</v>
      </c>
      <c r="P92" s="7" t="inlineStr">
        <is>
          <t>greenhouse:graphcore</t>
        </is>
      </c>
      <c r="Q92" s="8" t="inlineStr"/>
      <c r="R92" s="8" t="n"/>
      <c r="S92" s="19" t="n"/>
      <c r="T92" s="19" t="n"/>
      <c r="U92" s="14" t="n">
        <v>46189</v>
      </c>
      <c r="V92" s="7" t="n"/>
    </row>
    <row r="93" ht="28" customHeight="1">
      <c r="A93" s="12">
        <f>IF($L93="applied","Applied",IF($L93="interview","Interview",IF($L93="offer","Offer",IF($L93="rejected","Rejected",IF($L93="ignore","Ignore",IF($L93="archive","Archive",IF($L93="closed","Closed",IF($B93="","Unscored",IF(AND($B93&gt;=8,OR($H93="",$H93-TODAY()&lt;=14)),"P1 Apply",IF($B93&gt;=7,"P2 Strong",IF($B93&gt;=5,"P3 Maybe","P4 Low")))))))))))</f>
        <v/>
      </c>
      <c r="B93" s="13" t="n">
        <v>5</v>
      </c>
      <c r="C93" s="12" t="inlineStr">
        <is>
          <t>Manager/Owner</t>
        </is>
      </c>
      <c r="D93" s="8" t="inlineStr">
        <is>
          <t>Project Manager</t>
        </is>
      </c>
      <c r="E93" s="7" t="inlineStr">
        <is>
          <t>Graphcore</t>
        </is>
      </c>
      <c r="F93" s="8" t="inlineStr">
        <is>
          <t>Bristol, UK; Cambridge, UK; London, UK</t>
        </is>
      </c>
      <c r="G93" s="8" t="n"/>
      <c r="H93" s="14" t="n"/>
      <c r="I93" s="15">
        <f>IF($H93="","",$H93-TODAY())</f>
        <v/>
      </c>
      <c r="J93" s="16" t="inlineStr">
        <is>
          <t>Open posting</t>
        </is>
      </c>
      <c r="K93" s="8" t="n"/>
      <c r="L93" s="17" t="inlineStr">
        <is>
          <t>new</t>
        </is>
      </c>
      <c r="M93" s="18" t="inlineStr"/>
      <c r="N93" s="7" t="inlineStr">
        <is>
          <t>c30d3543a7d45dd2b1ecc9f904db35c348617c9b</t>
        </is>
      </c>
      <c r="O93" s="14" t="n">
        <v>46189</v>
      </c>
      <c r="P93" s="7" t="inlineStr">
        <is>
          <t>greenhouse:graphcore</t>
        </is>
      </c>
      <c r="Q93" s="8" t="inlineStr"/>
      <c r="R93" s="8" t="n"/>
      <c r="S93" s="19" t="n"/>
      <c r="T93" s="19" t="n"/>
      <c r="U93" s="14" t="n">
        <v>46189</v>
      </c>
      <c r="V93" s="7" t="n"/>
    </row>
    <row r="94" ht="28" customHeight="1">
      <c r="A94" s="12">
        <f>IF($L94="applied","Applied",IF($L94="interview","Interview",IF($L94="offer","Offer",IF($L94="rejected","Rejected",IF($L94="ignore","Ignore",IF($L94="archive","Archive",IF($L94="closed","Closed",IF($B94="","Unscored",IF(AND($B94&gt;=8,OR($H94="",$H94-TODAY()&lt;=14)),"P1 Apply",IF($B94&gt;=7,"P2 Strong",IF($B94&gt;=5,"P3 Maybe","P4 Low")))))))))))</f>
        <v/>
      </c>
      <c r="B94" s="13" t="n">
        <v>5</v>
      </c>
      <c r="C94" s="12" t="inlineStr">
        <is>
          <t>Senior/Lead</t>
        </is>
      </c>
      <c r="D94" s="8" t="inlineStr">
        <is>
          <t>Pytorch Engineer</t>
        </is>
      </c>
      <c r="E94" s="7" t="inlineStr">
        <is>
          <t>Graphcore</t>
        </is>
      </c>
      <c r="F94" s="8" t="inlineStr">
        <is>
          <t>Bristol, UK</t>
        </is>
      </c>
      <c r="G94" s="8" t="n"/>
      <c r="H94" s="14" t="n"/>
      <c r="I94" s="15">
        <f>IF($H94="","",$H94-TODAY())</f>
        <v/>
      </c>
      <c r="J94" s="16" t="inlineStr">
        <is>
          <t>Open posting</t>
        </is>
      </c>
      <c r="K94" s="8" t="n"/>
      <c r="L94" s="17" t="inlineStr">
        <is>
          <t>new</t>
        </is>
      </c>
      <c r="M94" s="18" t="inlineStr"/>
      <c r="N94" s="7" t="inlineStr">
        <is>
          <t>e78458bfe8438005a0808143580a6a582a4fc6a9</t>
        </is>
      </c>
      <c r="O94" s="14" t="n">
        <v>46189</v>
      </c>
      <c r="P94" s="7" t="inlineStr">
        <is>
          <t>greenhouse:graphcore</t>
        </is>
      </c>
      <c r="Q94" s="8" t="inlineStr"/>
      <c r="R94" s="8" t="n"/>
      <c r="S94" s="19" t="n"/>
      <c r="T94" s="19" t="n"/>
      <c r="U94" s="14" t="n">
        <v>46189</v>
      </c>
      <c r="V94" s="7" t="n"/>
    </row>
    <row r="95" ht="28" customHeight="1">
      <c r="A95" s="12">
        <f>IF($L95="applied","Applied",IF($L95="interview","Interview",IF($L95="offer","Offer",IF($L95="rejected","Rejected",IF($L95="ignore","Ignore",IF($L95="archive","Archive",IF($L95="closed","Closed",IF($B95="","Unscored",IF(AND($B95&gt;=8,OR($H95="",$H95-TODAY()&lt;=14)),"P1 Apply",IF($B95&gt;=7,"P2 Strong",IF($B95&gt;=5,"P3 Maybe","P4 Low")))))))))))</f>
        <v/>
      </c>
      <c r="B95" s="13" t="n">
        <v>5</v>
      </c>
      <c r="C95" s="12" t="inlineStr">
        <is>
          <t>Unspecified</t>
        </is>
      </c>
      <c r="D95" s="8" t="inlineStr">
        <is>
          <t>Research Scientist (Visual Generative AI &amp; World Models)</t>
        </is>
      </c>
      <c r="E95" s="7" t="inlineStr">
        <is>
          <t>Graphcore</t>
        </is>
      </c>
      <c r="F95" s="8" t="inlineStr">
        <is>
          <t>Bristol, UK; Cambridge, UK; London, UK</t>
        </is>
      </c>
      <c r="G95" s="8" t="n"/>
      <c r="H95" s="14" t="n"/>
      <c r="I95" s="15">
        <f>IF($H95="","",$H95-TODAY())</f>
        <v/>
      </c>
      <c r="J95" s="16" t="inlineStr">
        <is>
          <t>Open posting</t>
        </is>
      </c>
      <c r="K95" s="8" t="n"/>
      <c r="L95" s="17" t="inlineStr">
        <is>
          <t>new</t>
        </is>
      </c>
      <c r="M95" s="18" t="inlineStr"/>
      <c r="N95" s="7" t="inlineStr">
        <is>
          <t>5d78bd7d7ee7c2053c0565c19430572cf8877433</t>
        </is>
      </c>
      <c r="O95" s="14" t="n">
        <v>46189</v>
      </c>
      <c r="P95" s="7" t="inlineStr">
        <is>
          <t>greenhouse:graphcore</t>
        </is>
      </c>
      <c r="Q95" s="8" t="inlineStr"/>
      <c r="R95" s="8" t="n"/>
      <c r="S95" s="19" t="n"/>
      <c r="T95" s="19" t="n"/>
      <c r="U95" s="14" t="n">
        <v>46189</v>
      </c>
      <c r="V95" s="7" t="n"/>
    </row>
    <row r="96" ht="28" customHeight="1">
      <c r="A96" s="12">
        <f>IF($L96="applied","Applied",IF($L96="interview","Interview",IF($L96="offer","Offer",IF($L96="rejected","Rejected",IF($L96="ignore","Ignore",IF($L96="archive","Archive",IF($L96="closed","Closed",IF($B96="","Unscored",IF(AND($B96&gt;=8,OR($H96="",$H96-TODAY()&lt;=14)),"P1 Apply",IF($B96&gt;=7,"P2 Strong",IF($B96&gt;=5,"P3 Maybe","P4 Low")))))))))))</f>
        <v/>
      </c>
      <c r="B96" s="13" t="n">
        <v>5</v>
      </c>
      <c r="C96" s="12" t="inlineStr">
        <is>
          <t>Senior/Lead</t>
        </is>
      </c>
      <c r="D96" s="8" t="inlineStr">
        <is>
          <t>Secrets Engineer</t>
        </is>
      </c>
      <c r="E96" s="7" t="inlineStr">
        <is>
          <t>Graphcore</t>
        </is>
      </c>
      <c r="F96" s="8" t="inlineStr">
        <is>
          <t>Bristol, UK</t>
        </is>
      </c>
      <c r="G96" s="8" t="n"/>
      <c r="H96" s="14" t="n"/>
      <c r="I96" s="15">
        <f>IF($H96="","",$H96-TODAY())</f>
        <v/>
      </c>
      <c r="J96" s="16" t="inlineStr">
        <is>
          <t>Open posting</t>
        </is>
      </c>
      <c r="K96" s="8" t="n"/>
      <c r="L96" s="17" t="inlineStr">
        <is>
          <t>new</t>
        </is>
      </c>
      <c r="M96" s="18" t="inlineStr"/>
      <c r="N96" s="7" t="inlineStr">
        <is>
          <t>292efa69d0b1af4da6d609bd1742ad67f8829b3b</t>
        </is>
      </c>
      <c r="O96" s="14" t="n">
        <v>46189</v>
      </c>
      <c r="P96" s="7" t="inlineStr">
        <is>
          <t>greenhouse:graphcore</t>
        </is>
      </c>
      <c r="Q96" s="8" t="inlineStr"/>
      <c r="R96" s="8" t="n"/>
      <c r="S96" s="19" t="n"/>
      <c r="T96" s="19" t="n"/>
      <c r="U96" s="14" t="n">
        <v>46189</v>
      </c>
      <c r="V96" s="7" t="n"/>
    </row>
    <row r="97" ht="28" customHeight="1">
      <c r="A97" s="12">
        <f>IF($L97="applied","Applied",IF($L97="interview","Interview",IF($L97="offer","Offer",IF($L97="rejected","Rejected",IF($L97="ignore","Ignore",IF($L97="archive","Archive",IF($L97="closed","Closed",IF($B97="","Unscored",IF(AND($B97&gt;=8,OR($H97="",$H97-TODAY()&lt;=14)),"P1 Apply",IF($B97&gt;=7,"P2 Strong",IF($B97&gt;=5,"P3 Maybe","P4 Low")))))))))))</f>
        <v/>
      </c>
      <c r="B97" s="13" t="n">
        <v>5</v>
      </c>
      <c r="C97" s="12" t="inlineStr">
        <is>
          <t>Unspecified</t>
        </is>
      </c>
      <c r="D97" s="8" t="inlineStr">
        <is>
          <t>Shock Vibration and Transportation Engineer</t>
        </is>
      </c>
      <c r="E97" s="7" t="inlineStr">
        <is>
          <t>Graphcore</t>
        </is>
      </c>
      <c r="F97" s="8" t="inlineStr">
        <is>
          <t>Hsinchu City, Hsinchu City, Taiwan; 臺北市, Taipei, Taiwan</t>
        </is>
      </c>
      <c r="G97" s="8" t="n"/>
      <c r="H97" s="14" t="n"/>
      <c r="I97" s="15">
        <f>IF($H97="","",$H97-TODAY())</f>
        <v/>
      </c>
      <c r="J97" s="16" t="inlineStr">
        <is>
          <t>Open posting</t>
        </is>
      </c>
      <c r="K97" s="8" t="n"/>
      <c r="L97" s="17" t="inlineStr">
        <is>
          <t>new</t>
        </is>
      </c>
      <c r="M97" s="18" t="inlineStr"/>
      <c r="N97" s="7" t="inlineStr">
        <is>
          <t>6844538f86c144ad3fd4af0a96f762daac3c49fd</t>
        </is>
      </c>
      <c r="O97" s="14" t="n">
        <v>46189</v>
      </c>
      <c r="P97" s="7" t="inlineStr">
        <is>
          <t>greenhouse:graphcore</t>
        </is>
      </c>
      <c r="Q97" s="8" t="inlineStr"/>
      <c r="R97" s="8" t="n"/>
      <c r="S97" s="19" t="n"/>
      <c r="T97" s="19" t="n"/>
      <c r="U97" s="14" t="n">
        <v>46189</v>
      </c>
      <c r="V97" s="7" t="n"/>
    </row>
    <row r="98" ht="28" customHeight="1">
      <c r="A98" s="12">
        <f>IF($L98="applied","Applied",IF($L98="interview","Interview",IF($L98="offer","Offer",IF($L98="rejected","Rejected",IF($L98="ignore","Ignore",IF($L98="archive","Archive",IF($L98="closed","Closed",IF($B98="","Unscored",IF(AND($B98&gt;=8,OR($H98="",$H98-TODAY()&lt;=14)),"P1 Apply",IF($B98&gt;=7,"P2 Strong",IF($B98&gt;=5,"P3 Maybe","P4 Low")))))))))))</f>
        <v/>
      </c>
      <c r="B98" s="13" t="n">
        <v>5</v>
      </c>
      <c r="C98" s="12" t="inlineStr">
        <is>
          <t>Unspecified</t>
        </is>
      </c>
      <c r="D98" s="8" t="inlineStr">
        <is>
          <t>Signal Integrity Engineer</t>
        </is>
      </c>
      <c r="E98" s="7" t="inlineStr">
        <is>
          <t>Graphcore</t>
        </is>
      </c>
      <c r="F98" s="8" t="inlineStr">
        <is>
          <t>Bristol, UK; Cambridge, UK; London, UK</t>
        </is>
      </c>
      <c r="G98" s="8" t="n"/>
      <c r="H98" s="14" t="n"/>
      <c r="I98" s="15">
        <f>IF($H98="","",$H98-TODAY())</f>
        <v/>
      </c>
      <c r="J98" s="16" t="inlineStr">
        <is>
          <t>Open posting</t>
        </is>
      </c>
      <c r="K98" s="8" t="n"/>
      <c r="L98" s="17" t="inlineStr">
        <is>
          <t>new</t>
        </is>
      </c>
      <c r="M98" s="18" t="inlineStr"/>
      <c r="N98" s="7" t="inlineStr">
        <is>
          <t>11c07ce9a34b9b15b374f18517e50b2e04c245a0</t>
        </is>
      </c>
      <c r="O98" s="14" t="n">
        <v>46189</v>
      </c>
      <c r="P98" s="7" t="inlineStr">
        <is>
          <t>greenhouse:graphcore</t>
        </is>
      </c>
      <c r="Q98" s="8" t="inlineStr"/>
      <c r="R98" s="8" t="n"/>
      <c r="S98" s="19" t="n"/>
      <c r="T98" s="19" t="n"/>
      <c r="U98" s="14" t="n">
        <v>46189</v>
      </c>
      <c r="V98" s="7" t="n"/>
    </row>
    <row r="99" ht="28" customHeight="1">
      <c r="A99" s="12">
        <f>IF($L99="applied","Applied",IF($L99="interview","Interview",IF($L99="offer","Offer",IF($L99="rejected","Rejected",IF($L99="ignore","Ignore",IF($L99="archive","Archive",IF($L99="closed","Closed",IF($B99="","Unscored",IF(AND($B99&gt;=8,OR($H99="",$H99-TODAY()&lt;=14)),"P1 Apply",IF($B99&gt;=7,"P2 Strong",IF($B99&gt;=5,"P3 Maybe","P4 Low")))))))))))</f>
        <v/>
      </c>
      <c r="B99" s="13" t="n">
        <v>5</v>
      </c>
      <c r="C99" s="12" t="inlineStr">
        <is>
          <t>Unspecified</t>
        </is>
      </c>
      <c r="D99" s="8" t="inlineStr">
        <is>
          <t>Signal Integrity Engineer</t>
        </is>
      </c>
      <c r="E99" s="7" t="inlineStr">
        <is>
          <t>Graphcore</t>
        </is>
      </c>
      <c r="F99" s="8" t="inlineStr">
        <is>
          <t>Bristol, UK; Cambridge, UK; London, UK</t>
        </is>
      </c>
      <c r="G99" s="8" t="n"/>
      <c r="H99" s="14" t="n"/>
      <c r="I99" s="15">
        <f>IF($H99="","",$H99-TODAY())</f>
        <v/>
      </c>
      <c r="J99" s="16" t="inlineStr">
        <is>
          <t>Open posting</t>
        </is>
      </c>
      <c r="K99" s="8" t="n"/>
      <c r="L99" s="17" t="inlineStr">
        <is>
          <t>new</t>
        </is>
      </c>
      <c r="M99" s="18" t="inlineStr"/>
      <c r="N99" s="7" t="inlineStr">
        <is>
          <t>c4949235b9fb0f0210577692b71f6d716fd8a864</t>
        </is>
      </c>
      <c r="O99" s="14" t="n">
        <v>46189</v>
      </c>
      <c r="P99" s="7" t="inlineStr">
        <is>
          <t>greenhouse:graphcore</t>
        </is>
      </c>
      <c r="Q99" s="8" t="inlineStr"/>
      <c r="R99" s="8" t="n"/>
      <c r="S99" s="19" t="n"/>
      <c r="T99" s="19" t="n"/>
      <c r="U99" s="14" t="n">
        <v>46189</v>
      </c>
      <c r="V99" s="7" t="n"/>
    </row>
    <row r="100" ht="28" customHeight="1">
      <c r="A100" s="12">
        <f>IF($L100="applied","Applied",IF($L100="interview","Interview",IF($L100="offer","Offer",IF($L100="rejected","Rejected",IF($L100="ignore","Ignore",IF($L100="archive","Archive",IF($L100="closed","Closed",IF($B100="","Unscored",IF(AND($B100&gt;=8,OR($H100="",$H100-TODAY()&lt;=14)),"P1 Apply",IF($B100&gt;=7,"P2 Strong",IF($B100&gt;=5,"P3 Maybe","P4 Low")))))))))))</f>
        <v/>
      </c>
      <c r="B100" s="13" t="n">
        <v>5</v>
      </c>
      <c r="C100" s="12" t="inlineStr">
        <is>
          <t>Unspecified</t>
        </is>
      </c>
      <c r="D100" s="8" t="inlineStr">
        <is>
          <t>Silicon Physical Design Engineer</t>
        </is>
      </c>
      <c r="E100" s="7" t="inlineStr">
        <is>
          <t>Graphcore</t>
        </is>
      </c>
      <c r="F100" s="8" t="inlineStr">
        <is>
          <t>Bristol, UK; Cambridge, UK</t>
        </is>
      </c>
      <c r="G100" s="8" t="n"/>
      <c r="H100" s="14" t="n"/>
      <c r="I100" s="15">
        <f>IF($H100="","",$H100-TODAY())</f>
        <v/>
      </c>
      <c r="J100" s="16" t="inlineStr">
        <is>
          <t>Open posting</t>
        </is>
      </c>
      <c r="K100" s="8" t="n"/>
      <c r="L100" s="17" t="inlineStr">
        <is>
          <t>new</t>
        </is>
      </c>
      <c r="M100" s="18" t="inlineStr"/>
      <c r="N100" s="7" t="inlineStr">
        <is>
          <t>cc9a42027b271ea6b550fc31a9abdce3fc087ea5</t>
        </is>
      </c>
      <c r="O100" s="14" t="n">
        <v>46189</v>
      </c>
      <c r="P100" s="7" t="inlineStr">
        <is>
          <t>greenhouse:graphcore</t>
        </is>
      </c>
      <c r="Q100" s="8" t="inlineStr"/>
      <c r="R100" s="8" t="n"/>
      <c r="S100" s="19" t="n"/>
      <c r="T100" s="19" t="n"/>
      <c r="U100" s="14" t="n">
        <v>46189</v>
      </c>
      <c r="V100" s="7" t="n"/>
    </row>
    <row r="101" ht="28" customHeight="1">
      <c r="A101" s="12">
        <f>IF($L101="applied","Applied",IF($L101="interview","Interview",IF($L101="offer","Offer",IF($L101="rejected","Rejected",IF($L101="ignore","Ignore",IF($L101="archive","Archive",IF($L101="closed","Closed",IF($B101="","Unscored",IF(AND($B101&gt;=8,OR($H101="",$H101-TODAY()&lt;=14)),"P1 Apply",IF($B101&gt;=7,"P2 Strong",IF($B101&gt;=5,"P3 Maybe","P4 Low")))))))))))</f>
        <v/>
      </c>
      <c r="B101" s="13" t="n">
        <v>5</v>
      </c>
      <c r="C101" s="12" t="inlineStr">
        <is>
          <t>Unspecified</t>
        </is>
      </c>
      <c r="D101" s="8" t="inlineStr">
        <is>
          <t>Silicon Verification Engineer</t>
        </is>
      </c>
      <c r="E101" s="7" t="inlineStr">
        <is>
          <t>Graphcore</t>
        </is>
      </c>
      <c r="F101" s="8" t="inlineStr">
        <is>
          <t>Bristol, UK; Cambridge, UK</t>
        </is>
      </c>
      <c r="G101" s="8" t="n"/>
      <c r="H101" s="14" t="n"/>
      <c r="I101" s="15">
        <f>IF($H101="","",$H101-TODAY())</f>
        <v/>
      </c>
      <c r="J101" s="16" t="inlineStr">
        <is>
          <t>Open posting</t>
        </is>
      </c>
      <c r="K101" s="8" t="n"/>
      <c r="L101" s="17" t="inlineStr">
        <is>
          <t>new</t>
        </is>
      </c>
      <c r="M101" s="18" t="inlineStr"/>
      <c r="N101" s="7" t="inlineStr">
        <is>
          <t>ec72c74302642f41c0a676d28944cf11c8566ea8</t>
        </is>
      </c>
      <c r="O101" s="14" t="n">
        <v>46189</v>
      </c>
      <c r="P101" s="7" t="inlineStr">
        <is>
          <t>greenhouse:graphcore</t>
        </is>
      </c>
      <c r="Q101" s="8" t="inlineStr"/>
      <c r="R101" s="8" t="n"/>
      <c r="S101" s="19" t="n"/>
      <c r="T101" s="19" t="n"/>
      <c r="U101" s="14" t="n">
        <v>46189</v>
      </c>
      <c r="V101" s="7" t="n"/>
    </row>
    <row r="102" ht="28" customHeight="1">
      <c r="A102" s="12">
        <f>IF($L102="applied","Applied",IF($L102="interview","Interview",IF($L102="offer","Offer",IF($L102="rejected","Rejected",IF($L102="ignore","Ignore",IF($L102="archive","Archive",IF($L102="closed","Closed",IF($B102="","Unscored",IF(AND($B102&gt;=8,OR($H102="",$H102-TODAY()&lt;=14)),"P1 Apply",IF($B102&gt;=7,"P2 Strong",IF($B102&gt;=5,"P3 Maybe","P4 Low")))))))))))</f>
        <v/>
      </c>
      <c r="B102" s="13" t="n">
        <v>5</v>
      </c>
      <c r="C102" s="12" t="inlineStr">
        <is>
          <t>Unspecified</t>
        </is>
      </c>
      <c r="D102" s="8" t="inlineStr">
        <is>
          <t>SoC Architect</t>
        </is>
      </c>
      <c r="E102" s="7" t="inlineStr">
        <is>
          <t>Graphcore</t>
        </is>
      </c>
      <c r="F102" s="8" t="inlineStr">
        <is>
          <t>Bristol, UK</t>
        </is>
      </c>
      <c r="G102" s="8" t="n"/>
      <c r="H102" s="14" t="n"/>
      <c r="I102" s="15">
        <f>IF($H102="","",$H102-TODAY())</f>
        <v/>
      </c>
      <c r="J102" s="16" t="inlineStr">
        <is>
          <t>Open posting</t>
        </is>
      </c>
      <c r="K102" s="8" t="n"/>
      <c r="L102" s="17" t="inlineStr">
        <is>
          <t>new</t>
        </is>
      </c>
      <c r="M102" s="18" t="inlineStr"/>
      <c r="N102" s="7" t="inlineStr">
        <is>
          <t>87d7bdbcc8578d25f9357ddb7b1e3093cf51afd9</t>
        </is>
      </c>
      <c r="O102" s="14" t="n">
        <v>46189</v>
      </c>
      <c r="P102" s="7" t="inlineStr">
        <is>
          <t>greenhouse:graphcore</t>
        </is>
      </c>
      <c r="Q102" s="8" t="inlineStr"/>
      <c r="R102" s="8" t="n"/>
      <c r="S102" s="19" t="n"/>
      <c r="T102" s="19" t="n"/>
      <c r="U102" s="14" t="n">
        <v>46189</v>
      </c>
      <c r="V102" s="7" t="n"/>
    </row>
    <row r="103" ht="28" customHeight="1">
      <c r="A103" s="12">
        <f>IF($L103="applied","Applied",IF($L103="interview","Interview",IF($L103="offer","Offer",IF($L103="rejected","Rejected",IF($L103="ignore","Ignore",IF($L103="archive","Archive",IF($L103="closed","Closed",IF($B103="","Unscored",IF(AND($B103&gt;=8,OR($H103="",$H103-TODAY()&lt;=14)),"P1 Apply",IF($B103&gt;=7,"P2 Strong",IF($B103&gt;=5,"P3 Maybe","P4 Low")))))))))))</f>
        <v/>
      </c>
      <c r="B103" s="13" t="n">
        <v>5</v>
      </c>
      <c r="C103" s="12" t="inlineStr">
        <is>
          <t>Unspecified</t>
        </is>
      </c>
      <c r="D103" s="8" t="inlineStr">
        <is>
          <t>Software Engineer</t>
        </is>
      </c>
      <c r="E103" s="7" t="inlineStr">
        <is>
          <t>Graphcore</t>
        </is>
      </c>
      <c r="F103" s="8" t="inlineStr">
        <is>
          <t>Gdańsk, Pomeranian Voivodeship, Poland</t>
        </is>
      </c>
      <c r="G103" s="8" t="n"/>
      <c r="H103" s="14" t="n"/>
      <c r="I103" s="15">
        <f>IF($H103="","",$H103-TODAY())</f>
        <v/>
      </c>
      <c r="J103" s="16" t="inlineStr">
        <is>
          <t>Open posting</t>
        </is>
      </c>
      <c r="K103" s="8" t="n"/>
      <c r="L103" s="17" t="inlineStr">
        <is>
          <t>new</t>
        </is>
      </c>
      <c r="M103" s="18" t="inlineStr"/>
      <c r="N103" s="7" t="inlineStr">
        <is>
          <t>f99e8a6f59e0b999a379cee2a16256635a6e0672</t>
        </is>
      </c>
      <c r="O103" s="14" t="n">
        <v>46189</v>
      </c>
      <c r="P103" s="7" t="inlineStr">
        <is>
          <t>greenhouse:graphcore</t>
        </is>
      </c>
      <c r="Q103" s="8" t="inlineStr"/>
      <c r="R103" s="8" t="n"/>
      <c r="S103" s="19" t="n"/>
      <c r="T103" s="19" t="n"/>
      <c r="U103" s="14" t="n">
        <v>46189</v>
      </c>
      <c r="V103" s="7" t="n"/>
    </row>
    <row r="104" ht="28" customHeight="1">
      <c r="A104" s="12">
        <f>IF($L104="applied","Applied",IF($L104="interview","Interview",IF($L104="offer","Offer",IF($L104="rejected","Rejected",IF($L104="ignore","Ignore",IF($L104="archive","Archive",IF($L104="closed","Closed",IF($B104="","Unscored",IF(AND($B104&gt;=8,OR($H104="",$H104-TODAY()&lt;=14)),"P1 Apply",IF($B104&gt;=7,"P2 Strong",IF($B104&gt;=5,"P3 Maybe","P4 Low")))))))))))</f>
        <v/>
      </c>
      <c r="B104" s="13" t="n">
        <v>5</v>
      </c>
      <c r="C104" s="12" t="inlineStr">
        <is>
          <t>Mid-level</t>
        </is>
      </c>
      <c r="D104" s="8" t="inlineStr">
        <is>
          <t>Software Engineer</t>
        </is>
      </c>
      <c r="E104" s="7" t="inlineStr">
        <is>
          <t>Graphcore</t>
        </is>
      </c>
      <c r="F104" s="8" t="inlineStr">
        <is>
          <t>Bristol, UK</t>
        </is>
      </c>
      <c r="G104" s="8" t="n"/>
      <c r="H104" s="14" t="n"/>
      <c r="I104" s="15">
        <f>IF($H104="","",$H104-TODAY())</f>
        <v/>
      </c>
      <c r="J104" s="16" t="inlineStr">
        <is>
          <t>Open posting</t>
        </is>
      </c>
      <c r="K104" s="8" t="n"/>
      <c r="L104" s="17" t="inlineStr">
        <is>
          <t>new</t>
        </is>
      </c>
      <c r="M104" s="18" t="inlineStr"/>
      <c r="N104" s="7" t="inlineStr">
        <is>
          <t>b99df577b3029a7d87ec93147d86143b2c4df8a0</t>
        </is>
      </c>
      <c r="O104" s="14" t="n">
        <v>46189</v>
      </c>
      <c r="P104" s="7" t="inlineStr">
        <is>
          <t>greenhouse:graphcore</t>
        </is>
      </c>
      <c r="Q104" s="8" t="inlineStr"/>
      <c r="R104" s="8" t="n"/>
      <c r="S104" s="19" t="n"/>
      <c r="T104" s="19" t="n"/>
      <c r="U104" s="14" t="n">
        <v>46189</v>
      </c>
      <c r="V104" s="7" t="n"/>
    </row>
    <row r="105" ht="28" customHeight="1">
      <c r="A105" s="12">
        <f>IF($L105="applied","Applied",IF($L105="interview","Interview",IF($L105="offer","Offer",IF($L105="rejected","Rejected",IF($L105="ignore","Ignore",IF($L105="archive","Archive",IF($L105="closed","Closed",IF($B105="","Unscored",IF(AND($B105&gt;=8,OR($H105="",$H105-TODAY()&lt;=14)),"P1 Apply",IF($B105&gt;=7,"P2 Strong",IF($B105&gt;=5,"P3 Maybe","P4 Low")))))))))))</f>
        <v/>
      </c>
      <c r="B105" s="13" t="n">
        <v>5</v>
      </c>
      <c r="C105" s="12" t="inlineStr">
        <is>
          <t>Mid-level</t>
        </is>
      </c>
      <c r="D105" s="8" t="inlineStr">
        <is>
          <t>Software Engineer</t>
        </is>
      </c>
      <c r="E105" s="7" t="inlineStr">
        <is>
          <t>Graphcore</t>
        </is>
      </c>
      <c r="F105" s="8" t="inlineStr">
        <is>
          <t>Bristol, UK</t>
        </is>
      </c>
      <c r="G105" s="8" t="n"/>
      <c r="H105" s="14" t="n"/>
      <c r="I105" s="15">
        <f>IF($H105="","",$H105-TODAY())</f>
        <v/>
      </c>
      <c r="J105" s="16" t="inlineStr">
        <is>
          <t>Open posting</t>
        </is>
      </c>
      <c r="K105" s="8" t="n"/>
      <c r="L105" s="17" t="inlineStr">
        <is>
          <t>new</t>
        </is>
      </c>
      <c r="M105" s="18" t="inlineStr"/>
      <c r="N105" s="7" t="inlineStr">
        <is>
          <t>3b3ed4ef693fe3f53d08b260595bafc44461c2eb</t>
        </is>
      </c>
      <c r="O105" s="14" t="n">
        <v>46189</v>
      </c>
      <c r="P105" s="7" t="inlineStr">
        <is>
          <t>greenhouse:graphcore</t>
        </is>
      </c>
      <c r="Q105" s="8" t="inlineStr"/>
      <c r="R105" s="8" t="n"/>
      <c r="S105" s="19" t="n"/>
      <c r="T105" s="19" t="n"/>
      <c r="U105" s="14" t="n">
        <v>46189</v>
      </c>
      <c r="V105" s="7" t="n"/>
    </row>
    <row r="106" ht="28" customHeight="1">
      <c r="A106" s="12">
        <f>IF($L106="applied","Applied",IF($L106="interview","Interview",IF($L106="offer","Offer",IF($L106="rejected","Rejected",IF($L106="ignore","Ignore",IF($L106="archive","Archive",IF($L106="closed","Closed",IF($B106="","Unscored",IF(AND($B106&gt;=8,OR($H106="",$H106-TODAY()&lt;=14)),"P1 Apply",IF($B106&gt;=7,"P2 Strong",IF($B106&gt;=5,"P3 Maybe","P4 Low")))))))))))</f>
        <v/>
      </c>
      <c r="B106" s="13" t="n">
        <v>5</v>
      </c>
      <c r="C106" s="12" t="inlineStr">
        <is>
          <t>Unspecified</t>
        </is>
      </c>
      <c r="D106" s="8" t="inlineStr">
        <is>
          <t>Software Engineer in Build Engineering</t>
        </is>
      </c>
      <c r="E106" s="7" t="inlineStr">
        <is>
          <t>Graphcore</t>
        </is>
      </c>
      <c r="F106" s="8" t="inlineStr">
        <is>
          <t>Bristol, UK; Cambridge, UK; Gdańsk, Pomeranian Voivodeship, Poland</t>
        </is>
      </c>
      <c r="G106" s="8" t="n"/>
      <c r="H106" s="14" t="n"/>
      <c r="I106" s="15">
        <f>IF($H106="","",$H106-TODAY())</f>
        <v/>
      </c>
      <c r="J106" s="16" t="inlineStr">
        <is>
          <t>Open posting</t>
        </is>
      </c>
      <c r="K106" s="8" t="n"/>
      <c r="L106" s="17" t="inlineStr">
        <is>
          <t>new</t>
        </is>
      </c>
      <c r="M106" s="18" t="inlineStr"/>
      <c r="N106" s="7" t="inlineStr">
        <is>
          <t>13d701ea917e4aa6981c301e5f6c395150a09208</t>
        </is>
      </c>
      <c r="O106" s="14" t="n">
        <v>46189</v>
      </c>
      <c r="P106" s="7" t="inlineStr">
        <is>
          <t>greenhouse:graphcore</t>
        </is>
      </c>
      <c r="Q106" s="8" t="inlineStr"/>
      <c r="R106" s="8" t="n"/>
      <c r="S106" s="19" t="n"/>
      <c r="T106" s="19" t="n"/>
      <c r="U106" s="14" t="n">
        <v>46189</v>
      </c>
      <c r="V106" s="7" t="n"/>
    </row>
    <row r="107" ht="28" customHeight="1">
      <c r="A107" s="12">
        <f>IF($L107="applied","Applied",IF($L107="interview","Interview",IF($L107="offer","Offer",IF($L107="rejected","Rejected",IF($L107="ignore","Ignore",IF($L107="archive","Archive",IF($L107="closed","Closed",IF($B107="","Unscored",IF(AND($B107&gt;=8,OR($H107="",$H107-TODAY()&lt;=14)),"P1 Apply",IF($B107&gt;=7,"P2 Strong",IF($B107&gt;=5,"P3 Maybe","P4 Low")))))))))))</f>
        <v/>
      </c>
      <c r="B107" s="13" t="n">
        <v>5</v>
      </c>
      <c r="C107" s="12" t="inlineStr">
        <is>
          <t>Unspecified</t>
        </is>
      </c>
      <c r="D107" s="8" t="inlineStr">
        <is>
          <t>Software Engineer - ML Kernels &amp; Runtime</t>
        </is>
      </c>
      <c r="E107" s="7" t="inlineStr">
        <is>
          <t>Graphcore</t>
        </is>
      </c>
      <c r="F107" s="8" t="inlineStr">
        <is>
          <t>Gdańsk, Pomeranian Voivodeship, Poland</t>
        </is>
      </c>
      <c r="G107" s="8" t="n"/>
      <c r="H107" s="14" t="n"/>
      <c r="I107" s="15">
        <f>IF($H107="","",$H107-TODAY())</f>
        <v/>
      </c>
      <c r="J107" s="16" t="inlineStr">
        <is>
          <t>Open posting</t>
        </is>
      </c>
      <c r="K107" s="8" t="n"/>
      <c r="L107" s="17" t="inlineStr">
        <is>
          <t>new</t>
        </is>
      </c>
      <c r="M107" s="18" t="inlineStr"/>
      <c r="N107" s="7" t="inlineStr">
        <is>
          <t>a2a775f6dc90f14d2a27acea690e762a15b794ba</t>
        </is>
      </c>
      <c r="O107" s="14" t="n">
        <v>46189</v>
      </c>
      <c r="P107" s="7" t="inlineStr">
        <is>
          <t>greenhouse:graphcore</t>
        </is>
      </c>
      <c r="Q107" s="8" t="inlineStr"/>
      <c r="R107" s="8" t="n"/>
      <c r="S107" s="19" t="n"/>
      <c r="T107" s="19" t="n"/>
      <c r="U107" s="14" t="n">
        <v>46189</v>
      </c>
      <c r="V107" s="7" t="n"/>
    </row>
    <row r="108" ht="28" customHeight="1">
      <c r="A108" s="12">
        <f>IF($L108="applied","Applied",IF($L108="interview","Interview",IF($L108="offer","Offer",IF($L108="rejected","Rejected",IF($L108="ignore","Ignore",IF($L108="archive","Archive",IF($L108="closed","Closed",IF($B108="","Unscored",IF(AND($B108&gt;=8,OR($H108="",$H108-TODAY()&lt;=14)),"P1 Apply",IF($B108&gt;=7,"P2 Strong",IF($B108&gt;=5,"P3 Maybe","P4 Low")))))))))))</f>
        <v/>
      </c>
      <c r="B108" s="13" t="n">
        <v>5</v>
      </c>
      <c r="C108" s="12" t="inlineStr">
        <is>
          <t>Unspecified</t>
        </is>
      </c>
      <c r="D108" s="8" t="inlineStr">
        <is>
          <t>Software Engineer - ML Kernels &amp; Runtime</t>
        </is>
      </c>
      <c r="E108" s="7" t="inlineStr">
        <is>
          <t>Graphcore</t>
        </is>
      </c>
      <c r="F108" s="8" t="inlineStr">
        <is>
          <t>Bristol, UK</t>
        </is>
      </c>
      <c r="G108" s="8" t="n"/>
      <c r="H108" s="14" t="n"/>
      <c r="I108" s="15">
        <f>IF($H108="","",$H108-TODAY())</f>
        <v/>
      </c>
      <c r="J108" s="16" t="inlineStr">
        <is>
          <t>Open posting</t>
        </is>
      </c>
      <c r="K108" s="8" t="n"/>
      <c r="L108" s="17" t="inlineStr">
        <is>
          <t>new</t>
        </is>
      </c>
      <c r="M108" s="18" t="inlineStr"/>
      <c r="N108" s="7" t="inlineStr">
        <is>
          <t>e061ceffc3e6f13cc7e0e75c0168d96ac92ba7ca</t>
        </is>
      </c>
      <c r="O108" s="14" t="n">
        <v>46189</v>
      </c>
      <c r="P108" s="7" t="inlineStr">
        <is>
          <t>greenhouse:graphcore</t>
        </is>
      </c>
      <c r="Q108" s="8" t="inlineStr"/>
      <c r="R108" s="8" t="n"/>
      <c r="S108" s="19" t="n"/>
      <c r="T108" s="19" t="n"/>
      <c r="U108" s="14" t="n">
        <v>46189</v>
      </c>
      <c r="V108" s="7" t="n"/>
    </row>
    <row r="109" ht="28" customHeight="1">
      <c r="A109" s="12">
        <f>IF($L109="applied","Applied",IF($L109="interview","Interview",IF($L109="offer","Offer",IF($L109="rejected","Rejected",IF($L109="ignore","Ignore",IF($L109="archive","Archive",IF($L109="closed","Closed",IF($B109="","Unscored",IF(AND($B109&gt;=8,OR($H109="",$H109-TODAY()&lt;=14)),"P1 Apply",IF($B109&gt;=7,"P2 Strong",IF($B109&gt;=5,"P3 Maybe","P4 Low")))))))))))</f>
        <v/>
      </c>
      <c r="B109" s="13" t="n">
        <v>5</v>
      </c>
      <c r="C109" s="12" t="inlineStr">
        <is>
          <t>Senior/Lead</t>
        </is>
      </c>
      <c r="D109" s="8" t="inlineStr">
        <is>
          <t>Software Engineer - Triton</t>
        </is>
      </c>
      <c r="E109" s="7" t="inlineStr">
        <is>
          <t>Graphcore</t>
        </is>
      </c>
      <c r="F109" s="8" t="inlineStr">
        <is>
          <t>Bristol, UK; Cambridge, UK</t>
        </is>
      </c>
      <c r="G109" s="8" t="n"/>
      <c r="H109" s="14" t="n"/>
      <c r="I109" s="15">
        <f>IF($H109="","",$H109-TODAY())</f>
        <v/>
      </c>
      <c r="J109" s="16" t="inlineStr">
        <is>
          <t>Open posting</t>
        </is>
      </c>
      <c r="K109" s="8" t="n"/>
      <c r="L109" s="17" t="inlineStr">
        <is>
          <t>new</t>
        </is>
      </c>
      <c r="M109" s="18" t="inlineStr"/>
      <c r="N109" s="7" t="inlineStr">
        <is>
          <t>f1fca744426d844e685593fb0efbd403284065f8</t>
        </is>
      </c>
      <c r="O109" s="14" t="n">
        <v>46189</v>
      </c>
      <c r="P109" s="7" t="inlineStr">
        <is>
          <t>greenhouse:graphcore</t>
        </is>
      </c>
      <c r="Q109" s="8" t="inlineStr"/>
      <c r="R109" s="8" t="n"/>
      <c r="S109" s="19" t="n"/>
      <c r="T109" s="19" t="n"/>
      <c r="U109" s="14" t="n">
        <v>46189</v>
      </c>
      <c r="V109" s="7" t="n"/>
    </row>
    <row r="110" ht="28" customHeight="1">
      <c r="A110" s="12">
        <f>IF($L110="applied","Applied",IF($L110="interview","Interview",IF($L110="offer","Offer",IF($L110="rejected","Rejected",IF($L110="ignore","Ignore",IF($L110="archive","Archive",IF($L110="closed","Closed",IF($B110="","Unscored",IF(AND($B110&gt;=8,OR($H110="",$H110-TODAY()&lt;=14)),"P1 Apply",IF($B110&gt;=7,"P2 Strong",IF($B110&gt;=5,"P3 Maybe","P4 Low")))))))))))</f>
        <v/>
      </c>
      <c r="B110" s="13" t="n">
        <v>5</v>
      </c>
      <c r="C110" s="12" t="inlineStr">
        <is>
          <t>Unspecified</t>
        </is>
      </c>
      <c r="D110" s="8" t="inlineStr">
        <is>
          <t>Software Infrastructure Engineer</t>
        </is>
      </c>
      <c r="E110" s="7" t="inlineStr">
        <is>
          <t>Graphcore</t>
        </is>
      </c>
      <c r="F110" s="8" t="inlineStr">
        <is>
          <t>Bristol, UK</t>
        </is>
      </c>
      <c r="G110" s="8" t="n"/>
      <c r="H110" s="14" t="n"/>
      <c r="I110" s="15">
        <f>IF($H110="","",$H110-TODAY())</f>
        <v/>
      </c>
      <c r="J110" s="16" t="inlineStr">
        <is>
          <t>Open posting</t>
        </is>
      </c>
      <c r="K110" s="8" t="n"/>
      <c r="L110" s="17" t="inlineStr">
        <is>
          <t>new</t>
        </is>
      </c>
      <c r="M110" s="18" t="inlineStr"/>
      <c r="N110" s="7" t="inlineStr">
        <is>
          <t>664063c3e90f54b3041abead9e87d78747967108</t>
        </is>
      </c>
      <c r="O110" s="14" t="n">
        <v>46189</v>
      </c>
      <c r="P110" s="7" t="inlineStr">
        <is>
          <t>greenhouse:graphcore</t>
        </is>
      </c>
      <c r="Q110" s="8" t="inlineStr"/>
      <c r="R110" s="8" t="n"/>
      <c r="S110" s="19" t="n"/>
      <c r="T110" s="19" t="n"/>
      <c r="U110" s="14" t="n">
        <v>46189</v>
      </c>
      <c r="V110" s="7" t="n"/>
    </row>
    <row r="111" ht="28" customHeight="1">
      <c r="A111" s="12">
        <f>IF($L111="applied","Applied",IF($L111="interview","Interview",IF($L111="offer","Offer",IF($L111="rejected","Rejected",IF($L111="ignore","Ignore",IF($L111="archive","Archive",IF($L111="closed","Closed",IF($B111="","Unscored",IF(AND($B111&gt;=8,OR($H111="",$H111-TODAY()&lt;=14)),"P1 Apply",IF($B111&gt;=7,"P2 Strong",IF($B111&gt;=5,"P3 Maybe","P4 Low")))))))))))</f>
        <v/>
      </c>
      <c r="B111" s="13" t="n">
        <v>5</v>
      </c>
      <c r="C111" s="12" t="inlineStr">
        <is>
          <t>Unspecified</t>
        </is>
      </c>
      <c r="D111" s="8" t="inlineStr">
        <is>
          <t>Software Infrastructure Kubernetes Engineer</t>
        </is>
      </c>
      <c r="E111" s="7" t="inlineStr">
        <is>
          <t>Graphcore</t>
        </is>
      </c>
      <c r="F111" s="8" t="inlineStr">
        <is>
          <t>Bristol, UK; Cambridge, UK; Gdańsk, Pomeranian Voivodeship, Poland</t>
        </is>
      </c>
      <c r="G111" s="8" t="n"/>
      <c r="H111" s="14" t="n"/>
      <c r="I111" s="15">
        <f>IF($H111="","",$H111-TODAY())</f>
        <v/>
      </c>
      <c r="J111" s="16" t="inlineStr">
        <is>
          <t>Open posting</t>
        </is>
      </c>
      <c r="K111" s="8" t="n"/>
      <c r="L111" s="17" t="inlineStr">
        <is>
          <t>new</t>
        </is>
      </c>
      <c r="M111" s="18" t="inlineStr"/>
      <c r="N111" s="7" t="inlineStr">
        <is>
          <t>ea04c2062eee6bb2dd1e98f7a41c345f24035ca4</t>
        </is>
      </c>
      <c r="O111" s="14" t="n">
        <v>46189</v>
      </c>
      <c r="P111" s="7" t="inlineStr">
        <is>
          <t>greenhouse:graphcore</t>
        </is>
      </c>
      <c r="Q111" s="8" t="inlineStr"/>
      <c r="R111" s="8" t="n"/>
      <c r="S111" s="19" t="n"/>
      <c r="T111" s="19" t="n"/>
      <c r="U111" s="14" t="n">
        <v>46189</v>
      </c>
      <c r="V111" s="7" t="n"/>
    </row>
    <row r="112" ht="28" customHeight="1">
      <c r="A112" s="12">
        <f>IF($L112="applied","Applied",IF($L112="interview","Interview",IF($L112="offer","Offer",IF($L112="rejected","Rejected",IF($L112="ignore","Ignore",IF($L112="archive","Archive",IF($L112="closed","Closed",IF($B112="","Unscored",IF(AND($B112&gt;=8,OR($H112="",$H112-TODAY()&lt;=14)),"P1 Apply",IF($B112&gt;=7,"P2 Strong",IF($B112&gt;=5,"P3 Maybe","P4 Low")))))))))))</f>
        <v/>
      </c>
      <c r="B112" s="13" t="n">
        <v>5</v>
      </c>
      <c r="C112" s="12" t="inlineStr">
        <is>
          <t>Senior/Lead</t>
        </is>
      </c>
      <c r="D112" s="8" t="inlineStr">
        <is>
          <t>Storage Architect</t>
        </is>
      </c>
      <c r="E112" s="7" t="inlineStr">
        <is>
          <t>Graphcore</t>
        </is>
      </c>
      <c r="F112" s="8" t="inlineStr">
        <is>
          <t>Austin, Texas, United States; US - Milpitas</t>
        </is>
      </c>
      <c r="G112" s="8" t="n"/>
      <c r="H112" s="14" t="n"/>
      <c r="I112" s="15">
        <f>IF($H112="","",$H112-TODAY())</f>
        <v/>
      </c>
      <c r="J112" s="16" t="inlineStr">
        <is>
          <t>Open posting</t>
        </is>
      </c>
      <c r="K112" s="8" t="n"/>
      <c r="L112" s="17" t="inlineStr">
        <is>
          <t>new</t>
        </is>
      </c>
      <c r="M112" s="18" t="inlineStr"/>
      <c r="N112" s="7" t="inlineStr">
        <is>
          <t>375b635fe19a91de88f1b46c5a0104493f5fa1b9</t>
        </is>
      </c>
      <c r="O112" s="14" t="n">
        <v>46189</v>
      </c>
      <c r="P112" s="7" t="inlineStr">
        <is>
          <t>greenhouse:graphcore</t>
        </is>
      </c>
      <c r="Q112" s="8" t="inlineStr"/>
      <c r="R112" s="8" t="n"/>
      <c r="S112" s="19" t="n"/>
      <c r="T112" s="19" t="n"/>
      <c r="U112" s="14" t="n">
        <v>46189</v>
      </c>
      <c r="V112" s="7" t="n"/>
    </row>
    <row r="113" ht="28" customHeight="1">
      <c r="A113" s="12">
        <f>IF($L113="applied","Applied",IF($L113="interview","Interview",IF($L113="offer","Offer",IF($L113="rejected","Rejected",IF($L113="ignore","Ignore",IF($L113="archive","Archive",IF($L113="closed","Closed",IF($B113="","Unscored",IF(AND($B113&gt;=8,OR($H113="",$H113-TODAY()&lt;=14)),"P1 Apply",IF($B113&gt;=7,"P2 Strong",IF($B113&gt;=5,"P3 Maybe","P4 Low")))))))))))</f>
        <v/>
      </c>
      <c r="B113" s="13" t="n">
        <v>5</v>
      </c>
      <c r="C113" s="12" t="inlineStr">
        <is>
          <t>Unspecified</t>
        </is>
      </c>
      <c r="D113" s="8" t="inlineStr">
        <is>
          <t>System Software Engineer</t>
        </is>
      </c>
      <c r="E113" s="7" t="inlineStr">
        <is>
          <t>Graphcore</t>
        </is>
      </c>
      <c r="F113" s="8" t="inlineStr">
        <is>
          <t>Cambridge, UK</t>
        </is>
      </c>
      <c r="G113" s="8" t="n"/>
      <c r="H113" s="14" t="n"/>
      <c r="I113" s="15">
        <f>IF($H113="","",$H113-TODAY())</f>
        <v/>
      </c>
      <c r="J113" s="16" t="inlineStr">
        <is>
          <t>Open posting</t>
        </is>
      </c>
      <c r="K113" s="8" t="n"/>
      <c r="L113" s="17" t="inlineStr">
        <is>
          <t>new</t>
        </is>
      </c>
      <c r="M113" s="18" t="inlineStr"/>
      <c r="N113" s="7" t="inlineStr">
        <is>
          <t>7f1f4c10edb49f762f649fd602d8feae37371e36</t>
        </is>
      </c>
      <c r="O113" s="14" t="n">
        <v>46189</v>
      </c>
      <c r="P113" s="7" t="inlineStr">
        <is>
          <t>greenhouse:graphcore</t>
        </is>
      </c>
      <c r="Q113" s="8" t="inlineStr"/>
      <c r="R113" s="8" t="n"/>
      <c r="S113" s="19" t="n"/>
      <c r="T113" s="19" t="n"/>
      <c r="U113" s="14" t="n">
        <v>46189</v>
      </c>
      <c r="V113" s="7" t="n"/>
    </row>
    <row r="114" ht="28" customHeight="1">
      <c r="A114" s="12">
        <f>IF($L114="applied","Applied",IF($L114="interview","Interview",IF($L114="offer","Offer",IF($L114="rejected","Rejected",IF($L114="ignore","Ignore",IF($L114="archive","Archive",IF($L114="closed","Closed",IF($B114="","Unscored",IF(AND($B114&gt;=8,OR($H114="",$H114-TODAY()&lt;=14)),"P1 Apply",IF($B114&gt;=7,"P2 Strong",IF($B114&gt;=5,"P3 Maybe","P4 Low")))))))))))</f>
        <v/>
      </c>
      <c r="B114" s="13" t="n">
        <v>5</v>
      </c>
      <c r="C114" s="12" t="inlineStr">
        <is>
          <t>Unspecified</t>
        </is>
      </c>
      <c r="D114" s="8" t="inlineStr">
        <is>
          <t>System Software Engineer</t>
        </is>
      </c>
      <c r="E114" s="7" t="inlineStr">
        <is>
          <t>Graphcore</t>
        </is>
      </c>
      <c r="F114" s="8" t="inlineStr">
        <is>
          <t>Gdańsk, Pomeranian Voivodeship, Poland</t>
        </is>
      </c>
      <c r="G114" s="8" t="n"/>
      <c r="H114" s="14" t="n"/>
      <c r="I114" s="15">
        <f>IF($H114="","",$H114-TODAY())</f>
        <v/>
      </c>
      <c r="J114" s="16" t="inlineStr">
        <is>
          <t>Open posting</t>
        </is>
      </c>
      <c r="K114" s="8" t="n"/>
      <c r="L114" s="17" t="inlineStr">
        <is>
          <t>new</t>
        </is>
      </c>
      <c r="M114" s="18" t="inlineStr"/>
      <c r="N114" s="7" t="inlineStr">
        <is>
          <t>ff7cfb16125c5b04ec25be6114bbb468680d653b</t>
        </is>
      </c>
      <c r="O114" s="14" t="n">
        <v>46189</v>
      </c>
      <c r="P114" s="7" t="inlineStr">
        <is>
          <t>greenhouse:graphcore</t>
        </is>
      </c>
      <c r="Q114" s="8" t="inlineStr"/>
      <c r="R114" s="8" t="n"/>
      <c r="S114" s="19" t="n"/>
      <c r="T114" s="19" t="n"/>
      <c r="U114" s="14" t="n">
        <v>46189</v>
      </c>
      <c r="V114" s="7" t="n"/>
    </row>
    <row r="115" ht="28" customHeight="1">
      <c r="A115" s="12">
        <f>IF($L115="applied","Applied",IF($L115="interview","Interview",IF($L115="offer","Offer",IF($L115="rejected","Rejected",IF($L115="ignore","Ignore",IF($L115="archive","Archive",IF($L115="closed","Closed",IF($B115="","Unscored",IF(AND($B115&gt;=8,OR($H115="",$H115-TODAY()&lt;=14)),"P1 Apply",IF($B115&gt;=7,"P2 Strong",IF($B115&gt;=5,"P3 Maybe","P4 Low")))))))))))</f>
        <v/>
      </c>
      <c r="B115" s="13" t="n">
        <v>5</v>
      </c>
      <c r="C115" s="12" t="inlineStr">
        <is>
          <t>Unspecified</t>
        </is>
      </c>
      <c r="D115" s="8" t="inlineStr">
        <is>
          <t>System Software Engineer</t>
        </is>
      </c>
      <c r="E115" s="7" t="inlineStr">
        <is>
          <t>Graphcore</t>
        </is>
      </c>
      <c r="F115" s="8" t="inlineStr">
        <is>
          <t>Bristol, UK</t>
        </is>
      </c>
      <c r="G115" s="8" t="n"/>
      <c r="H115" s="14" t="n"/>
      <c r="I115" s="15">
        <f>IF($H115="","",$H115-TODAY())</f>
        <v/>
      </c>
      <c r="J115" s="16" t="inlineStr">
        <is>
          <t>Open posting</t>
        </is>
      </c>
      <c r="K115" s="8" t="n"/>
      <c r="L115" s="17" t="inlineStr">
        <is>
          <t>new</t>
        </is>
      </c>
      <c r="M115" s="18" t="inlineStr"/>
      <c r="N115" s="7" t="inlineStr">
        <is>
          <t>7e7d8692e2476c57f9c7fae8e7c437e0560f67d2</t>
        </is>
      </c>
      <c r="O115" s="14" t="n">
        <v>46189</v>
      </c>
      <c r="P115" s="7" t="inlineStr">
        <is>
          <t>greenhouse:graphcore</t>
        </is>
      </c>
      <c r="Q115" s="8" t="inlineStr"/>
      <c r="R115" s="8" t="n"/>
      <c r="S115" s="19" t="n"/>
      <c r="T115" s="19" t="n"/>
      <c r="U115" s="14" t="n">
        <v>46189</v>
      </c>
      <c r="V115" s="7" t="n"/>
    </row>
    <row r="116" ht="28" customHeight="1">
      <c r="A116" s="12">
        <f>IF($L116="applied","Applied",IF($L116="interview","Interview",IF($L116="offer","Offer",IF($L116="rejected","Rejected",IF($L116="ignore","Ignore",IF($L116="archive","Archive",IF($L116="closed","Closed",IF($B116="","Unscored",IF(AND($B116&gt;=8,OR($H116="",$H116-TODAY()&lt;=14)),"P1 Apply",IF($B116&gt;=7,"P2 Strong",IF($B116&gt;=5,"P3 Maybe","P4 Low")))))))))))</f>
        <v/>
      </c>
      <c r="B116" s="13" t="n">
        <v>5</v>
      </c>
      <c r="C116" s="12" t="inlineStr">
        <is>
          <t>Manager/Owner</t>
        </is>
      </c>
      <c r="D116" s="8" t="inlineStr">
        <is>
          <t>Technical Product Manager</t>
        </is>
      </c>
      <c r="E116" s="7" t="inlineStr">
        <is>
          <t>Graphcore</t>
        </is>
      </c>
      <c r="F116" s="8" t="inlineStr">
        <is>
          <t>Bristol, UK</t>
        </is>
      </c>
      <c r="G116" s="8" t="n"/>
      <c r="H116" s="14" t="n"/>
      <c r="I116" s="15">
        <f>IF($H116="","",$H116-TODAY())</f>
        <v/>
      </c>
      <c r="J116" s="16" t="inlineStr">
        <is>
          <t>Open posting</t>
        </is>
      </c>
      <c r="K116" s="8" t="n"/>
      <c r="L116" s="17" t="inlineStr">
        <is>
          <t>new</t>
        </is>
      </c>
      <c r="M116" s="18" t="inlineStr"/>
      <c r="N116" s="7" t="inlineStr">
        <is>
          <t>aab604e9762882dc657ff27ec510149e83e2cd12</t>
        </is>
      </c>
      <c r="O116" s="14" t="n">
        <v>46189</v>
      </c>
      <c r="P116" s="7" t="inlineStr">
        <is>
          <t>greenhouse:graphcore</t>
        </is>
      </c>
      <c r="Q116" s="8" t="inlineStr"/>
      <c r="R116" s="8" t="n"/>
      <c r="S116" s="19" t="n"/>
      <c r="T116" s="19" t="n"/>
      <c r="U116" s="14" t="n">
        <v>46189</v>
      </c>
      <c r="V116" s="7" t="n"/>
    </row>
    <row r="117" ht="28" customHeight="1">
      <c r="A117" s="12">
        <f>IF($L117="applied","Applied",IF($L117="interview","Interview",IF($L117="offer","Offer",IF($L117="rejected","Rejected",IF($L117="ignore","Ignore",IF($L117="archive","Archive",IF($L117="closed","Closed",IF($B117="","Unscored",IF(AND($B117&gt;=8,OR($H117="",$H117-TODAY()&lt;=14)),"P1 Apply",IF($B117&gt;=7,"P2 Strong",IF($B117&gt;=5,"P3 Maybe","P4 Low")))))))))))</f>
        <v/>
      </c>
      <c r="B117" s="13" t="n">
        <v>5</v>
      </c>
      <c r="C117" s="12" t="inlineStr">
        <is>
          <t>Manager/Owner</t>
        </is>
      </c>
      <c r="D117" s="8" t="inlineStr">
        <is>
          <t>Technical Product Owner</t>
        </is>
      </c>
      <c r="E117" s="7" t="inlineStr">
        <is>
          <t>Graphcore</t>
        </is>
      </c>
      <c r="F117" s="8" t="inlineStr">
        <is>
          <t>Bristol, UK</t>
        </is>
      </c>
      <c r="G117" s="8" t="n"/>
      <c r="H117" s="14" t="n"/>
      <c r="I117" s="15">
        <f>IF($H117="","",$H117-TODAY())</f>
        <v/>
      </c>
      <c r="J117" s="16" t="inlineStr">
        <is>
          <t>Open posting</t>
        </is>
      </c>
      <c r="K117" s="8" t="n"/>
      <c r="L117" s="17" t="inlineStr">
        <is>
          <t>new</t>
        </is>
      </c>
      <c r="M117" s="18" t="inlineStr"/>
      <c r="N117" s="7" t="inlineStr">
        <is>
          <t>59aab399acf5d67c2f3e4a2230a543e4acae50d7</t>
        </is>
      </c>
      <c r="O117" s="14" t="n">
        <v>46189</v>
      </c>
      <c r="P117" s="7" t="inlineStr">
        <is>
          <t>greenhouse:graphcore</t>
        </is>
      </c>
      <c r="Q117" s="8" t="inlineStr"/>
      <c r="R117" s="8" t="n"/>
      <c r="S117" s="19" t="n"/>
      <c r="T117" s="19" t="n"/>
      <c r="U117" s="14" t="n">
        <v>46189</v>
      </c>
      <c r="V117" s="7" t="n"/>
    </row>
    <row r="118" ht="28" customHeight="1">
      <c r="A118" s="12">
        <f>IF($L118="applied","Applied",IF($L118="interview","Interview",IF($L118="offer","Offer",IF($L118="rejected","Rejected",IF($L118="ignore","Ignore",IF($L118="archive","Archive",IF($L118="closed","Closed",IF($B118="","Unscored",IF(AND($B118&gt;=8,OR($H118="",$H118-TODAY()&lt;=14)),"P1 Apply",IF($B118&gt;=7,"P2 Strong",IF($B118&gt;=5,"P3 Maybe","P4 Low")))))))))))</f>
        <v/>
      </c>
      <c r="B118" s="13" t="n">
        <v>5</v>
      </c>
      <c r="C118" s="12" t="inlineStr">
        <is>
          <t>Manager/Owner</t>
        </is>
      </c>
      <c r="D118" s="8" t="inlineStr">
        <is>
          <t>Technical Sourcing Manager</t>
        </is>
      </c>
      <c r="E118" s="7" t="inlineStr">
        <is>
          <t>Graphcore</t>
        </is>
      </c>
      <c r="F118" s="8" t="inlineStr">
        <is>
          <t>臺北市, Taipei, Taiwan</t>
        </is>
      </c>
      <c r="G118" s="8" t="n"/>
      <c r="H118" s="14" t="n"/>
      <c r="I118" s="15">
        <f>IF($H118="","",$H118-TODAY())</f>
        <v/>
      </c>
      <c r="J118" s="16" t="inlineStr">
        <is>
          <t>Open posting</t>
        </is>
      </c>
      <c r="K118" s="8" t="n"/>
      <c r="L118" s="17" t="inlineStr">
        <is>
          <t>new</t>
        </is>
      </c>
      <c r="M118" s="18" t="inlineStr"/>
      <c r="N118" s="7" t="inlineStr">
        <is>
          <t>426687e8a0599487df4eb405f197e147c1efda02</t>
        </is>
      </c>
      <c r="O118" s="14" t="n">
        <v>46189</v>
      </c>
      <c r="P118" s="7" t="inlineStr">
        <is>
          <t>greenhouse:graphcore</t>
        </is>
      </c>
      <c r="Q118" s="8" t="inlineStr"/>
      <c r="R118" s="8" t="n"/>
      <c r="S118" s="19" t="n"/>
      <c r="T118" s="19" t="n"/>
      <c r="U118" s="14" t="n">
        <v>46189</v>
      </c>
      <c r="V118" s="7" t="n"/>
    </row>
    <row r="119" ht="28" customHeight="1">
      <c r="A119" s="12">
        <f>IF($L119="applied","Applied",IF($L119="interview","Interview",IF($L119="offer","Offer",IF($L119="rejected","Rejected",IF($L119="ignore","Ignore",IF($L119="archive","Archive",IF($L119="closed","Closed",IF($B119="","Unscored",IF(AND($B119&gt;=8,OR($H119="",$H119-TODAY()&lt;=14)),"P1 Apply",IF($B119&gt;=7,"P2 Strong",IF($B119&gt;=5,"P3 Maybe","P4 Low")))))))))))</f>
        <v/>
      </c>
      <c r="B119" s="13" t="n">
        <v>5</v>
      </c>
      <c r="C119" s="12" t="inlineStr">
        <is>
          <t>Manager/Owner</t>
        </is>
      </c>
      <c r="D119" s="8" t="inlineStr">
        <is>
          <t>Technical Sourcing Manager</t>
        </is>
      </c>
      <c r="E119" s="7" t="inlineStr">
        <is>
          <t>Graphcore</t>
        </is>
      </c>
      <c r="F119" s="8" t="inlineStr">
        <is>
          <t>Bristol, UK</t>
        </is>
      </c>
      <c r="G119" s="8" t="n"/>
      <c r="H119" s="14" t="n"/>
      <c r="I119" s="15">
        <f>IF($H119="","",$H119-TODAY())</f>
        <v/>
      </c>
      <c r="J119" s="16" t="inlineStr">
        <is>
          <t>Open posting</t>
        </is>
      </c>
      <c r="K119" s="8" t="n"/>
      <c r="L119" s="17" t="inlineStr">
        <is>
          <t>new</t>
        </is>
      </c>
      <c r="M119" s="18" t="inlineStr"/>
      <c r="N119" s="7" t="inlineStr">
        <is>
          <t>da07fa3feb54f8bed5527b0473b734725c0e0a39</t>
        </is>
      </c>
      <c r="O119" s="14" t="n">
        <v>46189</v>
      </c>
      <c r="P119" s="7" t="inlineStr">
        <is>
          <t>greenhouse:graphcore</t>
        </is>
      </c>
      <c r="Q119" s="8" t="inlineStr"/>
      <c r="R119" s="8" t="n"/>
      <c r="S119" s="19" t="n"/>
      <c r="T119" s="19" t="n"/>
      <c r="U119" s="14" t="n">
        <v>46189</v>
      </c>
      <c r="V119" s="7" t="n"/>
    </row>
    <row r="120" ht="28" customHeight="1">
      <c r="A120" s="12">
        <f>IF($L120="applied","Applied",IF($L120="interview","Interview",IF($L120="offer","Offer",IF($L120="rejected","Rejected",IF($L120="ignore","Ignore",IF($L120="archive","Archive",IF($L120="closed","Closed",IF($B120="","Unscored",IF(AND($B120&gt;=8,OR($H120="",$H120-TODAY()&lt;=14)),"P1 Apply",IF($B120&gt;=7,"P2 Strong",IF($B120&gt;=5,"P3 Maybe","P4 Low")))))))))))</f>
        <v/>
      </c>
      <c r="B120" s="13" t="n">
        <v>5</v>
      </c>
      <c r="C120" s="12" t="inlineStr">
        <is>
          <t>Senior/Lead</t>
        </is>
      </c>
      <c r="D120" s="8" t="inlineStr">
        <is>
          <t>Test Development Engineer - Electronic Hardware</t>
        </is>
      </c>
      <c r="E120" s="7" t="inlineStr">
        <is>
          <t>Graphcore</t>
        </is>
      </c>
      <c r="F120" s="8" t="inlineStr">
        <is>
          <t>Bristol, UK</t>
        </is>
      </c>
      <c r="G120" s="8" t="n"/>
      <c r="H120" s="14" t="n"/>
      <c r="I120" s="15">
        <f>IF($H120="","",$H120-TODAY())</f>
        <v/>
      </c>
      <c r="J120" s="16" t="inlineStr">
        <is>
          <t>Open posting</t>
        </is>
      </c>
      <c r="K120" s="8" t="n"/>
      <c r="L120" s="17" t="inlineStr">
        <is>
          <t>new</t>
        </is>
      </c>
      <c r="M120" s="18" t="inlineStr"/>
      <c r="N120" s="7" t="inlineStr">
        <is>
          <t>8e60e39aa1ffa2ec97517dca91cbb9c8b9665bd0</t>
        </is>
      </c>
      <c r="O120" s="14" t="n">
        <v>46189</v>
      </c>
      <c r="P120" s="7" t="inlineStr">
        <is>
          <t>greenhouse:graphcore</t>
        </is>
      </c>
      <c r="Q120" s="8" t="inlineStr"/>
      <c r="R120" s="8" t="n"/>
      <c r="S120" s="19" t="n"/>
      <c r="T120" s="19" t="n"/>
      <c r="U120" s="14" t="n">
        <v>46189</v>
      </c>
      <c r="V120" s="7" t="n"/>
    </row>
    <row r="121" ht="28" customHeight="1">
      <c r="A121" s="12">
        <f>IF($L121="applied","Applied",IF($L121="interview","Interview",IF($L121="offer","Offer",IF($L121="rejected","Rejected",IF($L121="ignore","Ignore",IF($L121="archive","Archive",IF($L121="closed","Closed",IF($B121="","Unscored",IF(AND($B121&gt;=8,OR($H121="",$H121-TODAY()&lt;=14)),"P1 Apply",IF($B121&gt;=7,"P2 Strong",IF($B121&gt;=5,"P3 Maybe","P4 Low")))))))))))</f>
        <v/>
      </c>
      <c r="B121" s="13" t="n">
        <v>5</v>
      </c>
      <c r="C121" s="12" t="inlineStr">
        <is>
          <t>Senior/Lead</t>
        </is>
      </c>
      <c r="D121" s="8" t="inlineStr">
        <is>
          <t>Test Development Engineer - Electronic Hardware</t>
        </is>
      </c>
      <c r="E121" s="7" t="inlineStr">
        <is>
          <t>Graphcore</t>
        </is>
      </c>
      <c r="F121" s="8" t="inlineStr">
        <is>
          <t>Bristol, UK</t>
        </is>
      </c>
      <c r="G121" s="8" t="n"/>
      <c r="H121" s="14" t="n"/>
      <c r="I121" s="15">
        <f>IF($H121="","",$H121-TODAY())</f>
        <v/>
      </c>
      <c r="J121" s="16" t="inlineStr">
        <is>
          <t>Open posting</t>
        </is>
      </c>
      <c r="K121" s="8" t="n"/>
      <c r="L121" s="17" t="inlineStr">
        <is>
          <t>new</t>
        </is>
      </c>
      <c r="M121" s="18" t="inlineStr"/>
      <c r="N121" s="7" t="inlineStr">
        <is>
          <t>a68b78454d68a48656e862ca8560362a45946c01</t>
        </is>
      </c>
      <c r="O121" s="14" t="n">
        <v>46189</v>
      </c>
      <c r="P121" s="7" t="inlineStr">
        <is>
          <t>greenhouse:graphcore</t>
        </is>
      </c>
      <c r="Q121" s="8" t="inlineStr"/>
      <c r="R121" s="8" t="n"/>
      <c r="S121" s="19" t="n"/>
      <c r="T121" s="19" t="n"/>
      <c r="U121" s="14" t="n">
        <v>46189</v>
      </c>
      <c r="V121" s="7" t="n"/>
    </row>
    <row r="122" ht="28" customHeight="1">
      <c r="A122" s="12">
        <f>IF($L122="applied","Applied",IF($L122="interview","Interview",IF($L122="offer","Offer",IF($L122="rejected","Rejected",IF($L122="ignore","Ignore",IF($L122="archive","Archive",IF($L122="closed","Closed",IF($B122="","Unscored",IF(AND($B122&gt;=8,OR($H122="",$H122-TODAY()&lt;=14)),"P1 Apply",IF($B122&gt;=7,"P2 Strong",IF($B122&gt;=5,"P3 Maybe","P4 Low")))))))))))</f>
        <v/>
      </c>
      <c r="B122" s="13" t="n">
        <v>5</v>
      </c>
      <c r="C122" s="12" t="inlineStr">
        <is>
          <t>Unspecified</t>
        </is>
      </c>
      <c r="D122" s="8" t="inlineStr">
        <is>
          <t>Transactional Attorney</t>
        </is>
      </c>
      <c r="E122" s="7" t="inlineStr">
        <is>
          <t>Graphcore</t>
        </is>
      </c>
      <c r="F122" s="8" t="inlineStr">
        <is>
          <t>Austin, Texas, United States; US - Milpitas</t>
        </is>
      </c>
      <c r="G122" s="8" t="n"/>
      <c r="H122" s="14" t="n"/>
      <c r="I122" s="15">
        <f>IF($H122="","",$H122-TODAY())</f>
        <v/>
      </c>
      <c r="J122" s="16" t="inlineStr">
        <is>
          <t>Open posting</t>
        </is>
      </c>
      <c r="K122" s="8" t="n"/>
      <c r="L122" s="17" t="inlineStr">
        <is>
          <t>new</t>
        </is>
      </c>
      <c r="M122" s="18" t="inlineStr"/>
      <c r="N122" s="7" t="inlineStr">
        <is>
          <t>e0906d317e2540415f57123df59d266ec4cf522f</t>
        </is>
      </c>
      <c r="O122" s="14" t="n">
        <v>46189</v>
      </c>
      <c r="P122" s="7" t="inlineStr">
        <is>
          <t>greenhouse:graphcore</t>
        </is>
      </c>
      <c r="Q122" s="8" t="inlineStr"/>
      <c r="R122" s="8" t="n"/>
      <c r="S122" s="19" t="n"/>
      <c r="T122" s="19" t="n"/>
      <c r="U122" s="14" t="n">
        <v>46189</v>
      </c>
      <c r="V122" s="7" t="n"/>
    </row>
    <row r="123" ht="28" customHeight="1">
      <c r="A123" s="12">
        <f>IF($L123="applied","Applied",IF($L123="interview","Interview",IF($L123="offer","Offer",IF($L123="rejected","Rejected",IF($L123="ignore","Ignore",IF($L123="archive","Archive",IF($L123="closed","Closed",IF($B123="","Unscored",IF(AND($B123&gt;=8,OR($H123="",$H123-TODAY()&lt;=14)),"P1 Apply",IF($B123&gt;=7,"P2 Strong",IF($B123&gt;=5,"P3 Maybe","P4 Low")))))))))))</f>
        <v/>
      </c>
      <c r="B123" s="13" t="n">
        <v>5</v>
      </c>
      <c r="C123" s="12" t="inlineStr">
        <is>
          <t>Unspecified</t>
        </is>
      </c>
      <c r="D123" s="8" t="inlineStr">
        <is>
          <t>Validation and Debug Engineer - Power Electronics</t>
        </is>
      </c>
      <c r="E123" s="7" t="inlineStr">
        <is>
          <t>Graphcore</t>
        </is>
      </c>
      <c r="F123" s="8" t="inlineStr">
        <is>
          <t>Bristol, UK</t>
        </is>
      </c>
      <c r="G123" s="8" t="n"/>
      <c r="H123" s="14" t="n"/>
      <c r="I123" s="15">
        <f>IF($H123="","",$H123-TODAY())</f>
        <v/>
      </c>
      <c r="J123" s="16" t="inlineStr">
        <is>
          <t>Open posting</t>
        </is>
      </c>
      <c r="K123" s="8" t="n"/>
      <c r="L123" s="17" t="inlineStr">
        <is>
          <t>new</t>
        </is>
      </c>
      <c r="M123" s="18" t="inlineStr"/>
      <c r="N123" s="7" t="inlineStr">
        <is>
          <t>1e3f584217e7a9020a038f96b11545feb4298cca</t>
        </is>
      </c>
      <c r="O123" s="14" t="n">
        <v>46189</v>
      </c>
      <c r="P123" s="7" t="inlineStr">
        <is>
          <t>greenhouse:graphcore</t>
        </is>
      </c>
      <c r="Q123" s="8" t="inlineStr"/>
      <c r="R123" s="8" t="n"/>
      <c r="S123" s="19" t="n"/>
      <c r="T123" s="19" t="n"/>
      <c r="U123" s="14" t="n">
        <v>46189</v>
      </c>
      <c r="V123" s="7" t="n"/>
    </row>
    <row r="124" ht="28" customHeight="1">
      <c r="A124" s="12">
        <f>IF($L124="applied","Applied",IF($L124="interview","Interview",IF($L124="offer","Offer",IF($L124="rejected","Rejected",IF($L124="ignore","Ignore",IF($L124="archive","Archive",IF($L124="closed","Closed",IF($B124="","Unscored",IF(AND($B124&gt;=8,OR($H124="",$H124-TODAY()&lt;=14)),"P1 Apply",IF($B124&gt;=7,"P2 Strong",IF($B124&gt;=5,"P3 Maybe","P4 Low")))))))))))</f>
        <v/>
      </c>
      <c r="B124" s="13" t="n">
        <v>5</v>
      </c>
      <c r="C124" s="12" t="inlineStr">
        <is>
          <t>Senior/Lead</t>
        </is>
      </c>
      <c r="D124" s="8" t="inlineStr">
        <is>
          <t>3D Physical Design Engineer</t>
        </is>
      </c>
      <c r="E124" s="7" t="inlineStr">
        <is>
          <t>Cerebras</t>
        </is>
      </c>
      <c r="F124" s="8" t="inlineStr">
        <is>
          <t>Sunnyvale, CA</t>
        </is>
      </c>
      <c r="G124" s="8" t="n"/>
      <c r="H124" s="14" t="n"/>
      <c r="I124" s="15">
        <f>IF($H124="","",$H124-TODAY())</f>
        <v/>
      </c>
      <c r="J124" s="16" t="inlineStr">
        <is>
          <t>Open posting</t>
        </is>
      </c>
      <c r="K124" s="8" t="n"/>
      <c r="L124" s="17" t="inlineStr">
        <is>
          <t>new</t>
        </is>
      </c>
      <c r="M124" s="18" t="inlineStr"/>
      <c r="N124" s="7" t="inlineStr">
        <is>
          <t>aafef24ea2adb93a8e692a3a0be69628c92ec044</t>
        </is>
      </c>
      <c r="O124" s="14" t="n">
        <v>46177</v>
      </c>
      <c r="P124" s="7" t="inlineStr">
        <is>
          <t>greenhouse:cerebrassystems</t>
        </is>
      </c>
      <c r="Q124" s="8" t="inlineStr"/>
      <c r="R124" s="8" t="n"/>
      <c r="S124" s="19" t="n"/>
      <c r="T124" s="19" t="n"/>
      <c r="U124" s="14" t="n">
        <v>46189</v>
      </c>
      <c r="V124" s="7" t="n"/>
    </row>
    <row r="125" ht="28" customHeight="1">
      <c r="A125" s="12">
        <f>IF($L125="applied","Applied",IF($L125="interview","Interview",IF($L125="offer","Offer",IF($L125="rejected","Rejected",IF($L125="ignore","Ignore",IF($L125="archive","Archive",IF($L125="closed","Closed",IF($B125="","Unscored",IF(AND($B125&gt;=8,OR($H125="",$H125-TODAY()&lt;=14)),"P1 Apply",IF($B125&gt;=7,"P2 Strong",IF($B125&gt;=5,"P3 Maybe","P4 Low")))))))))))</f>
        <v/>
      </c>
      <c r="B125" s="13" t="n">
        <v>5</v>
      </c>
      <c r="C125" s="12" t="inlineStr">
        <is>
          <t>Unspecified</t>
        </is>
      </c>
      <c r="D125" s="8" t="inlineStr">
        <is>
          <t>Advanced Technology: AI/ML Research Scientist</t>
        </is>
      </c>
      <c r="E125" s="7" t="inlineStr">
        <is>
          <t>Cerebras</t>
        </is>
      </c>
      <c r="F125" s="8" t="inlineStr">
        <is>
          <t>Sunnyvale, CA; Toronto, Ontario, Canada; Vancouver, British Columbia, Canada</t>
        </is>
      </c>
      <c r="G125" s="8" t="n"/>
      <c r="H125" s="14" t="n"/>
      <c r="I125" s="15">
        <f>IF($H125="","",$H125-TODAY())</f>
        <v/>
      </c>
      <c r="J125" s="16" t="inlineStr">
        <is>
          <t>Open posting</t>
        </is>
      </c>
      <c r="K125" s="8" t="n"/>
      <c r="L125" s="17" t="inlineStr">
        <is>
          <t>new</t>
        </is>
      </c>
      <c r="M125" s="18" t="inlineStr"/>
      <c r="N125" s="7" t="inlineStr">
        <is>
          <t>2513f6ddd33f079da9840a8c9253428f25ab112f</t>
        </is>
      </c>
      <c r="O125" s="14" t="n">
        <v>46175</v>
      </c>
      <c r="P125" s="7" t="inlineStr">
        <is>
          <t>greenhouse:cerebrassystems</t>
        </is>
      </c>
      <c r="Q125" s="8" t="inlineStr"/>
      <c r="R125" s="8" t="n"/>
      <c r="S125" s="19" t="n"/>
      <c r="T125" s="19" t="n"/>
      <c r="U125" s="14" t="n">
        <v>46189</v>
      </c>
      <c r="V125" s="7" t="n"/>
    </row>
    <row r="126" ht="28" customHeight="1">
      <c r="A126" s="12">
        <f>IF($L126="applied","Applied",IF($L126="interview","Interview",IF($L126="offer","Offer",IF($L126="rejected","Rejected",IF($L126="ignore","Ignore",IF($L126="archive","Archive",IF($L126="closed","Closed",IF($B126="","Unscored",IF(AND($B126&gt;=8,OR($H126="",$H126-TODAY()&lt;=14)),"P1 Apply",IF($B126&gt;=7,"P2 Strong",IF($B126&gt;=5,"P3 Maybe","P4 Low")))))))))))</f>
        <v/>
      </c>
      <c r="B126" s="13" t="n">
        <v>5</v>
      </c>
      <c r="C126" s="12" t="inlineStr">
        <is>
          <t>Unspecified</t>
        </is>
      </c>
      <c r="D126" s="8" t="inlineStr">
        <is>
          <t>Advanced Technology: Compiler Engineer</t>
        </is>
      </c>
      <c r="E126" s="7" t="inlineStr">
        <is>
          <t>Cerebras</t>
        </is>
      </c>
      <c r="F126" s="8" t="inlineStr">
        <is>
          <t>Sunnyvale, CA; Vancouver, British Columbia, Canada</t>
        </is>
      </c>
      <c r="G126" s="8" t="n"/>
      <c r="H126" s="14" t="n"/>
      <c r="I126" s="15">
        <f>IF($H126="","",$H126-TODAY())</f>
        <v/>
      </c>
      <c r="J126" s="16" t="inlineStr">
        <is>
          <t>Open posting</t>
        </is>
      </c>
      <c r="K126" s="8" t="n"/>
      <c r="L126" s="17" t="inlineStr">
        <is>
          <t>new</t>
        </is>
      </c>
      <c r="M126" s="18" t="inlineStr"/>
      <c r="N126" s="7" t="inlineStr">
        <is>
          <t>92056fe3d982f42c7dc6a7bfcea40988d03236d0</t>
        </is>
      </c>
      <c r="O126" s="14" t="n">
        <v>46175</v>
      </c>
      <c r="P126" s="7" t="inlineStr">
        <is>
          <t>greenhouse:cerebrassystems</t>
        </is>
      </c>
      <c r="Q126" s="8" t="inlineStr"/>
      <c r="R126" s="8" t="n"/>
      <c r="S126" s="19" t="n"/>
      <c r="T126" s="19" t="n"/>
      <c r="U126" s="14" t="n">
        <v>46189</v>
      </c>
      <c r="V126" s="7" t="n"/>
    </row>
    <row r="127" ht="28" customHeight="1">
      <c r="A127" s="12">
        <f>IF($L127="applied","Applied",IF($L127="interview","Interview",IF($L127="offer","Offer",IF($L127="rejected","Rejected",IF($L127="ignore","Ignore",IF($L127="archive","Archive",IF($L127="closed","Closed",IF($B127="","Unscored",IF(AND($B127&gt;=8,OR($H127="",$H127-TODAY()&lt;=14)),"P1 Apply",IF($B127&gt;=7,"P2 Strong",IF($B127&gt;=5,"P3 Maybe","P4 Low")))))))))))</f>
        <v/>
      </c>
      <c r="B127" s="13" t="n">
        <v>5</v>
      </c>
      <c r="C127" s="12" t="inlineStr">
        <is>
          <t>Unspecified</t>
        </is>
      </c>
      <c r="D127" s="8" t="inlineStr">
        <is>
          <t>Advanced Technology: R&amp;D Engineer - AI/ML, HPC</t>
        </is>
      </c>
      <c r="E127" s="7" t="inlineStr">
        <is>
          <t>Cerebras</t>
        </is>
      </c>
      <c r="F127" s="8" t="inlineStr">
        <is>
          <t>Sunnyvale, CA; Toronto, Ontario, Canada; Vancouver, British Columbia, Canada</t>
        </is>
      </c>
      <c r="G127" s="8" t="n"/>
      <c r="H127" s="14" t="n"/>
      <c r="I127" s="15">
        <f>IF($H127="","",$H127-TODAY())</f>
        <v/>
      </c>
      <c r="J127" s="16" t="inlineStr">
        <is>
          <t>Open posting</t>
        </is>
      </c>
      <c r="K127" s="8" t="n"/>
      <c r="L127" s="17" t="inlineStr">
        <is>
          <t>new</t>
        </is>
      </c>
      <c r="M127" s="18" t="inlineStr"/>
      <c r="N127" s="7" t="inlineStr">
        <is>
          <t>566c78df349b23d6129d1e717889f32539094fbf</t>
        </is>
      </c>
      <c r="O127" s="14" t="n">
        <v>46175</v>
      </c>
      <c r="P127" s="7" t="inlineStr">
        <is>
          <t>greenhouse:cerebrassystems</t>
        </is>
      </c>
      <c r="Q127" s="8" t="inlineStr"/>
      <c r="R127" s="8" t="n"/>
      <c r="S127" s="19" t="n"/>
      <c r="T127" s="19" t="n"/>
      <c r="U127" s="14" t="n">
        <v>46189</v>
      </c>
      <c r="V127" s="7" t="n"/>
    </row>
    <row r="128" ht="28" customHeight="1">
      <c r="A128" s="12">
        <f>IF($L128="applied","Applied",IF($L128="interview","Interview",IF($L128="offer","Offer",IF($L128="rejected","Rejected",IF($L128="ignore","Ignore",IF($L128="archive","Archive",IF($L128="closed","Closed",IF($B128="","Unscored",IF(AND($B128&gt;=8,OR($H128="",$H128-TODAY()&lt;=14)),"P1 Apply",IF($B128&gt;=7,"P2 Strong",IF($B128&gt;=5,"P3 Maybe","P4 Low")))))))))))</f>
        <v/>
      </c>
      <c r="B128" s="13" t="n">
        <v>5</v>
      </c>
      <c r="C128" s="12" t="inlineStr">
        <is>
          <t>Unspecified</t>
        </is>
      </c>
      <c r="D128" s="8" t="inlineStr">
        <is>
          <t>AI Engineer, Model Quality and Performance</t>
        </is>
      </c>
      <c r="E128" s="7" t="inlineStr">
        <is>
          <t>Cerebras</t>
        </is>
      </c>
      <c r="F128" s="8" t="inlineStr">
        <is>
          <t>Sunnyvale, CA</t>
        </is>
      </c>
      <c r="G128" s="8" t="n"/>
      <c r="H128" s="14" t="n"/>
      <c r="I128" s="15">
        <f>IF($H128="","",$H128-TODAY())</f>
        <v/>
      </c>
      <c r="J128" s="16" t="inlineStr">
        <is>
          <t>Open posting</t>
        </is>
      </c>
      <c r="K128" s="8" t="n"/>
      <c r="L128" s="17" t="inlineStr">
        <is>
          <t>new</t>
        </is>
      </c>
      <c r="M128" s="18" t="inlineStr"/>
      <c r="N128" s="7" t="inlineStr">
        <is>
          <t>6b6198b0c68ce297e3748ff699c77e44b2bca98d</t>
        </is>
      </c>
      <c r="O128" s="14" t="n">
        <v>46175</v>
      </c>
      <c r="P128" s="7" t="inlineStr">
        <is>
          <t>greenhouse:cerebrassystems</t>
        </is>
      </c>
      <c r="Q128" s="8" t="inlineStr"/>
      <c r="R128" s="8" t="n"/>
      <c r="S128" s="19" t="n"/>
      <c r="T128" s="19" t="n"/>
      <c r="U128" s="14" t="n">
        <v>46189</v>
      </c>
      <c r="V128" s="7" t="n"/>
    </row>
    <row r="129" ht="28" customHeight="1">
      <c r="A129" s="12">
        <f>IF($L129="applied","Applied",IF($L129="interview","Interview",IF($L129="offer","Offer",IF($L129="rejected","Rejected",IF($L129="ignore","Ignore",IF($L129="archive","Archive",IF($L129="closed","Closed",IF($B129="","Unscored",IF(AND($B129&gt;=8,OR($H129="",$H129-TODAY()&lt;=14)),"P1 Apply",IF($B129&gt;=7,"P2 Strong",IF($B129&gt;=5,"P3 Maybe","P4 Low")))))))))))</f>
        <v/>
      </c>
      <c r="B129" s="13" t="n">
        <v>5</v>
      </c>
      <c r="C129" s="12" t="inlineStr">
        <is>
          <t>Graduate/Entry</t>
        </is>
      </c>
      <c r="D129" s="8" t="inlineStr">
        <is>
          <t>AI Infrastructure Operations Engineer</t>
        </is>
      </c>
      <c r="E129" s="7" t="inlineStr">
        <is>
          <t>Cerebras</t>
        </is>
      </c>
      <c r="F129" s="8" t="inlineStr">
        <is>
          <t>Sunnyvale CA or Toronto Canada</t>
        </is>
      </c>
      <c r="G129" s="8" t="n"/>
      <c r="H129" s="14" t="n"/>
      <c r="I129" s="15">
        <f>IF($H129="","",$H129-TODAY())</f>
        <v/>
      </c>
      <c r="J129" s="16" t="inlineStr">
        <is>
          <t>Open posting</t>
        </is>
      </c>
      <c r="K129" s="8" t="n"/>
      <c r="L129" s="17" t="inlineStr">
        <is>
          <t>new</t>
        </is>
      </c>
      <c r="M129" s="18" t="inlineStr"/>
      <c r="N129" s="7" t="inlineStr">
        <is>
          <t>169c0d01600ab4e60a0e6443aeef3eb80472299a</t>
        </is>
      </c>
      <c r="O129" s="14" t="n">
        <v>46175</v>
      </c>
      <c r="P129" s="7" t="inlineStr">
        <is>
          <t>greenhouse:cerebrassystems</t>
        </is>
      </c>
      <c r="Q129" s="8" t="inlineStr"/>
      <c r="R129" s="8" t="n"/>
      <c r="S129" s="19" t="n"/>
      <c r="T129" s="19" t="n"/>
      <c r="U129" s="14" t="n">
        <v>46189</v>
      </c>
      <c r="V129" s="7" t="n"/>
    </row>
    <row r="130" ht="28" customHeight="1">
      <c r="A130" s="12">
        <f>IF($L130="applied","Applied",IF($L130="interview","Interview",IF($L130="offer","Offer",IF($L130="rejected","Rejected",IF($L130="ignore","Ignore",IF($L130="archive","Archive",IF($L130="closed","Closed",IF($B130="","Unscored",IF(AND($B130&gt;=8,OR($H130="",$H130-TODAY()&lt;=14)),"P1 Apply",IF($B130&gt;=7,"P2 Strong",IF($B130&gt;=5,"P3 Maybe","P4 Low")))))))))))</f>
        <v/>
      </c>
      <c r="B130" s="13" t="n">
        <v>5</v>
      </c>
      <c r="C130" s="12" t="inlineStr">
        <is>
          <t>Mid-level</t>
        </is>
      </c>
      <c r="D130" s="8" t="inlineStr">
        <is>
          <t>AI Infrastructure Operations Engineer</t>
        </is>
      </c>
      <c r="E130" s="7" t="inlineStr">
        <is>
          <t>Cerebras</t>
        </is>
      </c>
      <c r="F130" s="8" t="inlineStr">
        <is>
          <t>Sunnyvale CA or Toronto Canada</t>
        </is>
      </c>
      <c r="G130" s="8" t="n"/>
      <c r="H130" s="14" t="n"/>
      <c r="I130" s="15">
        <f>IF($H130="","",$H130-TODAY())</f>
        <v/>
      </c>
      <c r="J130" s="16" t="inlineStr">
        <is>
          <t>Open posting</t>
        </is>
      </c>
      <c r="K130" s="8" t="n"/>
      <c r="L130" s="17" t="inlineStr">
        <is>
          <t>new</t>
        </is>
      </c>
      <c r="M130" s="18" t="inlineStr"/>
      <c r="N130" s="7" t="inlineStr">
        <is>
          <t>3eb05d6aeb2360bc9ffbe8a7229c6c23d51af4c7</t>
        </is>
      </c>
      <c r="O130" s="14" t="n">
        <v>46175</v>
      </c>
      <c r="P130" s="7" t="inlineStr">
        <is>
          <t>greenhouse:cerebrassystems</t>
        </is>
      </c>
      <c r="Q130" s="8" t="inlineStr"/>
      <c r="R130" s="8" t="n"/>
      <c r="S130" s="19" t="n"/>
      <c r="T130" s="19" t="n"/>
      <c r="U130" s="14" t="n">
        <v>46189</v>
      </c>
      <c r="V130" s="7" t="n"/>
    </row>
    <row r="131" ht="28" customHeight="1">
      <c r="A131" s="12">
        <f>IF($L131="applied","Applied",IF($L131="interview","Interview",IF($L131="offer","Offer",IF($L131="rejected","Rejected",IF($L131="ignore","Ignore",IF($L131="archive","Archive",IF($L131="closed","Closed",IF($B131="","Unscored",IF(AND($B131&gt;=8,OR($H131="",$H131-TODAY()&lt;=14)),"P1 Apply",IF($B131&gt;=7,"P2 Strong",IF($B131&gt;=5,"P3 Maybe","P4 Low")))))))))))</f>
        <v/>
      </c>
      <c r="B131" s="13" t="n">
        <v>5</v>
      </c>
      <c r="C131" s="12" t="inlineStr">
        <is>
          <t>Manager/Owner</t>
        </is>
      </c>
      <c r="D131" s="8" t="inlineStr">
        <is>
          <t>AI Models, Product Manager</t>
        </is>
      </c>
      <c r="E131" s="7" t="inlineStr">
        <is>
          <t>Cerebras</t>
        </is>
      </c>
      <c r="F131" s="8" t="inlineStr">
        <is>
          <t>Sunnyvale, CA</t>
        </is>
      </c>
      <c r="G131" s="8" t="n"/>
      <c r="H131" s="14" t="n"/>
      <c r="I131" s="15">
        <f>IF($H131="","",$H131-TODAY())</f>
        <v/>
      </c>
      <c r="J131" s="16" t="inlineStr">
        <is>
          <t>Open posting</t>
        </is>
      </c>
      <c r="K131" s="8" t="n"/>
      <c r="L131" s="17" t="inlineStr">
        <is>
          <t>new</t>
        </is>
      </c>
      <c r="M131" s="18" t="inlineStr"/>
      <c r="N131" s="7" t="inlineStr">
        <is>
          <t>172131368364f6b1532f2460784d5b1721c97ef6</t>
        </is>
      </c>
      <c r="O131" s="14" t="n">
        <v>46175</v>
      </c>
      <c r="P131" s="7" t="inlineStr">
        <is>
          <t>greenhouse:cerebrassystems</t>
        </is>
      </c>
      <c r="Q131" s="8" t="inlineStr"/>
      <c r="R131" s="8" t="n"/>
      <c r="S131" s="19" t="n"/>
      <c r="T131" s="19" t="n"/>
      <c r="U131" s="14" t="n">
        <v>46189</v>
      </c>
      <c r="V131" s="7" t="n"/>
    </row>
    <row r="132" ht="28" customHeight="1">
      <c r="A132" s="12">
        <f>IF($L132="applied","Applied",IF($L132="interview","Interview",IF($L132="offer","Offer",IF($L132="rejected","Rejected",IF($L132="ignore","Ignore",IF($L132="archive","Archive",IF($L132="closed","Closed",IF($B132="","Unscored",IF(AND($B132&gt;=8,OR($H132="",$H132-TODAY()&lt;=14)),"P1 Apply",IF($B132&gt;=7,"P2 Strong",IF($B132&gt;=5,"P3 Maybe","P4 Low")))))))))))</f>
        <v/>
      </c>
      <c r="B132" s="13" t="n">
        <v>5</v>
      </c>
      <c r="C132" s="12" t="inlineStr">
        <is>
          <t>Senior/Lead</t>
        </is>
      </c>
      <c r="D132" s="8" t="inlineStr">
        <is>
          <t>AI Silicon Physical Design Engineer</t>
        </is>
      </c>
      <c r="E132" s="7" t="inlineStr">
        <is>
          <t>Cerebras</t>
        </is>
      </c>
      <c r="F132" s="8" t="inlineStr">
        <is>
          <t>Remote, California, United States; Sunnyvale, CA</t>
        </is>
      </c>
      <c r="G132" s="8" t="n"/>
      <c r="H132" s="14" t="n"/>
      <c r="I132" s="15">
        <f>IF($H132="","",$H132-TODAY())</f>
        <v/>
      </c>
      <c r="J132" s="16" t="inlineStr">
        <is>
          <t>Open posting</t>
        </is>
      </c>
      <c r="K132" s="8" t="n"/>
      <c r="L132" s="17" t="inlineStr">
        <is>
          <t>new</t>
        </is>
      </c>
      <c r="M132" s="18" t="inlineStr"/>
      <c r="N132" s="7" t="inlineStr">
        <is>
          <t>754797d85c9798b138daebdcca1bae1b3a4458b8</t>
        </is>
      </c>
      <c r="O132" s="14" t="n">
        <v>46175</v>
      </c>
      <c r="P132" s="7" t="inlineStr">
        <is>
          <t>greenhouse:cerebrassystems</t>
        </is>
      </c>
      <c r="Q132" s="8" t="inlineStr"/>
      <c r="R132" s="8" t="n"/>
      <c r="S132" s="19" t="n"/>
      <c r="T132" s="19" t="n"/>
      <c r="U132" s="14" t="n">
        <v>46189</v>
      </c>
      <c r="V132" s="7" t="n"/>
    </row>
    <row r="133" ht="28" customHeight="1">
      <c r="A133" s="12">
        <f>IF($L133="applied","Applied",IF($L133="interview","Interview",IF($L133="offer","Offer",IF($L133="rejected","Rejected",IF($L133="ignore","Ignore",IF($L133="archive","Archive",IF($L133="closed","Closed",IF($B133="","Unscored",IF(AND($B133&gt;=8,OR($H133="",$H133-TODAY()&lt;=14)),"P1 Apply",IF($B133&gt;=7,"P2 Strong",IF($B133&gt;=5,"P3 Maybe","P4 Low")))))))))))</f>
        <v/>
      </c>
      <c r="B133" s="13" t="n">
        <v>5</v>
      </c>
      <c r="C133" s="12" t="inlineStr">
        <is>
          <t>Mid-level</t>
        </is>
      </c>
      <c r="D133" s="8" t="inlineStr">
        <is>
          <t>Applied AI/ML Scientist</t>
        </is>
      </c>
      <c r="E133" s="7" t="inlineStr">
        <is>
          <t>Cerebras</t>
        </is>
      </c>
      <c r="F133" s="8" t="inlineStr">
        <is>
          <t>UAE</t>
        </is>
      </c>
      <c r="G133" s="8" t="n"/>
      <c r="H133" s="14" t="n"/>
      <c r="I133" s="15">
        <f>IF($H133="","",$H133-TODAY())</f>
        <v/>
      </c>
      <c r="J133" s="16" t="inlineStr">
        <is>
          <t>Open posting</t>
        </is>
      </c>
      <c r="K133" s="8" t="n"/>
      <c r="L133" s="17" t="inlineStr">
        <is>
          <t>new</t>
        </is>
      </c>
      <c r="M133" s="18" t="inlineStr"/>
      <c r="N133" s="7" t="inlineStr">
        <is>
          <t>d01000377c0b78b55de77e4c011dc9a691f9e07c</t>
        </is>
      </c>
      <c r="O133" s="14" t="n">
        <v>46175</v>
      </c>
      <c r="P133" s="7" t="inlineStr">
        <is>
          <t>greenhouse:cerebrassystems</t>
        </is>
      </c>
      <c r="Q133" s="8" t="inlineStr"/>
      <c r="R133" s="8" t="n"/>
      <c r="S133" s="19" t="n"/>
      <c r="T133" s="19" t="n"/>
      <c r="U133" s="14" t="n">
        <v>46189</v>
      </c>
      <c r="V133" s="7" t="n"/>
    </row>
    <row r="134" ht="28" customHeight="1">
      <c r="A134" s="12">
        <f>IF($L134="applied","Applied",IF($L134="interview","Interview",IF($L134="offer","Offer",IF($L134="rejected","Rejected",IF($L134="ignore","Ignore",IF($L134="archive","Archive",IF($L134="closed","Closed",IF($B134="","Unscored",IF(AND($B134&gt;=8,OR($H134="",$H134-TODAY()&lt;=14)),"P1 Apply",IF($B134&gt;=7,"P2 Strong",IF($B134&gt;=5,"P3 Maybe","P4 Low")))))))))))</f>
        <v/>
      </c>
      <c r="B134" s="13" t="n">
        <v>5</v>
      </c>
      <c r="C134" s="12" t="inlineStr">
        <is>
          <t>Senior/Lead</t>
        </is>
      </c>
      <c r="D134" s="8" t="inlineStr">
        <is>
          <t>Applied Machine Learning Research Scientist</t>
        </is>
      </c>
      <c r="E134" s="7" t="inlineStr">
        <is>
          <t>Cerebras</t>
        </is>
      </c>
      <c r="F134" s="8" t="inlineStr">
        <is>
          <t>Sunnyvale CA or Toronto Canada</t>
        </is>
      </c>
      <c r="G134" s="8" t="n"/>
      <c r="H134" s="14" t="n"/>
      <c r="I134" s="15">
        <f>IF($H134="","",$H134-TODAY())</f>
        <v/>
      </c>
      <c r="J134" s="16" t="inlineStr">
        <is>
          <t>Open posting</t>
        </is>
      </c>
      <c r="K134" s="8" t="n"/>
      <c r="L134" s="17" t="inlineStr">
        <is>
          <t>new</t>
        </is>
      </c>
      <c r="M134" s="18" t="inlineStr"/>
      <c r="N134" s="7" t="inlineStr">
        <is>
          <t>28488c7361b4b93c06983af31718d74be7f7a968</t>
        </is>
      </c>
      <c r="O134" s="14" t="n">
        <v>46183</v>
      </c>
      <c r="P134" s="7" t="inlineStr">
        <is>
          <t>greenhouse:cerebrassystems</t>
        </is>
      </c>
      <c r="Q134" s="8" t="inlineStr"/>
      <c r="R134" s="8" t="n"/>
      <c r="S134" s="19" t="n"/>
      <c r="T134" s="19" t="n"/>
      <c r="U134" s="14" t="n">
        <v>46189</v>
      </c>
      <c r="V134" s="7" t="n"/>
    </row>
    <row r="135" ht="28" customHeight="1">
      <c r="A135" s="12">
        <f>IF($L135="applied","Applied",IF($L135="interview","Interview",IF($L135="offer","Offer",IF($L135="rejected","Rejected",IF($L135="ignore","Ignore",IF($L135="archive","Archive",IF($L135="closed","Closed",IF($B135="","Unscored",IF(AND($B135&gt;=8,OR($H135="",$H135-TODAY()&lt;=14)),"P1 Apply",IF($B135&gt;=7,"P2 Strong",IF($B135&gt;=5,"P3 Maybe","P4 Low")))))))))))</f>
        <v/>
      </c>
      <c r="B135" s="13" t="n">
        <v>5</v>
      </c>
      <c r="C135" s="12" t="inlineStr">
        <is>
          <t>Senior/Lead</t>
        </is>
      </c>
      <c r="D135" s="8" t="inlineStr">
        <is>
          <t>ASIC Architect</t>
        </is>
      </c>
      <c r="E135" s="7" t="inlineStr">
        <is>
          <t>Cerebras</t>
        </is>
      </c>
      <c r="F135" s="8" t="inlineStr">
        <is>
          <t>Sunnyvale, CA</t>
        </is>
      </c>
      <c r="G135" s="8" t="n"/>
      <c r="H135" s="14" t="n"/>
      <c r="I135" s="15">
        <f>IF($H135="","",$H135-TODAY())</f>
        <v/>
      </c>
      <c r="J135" s="16" t="inlineStr">
        <is>
          <t>Open posting</t>
        </is>
      </c>
      <c r="K135" s="8" t="n"/>
      <c r="L135" s="17" t="inlineStr">
        <is>
          <t>new</t>
        </is>
      </c>
      <c r="M135" s="18" t="inlineStr"/>
      <c r="N135" s="7" t="inlineStr">
        <is>
          <t>cdbea61d5bebcafa99b40a9e6031d9fa788b8ad8</t>
        </is>
      </c>
      <c r="O135" s="14" t="n">
        <v>46177</v>
      </c>
      <c r="P135" s="7" t="inlineStr">
        <is>
          <t>greenhouse:cerebrassystems</t>
        </is>
      </c>
      <c r="Q135" s="8" t="inlineStr"/>
      <c r="R135" s="8" t="n"/>
      <c r="S135" s="19" t="n"/>
      <c r="T135" s="19" t="n"/>
      <c r="U135" s="14" t="n">
        <v>46189</v>
      </c>
      <c r="V135" s="7" t="n"/>
    </row>
    <row r="136" ht="28" customHeight="1">
      <c r="A136" s="12">
        <f>IF($L136="applied","Applied",IF($L136="interview","Interview",IF($L136="offer","Offer",IF($L136="rejected","Rejected",IF($L136="ignore","Ignore",IF($L136="archive","Archive",IF($L136="closed","Closed",IF($B136="","Unscored",IF(AND($B136&gt;=8,OR($H136="",$H136-TODAY()&lt;=14)),"P1 Apply",IF($B136&gt;=7,"P2 Strong",IF($B136&gt;=5,"P3 Maybe","P4 Low")))))))))))</f>
        <v/>
      </c>
      <c r="B136" s="13" t="n">
        <v>5</v>
      </c>
      <c r="C136" s="12" t="inlineStr">
        <is>
          <t>Senior/Lead</t>
        </is>
      </c>
      <c r="D136" s="8" t="inlineStr">
        <is>
          <t>Billings and Collections Specialist</t>
        </is>
      </c>
      <c r="E136" s="7" t="inlineStr">
        <is>
          <t>Cerebras</t>
        </is>
      </c>
      <c r="F136" s="8" t="inlineStr">
        <is>
          <t>Sunnyvale, CA</t>
        </is>
      </c>
      <c r="G136" s="8" t="n"/>
      <c r="H136" s="14" t="n"/>
      <c r="I136" s="15">
        <f>IF($H136="","",$H136-TODAY())</f>
        <v/>
      </c>
      <c r="J136" s="16" t="inlineStr">
        <is>
          <t>Open posting</t>
        </is>
      </c>
      <c r="K136" s="8" t="n"/>
      <c r="L136" s="17" t="inlineStr">
        <is>
          <t>new</t>
        </is>
      </c>
      <c r="M136" s="18" t="inlineStr"/>
      <c r="N136" s="7" t="inlineStr">
        <is>
          <t>35073ade8219f58b02677a54282184ae1728e04f</t>
        </is>
      </c>
      <c r="O136" s="14" t="n">
        <v>46175</v>
      </c>
      <c r="P136" s="7" t="inlineStr">
        <is>
          <t>greenhouse:cerebrassystems</t>
        </is>
      </c>
      <c r="Q136" s="8" t="inlineStr"/>
      <c r="R136" s="8" t="n"/>
      <c r="S136" s="19" t="n"/>
      <c r="T136" s="19" t="n"/>
      <c r="U136" s="14" t="n">
        <v>46189</v>
      </c>
      <c r="V136" s="7" t="n"/>
    </row>
    <row r="137" ht="28" customHeight="1">
      <c r="A137" s="12">
        <f>IF($L137="applied","Applied",IF($L137="interview","Interview",IF($L137="offer","Offer",IF($L137="rejected","Rejected",IF($L137="ignore","Ignore",IF($L137="archive","Archive",IF($L137="closed","Closed",IF($B137="","Unscored",IF(AND($B137&gt;=8,OR($H137="",$H137-TODAY()&lt;=14)),"P1 Apply",IF($B137&gt;=7,"P2 Strong",IF($B137&gt;=5,"P3 Maybe","P4 Low")))))))))))</f>
        <v/>
      </c>
      <c r="B137" s="13" t="n">
        <v>5</v>
      </c>
      <c r="C137" s="12" t="inlineStr">
        <is>
          <t>Unspecified</t>
        </is>
      </c>
      <c r="D137" s="8" t="inlineStr">
        <is>
          <t>CoDesign &amp; NextGen - New College Grad</t>
        </is>
      </c>
      <c r="E137" s="7" t="inlineStr">
        <is>
          <t>Cerebras</t>
        </is>
      </c>
      <c r="F137" s="8" t="inlineStr">
        <is>
          <t>Sunnyvale, CA</t>
        </is>
      </c>
      <c r="G137" s="8" t="n"/>
      <c r="H137" s="14" t="n"/>
      <c r="I137" s="15">
        <f>IF($H137="","",$H137-TODAY())</f>
        <v/>
      </c>
      <c r="J137" s="16" t="inlineStr">
        <is>
          <t>Open posting</t>
        </is>
      </c>
      <c r="K137" s="8" t="n"/>
      <c r="L137" s="17" t="inlineStr">
        <is>
          <t>new</t>
        </is>
      </c>
      <c r="M137" s="18" t="inlineStr"/>
      <c r="N137" s="7" t="inlineStr">
        <is>
          <t>1a64e33afc24d26c8827503953cdc517201314d3</t>
        </is>
      </c>
      <c r="O137" s="14" t="n">
        <v>46175</v>
      </c>
      <c r="P137" s="7" t="inlineStr">
        <is>
          <t>greenhouse:cerebrassystems</t>
        </is>
      </c>
      <c r="Q137" s="8" t="inlineStr"/>
      <c r="R137" s="8" t="n"/>
      <c r="S137" s="19" t="n"/>
      <c r="T137" s="19" t="n"/>
      <c r="U137" s="14" t="n">
        <v>46189</v>
      </c>
      <c r="V137" s="7" t="n"/>
    </row>
    <row r="138" ht="28" customHeight="1">
      <c r="A138" s="12">
        <f>IF($L138="applied","Applied",IF($L138="interview","Interview",IF($L138="offer","Offer",IF($L138="rejected","Rejected",IF($L138="ignore","Ignore",IF($L138="archive","Archive",IF($L138="closed","Closed",IF($B138="","Unscored",IF(AND($B138&gt;=8,OR($H138="",$H138-TODAY()&lt;=14)),"P1 Apply",IF($B138&gt;=7,"P2 Strong",IF($B138&gt;=5,"P3 Maybe","P4 Low")))))))))))</f>
        <v/>
      </c>
      <c r="B138" s="13" t="n">
        <v>5</v>
      </c>
      <c r="C138" s="12" t="inlineStr">
        <is>
          <t>Unspecified</t>
        </is>
      </c>
      <c r="D138" s="8" t="inlineStr">
        <is>
          <t>Compute Server Platform Architect</t>
        </is>
      </c>
      <c r="E138" s="7" t="inlineStr">
        <is>
          <t>Cerebras</t>
        </is>
      </c>
      <c r="F138" s="8" t="inlineStr">
        <is>
          <t>Sunnyvale CA or Toronto Canada</t>
        </is>
      </c>
      <c r="G138" s="8" t="n"/>
      <c r="H138" s="14" t="n"/>
      <c r="I138" s="15">
        <f>IF($H138="","",$H138-TODAY())</f>
        <v/>
      </c>
      <c r="J138" s="16" t="inlineStr">
        <is>
          <t>Open posting</t>
        </is>
      </c>
      <c r="K138" s="8" t="n"/>
      <c r="L138" s="17" t="inlineStr">
        <is>
          <t>new</t>
        </is>
      </c>
      <c r="M138" s="18" t="inlineStr"/>
      <c r="N138" s="7" t="inlineStr">
        <is>
          <t>fd30f72b9fb38d1dc2b680451b93d568e96e1724</t>
        </is>
      </c>
      <c r="O138" s="14" t="n">
        <v>46175</v>
      </c>
      <c r="P138" s="7" t="inlineStr">
        <is>
          <t>greenhouse:cerebrassystems</t>
        </is>
      </c>
      <c r="Q138" s="8" t="inlineStr"/>
      <c r="R138" s="8" t="n"/>
      <c r="S138" s="19" t="n"/>
      <c r="T138" s="19" t="n"/>
      <c r="U138" s="14" t="n">
        <v>46189</v>
      </c>
      <c r="V138" s="7" t="n"/>
    </row>
    <row r="139" ht="28" customHeight="1">
      <c r="A139" s="12">
        <f>IF($L139="applied","Applied",IF($L139="interview","Interview",IF($L139="offer","Offer",IF($L139="rejected","Rejected",IF($L139="ignore","Ignore",IF($L139="archive","Archive",IF($L139="closed","Closed",IF($B139="","Unscored",IF(AND($B139&gt;=8,OR($H139="",$H139-TODAY()&lt;=14)),"P1 Apply",IF($B139&gt;=7,"P2 Strong",IF($B139&gt;=5,"P3 Maybe","P4 Low")))))))))))</f>
        <v/>
      </c>
      <c r="B139" s="13" t="n">
        <v>5</v>
      </c>
      <c r="C139" s="12" t="inlineStr">
        <is>
          <t>Unspecified</t>
        </is>
      </c>
      <c r="D139" s="8" t="inlineStr">
        <is>
          <t>Design Verification Engineer</t>
        </is>
      </c>
      <c r="E139" s="7" t="inlineStr">
        <is>
          <t>Cerebras</t>
        </is>
      </c>
      <c r="F139" s="8" t="inlineStr">
        <is>
          <t>Sunnyvale, CA</t>
        </is>
      </c>
      <c r="G139" s="8" t="n"/>
      <c r="H139" s="14" t="n"/>
      <c r="I139" s="15">
        <f>IF($H139="","",$H139-TODAY())</f>
        <v/>
      </c>
      <c r="J139" s="16" t="inlineStr">
        <is>
          <t>Open posting</t>
        </is>
      </c>
      <c r="K139" s="8" t="n"/>
      <c r="L139" s="17" t="inlineStr">
        <is>
          <t>new</t>
        </is>
      </c>
      <c r="M139" s="18" t="inlineStr"/>
      <c r="N139" s="7" t="inlineStr">
        <is>
          <t>d8f06c350c11cfe632090e6293108bd30cfcde4a</t>
        </is>
      </c>
      <c r="O139" s="14" t="n">
        <v>46175</v>
      </c>
      <c r="P139" s="7" t="inlineStr">
        <is>
          <t>greenhouse:cerebrassystems</t>
        </is>
      </c>
      <c r="Q139" s="8" t="inlineStr"/>
      <c r="R139" s="8" t="n"/>
      <c r="S139" s="19" t="n"/>
      <c r="T139" s="19" t="n"/>
      <c r="U139" s="14" t="n">
        <v>46189</v>
      </c>
      <c r="V139" s="7" t="n"/>
    </row>
    <row r="140" ht="28" customHeight="1">
      <c r="A140" s="12">
        <f>IF($L140="applied","Applied",IF($L140="interview","Interview",IF($L140="offer","Offer",IF($L140="rejected","Rejected",IF($L140="ignore","Ignore",IF($L140="archive","Archive",IF($L140="closed","Closed",IF($B140="","Unscored",IF(AND($B140&gt;=8,OR($H140="",$H140-TODAY()&lt;=14)),"P1 Apply",IF($B140&gt;=7,"P2 Strong",IF($B140&gt;=5,"P3 Maybe","P4 Low")))))))))))</f>
        <v/>
      </c>
      <c r="B140" s="13" t="n">
        <v>5</v>
      </c>
      <c r="C140" s="12" t="inlineStr">
        <is>
          <t>Mid-level</t>
        </is>
      </c>
      <c r="D140" s="8" t="inlineStr">
        <is>
          <t>Design Verification Engineer</t>
        </is>
      </c>
      <c r="E140" s="7" t="inlineStr">
        <is>
          <t>Cerebras</t>
        </is>
      </c>
      <c r="F140" s="8" t="inlineStr">
        <is>
          <t>Sunnyvale, CA</t>
        </is>
      </c>
      <c r="G140" s="8" t="n"/>
      <c r="H140" s="14" t="n"/>
      <c r="I140" s="15">
        <f>IF($H140="","",$H140-TODAY())</f>
        <v/>
      </c>
      <c r="J140" s="16" t="inlineStr">
        <is>
          <t>Open posting</t>
        </is>
      </c>
      <c r="K140" s="8" t="n"/>
      <c r="L140" s="17" t="inlineStr">
        <is>
          <t>new</t>
        </is>
      </c>
      <c r="M140" s="18" t="inlineStr"/>
      <c r="N140" s="7" t="inlineStr">
        <is>
          <t>12d6f2b0cbe428faf3da5fdafc61c3c582c0cd30</t>
        </is>
      </c>
      <c r="O140" s="14" t="n">
        <v>46177</v>
      </c>
      <c r="P140" s="7" t="inlineStr">
        <is>
          <t>greenhouse:cerebrassystems</t>
        </is>
      </c>
      <c r="Q140" s="8" t="inlineStr"/>
      <c r="R140" s="8" t="n"/>
      <c r="S140" s="19" t="n"/>
      <c r="T140" s="19" t="n"/>
      <c r="U140" s="14" t="n">
        <v>46189</v>
      </c>
      <c r="V140" s="7" t="n"/>
    </row>
    <row r="141" ht="28" customHeight="1">
      <c r="A141" s="12">
        <f>IF($L141="applied","Applied",IF($L141="interview","Interview",IF($L141="offer","Offer",IF($L141="rejected","Rejected",IF($L141="ignore","Ignore",IF($L141="archive","Archive",IF($L141="closed","Closed",IF($B141="","Unscored",IF(AND($B141&gt;=8,OR($H141="",$H141-TODAY()&lt;=14)),"P1 Apply",IF($B141&gt;=7,"P2 Strong",IF($B141&gt;=5,"P3 Maybe","P4 Low")))))))))))</f>
        <v/>
      </c>
      <c r="B141" s="13" t="n">
        <v>5</v>
      </c>
      <c r="C141" s="12" t="inlineStr">
        <is>
          <t>Mid-level</t>
        </is>
      </c>
      <c r="D141" s="8" t="inlineStr">
        <is>
          <t>Design Verification Engineer</t>
        </is>
      </c>
      <c r="E141" s="7" t="inlineStr">
        <is>
          <t>Cerebras</t>
        </is>
      </c>
      <c r="F141" s="8" t="inlineStr">
        <is>
          <t>Bengaluru, Karnataka, India</t>
        </is>
      </c>
      <c r="G141" s="8" t="n"/>
      <c r="H141" s="14" t="n"/>
      <c r="I141" s="15">
        <f>IF($H141="","",$H141-TODAY())</f>
        <v/>
      </c>
      <c r="J141" s="16" t="inlineStr">
        <is>
          <t>Open posting</t>
        </is>
      </c>
      <c r="K141" s="8" t="n"/>
      <c r="L141" s="17" t="inlineStr">
        <is>
          <t>new</t>
        </is>
      </c>
      <c r="M141" s="18" t="inlineStr"/>
      <c r="N141" s="7" t="inlineStr">
        <is>
          <t>e679e92d01e85b7c2f2f06d78e034a869f6d23eb</t>
        </is>
      </c>
      <c r="O141" s="14" t="n">
        <v>46181</v>
      </c>
      <c r="P141" s="7" t="inlineStr">
        <is>
          <t>greenhouse:cerebrassystems</t>
        </is>
      </c>
      <c r="Q141" s="8" t="inlineStr"/>
      <c r="R141" s="8" t="n"/>
      <c r="S141" s="19" t="n"/>
      <c r="T141" s="19" t="n"/>
      <c r="U141" s="14" t="n">
        <v>46189</v>
      </c>
      <c r="V141" s="7" t="n"/>
    </row>
    <row r="142" ht="28" customHeight="1">
      <c r="A142" s="12">
        <f>IF($L142="applied","Applied",IF($L142="interview","Interview",IF($L142="offer","Offer",IF($L142="rejected","Rejected",IF($L142="ignore","Ignore",IF($L142="archive","Archive",IF($L142="closed","Closed",IF($B142="","Unscored",IF(AND($B142&gt;=8,OR($H142="",$H142-TODAY()&lt;=14)),"P1 Apply",IF($B142&gt;=7,"P2 Strong",IF($B142&gt;=5,"P3 Maybe","P4 Low")))))))))))</f>
        <v/>
      </c>
      <c r="B142" s="13" t="n">
        <v>5</v>
      </c>
      <c r="C142" s="12" t="inlineStr">
        <is>
          <t>Unspecified</t>
        </is>
      </c>
      <c r="D142" s="8" t="inlineStr">
        <is>
          <t>Distributed Software Engineer</t>
        </is>
      </c>
      <c r="E142" s="7" t="inlineStr">
        <is>
          <t>Cerebras</t>
        </is>
      </c>
      <c r="F142" s="8" t="inlineStr">
        <is>
          <t>Bengaluru, Karnataka, India; Sunnyvale CA or Toronto Canada</t>
        </is>
      </c>
      <c r="G142" s="8" t="n"/>
      <c r="H142" s="14" t="n"/>
      <c r="I142" s="15">
        <f>IF($H142="","",$H142-TODAY())</f>
        <v/>
      </c>
      <c r="J142" s="16" t="inlineStr">
        <is>
          <t>Open posting</t>
        </is>
      </c>
      <c r="K142" s="8" t="n"/>
      <c r="L142" s="17" t="inlineStr">
        <is>
          <t>new</t>
        </is>
      </c>
      <c r="M142" s="18" t="inlineStr"/>
      <c r="N142" s="7" t="inlineStr">
        <is>
          <t>b02b08e221f3b2888d7a09ed4f8703cda059f906</t>
        </is>
      </c>
      <c r="O142" s="14" t="n">
        <v>46175</v>
      </c>
      <c r="P142" s="7" t="inlineStr">
        <is>
          <t>greenhouse:cerebrassystems</t>
        </is>
      </c>
      <c r="Q142" s="8" t="inlineStr"/>
      <c r="R142" s="8" t="n"/>
      <c r="S142" s="19" t="n"/>
      <c r="T142" s="19" t="n"/>
      <c r="U142" s="14" t="n">
        <v>46189</v>
      </c>
      <c r="V142" s="7" t="n"/>
    </row>
    <row r="143" ht="28" customHeight="1">
      <c r="A143" s="12">
        <f>IF($L143="applied","Applied",IF($L143="interview","Interview",IF($L143="offer","Offer",IF($L143="rejected","Rejected",IF($L143="ignore","Ignore",IF($L143="archive","Archive",IF($L143="closed","Closed",IF($B143="","Unscored",IF(AND($B143&gt;=8,OR($H143="",$H143-TODAY()&lt;=14)),"P1 Apply",IF($B143&gt;=7,"P2 Strong",IF($B143&gt;=5,"P3 Maybe","P4 Low")))))))))))</f>
        <v/>
      </c>
      <c r="B143" s="13" t="n">
        <v>5</v>
      </c>
      <c r="C143" s="12" t="inlineStr">
        <is>
          <t>Senior/Lead</t>
        </is>
      </c>
      <c r="D143" s="8" t="inlineStr">
        <is>
          <t>Electrical Engineer</t>
        </is>
      </c>
      <c r="E143" s="7" t="inlineStr">
        <is>
          <t>Cerebras</t>
        </is>
      </c>
      <c r="F143" s="8" t="inlineStr">
        <is>
          <t>Sunnyvale, CA</t>
        </is>
      </c>
      <c r="G143" s="8" t="n"/>
      <c r="H143" s="14" t="n"/>
      <c r="I143" s="15">
        <f>IF($H143="","",$H143-TODAY())</f>
        <v/>
      </c>
      <c r="J143" s="16" t="inlineStr">
        <is>
          <t>Open posting</t>
        </is>
      </c>
      <c r="K143" s="8" t="n"/>
      <c r="L143" s="17" t="inlineStr">
        <is>
          <t>new</t>
        </is>
      </c>
      <c r="M143" s="18" t="inlineStr"/>
      <c r="N143" s="7" t="inlineStr">
        <is>
          <t>d8befb89f4087fab36e700aa52638f833c997dba</t>
        </is>
      </c>
      <c r="O143" s="14" t="n">
        <v>46175</v>
      </c>
      <c r="P143" s="7" t="inlineStr">
        <is>
          <t>greenhouse:cerebrassystems</t>
        </is>
      </c>
      <c r="Q143" s="8" t="inlineStr"/>
      <c r="R143" s="8" t="n"/>
      <c r="S143" s="19" t="n"/>
      <c r="T143" s="19" t="n"/>
      <c r="U143" s="14" t="n">
        <v>46189</v>
      </c>
      <c r="V143" s="7" t="n"/>
    </row>
    <row r="144" ht="28" customHeight="1">
      <c r="A144" s="12">
        <f>IF($L144="applied","Applied",IF($L144="interview","Interview",IF($L144="offer","Offer",IF($L144="rejected","Rejected",IF($L144="ignore","Ignore",IF($L144="archive","Archive",IF($L144="closed","Closed",IF($B144="","Unscored",IF(AND($B144&gt;=8,OR($H144="",$H144-TODAY()&lt;=14)),"P1 Apply",IF($B144&gt;=7,"P2 Strong",IF($B144&gt;=5,"P3 Maybe","P4 Low")))))))))))</f>
        <v/>
      </c>
      <c r="B144" s="13" t="n">
        <v>5</v>
      </c>
      <c r="C144" s="12" t="inlineStr">
        <is>
          <t>Manager/Owner</t>
        </is>
      </c>
      <c r="D144" s="8" t="inlineStr">
        <is>
          <t>Engineering Manager, Inference ML Runtime</t>
        </is>
      </c>
      <c r="E144" s="7" t="inlineStr">
        <is>
          <t>Cerebras</t>
        </is>
      </c>
      <c r="F144" s="8" t="inlineStr">
        <is>
          <t>Sunnyvale CA or Toronto Canada</t>
        </is>
      </c>
      <c r="G144" s="8" t="n"/>
      <c r="H144" s="14" t="n"/>
      <c r="I144" s="15">
        <f>IF($H144="","",$H144-TODAY())</f>
        <v/>
      </c>
      <c r="J144" s="16" t="inlineStr">
        <is>
          <t>Open posting</t>
        </is>
      </c>
      <c r="K144" s="8" t="n"/>
      <c r="L144" s="17" t="inlineStr">
        <is>
          <t>new</t>
        </is>
      </c>
      <c r="M144" s="18" t="inlineStr"/>
      <c r="N144" s="7" t="inlineStr">
        <is>
          <t>5b779e17faefa089bd36c73510c78867d838edcd</t>
        </is>
      </c>
      <c r="O144" s="14" t="n">
        <v>46175</v>
      </c>
      <c r="P144" s="7" t="inlineStr">
        <is>
          <t>greenhouse:cerebrassystems</t>
        </is>
      </c>
      <c r="Q144" s="8" t="inlineStr"/>
      <c r="R144" s="8" t="n"/>
      <c r="S144" s="19" t="n"/>
      <c r="T144" s="19" t="n"/>
      <c r="U144" s="14" t="n">
        <v>46189</v>
      </c>
      <c r="V144" s="7" t="n"/>
    </row>
    <row r="145" ht="28" customHeight="1">
      <c r="A145" s="12">
        <f>IF($L145="applied","Applied",IF($L145="interview","Interview",IF($L145="offer","Offer",IF($L145="rejected","Rejected",IF($L145="ignore","Ignore",IF($L145="archive","Archive",IF($L145="closed","Closed",IF($B145="","Unscored",IF(AND($B145&gt;=8,OR($H145="",$H145-TODAY()&lt;=14)),"P1 Apply",IF($B145&gt;=7,"P2 Strong",IF($B145&gt;=5,"P3 Maybe","P4 Low")))))))))))</f>
        <v/>
      </c>
      <c r="B145" s="13" t="n">
        <v>5</v>
      </c>
      <c r="C145" s="12" t="inlineStr">
        <is>
          <t>Manager/Owner</t>
        </is>
      </c>
      <c r="D145" s="8" t="inlineStr">
        <is>
          <t>Engineering Manager, Kernel Reliability</t>
        </is>
      </c>
      <c r="E145" s="7" t="inlineStr">
        <is>
          <t>Cerebras</t>
        </is>
      </c>
      <c r="F145" s="8" t="inlineStr">
        <is>
          <t>Sunnyvale CA or Toronto Canada</t>
        </is>
      </c>
      <c r="G145" s="8" t="n"/>
      <c r="H145" s="14" t="n"/>
      <c r="I145" s="15">
        <f>IF($H145="","",$H145-TODAY())</f>
        <v/>
      </c>
      <c r="J145" s="16" t="inlineStr">
        <is>
          <t>Open posting</t>
        </is>
      </c>
      <c r="K145" s="8" t="n"/>
      <c r="L145" s="17" t="inlineStr">
        <is>
          <t>new</t>
        </is>
      </c>
      <c r="M145" s="18" t="inlineStr"/>
      <c r="N145" s="7" t="inlineStr">
        <is>
          <t>12098002fe6ac6415b55a7d2717d9515ab84b7d9</t>
        </is>
      </c>
      <c r="O145" s="14" t="n">
        <v>46175</v>
      </c>
      <c r="P145" s="7" t="inlineStr">
        <is>
          <t>greenhouse:cerebrassystems</t>
        </is>
      </c>
      <c r="Q145" s="8" t="inlineStr"/>
      <c r="R145" s="8" t="n"/>
      <c r="S145" s="19" t="n"/>
      <c r="T145" s="19" t="n"/>
      <c r="U145" s="14" t="n">
        <v>46189</v>
      </c>
      <c r="V145" s="7" t="n"/>
    </row>
    <row r="146" ht="28" customHeight="1">
      <c r="A146" s="12">
        <f>IF($L146="applied","Applied",IF($L146="interview","Interview",IF($L146="offer","Offer",IF($L146="rejected","Rejected",IF($L146="ignore","Ignore",IF($L146="archive","Archive",IF($L146="closed","Closed",IF($B146="","Unscored",IF(AND($B146&gt;=8,OR($H146="",$H146-TODAY()&lt;=14)),"P1 Apply",IF($B146&gt;=7,"P2 Strong",IF($B146&gt;=5,"P3 Maybe","P4 Low")))))))))))</f>
        <v/>
      </c>
      <c r="B146" s="13" t="n">
        <v>5</v>
      </c>
      <c r="C146" s="12" t="inlineStr">
        <is>
          <t>Unspecified</t>
        </is>
      </c>
      <c r="D146" s="8" t="inlineStr">
        <is>
          <t>Full Stack Engineer – Manufacturing Test</t>
        </is>
      </c>
      <c r="E146" s="7" t="inlineStr">
        <is>
          <t>Cerebras</t>
        </is>
      </c>
      <c r="F146" s="8" t="inlineStr">
        <is>
          <t>Sunnyvale, CA</t>
        </is>
      </c>
      <c r="G146" s="8" t="n"/>
      <c r="H146" s="14" t="n"/>
      <c r="I146" s="15">
        <f>IF($H146="","",$H146-TODAY())</f>
        <v/>
      </c>
      <c r="J146" s="16" t="inlineStr">
        <is>
          <t>Open posting</t>
        </is>
      </c>
      <c r="K146" s="8" t="n"/>
      <c r="L146" s="17" t="inlineStr">
        <is>
          <t>new</t>
        </is>
      </c>
      <c r="M146" s="18" t="inlineStr"/>
      <c r="N146" s="7" t="inlineStr">
        <is>
          <t>3c56b747e34d83cd37f1bc5d71090e44ba0c1eca</t>
        </is>
      </c>
      <c r="O146" s="14" t="n">
        <v>46175</v>
      </c>
      <c r="P146" s="7" t="inlineStr">
        <is>
          <t>greenhouse:cerebrassystems</t>
        </is>
      </c>
      <c r="Q146" s="8" t="inlineStr"/>
      <c r="R146" s="8" t="n"/>
      <c r="S146" s="19" t="n"/>
      <c r="T146" s="19" t="n"/>
      <c r="U146" s="14" t="n">
        <v>46189</v>
      </c>
      <c r="V146" s="7" t="n"/>
    </row>
    <row r="147" ht="28" customHeight="1">
      <c r="A147" s="12">
        <f>IF($L147="applied","Applied",IF($L147="interview","Interview",IF($L147="offer","Offer",IF($L147="rejected","Rejected",IF($L147="ignore","Ignore",IF($L147="archive","Archive",IF($L147="closed","Closed",IF($B147="","Unscored",IF(AND($B147&gt;=8,OR($H147="",$H147-TODAY()&lt;=14)),"P1 Apply",IF($B147&gt;=7,"P2 Strong",IF($B147&gt;=5,"P3 Maybe","P4 Low")))))))))))</f>
        <v/>
      </c>
      <c r="B147" s="13" t="n">
        <v>5</v>
      </c>
      <c r="C147" s="12" t="inlineStr">
        <is>
          <t>Mid-level</t>
        </is>
      </c>
      <c r="D147" s="8" t="inlineStr">
        <is>
          <t>Full Stack LLM Engineer</t>
        </is>
      </c>
      <c r="E147" s="7" t="inlineStr">
        <is>
          <t>Cerebras</t>
        </is>
      </c>
      <c r="F147" s="8" t="inlineStr">
        <is>
          <t>Toronto, Ontario, Canada</t>
        </is>
      </c>
      <c r="G147" s="8" t="n"/>
      <c r="H147" s="14" t="n"/>
      <c r="I147" s="15">
        <f>IF($H147="","",$H147-TODAY())</f>
        <v/>
      </c>
      <c r="J147" s="16" t="inlineStr">
        <is>
          <t>Open posting</t>
        </is>
      </c>
      <c r="K147" s="8" t="n"/>
      <c r="L147" s="17" t="inlineStr">
        <is>
          <t>new</t>
        </is>
      </c>
      <c r="M147" s="18" t="inlineStr"/>
      <c r="N147" s="7" t="inlineStr">
        <is>
          <t>e69a35ac6b39a85941c7e66aa93ed4c813fb89f1</t>
        </is>
      </c>
      <c r="O147" s="14" t="n">
        <v>46175</v>
      </c>
      <c r="P147" s="7" t="inlineStr">
        <is>
          <t>greenhouse:cerebrassystems</t>
        </is>
      </c>
      <c r="Q147" s="8" t="inlineStr"/>
      <c r="R147" s="8" t="n"/>
      <c r="S147" s="19" t="n"/>
      <c r="T147" s="19" t="n"/>
      <c r="U147" s="14" t="n">
        <v>46189</v>
      </c>
      <c r="V147" s="7" t="n"/>
    </row>
    <row r="148" ht="28" customHeight="1">
      <c r="A148" s="12">
        <f>IF($L148="applied","Applied",IF($L148="interview","Interview",IF($L148="offer","Offer",IF($L148="rejected","Rejected",IF($L148="ignore","Ignore",IF($L148="archive","Archive",IF($L148="closed","Closed",IF($B148="","Unscored",IF(AND($B148&gt;=8,OR($H148="",$H148-TODAY()&lt;=14)),"P1 Apply",IF($B148&gt;=7,"P2 Strong",IF($B148&gt;=5,"P3 Maybe","P4 Low")))))))))))</f>
        <v/>
      </c>
      <c r="B148" s="13" t="n">
        <v>5</v>
      </c>
      <c r="C148" s="12" t="inlineStr">
        <is>
          <t>Manager/Owner</t>
        </is>
      </c>
      <c r="D148" s="8" t="inlineStr">
        <is>
          <t>Infrastructure Hardware Technical Program Manager (Server and Network Systems)</t>
        </is>
      </c>
      <c r="E148" s="7" t="inlineStr">
        <is>
          <t>Cerebras</t>
        </is>
      </c>
      <c r="F148" s="8" t="inlineStr">
        <is>
          <t>Sunnyvale CA or Toronto Canada</t>
        </is>
      </c>
      <c r="G148" s="8" t="n"/>
      <c r="H148" s="14" t="n"/>
      <c r="I148" s="15">
        <f>IF($H148="","",$H148-TODAY())</f>
        <v/>
      </c>
      <c r="J148" s="16" t="inlineStr">
        <is>
          <t>Open posting</t>
        </is>
      </c>
      <c r="K148" s="8" t="n"/>
      <c r="L148" s="17" t="inlineStr">
        <is>
          <t>new</t>
        </is>
      </c>
      <c r="M148" s="18" t="inlineStr"/>
      <c r="N148" s="7" t="inlineStr">
        <is>
          <t>61c5a56356cd552e98fc56a9efccefd6cb458dd6</t>
        </is>
      </c>
      <c r="O148" s="14" t="n">
        <v>46175</v>
      </c>
      <c r="P148" s="7" t="inlineStr">
        <is>
          <t>greenhouse:cerebrassystems</t>
        </is>
      </c>
      <c r="Q148" s="8" t="inlineStr"/>
      <c r="R148" s="8" t="n"/>
      <c r="S148" s="19" t="n"/>
      <c r="T148" s="19" t="n"/>
      <c r="U148" s="14" t="n">
        <v>46189</v>
      </c>
      <c r="V148" s="7" t="n"/>
    </row>
    <row r="149" ht="28" customHeight="1">
      <c r="A149" s="12">
        <f>IF($L149="applied","Applied",IF($L149="interview","Interview",IF($L149="offer","Offer",IF($L149="rejected","Rejected",IF($L149="ignore","Ignore",IF($L149="archive","Archive",IF($L149="closed","Closed",IF($B149="","Unscored",IF(AND($B149&gt;=8,OR($H149="",$H149-TODAY()&lt;=14)),"P1 Apply",IF($B149&gt;=7,"P2 Strong",IF($B149&gt;=5,"P3 Maybe","P4 Low")))))))))))</f>
        <v/>
      </c>
      <c r="B149" s="13" t="n">
        <v>5</v>
      </c>
      <c r="C149" s="12" t="inlineStr">
        <is>
          <t>Unspecified</t>
        </is>
      </c>
      <c r="D149" s="8" t="inlineStr">
        <is>
          <t>Kernel Engineer</t>
        </is>
      </c>
      <c r="E149" s="7" t="inlineStr">
        <is>
          <t>Cerebras</t>
        </is>
      </c>
      <c r="F149" s="8" t="inlineStr">
        <is>
          <t>Bengaluru, Karnataka, India</t>
        </is>
      </c>
      <c r="G149" s="8" t="n"/>
      <c r="H149" s="14" t="n"/>
      <c r="I149" s="15">
        <f>IF($H149="","",$H149-TODAY())</f>
        <v/>
      </c>
      <c r="J149" s="16" t="inlineStr">
        <is>
          <t>Open posting</t>
        </is>
      </c>
      <c r="K149" s="8" t="n"/>
      <c r="L149" s="17" t="inlineStr">
        <is>
          <t>new</t>
        </is>
      </c>
      <c r="M149" s="18" t="inlineStr"/>
      <c r="N149" s="7" t="inlineStr">
        <is>
          <t>b78aad2bf0cdef55945f6ee55ca0f5fbcbc7f59f</t>
        </is>
      </c>
      <c r="O149" s="14" t="n">
        <v>46175</v>
      </c>
      <c r="P149" s="7" t="inlineStr">
        <is>
          <t>greenhouse:cerebrassystems</t>
        </is>
      </c>
      <c r="Q149" s="8" t="inlineStr"/>
      <c r="R149" s="8" t="n"/>
      <c r="S149" s="19" t="n"/>
      <c r="T149" s="19" t="n"/>
      <c r="U149" s="14" t="n">
        <v>46189</v>
      </c>
      <c r="V149" s="7" t="n"/>
    </row>
    <row r="150" ht="28" customHeight="1">
      <c r="A150" s="12">
        <f>IF($L150="applied","Applied",IF($L150="interview","Interview",IF($L150="offer","Offer",IF($L150="rejected","Rejected",IF($L150="ignore","Ignore",IF($L150="archive","Archive",IF($L150="closed","Closed",IF($B150="","Unscored",IF(AND($B150&gt;=8,OR($H150="",$H150-TODAY()&lt;=14)),"P1 Apply",IF($B150&gt;=7,"P2 Strong",IF($B150&gt;=5,"P3 Maybe","P4 Low")))))))))))</f>
        <v/>
      </c>
      <c r="B150" s="13" t="n">
        <v>5</v>
      </c>
      <c r="C150" s="12" t="inlineStr">
        <is>
          <t>Unspecified</t>
        </is>
      </c>
      <c r="D150" s="8" t="inlineStr">
        <is>
          <t>Kernel Engineer</t>
        </is>
      </c>
      <c r="E150" s="7" t="inlineStr">
        <is>
          <t>Cerebras</t>
        </is>
      </c>
      <c r="F150" s="8" t="inlineStr">
        <is>
          <t>Sunnyvale CA or Toronto Canada</t>
        </is>
      </c>
      <c r="G150" s="8" t="n"/>
      <c r="H150" s="14" t="n"/>
      <c r="I150" s="15">
        <f>IF($H150="","",$H150-TODAY())</f>
        <v/>
      </c>
      <c r="J150" s="16" t="inlineStr">
        <is>
          <t>Open posting</t>
        </is>
      </c>
      <c r="K150" s="8" t="n"/>
      <c r="L150" s="17" t="inlineStr">
        <is>
          <t>new</t>
        </is>
      </c>
      <c r="M150" s="18" t="inlineStr"/>
      <c r="N150" s="7" t="inlineStr">
        <is>
          <t>25960ef0ab2314a4d38da5f027c164c924d042a7</t>
        </is>
      </c>
      <c r="O150" s="14" t="n">
        <v>46175</v>
      </c>
      <c r="P150" s="7" t="inlineStr">
        <is>
          <t>greenhouse:cerebrassystems</t>
        </is>
      </c>
      <c r="Q150" s="8" t="inlineStr"/>
      <c r="R150" s="8" t="n"/>
      <c r="S150" s="19" t="n"/>
      <c r="T150" s="19" t="n"/>
      <c r="U150" s="14" t="n">
        <v>46189</v>
      </c>
      <c r="V150" s="7" t="n"/>
    </row>
    <row r="151" ht="28" customHeight="1">
      <c r="A151" s="12">
        <f>IF($L151="applied","Applied",IF($L151="interview","Interview",IF($L151="offer","Offer",IF($L151="rejected","Rejected",IF($L151="ignore","Ignore",IF($L151="archive","Archive",IF($L151="closed","Closed",IF($B151="","Unscored",IF(AND($B151&gt;=8,OR($H151="",$H151-TODAY()&lt;=14)),"P1 Apply",IF($B151&gt;=7,"P2 Strong",IF($B151&gt;=5,"P3 Maybe","P4 Low")))))))))))</f>
        <v/>
      </c>
      <c r="B151" s="13" t="n">
        <v>5</v>
      </c>
      <c r="C151" s="12" t="inlineStr">
        <is>
          <t>Mid-level</t>
        </is>
      </c>
      <c r="D151" s="8" t="inlineStr">
        <is>
          <t>LLM Inference Performance &amp; Evals Engineer</t>
        </is>
      </c>
      <c r="E151" s="7" t="inlineStr">
        <is>
          <t>Cerebras</t>
        </is>
      </c>
      <c r="F151" s="8" t="inlineStr">
        <is>
          <t>Toronto, Ontario, Canada</t>
        </is>
      </c>
      <c r="G151" s="8" t="n"/>
      <c r="H151" s="14" t="n"/>
      <c r="I151" s="15">
        <f>IF($H151="","",$H151-TODAY())</f>
        <v/>
      </c>
      <c r="J151" s="16" t="inlineStr">
        <is>
          <t>Open posting</t>
        </is>
      </c>
      <c r="K151" s="8" t="n"/>
      <c r="L151" s="17" t="inlineStr">
        <is>
          <t>new</t>
        </is>
      </c>
      <c r="M151" s="18" t="inlineStr"/>
      <c r="N151" s="7" t="inlineStr">
        <is>
          <t>6410ef380a58b626a57d7d6f4f6debb8f454bc62</t>
        </is>
      </c>
      <c r="O151" s="14" t="n">
        <v>46175</v>
      </c>
      <c r="P151" s="7" t="inlineStr">
        <is>
          <t>greenhouse:cerebrassystems</t>
        </is>
      </c>
      <c r="Q151" s="8" t="inlineStr"/>
      <c r="R151" s="8" t="n"/>
      <c r="S151" s="19" t="n"/>
      <c r="T151" s="19" t="n"/>
      <c r="U151" s="14" t="n">
        <v>46189</v>
      </c>
      <c r="V151" s="7" t="n"/>
    </row>
    <row r="152" ht="28" customHeight="1">
      <c r="A152" s="12">
        <f>IF($L152="applied","Applied",IF($L152="interview","Interview",IF($L152="offer","Offer",IF($L152="rejected","Rejected",IF($L152="ignore","Ignore",IF($L152="archive","Archive",IF($L152="closed","Closed",IF($B152="","Unscored",IF(AND($B152&gt;=8,OR($H152="",$H152-TODAY()&lt;=14)),"P1 Apply",IF($B152&gt;=7,"P2 Strong",IF($B152&gt;=5,"P3 Maybe","P4 Low")))))))))))</f>
        <v/>
      </c>
      <c r="B152" s="13" t="n">
        <v>5</v>
      </c>
      <c r="C152" s="12" t="inlineStr">
        <is>
          <t>Manager/Owner</t>
        </is>
      </c>
      <c r="D152" s="8" t="inlineStr">
        <is>
          <t>Manager, Business Operations</t>
        </is>
      </c>
      <c r="E152" s="7" t="inlineStr">
        <is>
          <t>Cerebras</t>
        </is>
      </c>
      <c r="F152" s="8" t="inlineStr">
        <is>
          <t>Sunnyvale, CA</t>
        </is>
      </c>
      <c r="G152" s="8" t="n"/>
      <c r="H152" s="14" t="n"/>
      <c r="I152" s="15">
        <f>IF($H152="","",$H152-TODAY())</f>
        <v/>
      </c>
      <c r="J152" s="16" t="inlineStr">
        <is>
          <t>Open posting</t>
        </is>
      </c>
      <c r="K152" s="8" t="n"/>
      <c r="L152" s="17" t="inlineStr">
        <is>
          <t>new</t>
        </is>
      </c>
      <c r="M152" s="18" t="inlineStr"/>
      <c r="N152" s="7" t="inlineStr">
        <is>
          <t>87be3b7c65d1da80731ee8ca44495f45d897806b</t>
        </is>
      </c>
      <c r="O152" s="14" t="n">
        <v>46175</v>
      </c>
      <c r="P152" s="7" t="inlineStr">
        <is>
          <t>greenhouse:cerebrassystems</t>
        </is>
      </c>
      <c r="Q152" s="8" t="inlineStr"/>
      <c r="R152" s="8" t="n"/>
      <c r="S152" s="19" t="n"/>
      <c r="T152" s="19" t="n"/>
      <c r="U152" s="14" t="n">
        <v>46189</v>
      </c>
      <c r="V152" s="7" t="n"/>
    </row>
    <row r="153" ht="28" customHeight="1">
      <c r="A153" s="12">
        <f>IF($L153="applied","Applied",IF($L153="interview","Interview",IF($L153="offer","Offer",IF($L153="rejected","Rejected",IF($L153="ignore","Ignore",IF($L153="archive","Archive",IF($L153="closed","Closed",IF($B153="","Unscored",IF(AND($B153&gt;=8,OR($H153="",$H153-TODAY()&lt;=14)),"P1 Apply",IF($B153&gt;=7,"P2 Strong",IF($B153&gt;=5,"P3 Maybe","P4 Low")))))))))))</f>
        <v/>
      </c>
      <c r="B153" s="13" t="n">
        <v>5</v>
      </c>
      <c r="C153" s="12" t="inlineStr">
        <is>
          <t>Manager/Owner</t>
        </is>
      </c>
      <c r="D153" s="8" t="inlineStr">
        <is>
          <t>Manager - Data Center Asset tracking and Accounting</t>
        </is>
      </c>
      <c r="E153" s="7" t="inlineStr">
        <is>
          <t>Cerebras</t>
        </is>
      </c>
      <c r="F153" s="8" t="inlineStr">
        <is>
          <t>Sunnyvale, CA</t>
        </is>
      </c>
      <c r="G153" s="8" t="n"/>
      <c r="H153" s="14" t="n"/>
      <c r="I153" s="15">
        <f>IF($H153="","",$H153-TODAY())</f>
        <v/>
      </c>
      <c r="J153" s="16" t="inlineStr">
        <is>
          <t>Open posting</t>
        </is>
      </c>
      <c r="K153" s="8" t="n"/>
      <c r="L153" s="17" t="inlineStr">
        <is>
          <t>new</t>
        </is>
      </c>
      <c r="M153" s="18" t="inlineStr"/>
      <c r="N153" s="7" t="inlineStr">
        <is>
          <t>15cf04bbb8c484d937d545ae0c3c97ef411fba2d</t>
        </is>
      </c>
      <c r="O153" s="14" t="n">
        <v>46175</v>
      </c>
      <c r="P153" s="7" t="inlineStr">
        <is>
          <t>greenhouse:cerebrassystems</t>
        </is>
      </c>
      <c r="Q153" s="8" t="inlineStr"/>
      <c r="R153" s="8" t="n"/>
      <c r="S153" s="19" t="n"/>
      <c r="T153" s="19" t="n"/>
      <c r="U153" s="14" t="n">
        <v>46189</v>
      </c>
      <c r="V153" s="7" t="n"/>
    </row>
    <row r="154" ht="28" customHeight="1">
      <c r="A154" s="12">
        <f>IF($L154="applied","Applied",IF($L154="interview","Interview",IF($L154="offer","Offer",IF($L154="rejected","Rejected",IF($L154="ignore","Ignore",IF($L154="archive","Archive",IF($L154="closed","Closed",IF($B154="","Unscored",IF(AND($B154&gt;=8,OR($H154="",$H154-TODAY()&lt;=14)),"P1 Apply",IF($B154&gt;=7,"P2 Strong",IF($B154&gt;=5,"P3 Maybe","P4 Low")))))))))))</f>
        <v/>
      </c>
      <c r="B154" s="13" t="n">
        <v>5</v>
      </c>
      <c r="C154" s="12" t="inlineStr">
        <is>
          <t>Unspecified</t>
        </is>
      </c>
      <c r="D154" s="8" t="inlineStr">
        <is>
          <t>Manufacturing Bring-up Engineer L2</t>
        </is>
      </c>
      <c r="E154" s="7" t="inlineStr">
        <is>
          <t>Cerebras</t>
        </is>
      </c>
      <c r="F154" s="8" t="inlineStr">
        <is>
          <t>Bengaluru, Karnataka, India; Sunnyvale, CA; Toronto, Ontario, Canada</t>
        </is>
      </c>
      <c r="G154" s="8" t="n"/>
      <c r="H154" s="14" t="n"/>
      <c r="I154" s="15">
        <f>IF($H154="","",$H154-TODAY())</f>
        <v/>
      </c>
      <c r="J154" s="16" t="inlineStr">
        <is>
          <t>Open posting</t>
        </is>
      </c>
      <c r="K154" s="8" t="n"/>
      <c r="L154" s="17" t="inlineStr">
        <is>
          <t>new</t>
        </is>
      </c>
      <c r="M154" s="18" t="inlineStr"/>
      <c r="N154" s="7" t="inlineStr">
        <is>
          <t>4358952f82dc4998d62442b7498fbd2292e8b262</t>
        </is>
      </c>
      <c r="O154" s="14" t="n">
        <v>46175</v>
      </c>
      <c r="P154" s="7" t="inlineStr">
        <is>
          <t>greenhouse:cerebrassystems</t>
        </is>
      </c>
      <c r="Q154" s="8" t="inlineStr"/>
      <c r="R154" s="8" t="n"/>
      <c r="S154" s="19" t="n"/>
      <c r="T154" s="19" t="n"/>
      <c r="U154" s="14" t="n">
        <v>46189</v>
      </c>
      <c r="V154" s="7" t="n"/>
    </row>
    <row r="155" ht="28" customHeight="1">
      <c r="A155" s="12">
        <f>IF($L155="applied","Applied",IF($L155="interview","Interview",IF($L155="offer","Offer",IF($L155="rejected","Rejected",IF($L155="ignore","Ignore",IF($L155="archive","Archive",IF($L155="closed","Closed",IF($B155="","Unscored",IF(AND($B155&gt;=8,OR($H155="",$H155-TODAY()&lt;=14)),"P1 Apply",IF($B155&gt;=7,"P2 Strong",IF($B155&gt;=5,"P3 Maybe","P4 Low")))))))))))</f>
        <v/>
      </c>
      <c r="B155" s="13" t="n">
        <v>5</v>
      </c>
      <c r="C155" s="12" t="inlineStr">
        <is>
          <t>Unspecified</t>
        </is>
      </c>
      <c r="D155" s="8" t="inlineStr">
        <is>
          <t>Manufacturing Bring-up Engineer L2</t>
        </is>
      </c>
      <c r="E155" s="7" t="inlineStr">
        <is>
          <t>Cerebras</t>
        </is>
      </c>
      <c r="F155" s="8" t="inlineStr">
        <is>
          <t>Bengaluru, Karnataka, India; Sunnyvale, CA; Toronto, Ontario, Canada</t>
        </is>
      </c>
      <c r="G155" s="8" t="n"/>
      <c r="H155" s="14" t="n"/>
      <c r="I155" s="15">
        <f>IF($H155="","",$H155-TODAY())</f>
        <v/>
      </c>
      <c r="J155" s="16" t="inlineStr">
        <is>
          <t>Open posting</t>
        </is>
      </c>
      <c r="K155" s="8" t="n"/>
      <c r="L155" s="17" t="inlineStr">
        <is>
          <t>new</t>
        </is>
      </c>
      <c r="M155" s="18" t="inlineStr"/>
      <c r="N155" s="7" t="inlineStr">
        <is>
          <t>912b421305596f375920a537594a0f34ffaa6d2a</t>
        </is>
      </c>
      <c r="O155" s="14" t="n">
        <v>46175</v>
      </c>
      <c r="P155" s="7" t="inlineStr">
        <is>
          <t>greenhouse:cerebrassystems</t>
        </is>
      </c>
      <c r="Q155" s="8" t="inlineStr"/>
      <c r="R155" s="8" t="n"/>
      <c r="S155" s="19" t="n"/>
      <c r="T155" s="19" t="n"/>
      <c r="U155" s="14" t="n">
        <v>46189</v>
      </c>
      <c r="V155" s="7" t="n"/>
    </row>
    <row r="156" ht="28" customHeight="1">
      <c r="A156" s="12">
        <f>IF($L156="applied","Applied",IF($L156="interview","Interview",IF($L156="offer","Offer",IF($L156="rejected","Rejected",IF($L156="ignore","Ignore",IF($L156="archive","Archive",IF($L156="closed","Closed",IF($B156="","Unscored",IF(AND($B156&gt;=8,OR($H156="",$H156-TODAY()&lt;=14)),"P1 Apply",IF($B156&gt;=7,"P2 Strong",IF($B156&gt;=5,"P3 Maybe","P4 Low")))))))))))</f>
        <v/>
      </c>
      <c r="B156" s="13" t="n">
        <v>5</v>
      </c>
      <c r="C156" s="12" t="inlineStr">
        <is>
          <t>Mid-level</t>
        </is>
      </c>
      <c r="D156" s="8" t="inlineStr">
        <is>
          <t>Manufacturing Linux Network Engineer</t>
        </is>
      </c>
      <c r="E156" s="7" t="inlineStr">
        <is>
          <t>Cerebras</t>
        </is>
      </c>
      <c r="F156" s="8" t="inlineStr">
        <is>
          <t>Sunnyvale, CA</t>
        </is>
      </c>
      <c r="G156" s="8" t="n"/>
      <c r="H156" s="14" t="n"/>
      <c r="I156" s="15">
        <f>IF($H156="","",$H156-TODAY())</f>
        <v/>
      </c>
      <c r="J156" s="16" t="inlineStr">
        <is>
          <t>Open posting</t>
        </is>
      </c>
      <c r="K156" s="8" t="n"/>
      <c r="L156" s="17" t="inlineStr">
        <is>
          <t>new</t>
        </is>
      </c>
      <c r="M156" s="18" t="inlineStr"/>
      <c r="N156" s="7" t="inlineStr">
        <is>
          <t>b02d8d72b1e67ded4d04f522fa8e28dbf1ecebce</t>
        </is>
      </c>
      <c r="O156" s="14" t="n">
        <v>46175</v>
      </c>
      <c r="P156" s="7" t="inlineStr">
        <is>
          <t>greenhouse:cerebrassystems</t>
        </is>
      </c>
      <c r="Q156" s="8" t="inlineStr"/>
      <c r="R156" s="8" t="n"/>
      <c r="S156" s="19" t="n"/>
      <c r="T156" s="19" t="n"/>
      <c r="U156" s="14" t="n">
        <v>46189</v>
      </c>
      <c r="V156" s="7" t="n"/>
    </row>
    <row r="157" ht="28" customHeight="1">
      <c r="A157" s="12">
        <f>IF($L157="applied","Applied",IF($L157="interview","Interview",IF($L157="offer","Offer",IF($L157="rejected","Rejected",IF($L157="ignore","Ignore",IF($L157="archive","Archive",IF($L157="closed","Closed",IF($B157="","Unscored",IF(AND($B157&gt;=8,OR($H157="",$H157-TODAY()&lt;=14)),"P1 Apply",IF($B157&gt;=7,"P2 Strong",IF($B157&gt;=5,"P3 Maybe","P4 Low")))))))))))</f>
        <v/>
      </c>
      <c r="B157" s="13" t="n">
        <v>5</v>
      </c>
      <c r="C157" s="12" t="inlineStr">
        <is>
          <t>Mid-level</t>
        </is>
      </c>
      <c r="D157" s="8" t="inlineStr">
        <is>
          <t>Manufacturing Test Development Engineer</t>
        </is>
      </c>
      <c r="E157" s="7" t="inlineStr">
        <is>
          <t>Cerebras</t>
        </is>
      </c>
      <c r="F157" s="8" t="inlineStr">
        <is>
          <t>Sunnyvale, CA</t>
        </is>
      </c>
      <c r="G157" s="8" t="n"/>
      <c r="H157" s="14" t="n"/>
      <c r="I157" s="15">
        <f>IF($H157="","",$H157-TODAY())</f>
        <v/>
      </c>
      <c r="J157" s="16" t="inlineStr">
        <is>
          <t>Open posting</t>
        </is>
      </c>
      <c r="K157" s="8" t="n"/>
      <c r="L157" s="17" t="inlineStr">
        <is>
          <t>new</t>
        </is>
      </c>
      <c r="M157" s="18" t="inlineStr"/>
      <c r="N157" s="7" t="inlineStr">
        <is>
          <t>3dad019a8ba7410d634466e96ed2a57cde6e260b</t>
        </is>
      </c>
      <c r="O157" s="14" t="n">
        <v>46175</v>
      </c>
      <c r="P157" s="7" t="inlineStr">
        <is>
          <t>greenhouse:cerebrassystems</t>
        </is>
      </c>
      <c r="Q157" s="8" t="inlineStr"/>
      <c r="R157" s="8" t="n"/>
      <c r="S157" s="19" t="n"/>
      <c r="T157" s="19" t="n"/>
      <c r="U157" s="14" t="n">
        <v>46189</v>
      </c>
      <c r="V157" s="7" t="n"/>
    </row>
    <row r="158" ht="28" customHeight="1">
      <c r="A158" s="12">
        <f>IF($L158="applied","Applied",IF($L158="interview","Interview",IF($L158="offer","Offer",IF($L158="rejected","Rejected",IF($L158="ignore","Ignore",IF($L158="archive","Archive",IF($L158="closed","Closed",IF($B158="","Unscored",IF(AND($B158&gt;=8,OR($H158="",$H158-TODAY()&lt;=14)),"P1 Apply",IF($B158&gt;=7,"P2 Strong",IF($B158&gt;=5,"P3 Maybe","P4 Low")))))))))))</f>
        <v/>
      </c>
      <c r="B158" s="13" t="n">
        <v>5</v>
      </c>
      <c r="C158" s="12" t="inlineStr">
        <is>
          <t>Senior/Lead</t>
        </is>
      </c>
      <c r="D158" s="8" t="inlineStr">
        <is>
          <t>Mechanical Engineer</t>
        </is>
      </c>
      <c r="E158" s="7" t="inlineStr">
        <is>
          <t>Cerebras</t>
        </is>
      </c>
      <c r="F158" s="8" t="inlineStr">
        <is>
          <t>Sunnyvale, CA</t>
        </is>
      </c>
      <c r="G158" s="8" t="n"/>
      <c r="H158" s="14" t="n"/>
      <c r="I158" s="15">
        <f>IF($H158="","",$H158-TODAY())</f>
        <v/>
      </c>
      <c r="J158" s="16" t="inlineStr">
        <is>
          <t>Open posting</t>
        </is>
      </c>
      <c r="K158" s="8" t="n"/>
      <c r="L158" s="17" t="inlineStr">
        <is>
          <t>new</t>
        </is>
      </c>
      <c r="M158" s="18" t="inlineStr"/>
      <c r="N158" s="7" t="inlineStr">
        <is>
          <t>04961764ea6842b5e4f2ba43a0e4806a95dc9ebb</t>
        </is>
      </c>
      <c r="O158" s="14" t="n">
        <v>46175</v>
      </c>
      <c r="P158" s="7" t="inlineStr">
        <is>
          <t>greenhouse:cerebrassystems</t>
        </is>
      </c>
      <c r="Q158" s="8" t="inlineStr"/>
      <c r="R158" s="8" t="n"/>
      <c r="S158" s="19" t="n"/>
      <c r="T158" s="19" t="n"/>
      <c r="U158" s="14" t="n">
        <v>46189</v>
      </c>
      <c r="V158" s="7" t="n"/>
    </row>
    <row r="159" ht="28" customHeight="1">
      <c r="A159" s="12">
        <f>IF($L159="applied","Applied",IF($L159="interview","Interview",IF($L159="offer","Offer",IF($L159="rejected","Rejected",IF($L159="ignore","Ignore",IF($L159="archive","Archive",IF($L159="closed","Closed",IF($B159="","Unscored",IF(AND($B159&gt;=8,OR($H159="",$H159-TODAY()&lt;=14)),"P1 Apply",IF($B159&gt;=7,"P2 Strong",IF($B159&gt;=5,"P3 Maybe","P4 Low")))))))))))</f>
        <v/>
      </c>
      <c r="B159" s="13" t="n">
        <v>5</v>
      </c>
      <c r="C159" s="12" t="inlineStr">
        <is>
          <t>Unspecified</t>
        </is>
      </c>
      <c r="D159" s="8" t="inlineStr">
        <is>
          <t>ML Performance Benchmarking Engineer</t>
        </is>
      </c>
      <c r="E159" s="7" t="inlineStr">
        <is>
          <t>Cerebras</t>
        </is>
      </c>
      <c r="F159" s="8" t="inlineStr">
        <is>
          <t>Toronto, Ontario, Canada</t>
        </is>
      </c>
      <c r="G159" s="8" t="n"/>
      <c r="H159" s="14" t="n"/>
      <c r="I159" s="15">
        <f>IF($H159="","",$H159-TODAY())</f>
        <v/>
      </c>
      <c r="J159" s="16" t="inlineStr">
        <is>
          <t>Open posting</t>
        </is>
      </c>
      <c r="K159" s="8" t="n"/>
      <c r="L159" s="17" t="inlineStr">
        <is>
          <t>new</t>
        </is>
      </c>
      <c r="M159" s="18" t="inlineStr"/>
      <c r="N159" s="7" t="inlineStr">
        <is>
          <t>dd1db823fd40a67c5a2fb18802fe51b13f664d07</t>
        </is>
      </c>
      <c r="O159" s="14" t="n">
        <v>46175</v>
      </c>
      <c r="P159" s="7" t="inlineStr">
        <is>
          <t>greenhouse:cerebrassystems</t>
        </is>
      </c>
      <c r="Q159" s="8" t="inlineStr"/>
      <c r="R159" s="8" t="n"/>
      <c r="S159" s="19" t="n"/>
      <c r="T159" s="19" t="n"/>
      <c r="U159" s="14" t="n">
        <v>46189</v>
      </c>
      <c r="V159" s="7" t="n"/>
    </row>
    <row r="160" ht="28" customHeight="1">
      <c r="A160" s="12">
        <f>IF($L160="applied","Applied",IF($L160="interview","Interview",IF($L160="offer","Offer",IF($L160="rejected","Rejected",IF($L160="ignore","Ignore",IF($L160="archive","Archive",IF($L160="closed","Closed",IF($B160="","Unscored",IF(AND($B160&gt;=8,OR($H160="",$H160-TODAY()&lt;=14)),"P1 Apply",IF($B160&gt;=7,"P2 Strong",IF($B160&gt;=5,"P3 Maybe","P4 Low")))))))))))</f>
        <v/>
      </c>
      <c r="B160" s="13" t="n">
        <v>5</v>
      </c>
      <c r="C160" s="12" t="inlineStr">
        <is>
          <t>Unspecified</t>
        </is>
      </c>
      <c r="D160" s="8" t="inlineStr">
        <is>
          <t>ML Research Engineer (Inference)</t>
        </is>
      </c>
      <c r="E160" s="7" t="inlineStr">
        <is>
          <t>Cerebras</t>
        </is>
      </c>
      <c r="F160" s="8" t="inlineStr">
        <is>
          <t>Bengaluru, Karnataka, India</t>
        </is>
      </c>
      <c r="G160" s="8" t="n"/>
      <c r="H160" s="14" t="n"/>
      <c r="I160" s="15">
        <f>IF($H160="","",$H160-TODAY())</f>
        <v/>
      </c>
      <c r="J160" s="16" t="inlineStr">
        <is>
          <t>Open posting</t>
        </is>
      </c>
      <c r="K160" s="8" t="n"/>
      <c r="L160" s="17" t="inlineStr">
        <is>
          <t>new</t>
        </is>
      </c>
      <c r="M160" s="18" t="inlineStr"/>
      <c r="N160" s="7" t="inlineStr">
        <is>
          <t>fcee2ca85736d6a8d91dfdb8065a19d9d80d34e3</t>
        </is>
      </c>
      <c r="O160" s="14" t="n">
        <v>46175</v>
      </c>
      <c r="P160" s="7" t="inlineStr">
        <is>
          <t>greenhouse:cerebrassystems</t>
        </is>
      </c>
      <c r="Q160" s="8" t="inlineStr"/>
      <c r="R160" s="8" t="n"/>
      <c r="S160" s="19" t="n"/>
      <c r="T160" s="19" t="n"/>
      <c r="U160" s="14" t="n">
        <v>46189</v>
      </c>
      <c r="V160" s="7" t="n"/>
    </row>
    <row r="161" ht="28" customHeight="1">
      <c r="A161" s="12">
        <f>IF($L161="applied","Applied",IF($L161="interview","Interview",IF($L161="offer","Offer",IF($L161="rejected","Rejected",IF($L161="ignore","Ignore",IF($L161="archive","Archive",IF($L161="closed","Closed",IF($B161="","Unscored",IF(AND($B161&gt;=8,OR($H161="",$H161-TODAY()&lt;=14)),"P1 Apply",IF($B161&gt;=7,"P2 Strong",IF($B161&gt;=5,"P3 Maybe","P4 Low")))))))))))</f>
        <v/>
      </c>
      <c r="B161" s="13" t="n">
        <v>5</v>
      </c>
      <c r="C161" s="12" t="inlineStr">
        <is>
          <t>Senior/Lead</t>
        </is>
      </c>
      <c r="D161" s="8" t="inlineStr">
        <is>
          <t>ML Software Tool Development Engineer</t>
        </is>
      </c>
      <c r="E161" s="7" t="inlineStr">
        <is>
          <t>Cerebras</t>
        </is>
      </c>
      <c r="F161" s="8" t="inlineStr">
        <is>
          <t>Sunnyvale CA or Toronto Canada</t>
        </is>
      </c>
      <c r="G161" s="8" t="n"/>
      <c r="H161" s="14" t="n"/>
      <c r="I161" s="15">
        <f>IF($H161="","",$H161-TODAY())</f>
        <v/>
      </c>
      <c r="J161" s="16" t="inlineStr">
        <is>
          <t>Open posting</t>
        </is>
      </c>
      <c r="K161" s="8" t="n"/>
      <c r="L161" s="17" t="inlineStr">
        <is>
          <t>new</t>
        </is>
      </c>
      <c r="M161" s="18" t="inlineStr"/>
      <c r="N161" s="7" t="inlineStr">
        <is>
          <t>237c8360a6b8b86cfdcf9297ff5c448d9ee9a12a</t>
        </is>
      </c>
      <c r="O161" s="14" t="n">
        <v>46175</v>
      </c>
      <c r="P161" s="7" t="inlineStr">
        <is>
          <t>greenhouse:cerebrassystems</t>
        </is>
      </c>
      <c r="Q161" s="8" t="inlineStr"/>
      <c r="R161" s="8" t="n"/>
      <c r="S161" s="19" t="n"/>
      <c r="T161" s="19" t="n"/>
      <c r="U161" s="14" t="n">
        <v>46189</v>
      </c>
      <c r="V161" s="7" t="n"/>
    </row>
    <row r="162" ht="28" customHeight="1">
      <c r="A162" s="12">
        <f>IF($L162="applied","Applied",IF($L162="interview","Interview",IF($L162="offer","Offer",IF($L162="rejected","Rejected",IF($L162="ignore","Ignore",IF($L162="archive","Archive",IF($L162="closed","Closed",IF($B162="","Unscored",IF(AND($B162&gt;=8,OR($H162="",$H162-TODAY()&lt;=14)),"P1 Apply",IF($B162&gt;=7,"P2 Strong",IF($B162&gt;=5,"P3 Maybe","P4 Low")))))))))))</f>
        <v/>
      </c>
      <c r="B162" s="13" t="n">
        <v>5</v>
      </c>
      <c r="C162" s="12" t="inlineStr">
        <is>
          <t>Mid-level</t>
        </is>
      </c>
      <c r="D162" s="8" t="inlineStr">
        <is>
          <t>ML Systems Performance Engineer</t>
        </is>
      </c>
      <c r="E162" s="7" t="inlineStr">
        <is>
          <t>Cerebras</t>
        </is>
      </c>
      <c r="F162" s="8" t="inlineStr">
        <is>
          <t>Bengaluru, Karnataka, India</t>
        </is>
      </c>
      <c r="G162" s="8" t="n"/>
      <c r="H162" s="14" t="n"/>
      <c r="I162" s="15">
        <f>IF($H162="","",$H162-TODAY())</f>
        <v/>
      </c>
      <c r="J162" s="16" t="inlineStr">
        <is>
          <t>Open posting</t>
        </is>
      </c>
      <c r="K162" s="8" t="n"/>
      <c r="L162" s="17" t="inlineStr">
        <is>
          <t>new</t>
        </is>
      </c>
      <c r="M162" s="18" t="inlineStr"/>
      <c r="N162" s="7" t="inlineStr">
        <is>
          <t>a176532d9d7ee903f963861b2efd7700c48a8a5f</t>
        </is>
      </c>
      <c r="O162" s="14" t="n">
        <v>46189</v>
      </c>
      <c r="P162" s="7" t="inlineStr">
        <is>
          <t>greenhouse:cerebrassystems</t>
        </is>
      </c>
      <c r="Q162" s="8" t="inlineStr"/>
      <c r="R162" s="8" t="n"/>
      <c r="S162" s="19" t="n"/>
      <c r="T162" s="19" t="n"/>
      <c r="U162" s="14" t="n">
        <v>46189</v>
      </c>
      <c r="V162" s="7" t="n"/>
    </row>
    <row r="163" ht="28" customHeight="1">
      <c r="A163" s="12">
        <f>IF($L163="applied","Applied",IF($L163="interview","Interview",IF($L163="offer","Offer",IF($L163="rejected","Rejected",IF($L163="ignore","Ignore",IF($L163="archive","Archive",IF($L163="closed","Closed",IF($B163="","Unscored",IF(AND($B163&gt;=8,OR($H163="",$H163-TODAY()&lt;=14)),"P1 Apply",IF($B163&gt;=7,"P2 Strong",IF($B163&gt;=5,"P3 Maybe","P4 Low")))))))))))</f>
        <v/>
      </c>
      <c r="B163" s="13" t="n">
        <v>5</v>
      </c>
      <c r="C163" s="12" t="inlineStr">
        <is>
          <t>Mid-level</t>
        </is>
      </c>
      <c r="D163" s="8" t="inlineStr">
        <is>
          <t>ML Systems Performance Engineer</t>
        </is>
      </c>
      <c r="E163" s="7" t="inlineStr">
        <is>
          <t>Cerebras</t>
        </is>
      </c>
      <c r="F163" s="8" t="inlineStr">
        <is>
          <t>Sunnyvale CA or Toronto Canada</t>
        </is>
      </c>
      <c r="G163" s="8" t="n"/>
      <c r="H163" s="14" t="n"/>
      <c r="I163" s="15">
        <f>IF($H163="","",$H163-TODAY())</f>
        <v/>
      </c>
      <c r="J163" s="16" t="inlineStr">
        <is>
          <t>Open posting</t>
        </is>
      </c>
      <c r="K163" s="8" t="n"/>
      <c r="L163" s="17" t="inlineStr">
        <is>
          <t>new</t>
        </is>
      </c>
      <c r="M163" s="18" t="inlineStr"/>
      <c r="N163" s="7" t="inlineStr">
        <is>
          <t>50e6c6740aa41a6ece0946923d77ccd6805c6342</t>
        </is>
      </c>
      <c r="O163" s="14" t="n">
        <v>46175</v>
      </c>
      <c r="P163" s="7" t="inlineStr">
        <is>
          <t>greenhouse:cerebrassystems</t>
        </is>
      </c>
      <c r="Q163" s="8" t="inlineStr"/>
      <c r="R163" s="8" t="n"/>
      <c r="S163" s="19" t="n"/>
      <c r="T163" s="19" t="n"/>
      <c r="U163" s="14" t="n">
        <v>46189</v>
      </c>
      <c r="V163" s="7" t="n"/>
    </row>
    <row r="164" ht="28" customHeight="1">
      <c r="A164" s="12">
        <f>IF($L164="applied","Applied",IF($L164="interview","Interview",IF($L164="offer","Offer",IF($L164="rejected","Rejected",IF($L164="ignore","Ignore",IF($L164="archive","Archive",IF($L164="closed","Closed",IF($B164="","Unscored",IF(AND($B164&gt;=8,OR($H164="",$H164-TODAY()&lt;=14)),"P1 Apply",IF($B164&gt;=7,"P2 Strong",IF($B164&gt;=5,"P3 Maybe","P4 Low")))))))))))</f>
        <v/>
      </c>
      <c r="B164" s="13" t="n">
        <v>5</v>
      </c>
      <c r="C164" s="12" t="inlineStr">
        <is>
          <t>Senior/Lead</t>
        </is>
      </c>
      <c r="D164" s="8" t="inlineStr">
        <is>
          <t>Network Architect</t>
        </is>
      </c>
      <c r="E164" s="7" t="inlineStr">
        <is>
          <t>Cerebras</t>
        </is>
      </c>
      <c r="F164" s="8" t="inlineStr">
        <is>
          <t>Sunnyvale, CA</t>
        </is>
      </c>
      <c r="G164" s="8" t="n"/>
      <c r="H164" s="14" t="n"/>
      <c r="I164" s="15">
        <f>IF($H164="","",$H164-TODAY())</f>
        <v/>
      </c>
      <c r="J164" s="16" t="inlineStr">
        <is>
          <t>Open posting</t>
        </is>
      </c>
      <c r="K164" s="8" t="n"/>
      <c r="L164" s="17" t="inlineStr">
        <is>
          <t>new</t>
        </is>
      </c>
      <c r="M164" s="18" t="inlineStr"/>
      <c r="N164" s="7" t="inlineStr">
        <is>
          <t>d52f00525fdd1d50889a6570f44e00299e3b4d39</t>
        </is>
      </c>
      <c r="O164" s="14" t="n">
        <v>46175</v>
      </c>
      <c r="P164" s="7" t="inlineStr">
        <is>
          <t>greenhouse:cerebrassystems</t>
        </is>
      </c>
      <c r="Q164" s="8" t="inlineStr"/>
      <c r="R164" s="8" t="n"/>
      <c r="S164" s="19" t="n"/>
      <c r="T164" s="19" t="n"/>
      <c r="U164" s="14" t="n">
        <v>46189</v>
      </c>
      <c r="V164" s="7" t="n"/>
    </row>
    <row r="165" ht="28" customHeight="1">
      <c r="A165" s="12">
        <f>IF($L165="applied","Applied",IF($L165="interview","Interview",IF($L165="offer","Offer",IF($L165="rejected","Rejected",IF($L165="ignore","Ignore",IF($L165="archive","Archive",IF($L165="closed","Closed",IF($B165="","Unscored",IF(AND($B165&gt;=8,OR($H165="",$H165-TODAY()&lt;=14)),"P1 Apply",IF($B165&gt;=7,"P2 Strong",IF($B165&gt;=5,"P3 Maybe","P4 Low")))))))))))</f>
        <v/>
      </c>
      <c r="B165" s="13" t="n">
        <v>5</v>
      </c>
      <c r="C165" s="12" t="inlineStr">
        <is>
          <t>Senior/Lead</t>
        </is>
      </c>
      <c r="D165" s="8" t="inlineStr">
        <is>
          <t>Network Engineer</t>
        </is>
      </c>
      <c r="E165" s="7" t="inlineStr">
        <is>
          <t>Cerebras</t>
        </is>
      </c>
      <c r="F165" s="8" t="inlineStr">
        <is>
          <t>Sunnyvale, CA; Toronto, Ontario, Canada</t>
        </is>
      </c>
      <c r="G165" s="8" t="n"/>
      <c r="H165" s="14" t="n"/>
      <c r="I165" s="15">
        <f>IF($H165="","",$H165-TODAY())</f>
        <v/>
      </c>
      <c r="J165" s="16" t="inlineStr">
        <is>
          <t>Open posting</t>
        </is>
      </c>
      <c r="K165" s="8" t="n"/>
      <c r="L165" s="17" t="inlineStr">
        <is>
          <t>new</t>
        </is>
      </c>
      <c r="M165" s="18" t="inlineStr"/>
      <c r="N165" s="7" t="inlineStr">
        <is>
          <t>845ee90be66bd3eab775f3bc269e06c5b8d866f3</t>
        </is>
      </c>
      <c r="O165" s="14" t="n">
        <v>46185</v>
      </c>
      <c r="P165" s="7" t="inlineStr">
        <is>
          <t>greenhouse:cerebrassystems</t>
        </is>
      </c>
      <c r="Q165" s="8" t="inlineStr"/>
      <c r="R165" s="8" t="n"/>
      <c r="S165" s="19" t="n"/>
      <c r="T165" s="19" t="n"/>
      <c r="U165" s="14" t="n">
        <v>46189</v>
      </c>
      <c r="V165" s="7" t="n"/>
    </row>
    <row r="166" ht="28" customHeight="1">
      <c r="A166" s="12">
        <f>IF($L166="applied","Applied",IF($L166="interview","Interview",IF($L166="offer","Offer",IF($L166="rejected","Rejected",IF($L166="ignore","Ignore",IF($L166="archive","Archive",IF($L166="closed","Closed",IF($B166="","Unscored",IF(AND($B166&gt;=8,OR($H166="",$H166-TODAY()&lt;=14)),"P1 Apply",IF($B166&gt;=7,"P2 Strong",IF($B166&gt;=5,"P3 Maybe","P4 Low")))))))))))</f>
        <v/>
      </c>
      <c r="B166" s="13" t="n">
        <v>5</v>
      </c>
      <c r="C166" s="12" t="inlineStr">
        <is>
          <t>Mid-level</t>
        </is>
      </c>
      <c r="D166" s="8" t="inlineStr">
        <is>
          <t>Performance Engineer</t>
        </is>
      </c>
      <c r="E166" s="7" t="inlineStr">
        <is>
          <t>Cerebras</t>
        </is>
      </c>
      <c r="F166" s="8" t="inlineStr">
        <is>
          <t>Toronto, Ontario, Canada</t>
        </is>
      </c>
      <c r="G166" s="8" t="n"/>
      <c r="H166" s="14" t="n"/>
      <c r="I166" s="15">
        <f>IF($H166="","",$H166-TODAY())</f>
        <v/>
      </c>
      <c r="J166" s="16" t="inlineStr">
        <is>
          <t>Open posting</t>
        </is>
      </c>
      <c r="K166" s="8" t="n"/>
      <c r="L166" s="17" t="inlineStr">
        <is>
          <t>new</t>
        </is>
      </c>
      <c r="M166" s="18" t="inlineStr"/>
      <c r="N166" s="7" t="inlineStr">
        <is>
          <t>86c8778089b92fe747f7bd290f0d3a85bc99a48e</t>
        </is>
      </c>
      <c r="O166" s="14" t="n">
        <v>46175</v>
      </c>
      <c r="P166" s="7" t="inlineStr">
        <is>
          <t>greenhouse:cerebrassystems</t>
        </is>
      </c>
      <c r="Q166" s="8" t="inlineStr"/>
      <c r="R166" s="8" t="n"/>
      <c r="S166" s="19" t="n"/>
      <c r="T166" s="19" t="n"/>
      <c r="U166" s="14" t="n">
        <v>46189</v>
      </c>
      <c r="V166" s="7" t="n"/>
    </row>
    <row r="167" ht="28" customHeight="1">
      <c r="A167" s="12">
        <f>IF($L167="applied","Applied",IF($L167="interview","Interview",IF($L167="offer","Offer",IF($L167="rejected","Rejected",IF($L167="ignore","Ignore",IF($L167="archive","Archive",IF($L167="closed","Closed",IF($B167="","Unscored",IF(AND($B167&gt;=8,OR($H167="",$H167-TODAY()&lt;=14)),"P1 Apply",IF($B167&gt;=7,"P2 Strong",IF($B167&gt;=5,"P3 Maybe","P4 Low")))))))))))</f>
        <v/>
      </c>
      <c r="B167" s="13" t="n">
        <v>5</v>
      </c>
      <c r="C167" s="12" t="inlineStr">
        <is>
          <t>Mid-level</t>
        </is>
      </c>
      <c r="D167" s="8" t="inlineStr">
        <is>
          <t>Performance &amp; Reliability Engineer</t>
        </is>
      </c>
      <c r="E167" s="7" t="inlineStr">
        <is>
          <t>Cerebras</t>
        </is>
      </c>
      <c r="F167" s="8" t="inlineStr">
        <is>
          <t>Sunnyvale, CA; Toronto, Ontario, Canada</t>
        </is>
      </c>
      <c r="G167" s="8" t="n"/>
      <c r="H167" s="14" t="n"/>
      <c r="I167" s="15">
        <f>IF($H167="","",$H167-TODAY())</f>
        <v/>
      </c>
      <c r="J167" s="16" t="inlineStr">
        <is>
          <t>Open posting</t>
        </is>
      </c>
      <c r="K167" s="8" t="n"/>
      <c r="L167" s="17" t="inlineStr">
        <is>
          <t>new</t>
        </is>
      </c>
      <c r="M167" s="18" t="inlineStr"/>
      <c r="N167" s="7" t="inlineStr">
        <is>
          <t>ad68daa703e8830336dc0ef5f4c8d9373c54a5c2</t>
        </is>
      </c>
      <c r="O167" s="14" t="n">
        <v>46175</v>
      </c>
      <c r="P167" s="7" t="inlineStr">
        <is>
          <t>greenhouse:cerebrassystems</t>
        </is>
      </c>
      <c r="Q167" s="8" t="inlineStr"/>
      <c r="R167" s="8" t="n"/>
      <c r="S167" s="19" t="n"/>
      <c r="T167" s="19" t="n"/>
      <c r="U167" s="14" t="n">
        <v>46189</v>
      </c>
      <c r="V167" s="7" t="n"/>
    </row>
    <row r="168" ht="28" customHeight="1">
      <c r="A168" s="12">
        <f>IF($L168="applied","Applied",IF($L168="interview","Interview",IF($L168="offer","Offer",IF($L168="rejected","Rejected",IF($L168="ignore","Ignore",IF($L168="archive","Archive",IF($L168="closed","Closed",IF($B168="","Unscored",IF(AND($B168&gt;=8,OR($H168="",$H168-TODAY()&lt;=14)),"P1 Apply",IF($B168&gt;=7,"P2 Strong",IF($B168&gt;=5,"P3 Maybe","P4 Low")))))))))))</f>
        <v/>
      </c>
      <c r="B168" s="13" t="n">
        <v>5</v>
      </c>
      <c r="C168" s="12" t="inlineStr">
        <is>
          <t>Senior/Lead</t>
        </is>
      </c>
      <c r="D168" s="8" t="inlineStr">
        <is>
          <t>Physical Design Engineer</t>
        </is>
      </c>
      <c r="E168" s="7" t="inlineStr">
        <is>
          <t>Cerebras</t>
        </is>
      </c>
      <c r="F168" s="8" t="inlineStr">
        <is>
          <t>Bengaluru, Karnataka, India</t>
        </is>
      </c>
      <c r="G168" s="8" t="n"/>
      <c r="H168" s="14" t="n"/>
      <c r="I168" s="15">
        <f>IF($H168="","",$H168-TODAY())</f>
        <v/>
      </c>
      <c r="J168" s="16" t="inlineStr">
        <is>
          <t>Open posting</t>
        </is>
      </c>
      <c r="K168" s="8" t="n"/>
      <c r="L168" s="17" t="inlineStr">
        <is>
          <t>new</t>
        </is>
      </c>
      <c r="M168" s="18" t="inlineStr"/>
      <c r="N168" s="7" t="inlineStr">
        <is>
          <t>270f76558942120990e40e86eeab1d0f54a98710</t>
        </is>
      </c>
      <c r="O168" s="14" t="n">
        <v>46175</v>
      </c>
      <c r="P168" s="7" t="inlineStr">
        <is>
          <t>greenhouse:cerebrassystems</t>
        </is>
      </c>
      <c r="Q168" s="8" t="inlineStr"/>
      <c r="R168" s="8" t="n"/>
      <c r="S168" s="19" t="n"/>
      <c r="T168" s="19" t="n"/>
      <c r="U168" s="14" t="n">
        <v>46189</v>
      </c>
      <c r="V168" s="7" t="n"/>
    </row>
    <row r="169" ht="28" customHeight="1">
      <c r="A169" s="12">
        <f>IF($L169="applied","Applied",IF($L169="interview","Interview",IF($L169="offer","Offer",IF($L169="rejected","Rejected",IF($L169="ignore","Ignore",IF($L169="archive","Archive",IF($L169="closed","Closed",IF($B169="","Unscored",IF(AND($B169&gt;=8,OR($H169="",$H169-TODAY()&lt;=14)),"P1 Apply",IF($B169&gt;=7,"P2 Strong",IF($B169&gt;=5,"P3 Maybe","P4 Low")))))))))))</f>
        <v/>
      </c>
      <c r="B169" s="13" t="n">
        <v>5</v>
      </c>
      <c r="C169" s="12" t="inlineStr">
        <is>
          <t>Senior/Lead</t>
        </is>
      </c>
      <c r="D169" s="8" t="inlineStr">
        <is>
          <t>Physical Design Engineer</t>
        </is>
      </c>
      <c r="E169" s="7" t="inlineStr">
        <is>
          <t>Cerebras</t>
        </is>
      </c>
      <c r="F169" s="8" t="inlineStr">
        <is>
          <t>Sunnyvale, CA</t>
        </is>
      </c>
      <c r="G169" s="8" t="n"/>
      <c r="H169" s="14" t="n"/>
      <c r="I169" s="15">
        <f>IF($H169="","",$H169-TODAY())</f>
        <v/>
      </c>
      <c r="J169" s="16" t="inlineStr">
        <is>
          <t>Open posting</t>
        </is>
      </c>
      <c r="K169" s="8" t="n"/>
      <c r="L169" s="17" t="inlineStr">
        <is>
          <t>new</t>
        </is>
      </c>
      <c r="M169" s="18" t="inlineStr"/>
      <c r="N169" s="7" t="inlineStr">
        <is>
          <t>69593a1bf4ba84aa5504e400a1c5d578ff5f333a</t>
        </is>
      </c>
      <c r="O169" s="14" t="n">
        <v>46183</v>
      </c>
      <c r="P169" s="7" t="inlineStr">
        <is>
          <t>greenhouse:cerebrassystems</t>
        </is>
      </c>
      <c r="Q169" s="8" t="inlineStr"/>
      <c r="R169" s="8" t="n"/>
      <c r="S169" s="19" t="n"/>
      <c r="T169" s="19" t="n"/>
      <c r="U169" s="14" t="n">
        <v>46189</v>
      </c>
      <c r="V169" s="7" t="n"/>
    </row>
    <row r="170" ht="28" customHeight="1">
      <c r="A170" s="12">
        <f>IF($L170="applied","Applied",IF($L170="interview","Interview",IF($L170="offer","Offer",IF($L170="rejected","Rejected",IF($L170="ignore","Ignore",IF($L170="archive","Archive",IF($L170="closed","Closed",IF($B170="","Unscored",IF(AND($B170&gt;=8,OR($H170="",$H170-TODAY()&lt;=14)),"P1 Apply",IF($B170&gt;=7,"P2 Strong",IF($B170&gt;=5,"P3 Maybe","P4 Low")))))))))))</f>
        <v/>
      </c>
      <c r="B170" s="13" t="n">
        <v>5</v>
      </c>
      <c r="C170" s="12" t="inlineStr">
        <is>
          <t>Manager/Owner</t>
        </is>
      </c>
      <c r="D170" s="8" t="inlineStr">
        <is>
          <t>Product Manager, Strategic Verticals</t>
        </is>
      </c>
      <c r="E170" s="7" t="inlineStr">
        <is>
          <t>Cerebras</t>
        </is>
      </c>
      <c r="F170" s="8" t="inlineStr">
        <is>
          <t>San Francisco, California, United States</t>
        </is>
      </c>
      <c r="G170" s="8" t="n"/>
      <c r="H170" s="14" t="n"/>
      <c r="I170" s="15">
        <f>IF($H170="","",$H170-TODAY())</f>
        <v/>
      </c>
      <c r="J170" s="16" t="inlineStr">
        <is>
          <t>Open posting</t>
        </is>
      </c>
      <c r="K170" s="8" t="n"/>
      <c r="L170" s="17" t="inlineStr">
        <is>
          <t>new</t>
        </is>
      </c>
      <c r="M170" s="18" t="inlineStr"/>
      <c r="N170" s="7" t="inlineStr">
        <is>
          <t>9e673e6b764368600481e1451014a63ced248f2b</t>
        </is>
      </c>
      <c r="O170" s="14" t="n">
        <v>46183</v>
      </c>
      <c r="P170" s="7" t="inlineStr">
        <is>
          <t>greenhouse:cerebrassystems</t>
        </is>
      </c>
      <c r="Q170" s="8" t="inlineStr"/>
      <c r="R170" s="8" t="n"/>
      <c r="S170" s="19" t="n"/>
      <c r="T170" s="19" t="n"/>
      <c r="U170" s="14" t="n">
        <v>46189</v>
      </c>
      <c r="V170" s="7" t="n"/>
    </row>
    <row r="171" ht="28" customHeight="1">
      <c r="A171" s="12">
        <f>IF($L171="applied","Applied",IF($L171="interview","Interview",IF($L171="offer","Offer",IF($L171="rejected","Rejected",IF($L171="ignore","Ignore",IF($L171="archive","Archive",IF($L171="closed","Closed",IF($B171="","Unscored",IF(AND($B171&gt;=8,OR($H171="",$H171-TODAY()&lt;=14)),"P1 Apply",IF($B171&gt;=7,"P2 Strong",IF($B171&gt;=5,"P3 Maybe","P4 Low")))))))))))</f>
        <v/>
      </c>
      <c r="B171" s="13" t="n">
        <v>5</v>
      </c>
      <c r="C171" s="12" t="inlineStr">
        <is>
          <t>Unspecified</t>
        </is>
      </c>
      <c r="D171" s="8" t="inlineStr">
        <is>
          <t>Prognostics &amp; Health Monitoring Engineer</t>
        </is>
      </c>
      <c r="E171" s="7" t="inlineStr">
        <is>
          <t>Cerebras</t>
        </is>
      </c>
      <c r="F171" s="8" t="inlineStr">
        <is>
          <t>Sunnyvale, CA</t>
        </is>
      </c>
      <c r="G171" s="8" t="n"/>
      <c r="H171" s="14" t="n"/>
      <c r="I171" s="15">
        <f>IF($H171="","",$H171-TODAY())</f>
        <v/>
      </c>
      <c r="J171" s="16" t="inlineStr">
        <is>
          <t>Open posting</t>
        </is>
      </c>
      <c r="K171" s="8" t="n"/>
      <c r="L171" s="17" t="inlineStr">
        <is>
          <t>new</t>
        </is>
      </c>
      <c r="M171" s="18" t="inlineStr"/>
      <c r="N171" s="7" t="inlineStr">
        <is>
          <t>85510cdb65680c713b8022e4ecb4bb3276487a56</t>
        </is>
      </c>
      <c r="O171" s="14" t="n">
        <v>46178</v>
      </c>
      <c r="P171" s="7" t="inlineStr">
        <is>
          <t>greenhouse:cerebrassystems</t>
        </is>
      </c>
      <c r="Q171" s="8" t="inlineStr"/>
      <c r="R171" s="8" t="n"/>
      <c r="S171" s="19" t="n"/>
      <c r="T171" s="19" t="n"/>
      <c r="U171" s="14" t="n">
        <v>46189</v>
      </c>
      <c r="V171" s="7" t="n"/>
    </row>
    <row r="172" ht="28" customHeight="1">
      <c r="A172" s="12">
        <f>IF($L172="applied","Applied",IF($L172="interview","Interview",IF($L172="offer","Offer",IF($L172="rejected","Rejected",IF($L172="ignore","Ignore",IF($L172="archive","Archive",IF($L172="closed","Closed",IF($B172="","Unscored",IF(AND($B172&gt;=8,OR($H172="",$H172-TODAY()&lt;=14)),"P1 Apply",IF($B172&gt;=7,"P2 Strong",IF($B172&gt;=5,"P3 Maybe","P4 Low")))))))))))</f>
        <v/>
      </c>
      <c r="B172" s="13" t="n">
        <v>5</v>
      </c>
      <c r="C172" s="12" t="inlineStr">
        <is>
          <t>Unspecified</t>
        </is>
      </c>
      <c r="D172" s="8" t="inlineStr">
        <is>
          <t>Security &amp; IT General Opportunities</t>
        </is>
      </c>
      <c r="E172" s="7" t="inlineStr">
        <is>
          <t>Cerebras</t>
        </is>
      </c>
      <c r="F172" s="8" t="inlineStr">
        <is>
          <t>Sunnyvale CA or Toronto Canada</t>
        </is>
      </c>
      <c r="G172" s="8" t="n"/>
      <c r="H172" s="14" t="n"/>
      <c r="I172" s="15">
        <f>IF($H172="","",$H172-TODAY())</f>
        <v/>
      </c>
      <c r="J172" s="16" t="inlineStr">
        <is>
          <t>Open posting</t>
        </is>
      </c>
      <c r="K172" s="8" t="n"/>
      <c r="L172" s="17" t="inlineStr">
        <is>
          <t>new</t>
        </is>
      </c>
      <c r="M172" s="18" t="inlineStr"/>
      <c r="N172" s="7" t="inlineStr">
        <is>
          <t>d69769fae8fa9460c33b8a277b8acc5a9cf0243f</t>
        </is>
      </c>
      <c r="O172" s="14" t="n">
        <v>46175</v>
      </c>
      <c r="P172" s="7" t="inlineStr">
        <is>
          <t>greenhouse:cerebrassystems</t>
        </is>
      </c>
      <c r="Q172" s="8" t="inlineStr"/>
      <c r="R172" s="8" t="n"/>
      <c r="S172" s="19" t="n"/>
      <c r="T172" s="19" t="n"/>
      <c r="U172" s="14" t="n">
        <v>46189</v>
      </c>
      <c r="V172" s="7" t="n"/>
    </row>
    <row r="173" ht="28" customHeight="1">
      <c r="A173" s="12">
        <f>IF($L173="applied","Applied",IF($L173="interview","Interview",IF($L173="offer","Offer",IF($L173="rejected","Rejected",IF($L173="ignore","Ignore",IF($L173="archive","Archive",IF($L173="closed","Closed",IF($B173="","Unscored",IF(AND($B173&gt;=8,OR($H173="",$H173-TODAY()&lt;=14)),"P1 Apply",IF($B173&gt;=7,"P2 Strong",IF($B173&gt;=5,"P3 Maybe","P4 Low")))))))))))</f>
        <v/>
      </c>
      <c r="B173" s="13" t="n">
        <v>5</v>
      </c>
      <c r="C173" s="12" t="inlineStr">
        <is>
          <t>Mid-level</t>
        </is>
      </c>
      <c r="D173" s="8" t="inlineStr">
        <is>
          <t>Security SWE</t>
        </is>
      </c>
      <c r="E173" s="7" t="inlineStr">
        <is>
          <t>Cerebras</t>
        </is>
      </c>
      <c r="F173" s="8" t="inlineStr">
        <is>
          <t>Sunnyvale CA or Toronto Canada</t>
        </is>
      </c>
      <c r="G173" s="8" t="n"/>
      <c r="H173" s="14" t="n"/>
      <c r="I173" s="15">
        <f>IF($H173="","",$H173-TODAY())</f>
        <v/>
      </c>
      <c r="J173" s="16" t="inlineStr">
        <is>
          <t>Open posting</t>
        </is>
      </c>
      <c r="K173" s="8" t="n"/>
      <c r="L173" s="17" t="inlineStr">
        <is>
          <t>new</t>
        </is>
      </c>
      <c r="M173" s="18" t="inlineStr"/>
      <c r="N173" s="7" t="inlineStr">
        <is>
          <t>8d6176cebf2c076c13794d98ed331f802b769ec1</t>
        </is>
      </c>
      <c r="O173" s="14" t="n">
        <v>46175</v>
      </c>
      <c r="P173" s="7" t="inlineStr">
        <is>
          <t>greenhouse:cerebrassystems</t>
        </is>
      </c>
      <c r="Q173" s="8" t="inlineStr"/>
      <c r="R173" s="8" t="n"/>
      <c r="S173" s="19" t="n"/>
      <c r="T173" s="19" t="n"/>
      <c r="U173" s="14" t="n">
        <v>46189</v>
      </c>
      <c r="V173" s="7" t="n"/>
    </row>
    <row r="174" ht="28" customHeight="1">
      <c r="A174" s="12">
        <f>IF($L174="applied","Applied",IF($L174="interview","Interview",IF($L174="offer","Offer",IF($L174="rejected","Rejected",IF($L174="ignore","Ignore",IF($L174="archive","Archive",IF($L174="closed","Closed",IF($B174="","Unscored",IF(AND($B174&gt;=8,OR($H174="",$H174-TODAY()&lt;=14)),"P1 Apply",IF($B174&gt;=7,"P2 Strong",IF($B174&gt;=5,"P3 Maybe","P4 Low")))))))))))</f>
        <v/>
      </c>
      <c r="B174" s="13" t="n">
        <v>5</v>
      </c>
      <c r="C174" s="12" t="inlineStr">
        <is>
          <t>Senior/Lead</t>
        </is>
      </c>
      <c r="D174" s="8" t="inlineStr">
        <is>
          <t>Site Reliability Engineer - Ops &amp; Automation</t>
        </is>
      </c>
      <c r="E174" s="7" t="inlineStr">
        <is>
          <t>Cerebras</t>
        </is>
      </c>
      <c r="F174" s="8" t="inlineStr">
        <is>
          <t>Sunnyvale CA or Toronto Canada</t>
        </is>
      </c>
      <c r="G174" s="8" t="n"/>
      <c r="H174" s="14" t="n"/>
      <c r="I174" s="15">
        <f>IF($H174="","",$H174-TODAY())</f>
        <v/>
      </c>
      <c r="J174" s="16" t="inlineStr">
        <is>
          <t>Open posting</t>
        </is>
      </c>
      <c r="K174" s="8" t="n"/>
      <c r="L174" s="17" t="inlineStr">
        <is>
          <t>new</t>
        </is>
      </c>
      <c r="M174" s="18" t="inlineStr"/>
      <c r="N174" s="7" t="inlineStr">
        <is>
          <t>e8d902e02f7971259176b84de454dc48d5c246ee</t>
        </is>
      </c>
      <c r="O174" s="14" t="n">
        <v>46175</v>
      </c>
      <c r="P174" s="7" t="inlineStr">
        <is>
          <t>greenhouse:cerebrassystems</t>
        </is>
      </c>
      <c r="Q174" s="8" t="inlineStr"/>
      <c r="R174" s="8" t="n"/>
      <c r="S174" s="19" t="n"/>
      <c r="T174" s="19" t="n"/>
      <c r="U174" s="14" t="n">
        <v>46189</v>
      </c>
      <c r="V174" s="7" t="n"/>
    </row>
    <row r="175" ht="28" customHeight="1">
      <c r="A175" s="12">
        <f>IF($L175="applied","Applied",IF($L175="interview","Interview",IF($L175="offer","Offer",IF($L175="rejected","Rejected",IF($L175="ignore","Ignore",IF($L175="archive","Archive",IF($L175="closed","Closed",IF($B175="","Unscored",IF(AND($B175&gt;=8,OR($H175="",$H175-TODAY()&lt;=14)),"P1 Apply",IF($B175&gt;=7,"P2 Strong",IF($B175&gt;=5,"P3 Maybe","P4 Low")))))))))))</f>
        <v/>
      </c>
      <c r="B175" s="13" t="n">
        <v>5</v>
      </c>
      <c r="C175" s="12" t="inlineStr">
        <is>
          <t>Senior/Lead</t>
        </is>
      </c>
      <c r="D175" s="8" t="inlineStr">
        <is>
          <t>Software Architect – Manufacturing Test</t>
        </is>
      </c>
      <c r="E175" s="7" t="inlineStr">
        <is>
          <t>Cerebras</t>
        </is>
      </c>
      <c r="F175" s="8" t="inlineStr">
        <is>
          <t>Sunnyvale, CA</t>
        </is>
      </c>
      <c r="G175" s="8" t="n"/>
      <c r="H175" s="14" t="n"/>
      <c r="I175" s="15">
        <f>IF($H175="","",$H175-TODAY())</f>
        <v/>
      </c>
      <c r="J175" s="16" t="inlineStr">
        <is>
          <t>Open posting</t>
        </is>
      </c>
      <c r="K175" s="8" t="n"/>
      <c r="L175" s="17" t="inlineStr">
        <is>
          <t>new</t>
        </is>
      </c>
      <c r="M175" s="18" t="inlineStr"/>
      <c r="N175" s="7" t="inlineStr">
        <is>
          <t>aaba1b205ce442f3e0f2917233efc90f7c3c6622</t>
        </is>
      </c>
      <c r="O175" s="14" t="n">
        <v>46175</v>
      </c>
      <c r="P175" s="7" t="inlineStr">
        <is>
          <t>greenhouse:cerebrassystems</t>
        </is>
      </c>
      <c r="Q175" s="8" t="inlineStr"/>
      <c r="R175" s="8" t="n"/>
      <c r="S175" s="19" t="n"/>
      <c r="T175" s="19" t="n"/>
      <c r="U175" s="14" t="n">
        <v>46189</v>
      </c>
      <c r="V175" s="7" t="n"/>
    </row>
    <row r="176" ht="28" customHeight="1">
      <c r="A176" s="12">
        <f>IF($L176="applied","Applied",IF($L176="interview","Interview",IF($L176="offer","Offer",IF($L176="rejected","Rejected",IF($L176="ignore","Ignore",IF($L176="archive","Archive",IF($L176="closed","Closed",IF($B176="","Unscored",IF(AND($B176&gt;=8,OR($H176="",$H176-TODAY()&lt;=14)),"P1 Apply",IF($B176&gt;=7,"P2 Strong",IF($B176&gt;=5,"P3 Maybe","P4 Low")))))))))))</f>
        <v/>
      </c>
      <c r="B176" s="13" t="n">
        <v>5</v>
      </c>
      <c r="C176" s="12" t="inlineStr">
        <is>
          <t>Senior/Lead</t>
        </is>
      </c>
      <c r="D176" s="8" t="inlineStr">
        <is>
          <t>Software Development Engineer in Test (Cloud)</t>
        </is>
      </c>
      <c r="E176" s="7" t="inlineStr">
        <is>
          <t>Cerebras</t>
        </is>
      </c>
      <c r="F176" s="8" t="inlineStr">
        <is>
          <t>Bengaluru, Karnataka, India</t>
        </is>
      </c>
      <c r="G176" s="8" t="n"/>
      <c r="H176" s="14" t="n"/>
      <c r="I176" s="15">
        <f>IF($H176="","",$H176-TODAY())</f>
        <v/>
      </c>
      <c r="J176" s="16" t="inlineStr">
        <is>
          <t>Open posting</t>
        </is>
      </c>
      <c r="K176" s="8" t="n"/>
      <c r="L176" s="17" t="inlineStr">
        <is>
          <t>new</t>
        </is>
      </c>
      <c r="M176" s="18" t="inlineStr"/>
      <c r="N176" s="7" t="inlineStr">
        <is>
          <t>8fe06e60b31ec24841a0104476432eb0e5883192</t>
        </is>
      </c>
      <c r="O176" s="14" t="n">
        <v>46175</v>
      </c>
      <c r="P176" s="7" t="inlineStr">
        <is>
          <t>greenhouse:cerebrassystems</t>
        </is>
      </c>
      <c r="Q176" s="8" t="inlineStr"/>
      <c r="R176" s="8" t="n"/>
      <c r="S176" s="19" t="n"/>
      <c r="T176" s="19" t="n"/>
      <c r="U176" s="14" t="n">
        <v>46189</v>
      </c>
      <c r="V176" s="7" t="n"/>
    </row>
    <row r="177" ht="28" customHeight="1">
      <c r="A177" s="12">
        <f>IF($L177="applied","Applied",IF($L177="interview","Interview",IF($L177="offer","Offer",IF($L177="rejected","Rejected",IF($L177="ignore","Ignore",IF($L177="archive","Archive",IF($L177="closed","Closed",IF($B177="","Unscored",IF(AND($B177&gt;=8,OR($H177="",$H177-TODAY()&lt;=14)),"P1 Apply",IF($B177&gt;=7,"P2 Strong",IF($B177&gt;=5,"P3 Maybe","P4 Low")))))))))))</f>
        <v/>
      </c>
      <c r="B177" s="13" t="n">
        <v>5</v>
      </c>
      <c r="C177" s="12" t="inlineStr">
        <is>
          <t>Unspecified</t>
        </is>
      </c>
      <c r="D177" s="8" t="inlineStr">
        <is>
          <t>Software Engineer, Kernel Reliability</t>
        </is>
      </c>
      <c r="E177" s="7" t="inlineStr">
        <is>
          <t>Cerebras</t>
        </is>
      </c>
      <c r="F177" s="8" t="inlineStr">
        <is>
          <t>Sunnyvale CA or Toronto Canada</t>
        </is>
      </c>
      <c r="G177" s="8" t="n"/>
      <c r="H177" s="14" t="n"/>
      <c r="I177" s="15">
        <f>IF($H177="","",$H177-TODAY())</f>
        <v/>
      </c>
      <c r="J177" s="16" t="inlineStr">
        <is>
          <t>Open posting</t>
        </is>
      </c>
      <c r="K177" s="8" t="n"/>
      <c r="L177" s="17" t="inlineStr">
        <is>
          <t>new</t>
        </is>
      </c>
      <c r="M177" s="18" t="inlineStr"/>
      <c r="N177" s="7" t="inlineStr">
        <is>
          <t>75fe5067a78013a0b7925608fda67e8e48f49cbf</t>
        </is>
      </c>
      <c r="O177" s="14" t="n">
        <v>46175</v>
      </c>
      <c r="P177" s="7" t="inlineStr">
        <is>
          <t>greenhouse:cerebrassystems</t>
        </is>
      </c>
      <c r="Q177" s="8" t="inlineStr"/>
      <c r="R177" s="8" t="n"/>
      <c r="S177" s="19" t="n"/>
      <c r="T177" s="19" t="n"/>
      <c r="U177" s="14" t="n">
        <v>46189</v>
      </c>
      <c r="V177" s="7" t="n"/>
    </row>
    <row r="178" ht="28" customHeight="1">
      <c r="A178" s="12">
        <f>IF($L178="applied","Applied",IF($L178="interview","Interview",IF($L178="offer","Offer",IF($L178="rejected","Rejected",IF($L178="ignore","Ignore",IF($L178="archive","Archive",IF($L178="closed","Closed",IF($B178="","Unscored",IF(AND($B178&gt;=8,OR($H178="",$H178-TODAY()&lt;=14)),"P1 Apply",IF($B178&gt;=7,"P2 Strong",IF($B178&gt;=5,"P3 Maybe","P4 Low")))))))))))</f>
        <v/>
      </c>
      <c r="B178" s="13" t="n">
        <v>5</v>
      </c>
      <c r="C178" s="12" t="inlineStr">
        <is>
          <t>Manager/Owner</t>
        </is>
      </c>
      <c r="D178" s="8" t="inlineStr">
        <is>
          <t>Sourcing Manager – Critical Components</t>
        </is>
      </c>
      <c r="E178" s="7" t="inlineStr">
        <is>
          <t>Cerebras</t>
        </is>
      </c>
      <c r="F178" s="8" t="inlineStr">
        <is>
          <t>Sunnyvale, CA</t>
        </is>
      </c>
      <c r="G178" s="8" t="n"/>
      <c r="H178" s="14" t="n"/>
      <c r="I178" s="15">
        <f>IF($H178="","",$H178-TODAY())</f>
        <v/>
      </c>
      <c r="J178" s="16" t="inlineStr">
        <is>
          <t>Open posting</t>
        </is>
      </c>
      <c r="K178" s="8" t="n"/>
      <c r="L178" s="17" t="inlineStr">
        <is>
          <t>new</t>
        </is>
      </c>
      <c r="M178" s="18" t="inlineStr"/>
      <c r="N178" s="7" t="inlineStr">
        <is>
          <t>121bdc70c52a05628143f394fd7ec99fd5081b12</t>
        </is>
      </c>
      <c r="O178" s="14" t="n">
        <v>46175</v>
      </c>
      <c r="P178" s="7" t="inlineStr">
        <is>
          <t>greenhouse:cerebrassystems</t>
        </is>
      </c>
      <c r="Q178" s="8" t="inlineStr"/>
      <c r="R178" s="8" t="n"/>
      <c r="S178" s="19" t="n"/>
      <c r="T178" s="19" t="n"/>
      <c r="U178" s="14" t="n">
        <v>46189</v>
      </c>
      <c r="V178" s="7" t="n"/>
    </row>
    <row r="179" ht="28" customHeight="1">
      <c r="A179" s="12">
        <f>IF($L179="applied","Applied",IF($L179="interview","Interview",IF($L179="offer","Offer",IF($L179="rejected","Rejected",IF($L179="ignore","Ignore",IF($L179="archive","Archive",IF($L179="closed","Closed",IF($B179="","Unscored",IF(AND($B179&gt;=8,OR($H179="",$H179-TODAY()&lt;=14)),"P1 Apply",IF($B179&gt;=7,"P2 Strong",IF($B179&gt;=5,"P3 Maybe","P4 Low")))))))))))</f>
        <v/>
      </c>
      <c r="B179" s="13" t="n">
        <v>5</v>
      </c>
      <c r="C179" s="12" t="inlineStr">
        <is>
          <t>Unspecified</t>
        </is>
      </c>
      <c r="D179" s="8" t="inlineStr">
        <is>
          <t>System Software Engineer (Embedded)</t>
        </is>
      </c>
      <c r="E179" s="7" t="inlineStr">
        <is>
          <t>Cerebras</t>
        </is>
      </c>
      <c r="F179" s="8" t="inlineStr">
        <is>
          <t>Sunnyvale, CA</t>
        </is>
      </c>
      <c r="G179" s="8" t="n"/>
      <c r="H179" s="14" t="n"/>
      <c r="I179" s="15">
        <f>IF($H179="","",$H179-TODAY())</f>
        <v/>
      </c>
      <c r="J179" s="16" t="inlineStr">
        <is>
          <t>Open posting</t>
        </is>
      </c>
      <c r="K179" s="8" t="n"/>
      <c r="L179" s="17" t="inlineStr">
        <is>
          <t>new</t>
        </is>
      </c>
      <c r="M179" s="18" t="inlineStr"/>
      <c r="N179" s="7" t="inlineStr">
        <is>
          <t>9179740c30ca126b411a0b11f2217e21c11e4337</t>
        </is>
      </c>
      <c r="O179" s="14" t="n">
        <v>46175</v>
      </c>
      <c r="P179" s="7" t="inlineStr">
        <is>
          <t>greenhouse:cerebrassystems</t>
        </is>
      </c>
      <c r="Q179" s="8" t="inlineStr"/>
      <c r="R179" s="8" t="n"/>
      <c r="S179" s="19" t="n"/>
      <c r="T179" s="19" t="n"/>
      <c r="U179" s="14" t="n">
        <v>46189</v>
      </c>
      <c r="V179" s="7" t="n"/>
    </row>
    <row r="180" ht="28" customHeight="1">
      <c r="A180" s="12">
        <f>IF($L180="applied","Applied",IF($L180="interview","Interview",IF($L180="offer","Offer",IF($L180="rejected","Rejected",IF($L180="ignore","Ignore",IF($L180="archive","Archive",IF($L180="closed","Closed",IF($B180="","Unscored",IF(AND($B180&gt;=8,OR($H180="",$H180-TODAY()&lt;=14)),"P1 Apply",IF($B180&gt;=7,"P2 Strong",IF($B180&gt;=5,"P3 Maybe","P4 Low")))))))))))</f>
        <v/>
      </c>
      <c r="B180" s="13" t="n">
        <v>5</v>
      </c>
      <c r="C180" s="12" t="inlineStr">
        <is>
          <t>Senior/Lead</t>
        </is>
      </c>
      <c r="D180" s="8" t="inlineStr">
        <is>
          <t>Vice President, Creative &amp; Integrated Marketing</t>
        </is>
      </c>
      <c r="E180" s="7" t="inlineStr">
        <is>
          <t>Cerebras</t>
        </is>
      </c>
      <c r="F180" s="8" t="inlineStr">
        <is>
          <t>Sunnyvale, CA</t>
        </is>
      </c>
      <c r="G180" s="8" t="n"/>
      <c r="H180" s="14" t="n"/>
      <c r="I180" s="15">
        <f>IF($H180="","",$H180-TODAY())</f>
        <v/>
      </c>
      <c r="J180" s="16" t="inlineStr">
        <is>
          <t>Open posting</t>
        </is>
      </c>
      <c r="K180" s="8" t="n"/>
      <c r="L180" s="17" t="inlineStr">
        <is>
          <t>new</t>
        </is>
      </c>
      <c r="M180" s="18" t="inlineStr"/>
      <c r="N180" s="7" t="inlineStr">
        <is>
          <t>a615c2da3d0bd2f0b20d7a24bd608ed3e32f8e0d</t>
        </is>
      </c>
      <c r="O180" s="14" t="n">
        <v>46175</v>
      </c>
      <c r="P180" s="7" t="inlineStr">
        <is>
          <t>greenhouse:cerebrassystems</t>
        </is>
      </c>
      <c r="Q180" s="8" t="inlineStr"/>
      <c r="R180" s="8" t="n"/>
      <c r="S180" s="19" t="n"/>
      <c r="T180" s="19" t="n"/>
      <c r="U180" s="14" t="n">
        <v>46189</v>
      </c>
      <c r="V180" s="7" t="n"/>
    </row>
    <row r="181" ht="28" customHeight="1">
      <c r="A181" s="12">
        <f>IF($L181="applied","Applied",IF($L181="interview","Interview",IF($L181="offer","Offer",IF($L181="rejected","Rejected",IF($L181="ignore","Ignore",IF($L181="archive","Archive",IF($L181="closed","Closed",IF($B181="","Unscored",IF(AND($B181&gt;=8,OR($H181="",$H181-TODAY()&lt;=14)),"P1 Apply",IF($B181&gt;=7,"P2 Strong",IF($B181&gt;=5,"P3 Maybe","P4 Low")))))))))))</f>
        <v/>
      </c>
      <c r="B181" s="13" t="n">
        <v>5</v>
      </c>
      <c r="C181" s="12" t="inlineStr">
        <is>
          <t>Unspecified</t>
        </is>
      </c>
      <c r="D181" s="8" t="inlineStr">
        <is>
          <t>NoC Design Verification Engineer</t>
        </is>
      </c>
      <c r="E181" s="7" t="inlineStr">
        <is>
          <t>SiFive</t>
        </is>
      </c>
      <c r="F181" s="8" t="inlineStr">
        <is>
          <t>Ahmedabad, India</t>
        </is>
      </c>
      <c r="G181" s="8" t="n"/>
      <c r="H181" s="14" t="n"/>
      <c r="I181" s="15">
        <f>IF($H181="","",$H181-TODAY())</f>
        <v/>
      </c>
      <c r="J181" s="16" t="inlineStr">
        <is>
          <t>Open posting</t>
        </is>
      </c>
      <c r="K181" s="8" t="n"/>
      <c r="L181" s="17" t="inlineStr">
        <is>
          <t>new</t>
        </is>
      </c>
      <c r="M181" s="18" t="inlineStr"/>
      <c r="N181" s="7" t="inlineStr">
        <is>
          <t>87907efc409f14f911b2adf9c50e03e5726075ce</t>
        </is>
      </c>
      <c r="O181" s="14" t="n"/>
      <c r="P181" s="7" t="inlineStr">
        <is>
          <t>workday</t>
        </is>
      </c>
      <c r="Q181" s="8" t="inlineStr"/>
      <c r="R181" s="8" t="n"/>
      <c r="S181" s="19" t="n"/>
      <c r="T181" s="19" t="n"/>
      <c r="U181" s="14" t="n">
        <v>46189</v>
      </c>
      <c r="V181" s="7" t="n"/>
    </row>
    <row r="182" ht="28" customHeight="1">
      <c r="A182" s="12">
        <f>IF($L182="applied","Applied",IF($L182="interview","Interview",IF($L182="offer","Offer",IF($L182="rejected","Rejected",IF($L182="ignore","Ignore",IF($L182="archive","Archive",IF($L182="closed","Closed",IF($B182="","Unscored",IF(AND($B182&gt;=8,OR($H182="",$H182-TODAY()&lt;=14)),"P1 Apply",IF($B182&gt;=7,"P2 Strong",IF($B182&gt;=5,"P3 Maybe","P4 Low")))))))))))</f>
        <v/>
      </c>
      <c r="B182" s="13" t="n">
        <v>5</v>
      </c>
      <c r="C182" s="12" t="inlineStr">
        <is>
          <t>Manager/Owner</t>
        </is>
      </c>
      <c r="D182" s="8" t="inlineStr">
        <is>
          <t>Technical Functional Safety Program Manager</t>
        </is>
      </c>
      <c r="E182" s="7" t="inlineStr">
        <is>
          <t>SiFive</t>
        </is>
      </c>
      <c r="F182" s="8" t="inlineStr">
        <is>
          <t>3 Locations</t>
        </is>
      </c>
      <c r="G182" s="8" t="n"/>
      <c r="H182" s="14" t="n"/>
      <c r="I182" s="15">
        <f>IF($H182="","",$H182-TODAY())</f>
        <v/>
      </c>
      <c r="J182" s="16" t="inlineStr">
        <is>
          <t>Open posting</t>
        </is>
      </c>
      <c r="K182" s="8" t="n"/>
      <c r="L182" s="17" t="inlineStr">
        <is>
          <t>new</t>
        </is>
      </c>
      <c r="M182" s="18" t="inlineStr"/>
      <c r="N182" s="7" t="inlineStr">
        <is>
          <t>e3c1c8382133edf82cfa8ef341a928b40e55f149</t>
        </is>
      </c>
      <c r="O182" s="14" t="n"/>
      <c r="P182" s="7" t="inlineStr">
        <is>
          <t>workday</t>
        </is>
      </c>
      <c r="Q182" s="8" t="inlineStr"/>
      <c r="R182" s="8" t="n"/>
      <c r="S182" s="19" t="n"/>
      <c r="T182" s="19" t="n"/>
      <c r="U182" s="14" t="n">
        <v>46189</v>
      </c>
      <c r="V182" s="7" t="n"/>
    </row>
    <row r="183" ht="28" customHeight="1">
      <c r="A183" s="12">
        <f>IF($L183="applied","Applied",IF($L183="interview","Interview",IF($L183="offer","Offer",IF($L183="rejected","Rejected",IF($L183="ignore","Ignore",IF($L183="archive","Archive",IF($L183="closed","Closed",IF($B183="","Unscored",IF(AND($B183&gt;=8,OR($H183="",$H183-TODAY()&lt;=14)),"P1 Apply",IF($B183&gt;=7,"P2 Strong",IF($B183&gt;=5,"P3 Maybe","P4 Low")))))))))))</f>
        <v/>
      </c>
      <c r="B183" s="13" t="n">
        <v>5</v>
      </c>
      <c r="C183" s="12" t="inlineStr">
        <is>
          <t>Unspecified</t>
        </is>
      </c>
      <c r="D183" s="8" t="inlineStr">
        <is>
          <t>Sr. CPU DV Engineer</t>
        </is>
      </c>
      <c r="E183" s="7" t="inlineStr">
        <is>
          <t>SiFive</t>
        </is>
      </c>
      <c r="F183" s="8" t="inlineStr">
        <is>
          <t>Hyderabad, India</t>
        </is>
      </c>
      <c r="G183" s="8" t="n"/>
      <c r="H183" s="14" t="n"/>
      <c r="I183" s="15">
        <f>IF($H183="","",$H183-TODAY())</f>
        <v/>
      </c>
      <c r="J183" s="16" t="inlineStr">
        <is>
          <t>Open posting</t>
        </is>
      </c>
      <c r="K183" s="8" t="n"/>
      <c r="L183" s="17" t="inlineStr">
        <is>
          <t>new</t>
        </is>
      </c>
      <c r="M183" s="18" t="inlineStr"/>
      <c r="N183" s="7" t="inlineStr">
        <is>
          <t>039419eea0449aa76447183c0c21d70bb2a2b66f</t>
        </is>
      </c>
      <c r="O183" s="14" t="n"/>
      <c r="P183" s="7" t="inlineStr">
        <is>
          <t>workday</t>
        </is>
      </c>
      <c r="Q183" s="8" t="inlineStr"/>
      <c r="R183" s="8" t="n"/>
      <c r="S183" s="19" t="n"/>
      <c r="T183" s="19" t="n"/>
      <c r="U183" s="14" t="n">
        <v>46189</v>
      </c>
      <c r="V183" s="7" t="n"/>
    </row>
    <row r="184" ht="28" customHeight="1">
      <c r="A184" s="12">
        <f>IF($L184="applied","Applied",IF($L184="interview","Interview",IF($L184="offer","Offer",IF($L184="rejected","Rejected",IF($L184="ignore","Ignore",IF($L184="archive","Archive",IF($L184="closed","Closed",IF($B184="","Unscored",IF(AND($B184&gt;=8,OR($H184="",$H184-TODAY()&lt;=14)),"P1 Apply",IF($B184&gt;=7,"P2 Strong",IF($B184&gt;=5,"P3 Maybe","P4 Low")))))))))))</f>
        <v/>
      </c>
      <c r="B184" s="13" t="n">
        <v>5</v>
      </c>
      <c r="C184" s="12" t="inlineStr">
        <is>
          <t>Internship</t>
        </is>
      </c>
      <c r="D184" s="8" t="inlineStr">
        <is>
          <t>Intern - Design Verification Infrastructure Engineer - Platform</t>
        </is>
      </c>
      <c r="E184" s="7" t="inlineStr">
        <is>
          <t>SiFive</t>
        </is>
      </c>
      <c r="F184" s="8" t="inlineStr">
        <is>
          <t>4 Locations</t>
        </is>
      </c>
      <c r="G184" s="8" t="n"/>
      <c r="H184" s="14" t="n"/>
      <c r="I184" s="15">
        <f>IF($H184="","",$H184-TODAY())</f>
        <v/>
      </c>
      <c r="J184" s="16" t="inlineStr">
        <is>
          <t>Open posting</t>
        </is>
      </c>
      <c r="K184" s="8" t="n"/>
      <c r="L184" s="17" t="inlineStr">
        <is>
          <t>new</t>
        </is>
      </c>
      <c r="M184" s="18" t="inlineStr"/>
      <c r="N184" s="7" t="inlineStr">
        <is>
          <t>32aa78681f55ad034379f76991560cb0cb0f0835</t>
        </is>
      </c>
      <c r="O184" s="14" t="n"/>
      <c r="P184" s="7" t="inlineStr">
        <is>
          <t>workday</t>
        </is>
      </c>
      <c r="Q184" s="8" t="inlineStr"/>
      <c r="R184" s="8" t="n"/>
      <c r="S184" s="19" t="n"/>
      <c r="T184" s="19" t="n"/>
      <c r="U184" s="14" t="n">
        <v>46189</v>
      </c>
      <c r="V184" s="7" t="n"/>
    </row>
    <row r="185" ht="28" customHeight="1">
      <c r="A185" s="12">
        <f>IF($L185="applied","Applied",IF($L185="interview","Interview",IF($L185="offer","Offer",IF($L185="rejected","Rejected",IF($L185="ignore","Ignore",IF($L185="archive","Archive",IF($L185="closed","Closed",IF($B185="","Unscored",IF(AND($B185&gt;=8,OR($H185="",$H185-TODAY()&lt;=14)),"P1 Apply",IF($B185&gt;=7,"P2 Strong",IF($B185&gt;=5,"P3 Maybe","P4 Low")))))))))))</f>
        <v/>
      </c>
      <c r="B185" s="13" t="n">
        <v>5</v>
      </c>
      <c r="C185" s="12" t="inlineStr">
        <is>
          <t>Unspecified</t>
        </is>
      </c>
      <c r="D185" s="8" t="inlineStr">
        <is>
          <t>RTL Design Engineer</t>
        </is>
      </c>
      <c r="E185" s="7" t="inlineStr">
        <is>
          <t>SiFive</t>
        </is>
      </c>
      <c r="F185" s="8" t="inlineStr">
        <is>
          <t>Hsinchu, Taiwan</t>
        </is>
      </c>
      <c r="G185" s="8" t="n"/>
      <c r="H185" s="14" t="n"/>
      <c r="I185" s="15">
        <f>IF($H185="","",$H185-TODAY())</f>
        <v/>
      </c>
      <c r="J185" s="16" t="inlineStr">
        <is>
          <t>Open posting</t>
        </is>
      </c>
      <c r="K185" s="8" t="n"/>
      <c r="L185" s="17" t="inlineStr">
        <is>
          <t>new</t>
        </is>
      </c>
      <c r="M185" s="18" t="inlineStr"/>
      <c r="N185" s="7" t="inlineStr">
        <is>
          <t>52e062e12c438d4e9dbc9f593f659bb5776e4225</t>
        </is>
      </c>
      <c r="O185" s="14" t="n"/>
      <c r="P185" s="7" t="inlineStr">
        <is>
          <t>workday</t>
        </is>
      </c>
      <c r="Q185" s="8" t="inlineStr"/>
      <c r="R185" s="8" t="n"/>
      <c r="S185" s="19" t="n"/>
      <c r="T185" s="19" t="n"/>
      <c r="U185" s="14" t="n">
        <v>46189</v>
      </c>
      <c r="V185" s="7" t="n"/>
    </row>
    <row r="186" ht="28" customHeight="1">
      <c r="A186" s="12">
        <f>IF($L186="applied","Applied",IF($L186="interview","Interview",IF($L186="offer","Offer",IF($L186="rejected","Rejected",IF($L186="ignore","Ignore",IF($L186="archive","Archive",IF($L186="closed","Closed",IF($B186="","Unscored",IF(AND($B186&gt;=8,OR($H186="",$H186-TODAY()&lt;=14)),"P1 Apply",IF($B186&gt;=7,"P2 Strong",IF($B186&gt;=5,"P3 Maybe","P4 Low")))))))))))</f>
        <v/>
      </c>
      <c r="B186" s="13" t="n">
        <v>5</v>
      </c>
      <c r="C186" s="12" t="inlineStr">
        <is>
          <t>Unspecified</t>
        </is>
      </c>
      <c r="D186" s="8" t="inlineStr">
        <is>
          <t>Performance Model Engineer</t>
        </is>
      </c>
      <c r="E186" s="7" t="inlineStr">
        <is>
          <t>SiFive</t>
        </is>
      </c>
      <c r="F186" s="8" t="inlineStr">
        <is>
          <t>2 Locations</t>
        </is>
      </c>
      <c r="G186" s="8" t="n"/>
      <c r="H186" s="14" t="n"/>
      <c r="I186" s="15">
        <f>IF($H186="","",$H186-TODAY())</f>
        <v/>
      </c>
      <c r="J186" s="16" t="inlineStr">
        <is>
          <t>Open posting</t>
        </is>
      </c>
      <c r="K186" s="8" t="n"/>
      <c r="L186" s="17" t="inlineStr">
        <is>
          <t>new</t>
        </is>
      </c>
      <c r="M186" s="18" t="inlineStr"/>
      <c r="N186" s="7" t="inlineStr">
        <is>
          <t>f8f1eb6e4e6c03dd69bc97b94a56bb206ce7104e</t>
        </is>
      </c>
      <c r="O186" s="14" t="n"/>
      <c r="P186" s="7" t="inlineStr">
        <is>
          <t>workday</t>
        </is>
      </c>
      <c r="Q186" s="8" t="inlineStr"/>
      <c r="R186" s="8" t="n"/>
      <c r="S186" s="19" t="n"/>
      <c r="T186" s="19" t="n"/>
      <c r="U186" s="14" t="n">
        <v>46189</v>
      </c>
      <c r="V186" s="7" t="n"/>
    </row>
    <row r="187" ht="28" customHeight="1">
      <c r="A187" s="12">
        <f>IF($L187="applied","Applied",IF($L187="interview","Interview",IF($L187="offer","Offer",IF($L187="rejected","Rejected",IF($L187="ignore","Ignore",IF($L187="archive","Archive",IF($L187="closed","Closed",IF($B187="","Unscored",IF(AND($B187&gt;=8,OR($H187="",$H187-TODAY()&lt;=14)),"P1 Apply",IF($B187&gt;=7,"P2 Strong",IF($B187&gt;=5,"P3 Maybe","P4 Low")))))))))))</f>
        <v/>
      </c>
      <c r="B187" s="13" t="n">
        <v>5</v>
      </c>
      <c r="C187" s="12" t="inlineStr">
        <is>
          <t>Unspecified</t>
        </is>
      </c>
      <c r="D187" s="8" t="inlineStr">
        <is>
          <t>CPU Power-Management Design Engineer</t>
        </is>
      </c>
      <c r="E187" s="7" t="inlineStr">
        <is>
          <t>SiFive</t>
        </is>
      </c>
      <c r="F187" s="8" t="inlineStr">
        <is>
          <t>4 Locations</t>
        </is>
      </c>
      <c r="G187" s="8" t="n"/>
      <c r="H187" s="14" t="n"/>
      <c r="I187" s="15">
        <f>IF($H187="","",$H187-TODAY())</f>
        <v/>
      </c>
      <c r="J187" s="16" t="inlineStr">
        <is>
          <t>Open posting</t>
        </is>
      </c>
      <c r="K187" s="8" t="n"/>
      <c r="L187" s="17" t="inlineStr">
        <is>
          <t>new</t>
        </is>
      </c>
      <c r="M187" s="18" t="inlineStr"/>
      <c r="N187" s="7" t="inlineStr">
        <is>
          <t>01be0edfdf334b6e38606aa4845b8b6dd591d55c</t>
        </is>
      </c>
      <c r="O187" s="14" t="n"/>
      <c r="P187" s="7" t="inlineStr">
        <is>
          <t>workday</t>
        </is>
      </c>
      <c r="Q187" s="8" t="inlineStr"/>
      <c r="R187" s="8" t="n"/>
      <c r="S187" s="19" t="n"/>
      <c r="T187" s="19" t="n"/>
      <c r="U187" s="14" t="n">
        <v>46189</v>
      </c>
      <c r="V187" s="7" t="n"/>
    </row>
    <row r="188" ht="28" customHeight="1">
      <c r="A188" s="12">
        <f>IF($L188="applied","Applied",IF($L188="interview","Interview",IF($L188="offer","Offer",IF($L188="rejected","Rejected",IF($L188="ignore","Ignore",IF($L188="archive","Archive",IF($L188="closed","Closed",IF($B188="","Unscored",IF(AND($B188&gt;=8,OR($H188="",$H188-TODAY()&lt;=14)),"P1 Apply",IF($B188&gt;=7,"P2 Strong",IF($B188&gt;=5,"P3 Maybe","P4 Low")))))))))))</f>
        <v/>
      </c>
      <c r="B188" s="13" t="n">
        <v>5</v>
      </c>
      <c r="C188" s="12" t="inlineStr">
        <is>
          <t>Unspecified</t>
        </is>
      </c>
      <c r="D188" s="8" t="inlineStr">
        <is>
          <t>Core Performance Architect</t>
        </is>
      </c>
      <c r="E188" s="7" t="inlineStr">
        <is>
          <t>SiFive</t>
        </is>
      </c>
      <c r="F188" s="8" t="inlineStr">
        <is>
          <t>4 Locations</t>
        </is>
      </c>
      <c r="G188" s="8" t="n"/>
      <c r="H188" s="14" t="n"/>
      <c r="I188" s="15">
        <f>IF($H188="","",$H188-TODAY())</f>
        <v/>
      </c>
      <c r="J188" s="16" t="inlineStr">
        <is>
          <t>Open posting</t>
        </is>
      </c>
      <c r="K188" s="8" t="n"/>
      <c r="L188" s="17" t="inlineStr">
        <is>
          <t>new</t>
        </is>
      </c>
      <c r="M188" s="18" t="inlineStr"/>
      <c r="N188" s="7" t="inlineStr">
        <is>
          <t>523bd3138500b8f43f361bd0620a0c525b88bc6c</t>
        </is>
      </c>
      <c r="O188" s="14" t="n"/>
      <c r="P188" s="7" t="inlineStr">
        <is>
          <t>workday</t>
        </is>
      </c>
      <c r="Q188" s="8" t="inlineStr"/>
      <c r="R188" s="8" t="n"/>
      <c r="S188" s="19" t="n"/>
      <c r="T188" s="19" t="n"/>
      <c r="U188" s="14" t="n">
        <v>46189</v>
      </c>
      <c r="V188" s="7" t="n"/>
    </row>
    <row r="189" ht="28" customHeight="1">
      <c r="A189" s="12">
        <f>IF($L189="applied","Applied",IF($L189="interview","Interview",IF($L189="offer","Offer",IF($L189="rejected","Rejected",IF($L189="ignore","Ignore",IF($L189="archive","Archive",IF($L189="closed","Closed",IF($B189="","Unscored",IF(AND($B189&gt;=8,OR($H189="",$H189-TODAY()&lt;=14)),"P1 Apply",IF($B189&gt;=7,"P2 Strong",IF($B189&gt;=5,"P3 Maybe","P4 Low")))))))))))</f>
        <v/>
      </c>
      <c r="B189" s="13" t="n">
        <v>5</v>
      </c>
      <c r="C189" s="12" t="inlineStr">
        <is>
          <t>Unspecified</t>
        </is>
      </c>
      <c r="D189" s="8" t="inlineStr">
        <is>
          <t>Datacenter System Software Architect</t>
        </is>
      </c>
      <c r="E189" s="7" t="inlineStr">
        <is>
          <t>SiFive</t>
        </is>
      </c>
      <c r="F189" s="8" t="inlineStr">
        <is>
          <t>50 Locations</t>
        </is>
      </c>
      <c r="G189" s="8" t="n"/>
      <c r="H189" s="14" t="n"/>
      <c r="I189" s="15">
        <f>IF($H189="","",$H189-TODAY())</f>
        <v/>
      </c>
      <c r="J189" s="16" t="inlineStr">
        <is>
          <t>Open posting</t>
        </is>
      </c>
      <c r="K189" s="8" t="n"/>
      <c r="L189" s="17" t="inlineStr">
        <is>
          <t>new</t>
        </is>
      </c>
      <c r="M189" s="18" t="inlineStr"/>
      <c r="N189" s="7" t="inlineStr">
        <is>
          <t>211633c3fe42c8c6c787246777a276bf9a0077ed</t>
        </is>
      </c>
      <c r="O189" s="14" t="n"/>
      <c r="P189" s="7" t="inlineStr">
        <is>
          <t>workday</t>
        </is>
      </c>
      <c r="Q189" s="8" t="inlineStr"/>
      <c r="R189" s="8" t="n"/>
      <c r="S189" s="19" t="n"/>
      <c r="T189" s="19" t="n"/>
      <c r="U189" s="14" t="n">
        <v>46189</v>
      </c>
      <c r="V189" s="7" t="n"/>
    </row>
    <row r="190" ht="28" customHeight="1">
      <c r="A190" s="12">
        <f>IF($L190="applied","Applied",IF($L190="interview","Interview",IF($L190="offer","Offer",IF($L190="rejected","Rejected",IF($L190="ignore","Ignore",IF($L190="archive","Archive",IF($L190="closed","Closed",IF($B190="","Unscored",IF(AND($B190&gt;=8,OR($H190="",$H190-TODAY()&lt;=14)),"P1 Apply",IF($B190&gt;=7,"P2 Strong",IF($B190&gt;=5,"P3 Maybe","P4 Low")))))))))))</f>
        <v/>
      </c>
      <c r="B190" s="13" t="n">
        <v>5</v>
      </c>
      <c r="C190" s="12" t="inlineStr">
        <is>
          <t>Unspecified</t>
        </is>
      </c>
      <c r="D190" s="8" t="inlineStr">
        <is>
          <t>Debug/Trace/Profiling Design Engineer</t>
        </is>
      </c>
      <c r="E190" s="7" t="inlineStr">
        <is>
          <t>SiFive</t>
        </is>
      </c>
      <c r="F190" s="8" t="inlineStr">
        <is>
          <t>5 Locations</t>
        </is>
      </c>
      <c r="G190" s="8" t="n"/>
      <c r="H190" s="14" t="n"/>
      <c r="I190" s="15">
        <f>IF($H190="","",$H190-TODAY())</f>
        <v/>
      </c>
      <c r="J190" s="16" t="inlineStr">
        <is>
          <t>Open posting</t>
        </is>
      </c>
      <c r="K190" s="8" t="n"/>
      <c r="L190" s="17" t="inlineStr">
        <is>
          <t>new</t>
        </is>
      </c>
      <c r="M190" s="18" t="inlineStr"/>
      <c r="N190" s="7" t="inlineStr">
        <is>
          <t>6ebe910e040c841f2f84ef8250d0088acb2ffa5c</t>
        </is>
      </c>
      <c r="O190" s="14" t="n"/>
      <c r="P190" s="7" t="inlineStr">
        <is>
          <t>workday</t>
        </is>
      </c>
      <c r="Q190" s="8" t="inlineStr"/>
      <c r="R190" s="8" t="n"/>
      <c r="S190" s="19" t="n"/>
      <c r="T190" s="19" t="n"/>
      <c r="U190" s="14" t="n">
        <v>46189</v>
      </c>
      <c r="V190" s="7" t="n"/>
    </row>
    <row r="191" ht="28" customHeight="1">
      <c r="A191" s="12">
        <f>IF($L191="applied","Applied",IF($L191="interview","Interview",IF($L191="offer","Offer",IF($L191="rejected","Rejected",IF($L191="ignore","Ignore",IF($L191="archive","Archive",IF($L191="closed","Closed",IF($B191="","Unscored",IF(AND($B191&gt;=8,OR($H191="",$H191-TODAY()&lt;=14)),"P1 Apply",IF($B191&gt;=7,"P2 Strong",IF($B191&gt;=5,"P3 Maybe","P4 Low")))))))))))</f>
        <v/>
      </c>
      <c r="B191" s="13" t="n">
        <v>5</v>
      </c>
      <c r="C191" s="12" t="inlineStr">
        <is>
          <t>Unspecified</t>
        </is>
      </c>
      <c r="D191" s="8" t="inlineStr">
        <is>
          <t>Executive Business Partner / Executive Assistant to the CTO &amp; EVP Engineering</t>
        </is>
      </c>
      <c r="E191" s="7" t="inlineStr">
        <is>
          <t>SiFive</t>
        </is>
      </c>
      <c r="F191" s="8" t="inlineStr">
        <is>
          <t>Santa Clara, California, United States</t>
        </is>
      </c>
      <c r="G191" s="8" t="n"/>
      <c r="H191" s="14" t="n"/>
      <c r="I191" s="15">
        <f>IF($H191="","",$H191-TODAY())</f>
        <v/>
      </c>
      <c r="J191" s="16" t="inlineStr">
        <is>
          <t>Open posting</t>
        </is>
      </c>
      <c r="K191" s="8" t="n"/>
      <c r="L191" s="17" t="inlineStr">
        <is>
          <t>new</t>
        </is>
      </c>
      <c r="M191" s="18" t="inlineStr"/>
      <c r="N191" s="7" t="inlineStr">
        <is>
          <t>c06e39a9c0c2f1a1df1debf0f22630030caaf376</t>
        </is>
      </c>
      <c r="O191" s="14" t="n"/>
      <c r="P191" s="7" t="inlineStr">
        <is>
          <t>workday</t>
        </is>
      </c>
      <c r="Q191" s="8" t="inlineStr"/>
      <c r="R191" s="8" t="n"/>
      <c r="S191" s="19" t="n"/>
      <c r="T191" s="19" t="n"/>
      <c r="U191" s="14" t="n">
        <v>46189</v>
      </c>
      <c r="V191" s="7" t="n"/>
    </row>
    <row r="192" ht="28" customHeight="1">
      <c r="A192" s="12">
        <f>IF($L192="applied","Applied",IF($L192="interview","Interview",IF($L192="offer","Offer",IF($L192="rejected","Rejected",IF($L192="ignore","Ignore",IF($L192="archive","Archive",IF($L192="closed","Closed",IF($B192="","Unscored",IF(AND($B192&gt;=8,OR($H192="",$H192-TODAY()&lt;=14)),"P1 Apply",IF($B192&gt;=7,"P2 Strong",IF($B192&gt;=5,"P3 Maybe","P4 Low")))))))))))</f>
        <v/>
      </c>
      <c r="B192" s="13" t="n">
        <v>5</v>
      </c>
      <c r="C192" s="12" t="inlineStr">
        <is>
          <t>Unspecified</t>
        </is>
      </c>
      <c r="D192" s="8" t="inlineStr">
        <is>
          <t>Interconnect Design Engineer</t>
        </is>
      </c>
      <c r="E192" s="7" t="inlineStr">
        <is>
          <t>SiFive</t>
        </is>
      </c>
      <c r="F192" s="8" t="inlineStr">
        <is>
          <t>4 Locations</t>
        </is>
      </c>
      <c r="G192" s="8" t="n"/>
      <c r="H192" s="14" t="n"/>
      <c r="I192" s="15">
        <f>IF($H192="","",$H192-TODAY())</f>
        <v/>
      </c>
      <c r="J192" s="16" t="inlineStr">
        <is>
          <t>Open posting</t>
        </is>
      </c>
      <c r="K192" s="8" t="n"/>
      <c r="L192" s="17" t="inlineStr">
        <is>
          <t>new</t>
        </is>
      </c>
      <c r="M192" s="18" t="inlineStr"/>
      <c r="N192" s="7" t="inlineStr">
        <is>
          <t>51e66a8e7f5759091469198edf2dc34e8366ba1f</t>
        </is>
      </c>
      <c r="O192" s="14" t="n"/>
      <c r="P192" s="7" t="inlineStr">
        <is>
          <t>workday</t>
        </is>
      </c>
      <c r="Q192" s="8" t="inlineStr"/>
      <c r="R192" s="8" t="n"/>
      <c r="S192" s="19" t="n"/>
      <c r="T192" s="19" t="n"/>
      <c r="U192" s="14" t="n">
        <v>46189</v>
      </c>
      <c r="V192" s="7" t="n"/>
    </row>
    <row r="193" ht="28" customHeight="1">
      <c r="A193" s="12">
        <f>IF($L193="applied","Applied",IF($L193="interview","Interview",IF($L193="offer","Offer",IF($L193="rejected","Rejected",IF($L193="ignore","Ignore",IF($L193="archive","Archive",IF($L193="closed","Closed",IF($B193="","Unscored",IF(AND($B193&gt;=8,OR($H193="",$H193-TODAY()&lt;=14)),"P1 Apply",IF($B193&gt;=7,"P2 Strong",IF($B193&gt;=5,"P3 Maybe","P4 Low")))))))))))</f>
        <v/>
      </c>
      <c r="B193" s="13" t="n">
        <v>5</v>
      </c>
      <c r="C193" s="12" t="inlineStr">
        <is>
          <t>Unspecified</t>
        </is>
      </c>
      <c r="D193" s="8" t="inlineStr">
        <is>
          <t>Platform Technologies Language &amp; Frontend Design Engineer</t>
        </is>
      </c>
      <c r="E193" s="7" t="inlineStr">
        <is>
          <t>SiFive</t>
        </is>
      </c>
      <c r="F193" s="8" t="inlineStr">
        <is>
          <t>3 Locations</t>
        </is>
      </c>
      <c r="G193" s="8" t="n"/>
      <c r="H193" s="14" t="n"/>
      <c r="I193" s="15">
        <f>IF($H193="","",$H193-TODAY())</f>
        <v/>
      </c>
      <c r="J193" s="16" t="inlineStr">
        <is>
          <t>Open posting</t>
        </is>
      </c>
      <c r="K193" s="8" t="n"/>
      <c r="L193" s="17" t="inlineStr">
        <is>
          <t>new</t>
        </is>
      </c>
      <c r="M193" s="18" t="inlineStr"/>
      <c r="N193" s="7" t="inlineStr">
        <is>
          <t>d47505a1eb925ba945b5916ed63d04c81ade5fb5</t>
        </is>
      </c>
      <c r="O193" s="14" t="n"/>
      <c r="P193" s="7" t="inlineStr">
        <is>
          <t>workday</t>
        </is>
      </c>
      <c r="Q193" s="8" t="inlineStr"/>
      <c r="R193" s="8" t="n"/>
      <c r="S193" s="19" t="n"/>
      <c r="T193" s="19" t="n"/>
      <c r="U193" s="14" t="n">
        <v>46189</v>
      </c>
      <c r="V193" s="7" t="n"/>
    </row>
    <row r="194" ht="28" customHeight="1">
      <c r="A194" s="12">
        <f>IF($L194="applied","Applied",IF($L194="interview","Interview",IF($L194="offer","Offer",IF($L194="rejected","Rejected",IF($L194="ignore","Ignore",IF($L194="archive","Archive",IF($L194="closed","Closed",IF($B194="","Unscored",IF(AND($B194&gt;=8,OR($H194="",$H194-TODAY()&lt;=14)),"P1 Apply",IF($B194&gt;=7,"P2 Strong",IF($B194&gt;=5,"P3 Maybe","P4 Low")))))))))))</f>
        <v/>
      </c>
      <c r="B194" s="13" t="n">
        <v>5</v>
      </c>
      <c r="C194" s="12" t="inlineStr">
        <is>
          <t>Unspecified</t>
        </is>
      </c>
      <c r="D194" s="8" t="inlineStr">
        <is>
          <t>Supervisor</t>
        </is>
      </c>
      <c r="E194" s="7" t="inlineStr">
        <is>
          <t>Dyson</t>
        </is>
      </c>
      <c r="F194" s="8" t="inlineStr">
        <is>
          <t>Germany - Nordrhein-Westfalen Remote</t>
        </is>
      </c>
      <c r="G194" s="8" t="n"/>
      <c r="H194" s="14" t="n"/>
      <c r="I194" s="15">
        <f>IF($H194="","",$H194-TODAY())</f>
        <v/>
      </c>
      <c r="J194" s="16" t="inlineStr">
        <is>
          <t>Open posting</t>
        </is>
      </c>
      <c r="K194" s="8" t="n"/>
      <c r="L194" s="17" t="inlineStr">
        <is>
          <t>new</t>
        </is>
      </c>
      <c r="M194" s="18" t="inlineStr"/>
      <c r="N194" s="7" t="inlineStr">
        <is>
          <t>3974bbde04342bc0cf6a68491fec2f912089bd23</t>
        </is>
      </c>
      <c r="O194" s="14" t="n"/>
      <c r="P194" s="7" t="inlineStr">
        <is>
          <t>workday</t>
        </is>
      </c>
      <c r="Q194" s="8" t="inlineStr"/>
      <c r="R194" s="8" t="n"/>
      <c r="S194" s="19" t="n"/>
      <c r="T194" s="19" t="n"/>
      <c r="U194" s="14" t="n">
        <v>46189</v>
      </c>
      <c r="V194" s="7" t="n"/>
    </row>
    <row r="195" ht="28" customHeight="1">
      <c r="A195" s="12">
        <f>IF($L195="applied","Applied",IF($L195="interview","Interview",IF($L195="offer","Offer",IF($L195="rejected","Rejected",IF($L195="ignore","Ignore",IF($L195="archive","Archive",IF($L195="closed","Closed",IF($B195="","Unscored",IF(AND($B195&gt;=8,OR($H195="",$H195-TODAY()&lt;=14)),"P1 Apply",IF($B195&gt;=7,"P2 Strong",IF($B195&gt;=5,"P3 Maybe","P4 Low")))))))))))</f>
        <v/>
      </c>
      <c r="B195" s="13" t="n">
        <v>5</v>
      </c>
      <c r="C195" s="12" t="inlineStr">
        <is>
          <t>Unspecified</t>
        </is>
      </c>
      <c r="D195" s="8" t="inlineStr">
        <is>
          <t>Key Account Executive – John Lewis Partnership</t>
        </is>
      </c>
      <c r="E195" s="7" t="inlineStr">
        <is>
          <t>Dyson</t>
        </is>
      </c>
      <c r="F195" s="8" t="inlineStr">
        <is>
          <t>United Kingdom - London Oxford Street Office</t>
        </is>
      </c>
      <c r="G195" s="8" t="n"/>
      <c r="H195" s="14" t="n"/>
      <c r="I195" s="15">
        <f>IF($H195="","",$H195-TODAY())</f>
        <v/>
      </c>
      <c r="J195" s="16" t="inlineStr">
        <is>
          <t>Open posting</t>
        </is>
      </c>
      <c r="K195" s="8" t="n"/>
      <c r="L195" s="17" t="inlineStr">
        <is>
          <t>new</t>
        </is>
      </c>
      <c r="M195" s="18" t="inlineStr"/>
      <c r="N195" s="7" t="inlineStr">
        <is>
          <t>e146e5cdfe7294f431ee56b0374c51a382d4da3b</t>
        </is>
      </c>
      <c r="O195" s="14" t="n"/>
      <c r="P195" s="7" t="inlineStr">
        <is>
          <t>workday</t>
        </is>
      </c>
      <c r="Q195" s="8" t="inlineStr"/>
      <c r="R195" s="8" t="n"/>
      <c r="S195" s="19" t="n"/>
      <c r="T195" s="19" t="n"/>
      <c r="U195" s="14" t="n">
        <v>46189</v>
      </c>
      <c r="V195" s="7" t="n"/>
    </row>
    <row r="196" ht="28" customHeight="1">
      <c r="A196" s="12">
        <f>IF($L196="applied","Applied",IF($L196="interview","Interview",IF($L196="offer","Offer",IF($L196="rejected","Rejected",IF($L196="ignore","Ignore",IF($L196="archive","Archive",IF($L196="closed","Closed",IF($B196="","Unscored",IF(AND($B196&gt;=8,OR($H196="",$H196-TODAY()&lt;=14)),"P1 Apply",IF($B196&gt;=7,"P2 Strong",IF($B196&gt;=5,"P3 Maybe","P4 Low")))))))))))</f>
        <v/>
      </c>
      <c r="B196" s="13" t="n">
        <v>5</v>
      </c>
      <c r="C196" s="12" t="inlineStr">
        <is>
          <t>Unspecified</t>
        </is>
      </c>
      <c r="D196" s="8" t="inlineStr">
        <is>
          <t>Key Account Executive – Beauty</t>
        </is>
      </c>
      <c r="E196" s="7" t="inlineStr">
        <is>
          <t>Dyson</t>
        </is>
      </c>
      <c r="F196" s="8" t="inlineStr">
        <is>
          <t>United Kingdom - Malmesbury Office</t>
        </is>
      </c>
      <c r="G196" s="8" t="n"/>
      <c r="H196" s="14" t="n"/>
      <c r="I196" s="15">
        <f>IF($H196="","",$H196-TODAY())</f>
        <v/>
      </c>
      <c r="J196" s="16" t="inlineStr">
        <is>
          <t>Open posting</t>
        </is>
      </c>
      <c r="K196" s="8" t="n"/>
      <c r="L196" s="17" t="inlineStr">
        <is>
          <t>new</t>
        </is>
      </c>
      <c r="M196" s="18" t="inlineStr"/>
      <c r="N196" s="7" t="inlineStr">
        <is>
          <t>1bff1c17939273feb80689e826881ba3feb22f41</t>
        </is>
      </c>
      <c r="O196" s="14" t="n"/>
      <c r="P196" s="7" t="inlineStr">
        <is>
          <t>workday</t>
        </is>
      </c>
      <c r="Q196" s="8" t="inlineStr"/>
      <c r="R196" s="8" t="n"/>
      <c r="S196" s="19" t="n"/>
      <c r="T196" s="19" t="n"/>
      <c r="U196" s="14" t="n">
        <v>46189</v>
      </c>
      <c r="V196" s="7" t="n"/>
    </row>
    <row r="197" ht="28" customHeight="1">
      <c r="A197" s="12">
        <f>IF($L197="applied","Applied",IF($L197="interview","Interview",IF($L197="offer","Offer",IF($L197="rejected","Rejected",IF($L197="ignore","Ignore",IF($L197="archive","Archive",IF($L197="closed","Closed",IF($B197="","Unscored",IF(AND($B197&gt;=8,OR($H197="",$H197-TODAY()&lt;=14)),"P1 Apply",IF($B197&gt;=7,"P2 Strong",IF($B197&gt;=5,"P3 Maybe","P4 Low")))))))))))</f>
        <v/>
      </c>
      <c r="B197" s="13" t="n">
        <v>5</v>
      </c>
      <c r="C197" s="12" t="inlineStr">
        <is>
          <t>Manager/Owner</t>
        </is>
      </c>
      <c r="D197" s="8" t="inlineStr">
        <is>
          <t>Performance Media Manager</t>
        </is>
      </c>
      <c r="E197" s="7" t="inlineStr">
        <is>
          <t>Dyson</t>
        </is>
      </c>
      <c r="F197" s="8" t="inlineStr">
        <is>
          <t>Spain - Madrid Office</t>
        </is>
      </c>
      <c r="G197" s="8" t="n"/>
      <c r="H197" s="14" t="n"/>
      <c r="I197" s="15">
        <f>IF($H197="","",$H197-TODAY())</f>
        <v/>
      </c>
      <c r="J197" s="16" t="inlineStr">
        <is>
          <t>Open posting</t>
        </is>
      </c>
      <c r="K197" s="8" t="n"/>
      <c r="L197" s="17" t="inlineStr">
        <is>
          <t>new</t>
        </is>
      </c>
      <c r="M197" s="18" t="inlineStr"/>
      <c r="N197" s="7" t="inlineStr">
        <is>
          <t>db774248bc8871ae92097d6714e67db0ce352abd</t>
        </is>
      </c>
      <c r="O197" s="14" t="n"/>
      <c r="P197" s="7" t="inlineStr">
        <is>
          <t>workday</t>
        </is>
      </c>
      <c r="Q197" s="8" t="inlineStr"/>
      <c r="R197" s="8" t="n"/>
      <c r="S197" s="19" t="n"/>
      <c r="T197" s="19" t="n"/>
      <c r="U197" s="14" t="n">
        <v>46189</v>
      </c>
      <c r="V197" s="7" t="n"/>
    </row>
    <row r="198" ht="28" customHeight="1">
      <c r="A198" s="12">
        <f>IF($L198="applied","Applied",IF($L198="interview","Interview",IF($L198="offer","Offer",IF($L198="rejected","Rejected",IF($L198="ignore","Ignore",IF($L198="archive","Archive",IF($L198="closed","Closed",IF($B198="","Unscored",IF(AND($B198&gt;=8,OR($H198="",$H198-TODAY()&lt;=14)),"P1 Apply",IF($B198&gt;=7,"P2 Strong",IF($B198&gt;=5,"P3 Maybe","P4 Low")))))))))))</f>
        <v/>
      </c>
      <c r="B198" s="13" t="n">
        <v>5</v>
      </c>
      <c r="C198" s="12" t="inlineStr">
        <is>
          <t>Unspecified</t>
        </is>
      </c>
      <c r="D198" s="8" t="inlineStr">
        <is>
          <t>Payroll Specialist</t>
        </is>
      </c>
      <c r="E198" s="7" t="inlineStr">
        <is>
          <t>Dyson</t>
        </is>
      </c>
      <c r="F198" s="8" t="inlineStr">
        <is>
          <t>Poland - Krakow Office</t>
        </is>
      </c>
      <c r="G198" s="8" t="n"/>
      <c r="H198" s="14" t="n"/>
      <c r="I198" s="15">
        <f>IF($H198="","",$H198-TODAY())</f>
        <v/>
      </c>
      <c r="J198" s="16" t="inlineStr">
        <is>
          <t>Open posting</t>
        </is>
      </c>
      <c r="K198" s="8" t="n"/>
      <c r="L198" s="17" t="inlineStr">
        <is>
          <t>new</t>
        </is>
      </c>
      <c r="M198" s="18" t="inlineStr"/>
      <c r="N198" s="7" t="inlineStr">
        <is>
          <t>ca37b5519016040b222d04c428a316a8d32a47a7</t>
        </is>
      </c>
      <c r="O198" s="14" t="n"/>
      <c r="P198" s="7" t="inlineStr">
        <is>
          <t>workday</t>
        </is>
      </c>
      <c r="Q198" s="8" t="inlineStr"/>
      <c r="R198" s="8" t="n"/>
      <c r="S198" s="19" t="n"/>
      <c r="T198" s="19" t="n"/>
      <c r="U198" s="14" t="n">
        <v>46189</v>
      </c>
      <c r="V198" s="7" t="n"/>
    </row>
    <row r="199" ht="28" customHeight="1">
      <c r="A199" s="12">
        <f>IF($L199="applied","Applied",IF($L199="interview","Interview",IF($L199="offer","Offer",IF($L199="rejected","Rejected",IF($L199="ignore","Ignore",IF($L199="archive","Archive",IF($L199="closed","Closed",IF($B199="","Unscored",IF(AND($B199&gt;=8,OR($H199="",$H199-TODAY()&lt;=14)),"P1 Apply",IF($B199&gt;=7,"P2 Strong",IF($B199&gt;=5,"P3 Maybe","P4 Low")))))))))))</f>
        <v/>
      </c>
      <c r="B199" s="13" t="n">
        <v>5</v>
      </c>
      <c r="C199" s="12" t="inlineStr">
        <is>
          <t>Unspecified</t>
        </is>
      </c>
      <c r="D199" s="8" t="inlineStr">
        <is>
          <t>Friseur.in/Hair Stylist.in</t>
        </is>
      </c>
      <c r="E199" s="7" t="inlineStr">
        <is>
          <t>Dyson</t>
        </is>
      </c>
      <c r="F199" s="8" t="inlineStr">
        <is>
          <t>Germany - Bayern Remote</t>
        </is>
      </c>
      <c r="G199" s="8" t="n"/>
      <c r="H199" s="14" t="n"/>
      <c r="I199" s="15">
        <f>IF($H199="","",$H199-TODAY())</f>
        <v/>
      </c>
      <c r="J199" s="16" t="inlineStr">
        <is>
          <t>Open posting</t>
        </is>
      </c>
      <c r="K199" s="8" t="n"/>
      <c r="L199" s="17" t="inlineStr">
        <is>
          <t>new</t>
        </is>
      </c>
      <c r="M199" s="18" t="inlineStr"/>
      <c r="N199" s="7" t="inlineStr">
        <is>
          <t>0205f8a4602143043b72e52ef7c3c944c71db833</t>
        </is>
      </c>
      <c r="O199" s="14" t="n"/>
      <c r="P199" s="7" t="inlineStr">
        <is>
          <t>workday</t>
        </is>
      </c>
      <c r="Q199" s="8" t="inlineStr"/>
      <c r="R199" s="8" t="n"/>
      <c r="S199" s="19" t="n"/>
      <c r="T199" s="19" t="n"/>
      <c r="U199" s="14" t="n">
        <v>46189</v>
      </c>
      <c r="V199" s="7" t="n"/>
    </row>
    <row r="200" ht="28" customHeight="1">
      <c r="A200" s="12">
        <f>IF($L200="applied","Applied",IF($L200="interview","Interview",IF($L200="offer","Offer",IF($L200="rejected","Rejected",IF($L200="ignore","Ignore",IF($L200="archive","Archive",IF($L200="closed","Closed",IF($B200="","Unscored",IF(AND($B200&gt;=8,OR($H200="",$H200-TODAY()&lt;=14)),"P1 Apply",IF($B200&gt;=7,"P2 Strong",IF($B200&gt;=5,"P3 Maybe","P4 Low")))))))))))</f>
        <v/>
      </c>
      <c r="B200" s="13" t="n">
        <v>5</v>
      </c>
      <c r="C200" s="12" t="inlineStr">
        <is>
          <t>Manager/Owner</t>
        </is>
      </c>
      <c r="D200" s="8" t="inlineStr">
        <is>
          <t>Store Manager - Ankara Panora AVM</t>
        </is>
      </c>
      <c r="E200" s="7" t="inlineStr">
        <is>
          <t>Dyson</t>
        </is>
      </c>
      <c r="F200" s="8" t="inlineStr">
        <is>
          <t>Turkey - Ankara Panora Demo Zone</t>
        </is>
      </c>
      <c r="G200" s="8" t="n"/>
      <c r="H200" s="14" t="n"/>
      <c r="I200" s="15">
        <f>IF($H200="","",$H200-TODAY())</f>
        <v/>
      </c>
      <c r="J200" s="16" t="inlineStr">
        <is>
          <t>Open posting</t>
        </is>
      </c>
      <c r="K200" s="8" t="n"/>
      <c r="L200" s="17" t="inlineStr">
        <is>
          <t>new</t>
        </is>
      </c>
      <c r="M200" s="18" t="inlineStr"/>
      <c r="N200" s="7" t="inlineStr">
        <is>
          <t>c7ba09f8c7dd091d44770fed480f83890b0ef3e1</t>
        </is>
      </c>
      <c r="O200" s="14" t="n"/>
      <c r="P200" s="7" t="inlineStr">
        <is>
          <t>workday</t>
        </is>
      </c>
      <c r="Q200" s="8" t="inlineStr"/>
      <c r="R200" s="8" t="n"/>
      <c r="S200" s="19" t="n"/>
      <c r="T200" s="19" t="n"/>
      <c r="U200" s="14" t="n">
        <v>46189</v>
      </c>
      <c r="V200" s="7" t="n"/>
    </row>
    <row r="201" ht="28" customHeight="1">
      <c r="A201" s="12">
        <f>IF($L201="applied","Applied",IF($L201="interview","Interview",IF($L201="offer","Offer",IF($L201="rejected","Rejected",IF($L201="ignore","Ignore",IF($L201="archive","Archive",IF($L201="closed","Closed",IF($B201="","Unscored",IF(AND($B201&gt;=8,OR($H201="",$H201-TODAY()&lt;=14)),"P1 Apply",IF($B201&gt;=7,"P2 Strong",IF($B201&gt;=5,"P3 Maybe","P4 Low")))))))))))</f>
        <v/>
      </c>
      <c r="B201" s="13" t="n">
        <v>5</v>
      </c>
      <c r="C201" s="12" t="inlineStr">
        <is>
          <t>Junior</t>
        </is>
      </c>
      <c r="D201" s="8" t="inlineStr">
        <is>
          <t>Verkaufsberater.in/Sales Associate</t>
        </is>
      </c>
      <c r="E201" s="7" t="inlineStr">
        <is>
          <t>Dyson</t>
        </is>
      </c>
      <c r="F201" s="8" t="inlineStr">
        <is>
          <t>Germany - Baden-Württemberg Remote</t>
        </is>
      </c>
      <c r="G201" s="8" t="n"/>
      <c r="H201" s="14" t="n"/>
      <c r="I201" s="15">
        <f>IF($H201="","",$H201-TODAY())</f>
        <v/>
      </c>
      <c r="J201" s="16" t="inlineStr">
        <is>
          <t>Open posting</t>
        </is>
      </c>
      <c r="K201" s="8" t="n"/>
      <c r="L201" s="17" t="inlineStr">
        <is>
          <t>new</t>
        </is>
      </c>
      <c r="M201" s="18" t="inlineStr"/>
      <c r="N201" s="7" t="inlineStr">
        <is>
          <t>224a06a66d96e370b95db53f3b396f0ed6b95d7c</t>
        </is>
      </c>
      <c r="O201" s="14" t="n"/>
      <c r="P201" s="7" t="inlineStr">
        <is>
          <t>workday</t>
        </is>
      </c>
      <c r="Q201" s="8" t="inlineStr"/>
      <c r="R201" s="8" t="n"/>
      <c r="S201" s="19" t="n"/>
      <c r="T201" s="19" t="n"/>
      <c r="U201" s="14" t="n">
        <v>46189</v>
      </c>
      <c r="V201" s="7" t="n"/>
    </row>
    <row r="202" ht="28" customHeight="1">
      <c r="A202" s="12">
        <f>IF($L202="applied","Applied",IF($L202="interview","Interview",IF($L202="offer","Offer",IF($L202="rejected","Rejected",IF($L202="ignore","Ignore",IF($L202="archive","Archive",IF($L202="closed","Closed",IF($B202="","Unscored",IF(AND($B202&gt;=8,OR($H202="",$H202-TODAY()&lt;=14)),"P1 Apply",IF($B202&gt;=7,"P2 Strong",IF($B202&gt;=5,"P3 Maybe","P4 Low")))))))))))</f>
        <v/>
      </c>
      <c r="B202" s="13" t="n">
        <v>5</v>
      </c>
      <c r="C202" s="12" t="inlineStr">
        <is>
          <t>Junior</t>
        </is>
      </c>
      <c r="D202" s="8" t="inlineStr">
        <is>
          <t>Verkaufsberater.in/Sales Associate</t>
        </is>
      </c>
      <c r="E202" s="7" t="inlineStr">
        <is>
          <t>Dyson</t>
        </is>
      </c>
      <c r="F202" s="8" t="inlineStr">
        <is>
          <t>Germany - Nordrhein-Westfalen Remote</t>
        </is>
      </c>
      <c r="G202" s="8" t="n"/>
      <c r="H202" s="14" t="n"/>
      <c r="I202" s="15">
        <f>IF($H202="","",$H202-TODAY())</f>
        <v/>
      </c>
      <c r="J202" s="16" t="inlineStr">
        <is>
          <t>Open posting</t>
        </is>
      </c>
      <c r="K202" s="8" t="n"/>
      <c r="L202" s="17" t="inlineStr">
        <is>
          <t>new</t>
        </is>
      </c>
      <c r="M202" s="18" t="inlineStr"/>
      <c r="N202" s="7" t="inlineStr">
        <is>
          <t>43f49f38e15e463aaabd60b3a5a6142a96d237a4</t>
        </is>
      </c>
      <c r="O202" s="14" t="n"/>
      <c r="P202" s="7" t="inlineStr">
        <is>
          <t>workday</t>
        </is>
      </c>
      <c r="Q202" s="8" t="inlineStr"/>
      <c r="R202" s="8" t="n"/>
      <c r="S202" s="19" t="n"/>
      <c r="T202" s="19" t="n"/>
      <c r="U202" s="14" t="n">
        <v>46189</v>
      </c>
      <c r="V202" s="7" t="n"/>
    </row>
    <row r="203" ht="28" customHeight="1">
      <c r="A203" s="12">
        <f>IF($L203="applied","Applied",IF($L203="interview","Interview",IF($L203="offer","Offer",IF($L203="rejected","Rejected",IF($L203="ignore","Ignore",IF($L203="archive","Archive",IF($L203="closed","Closed",IF($B203="","Unscored",IF(AND($B203&gt;=8,OR($H203="",$H203-TODAY()&lt;=14)),"P1 Apply",IF($B203&gt;=7,"P2 Strong",IF($B203&gt;=5,"P3 Maybe","P4 Low")))))))))))</f>
        <v/>
      </c>
      <c r="B203" s="13" t="n">
        <v>5</v>
      </c>
      <c r="C203" s="12" t="inlineStr">
        <is>
          <t>Junior</t>
        </is>
      </c>
      <c r="D203" s="8" t="inlineStr">
        <is>
          <t>Verkaufsberater:in/Sales Associate</t>
        </is>
      </c>
      <c r="E203" s="7" t="inlineStr">
        <is>
          <t>Dyson</t>
        </is>
      </c>
      <c r="F203" s="8" t="inlineStr">
        <is>
          <t>Germany - Nordrhein-Westfalen Remote</t>
        </is>
      </c>
      <c r="G203" s="8" t="n"/>
      <c r="H203" s="14" t="n"/>
      <c r="I203" s="15">
        <f>IF($H203="","",$H203-TODAY())</f>
        <v/>
      </c>
      <c r="J203" s="16" t="inlineStr">
        <is>
          <t>Open posting</t>
        </is>
      </c>
      <c r="K203" s="8" t="n"/>
      <c r="L203" s="17" t="inlineStr">
        <is>
          <t>new</t>
        </is>
      </c>
      <c r="M203" s="18" t="inlineStr"/>
      <c r="N203" s="7" t="inlineStr">
        <is>
          <t>c89cd08b20072b8c07e650d37bdb30fa2d118d37</t>
        </is>
      </c>
      <c r="O203" s="14" t="n"/>
      <c r="P203" s="7" t="inlineStr">
        <is>
          <t>workday</t>
        </is>
      </c>
      <c r="Q203" s="8" t="inlineStr"/>
      <c r="R203" s="8" t="n"/>
      <c r="S203" s="19" t="n"/>
      <c r="T203" s="19" t="n"/>
      <c r="U203" s="14" t="n">
        <v>46189</v>
      </c>
      <c r="V203" s="7" t="n"/>
    </row>
    <row r="204" ht="28" customHeight="1">
      <c r="A204" s="12">
        <f>IF($L204="applied","Applied",IF($L204="interview","Interview",IF($L204="offer","Offer",IF($L204="rejected","Rejected",IF($L204="ignore","Ignore",IF($L204="archive","Archive",IF($L204="closed","Closed",IF($B204="","Unscored",IF(AND($B204&gt;=8,OR($H204="",$H204-TODAY()&lt;=14)),"P1 Apply",IF($B204&gt;=7,"P2 Strong",IF($B204&gt;=5,"P3 Maybe","P4 Low")))))))))))</f>
        <v/>
      </c>
      <c r="B204" s="13" t="n">
        <v>5</v>
      </c>
      <c r="C204" s="12" t="inlineStr">
        <is>
          <t>Manager/Owner</t>
        </is>
      </c>
      <c r="D204" s="8" t="inlineStr">
        <is>
          <t>Zonal Sales Manager</t>
        </is>
      </c>
      <c r="E204" s="7" t="inlineStr">
        <is>
          <t>Dyson</t>
        </is>
      </c>
      <c r="F204" s="8" t="inlineStr">
        <is>
          <t>India - Lucknow Sales Office</t>
        </is>
      </c>
      <c r="G204" s="8" t="n"/>
      <c r="H204" s="14" t="n"/>
      <c r="I204" s="15">
        <f>IF($H204="","",$H204-TODAY())</f>
        <v/>
      </c>
      <c r="J204" s="16" t="inlineStr">
        <is>
          <t>Open posting</t>
        </is>
      </c>
      <c r="K204" s="8" t="n"/>
      <c r="L204" s="17" t="inlineStr">
        <is>
          <t>new</t>
        </is>
      </c>
      <c r="M204" s="18" t="inlineStr"/>
      <c r="N204" s="7" t="inlineStr">
        <is>
          <t>6eeb0e9299d3706f37a6752eb5bea973df8236b7</t>
        </is>
      </c>
      <c r="O204" s="14" t="n"/>
      <c r="P204" s="7" t="inlineStr">
        <is>
          <t>workday</t>
        </is>
      </c>
      <c r="Q204" s="8" t="inlineStr"/>
      <c r="R204" s="8" t="n"/>
      <c r="S204" s="19" t="n"/>
      <c r="T204" s="19" t="n"/>
      <c r="U204" s="14" t="n">
        <v>46189</v>
      </c>
      <c r="V204" s="7" t="n"/>
    </row>
    <row r="205" ht="28" customHeight="1">
      <c r="A205" s="12">
        <f>IF($L205="applied","Applied",IF($L205="interview","Interview",IF($L205="offer","Offer",IF($L205="rejected","Rejected",IF($L205="ignore","Ignore",IF($L205="archive","Archive",IF($L205="closed","Closed",IF($B205="","Unscored",IF(AND($B205&gt;=8,OR($H205="",$H205-TODAY()&lt;=14)),"P1 Apply",IF($B205&gt;=7,"P2 Strong",IF($B205&gt;=5,"P3 Maybe","P4 Low")))))))))))</f>
        <v/>
      </c>
      <c r="B205" s="13" t="n">
        <v>5</v>
      </c>
      <c r="C205" s="12" t="inlineStr">
        <is>
          <t>Unspecified</t>
        </is>
      </c>
      <c r="D205" s="8" t="inlineStr">
        <is>
          <t>Demand Planner</t>
        </is>
      </c>
      <c r="E205" s="7" t="inlineStr">
        <is>
          <t>Dyson</t>
        </is>
      </c>
      <c r="F205" s="8" t="inlineStr">
        <is>
          <t>Singapore - Technology Centre</t>
        </is>
      </c>
      <c r="G205" s="8" t="n"/>
      <c r="H205" s="14" t="n"/>
      <c r="I205" s="15">
        <f>IF($H205="","",$H205-TODAY())</f>
        <v/>
      </c>
      <c r="J205" s="16" t="inlineStr">
        <is>
          <t>Open posting</t>
        </is>
      </c>
      <c r="K205" s="8" t="n"/>
      <c r="L205" s="17" t="inlineStr">
        <is>
          <t>new</t>
        </is>
      </c>
      <c r="M205" s="18" t="inlineStr"/>
      <c r="N205" s="7" t="inlineStr">
        <is>
          <t>47a9aee030988daf3fe46ef4a10b7d915d0cff08</t>
        </is>
      </c>
      <c r="O205" s="14" t="n"/>
      <c r="P205" s="7" t="inlineStr">
        <is>
          <t>workday</t>
        </is>
      </c>
      <c r="Q205" s="8" t="inlineStr"/>
      <c r="R205" s="8" t="n"/>
      <c r="S205" s="19" t="n"/>
      <c r="T205" s="19" t="n"/>
      <c r="U205" s="14" t="n">
        <v>46189</v>
      </c>
      <c r="V205" s="7" t="n"/>
    </row>
    <row r="206" ht="28" customHeight="1">
      <c r="A206" s="12">
        <f>IF($L206="applied","Applied",IF($L206="interview","Interview",IF($L206="offer","Offer",IF($L206="rejected","Rejected",IF($L206="ignore","Ignore",IF($L206="archive","Archive",IF($L206="closed","Closed",IF($B206="","Unscored",IF(AND($B206&gt;=8,OR($H206="",$H206-TODAY()&lt;=14)),"P1 Apply",IF($B206&gt;=7,"P2 Strong",IF($B206&gt;=5,"P3 Maybe","P4 Low")))))))))))</f>
        <v/>
      </c>
      <c r="B206" s="13" t="n">
        <v>5</v>
      </c>
      <c r="C206" s="12" t="inlineStr">
        <is>
          <t>Unspecified</t>
        </is>
      </c>
      <c r="D206" s="8" t="inlineStr">
        <is>
          <t>Sales Order Processing, Analyst / Specialist</t>
        </is>
      </c>
      <c r="E206" s="7" t="inlineStr">
        <is>
          <t>Dyson</t>
        </is>
      </c>
      <c r="F206" s="8" t="inlineStr">
        <is>
          <t>China - Dalian Office</t>
        </is>
      </c>
      <c r="G206" s="8" t="n"/>
      <c r="H206" s="14" t="n"/>
      <c r="I206" s="15">
        <f>IF($H206="","",$H206-TODAY())</f>
        <v/>
      </c>
      <c r="J206" s="16" t="inlineStr">
        <is>
          <t>Open posting</t>
        </is>
      </c>
      <c r="K206" s="8" t="n"/>
      <c r="L206" s="17" t="inlineStr">
        <is>
          <t>new</t>
        </is>
      </c>
      <c r="M206" s="18" t="inlineStr"/>
      <c r="N206" s="7" t="inlineStr">
        <is>
          <t>30f16ec3fc1261d911e1b5decf5e1c96fa7ae2c1</t>
        </is>
      </c>
      <c r="O206" s="14" t="n"/>
      <c r="P206" s="7" t="inlineStr">
        <is>
          <t>workday</t>
        </is>
      </c>
      <c r="Q206" s="8" t="inlineStr"/>
      <c r="R206" s="8" t="n"/>
      <c r="S206" s="19" t="n"/>
      <c r="T206" s="19" t="n"/>
      <c r="U206" s="14" t="n">
        <v>46189</v>
      </c>
      <c r="V206" s="7" t="n"/>
    </row>
    <row r="207" ht="28" customHeight="1">
      <c r="A207" s="12">
        <f>IF($L207="applied","Applied",IF($L207="interview","Interview",IF($L207="offer","Offer",IF($L207="rejected","Rejected",IF($L207="ignore","Ignore",IF($L207="archive","Archive",IF($L207="closed","Closed",IF($B207="","Unscored",IF(AND($B207&gt;=8,OR($H207="",$H207-TODAY()&lt;=14)),"P1 Apply",IF($B207&gt;=7,"P2 Strong",IF($B207&gt;=5,"P3 Maybe","P4 Low")))))))))))</f>
        <v/>
      </c>
      <c r="B207" s="13" t="n">
        <v>5</v>
      </c>
      <c r="C207" s="12" t="inlineStr">
        <is>
          <t>Unspecified</t>
        </is>
      </c>
      <c r="D207" s="8" t="inlineStr">
        <is>
          <t>Sales Order Processing Analyst</t>
        </is>
      </c>
      <c r="E207" s="7" t="inlineStr">
        <is>
          <t>Dyson</t>
        </is>
      </c>
      <c r="F207" s="8" t="inlineStr">
        <is>
          <t>China - Dalian Office</t>
        </is>
      </c>
      <c r="G207" s="8" t="n"/>
      <c r="H207" s="14" t="n"/>
      <c r="I207" s="15">
        <f>IF($H207="","",$H207-TODAY())</f>
        <v/>
      </c>
      <c r="J207" s="16" t="inlineStr">
        <is>
          <t>Open posting</t>
        </is>
      </c>
      <c r="K207" s="8" t="n"/>
      <c r="L207" s="17" t="inlineStr">
        <is>
          <t>new</t>
        </is>
      </c>
      <c r="M207" s="18" t="inlineStr"/>
      <c r="N207" s="7" t="inlineStr">
        <is>
          <t>043310318044c61660f9569087c4a753b00d7717</t>
        </is>
      </c>
      <c r="O207" s="14" t="n"/>
      <c r="P207" s="7" t="inlineStr">
        <is>
          <t>workday</t>
        </is>
      </c>
      <c r="Q207" s="8" t="inlineStr"/>
      <c r="R207" s="8" t="n"/>
      <c r="S207" s="19" t="n"/>
      <c r="T207" s="19" t="n"/>
      <c r="U207" s="14" t="n">
        <v>46189</v>
      </c>
      <c r="V207" s="7" t="n"/>
    </row>
    <row r="208" ht="28" customHeight="1">
      <c r="A208" s="12">
        <f>IF($L208="applied","Applied",IF($L208="interview","Interview",IF($L208="offer","Offer",IF($L208="rejected","Rejected",IF($L208="ignore","Ignore",IF($L208="archive","Archive",IF($L208="closed","Closed",IF($B208="","Unscored",IF(AND($B208&gt;=8,OR($H208="",$H208-TODAY()&lt;=14)),"P1 Apply",IF($B208&gt;=7,"P2 Strong",IF($B208&gt;=5,"P3 Maybe","P4 Low")))))))))))</f>
        <v/>
      </c>
      <c r="B208" s="13" t="n">
        <v>5</v>
      </c>
      <c r="C208" s="12" t="inlineStr">
        <is>
          <t>Manager/Owner</t>
        </is>
      </c>
      <c r="D208" s="8" t="inlineStr">
        <is>
          <t>Finance Manager – Cost of Acquisition</t>
        </is>
      </c>
      <c r="E208" s="7" t="inlineStr">
        <is>
          <t>Dyson</t>
        </is>
      </c>
      <c r="F208" s="8" t="inlineStr">
        <is>
          <t>Singapore - St James Power Station Headquarters</t>
        </is>
      </c>
      <c r="G208" s="8" t="n"/>
      <c r="H208" s="14" t="n"/>
      <c r="I208" s="15">
        <f>IF($H208="","",$H208-TODAY())</f>
        <v/>
      </c>
      <c r="J208" s="16" t="inlineStr">
        <is>
          <t>Open posting</t>
        </is>
      </c>
      <c r="K208" s="8" t="n"/>
      <c r="L208" s="17" t="inlineStr">
        <is>
          <t>new</t>
        </is>
      </c>
      <c r="M208" s="18" t="inlineStr"/>
      <c r="N208" s="7" t="inlineStr">
        <is>
          <t>a29abb220465bf88e8fea045d4e98a4e3a65f894</t>
        </is>
      </c>
      <c r="O208" s="14" t="n"/>
      <c r="P208" s="7" t="inlineStr">
        <is>
          <t>workday</t>
        </is>
      </c>
      <c r="Q208" s="8" t="inlineStr"/>
      <c r="R208" s="8" t="n"/>
      <c r="S208" s="19" t="n"/>
      <c r="T208" s="19" t="n"/>
      <c r="U208" s="14" t="n">
        <v>46189</v>
      </c>
      <c r="V208" s="7" t="n"/>
    </row>
    <row r="209" ht="28" customHeight="1">
      <c r="A209" s="12">
        <f>IF($L209="applied","Applied",IF($L209="interview","Interview",IF($L209="offer","Offer",IF($L209="rejected","Rejected",IF($L209="ignore","Ignore",IF($L209="archive","Archive",IF($L209="closed","Closed",IF($B209="","Unscored",IF(AND($B209&gt;=8,OR($H209="",$H209-TODAY()&lt;=14)),"P1 Apply",IF($B209&gt;=7,"P2 Strong",IF($B209&gt;=5,"P3 Maybe","P4 Low")))))))))))</f>
        <v/>
      </c>
      <c r="B209" s="13" t="n">
        <v>5</v>
      </c>
      <c r="C209" s="12" t="inlineStr">
        <is>
          <t>Junior</t>
        </is>
      </c>
      <c r="D209" s="8" t="inlineStr">
        <is>
          <t>Verkaufsberater.in/Sales Associate</t>
        </is>
      </c>
      <c r="E209" s="7" t="inlineStr">
        <is>
          <t>Dyson</t>
        </is>
      </c>
      <c r="F209" s="8" t="inlineStr">
        <is>
          <t>Germany - Rheinland-Pfalz Remote</t>
        </is>
      </c>
      <c r="G209" s="8" t="n"/>
      <c r="H209" s="14" t="n"/>
      <c r="I209" s="15">
        <f>IF($H209="","",$H209-TODAY())</f>
        <v/>
      </c>
      <c r="J209" s="16" t="inlineStr">
        <is>
          <t>Open posting</t>
        </is>
      </c>
      <c r="K209" s="8" t="n"/>
      <c r="L209" s="17" t="inlineStr">
        <is>
          <t>new</t>
        </is>
      </c>
      <c r="M209" s="18" t="inlineStr"/>
      <c r="N209" s="7" t="inlineStr">
        <is>
          <t>89c298d1875ab66b6224cf4011615f0940080623</t>
        </is>
      </c>
      <c r="O209" s="14" t="n"/>
      <c r="P209" s="7" t="inlineStr">
        <is>
          <t>workday</t>
        </is>
      </c>
      <c r="Q209" s="8" t="inlineStr"/>
      <c r="R209" s="8" t="n"/>
      <c r="S209" s="19" t="n"/>
      <c r="T209" s="19" t="n"/>
      <c r="U209" s="14" t="n">
        <v>46189</v>
      </c>
      <c r="V209" s="7" t="n"/>
    </row>
    <row r="210" ht="28" customHeight="1">
      <c r="A210" s="12">
        <f>IF($L210="applied","Applied",IF($L210="interview","Interview",IF($L210="offer","Offer",IF($L210="rejected","Rejected",IF($L210="ignore","Ignore",IF($L210="archive","Archive",IF($L210="closed","Closed",IF($B210="","Unscored",IF(AND($B210&gt;=8,OR($H210="",$H210-TODAY()&lt;=14)),"P1 Apply",IF($B210&gt;=7,"P2 Strong",IF($B210&gt;=5,"P3 Maybe","P4 Low")))))))))))</f>
        <v/>
      </c>
      <c r="B210" s="13" t="n">
        <v>5</v>
      </c>
      <c r="C210" s="12" t="inlineStr">
        <is>
          <t>Junior</t>
        </is>
      </c>
      <c r="D210" s="8" t="inlineStr">
        <is>
          <t>Verkaufsberater.in/Sales Associate</t>
        </is>
      </c>
      <c r="E210" s="7" t="inlineStr">
        <is>
          <t>Dyson</t>
        </is>
      </c>
      <c r="F210" s="8" t="inlineStr">
        <is>
          <t>Germany - Frankfurt MyZeil Demo Store</t>
        </is>
      </c>
      <c r="G210" s="8" t="n"/>
      <c r="H210" s="14" t="n"/>
      <c r="I210" s="15">
        <f>IF($H210="","",$H210-TODAY())</f>
        <v/>
      </c>
      <c r="J210" s="16" t="inlineStr">
        <is>
          <t>Open posting</t>
        </is>
      </c>
      <c r="K210" s="8" t="n"/>
      <c r="L210" s="17" t="inlineStr">
        <is>
          <t>new</t>
        </is>
      </c>
      <c r="M210" s="18" t="inlineStr"/>
      <c r="N210" s="7" t="inlineStr">
        <is>
          <t>be70a8942e85a48c764b7ff8021aff8944357bce</t>
        </is>
      </c>
      <c r="O210" s="14" t="n"/>
      <c r="P210" s="7" t="inlineStr">
        <is>
          <t>workday</t>
        </is>
      </c>
      <c r="Q210" s="8" t="inlineStr"/>
      <c r="R210" s="8" t="n"/>
      <c r="S210" s="19" t="n"/>
      <c r="T210" s="19" t="n"/>
      <c r="U210" s="14" t="n">
        <v>46189</v>
      </c>
      <c r="V210" s="7" t="n"/>
    </row>
    <row r="211" ht="28" customHeight="1">
      <c r="A211" s="12">
        <f>IF($L211="applied","Applied",IF($L211="interview","Interview",IF($L211="offer","Offer",IF($L211="rejected","Rejected",IF($L211="ignore","Ignore",IF($L211="archive","Archive",IF($L211="closed","Closed",IF($B211="","Unscored",IF(AND($B211&gt;=8,OR($H211="",$H211-TODAY()&lt;=14)),"P1 Apply",IF($B211&gt;=7,"P2 Strong",IF($B211&gt;=5,"P3 Maybe","P4 Low")))))))))))</f>
        <v/>
      </c>
      <c r="B211" s="13" t="n">
        <v>5</v>
      </c>
      <c r="C211" s="12" t="inlineStr">
        <is>
          <t>Manager/Owner</t>
        </is>
      </c>
      <c r="D211" s="8" t="inlineStr">
        <is>
          <t>Sales Planning Manager</t>
        </is>
      </c>
      <c r="E211" s="7" t="inlineStr">
        <is>
          <t>Dyson</t>
        </is>
      </c>
      <c r="F211" s="8" t="inlineStr">
        <is>
          <t>Turkey - Istanbul Office</t>
        </is>
      </c>
      <c r="G211" s="8" t="n"/>
      <c r="H211" s="14" t="n"/>
      <c r="I211" s="15">
        <f>IF($H211="","",$H211-TODAY())</f>
        <v/>
      </c>
      <c r="J211" s="16" t="inlineStr">
        <is>
          <t>Open posting</t>
        </is>
      </c>
      <c r="K211" s="8" t="n"/>
      <c r="L211" s="17" t="inlineStr">
        <is>
          <t>new</t>
        </is>
      </c>
      <c r="M211" s="18" t="inlineStr"/>
      <c r="N211" s="7" t="inlineStr">
        <is>
          <t>33d4fb1ee1ae5a2f8daa46d969914531b2594bbb</t>
        </is>
      </c>
      <c r="O211" s="14" t="n"/>
      <c r="P211" s="7" t="inlineStr">
        <is>
          <t>workday</t>
        </is>
      </c>
      <c r="Q211" s="8" t="inlineStr"/>
      <c r="R211" s="8" t="n"/>
      <c r="S211" s="19" t="n"/>
      <c r="T211" s="19" t="n"/>
      <c r="U211" s="14" t="n">
        <v>46189</v>
      </c>
      <c r="V211" s="7" t="n"/>
    </row>
    <row r="212" ht="28" customHeight="1">
      <c r="A212" s="12">
        <f>IF($L212="applied","Applied",IF($L212="interview","Interview",IF($L212="offer","Offer",IF($L212="rejected","Rejected",IF($L212="ignore","Ignore",IF($L212="archive","Archive",IF($L212="closed","Closed",IF($B212="","Unscored",IF(AND($B212&gt;=8,OR($H212="",$H212-TODAY()&lt;=14)),"P1 Apply",IF($B212&gt;=7,"P2 Strong",IF($B212&gt;=5,"P3 Maybe","P4 Low")))))))))))</f>
        <v/>
      </c>
      <c r="B212" s="13" t="n">
        <v>5</v>
      </c>
      <c r="C212" s="12" t="inlineStr">
        <is>
          <t>Unspecified</t>
        </is>
      </c>
      <c r="D212" s="8" t="inlineStr">
        <is>
          <t>Dyson Expert - Ankara Panora AVM (Part Time)</t>
        </is>
      </c>
      <c r="E212" s="7" t="inlineStr">
        <is>
          <t>Dyson</t>
        </is>
      </c>
      <c r="F212" s="8" t="inlineStr">
        <is>
          <t>Turkey - Ankara Panora Demo Zone</t>
        </is>
      </c>
      <c r="G212" s="8" t="n"/>
      <c r="H212" s="14" t="n"/>
      <c r="I212" s="15">
        <f>IF($H212="","",$H212-TODAY())</f>
        <v/>
      </c>
      <c r="J212" s="16" t="inlineStr">
        <is>
          <t>Open posting</t>
        </is>
      </c>
      <c r="K212" s="8" t="n"/>
      <c r="L212" s="17" t="inlineStr">
        <is>
          <t>new</t>
        </is>
      </c>
      <c r="M212" s="18" t="inlineStr"/>
      <c r="N212" s="7" t="inlineStr">
        <is>
          <t>f5b9be7512e3432f82157d55c7dc285de3522885</t>
        </is>
      </c>
      <c r="O212" s="14" t="n"/>
      <c r="P212" s="7" t="inlineStr">
        <is>
          <t>workday</t>
        </is>
      </c>
      <c r="Q212" s="8" t="inlineStr"/>
      <c r="R212" s="8" t="n"/>
      <c r="S212" s="19" t="n"/>
      <c r="T212" s="19" t="n"/>
      <c r="U212" s="14" t="n">
        <v>46189</v>
      </c>
      <c r="V212" s="7" t="n"/>
    </row>
    <row r="213" ht="28" customHeight="1">
      <c r="A213" s="12">
        <f>IF($L213="applied","Applied",IF($L213="interview","Interview",IF($L213="offer","Offer",IF($L213="rejected","Rejected",IF($L213="ignore","Ignore",IF($L213="archive","Archive",IF($L213="closed","Closed",IF($B213="","Unscored",IF(AND($B213&gt;=8,OR($H213="",$H213-TODAY()&lt;=14)),"P1 Apply",IF($B213&gt;=7,"P2 Strong",IF($B213&gt;=5,"P3 Maybe","P4 Low")))))))))))</f>
        <v/>
      </c>
      <c r="B213" s="13" t="n">
        <v>5</v>
      </c>
      <c r="C213" s="12" t="inlineStr">
        <is>
          <t>Manager/Owner</t>
        </is>
      </c>
      <c r="D213" s="8" t="inlineStr">
        <is>
          <t>Finance Manager (Retailer Accounts)</t>
        </is>
      </c>
      <c r="E213" s="7" t="inlineStr">
        <is>
          <t>Dyson</t>
        </is>
      </c>
      <c r="F213" s="8" t="inlineStr">
        <is>
          <t>Germany - Cologne Office</t>
        </is>
      </c>
      <c r="G213" s="8" t="n"/>
      <c r="H213" s="14" t="n"/>
      <c r="I213" s="15">
        <f>IF($H213="","",$H213-TODAY())</f>
        <v/>
      </c>
      <c r="J213" s="16" t="inlineStr">
        <is>
          <t>Open posting</t>
        </is>
      </c>
      <c r="K213" s="8" t="n"/>
      <c r="L213" s="17" t="inlineStr">
        <is>
          <t>new</t>
        </is>
      </c>
      <c r="M213" s="18" t="inlineStr"/>
      <c r="N213" s="7" t="inlineStr">
        <is>
          <t>724d8e79244373ced66a9bdeb713a6284873ec36</t>
        </is>
      </c>
      <c r="O213" s="14" t="n"/>
      <c r="P213" s="7" t="inlineStr">
        <is>
          <t>workday</t>
        </is>
      </c>
      <c r="Q213" s="8" t="inlineStr"/>
      <c r="R213" s="8" t="n"/>
      <c r="S213" s="19" t="n"/>
      <c r="T213" s="19" t="n"/>
      <c r="U213" s="14" t="n">
        <v>46189</v>
      </c>
      <c r="V213" s="7" t="n"/>
    </row>
    <row r="214" ht="28" customHeight="1">
      <c r="A214" s="12">
        <f>IF($L214="applied","Applied",IF($L214="interview","Interview",IF($L214="offer","Offer",IF($L214="rejected","Rejected",IF($L214="ignore","Ignore",IF($L214="archive","Archive",IF($L214="closed","Closed",IF($B214="","Unscored",IF(AND($B214&gt;=8,OR($H214="",$H214-TODAY()&lt;=14)),"P1 Apply",IF($B214&gt;=7,"P2 Strong",IF($B214&gt;=5,"P3 Maybe","P4 Low")))))))))))</f>
        <v/>
      </c>
      <c r="B214" s="13" t="n">
        <v>5</v>
      </c>
      <c r="C214" s="12" t="inlineStr">
        <is>
          <t>Junior</t>
        </is>
      </c>
      <c r="D214" s="8" t="inlineStr">
        <is>
          <t>Verkaufsberater.in/Sales Associate</t>
        </is>
      </c>
      <c r="E214" s="7" t="inlineStr">
        <is>
          <t>Dyson</t>
        </is>
      </c>
      <c r="F214" s="8" t="inlineStr">
        <is>
          <t>Germany - Niedersachsen Remote</t>
        </is>
      </c>
      <c r="G214" s="8" t="n"/>
      <c r="H214" s="14" t="n"/>
      <c r="I214" s="15">
        <f>IF($H214="","",$H214-TODAY())</f>
        <v/>
      </c>
      <c r="J214" s="16" t="inlineStr">
        <is>
          <t>Open posting</t>
        </is>
      </c>
      <c r="K214" s="8" t="n"/>
      <c r="L214" s="17" t="inlineStr">
        <is>
          <t>new</t>
        </is>
      </c>
      <c r="M214" s="18" t="inlineStr"/>
      <c r="N214" s="7" t="inlineStr">
        <is>
          <t>df6ac04eb1db12b70333c68cae5c8688e2e8f393</t>
        </is>
      </c>
      <c r="O214" s="14" t="n"/>
      <c r="P214" s="7" t="inlineStr">
        <is>
          <t>workday</t>
        </is>
      </c>
      <c r="Q214" s="8" t="inlineStr"/>
      <c r="R214" s="8" t="n"/>
      <c r="S214" s="19" t="n"/>
      <c r="T214" s="19" t="n"/>
      <c r="U214" s="14" t="n">
        <v>46189</v>
      </c>
      <c r="V214" s="7" t="n"/>
    </row>
    <row r="215" ht="28" customHeight="1">
      <c r="A215" s="12">
        <f>IF($L215="applied","Applied",IF($L215="interview","Interview",IF($L215="offer","Offer",IF($L215="rejected","Rejected",IF($L215="ignore","Ignore",IF($L215="archive","Archive",IF($L215="closed","Closed",IF($B215="","Unscored",IF(AND($B215&gt;=8,OR($H215="",$H215-TODAY()&lt;=14)),"P1 Apply",IF($B215&gt;=7,"P2 Strong",IF($B215&gt;=5,"P3 Maybe","P4 Low")))))))))))</f>
        <v/>
      </c>
      <c r="B215" s="13" t="n">
        <v>5</v>
      </c>
      <c r="C215" s="12" t="inlineStr">
        <is>
          <t>Graduate/Entry</t>
        </is>
      </c>
      <c r="D215" s="8" t="inlineStr">
        <is>
          <t>Graduate Electronics Hardware Engineer (Malaysia)</t>
        </is>
      </c>
      <c r="E215" s="7" t="inlineStr">
        <is>
          <t>Dyson</t>
        </is>
      </c>
      <c r="F215" s="8" t="inlineStr">
        <is>
          <t>Malaysia - Global Development Campus, Johor Bahru</t>
        </is>
      </c>
      <c r="G215" s="8" t="n"/>
      <c r="H215" s="14" t="n"/>
      <c r="I215" s="15">
        <f>IF($H215="","",$H215-TODAY())</f>
        <v/>
      </c>
      <c r="J215" s="16" t="inlineStr">
        <is>
          <t>Open posting</t>
        </is>
      </c>
      <c r="K215" s="8" t="n"/>
      <c r="L215" s="17" t="inlineStr">
        <is>
          <t>new</t>
        </is>
      </c>
      <c r="M215" s="18" t="inlineStr"/>
      <c r="N215" s="7" t="inlineStr">
        <is>
          <t>83cf76148ddd1865c11ec92e011eec355048e109</t>
        </is>
      </c>
      <c r="O215" s="14" t="n"/>
      <c r="P215" s="7" t="inlineStr">
        <is>
          <t>workday</t>
        </is>
      </c>
      <c r="Q215" s="8" t="inlineStr"/>
      <c r="R215" s="8" t="n"/>
      <c r="S215" s="19" t="n"/>
      <c r="T215" s="19" t="n"/>
      <c r="U215" s="14" t="n">
        <v>46189</v>
      </c>
      <c r="V215" s="7" t="n"/>
    </row>
    <row r="216" ht="28" customHeight="1">
      <c r="A216" s="12">
        <f>IF($L216="applied","Applied",IF($L216="interview","Interview",IF($L216="offer","Offer",IF($L216="rejected","Rejected",IF($L216="ignore","Ignore",IF($L216="archive","Archive",IF($L216="closed","Closed",IF($B216="","Unscored",IF(AND($B216&gt;=8,OR($H216="",$H216-TODAY()&lt;=14)),"P1 Apply",IF($B216&gt;=7,"P2 Strong",IF($B216&gt;=5,"P3 Maybe","P4 Low")))))))))))</f>
        <v/>
      </c>
      <c r="B216" s="13" t="n">
        <v>5</v>
      </c>
      <c r="C216" s="12" t="inlineStr">
        <is>
          <t>Graduate/Entry</t>
        </is>
      </c>
      <c r="D216" s="8" t="inlineStr">
        <is>
          <t>Global Supply Chain Graduate</t>
        </is>
      </c>
      <c r="E216" s="7" t="inlineStr">
        <is>
          <t>Dyson</t>
        </is>
      </c>
      <c r="F216" s="8" t="inlineStr">
        <is>
          <t>Singapore - Technology Centre</t>
        </is>
      </c>
      <c r="G216" s="8" t="n"/>
      <c r="H216" s="14" t="n"/>
      <c r="I216" s="15">
        <f>IF($H216="","",$H216-TODAY())</f>
        <v/>
      </c>
      <c r="J216" s="16" t="inlineStr">
        <is>
          <t>Open posting</t>
        </is>
      </c>
      <c r="K216" s="8" t="n"/>
      <c r="L216" s="17" t="inlineStr">
        <is>
          <t>new</t>
        </is>
      </c>
      <c r="M216" s="18" t="inlineStr"/>
      <c r="N216" s="7" t="inlineStr">
        <is>
          <t>289e4ea9251fcca9ce29aa4a3bfea6fb0a78326f</t>
        </is>
      </c>
      <c r="O216" s="14" t="n"/>
      <c r="P216" s="7" t="inlineStr">
        <is>
          <t>workday</t>
        </is>
      </c>
      <c r="Q216" s="8" t="inlineStr"/>
      <c r="R216" s="8" t="n"/>
      <c r="S216" s="19" t="n"/>
      <c r="T216" s="19" t="n"/>
      <c r="U216" s="14" t="n">
        <v>46189</v>
      </c>
      <c r="V216" s="7" t="n"/>
    </row>
    <row r="217" ht="28" customHeight="1">
      <c r="A217" s="12">
        <f>IF($L217="applied","Applied",IF($L217="interview","Interview",IF($L217="offer","Offer",IF($L217="rejected","Rejected",IF($L217="ignore","Ignore",IF($L217="archive","Archive",IF($L217="closed","Closed",IF($B217="","Unscored",IF(AND($B217&gt;=8,OR($H217="",$H217-TODAY()&lt;=14)),"P1 Apply",IF($B217&gt;=7,"P2 Strong",IF($B217&gt;=5,"P3 Maybe","P4 Low")))))))))))</f>
        <v/>
      </c>
      <c r="B217" s="13" t="n">
        <v>5</v>
      </c>
      <c r="C217" s="12" t="inlineStr">
        <is>
          <t>Graduate/Entry</t>
        </is>
      </c>
      <c r="D217" s="8" t="inlineStr">
        <is>
          <t>Graduate Packaging Engineer</t>
        </is>
      </c>
      <c r="E217" s="7" t="inlineStr">
        <is>
          <t>Dyson</t>
        </is>
      </c>
      <c r="F217" s="8" t="inlineStr">
        <is>
          <t>Malaysia - Global Development Campus, Johor Bahru</t>
        </is>
      </c>
      <c r="G217" s="8" t="n"/>
      <c r="H217" s="14" t="n"/>
      <c r="I217" s="15">
        <f>IF($H217="","",$H217-TODAY())</f>
        <v/>
      </c>
      <c r="J217" s="16" t="inlineStr">
        <is>
          <t>Open posting</t>
        </is>
      </c>
      <c r="K217" s="8" t="n"/>
      <c r="L217" s="17" t="inlineStr">
        <is>
          <t>new</t>
        </is>
      </c>
      <c r="M217" s="18" t="inlineStr"/>
      <c r="N217" s="7" t="inlineStr">
        <is>
          <t>c08376cd990660cefb9ea4758b31f92c17b40ba9</t>
        </is>
      </c>
      <c r="O217" s="14" t="n"/>
      <c r="P217" s="7" t="inlineStr">
        <is>
          <t>workday</t>
        </is>
      </c>
      <c r="Q217" s="8" t="inlineStr"/>
      <c r="R217" s="8" t="n"/>
      <c r="S217" s="19" t="n"/>
      <c r="T217" s="19" t="n"/>
      <c r="U217" s="14" t="n">
        <v>46189</v>
      </c>
      <c r="V217" s="7" t="n"/>
    </row>
    <row r="218" ht="28" customHeight="1">
      <c r="A218" s="12">
        <f>IF($L218="applied","Applied",IF($L218="interview","Interview",IF($L218="offer","Offer",IF($L218="rejected","Rejected",IF($L218="ignore","Ignore",IF($L218="archive","Archive",IF($L218="closed","Closed",IF($B218="","Unscored",IF(AND($B218&gt;=8,OR($H218="",$H218-TODAY()&lt;=14)),"P1 Apply",IF($B218&gt;=7,"P2 Strong",IF($B218&gt;=5,"P3 Maybe","P4 Low")))))))))))</f>
        <v/>
      </c>
      <c r="B218" s="13" t="n">
        <v>5</v>
      </c>
      <c r="C218" s="12" t="inlineStr">
        <is>
          <t>Graduate/Entry</t>
        </is>
      </c>
      <c r="D218" s="8" t="inlineStr">
        <is>
          <t>Graduate Electronics Engineer</t>
        </is>
      </c>
      <c r="E218" s="7" t="inlineStr">
        <is>
          <t>Dyson</t>
        </is>
      </c>
      <c r="F218" s="8" t="inlineStr">
        <is>
          <t>Malaysia - Global Development Campus, Johor Bahru</t>
        </is>
      </c>
      <c r="G218" s="8" t="n"/>
      <c r="H218" s="14" t="n"/>
      <c r="I218" s="15">
        <f>IF($H218="","",$H218-TODAY())</f>
        <v/>
      </c>
      <c r="J218" s="16" t="inlineStr">
        <is>
          <t>Open posting</t>
        </is>
      </c>
      <c r="K218" s="8" t="n"/>
      <c r="L218" s="17" t="inlineStr">
        <is>
          <t>new</t>
        </is>
      </c>
      <c r="M218" s="18" t="inlineStr"/>
      <c r="N218" s="7" t="inlineStr">
        <is>
          <t>ff2edf60aa933128a8e1fba3c51b1cea732d0173</t>
        </is>
      </c>
      <c r="O218" s="14" t="n"/>
      <c r="P218" s="7" t="inlineStr">
        <is>
          <t>workday</t>
        </is>
      </c>
      <c r="Q218" s="8" t="inlineStr"/>
      <c r="R218" s="8" t="n"/>
      <c r="S218" s="19" t="n"/>
      <c r="T218" s="19" t="n"/>
      <c r="U218" s="14" t="n">
        <v>46189</v>
      </c>
      <c r="V218" s="7" t="n"/>
    </row>
    <row r="219" ht="28" customHeight="1">
      <c r="A219" s="12">
        <f>IF($L219="applied","Applied",IF($L219="interview","Interview",IF($L219="offer","Offer",IF($L219="rejected","Rejected",IF($L219="ignore","Ignore",IF($L219="archive","Archive",IF($L219="closed","Closed",IF($B219="","Unscored",IF(AND($B219&gt;=8,OR($H219="",$H219-TODAY()&lt;=14)),"P1 Apply",IF($B219&gt;=7,"P2 Strong",IF($B219&gt;=5,"P3 Maybe","P4 Low")))))))))))</f>
        <v/>
      </c>
      <c r="B219" s="13" t="n">
        <v>5</v>
      </c>
      <c r="C219" s="12" t="inlineStr">
        <is>
          <t>Unspecified</t>
        </is>
      </c>
      <c r="D219" s="8" t="inlineStr">
        <is>
          <t>Design Engineer</t>
        </is>
      </c>
      <c r="E219" s="7" t="inlineStr">
        <is>
          <t>Dyson</t>
        </is>
      </c>
      <c r="F219" s="8" t="inlineStr">
        <is>
          <t>Singapore - Technology Centre</t>
        </is>
      </c>
      <c r="G219" s="8" t="n"/>
      <c r="H219" s="14" t="n"/>
      <c r="I219" s="15">
        <f>IF($H219="","",$H219-TODAY())</f>
        <v/>
      </c>
      <c r="J219" s="16" t="inlineStr">
        <is>
          <t>Open posting</t>
        </is>
      </c>
      <c r="K219" s="8" t="n"/>
      <c r="L219" s="17" t="inlineStr">
        <is>
          <t>new</t>
        </is>
      </c>
      <c r="M219" s="18" t="inlineStr"/>
      <c r="N219" s="7" t="inlineStr">
        <is>
          <t>1985b9f505a1d9f64ab1da8845e24c6de5d0c9e0</t>
        </is>
      </c>
      <c r="O219" s="14" t="n"/>
      <c r="P219" s="7" t="inlineStr">
        <is>
          <t>workday</t>
        </is>
      </c>
      <c r="Q219" s="8" t="inlineStr"/>
      <c r="R219" s="8" t="n"/>
      <c r="S219" s="19" t="n"/>
      <c r="T219" s="19" t="n"/>
      <c r="U219" s="14" t="n">
        <v>46189</v>
      </c>
      <c r="V219" s="7" t="n"/>
    </row>
    <row r="220" ht="28" customHeight="1">
      <c r="A220" s="12">
        <f>IF($L220="applied","Applied",IF($L220="interview","Interview",IF($L220="offer","Offer",IF($L220="rejected","Rejected",IF($L220="ignore","Ignore",IF($L220="archive","Archive",IF($L220="closed","Closed",IF($B220="","Unscored",IF(AND($B220&gt;=8,OR($H220="",$H220-TODAY()&lt;=14)),"P1 Apply",IF($B220&gt;=7,"P2 Strong",IF($B220&gt;=5,"P3 Maybe","P4 Low")))))))))))</f>
        <v/>
      </c>
      <c r="B220" s="13" t="n">
        <v>5</v>
      </c>
      <c r="C220" s="12" t="inlineStr">
        <is>
          <t>Graduate/Entry</t>
        </is>
      </c>
      <c r="D220" s="8" t="inlineStr">
        <is>
          <t>Graduate Design Engineer (Malaysia)</t>
        </is>
      </c>
      <c r="E220" s="7" t="inlineStr">
        <is>
          <t>Dyson</t>
        </is>
      </c>
      <c r="F220" s="8" t="inlineStr">
        <is>
          <t>Malaysia - Global Development Campus, Johor Bahru</t>
        </is>
      </c>
      <c r="G220" s="8" t="n"/>
      <c r="H220" s="14" t="n"/>
      <c r="I220" s="15">
        <f>IF($H220="","",$H220-TODAY())</f>
        <v/>
      </c>
      <c r="J220" s="16" t="inlineStr">
        <is>
          <t>Open posting</t>
        </is>
      </c>
      <c r="K220" s="8" t="n"/>
      <c r="L220" s="17" t="inlineStr">
        <is>
          <t>new</t>
        </is>
      </c>
      <c r="M220" s="18" t="inlineStr"/>
      <c r="N220" s="7" t="inlineStr">
        <is>
          <t>ccf22a7d9c4168cf2f2be08e49d679c25c4ac6da</t>
        </is>
      </c>
      <c r="O220" s="14" t="n"/>
      <c r="P220" s="7" t="inlineStr">
        <is>
          <t>workday</t>
        </is>
      </c>
      <c r="Q220" s="8" t="inlineStr"/>
      <c r="R220" s="8" t="n"/>
      <c r="S220" s="19" t="n"/>
      <c r="T220" s="19" t="n"/>
      <c r="U220" s="14" t="n">
        <v>46189</v>
      </c>
      <c r="V220" s="7" t="n"/>
    </row>
    <row r="221" ht="28" customHeight="1">
      <c r="A221" s="12">
        <f>IF($L221="applied","Applied",IF($L221="interview","Interview",IF($L221="offer","Offer",IF($L221="rejected","Rejected",IF($L221="ignore","Ignore",IF($L221="archive","Archive",IF($L221="closed","Closed",IF($B221="","Unscored",IF(AND($B221&gt;=8,OR($H221="",$H221-TODAY()&lt;=14)),"P1 Apply",IF($B221&gt;=7,"P2 Strong",IF($B221&gt;=5,"P3 Maybe","P4 Low")))))))))))</f>
        <v/>
      </c>
      <c r="B221" s="13" t="n">
        <v>5</v>
      </c>
      <c r="C221" s="12" t="inlineStr">
        <is>
          <t>Manager/Owner</t>
        </is>
      </c>
      <c r="D221" s="8" t="inlineStr">
        <is>
          <t>Associate Sales Manager</t>
        </is>
      </c>
      <c r="E221" s="7" t="inlineStr">
        <is>
          <t>Dyson</t>
        </is>
      </c>
      <c r="F221" s="8" t="inlineStr">
        <is>
          <t>Japan - Tokyo Office</t>
        </is>
      </c>
      <c r="G221" s="8" t="n"/>
      <c r="H221" s="14" t="n"/>
      <c r="I221" s="15">
        <f>IF($H221="","",$H221-TODAY())</f>
        <v/>
      </c>
      <c r="J221" s="16" t="inlineStr">
        <is>
          <t>Open posting</t>
        </is>
      </c>
      <c r="K221" s="8" t="n"/>
      <c r="L221" s="17" t="inlineStr">
        <is>
          <t>new</t>
        </is>
      </c>
      <c r="M221" s="18" t="inlineStr"/>
      <c r="N221" s="7" t="inlineStr">
        <is>
          <t>d14340d633c4f6dbca580f8782121bb4dfdf1f02</t>
        </is>
      </c>
      <c r="O221" s="14" t="n"/>
      <c r="P221" s="7" t="inlineStr">
        <is>
          <t>workday</t>
        </is>
      </c>
      <c r="Q221" s="8" t="inlineStr"/>
      <c r="R221" s="8" t="n"/>
      <c r="S221" s="19" t="n"/>
      <c r="T221" s="19" t="n"/>
      <c r="U221" s="14" t="n">
        <v>46189</v>
      </c>
      <c r="V221" s="7" t="n"/>
    </row>
    <row r="222" ht="28" customHeight="1">
      <c r="A222" s="12">
        <f>IF($L222="applied","Applied",IF($L222="interview","Interview",IF($L222="offer","Offer",IF($L222="rejected","Rejected",IF($L222="ignore","Ignore",IF($L222="archive","Archive",IF($L222="closed","Closed",IF($B222="","Unscored",IF(AND($B222&gt;=8,OR($H222="",$H222-TODAY()&lt;=14)),"P1 Apply",IF($B222&gt;=7,"P2 Strong",IF($B222&gt;=5,"P3 Maybe","P4 Low")))))))))))</f>
        <v/>
      </c>
      <c r="B222" s="13" t="n">
        <v>5</v>
      </c>
      <c r="C222" s="12" t="inlineStr">
        <is>
          <t>Manager/Owner</t>
        </is>
      </c>
      <c r="D222" s="8" t="inlineStr">
        <is>
          <t>Design Manager - Experience</t>
        </is>
      </c>
      <c r="E222" s="7" t="inlineStr">
        <is>
          <t>Dyson</t>
        </is>
      </c>
      <c r="F222" s="8" t="inlineStr">
        <is>
          <t>Singapore - St James Power Station Headquarters</t>
        </is>
      </c>
      <c r="G222" s="8" t="n"/>
      <c r="H222" s="14" t="n"/>
      <c r="I222" s="15">
        <f>IF($H222="","",$H222-TODAY())</f>
        <v/>
      </c>
      <c r="J222" s="16" t="inlineStr">
        <is>
          <t>Open posting</t>
        </is>
      </c>
      <c r="K222" s="8" t="n"/>
      <c r="L222" s="17" t="inlineStr">
        <is>
          <t>new</t>
        </is>
      </c>
      <c r="M222" s="18" t="inlineStr"/>
      <c r="N222" s="7" t="inlineStr">
        <is>
          <t>3ff2503536d29e35eed3a6d64672684ecdb4f9fd</t>
        </is>
      </c>
      <c r="O222" s="14" t="n"/>
      <c r="P222" s="7" t="inlineStr">
        <is>
          <t>workday</t>
        </is>
      </c>
      <c r="Q222" s="8" t="inlineStr"/>
      <c r="R222" s="8" t="n"/>
      <c r="S222" s="19" t="n"/>
      <c r="T222" s="19" t="n"/>
      <c r="U222" s="14" t="n">
        <v>46189</v>
      </c>
      <c r="V222" s="7" t="n"/>
    </row>
    <row r="223" ht="28" customHeight="1">
      <c r="A223" s="12">
        <f>IF($L223="applied","Applied",IF($L223="interview","Interview",IF($L223="offer","Offer",IF($L223="rejected","Rejected",IF($L223="ignore","Ignore",IF($L223="archive","Archive",IF($L223="closed","Closed",IF($B223="","Unscored",IF(AND($B223&gt;=8,OR($H223="",$H223-TODAY()&lt;=14)),"P1 Apply",IF($B223&gt;=7,"P2 Strong",IF($B223&gt;=5,"P3 Maybe","P4 Low")))))))))))</f>
        <v/>
      </c>
      <c r="B223" s="13" t="n">
        <v>4.9</v>
      </c>
      <c r="C223" s="12" t="inlineStr">
        <is>
          <t>Unspecified</t>
        </is>
      </c>
      <c r="D223" s="8" t="inlineStr">
        <is>
          <t>Full Stack Developer</t>
        </is>
      </c>
      <c r="E223" s="7" t="inlineStr">
        <is>
          <t>Trafalgar House Pensions Administration</t>
        </is>
      </c>
      <c r="F223" s="8" t="inlineStr">
        <is>
          <t>London, ENG, GB</t>
        </is>
      </c>
      <c r="G223" s="8" t="n"/>
      <c r="H223" s="14" t="n"/>
      <c r="I223" s="15">
        <f>IF($H223="","",$H223-TODAY())</f>
        <v/>
      </c>
      <c r="J223" s="16" t="inlineStr">
        <is>
          <t>Open posting</t>
        </is>
      </c>
      <c r="K223" s="8" t="n"/>
      <c r="L223" s="17" t="inlineStr">
        <is>
          <t>new</t>
        </is>
      </c>
      <c r="M223" s="18" t="inlineStr"/>
      <c r="N223" s="7" t="inlineStr">
        <is>
          <t>65de36eb6775a4c88f3323e9a5517409bb922142</t>
        </is>
      </c>
      <c r="O223" s="14" t="n">
        <v>46191</v>
      </c>
      <c r="P223" s="7" t="inlineStr">
        <is>
          <t>jobspy</t>
        </is>
      </c>
      <c r="Q223" s="8" t="inlineStr">
        <is>
          <t>python, sql, javascript, rest apis, git</t>
        </is>
      </c>
      <c r="R223" s="8" t="inlineStr">
        <is>
          <t>Full Stack Developer</t>
        </is>
      </c>
      <c r="S223" s="19" t="n"/>
      <c r="T223" s="19" t="n"/>
      <c r="U223" s="14" t="n">
        <v>46191</v>
      </c>
      <c r="V223" s="7" t="n"/>
    </row>
    <row r="224" ht="28" customHeight="1">
      <c r="A224" s="12">
        <f>IF($L224="applied","Applied",IF($L224="interview","Interview",IF($L224="offer","Offer",IF($L224="rejected","Rejected",IF($L224="ignore","Ignore",IF($L224="archive","Archive",IF($L224="closed","Closed",IF($B224="","Unscored",IF(AND($B224&gt;=8,OR($H224="",$H224-TODAY()&lt;=14)),"P1 Apply",IF($B224&gt;=7,"P2 Strong",IF($B224&gt;=5,"P3 Maybe","P4 Low")))))))))))</f>
        <v/>
      </c>
      <c r="B224" s="13" t="n">
        <v>4.69</v>
      </c>
      <c r="C224" s="12" t="inlineStr">
        <is>
          <t>Junior</t>
        </is>
      </c>
      <c r="D224" s="8" t="inlineStr">
        <is>
          <t>Junior Python Developer</t>
        </is>
      </c>
      <c r="E224" s="7" t="inlineStr">
        <is>
          <t>Information Tech Consultants</t>
        </is>
      </c>
      <c r="F224" s="8" t="inlineStr">
        <is>
          <t>London Area, United Kingdom</t>
        </is>
      </c>
      <c r="G224" s="8" t="n"/>
      <c r="H224" s="14" t="n"/>
      <c r="I224" s="15">
        <f>IF($H224="","",$H224-TODAY())</f>
        <v/>
      </c>
      <c r="J224" s="16" t="inlineStr">
        <is>
          <t>Open posting</t>
        </is>
      </c>
      <c r="K224" s="8" t="n"/>
      <c r="L224" s="17" t="inlineStr">
        <is>
          <t>new</t>
        </is>
      </c>
      <c r="M224" s="18" t="inlineStr"/>
      <c r="N224" s="7" t="inlineStr">
        <is>
          <t>96144f1e9a6fef78ee59a59cc15ae93d4e2de0f7</t>
        </is>
      </c>
      <c r="O224" s="14" t="n">
        <v>46177</v>
      </c>
      <c r="P224" s="7" t="inlineStr">
        <is>
          <t>jobspy</t>
        </is>
      </c>
      <c r="Q224" s="8" t="inlineStr">
        <is>
          <t>python, sql, git, software development</t>
        </is>
      </c>
      <c r="R224" s="8" t="inlineStr">
        <is>
          <t>Junior Python Developer</t>
        </is>
      </c>
      <c r="S224" s="19" t="n"/>
      <c r="T224" s="19" t="n"/>
      <c r="U224" s="14" t="n">
        <v>46191</v>
      </c>
      <c r="V224" s="7" t="n"/>
    </row>
    <row r="225" ht="28" customHeight="1">
      <c r="A225" s="12">
        <f>IF($L225="applied","Applied",IF($L225="interview","Interview",IF($L225="offer","Offer",IF($L225="rejected","Rejected",IF($L225="ignore","Ignore",IF($L225="archive","Archive",IF($L225="closed","Closed",IF($B225="","Unscored",IF(AND($B225&gt;=8,OR($H225="",$H225-TODAY()&lt;=14)),"P1 Apply",IF($B225&gt;=7,"P2 Strong",IF($B225&gt;=5,"P3 Maybe","P4 Low")))))))))))</f>
        <v/>
      </c>
      <c r="B225" s="13" t="n">
        <v>4.5</v>
      </c>
      <c r="C225" s="12" t="inlineStr">
        <is>
          <t>Mid-level</t>
        </is>
      </c>
      <c r="D225" s="8" t="inlineStr">
        <is>
          <t>Data Engineer</t>
        </is>
      </c>
      <c r="E225" s="7" t="inlineStr">
        <is>
          <t>Brook Green Supply</t>
        </is>
      </c>
      <c r="F225" s="8" t="inlineStr">
        <is>
          <t>London Area, United Kingdom</t>
        </is>
      </c>
      <c r="G225" s="8" t="n"/>
      <c r="H225" s="14" t="n"/>
      <c r="I225" s="15">
        <f>IF($H225="","",$H225-TODAY())</f>
        <v/>
      </c>
      <c r="J225" s="16" t="inlineStr">
        <is>
          <t>Open posting</t>
        </is>
      </c>
      <c r="K225" s="8" t="inlineStr">
        <is>
          <t>Good Python/SQL/Docker/Kubernetes and Git overlap but role requires 2-5 years production data pipeline experience and Spark/Airflow not in profile.</t>
        </is>
      </c>
      <c r="L225" s="17" t="inlineStr">
        <is>
          <t>new</t>
        </is>
      </c>
      <c r="M225" s="18" t="inlineStr"/>
      <c r="N225" s="7" t="inlineStr">
        <is>
          <t>251da88314b0a28c7c1e9112ac7100094a2919e8</t>
        </is>
      </c>
      <c r="O225" s="14" t="n">
        <v>46163</v>
      </c>
      <c r="P225" s="7" t="inlineStr">
        <is>
          <t>jobspy</t>
        </is>
      </c>
      <c r="Q225" s="8" t="inlineStr">
        <is>
          <t>Python, SQL, Docker, Kubernetes, Git</t>
        </is>
      </c>
      <c r="R225" s="8" t="inlineStr">
        <is>
          <t>Junior Data Engineer SQL Python MySQL</t>
        </is>
      </c>
      <c r="S225" s="19" t="n"/>
      <c r="T225" s="19" t="n"/>
      <c r="U225" s="14" t="n">
        <v>46193</v>
      </c>
      <c r="V225" s="7" t="inlineStr">
        <is>
          <t>v2-cv-accuracy-13b988b18da8ea7d</t>
        </is>
      </c>
    </row>
    <row r="226" ht="28" customHeight="1">
      <c r="A226" s="12">
        <f>IF($L226="applied","Applied",IF($L226="interview","Interview",IF($L226="offer","Offer",IF($L226="rejected","Rejected",IF($L226="ignore","Ignore",IF($L226="archive","Archive",IF($L226="closed","Closed",IF($B226="","Unscored",IF(AND($B226&gt;=8,OR($H226="",$H226-TODAY()&lt;=14)),"P1 Apply",IF($B226&gt;=7,"P2 Strong",IF($B226&gt;=5,"P3 Maybe","P4 Low")))))))))))</f>
        <v/>
      </c>
      <c r="B226" s="13" t="n">
        <v>4.5</v>
      </c>
      <c r="C226" s="12" t="inlineStr">
        <is>
          <t>Junior</t>
        </is>
      </c>
      <c r="D226" s="8" t="inlineStr">
        <is>
          <t>Digital Design Engineer (AP)</t>
        </is>
      </c>
      <c r="E226" s="7" t="inlineStr">
        <is>
          <t>Cirrus Logic</t>
        </is>
      </c>
      <c r="F226" s="8" t="inlineStr">
        <is>
          <t>Edinburgh, SCT, GB</t>
        </is>
      </c>
      <c r="G226" s="8" t="n"/>
      <c r="H226" s="14" t="n"/>
      <c r="I226" s="15">
        <f>IF($H226="","",$H226-TODAY())</f>
        <v/>
      </c>
      <c r="J226" s="16" t="inlineStr">
        <is>
          <t>Open posting</t>
        </is>
      </c>
      <c r="K226" s="8" t="inlineStr">
        <is>
          <t>Requires extensive proven background in digital CMOS and RTL design beyond graduate level; Edinburgh location and seniority expectations are significant gaps.</t>
        </is>
      </c>
      <c r="L226" s="17" t="inlineStr">
        <is>
          <t>new</t>
        </is>
      </c>
      <c r="M226" s="18" t="inlineStr"/>
      <c r="N226" s="7" t="inlineStr">
        <is>
          <t>f1fa5b5f3af3b878e1207acb8c198229642c6029</t>
        </is>
      </c>
      <c r="O226" s="14" t="n">
        <v>46182</v>
      </c>
      <c r="P226" s="7" t="inlineStr">
        <is>
          <t>jobspy</t>
        </is>
      </c>
      <c r="Q226" s="8" t="inlineStr">
        <is>
          <t>Verilog, FPGA, digital design, DSP</t>
        </is>
      </c>
      <c r="R226" s="8" t="inlineStr">
        <is>
          <t>Digital Design Engineer FPGA Verilog</t>
        </is>
      </c>
      <c r="S226" s="19" t="n"/>
      <c r="T226" s="19" t="n"/>
      <c r="U226" s="14" t="n">
        <v>46193</v>
      </c>
      <c r="V226" s="7" t="inlineStr">
        <is>
          <t>v2-cv-accuracy-13b988b18da8ea7d</t>
        </is>
      </c>
    </row>
    <row r="227" ht="28" customHeight="1">
      <c r="A227" s="12">
        <f>IF($L227="applied","Applied",IF($L227="interview","Interview",IF($L227="offer","Offer",IF($L227="rejected","Rejected",IF($L227="ignore","Ignore",IF($L227="archive","Archive",IF($L227="closed","Closed",IF($B227="","Unscored",IF(AND($B227&gt;=8,OR($H227="",$H227-TODAY()&lt;=14)),"P1 Apply",IF($B227&gt;=7,"P2 Strong",IF($B227&gt;=5,"P3 Maybe","P4 Low")))))))))))</f>
        <v/>
      </c>
      <c r="B227" s="13" t="n">
        <v>4.5</v>
      </c>
      <c r="C227" s="12" t="inlineStr">
        <is>
          <t>Unspecified</t>
        </is>
      </c>
      <c r="D227" s="8" t="inlineStr">
        <is>
          <t>Platform Engineer</t>
        </is>
      </c>
      <c r="E227" s="7" t="inlineStr">
        <is>
          <t>CMG (Capital Markets Gateway)</t>
        </is>
      </c>
      <c r="F227" s="8" t="inlineStr">
        <is>
          <t>London, England, UK</t>
        </is>
      </c>
      <c r="G227" s="8" t="n"/>
      <c r="H227" s="14" t="n"/>
      <c r="I227" s="15">
        <f>IF($H227="","",$H227-TODAY())</f>
        <v/>
      </c>
      <c r="J227" s="16" t="inlineStr">
        <is>
          <t>Open posting</t>
        </is>
      </c>
      <c r="K227" s="8" t="inlineStr">
        <is>
          <t>Docker and Kubernetes match but role requires Terraform, Azure networking, and infrastructure ownership beyond candidate's current experience level.</t>
        </is>
      </c>
      <c r="L227" s="17" t="inlineStr">
        <is>
          <t>new</t>
        </is>
      </c>
      <c r="M227" s="18" t="inlineStr"/>
      <c r="N227" s="7" t="inlineStr">
        <is>
          <t>a024d50dd70b056ab6209e205029d02dd8965961</t>
        </is>
      </c>
      <c r="O227" s="14" t="n">
        <v>46185</v>
      </c>
      <c r="P227" s="7" t="inlineStr">
        <is>
          <t>jobspy</t>
        </is>
      </c>
      <c r="Q227" s="8" t="inlineStr">
        <is>
          <t>Docker, Kubernetes, Python, Linux</t>
        </is>
      </c>
      <c r="R227" s="8" t="inlineStr">
        <is>
          <t>Platform Engineer Docker Kubernetes Python</t>
        </is>
      </c>
      <c r="S227" s="19" t="n"/>
      <c r="T227" s="19" t="n"/>
      <c r="U227" s="14" t="n">
        <v>46193</v>
      </c>
      <c r="V227" s="7" t="inlineStr">
        <is>
          <t>v2-cv-accuracy-13b988b18da8ea7d</t>
        </is>
      </c>
    </row>
    <row r="228" ht="28" customHeight="1">
      <c r="A228" s="12">
        <f>IF($L228="applied","Applied",IF($L228="interview","Interview",IF($L228="offer","Offer",IF($L228="rejected","Rejected",IF($L228="ignore","Ignore",IF($L228="archive","Archive",IF($L228="closed","Closed",IF($B228="","Unscored",IF(AND($B228&gt;=8,OR($H228="",$H228-TODAY()&lt;=14)),"P1 Apply",IF($B228&gt;=7,"P2 Strong",IF($B228&gt;=5,"P3 Maybe","P4 Low")))))))))))</f>
        <v/>
      </c>
      <c r="B228" s="13" t="n">
        <v>4.5</v>
      </c>
      <c r="C228" s="12" t="inlineStr">
        <is>
          <t>Mid-level</t>
        </is>
      </c>
      <c r="D228" s="8" t="inlineStr">
        <is>
          <t>Embedded Engineer</t>
        </is>
      </c>
      <c r="E228" s="7" t="inlineStr">
        <is>
          <t>Premier Group</t>
        </is>
      </c>
      <c r="F228" s="8" t="inlineStr">
        <is>
          <t>London Area, United Kingdom</t>
        </is>
      </c>
      <c r="G228" s="8" t="n"/>
      <c r="H228" s="14" t="n"/>
      <c r="I228" s="15">
        <f>IF($H228="","",$H228-TODAY())</f>
        <v/>
      </c>
      <c r="J228" s="16" t="inlineStr">
        <is>
          <t>Open posting</t>
        </is>
      </c>
      <c r="K228" s="8" t="inlineStr">
        <is>
          <t>Role requires 2+ years commercial embedded C/C++ and precision motor control; candidate lacks commercial experience and motor control background; also West London on-site.</t>
        </is>
      </c>
      <c r="L228" s="17" t="inlineStr">
        <is>
          <t>new</t>
        </is>
      </c>
      <c r="M228" s="18" t="inlineStr"/>
      <c r="N228" s="7" t="inlineStr">
        <is>
          <t>e3e27c9feb276834dfd9f7221bab87528c76c5f1</t>
        </is>
      </c>
      <c r="O228" s="14" t="n">
        <v>46174</v>
      </c>
      <c r="P228" s="7" t="inlineStr">
        <is>
          <t>jobspy</t>
        </is>
      </c>
      <c r="Q228" s="8" t="inlineStr">
        <is>
          <t>STM32, Raspberry Pi, embedded systems, DSP, Linux</t>
        </is>
      </c>
      <c r="R228" s="8" t="inlineStr">
        <is>
          <t>Junior Embedded Software Engineer STM32</t>
        </is>
      </c>
      <c r="S228" s="19" t="n"/>
      <c r="T228" s="19" t="n"/>
      <c r="U228" s="14" t="n">
        <v>46192</v>
      </c>
      <c r="V228" s="7" t="inlineStr">
        <is>
          <t>v2-cv-accuracy-13b988b18da8ea7d</t>
        </is>
      </c>
    </row>
    <row r="229" ht="28" customHeight="1">
      <c r="A229" s="12">
        <f>IF($L229="applied","Applied",IF($L229="interview","Interview",IF($L229="offer","Offer",IF($L229="rejected","Rejected",IF($L229="ignore","Ignore",IF($L229="archive","Archive",IF($L229="closed","Closed",IF($B229="","Unscored",IF(AND($B229&gt;=8,OR($H229="",$H229-TODAY()&lt;=14)),"P1 Apply",IF($B229&gt;=7,"P2 Strong",IF($B229&gt;=5,"P3 Maybe","P4 Low")))))))))))</f>
        <v/>
      </c>
      <c r="B229" s="13" t="n">
        <v>4.5</v>
      </c>
      <c r="C229" s="12" t="inlineStr">
        <is>
          <t>Mid-level</t>
        </is>
      </c>
      <c r="D229" s="8" t="inlineStr">
        <is>
          <t>Full Stack Engineer</t>
        </is>
      </c>
      <c r="E229" s="7" t="inlineStr">
        <is>
          <t>Bondaval</t>
        </is>
      </c>
      <c r="F229" s="8" t="inlineStr">
        <is>
          <t>London, England, UK</t>
        </is>
      </c>
      <c r="G229" s="8" t="n"/>
      <c r="H229" s="14" t="n"/>
      <c r="I229" s="15">
        <f>IF($H229="","",$H229-TODAY())</f>
        <v/>
      </c>
      <c r="J229" s="16" t="inlineStr">
        <is>
          <t>Open posting</t>
        </is>
      </c>
      <c r="K229" s="8" t="inlineStr">
        <is>
          <t>Docker/Kubernetes and backend skills present, but primary stack is Go/Vue with no profile evidence; fintech focus and London location reduce fit.</t>
        </is>
      </c>
      <c r="L229" s="17" t="inlineStr">
        <is>
          <t>new</t>
        </is>
      </c>
      <c r="M229" s="18" t="inlineStr"/>
      <c r="N229" s="7" t="inlineStr">
        <is>
          <t>f1995af83138729984be603e7f5ef5f0577d6c7e</t>
        </is>
      </c>
      <c r="O229" s="14" t="n">
        <v>46184</v>
      </c>
      <c r="P229" s="7" t="inlineStr">
        <is>
          <t>jobspy</t>
        </is>
      </c>
      <c r="Q229" s="8" t="inlineStr">
        <is>
          <t>Docker, Kubernetes, Python, SQL, REST APIs</t>
        </is>
      </c>
      <c r="R229" s="8" t="inlineStr">
        <is>
          <t>Graduate Backend Developer Docker Kubernetes</t>
        </is>
      </c>
      <c r="S229" s="19" t="n"/>
      <c r="T229" s="19" t="n"/>
      <c r="U229" s="14" t="n">
        <v>46192</v>
      </c>
      <c r="V229" s="7" t="inlineStr">
        <is>
          <t>v2-cv-accuracy-13b988b18da8ea7d</t>
        </is>
      </c>
    </row>
    <row r="230" ht="28" customHeight="1">
      <c r="A230" s="12">
        <f>IF($L230="applied","Applied",IF($L230="interview","Interview",IF($L230="offer","Offer",IF($L230="rejected","Rejected",IF($L230="ignore","Ignore",IF($L230="archive","Archive",IF($L230="closed","Closed",IF($B230="","Unscored",IF(AND($B230&gt;=8,OR($H230="",$H230-TODAY()&lt;=14)),"P1 Apply",IF($B230&gt;=7,"P2 Strong",IF($B230&gt;=5,"P3 Maybe","P4 Low")))))))))))</f>
        <v/>
      </c>
      <c r="B230" s="13" t="n">
        <v>4.49</v>
      </c>
      <c r="C230" s="12" t="inlineStr">
        <is>
          <t>Graduate/Entry</t>
        </is>
      </c>
      <c r="D230" s="8" t="inlineStr">
        <is>
          <t>Junior / Graduate Developer — Bombe</t>
        </is>
      </c>
      <c r="E230" s="7" t="inlineStr">
        <is>
          <t>nan</t>
        </is>
      </c>
      <c r="F230" s="8" t="inlineStr">
        <is>
          <t>London, ENG, GB</t>
        </is>
      </c>
      <c r="G230" s="8" t="n"/>
      <c r="H230" s="14" t="n"/>
      <c r="I230" s="15">
        <f>IF($H230="","",$H230-TODAY())</f>
        <v/>
      </c>
      <c r="J230" s="16" t="inlineStr">
        <is>
          <t>Open posting</t>
        </is>
      </c>
      <c r="K230" s="8" t="n"/>
      <c r="L230" s="17" t="inlineStr">
        <is>
          <t>new</t>
        </is>
      </c>
      <c r="M230" s="18" t="inlineStr"/>
      <c r="N230" s="7" t="inlineStr">
        <is>
          <t>2b24c1fae22b59e0f0c7c0ed3bcc0a28391efa35</t>
        </is>
      </c>
      <c r="O230" s="14" t="n">
        <v>46189</v>
      </c>
      <c r="P230" s="7" t="inlineStr">
        <is>
          <t>jobspy</t>
        </is>
      </c>
      <c r="Q230" s="8" t="inlineStr">
        <is>
          <t>python, sql, javascript, git, web development</t>
        </is>
      </c>
      <c r="R230" s="8" t="inlineStr">
        <is>
          <t>Graduate Software Developer</t>
        </is>
      </c>
      <c r="S230" s="19" t="n"/>
      <c r="T230" s="19" t="n"/>
      <c r="U230" s="14" t="n">
        <v>46191</v>
      </c>
      <c r="V230" s="7" t="n"/>
    </row>
    <row r="231" ht="28" customHeight="1">
      <c r="A231" s="12">
        <f>IF($L231="applied","Applied",IF($L231="interview","Interview",IF($L231="offer","Offer",IF($L231="rejected","Rejected",IF($L231="ignore","Ignore",IF($L231="archive","Archive",IF($L231="closed","Closed",IF($B231="","Unscored",IF(AND($B231&gt;=8,OR($H231="",$H231-TODAY()&lt;=14)),"P1 Apply",IF($B231&gt;=7,"P2 Strong",IF($B231&gt;=5,"P3 Maybe","P4 Low")))))))))))</f>
        <v/>
      </c>
      <c r="B231" s="13" t="n">
        <v>4.49</v>
      </c>
      <c r="C231" s="12" t="inlineStr">
        <is>
          <t>Mid-level</t>
        </is>
      </c>
      <c r="D231" s="8" t="inlineStr">
        <is>
          <t>Back End Developer</t>
        </is>
      </c>
      <c r="E231" s="7" t="inlineStr">
        <is>
          <t>ZeroLight</t>
        </is>
      </c>
      <c r="F231" s="8" t="inlineStr">
        <is>
          <t>Newcastle Upon Tyne, England, UK</t>
        </is>
      </c>
      <c r="G231" s="8" t="n"/>
      <c r="H231" s="14" t="n"/>
      <c r="I231" s="15">
        <f>IF($H231="","",$H231-TODAY())</f>
        <v/>
      </c>
      <c r="J231" s="16" t="inlineStr">
        <is>
          <t>Open posting</t>
        </is>
      </c>
      <c r="K231" s="8" t="n"/>
      <c r="L231" s="17" t="inlineStr">
        <is>
          <t>new</t>
        </is>
      </c>
      <c r="M231" s="18" t="inlineStr"/>
      <c r="N231" s="7" t="inlineStr">
        <is>
          <t>7b168ec05abda21e01d4f48e71269f4acb1e7c97</t>
        </is>
      </c>
      <c r="O231" s="14" t="n">
        <v>46161</v>
      </c>
      <c r="P231" s="7" t="inlineStr">
        <is>
          <t>jobspy</t>
        </is>
      </c>
      <c r="Q231" s="8" t="inlineStr">
        <is>
          <t>python, sql, javascript, git, software development</t>
        </is>
      </c>
      <c r="R231" s="8" t="inlineStr">
        <is>
          <t>graduate Full Stack Developer</t>
        </is>
      </c>
      <c r="S231" s="19" t="n"/>
      <c r="T231" s="19" t="n"/>
      <c r="U231" s="14" t="n">
        <v>46191</v>
      </c>
      <c r="V231" s="7" t="n"/>
    </row>
    <row r="232" ht="28" customHeight="1">
      <c r="A232" s="12">
        <f>IF($L232="applied","Applied",IF($L232="interview","Interview",IF($L232="offer","Offer",IF($L232="rejected","Rejected",IF($L232="ignore","Ignore",IF($L232="archive","Archive",IF($L232="closed","Closed",IF($B232="","Unscored",IF(AND($B232&gt;=8,OR($H232="",$H232-TODAY()&lt;=14)),"P1 Apply",IF($B232&gt;=7,"P2 Strong",IF($B232&gt;=5,"P3 Maybe","P4 Low")))))))))))</f>
        <v/>
      </c>
      <c r="B232" s="13" t="n">
        <v>4.29</v>
      </c>
      <c r="C232" s="12" t="inlineStr">
        <is>
          <t>Junior</t>
        </is>
      </c>
      <c r="D232" s="8" t="inlineStr">
        <is>
          <t>Manchester - Junior Developer - Elevate Programme</t>
        </is>
      </c>
      <c r="E232" s="7" t="inlineStr">
        <is>
          <t>Vantage Point</t>
        </is>
      </c>
      <c r="F232" s="8" t="inlineStr">
        <is>
          <t>Manchester, ENG, GB</t>
        </is>
      </c>
      <c r="G232" s="8" t="n"/>
      <c r="H232" s="14" t="n"/>
      <c r="I232" s="15">
        <f>IF($H232="","",$H232-TODAY())</f>
        <v/>
      </c>
      <c r="J232" s="16" t="inlineStr">
        <is>
          <t>Open posting</t>
        </is>
      </c>
      <c r="K232" s="8" t="n"/>
      <c r="L232" s="17" t="inlineStr">
        <is>
          <t>new</t>
        </is>
      </c>
      <c r="M232" s="18" t="inlineStr"/>
      <c r="N232" s="7" t="inlineStr">
        <is>
          <t>fa2f888f2d04e8edf6734e6670e0c805454dbf48</t>
        </is>
      </c>
      <c r="O232" s="14" t="n">
        <v>46163</v>
      </c>
      <c r="P232" s="7" t="inlineStr">
        <is>
          <t>jobspy</t>
        </is>
      </c>
      <c r="Q232" s="8" t="inlineStr">
        <is>
          <t>python, sql, javascript, rest apis, git</t>
        </is>
      </c>
      <c r="R232" s="8" t="inlineStr">
        <is>
          <t>junior Graduate Software Developer</t>
        </is>
      </c>
      <c r="S232" s="19" t="n"/>
      <c r="T232" s="19" t="n"/>
      <c r="U232" s="14" t="n">
        <v>46191</v>
      </c>
      <c r="V232" s="7" t="n"/>
    </row>
    <row r="233" ht="28" customHeight="1">
      <c r="A233" s="12">
        <f>IF($L233="applied","Applied",IF($L233="interview","Interview",IF($L233="offer","Offer",IF($L233="rejected","Rejected",IF($L233="ignore","Ignore",IF($L233="archive","Archive",IF($L233="closed","Closed",IF($B233="","Unscored",IF(AND($B233&gt;=8,OR($H233="",$H233-TODAY()&lt;=14)),"P1 Apply",IF($B233&gt;=7,"P2 Strong",IF($B233&gt;=5,"P3 Maybe","P4 Low")))))))))))</f>
        <v/>
      </c>
      <c r="B233" s="13" t="n">
        <v>4.08</v>
      </c>
      <c r="C233" s="12" t="inlineStr">
        <is>
          <t>Senior/Lead</t>
        </is>
      </c>
      <c r="D233" s="8" t="inlineStr">
        <is>
          <t>Developer</t>
        </is>
      </c>
      <c r="E233" s="7" t="inlineStr">
        <is>
          <t>UK Home Office</t>
        </is>
      </c>
      <c r="F233" s="8" t="inlineStr">
        <is>
          <t>Croydon, England, UK</t>
        </is>
      </c>
      <c r="G233" s="8" t="n"/>
      <c r="H233" s="14" t="n"/>
      <c r="I233" s="15">
        <f>IF($H233="","",$H233-TODAY())</f>
        <v/>
      </c>
      <c r="J233" s="16" t="inlineStr">
        <is>
          <t>Open posting</t>
        </is>
      </c>
      <c r="K233" s="8" t="n"/>
      <c r="L233" s="17" t="inlineStr">
        <is>
          <t>new</t>
        </is>
      </c>
      <c r="M233" s="18" t="inlineStr"/>
      <c r="N233" s="7" t="inlineStr">
        <is>
          <t>2ff21cf1998bcf27e4659b12bd4c7fab78be4bab</t>
        </is>
      </c>
      <c r="O233" s="14" t="n">
        <v>46178</v>
      </c>
      <c r="P233" s="7" t="inlineStr">
        <is>
          <t>jobspy</t>
        </is>
      </c>
      <c r="Q233" s="8" t="inlineStr">
        <is>
          <t>python, javascript, git, software development</t>
        </is>
      </c>
      <c r="R233" s="8" t="inlineStr">
        <is>
          <t>Graduate Software Developer Sheffield</t>
        </is>
      </c>
      <c r="S233" s="19" t="n"/>
      <c r="T233" s="19" t="n"/>
      <c r="U233" s="14" t="n">
        <v>46191</v>
      </c>
      <c r="V233" s="7" t="n"/>
    </row>
    <row r="234" ht="28" customHeight="1">
      <c r="A234" s="12">
        <f>IF($L234="applied","Applied",IF($L234="interview","Interview",IF($L234="offer","Offer",IF($L234="rejected","Rejected",IF($L234="ignore","Ignore",IF($L234="archive","Archive",IF($L234="closed","Closed",IF($B234="","Unscored",IF(AND($B234&gt;=8,OR($H234="",$H234-TODAY()&lt;=14)),"P1 Apply",IF($B234&gt;=7,"P2 Strong",IF($B234&gt;=5,"P3 Maybe","P4 Low")))))))))))</f>
        <v/>
      </c>
      <c r="B234" s="13" t="n">
        <v>4.08</v>
      </c>
      <c r="C234" s="12" t="inlineStr">
        <is>
          <t>Senior/Lead</t>
        </is>
      </c>
      <c r="D234" s="8" t="inlineStr">
        <is>
          <t>Developer</t>
        </is>
      </c>
      <c r="E234" s="7" t="inlineStr">
        <is>
          <t>UK Home Office</t>
        </is>
      </c>
      <c r="F234" s="8" t="inlineStr">
        <is>
          <t>Sheffield, England, UK</t>
        </is>
      </c>
      <c r="G234" s="8" t="n"/>
      <c r="H234" s="14" t="n"/>
      <c r="I234" s="15">
        <f>IF($H234="","",$H234-TODAY())</f>
        <v/>
      </c>
      <c r="J234" s="16" t="inlineStr">
        <is>
          <t>Open posting</t>
        </is>
      </c>
      <c r="K234" s="8" t="n"/>
      <c r="L234" s="17" t="inlineStr">
        <is>
          <t>new</t>
        </is>
      </c>
      <c r="M234" s="18" t="inlineStr"/>
      <c r="N234" s="7" t="inlineStr">
        <is>
          <t>516310e89fe096bbf52a5b3d906e2dfff0995c4b</t>
        </is>
      </c>
      <c r="O234" s="14" t="n">
        <v>46178</v>
      </c>
      <c r="P234" s="7" t="inlineStr">
        <is>
          <t>jobspy</t>
        </is>
      </c>
      <c r="Q234" s="8" t="inlineStr">
        <is>
          <t>python, javascript, git, software development</t>
        </is>
      </c>
      <c r="R234" s="8" t="inlineStr">
        <is>
          <t>Graduate Software Developer Sheffield</t>
        </is>
      </c>
      <c r="S234" s="19" t="n"/>
      <c r="T234" s="19" t="n"/>
      <c r="U234" s="14" t="n">
        <v>46191</v>
      </c>
      <c r="V234" s="7" t="n"/>
    </row>
    <row r="235" ht="28" customHeight="1">
      <c r="A235" s="12">
        <f>IF($L235="applied","Applied",IF($L235="interview","Interview",IF($L235="offer","Offer",IF($L235="rejected","Rejected",IF($L235="ignore","Ignore",IF($L235="archive","Archive",IF($L235="closed","Closed",IF($B235="","Unscored",IF(AND($B235&gt;=8,OR($H235="",$H235-TODAY()&lt;=14)),"P1 Apply",IF($B235&gt;=7,"P2 Strong",IF($B235&gt;=5,"P3 Maybe","P4 Low")))))))))))</f>
        <v/>
      </c>
      <c r="B235" s="13" t="n">
        <v>4.08</v>
      </c>
      <c r="C235" s="12" t="inlineStr">
        <is>
          <t>Senior/Lead</t>
        </is>
      </c>
      <c r="D235" s="8" t="inlineStr">
        <is>
          <t>Developer</t>
        </is>
      </c>
      <c r="E235" s="7" t="inlineStr">
        <is>
          <t>UK Home Office</t>
        </is>
      </c>
      <c r="F235" s="8" t="inlineStr">
        <is>
          <t>Manchester Area, United Kingdom</t>
        </is>
      </c>
      <c r="G235" s="8" t="n"/>
      <c r="H235" s="14" t="n"/>
      <c r="I235" s="15">
        <f>IF($H235="","",$H235-TODAY())</f>
        <v/>
      </c>
      <c r="J235" s="16" t="inlineStr">
        <is>
          <t>Open posting</t>
        </is>
      </c>
      <c r="K235" s="8" t="n"/>
      <c r="L235" s="17" t="inlineStr">
        <is>
          <t>new</t>
        </is>
      </c>
      <c r="M235" s="18" t="inlineStr"/>
      <c r="N235" s="7" t="inlineStr">
        <is>
          <t>afd46e15dca90198995f9922cf36bb25760daa07</t>
        </is>
      </c>
      <c r="O235" s="14" t="n">
        <v>46178</v>
      </c>
      <c r="P235" s="7" t="inlineStr">
        <is>
          <t>jobspy</t>
        </is>
      </c>
      <c r="Q235" s="8" t="inlineStr">
        <is>
          <t>python, javascript, git, software development</t>
        </is>
      </c>
      <c r="R235" s="8" t="inlineStr">
        <is>
          <t>Graduate Software Developer Sheffield</t>
        </is>
      </c>
      <c r="S235" s="19" t="n"/>
      <c r="T235" s="19" t="n"/>
      <c r="U235" s="14" t="n">
        <v>46191</v>
      </c>
      <c r="V235" s="7" t="n"/>
    </row>
    <row r="236" ht="28" customHeight="1">
      <c r="A236" s="12">
        <f>IF($L236="applied","Applied",IF($L236="interview","Interview",IF($L236="offer","Offer",IF($L236="rejected","Rejected",IF($L236="ignore","Ignore",IF($L236="archive","Archive",IF($L236="closed","Closed",IF($B236="","Unscored",IF(AND($B236&gt;=8,OR($H236="",$H236-TODAY()&lt;=14)),"P1 Apply",IF($B236&gt;=7,"P2 Strong",IF($B236&gt;=5,"P3 Maybe","P4 Low")))))))))))</f>
        <v/>
      </c>
      <c r="B236" s="13" t="n">
        <v>4.08</v>
      </c>
      <c r="C236" s="12" t="inlineStr">
        <is>
          <t>Graduate/Entry</t>
        </is>
      </c>
      <c r="D236" s="8" t="inlineStr">
        <is>
          <t>Entry-Level Developer roles (Software, Web, AI, Data, IT, Product)</t>
        </is>
      </c>
      <c r="E236" s="7" t="inlineStr">
        <is>
          <t>Joinrs</t>
        </is>
      </c>
      <c r="F236" s="8" t="inlineStr"/>
      <c r="G236" s="8" t="n"/>
      <c r="H236" s="14" t="n"/>
      <c r="I236" s="15">
        <f>IF($H236="","",$H236-TODAY())</f>
        <v/>
      </c>
      <c r="J236" s="16" t="inlineStr">
        <is>
          <t>Open posting</t>
        </is>
      </c>
      <c r="K236" s="8" t="n"/>
      <c r="L236" s="17" t="inlineStr">
        <is>
          <t>new</t>
        </is>
      </c>
      <c r="M236" s="18" t="inlineStr"/>
      <c r="N236" s="7" t="inlineStr">
        <is>
          <t>bdbf0a61e6f2f75089136eb9c1c3c146c703c272</t>
        </is>
      </c>
      <c r="O236" s="14" t="n"/>
      <c r="P236" s="7" t="inlineStr">
        <is>
          <t>jobspy</t>
        </is>
      </c>
      <c r="Q236" s="8" t="inlineStr">
        <is>
          <t>python, javascript, git, web development, data analysis</t>
        </is>
      </c>
      <c r="R236" s="8" t="inlineStr">
        <is>
          <t>graduate Graduate Software Developer</t>
        </is>
      </c>
      <c r="S236" s="19" t="n"/>
      <c r="T236" s="19" t="n"/>
      <c r="U236" s="14" t="n">
        <v>46191</v>
      </c>
      <c r="V236" s="7" t="n"/>
    </row>
    <row r="237" ht="28" customHeight="1">
      <c r="A237" s="12">
        <f>IF($L237="applied","Applied",IF($L237="interview","Interview",IF($L237="offer","Offer",IF($L237="rejected","Rejected",IF($L237="ignore","Ignore",IF($L237="archive","Archive",IF($L237="closed","Closed",IF($B237="","Unscored",IF(AND($B237&gt;=8,OR($H237="",$H237-TODAY()&lt;=14)),"P1 Apply",IF($B237&gt;=7,"P2 Strong",IF($B237&gt;=5,"P3 Maybe","P4 Low")))))))))))</f>
        <v/>
      </c>
      <c r="B237" s="13" t="n">
        <v>4.08</v>
      </c>
      <c r="C237" s="12" t="inlineStr">
        <is>
          <t>Junior</t>
        </is>
      </c>
      <c r="D237" s="8" t="inlineStr">
        <is>
          <t>Junior Python Developer</t>
        </is>
      </c>
      <c r="E237" s="7" t="inlineStr">
        <is>
          <t>Information Tech Consultants</t>
        </is>
      </c>
      <c r="F237" s="8" t="inlineStr">
        <is>
          <t>Greater London, England, UK</t>
        </is>
      </c>
      <c r="G237" s="8" t="n"/>
      <c r="H237" s="14" t="n"/>
      <c r="I237" s="15">
        <f>IF($H237="","",$H237-TODAY())</f>
        <v/>
      </c>
      <c r="J237" s="16" t="inlineStr">
        <is>
          <t>Open posting</t>
        </is>
      </c>
      <c r="K237" s="8" t="n"/>
      <c r="L237" s="17" t="inlineStr">
        <is>
          <t>new</t>
        </is>
      </c>
      <c r="M237" s="18" t="inlineStr"/>
      <c r="N237" s="7" t="inlineStr">
        <is>
          <t>41ff8a808871cd91873904162b91fa12053a7ad1</t>
        </is>
      </c>
      <c r="O237" s="14" t="n"/>
      <c r="P237" s="7" t="inlineStr">
        <is>
          <t>jobspy</t>
        </is>
      </c>
      <c r="Q237" s="8" t="inlineStr">
        <is>
          <t>python, sql, rest apis, git, software development</t>
        </is>
      </c>
      <c r="R237" s="8" t="inlineStr">
        <is>
          <t>Junior Python Developer</t>
        </is>
      </c>
      <c r="S237" s="19" t="n"/>
      <c r="T237" s="19" t="n"/>
      <c r="U237" s="14" t="n">
        <v>46191</v>
      </c>
      <c r="V237" s="7" t="n"/>
    </row>
    <row r="238" ht="28" customHeight="1">
      <c r="A238" s="12">
        <f>IF($L238="applied","Applied",IF($L238="interview","Interview",IF($L238="offer","Offer",IF($L238="rejected","Rejected",IF($L238="ignore","Ignore",IF($L238="archive","Archive",IF($L238="closed","Closed",IF($B238="","Unscored",IF(AND($B238&gt;=8,OR($H238="",$H238-TODAY()&lt;=14)),"P1 Apply",IF($B238&gt;=7,"P2 Strong",IF($B238&gt;=5,"P3 Maybe","P4 Low")))))))))))</f>
        <v/>
      </c>
      <c r="B238" s="13" t="n">
        <v>4.08</v>
      </c>
      <c r="C238" s="12" t="inlineStr">
        <is>
          <t>Senior/Lead</t>
        </is>
      </c>
      <c r="D238" s="8" t="inlineStr">
        <is>
          <t>Full Stack Developer</t>
        </is>
      </c>
      <c r="E238" s="7" t="inlineStr">
        <is>
          <t>Version 1</t>
        </is>
      </c>
      <c r="F238" s="8" t="inlineStr">
        <is>
          <t>Newcastle Upon Tyne, England, UK</t>
        </is>
      </c>
      <c r="G238" s="8" t="n"/>
      <c r="H238" s="14" t="n"/>
      <c r="I238" s="15">
        <f>IF($H238="","",$H238-TODAY())</f>
        <v/>
      </c>
      <c r="J238" s="16" t="inlineStr">
        <is>
          <t>Open posting</t>
        </is>
      </c>
      <c r="K238" s="8" t="n"/>
      <c r="L238" s="17" t="inlineStr">
        <is>
          <t>new</t>
        </is>
      </c>
      <c r="M238" s="18" t="inlineStr"/>
      <c r="N238" s="7" t="inlineStr">
        <is>
          <t>d6a01d8c4d82022fbdb33982bfe876821b16a902</t>
        </is>
      </c>
      <c r="O238" s="14" t="n">
        <v>46190</v>
      </c>
      <c r="P238" s="7" t="inlineStr">
        <is>
          <t>jobspy</t>
        </is>
      </c>
      <c r="Q238" s="8" t="inlineStr">
        <is>
          <t>python, sql, rest apis, git</t>
        </is>
      </c>
      <c r="R238" s="8" t="inlineStr">
        <is>
          <t>Full Stack Developer Sheffield</t>
        </is>
      </c>
      <c r="S238" s="19" t="n"/>
      <c r="T238" s="19" t="n"/>
      <c r="U238" s="14" t="n">
        <v>46191</v>
      </c>
      <c r="V238" s="7" t="n"/>
    </row>
    <row r="239" ht="28" customHeight="1">
      <c r="A239" s="12">
        <f>IF($L239="applied","Applied",IF($L239="interview","Interview",IF($L239="offer","Offer",IF($L239="rejected","Rejected",IF($L239="ignore","Ignore",IF($L239="archive","Archive",IF($L239="closed","Closed",IF($B239="","Unscored",IF(AND($B239&gt;=8,OR($H239="",$H239-TODAY()&lt;=14)),"P1 Apply",IF($B239&gt;=7,"P2 Strong",IF($B239&gt;=5,"P3 Maybe","P4 Low")))))))))))</f>
        <v/>
      </c>
      <c r="B239" s="13" t="n">
        <v>4.08</v>
      </c>
      <c r="C239" s="12" t="inlineStr">
        <is>
          <t>Senior/Lead</t>
        </is>
      </c>
      <c r="D239" s="8" t="inlineStr">
        <is>
          <t>Full Stack Developer</t>
        </is>
      </c>
      <c r="E239" s="7" t="inlineStr">
        <is>
          <t>Version 1</t>
        </is>
      </c>
      <c r="F239" s="8" t="inlineStr">
        <is>
          <t>Manchester, England, UK</t>
        </is>
      </c>
      <c r="G239" s="8" t="n"/>
      <c r="H239" s="14" t="n"/>
      <c r="I239" s="15">
        <f>IF($H239="","",$H239-TODAY())</f>
        <v/>
      </c>
      <c r="J239" s="16" t="inlineStr">
        <is>
          <t>Open posting</t>
        </is>
      </c>
      <c r="K239" s="8" t="n"/>
      <c r="L239" s="17" t="inlineStr">
        <is>
          <t>new</t>
        </is>
      </c>
      <c r="M239" s="18" t="inlineStr"/>
      <c r="N239" s="7" t="inlineStr">
        <is>
          <t>fb015aac2a9eaa7fe333c9fe43c85eb6ee4e3d82</t>
        </is>
      </c>
      <c r="O239" s="14" t="n">
        <v>46188</v>
      </c>
      <c r="P239" s="7" t="inlineStr">
        <is>
          <t>jobspy</t>
        </is>
      </c>
      <c r="Q239" s="8" t="inlineStr">
        <is>
          <t>python, sql, rest apis, git</t>
        </is>
      </c>
      <c r="R239" s="8" t="inlineStr">
        <is>
          <t>Full Stack Developer Sheffield</t>
        </is>
      </c>
      <c r="S239" s="19" t="n"/>
      <c r="T239" s="19" t="n"/>
      <c r="U239" s="14" t="n">
        <v>46191</v>
      </c>
      <c r="V239" s="7" t="n"/>
    </row>
    <row r="240" ht="28" customHeight="1">
      <c r="A240" s="12">
        <f>IF($L240="applied","Applied",IF($L240="interview","Interview",IF($L240="offer","Offer",IF($L240="rejected","Rejected",IF($L240="ignore","Ignore",IF($L240="archive","Archive",IF($L240="closed","Closed",IF($B240="","Unscored",IF(AND($B240&gt;=8,OR($H240="",$H240-TODAY()&lt;=14)),"P1 Apply",IF($B240&gt;=7,"P2 Strong",IF($B240&gt;=5,"P3 Maybe","P4 Low")))))))))))</f>
        <v/>
      </c>
      <c r="B240" s="13" t="n">
        <v>4.08</v>
      </c>
      <c r="C240" s="12" t="inlineStr">
        <is>
          <t>Senior/Lead</t>
        </is>
      </c>
      <c r="D240" s="8" t="inlineStr">
        <is>
          <t>Software Engineer I - Trust Tech</t>
        </is>
      </c>
      <c r="E240" s="7" t="inlineStr">
        <is>
          <t>Trustpilot</t>
        </is>
      </c>
      <c r="F240" s="8" t="inlineStr">
        <is>
          <t>London, England, UK</t>
        </is>
      </c>
      <c r="G240" s="8" t="n"/>
      <c r="H240" s="14" t="n"/>
      <c r="I240" s="15">
        <f>IF($H240="","",$H240-TODAY())</f>
        <v/>
      </c>
      <c r="J240" s="16" t="inlineStr">
        <is>
          <t>Open posting</t>
        </is>
      </c>
      <c r="K240" s="8" t="n"/>
      <c r="L240" s="17" t="inlineStr">
        <is>
          <t>new</t>
        </is>
      </c>
      <c r="M240" s="18" t="inlineStr"/>
      <c r="N240" s="7" t="inlineStr">
        <is>
          <t>202942f308ae3970018b06eab317dbb311dce315</t>
        </is>
      </c>
      <c r="O240" s="14" t="n"/>
      <c r="P240" s="7" t="inlineStr">
        <is>
          <t>jobspy</t>
        </is>
      </c>
      <c r="Q240" s="8" t="inlineStr">
        <is>
          <t>sql, javascript, git, web development</t>
        </is>
      </c>
      <c r="R240" s="8" t="inlineStr">
        <is>
          <t>entry level Full Stack Developer</t>
        </is>
      </c>
      <c r="S240" s="19" t="n"/>
      <c r="T240" s="19" t="n"/>
      <c r="U240" s="14" t="n">
        <v>46191</v>
      </c>
      <c r="V240" s="7" t="n"/>
    </row>
    <row r="241" ht="28" customHeight="1">
      <c r="A241" s="12">
        <f>IF($L241="applied","Applied",IF($L241="interview","Interview",IF($L241="offer","Offer",IF($L241="rejected","Rejected",IF($L241="ignore","Ignore",IF($L241="archive","Archive",IF($L241="closed","Closed",IF($B241="","Unscored",IF(AND($B241&gt;=8,OR($H241="",$H241-TODAY()&lt;=14)),"P1 Apply",IF($B241&gt;=7,"P2 Strong",IF($B241&gt;=5,"P3 Maybe","P4 Low")))))))))))</f>
        <v/>
      </c>
      <c r="B241" s="13" t="n">
        <v>4.08</v>
      </c>
      <c r="C241" s="12" t="inlineStr">
        <is>
          <t>Senior/Lead</t>
        </is>
      </c>
      <c r="D241" s="8" t="inlineStr">
        <is>
          <t>Full Stack Developer</t>
        </is>
      </c>
      <c r="E241" s="7" t="inlineStr">
        <is>
          <t>Version 1</t>
        </is>
      </c>
      <c r="F241" s="8" t="inlineStr">
        <is>
          <t>Edinburgh, Scotland, UK</t>
        </is>
      </c>
      <c r="G241" s="8" t="n"/>
      <c r="H241" s="14" t="n"/>
      <c r="I241" s="15">
        <f>IF($H241="","",$H241-TODAY())</f>
        <v/>
      </c>
      <c r="J241" s="16" t="inlineStr">
        <is>
          <t>Open posting</t>
        </is>
      </c>
      <c r="K241" s="8" t="n"/>
      <c r="L241" s="17" t="inlineStr">
        <is>
          <t>new</t>
        </is>
      </c>
      <c r="M241" s="18" t="inlineStr"/>
      <c r="N241" s="7" t="inlineStr">
        <is>
          <t>51efc08491389f32686b86d9573a44ac17ef2696</t>
        </is>
      </c>
      <c r="O241" s="14" t="n">
        <v>46189</v>
      </c>
      <c r="P241" s="7" t="inlineStr">
        <is>
          <t>jobspy</t>
        </is>
      </c>
      <c r="Q241" s="8" t="inlineStr">
        <is>
          <t>python, sql, rest apis, git</t>
        </is>
      </c>
      <c r="R241" s="8" t="inlineStr">
        <is>
          <t>Full Stack Developer</t>
        </is>
      </c>
      <c r="S241" s="19" t="n"/>
      <c r="T241" s="19" t="n"/>
      <c r="U241" s="14" t="n">
        <v>46191</v>
      </c>
      <c r="V241" s="7" t="n"/>
    </row>
    <row r="242" ht="28" customHeight="1">
      <c r="A242" s="12">
        <f>IF($L242="applied","Applied",IF($L242="interview","Interview",IF($L242="offer","Offer",IF($L242="rejected","Rejected",IF($L242="ignore","Ignore",IF($L242="archive","Archive",IF($L242="closed","Closed",IF($B242="","Unscored",IF(AND($B242&gt;=8,OR($H242="",$H242-TODAY()&lt;=14)),"P1 Apply",IF($B242&gt;=7,"P2 Strong",IF($B242&gt;=5,"P3 Maybe","P4 Low")))))))))))</f>
        <v/>
      </c>
      <c r="B242" s="13" t="n">
        <v>4</v>
      </c>
      <c r="C242" s="12" t="inlineStr">
        <is>
          <t>Mid-level</t>
        </is>
      </c>
      <c r="D242" s="8" t="inlineStr">
        <is>
          <t>Data Engineer</t>
        </is>
      </c>
      <c r="E242" s="7" t="inlineStr">
        <is>
          <t>Abound</t>
        </is>
      </c>
      <c r="F242" s="8" t="inlineStr">
        <is>
          <t>London, England, UK</t>
        </is>
      </c>
      <c r="G242" s="8" t="n"/>
      <c r="H242" s="14" t="n"/>
      <c r="I242" s="15">
        <f>IF($H242="","",$H242-TODAY())</f>
        <v/>
      </c>
      <c r="J242" s="16" t="inlineStr">
        <is>
          <t>Open posting</t>
        </is>
      </c>
      <c r="K242" s="8" t="inlineStr">
        <is>
          <t>Data engineering role with Python/SQL/Docker overlap but requires strong AWS production experience and SOLID principles not evidenced in profile.</t>
        </is>
      </c>
      <c r="L242" s="17" t="inlineStr">
        <is>
          <t>new</t>
        </is>
      </c>
      <c r="M242" s="18" t="inlineStr"/>
      <c r="N242" s="7" t="inlineStr">
        <is>
          <t>1d808710ca877423c14c0a101b04e61fa658e309</t>
        </is>
      </c>
      <c r="O242" s="14" t="n">
        <v>46179</v>
      </c>
      <c r="P242" s="7" t="inlineStr">
        <is>
          <t>jobspy</t>
        </is>
      </c>
      <c r="Q242" s="8" t="inlineStr">
        <is>
          <t>Python, SQL, MySQL, Docker, Kubernetes</t>
        </is>
      </c>
      <c r="R242" s="8" t="inlineStr">
        <is>
          <t>Junior Data Engineer SQL Python MySQL</t>
        </is>
      </c>
      <c r="S242" s="19" t="n"/>
      <c r="T242" s="19" t="n"/>
      <c r="U242" s="14" t="n">
        <v>46193</v>
      </c>
      <c r="V242" s="7" t="inlineStr">
        <is>
          <t>v2-cv-accuracy-13b988b18da8ea7d</t>
        </is>
      </c>
    </row>
    <row r="243" ht="28" customHeight="1">
      <c r="A243" s="12">
        <f>IF($L243="applied","Applied",IF($L243="interview","Interview",IF($L243="offer","Offer",IF($L243="rejected","Rejected",IF($L243="ignore","Ignore",IF($L243="archive","Archive",IF($L243="closed","Closed",IF($B243="","Unscored",IF(AND($B243&gt;=8,OR($H243="",$H243-TODAY()&lt;=14)),"P1 Apply",IF($B243&gt;=7,"P2 Strong",IF($B243&gt;=5,"P3 Maybe","P4 Low")))))))))))</f>
        <v/>
      </c>
      <c r="B243" s="13" t="n">
        <v>4</v>
      </c>
      <c r="C243" s="12" t="inlineStr">
        <is>
          <t>Senior/Lead</t>
        </is>
      </c>
      <c r="D243" s="8" t="inlineStr">
        <is>
          <t>GPU Validation and Emulation Engineer - Qualcomm - Cambridge, UK</t>
        </is>
      </c>
      <c r="E243" s="7" t="inlineStr">
        <is>
          <t>Qualcomm</t>
        </is>
      </c>
      <c r="F243" s="8" t="inlineStr">
        <is>
          <t>Cambridge, England, UK</t>
        </is>
      </c>
      <c r="G243" s="8" t="n"/>
      <c r="H243" s="14" t="n"/>
      <c r="I243" s="15">
        <f>IF($H243="","",$H243-TODAY())</f>
        <v/>
      </c>
      <c r="J243" s="16" t="inlineStr">
        <is>
          <t>Open posting</t>
        </is>
      </c>
      <c r="K243" s="8" t="inlineStr">
        <is>
          <t>Minimum 4+ years ASIC/FPGA experience required; candidate has FPGA dissertation experience but lacks the professional years and UVM/SystemVerilog depth.</t>
        </is>
      </c>
      <c r="L243" s="17" t="inlineStr">
        <is>
          <t>new</t>
        </is>
      </c>
      <c r="M243" s="18" t="inlineStr"/>
      <c r="N243" s="7" t="inlineStr">
        <is>
          <t>b3f479fbab946c7431b9d4f86c3fec9dbf3f2dbd</t>
        </is>
      </c>
      <c r="O243" s="14" t="n"/>
      <c r="P243" s="7" t="inlineStr">
        <is>
          <t>jobspy</t>
        </is>
      </c>
      <c r="Q243" s="8" t="inlineStr">
        <is>
          <t>FPGA, Verilog, digital design, Python</t>
        </is>
      </c>
      <c r="R243" s="8" t="inlineStr">
        <is>
          <t>Hardware Engineer graduate FPGA digital design</t>
        </is>
      </c>
      <c r="S243" s="19" t="n"/>
      <c r="T243" s="19" t="n"/>
      <c r="U243" s="14" t="n">
        <v>46193</v>
      </c>
      <c r="V243" s="7" t="inlineStr">
        <is>
          <t>v2-cv-accuracy-13b988b18da8ea7d</t>
        </is>
      </c>
    </row>
    <row r="244" ht="28" customHeight="1">
      <c r="A244" s="12">
        <f>IF($L244="applied","Applied",IF($L244="interview","Interview",IF($L244="offer","Offer",IF($L244="rejected","Rejected",IF($L244="ignore","Ignore",IF($L244="archive","Archive",IF($L244="closed","Closed",IF($B244="","Unscored",IF(AND($B244&gt;=8,OR($H244="",$H244-TODAY()&lt;=14)),"P1 Apply",IF($B244&gt;=7,"P2 Strong",IF($B244&gt;=5,"P3 Maybe","P4 Low")))))))))))</f>
        <v/>
      </c>
      <c r="B244" s="13" t="n">
        <v>4</v>
      </c>
      <c r="C244" s="12" t="inlineStr">
        <is>
          <t>Junior</t>
        </is>
      </c>
      <c r="D244" s="8" t="inlineStr">
        <is>
          <t>Full Stack Developer</t>
        </is>
      </c>
      <c r="E244" s="7" t="inlineStr">
        <is>
          <t>Cactus Search</t>
        </is>
      </c>
      <c r="F244" s="8" t="inlineStr">
        <is>
          <t>Manchester, England, UK</t>
        </is>
      </c>
      <c r="G244" s="8" t="n"/>
      <c r="H244" s="14" t="n"/>
      <c r="I244" s="15">
        <f>IF($H244="","",$H244-TODAY())</f>
        <v/>
      </c>
      <c r="J244" s="16" t="inlineStr">
        <is>
          <t>Open posting</t>
        </is>
      </c>
      <c r="K244" s="8" t="inlineStr">
        <is>
          <t>Requires 3+ years and Twilio API expertise absent from profile; Manchester office 4 days is outside remote preference.</t>
        </is>
      </c>
      <c r="L244" s="17" t="inlineStr">
        <is>
          <t>new</t>
        </is>
      </c>
      <c r="M244" s="18" t="inlineStr"/>
      <c r="N244" s="7" t="inlineStr">
        <is>
          <t>aa745f4e5d62b73d3358bdd261d5b7d75df4c10a</t>
        </is>
      </c>
      <c r="O244" s="14" t="n">
        <v>46177</v>
      </c>
      <c r="P244" s="7" t="inlineStr">
        <is>
          <t>jobspy</t>
        </is>
      </c>
      <c r="Q244" s="8" t="inlineStr">
        <is>
          <t>JavaScript, Node.js, React, REST APIs, AWS</t>
        </is>
      </c>
      <c r="R244" s="8" t="inlineStr">
        <is>
          <t>Full Stack Developer</t>
        </is>
      </c>
      <c r="S244" s="19" t="n"/>
      <c r="T244" s="19" t="n"/>
      <c r="U244" s="14" t="n">
        <v>46192</v>
      </c>
      <c r="V244" s="7" t="inlineStr">
        <is>
          <t>v2-cv-accuracy-13b988b18da8ea7d</t>
        </is>
      </c>
    </row>
    <row r="245" ht="28" customHeight="1">
      <c r="A245" s="12">
        <f>IF($L245="applied","Applied",IF($L245="interview","Interview",IF($L245="offer","Offer",IF($L245="rejected","Rejected",IF($L245="ignore","Ignore",IF($L245="archive","Archive",IF($L245="closed","Closed",IF($B245="","Unscored",IF(AND($B245&gt;=8,OR($H245="",$H245-TODAY()&lt;=14)),"P1 Apply",IF($B245&gt;=7,"P2 Strong",IF($B245&gt;=5,"P3 Maybe","P4 Low")))))))))))</f>
        <v/>
      </c>
      <c r="B245" s="13" t="n">
        <v>4</v>
      </c>
      <c r="C245" s="12" t="inlineStr">
        <is>
          <t>Junior</t>
        </is>
      </c>
      <c r="D245" s="8" t="inlineStr">
        <is>
          <t>DevOps Engineer</t>
        </is>
      </c>
      <c r="E245" s="7" t="inlineStr">
        <is>
          <t>Information Tech Consultants</t>
        </is>
      </c>
      <c r="F245" s="8" t="inlineStr">
        <is>
          <t>England, United Kingdom</t>
        </is>
      </c>
      <c r="G245" s="8" t="n"/>
      <c r="H245" s="14" t="n"/>
      <c r="I245" s="15">
        <f>IF($H245="","",$H245-TODAY())</f>
        <v/>
      </c>
      <c r="J245" s="16" t="inlineStr">
        <is>
          <t>Open posting</t>
        </is>
      </c>
      <c r="K245" s="8" t="inlineStr">
        <is>
          <t>Some skill overlap (Python, Docker, Kubernetes, Git) but London onsite-only and no AWS hands-on evidence in profile are meaningful gaps.</t>
        </is>
      </c>
      <c r="L245" s="17" t="inlineStr">
        <is>
          <t>new</t>
        </is>
      </c>
      <c r="M245" s="18" t="inlineStr"/>
      <c r="N245" s="7" t="inlineStr">
        <is>
          <t>806780f46a303bdf3ce2fe3ea37ec63f8fe85d04</t>
        </is>
      </c>
      <c r="O245" s="14" t="n">
        <v>46185</v>
      </c>
      <c r="P245" s="7" t="inlineStr">
        <is>
          <t>jobspy</t>
        </is>
      </c>
      <c r="Q245" s="8" t="inlineStr">
        <is>
          <t>Python, Docker, Kubernetes, Git, MySQL</t>
        </is>
      </c>
      <c r="R245" s="8" t="inlineStr">
        <is>
          <t>Graduate DevOps Engineer Docker Kubernetes Python</t>
        </is>
      </c>
      <c r="S245" s="19" t="n"/>
      <c r="T245" s="19" t="n"/>
      <c r="U245" s="14" t="n">
        <v>46192</v>
      </c>
      <c r="V245" s="7" t="inlineStr">
        <is>
          <t>v2-cv-accuracy-13b988b18da8ea7d</t>
        </is>
      </c>
    </row>
    <row r="246" ht="28" customHeight="1">
      <c r="A246" s="12">
        <f>IF($L246="applied","Applied",IF($L246="interview","Interview",IF($L246="offer","Offer",IF($L246="rejected","Rejected",IF($L246="ignore","Ignore",IF($L246="archive","Archive",IF($L246="closed","Closed",IF($B246="","Unscored",IF(AND($B246&gt;=8,OR($H246="",$H246-TODAY()&lt;=14)),"P1 Apply",IF($B246&gt;=7,"P2 Strong",IF($B246&gt;=5,"P3 Maybe","P4 Low")))))))))))</f>
        <v/>
      </c>
      <c r="B246" s="13" t="n">
        <v>3.88</v>
      </c>
      <c r="C246" s="12" t="inlineStr">
        <is>
          <t>Unspecified</t>
        </is>
      </c>
      <c r="D246" s="8" t="inlineStr">
        <is>
          <t>Overseas Contractor</t>
        </is>
      </c>
      <c r="E246" s="7" t="inlineStr">
        <is>
          <t>LTM</t>
        </is>
      </c>
      <c r="F246" s="8" t="inlineStr">
        <is>
          <t>Sheffield, England, UK</t>
        </is>
      </c>
      <c r="G246" s="8" t="n"/>
      <c r="H246" s="14" t="n"/>
      <c r="I246" s="15">
        <f>IF($H246="","",$H246-TODAY())</f>
        <v/>
      </c>
      <c r="J246" s="16" t="inlineStr">
        <is>
          <t>Open posting</t>
        </is>
      </c>
      <c r="K246" s="8" t="n"/>
      <c r="L246" s="17" t="inlineStr">
        <is>
          <t>new</t>
        </is>
      </c>
      <c r="M246" s="18" t="inlineStr"/>
      <c r="N246" s="7" t="inlineStr">
        <is>
          <t>51a08f2ab8bb561bbec573d5bb8c67784c9690e6</t>
        </is>
      </c>
      <c r="O246" s="14" t="n">
        <v>46178</v>
      </c>
      <c r="P246" s="7" t="inlineStr">
        <is>
          <t>jobspy</t>
        </is>
      </c>
      <c r="Q246" s="8" t="inlineStr">
        <is>
          <t>python, sql, git, software development</t>
        </is>
      </c>
      <c r="R246" s="8" t="inlineStr">
        <is>
          <t>Graduate Software Developer Sheffield</t>
        </is>
      </c>
      <c r="S246" s="19" t="n"/>
      <c r="T246" s="19" t="n"/>
      <c r="U246" s="14" t="n">
        <v>46191</v>
      </c>
      <c r="V246" s="7" t="n"/>
    </row>
    <row r="247" ht="28" customHeight="1">
      <c r="A247" s="12">
        <f>IF($L247="applied","Applied",IF($L247="interview","Interview",IF($L247="offer","Offer",IF($L247="rejected","Rejected",IF($L247="ignore","Ignore",IF($L247="archive","Archive",IF($L247="closed","Closed",IF($B247="","Unscored",IF(AND($B247&gt;=8,OR($H247="",$H247-TODAY()&lt;=14)),"P1 Apply",IF($B247&gt;=7,"P2 Strong",IF($B247&gt;=5,"P3 Maybe","P4 Low")))))))))))</f>
        <v/>
      </c>
      <c r="B247" s="13" t="n">
        <v>3.88</v>
      </c>
      <c r="C247" s="12" t="inlineStr">
        <is>
          <t>Unspecified</t>
        </is>
      </c>
      <c r="D247" s="8" t="inlineStr">
        <is>
          <t>Mid Backend Engineer</t>
        </is>
      </c>
      <c r="E247" s="7" t="inlineStr">
        <is>
          <t>Bumper</t>
        </is>
      </c>
      <c r="F247" s="8" t="inlineStr"/>
      <c r="G247" s="8" t="n"/>
      <c r="H247" s="14" t="n"/>
      <c r="I247" s="15">
        <f>IF($H247="","",$H247-TODAY())</f>
        <v/>
      </c>
      <c r="J247" s="16" t="inlineStr">
        <is>
          <t>Open posting</t>
        </is>
      </c>
      <c r="K247" s="8" t="n"/>
      <c r="L247" s="17" t="inlineStr">
        <is>
          <t>new</t>
        </is>
      </c>
      <c r="M247" s="18" t="inlineStr"/>
      <c r="N247" s="7" t="inlineStr">
        <is>
          <t>8e65899ad0b33f162c36c7bbd37b410d36bc1983</t>
        </is>
      </c>
      <c r="O247" s="14" t="n">
        <v>46189</v>
      </c>
      <c r="P247" s="7" t="inlineStr">
        <is>
          <t>jobspy</t>
        </is>
      </c>
      <c r="Q247" s="8" t="inlineStr">
        <is>
          <t>python, sql, rest apis, git, data analysis</t>
        </is>
      </c>
      <c r="R247" s="8" t="inlineStr">
        <is>
          <t>Junior Python Developer Sheffield</t>
        </is>
      </c>
      <c r="S247" s="19" t="n"/>
      <c r="T247" s="19" t="n"/>
      <c r="U247" s="14" t="n">
        <v>46191</v>
      </c>
      <c r="V247" s="7" t="n"/>
    </row>
    <row r="248" ht="28" customHeight="1">
      <c r="A248" s="12">
        <f>IF($L248="applied","Applied",IF($L248="interview","Interview",IF($L248="offer","Offer",IF($L248="rejected","Rejected",IF($L248="ignore","Ignore",IF($L248="archive","Archive",IF($L248="closed","Closed",IF($B248="","Unscored",IF(AND($B248&gt;=8,OR($H248="",$H248-TODAY()&lt;=14)),"P1 Apply",IF($B248&gt;=7,"P2 Strong",IF($B248&gt;=5,"P3 Maybe","P4 Low")))))))))))</f>
        <v/>
      </c>
      <c r="B248" s="13" t="n">
        <v>3.88</v>
      </c>
      <c r="C248" s="12" t="inlineStr">
        <is>
          <t>Unspecified</t>
        </is>
      </c>
      <c r="D248" s="8" t="inlineStr">
        <is>
          <t>Full Stack Application Developer - Investment Technology (Hedge Fund)</t>
        </is>
      </c>
      <c r="E248" s="7" t="inlineStr">
        <is>
          <t>NDA</t>
        </is>
      </c>
      <c r="F248" s="8" t="inlineStr">
        <is>
          <t>London Area, United Kingdom</t>
        </is>
      </c>
      <c r="G248" s="8" t="n"/>
      <c r="H248" s="14" t="n"/>
      <c r="I248" s="15">
        <f>IF($H248="","",$H248-TODAY())</f>
        <v/>
      </c>
      <c r="J248" s="16" t="inlineStr">
        <is>
          <t>Open posting</t>
        </is>
      </c>
      <c r="K248" s="8" t="n"/>
      <c r="L248" s="17" t="inlineStr">
        <is>
          <t>new</t>
        </is>
      </c>
      <c r="M248" s="18" t="inlineStr"/>
      <c r="N248" s="7" t="inlineStr">
        <is>
          <t>7a5d95a4e70d775bb23429ede2b62cca23970a54</t>
        </is>
      </c>
      <c r="O248" s="14" t="n">
        <v>46176</v>
      </c>
      <c r="P248" s="7" t="inlineStr">
        <is>
          <t>jobspy</t>
        </is>
      </c>
      <c r="Q248" s="8" t="inlineStr">
        <is>
          <t>python, sql, javascript, rest apis, software development</t>
        </is>
      </c>
      <c r="R248" s="8" t="inlineStr">
        <is>
          <t>graduate Full Stack Developer</t>
        </is>
      </c>
      <c r="S248" s="19" t="n"/>
      <c r="T248" s="19" t="n"/>
      <c r="U248" s="14" t="n">
        <v>46191</v>
      </c>
      <c r="V248" s="7" t="n"/>
    </row>
    <row r="249" ht="28" customHeight="1">
      <c r="A249" s="12">
        <f>IF($L249="applied","Applied",IF($L249="interview","Interview",IF($L249="offer","Offer",IF($L249="rejected","Rejected",IF($L249="ignore","Ignore",IF($L249="archive","Archive",IF($L249="closed","Closed",IF($B249="","Unscored",IF(AND($B249&gt;=8,OR($H249="",$H249-TODAY()&lt;=14)),"P1 Apply",IF($B249&gt;=7,"P2 Strong",IF($B249&gt;=5,"P3 Maybe","P4 Low")))))))))))</f>
        <v/>
      </c>
      <c r="B249" s="13" t="n">
        <v>3.88</v>
      </c>
      <c r="C249" s="12" t="inlineStr">
        <is>
          <t>Senior/Lead</t>
        </is>
      </c>
      <c r="D249" s="8" t="inlineStr">
        <is>
          <t>Python Fullstack Developer</t>
        </is>
      </c>
      <c r="E249" s="7" t="inlineStr">
        <is>
          <t>Mphasis</t>
        </is>
      </c>
      <c r="F249" s="8" t="inlineStr">
        <is>
          <t>London Area, United Kingdom</t>
        </is>
      </c>
      <c r="G249" s="8" t="n"/>
      <c r="H249" s="14" t="n"/>
      <c r="I249" s="15">
        <f>IF($H249="","",$H249-TODAY())</f>
        <v/>
      </c>
      <c r="J249" s="16" t="inlineStr">
        <is>
          <t>Open posting</t>
        </is>
      </c>
      <c r="K249" s="8" t="n"/>
      <c r="L249" s="17" t="inlineStr">
        <is>
          <t>new</t>
        </is>
      </c>
      <c r="M249" s="18" t="inlineStr"/>
      <c r="N249" s="7" t="inlineStr">
        <is>
          <t>721975b96e628f2512647f3bfb2821b307f10a46</t>
        </is>
      </c>
      <c r="O249" s="14" t="n">
        <v>46175</v>
      </c>
      <c r="P249" s="7" t="inlineStr">
        <is>
          <t>jobspy</t>
        </is>
      </c>
      <c r="Q249" s="8" t="inlineStr">
        <is>
          <t>python, sql, software development</t>
        </is>
      </c>
      <c r="R249" s="8" t="inlineStr">
        <is>
          <t>junior/graduate Junior Python Developer</t>
        </is>
      </c>
      <c r="S249" s="19" t="n"/>
      <c r="T249" s="19" t="n"/>
      <c r="U249" s="14" t="n">
        <v>46191</v>
      </c>
      <c r="V249" s="7" t="n"/>
    </row>
    <row r="250" ht="28" customHeight="1">
      <c r="A250" s="12">
        <f>IF($L250="applied","Applied",IF($L250="interview","Interview",IF($L250="offer","Offer",IF($L250="rejected","Rejected",IF($L250="ignore","Ignore",IF($L250="archive","Archive",IF($L250="closed","Closed",IF($B250="","Unscored",IF(AND($B250&gt;=8,OR($H250="",$H250-TODAY()&lt;=14)),"P1 Apply",IF($B250&gt;=7,"P2 Strong",IF($B250&gt;=5,"P3 Maybe","P4 Low")))))))))))</f>
        <v/>
      </c>
      <c r="B250" s="13" t="n">
        <v>3.88</v>
      </c>
      <c r="C250" s="12" t="inlineStr">
        <is>
          <t>Mid-level</t>
        </is>
      </c>
      <c r="D250" s="8" t="inlineStr">
        <is>
          <t>Full Stack Developer</t>
        </is>
      </c>
      <c r="E250" s="7" t="inlineStr">
        <is>
          <t>Scrumconnect Consulting</t>
        </is>
      </c>
      <c r="F250" s="8" t="inlineStr">
        <is>
          <t>Newcastle Upon Tyne, England, UK</t>
        </is>
      </c>
      <c r="G250" s="8" t="n"/>
      <c r="H250" s="14" t="n"/>
      <c r="I250" s="15">
        <f>IF($H250="","",$H250-TODAY())</f>
        <v/>
      </c>
      <c r="J250" s="16" t="inlineStr">
        <is>
          <t>Open posting</t>
        </is>
      </c>
      <c r="K250" s="8" t="n"/>
      <c r="L250" s="17" t="inlineStr">
        <is>
          <t>new</t>
        </is>
      </c>
      <c r="M250" s="18" t="inlineStr"/>
      <c r="N250" s="7" t="inlineStr">
        <is>
          <t>e4aeb6049f8287e7b38414c8ea296703415080df</t>
        </is>
      </c>
      <c r="O250" s="14" t="n">
        <v>46169</v>
      </c>
      <c r="P250" s="7" t="inlineStr">
        <is>
          <t>jobspy</t>
        </is>
      </c>
      <c r="Q250" s="8" t="inlineStr">
        <is>
          <t>javascript, rest apis, git</t>
        </is>
      </c>
      <c r="R250" s="8" t="inlineStr">
        <is>
          <t>Full Stack Developer</t>
        </is>
      </c>
      <c r="S250" s="19" t="n"/>
      <c r="T250" s="19" t="n"/>
      <c r="U250" s="14" t="n">
        <v>46191</v>
      </c>
      <c r="V250" s="7" t="n"/>
    </row>
    <row r="251" ht="28" customHeight="1">
      <c r="A251" s="12">
        <f>IF($L251="applied","Applied",IF($L251="interview","Interview",IF($L251="offer","Offer",IF($L251="rejected","Rejected",IF($L251="ignore","Ignore",IF($L251="archive","Archive",IF($L251="closed","Closed",IF($B251="","Unscored",IF(AND($B251&gt;=8,OR($H251="",$H251-TODAY()&lt;=14)),"P1 Apply",IF($B251&gt;=7,"P2 Strong",IF($B251&gt;=5,"P3 Maybe","P4 Low")))))))))))</f>
        <v/>
      </c>
      <c r="B251" s="13" t="n">
        <v>3.67</v>
      </c>
      <c r="C251" s="12" t="inlineStr">
        <is>
          <t>Unspecified</t>
        </is>
      </c>
      <c r="D251" s="8" t="inlineStr">
        <is>
          <t>Python Developer</t>
        </is>
      </c>
      <c r="E251" s="7" t="inlineStr">
        <is>
          <t>EDF Trading</t>
        </is>
      </c>
      <c r="F251" s="8" t="inlineStr">
        <is>
          <t>London Area, United Kingdom</t>
        </is>
      </c>
      <c r="G251" s="8" t="n"/>
      <c r="H251" s="14" t="n"/>
      <c r="I251" s="15">
        <f>IF($H251="","",$H251-TODAY())</f>
        <v/>
      </c>
      <c r="J251" s="16" t="inlineStr">
        <is>
          <t>Open posting</t>
        </is>
      </c>
      <c r="K251" s="8" t="n"/>
      <c r="L251" s="17" t="inlineStr">
        <is>
          <t>new</t>
        </is>
      </c>
      <c r="M251" s="18" t="inlineStr"/>
      <c r="N251" s="7" t="inlineStr">
        <is>
          <t>ea9b22b896311af6fd2bca2f6014193237a8f29b</t>
        </is>
      </c>
      <c r="O251" s="14" t="n">
        <v>46178</v>
      </c>
      <c r="P251" s="7" t="inlineStr">
        <is>
          <t>jobspy</t>
        </is>
      </c>
      <c r="Q251" s="8" t="inlineStr">
        <is>
          <t>python, sql, git, software development</t>
        </is>
      </c>
      <c r="R251" s="8" t="inlineStr">
        <is>
          <t>Junior Python Developer</t>
        </is>
      </c>
      <c r="S251" s="19" t="n"/>
      <c r="T251" s="19" t="n"/>
      <c r="U251" s="14" t="n">
        <v>46191</v>
      </c>
      <c r="V251" s="7" t="n"/>
    </row>
    <row r="252" ht="28" customHeight="1">
      <c r="A252" s="12">
        <f>IF($L252="applied","Applied",IF($L252="interview","Interview",IF($L252="offer","Offer",IF($L252="rejected","Rejected",IF($L252="ignore","Ignore",IF($L252="archive","Archive",IF($L252="closed","Closed",IF($B252="","Unscored",IF(AND($B252&gt;=8,OR($H252="",$H252-TODAY()&lt;=14)),"P1 Apply",IF($B252&gt;=7,"P2 Strong",IF($B252&gt;=5,"P3 Maybe","P4 Low")))))))))))</f>
        <v/>
      </c>
      <c r="B252" s="13" t="n">
        <v>3.67</v>
      </c>
      <c r="C252" s="12" t="inlineStr">
        <is>
          <t>Senior/Lead</t>
        </is>
      </c>
      <c r="D252" s="8" t="inlineStr">
        <is>
          <t>Java Full Stack Developer | Microservices. Kafka | London</t>
        </is>
      </c>
      <c r="E252" s="7" t="inlineStr">
        <is>
          <t>Infosys</t>
        </is>
      </c>
      <c r="F252" s="8" t="inlineStr">
        <is>
          <t>London, ENG, GB</t>
        </is>
      </c>
      <c r="G252" s="8" t="n"/>
      <c r="H252" s="14" t="n"/>
      <c r="I252" s="15">
        <f>IF($H252="","",$H252-TODAY())</f>
        <v/>
      </c>
      <c r="J252" s="16" t="inlineStr">
        <is>
          <t>Open posting</t>
        </is>
      </c>
      <c r="K252" s="8" t="n"/>
      <c r="L252" s="17" t="inlineStr">
        <is>
          <t>new</t>
        </is>
      </c>
      <c r="M252" s="18" t="inlineStr"/>
      <c r="N252" s="7" t="inlineStr">
        <is>
          <t>89879c88889861cce8dfa596319fff9167495443</t>
        </is>
      </c>
      <c r="O252" s="14" t="n">
        <v>46190</v>
      </c>
      <c r="P252" s="7" t="inlineStr">
        <is>
          <t>jobspy</t>
        </is>
      </c>
      <c r="Q252" s="8" t="inlineStr">
        <is>
          <t>sql, javascript, git</t>
        </is>
      </c>
      <c r="R252" s="8" t="inlineStr">
        <is>
          <t>Full Stack Developer</t>
        </is>
      </c>
      <c r="S252" s="19" t="n"/>
      <c r="T252" s="19" t="n"/>
      <c r="U252" s="14" t="n">
        <v>46191</v>
      </c>
      <c r="V252" s="7" t="n"/>
    </row>
    <row r="253" ht="28" customHeight="1">
      <c r="A253" s="12">
        <f>IF($L253="applied","Applied",IF($L253="interview","Interview",IF($L253="offer","Offer",IF($L253="rejected","Rejected",IF($L253="ignore","Ignore",IF($L253="archive","Archive",IF($L253="closed","Closed",IF($B253="","Unscored",IF(AND($B253&gt;=8,OR($H253="",$H253-TODAY()&lt;=14)),"P1 Apply",IF($B253&gt;=7,"P2 Strong",IF($B253&gt;=5,"P3 Maybe","P4 Low")))))))))))</f>
        <v/>
      </c>
      <c r="B253" s="13" t="n">
        <v>3.67</v>
      </c>
      <c r="C253" s="12" t="inlineStr">
        <is>
          <t>Mid-level</t>
        </is>
      </c>
      <c r="D253" s="8" t="inlineStr">
        <is>
          <t>Software Engineer, Full Stack - UK</t>
        </is>
      </c>
      <c r="E253" s="7" t="inlineStr">
        <is>
          <t>Ema</t>
        </is>
      </c>
      <c r="F253" s="8" t="inlineStr">
        <is>
          <t>London, ENG, GB</t>
        </is>
      </c>
      <c r="G253" s="8" t="n"/>
      <c r="H253" s="14" t="n"/>
      <c r="I253" s="15">
        <f>IF($H253="","",$H253-TODAY())</f>
        <v/>
      </c>
      <c r="J253" s="16" t="inlineStr">
        <is>
          <t>Open posting</t>
        </is>
      </c>
      <c r="K253" s="8" t="n"/>
      <c r="L253" s="17" t="inlineStr">
        <is>
          <t>new</t>
        </is>
      </c>
      <c r="M253" s="18" t="inlineStr"/>
      <c r="N253" s="7" t="inlineStr">
        <is>
          <t>0d7f6e428bdf4ca99933d3b86a8bd449d2da90d7</t>
        </is>
      </c>
      <c r="O253" s="14" t="n">
        <v>46184</v>
      </c>
      <c r="P253" s="7" t="inlineStr">
        <is>
          <t>jobspy</t>
        </is>
      </c>
      <c r="Q253" s="8" t="inlineStr">
        <is>
          <t>python, sql, javascript, software development</t>
        </is>
      </c>
      <c r="R253" s="8" t="inlineStr">
        <is>
          <t>graduate Full Stack Developer</t>
        </is>
      </c>
      <c r="S253" s="19" t="n"/>
      <c r="T253" s="19" t="n"/>
      <c r="U253" s="14" t="n">
        <v>46191</v>
      </c>
      <c r="V253" s="7" t="n"/>
    </row>
    <row r="254" ht="28" customHeight="1">
      <c r="A254" s="12">
        <f>IF($L254="applied","Applied",IF($L254="interview","Interview",IF($L254="offer","Offer",IF($L254="rejected","Rejected",IF($L254="ignore","Ignore",IF($L254="archive","Archive",IF($L254="closed","Closed",IF($B254="","Unscored",IF(AND($B254&gt;=8,OR($H254="",$H254-TODAY()&lt;=14)),"P1 Apply",IF($B254&gt;=7,"P2 Strong",IF($B254&gt;=5,"P3 Maybe","P4 Low")))))))))))</f>
        <v/>
      </c>
      <c r="B254" s="13" t="n">
        <v>3.67</v>
      </c>
      <c r="C254" s="12" t="inlineStr">
        <is>
          <t>Mid-level</t>
        </is>
      </c>
      <c r="D254" s="8" t="inlineStr">
        <is>
          <t>Python Backend Developer</t>
        </is>
      </c>
      <c r="E254" s="7" t="inlineStr">
        <is>
          <t>Mustard Systems Ltd.</t>
        </is>
      </c>
      <c r="F254" s="8" t="inlineStr">
        <is>
          <t>London, England, UK</t>
        </is>
      </c>
      <c r="G254" s="8" t="n"/>
      <c r="H254" s="14" t="n"/>
      <c r="I254" s="15">
        <f>IF($H254="","",$H254-TODAY())</f>
        <v/>
      </c>
      <c r="J254" s="16" t="inlineStr">
        <is>
          <t>Open posting</t>
        </is>
      </c>
      <c r="K254" s="8" t="n"/>
      <c r="L254" s="17" t="inlineStr">
        <is>
          <t>new</t>
        </is>
      </c>
      <c r="M254" s="18" t="inlineStr"/>
      <c r="N254" s="7" t="inlineStr">
        <is>
          <t>5dbba97948ef1a053a4ea3593e80a1f89c677d3c</t>
        </is>
      </c>
      <c r="O254" s="14" t="n">
        <v>46181</v>
      </c>
      <c r="P254" s="7" t="inlineStr">
        <is>
          <t>jobspy</t>
        </is>
      </c>
      <c r="Q254" s="8" t="inlineStr">
        <is>
          <t>python, sql, javascript, software development</t>
        </is>
      </c>
      <c r="R254" s="8" t="inlineStr">
        <is>
          <t>junior/graduate Junior Python Developer</t>
        </is>
      </c>
      <c r="S254" s="19" t="n"/>
      <c r="T254" s="19" t="n"/>
      <c r="U254" s="14" t="n">
        <v>46191</v>
      </c>
      <c r="V254" s="7" t="n"/>
    </row>
    <row r="255" ht="28" customHeight="1">
      <c r="A255" s="12">
        <f>IF($L255="applied","Applied",IF($L255="interview","Interview",IF($L255="offer","Offer",IF($L255="rejected","Rejected",IF($L255="ignore","Ignore",IF($L255="archive","Archive",IF($L255="closed","Closed",IF($B255="","Unscored",IF(AND($B255&gt;=8,OR($H255="",$H255-TODAY()&lt;=14)),"P1 Apply",IF($B255&gt;=7,"P2 Strong",IF($B255&gt;=5,"P3 Maybe","P4 Low")))))))))))</f>
        <v/>
      </c>
      <c r="B255" s="13" t="n">
        <v>3.67</v>
      </c>
      <c r="C255" s="12" t="inlineStr">
        <is>
          <t>Mid-level</t>
        </is>
      </c>
      <c r="D255" s="8" t="inlineStr">
        <is>
          <t>Python Developer – UK Remote Contract – Outside IR35</t>
        </is>
      </c>
      <c r="E255" s="7" t="inlineStr">
        <is>
          <t>Infused Solutions</t>
        </is>
      </c>
      <c r="F255" s="8" t="inlineStr">
        <is>
          <t>England, United Kingdom</t>
        </is>
      </c>
      <c r="G255" s="8" t="n"/>
      <c r="H255" s="14" t="n"/>
      <c r="I255" s="15">
        <f>IF($H255="","",$H255-TODAY())</f>
        <v/>
      </c>
      <c r="J255" s="16" t="inlineStr">
        <is>
          <t>Open posting</t>
        </is>
      </c>
      <c r="K255" s="8" t="n"/>
      <c r="L255" s="17" t="inlineStr">
        <is>
          <t>new</t>
        </is>
      </c>
      <c r="M255" s="18" t="inlineStr"/>
      <c r="N255" s="7" t="inlineStr">
        <is>
          <t>20335c635619221414b95473f5cc2833c341d649</t>
        </is>
      </c>
      <c r="O255" s="14" t="n">
        <v>46175</v>
      </c>
      <c r="P255" s="7" t="inlineStr">
        <is>
          <t>jobspy</t>
        </is>
      </c>
      <c r="Q255" s="8" t="inlineStr">
        <is>
          <t>python, sql, git</t>
        </is>
      </c>
      <c r="R255" s="8" t="inlineStr">
        <is>
          <t>Junior Python Developer remote</t>
        </is>
      </c>
      <c r="S255" s="19" t="n"/>
      <c r="T255" s="19" t="n"/>
      <c r="U255" s="14" t="n">
        <v>46191</v>
      </c>
      <c r="V255" s="7" t="n"/>
    </row>
    <row r="256" ht="28" customHeight="1">
      <c r="A256" s="12">
        <f>IF($L256="applied","Applied",IF($L256="interview","Interview",IF($L256="offer","Offer",IF($L256="rejected","Rejected",IF($L256="ignore","Ignore",IF($L256="archive","Archive",IF($L256="closed","Closed",IF($B256="","Unscored",IF(AND($B256&gt;=8,OR($H256="",$H256-TODAY()&lt;=14)),"P1 Apply",IF($B256&gt;=7,"P2 Strong",IF($B256&gt;=5,"P3 Maybe","P4 Low")))))))))))</f>
        <v/>
      </c>
      <c r="B256" s="13" t="n">
        <v>3.67</v>
      </c>
      <c r="C256" s="12" t="inlineStr">
        <is>
          <t>Mid-level</t>
        </is>
      </c>
      <c r="D256" s="8" t="inlineStr">
        <is>
          <t>Full Stack Engineer</t>
        </is>
      </c>
      <c r="E256" s="7" t="inlineStr">
        <is>
          <t>Finimize</t>
        </is>
      </c>
      <c r="F256" s="8" t="inlineStr">
        <is>
          <t>Greater London, England, UK</t>
        </is>
      </c>
      <c r="G256" s="8" t="n"/>
      <c r="H256" s="14" t="n"/>
      <c r="I256" s="15">
        <f>IF($H256="","",$H256-TODAY())</f>
        <v/>
      </c>
      <c r="J256" s="16" t="inlineStr">
        <is>
          <t>Open posting</t>
        </is>
      </c>
      <c r="K256" s="8" t="n"/>
      <c r="L256" s="17" t="inlineStr">
        <is>
          <t>new</t>
        </is>
      </c>
      <c r="M256" s="18" t="inlineStr"/>
      <c r="N256" s="7" t="inlineStr">
        <is>
          <t>7c951088e44882fdef7717c8775152d270e0e0b4</t>
        </is>
      </c>
      <c r="O256" s="14" t="n">
        <v>46182</v>
      </c>
      <c r="P256" s="7" t="inlineStr">
        <is>
          <t>jobspy</t>
        </is>
      </c>
      <c r="Q256" s="8" t="inlineStr">
        <is>
          <t>python, sql, javascript, git</t>
        </is>
      </c>
      <c r="R256" s="8" t="inlineStr">
        <is>
          <t>graduate Full Stack Developer</t>
        </is>
      </c>
      <c r="S256" s="19" t="n"/>
      <c r="T256" s="19" t="n"/>
      <c r="U256" s="14" t="n">
        <v>46191</v>
      </c>
      <c r="V256" s="7" t="n"/>
    </row>
    <row r="257" ht="28" customHeight="1">
      <c r="A257" s="12">
        <f>IF($L257="applied","Applied",IF($L257="interview","Interview",IF($L257="offer","Offer",IF($L257="rejected","Rejected",IF($L257="ignore","Ignore",IF($L257="archive","Archive",IF($L257="closed","Closed",IF($B257="","Unscored",IF(AND($B257&gt;=8,OR($H257="",$H257-TODAY()&lt;=14)),"P1 Apply",IF($B257&gt;=7,"P2 Strong",IF($B257&gt;=5,"P3 Maybe","P4 Low")))))))))))</f>
        <v/>
      </c>
      <c r="B257" s="13" t="n">
        <v>3.67</v>
      </c>
      <c r="C257" s="12" t="inlineStr">
        <is>
          <t>Mid-level</t>
        </is>
      </c>
      <c r="D257" s="8" t="inlineStr">
        <is>
          <t>Python Developer – UK Remote Contract – Outside IR35</t>
        </is>
      </c>
      <c r="E257" s="7" t="inlineStr">
        <is>
          <t>Infused Solutions</t>
        </is>
      </c>
      <c r="F257" s="8" t="inlineStr">
        <is>
          <t>England, United Kingdom</t>
        </is>
      </c>
      <c r="G257" s="8" t="n"/>
      <c r="H257" s="14" t="n"/>
      <c r="I257" s="15">
        <f>IF($H257="","",$H257-TODAY())</f>
        <v/>
      </c>
      <c r="J257" s="16" t="inlineStr">
        <is>
          <t>Open posting</t>
        </is>
      </c>
      <c r="K257" s="8" t="n"/>
      <c r="L257" s="17" t="inlineStr">
        <is>
          <t>new</t>
        </is>
      </c>
      <c r="M257" s="18" t="inlineStr"/>
      <c r="N257" s="7" t="inlineStr">
        <is>
          <t>9cfcdb3e57673273f33070447ea2f2e6d54c52ea</t>
        </is>
      </c>
      <c r="O257" s="14" t="n">
        <v>46185</v>
      </c>
      <c r="P257" s="7" t="inlineStr">
        <is>
          <t>jobspy</t>
        </is>
      </c>
      <c r="Q257" s="8" t="inlineStr">
        <is>
          <t>python, sql, git</t>
        </is>
      </c>
      <c r="R257" s="8" t="inlineStr">
        <is>
          <t>junior/graduate Junior Python Developer</t>
        </is>
      </c>
      <c r="S257" s="19" t="n"/>
      <c r="T257" s="19" t="n"/>
      <c r="U257" s="14" t="n">
        <v>46191</v>
      </c>
      <c r="V257" s="7" t="n"/>
    </row>
    <row r="258" ht="28" customHeight="1">
      <c r="A258" s="12">
        <f>IF($L258="applied","Applied",IF($L258="interview","Interview",IF($L258="offer","Offer",IF($L258="rejected","Rejected",IF($L258="ignore","Ignore",IF($L258="archive","Archive",IF($L258="closed","Closed",IF($B258="","Unscored",IF(AND($B258&gt;=8,OR($H258="",$H258-TODAY()&lt;=14)),"P1 Apply",IF($B258&gt;=7,"P2 Strong",IF($B258&gt;=5,"P3 Maybe","P4 Low")))))))))))</f>
        <v/>
      </c>
      <c r="B258" s="13" t="n">
        <v>3.67</v>
      </c>
      <c r="C258" s="12" t="inlineStr">
        <is>
          <t>Unspecified</t>
        </is>
      </c>
      <c r="D258" s="8" t="inlineStr">
        <is>
          <t>Full Stack Engineer</t>
        </is>
      </c>
      <c r="E258" s="7" t="inlineStr">
        <is>
          <t>Flutter UK &amp; Ireland</t>
        </is>
      </c>
      <c r="F258" s="8" t="inlineStr">
        <is>
          <t>West Yorkshire, England, UK</t>
        </is>
      </c>
      <c r="G258" s="8" t="n"/>
      <c r="H258" s="14" t="n"/>
      <c r="I258" s="15">
        <f>IF($H258="","",$H258-TODAY())</f>
        <v/>
      </c>
      <c r="J258" s="16" t="inlineStr">
        <is>
          <t>Open posting</t>
        </is>
      </c>
      <c r="K258" s="8" t="n"/>
      <c r="L258" s="17" t="inlineStr">
        <is>
          <t>new</t>
        </is>
      </c>
      <c r="M258" s="18" t="inlineStr"/>
      <c r="N258" s="7" t="inlineStr">
        <is>
          <t>b321c5e7217f43ec7fafc19cb899b08627116822</t>
        </is>
      </c>
      <c r="O258" s="14" t="n">
        <v>46163</v>
      </c>
      <c r="P258" s="7" t="inlineStr">
        <is>
          <t>jobspy</t>
        </is>
      </c>
      <c r="Q258" s="8" t="inlineStr">
        <is>
          <t>python, sql, rest apis, git</t>
        </is>
      </c>
      <c r="R258" s="8" t="inlineStr">
        <is>
          <t>Full Stack Developer Sheffield</t>
        </is>
      </c>
      <c r="S258" s="19" t="n"/>
      <c r="T258" s="19" t="n"/>
      <c r="U258" s="14" t="n">
        <v>46191</v>
      </c>
      <c r="V258" s="7" t="n"/>
    </row>
    <row r="259" ht="28" customHeight="1">
      <c r="A259" s="12">
        <f>IF($L259="applied","Applied",IF($L259="interview","Interview",IF($L259="offer","Offer",IF($L259="rejected","Rejected",IF($L259="ignore","Ignore",IF($L259="archive","Archive",IF($L259="closed","Closed",IF($B259="","Unscored",IF(AND($B259&gt;=8,OR($H259="",$H259-TODAY()&lt;=14)),"P1 Apply",IF($B259&gt;=7,"P2 Strong",IF($B259&gt;=5,"P3 Maybe","P4 Low")))))))))))</f>
        <v/>
      </c>
      <c r="B259" s="13" t="n">
        <v>3.67</v>
      </c>
      <c r="C259" s="12" t="inlineStr">
        <is>
          <t>Unspecified</t>
        </is>
      </c>
      <c r="D259" s="8" t="inlineStr">
        <is>
          <t>Software Engineer</t>
        </is>
      </c>
      <c r="E259" s="7" t="inlineStr">
        <is>
          <t>ivee</t>
        </is>
      </c>
      <c r="F259" s="8" t="inlineStr">
        <is>
          <t>London Area, United Kingdom</t>
        </is>
      </c>
      <c r="G259" s="8" t="n"/>
      <c r="H259" s="14" t="n"/>
      <c r="I259" s="15">
        <f>IF($H259="","",$H259-TODAY())</f>
        <v/>
      </c>
      <c r="J259" s="16" t="inlineStr">
        <is>
          <t>Open posting</t>
        </is>
      </c>
      <c r="K259" s="8" t="n"/>
      <c r="L259" s="17" t="inlineStr">
        <is>
          <t>new</t>
        </is>
      </c>
      <c r="M259" s="18" t="inlineStr"/>
      <c r="N259" s="7" t="inlineStr">
        <is>
          <t>85081d430627d3d547f7e374348e88ef5f3264be</t>
        </is>
      </c>
      <c r="O259" s="14" t="n">
        <v>46189</v>
      </c>
      <c r="P259" s="7" t="inlineStr">
        <is>
          <t>jobspy</t>
        </is>
      </c>
      <c r="Q259" s="8" t="inlineStr">
        <is>
          <t>python, javascript, rest apis, git, software development</t>
        </is>
      </c>
      <c r="R259" s="8" t="inlineStr">
        <is>
          <t>junior Full Stack Developer</t>
        </is>
      </c>
      <c r="S259" s="19" t="n"/>
      <c r="T259" s="19" t="n"/>
      <c r="U259" s="14" t="n">
        <v>46191</v>
      </c>
      <c r="V259" s="7" t="n"/>
    </row>
    <row r="260" ht="28" customHeight="1">
      <c r="A260" s="12">
        <f>IF($L260="applied","Applied",IF($L260="interview","Interview",IF($L260="offer","Offer",IF($L260="rejected","Rejected",IF($L260="ignore","Ignore",IF($L260="archive","Archive",IF($L260="closed","Closed",IF($B260="","Unscored",IF(AND($B260&gt;=8,OR($H260="",$H260-TODAY()&lt;=14)),"P1 Apply",IF($B260&gt;=7,"P2 Strong",IF($B260&gt;=5,"P3 Maybe","P4 Low")))))))))))</f>
        <v/>
      </c>
      <c r="B260" s="13" t="n">
        <v>3.5</v>
      </c>
      <c r="C260" s="12" t="inlineStr">
        <is>
          <t>Unspecified</t>
        </is>
      </c>
      <c r="D260" s="8" t="inlineStr">
        <is>
          <t>Software Engineer (Python and Java)</t>
        </is>
      </c>
      <c r="E260" s="7" t="inlineStr">
        <is>
          <t>Leidos</t>
        </is>
      </c>
      <c r="F260" s="8" t="inlineStr">
        <is>
          <t>Farnborough, England, UK</t>
        </is>
      </c>
      <c r="G260" s="8" t="n"/>
      <c r="H260" s="14" t="n"/>
      <c r="I260" s="15">
        <f>IF($H260="","",$H260-TODAY())</f>
        <v/>
      </c>
      <c r="J260" s="16" t="inlineStr">
        <is>
          <t>Open posting</t>
        </is>
      </c>
      <c r="K260" s="8" t="inlineStr">
        <is>
          <t>Python matches but role requires SC clearance, Java proficiency, and defence seniority well above graduate level.</t>
        </is>
      </c>
      <c r="L260" s="17" t="inlineStr">
        <is>
          <t>new</t>
        </is>
      </c>
      <c r="M260" s="18" t="inlineStr"/>
      <c r="N260" s="7" t="inlineStr">
        <is>
          <t>3489c6e8e8a04b4d5cdc8c525daa4b4cf0bc99d6</t>
        </is>
      </c>
      <c r="O260" s="14" t="n">
        <v>46177</v>
      </c>
      <c r="P260" s="7" t="inlineStr">
        <is>
          <t>jobspy</t>
        </is>
      </c>
      <c r="Q260" s="8" t="inlineStr">
        <is>
          <t>Python, Kubernetes, CI/CD</t>
        </is>
      </c>
      <c r="R260" s="8" t="inlineStr">
        <is>
          <t>Graduate Software Engineer Python Docker</t>
        </is>
      </c>
      <c r="S260" s="19" t="n"/>
      <c r="T260" s="19" t="n"/>
      <c r="U260" s="14" t="n">
        <v>46193</v>
      </c>
      <c r="V260" s="7" t="inlineStr">
        <is>
          <t>v2-cv-accuracy-13b988b18da8ea7d</t>
        </is>
      </c>
    </row>
    <row r="261" ht="28" customHeight="1">
      <c r="A261" s="12">
        <f>IF($L261="applied","Applied",IF($L261="interview","Interview",IF($L261="offer","Offer",IF($L261="rejected","Rejected",IF($L261="ignore","Ignore",IF($L261="archive","Archive",IF($L261="closed","Closed",IF($B261="","Unscored",IF(AND($B261&gt;=8,OR($H261="",$H261-TODAY()&lt;=14)),"P1 Apply",IF($B261&gt;=7,"P2 Strong",IF($B261&gt;=5,"P3 Maybe","P4 Low")))))))))))</f>
        <v/>
      </c>
      <c r="B261" s="13" t="n">
        <v>3.5</v>
      </c>
      <c r="C261" s="12" t="inlineStr">
        <is>
          <t>Mid-level</t>
        </is>
      </c>
      <c r="D261" s="8" t="inlineStr">
        <is>
          <t>Cryptography Engineer</t>
        </is>
      </c>
      <c r="E261" s="7" t="inlineStr">
        <is>
          <t>X4 Technology</t>
        </is>
      </c>
      <c r="F261" s="8" t="inlineStr"/>
      <c r="G261" s="8" t="n"/>
      <c r="H261" s="14" t="n"/>
      <c r="I261" s="15">
        <f>IF($H261="","",$H261-TODAY())</f>
        <v/>
      </c>
      <c r="J261" s="16" t="inlineStr">
        <is>
          <t>Open posting</t>
        </is>
      </c>
      <c r="K261" s="8" t="inlineStr">
        <is>
          <t>Requires 5+ years and deep cryptographic ASIC expertise far above profile level; Verilog and FPGA match but seniority is a hard blocker.</t>
        </is>
      </c>
      <c r="L261" s="17" t="inlineStr">
        <is>
          <t>new</t>
        </is>
      </c>
      <c r="M261" s="18" t="inlineStr"/>
      <c r="N261" s="7" t="inlineStr">
        <is>
          <t>78d796b7aee17e048345ac90cfa842d5b6f6ca77</t>
        </is>
      </c>
      <c r="O261" s="14" t="n">
        <v>46184</v>
      </c>
      <c r="P261" s="7" t="inlineStr">
        <is>
          <t>jobspy</t>
        </is>
      </c>
      <c r="Q261" s="8" t="inlineStr">
        <is>
          <t>Verilog, FPGA, digital design</t>
        </is>
      </c>
      <c r="R261" s="8" t="inlineStr">
        <is>
          <t>Digital Design Engineer FPGA Verilog</t>
        </is>
      </c>
      <c r="S261" s="19" t="n"/>
      <c r="T261" s="19" t="n"/>
      <c r="U261" s="14" t="n">
        <v>46193</v>
      </c>
      <c r="V261" s="7" t="inlineStr">
        <is>
          <t>v2-cv-accuracy-13b988b18da8ea7d</t>
        </is>
      </c>
    </row>
    <row r="262" ht="28" customHeight="1">
      <c r="A262" s="12">
        <f>IF($L262="applied","Applied",IF($L262="interview","Interview",IF($L262="offer","Offer",IF($L262="rejected","Rejected",IF($L262="ignore","Ignore",IF($L262="archive","Archive",IF($L262="closed","Closed",IF($B262="","Unscored",IF(AND($B262&gt;=8,OR($H262="",$H262-TODAY()&lt;=14)),"P1 Apply",IF($B262&gt;=7,"P2 Strong",IF($B262&gt;=5,"P3 Maybe","P4 Low")))))))))))</f>
        <v/>
      </c>
      <c r="B262" s="13" t="n">
        <v>3.5</v>
      </c>
      <c r="C262" s="12" t="inlineStr">
        <is>
          <t>Senior/Lead</t>
        </is>
      </c>
      <c r="D262" s="8" t="inlineStr">
        <is>
          <t>Data Engineer</t>
        </is>
      </c>
      <c r="E262" s="7" t="inlineStr">
        <is>
          <t>Obsidian Security</t>
        </is>
      </c>
      <c r="F262" s="8" t="inlineStr">
        <is>
          <t>Manchester, ENG, GB</t>
        </is>
      </c>
      <c r="G262" s="8" t="n"/>
      <c r="H262" s="14" t="n"/>
      <c r="I262" s="15">
        <f>IF($H262="","",$H262-TODAY())</f>
        <v/>
      </c>
      <c r="J262" s="16" t="inlineStr">
        <is>
          <t>Open posting</t>
        </is>
      </c>
      <c r="K262" s="8" t="inlineStr">
        <is>
          <t>Requires 3-6 years production data engineering experience; candidate has 2 years internship-level experience and lacks Go, LLM pipelines, and orchestration tools.</t>
        </is>
      </c>
      <c r="L262" s="17" t="inlineStr">
        <is>
          <t>new</t>
        </is>
      </c>
      <c r="M262" s="18" t="inlineStr"/>
      <c r="N262" s="7" t="inlineStr">
        <is>
          <t>17e82d8a0a66760ded01623e579e5895e05f0fdf</t>
        </is>
      </c>
      <c r="O262" s="14" t="n">
        <v>46191</v>
      </c>
      <c r="P262" s="7" t="inlineStr">
        <is>
          <t>jobspy</t>
        </is>
      </c>
      <c r="Q262" s="8" t="inlineStr">
        <is>
          <t>SQL, Python, API integration, backend development</t>
        </is>
      </c>
      <c r="R262" s="8" t="inlineStr">
        <is>
          <t>Platform Engineer Docker Kubernetes Python</t>
        </is>
      </c>
      <c r="S262" s="19" t="n"/>
      <c r="T262" s="19" t="n"/>
      <c r="U262" s="14" t="n">
        <v>46193</v>
      </c>
      <c r="V262" s="7" t="inlineStr">
        <is>
          <t>v2-cv-accuracy-13b988b18da8ea7d</t>
        </is>
      </c>
    </row>
    <row r="263" ht="28" customHeight="1">
      <c r="A263" s="12">
        <f>IF($L263="applied","Applied",IF($L263="interview","Interview",IF($L263="offer","Offer",IF($L263="rejected","Rejected",IF($L263="ignore","Ignore",IF($L263="archive","Archive",IF($L263="closed","Closed",IF($B263="","Unscored",IF(AND($B263&gt;=8,OR($H263="",$H263-TODAY()&lt;=14)),"P1 Apply",IF($B263&gt;=7,"P2 Strong",IF($B263&gt;=5,"P3 Maybe","P4 Low")))))))))))</f>
        <v/>
      </c>
      <c r="B263" s="13" t="n">
        <v>3.5</v>
      </c>
      <c r="C263" s="12" t="inlineStr">
        <is>
          <t>Junior</t>
        </is>
      </c>
      <c r="D263" s="8" t="inlineStr">
        <is>
          <t>Digital Design Verification Engineer</t>
        </is>
      </c>
      <c r="E263" s="7" t="inlineStr">
        <is>
          <t>OLIX</t>
        </is>
      </c>
      <c r="F263" s="8" t="inlineStr">
        <is>
          <t>Bristol, ENG, GB</t>
        </is>
      </c>
      <c r="G263" s="8" t="n"/>
      <c r="H263" s="14" t="n"/>
      <c r="I263" s="15">
        <f>IF($H263="","",$H263-TODAY())</f>
        <v/>
      </c>
      <c r="J263" s="16" t="inlineStr">
        <is>
          <t>Open posting</t>
        </is>
      </c>
      <c r="K263" s="8" t="inlineStr">
        <is>
          <t>Role is Senior/Staff level with UVM/SystemVerilog ownership requirements well above graduate experience; title_excludes 'senior' and 'staff' triggered.</t>
        </is>
      </c>
      <c r="L263" s="17" t="inlineStr">
        <is>
          <t>new</t>
        </is>
      </c>
      <c r="M263" s="18" t="inlineStr"/>
      <c r="N263" s="7" t="inlineStr">
        <is>
          <t>cc3fd507a7e87b273f63f61b005cdc8fca7aba20</t>
        </is>
      </c>
      <c r="O263" s="14" t="n">
        <v>46181</v>
      </c>
      <c r="P263" s="7" t="inlineStr">
        <is>
          <t>jobspy</t>
        </is>
      </c>
      <c r="Q263" s="8" t="inlineStr">
        <is>
          <t>FPGA, Verilog, digital design, Python</t>
        </is>
      </c>
      <c r="R263" s="8" t="inlineStr">
        <is>
          <t>Signal Processing Engineer DSP FPGA</t>
        </is>
      </c>
      <c r="S263" s="19" t="n"/>
      <c r="T263" s="19" t="n"/>
      <c r="U263" s="14" t="n">
        <v>46193</v>
      </c>
      <c r="V263" s="7" t="inlineStr">
        <is>
          <t>v2-cv-accuracy-13b988b18da8ea7d</t>
        </is>
      </c>
    </row>
    <row r="264" ht="28" customHeight="1">
      <c r="A264" s="12">
        <f>IF($L264="applied","Applied",IF($L264="interview","Interview",IF($L264="offer","Offer",IF($L264="rejected","Rejected",IF($L264="ignore","Ignore",IF($L264="archive","Archive",IF($L264="closed","Closed",IF($B264="","Unscored",IF(AND($B264&gt;=8,OR($H264="",$H264-TODAY()&lt;=14)),"P1 Apply",IF($B264&gt;=7,"P2 Strong",IF($B264&gt;=5,"P3 Maybe","P4 Low")))))))))))</f>
        <v/>
      </c>
      <c r="B264" s="13" t="n">
        <v>3.5</v>
      </c>
      <c r="C264" s="12" t="inlineStr">
        <is>
          <t>Mid-level</t>
        </is>
      </c>
      <c r="D264" s="8" t="inlineStr">
        <is>
          <t>Coding &amp; Computing Tutor – SEND Experience Welcome</t>
        </is>
      </c>
      <c r="E264" s="7" t="inlineStr">
        <is>
          <t>Tutor Doctor</t>
        </is>
      </c>
      <c r="F264" s="8" t="inlineStr">
        <is>
          <t>Atherton, ENG, GB</t>
        </is>
      </c>
      <c r="G264" s="8" t="n"/>
      <c r="H264" s="14" t="n"/>
      <c r="I264" s="15">
        <f>IF($H264="","",$H264-TODAY())</f>
        <v/>
      </c>
      <c r="J264" s="16" t="inlineStr">
        <is>
          <t>Open posting</t>
        </is>
      </c>
      <c r="K264" s="8" t="inlineStr">
        <is>
          <t>Coding skills match but role is in-person tutoring near Bolton, outside Sheffield radius, and not a software development role.</t>
        </is>
      </c>
      <c r="L264" s="17" t="inlineStr">
        <is>
          <t>new</t>
        </is>
      </c>
      <c r="M264" s="18" t="inlineStr"/>
      <c r="N264" s="7" t="inlineStr">
        <is>
          <t>454106c1352719f82d9ff8c6d50e414824bd8165</t>
        </is>
      </c>
      <c r="O264" s="14" t="n">
        <v>46192</v>
      </c>
      <c r="P264" s="7" t="inlineStr">
        <is>
          <t>jobspy</t>
        </is>
      </c>
      <c r="Q264" s="8" t="inlineStr">
        <is>
          <t>Python, JavaScript, software development</t>
        </is>
      </c>
      <c r="R264" s="8" t="inlineStr">
        <is>
          <t>Graduate Software Developer</t>
        </is>
      </c>
      <c r="S264" s="19" t="n"/>
      <c r="T264" s="19" t="n"/>
      <c r="U264" s="14" t="n">
        <v>46192</v>
      </c>
      <c r="V264" s="7" t="inlineStr">
        <is>
          <t>v2-cv-accuracy-13b988b18da8ea7d</t>
        </is>
      </c>
    </row>
    <row r="265" ht="28" customHeight="1">
      <c r="A265" s="12">
        <f>IF($L265="applied","Applied",IF($L265="interview","Interview",IF($L265="offer","Offer",IF($L265="rejected","Rejected",IF($L265="ignore","Ignore",IF($L265="archive","Archive",IF($L265="closed","Closed",IF($B265="","Unscored",IF(AND($B265&gt;=8,OR($H265="",$H265-TODAY()&lt;=14)),"P1 Apply",IF($B265&gt;=7,"P2 Strong",IF($B265&gt;=5,"P3 Maybe","P4 Low")))))))))))</f>
        <v/>
      </c>
      <c r="B265" s="13" t="n">
        <v>3.5</v>
      </c>
      <c r="C265" s="12" t="inlineStr">
        <is>
          <t>Unspecified</t>
        </is>
      </c>
      <c r="D265" s="8" t="inlineStr">
        <is>
          <t>DevOps Engineer</t>
        </is>
      </c>
      <c r="E265" s="7" t="inlineStr">
        <is>
          <t>MPS Limited</t>
        </is>
      </c>
      <c r="F265" s="8" t="inlineStr">
        <is>
          <t>London, ENG, GB</t>
        </is>
      </c>
      <c r="G265" s="8" t="n"/>
      <c r="H265" s="14" t="n"/>
      <c r="I265" s="15">
        <f>IF($H265="","",$H265-TODAY())</f>
        <v/>
      </c>
      <c r="J265" s="16" t="inlineStr">
        <is>
          <t>Open posting</t>
        </is>
      </c>
      <c r="K265" s="8" t="inlineStr">
        <is>
          <t>Requires 5+ years Linux/DevOps and Puppet/Terraform expertise; well above candidate experience level despite some adjacent skills.</t>
        </is>
      </c>
      <c r="L265" s="17" t="inlineStr">
        <is>
          <t>new</t>
        </is>
      </c>
      <c r="M265" s="18" t="inlineStr"/>
      <c r="N265" s="7" t="inlineStr">
        <is>
          <t>588fa4f60f4ff11ec6c7a8cca56c93e00dc3d646</t>
        </is>
      </c>
      <c r="O265" s="14" t="n">
        <v>46191</v>
      </c>
      <c r="P265" s="7" t="inlineStr">
        <is>
          <t>jobspy</t>
        </is>
      </c>
      <c r="Q265" s="8" t="inlineStr">
        <is>
          <t>Python, Linux, Terraform, AWS</t>
        </is>
      </c>
      <c r="R265" s="8" t="inlineStr">
        <is>
          <t>Full Stack Developer</t>
        </is>
      </c>
      <c r="S265" s="19" t="n"/>
      <c r="T265" s="19" t="n"/>
      <c r="U265" s="14" t="n">
        <v>46192</v>
      </c>
      <c r="V265" s="7" t="inlineStr">
        <is>
          <t>v2-cv-accuracy-13b988b18da8ea7d</t>
        </is>
      </c>
    </row>
    <row r="266" ht="28" customHeight="1">
      <c r="A266" s="12">
        <f>IF($L266="applied","Applied",IF($L266="interview","Interview",IF($L266="offer","Offer",IF($L266="rejected","Rejected",IF($L266="ignore","Ignore",IF($L266="archive","Archive",IF($L266="closed","Closed",IF($B266="","Unscored",IF(AND($B266&gt;=8,OR($H266="",$H266-TODAY()&lt;=14)),"P1 Apply",IF($B266&gt;=7,"P2 Strong",IF($B266&gt;=5,"P3 Maybe","P4 Low")))))))))))</f>
        <v/>
      </c>
      <c r="B266" s="13" t="n">
        <v>3.5</v>
      </c>
      <c r="C266" s="12" t="inlineStr">
        <is>
          <t>Mid-level</t>
        </is>
      </c>
      <c r="D266" s="8" t="inlineStr">
        <is>
          <t>Embedded Systems Engineer</t>
        </is>
      </c>
      <c r="E266" s="7" t="inlineStr">
        <is>
          <t>VRS UK</t>
        </is>
      </c>
      <c r="F266" s="8" t="inlineStr">
        <is>
          <t>Sheffield, England, UK</t>
        </is>
      </c>
      <c r="G266" s="8" t="n"/>
      <c r="H266" s="14" t="n"/>
      <c r="I266" s="15">
        <f>IF($H266="","",$H266-TODAY())</f>
        <v/>
      </c>
      <c r="J266" s="16" t="inlineStr">
        <is>
          <t>Open posting</t>
        </is>
      </c>
      <c r="K266" s="8" t="inlineStr">
        <is>
          <t>Requires 5+ years experience; candidate has ~2 years, making this a significant seniority mismatch despite STM32 and embedded skills.</t>
        </is>
      </c>
      <c r="L266" s="17" t="inlineStr">
        <is>
          <t>new</t>
        </is>
      </c>
      <c r="M266" s="18" t="inlineStr"/>
      <c r="N266" s="7" t="inlineStr">
        <is>
          <t>d1e48339464eb5289c0719e16fd4c3d967f05a5c</t>
        </is>
      </c>
      <c r="O266" s="14" t="n">
        <v>46164</v>
      </c>
      <c r="P266" s="7" t="inlineStr">
        <is>
          <t>jobspy</t>
        </is>
      </c>
      <c r="Q266" s="8" t="inlineStr">
        <is>
          <t>STM32, embedded systems, C, FPGA</t>
        </is>
      </c>
      <c r="R266" s="8" t="inlineStr">
        <is>
          <t>Junior Embedded Software Engineer STM32 C</t>
        </is>
      </c>
      <c r="S266" s="19" t="n"/>
      <c r="T266" s="19" t="n"/>
      <c r="U266" s="14" t="n">
        <v>46192</v>
      </c>
      <c r="V266" s="7" t="inlineStr">
        <is>
          <t>v2-cv-accuracy-13b988b18da8ea7d</t>
        </is>
      </c>
    </row>
    <row r="267" ht="28" customHeight="1">
      <c r="A267" s="12">
        <f>IF($L267="applied","Applied",IF($L267="interview","Interview",IF($L267="offer","Offer",IF($L267="rejected","Rejected",IF($L267="ignore","Ignore",IF($L267="archive","Archive",IF($L267="closed","Closed",IF($B267="","Unscored",IF(AND($B267&gt;=8,OR($H267="",$H267-TODAY()&lt;=14)),"P1 Apply",IF($B267&gt;=7,"P2 Strong",IF($B267&gt;=5,"P3 Maybe","P4 Low")))))))))))</f>
        <v/>
      </c>
      <c r="B267" s="13" t="n">
        <v>3.5</v>
      </c>
      <c r="C267" s="12" t="inlineStr">
        <is>
          <t>Junior</t>
        </is>
      </c>
      <c r="D267" s="8" t="inlineStr">
        <is>
          <t>Software Engineer</t>
        </is>
      </c>
      <c r="E267" s="7" t="inlineStr">
        <is>
          <t>hackajob</t>
        </is>
      </c>
      <c r="F267" s="8" t="inlineStr">
        <is>
          <t>London, England, UK</t>
        </is>
      </c>
      <c r="G267" s="8" t="n"/>
      <c r="H267" s="14" t="n"/>
      <c r="I267" s="15">
        <f>IF($H267="","",$H267-TODAY())</f>
        <v/>
      </c>
      <c r="J267" s="16" t="inlineStr">
        <is>
          <t>Open posting</t>
        </is>
      </c>
      <c r="K267" s="8" t="inlineStr">
        <is>
          <t>SC/DV clearance required is a description_excludes hit; Python/Docker/Kubernetes match but clearance is a hard blocker.</t>
        </is>
      </c>
      <c r="L267" s="17" t="inlineStr">
        <is>
          <t>new</t>
        </is>
      </c>
      <c r="M267" s="18" t="inlineStr"/>
      <c r="N267" s="7" t="inlineStr">
        <is>
          <t>97352fdbb61ff0fc744c4be124a0c98c4885100f</t>
        </is>
      </c>
      <c r="O267" s="14" t="n">
        <v>46185</v>
      </c>
      <c r="P267" s="7" t="inlineStr">
        <is>
          <t>jobspy</t>
        </is>
      </c>
      <c r="Q267" s="8" t="inlineStr">
        <is>
          <t>Python, Docker, Kubernetes</t>
        </is>
      </c>
      <c r="R267" s="8" t="inlineStr">
        <is>
          <t>Junior Python Developer Docker Kubernetes Sheffield</t>
        </is>
      </c>
      <c r="S267" s="19" t="n"/>
      <c r="T267" s="19" t="n"/>
      <c r="U267" s="14" t="n">
        <v>46192</v>
      </c>
      <c r="V267" s="7" t="inlineStr">
        <is>
          <t>v2-cv-accuracy-13b988b18da8ea7d</t>
        </is>
      </c>
    </row>
    <row r="268" ht="28" customHeight="1">
      <c r="A268" s="12">
        <f>IF($L268="applied","Applied",IF($L268="interview","Interview",IF($L268="offer","Offer",IF($L268="rejected","Rejected",IF($L268="ignore","Ignore",IF($L268="archive","Archive",IF($L268="closed","Closed",IF($B268="","Unscored",IF(AND($B268&gt;=8,OR($H268="",$H268-TODAY()&lt;=14)),"P1 Apply",IF($B268&gt;=7,"P2 Strong",IF($B268&gt;=5,"P3 Maybe","P4 Low")))))))))))</f>
        <v/>
      </c>
      <c r="B268" s="13" t="n">
        <v>3.5</v>
      </c>
      <c r="C268" s="12" t="inlineStr">
        <is>
          <t>Junior</t>
        </is>
      </c>
      <c r="D268" s="8" t="inlineStr">
        <is>
          <t>Software Engineer</t>
        </is>
      </c>
      <c r="E268" s="7" t="inlineStr">
        <is>
          <t>hackajob</t>
        </is>
      </c>
      <c r="F268" s="8" t="inlineStr">
        <is>
          <t>Cheltenham, England, UK</t>
        </is>
      </c>
      <c r="G268" s="8" t="n"/>
      <c r="H268" s="14" t="n"/>
      <c r="I268" s="15">
        <f>IF($H268="","",$H268-TODAY())</f>
        <v/>
      </c>
      <c r="J268" s="16" t="inlineStr">
        <is>
          <t>Open posting</t>
        </is>
      </c>
      <c r="K268" s="8" t="inlineStr">
        <is>
          <t>Duplicate listing; same SC/DV clearance hard blocker applies despite Python/Docker/Kubernetes skill match.</t>
        </is>
      </c>
      <c r="L268" s="17" t="inlineStr">
        <is>
          <t>new</t>
        </is>
      </c>
      <c r="M268" s="18" t="inlineStr"/>
      <c r="N268" s="7" t="inlineStr">
        <is>
          <t>802ea297850e38f52fbb885bf50902bc80083eac</t>
        </is>
      </c>
      <c r="O268" s="14" t="n">
        <v>46185</v>
      </c>
      <c r="P268" s="7" t="inlineStr">
        <is>
          <t>jobspy</t>
        </is>
      </c>
      <c r="Q268" s="8" t="inlineStr">
        <is>
          <t>Python, Docker, Kubernetes</t>
        </is>
      </c>
      <c r="R268" s="8" t="inlineStr">
        <is>
          <t>Junior Python Developer Docker Kubernetes Sheffield</t>
        </is>
      </c>
      <c r="S268" s="19" t="n"/>
      <c r="T268" s="19" t="n"/>
      <c r="U268" s="14" t="n">
        <v>46192</v>
      </c>
      <c r="V268" s="7" t="inlineStr">
        <is>
          <t>v2-cv-accuracy-13b988b18da8ea7d</t>
        </is>
      </c>
    </row>
    <row r="269" ht="28" customHeight="1">
      <c r="A269" s="12">
        <f>IF($L269="applied","Applied",IF($L269="interview","Interview",IF($L269="offer","Offer",IF($L269="rejected","Rejected",IF($L269="ignore","Ignore",IF($L269="archive","Archive",IF($L269="closed","Closed",IF($B269="","Unscored",IF(AND($B269&gt;=8,OR($H269="",$H269-TODAY()&lt;=14)),"P1 Apply",IF($B269&gt;=7,"P2 Strong",IF($B269&gt;=5,"P3 Maybe","P4 Low")))))))))))</f>
        <v/>
      </c>
      <c r="B269" s="13" t="n">
        <v>3.5</v>
      </c>
      <c r="C269" s="12" t="inlineStr">
        <is>
          <t>Mid-level</t>
        </is>
      </c>
      <c r="D269" s="8" t="inlineStr">
        <is>
          <t>Embedded Software Engineer</t>
        </is>
      </c>
      <c r="E269" s="7" t="inlineStr">
        <is>
          <t>Archangel Lightworks</t>
        </is>
      </c>
      <c r="F269" s="8" t="inlineStr">
        <is>
          <t>Oxford, England, UK</t>
        </is>
      </c>
      <c r="G269" s="8" t="n"/>
      <c r="H269" s="14" t="n"/>
      <c r="I269" s="15">
        <f>IF($H269="","",$H269-TODAY())</f>
        <v/>
      </c>
      <c r="J269" s="16" t="inlineStr">
        <is>
          <t>Open posting</t>
        </is>
      </c>
      <c r="K269" s="8" t="inlineStr">
        <is>
          <t>Requires 4+ years commercial experience post-graduation, directly exceeding profile's 2-year cap; RTOS and hardware protocols are also gaps.</t>
        </is>
      </c>
      <c r="L269" s="17" t="inlineStr">
        <is>
          <t>new</t>
        </is>
      </c>
      <c r="M269" s="18" t="inlineStr"/>
      <c r="N269" s="7" t="inlineStr">
        <is>
          <t>5b6411a6908685dbcf8a68129f3ed1b87c8c808b</t>
        </is>
      </c>
      <c r="O269" s="14" t="n">
        <v>46176</v>
      </c>
      <c r="P269" s="7" t="inlineStr">
        <is>
          <t>jobspy</t>
        </is>
      </c>
      <c r="Q269" s="8" t="inlineStr">
        <is>
          <t>FPGA, Verilog, Vivado, Python, Git</t>
        </is>
      </c>
      <c r="R269" s="8" t="inlineStr">
        <is>
          <t>Embedded Software Engineer C Python graduate</t>
        </is>
      </c>
      <c r="S269" s="19" t="n"/>
      <c r="T269" s="19" t="n"/>
      <c r="U269" s="14" t="n">
        <v>46192</v>
      </c>
      <c r="V269" s="7" t="inlineStr">
        <is>
          <t>v2-cv-accuracy-13b988b18da8ea7d</t>
        </is>
      </c>
    </row>
    <row r="270" ht="28" customHeight="1">
      <c r="A270" s="12">
        <f>IF($L270="applied","Applied",IF($L270="interview","Interview",IF($L270="offer","Offer",IF($L270="rejected","Rejected",IF($L270="ignore","Ignore",IF($L270="archive","Archive",IF($L270="closed","Closed",IF($B270="","Unscored",IF(AND($B270&gt;=8,OR($H270="",$H270-TODAY()&lt;=14)),"P1 Apply",IF($B270&gt;=7,"P2 Strong",IF($B270&gt;=5,"P3 Maybe","P4 Low")))))))))))</f>
        <v/>
      </c>
      <c r="B270" s="13" t="n">
        <v>3.47</v>
      </c>
      <c r="C270" s="12" t="inlineStr">
        <is>
          <t>Mid-level</t>
        </is>
      </c>
      <c r="D270" s="8" t="inlineStr">
        <is>
          <t>Python Developer</t>
        </is>
      </c>
      <c r="E270" s="7" t="inlineStr">
        <is>
          <t>MEL Systems and Services Ltd.</t>
        </is>
      </c>
      <c r="F270" s="8" t="inlineStr">
        <is>
          <t>Chennai, Tamil Nadu, India</t>
        </is>
      </c>
      <c r="G270" s="8" t="n"/>
      <c r="H270" s="14" t="n"/>
      <c r="I270" s="15">
        <f>IF($H270="","",$H270-TODAY())</f>
        <v/>
      </c>
      <c r="J270" s="16" t="inlineStr">
        <is>
          <t>Open posting</t>
        </is>
      </c>
      <c r="K270" s="8" t="n"/>
      <c r="L270" s="17" t="inlineStr">
        <is>
          <t>new</t>
        </is>
      </c>
      <c r="M270" s="18" t="inlineStr"/>
      <c r="N270" s="7" t="inlineStr">
        <is>
          <t>5f279f47ba6da66e408b833aed2679ebf8e4b5c9</t>
        </is>
      </c>
      <c r="O270" s="14" t="n">
        <v>46167</v>
      </c>
      <c r="P270" s="7" t="inlineStr">
        <is>
          <t>jobspy</t>
        </is>
      </c>
      <c r="Q270" s="8" t="inlineStr">
        <is>
          <t>python, sql, javascript, rest apis, git</t>
        </is>
      </c>
      <c r="R270" s="8" t="inlineStr">
        <is>
          <t>graduate Junior Python Developer</t>
        </is>
      </c>
      <c r="S270" s="19" t="n"/>
      <c r="T270" s="19" t="n"/>
      <c r="U270" s="14" t="n">
        <v>46191</v>
      </c>
      <c r="V270" s="7" t="n"/>
    </row>
    <row r="271" ht="28" customHeight="1">
      <c r="A271" s="12">
        <f>IF($L271="applied","Applied",IF($L271="interview","Interview",IF($L271="offer","Offer",IF($L271="rejected","Rejected",IF($L271="ignore","Ignore",IF($L271="archive","Archive",IF($L271="closed","Closed",IF($B271="","Unscored",IF(AND($B271&gt;=8,OR($H271="",$H271-TODAY()&lt;=14)),"P1 Apply",IF($B271&gt;=7,"P2 Strong",IF($B271&gt;=5,"P3 Maybe","P4 Low")))))))))))</f>
        <v/>
      </c>
      <c r="B271" s="13" t="n">
        <v>3.47</v>
      </c>
      <c r="C271" s="12" t="inlineStr">
        <is>
          <t>Unspecified</t>
        </is>
      </c>
      <c r="D271" s="8" t="inlineStr">
        <is>
          <t>Python Software Developer - Labman.One</t>
        </is>
      </c>
      <c r="E271" s="7" t="inlineStr">
        <is>
          <t>Labman</t>
        </is>
      </c>
      <c r="F271" s="8" t="inlineStr">
        <is>
          <t>Stokesley, England, UK</t>
        </is>
      </c>
      <c r="G271" s="8" t="n"/>
      <c r="H271" s="14" t="n"/>
      <c r="I271" s="15">
        <f>IF($H271="","",$H271-TODAY())</f>
        <v/>
      </c>
      <c r="J271" s="16" t="inlineStr">
        <is>
          <t>Open posting</t>
        </is>
      </c>
      <c r="K271" s="8" t="n"/>
      <c r="L271" s="17" t="inlineStr">
        <is>
          <t>new</t>
        </is>
      </c>
      <c r="M271" s="18" t="inlineStr"/>
      <c r="N271" s="7" t="inlineStr">
        <is>
          <t>e1240c31485b7e82c006c258be94b631c6a6b1a8</t>
        </is>
      </c>
      <c r="O271" s="14" t="n">
        <v>46169</v>
      </c>
      <c r="P271" s="7" t="inlineStr">
        <is>
          <t>jobspy</t>
        </is>
      </c>
      <c r="Q271" s="8" t="inlineStr">
        <is>
          <t>python, sql, rest apis, git</t>
        </is>
      </c>
      <c r="R271" s="8" t="inlineStr">
        <is>
          <t>Junior Python Developer remote</t>
        </is>
      </c>
      <c r="S271" s="19" t="n"/>
      <c r="T271" s="19" t="n"/>
      <c r="U271" s="14" t="n">
        <v>46191</v>
      </c>
      <c r="V271" s="7" t="n"/>
    </row>
    <row r="272" ht="28" customHeight="1">
      <c r="A272" s="12">
        <f>IF($L272="applied","Applied",IF($L272="interview","Interview",IF($L272="offer","Offer",IF($L272="rejected","Rejected",IF($L272="ignore","Ignore",IF($L272="archive","Archive",IF($L272="closed","Closed",IF($B272="","Unscored",IF(AND($B272&gt;=8,OR($H272="",$H272-TODAY()&lt;=14)),"P1 Apply",IF($B272&gt;=7,"P2 Strong",IF($B272&gt;=5,"P3 Maybe","P4 Low")))))))))))</f>
        <v/>
      </c>
      <c r="B272" s="13" t="n">
        <v>3.47</v>
      </c>
      <c r="C272" s="12" t="inlineStr">
        <is>
          <t>Unspecified</t>
        </is>
      </c>
      <c r="D272" s="8" t="inlineStr">
        <is>
          <t>Software Engineer</t>
        </is>
      </c>
      <c r="E272" s="7" t="inlineStr">
        <is>
          <t>Naimuri</t>
        </is>
      </c>
      <c r="F272" s="8" t="inlineStr">
        <is>
          <t>Manchester, England, UK</t>
        </is>
      </c>
      <c r="G272" s="8" t="n"/>
      <c r="H272" s="14" t="n"/>
      <c r="I272" s="15">
        <f>IF($H272="","",$H272-TODAY())</f>
        <v/>
      </c>
      <c r="J272" s="16" t="inlineStr">
        <is>
          <t>Open posting</t>
        </is>
      </c>
      <c r="K272" s="8" t="n"/>
      <c r="L272" s="17" t="inlineStr">
        <is>
          <t>new</t>
        </is>
      </c>
      <c r="M272" s="18" t="inlineStr"/>
      <c r="N272" s="7" t="inlineStr">
        <is>
          <t>96d526e0e12563696a35505372cdebcc62c4e236</t>
        </is>
      </c>
      <c r="O272" s="14" t="n">
        <v>46175</v>
      </c>
      <c r="P272" s="7" t="inlineStr">
        <is>
          <t>jobspy</t>
        </is>
      </c>
      <c r="Q272" s="8" t="inlineStr">
        <is>
          <t>javascript, git, software development</t>
        </is>
      </c>
      <c r="R272" s="8" t="inlineStr">
        <is>
          <t>graduate Full Stack Developer</t>
        </is>
      </c>
      <c r="S272" s="19" t="n"/>
      <c r="T272" s="19" t="n"/>
      <c r="U272" s="14" t="n">
        <v>46191</v>
      </c>
      <c r="V272" s="7" t="n"/>
    </row>
    <row r="273" ht="28" customHeight="1">
      <c r="A273" s="12">
        <f>IF($L273="applied","Applied",IF($L273="interview","Interview",IF($L273="offer","Offer",IF($L273="rejected","Rejected",IF($L273="ignore","Ignore",IF($L273="archive","Archive",IF($L273="closed","Closed",IF($B273="","Unscored",IF(AND($B273&gt;=8,OR($H273="",$H273-TODAY()&lt;=14)),"P1 Apply",IF($B273&gt;=7,"P2 Strong",IF($B273&gt;=5,"P3 Maybe","P4 Low")))))))))))</f>
        <v/>
      </c>
      <c r="B273" s="13" t="n">
        <v>3.47</v>
      </c>
      <c r="C273" s="12" t="inlineStr">
        <is>
          <t>Junior</t>
        </is>
      </c>
      <c r="D273" s="8" t="inlineStr">
        <is>
          <t>Python Developer</t>
        </is>
      </c>
      <c r="E273" s="7" t="inlineStr">
        <is>
          <t>Noir</t>
        </is>
      </c>
      <c r="F273" s="8" t="inlineStr">
        <is>
          <t>Newcastle Upon Tyne, England, UK</t>
        </is>
      </c>
      <c r="G273" s="8" t="n"/>
      <c r="H273" s="14" t="n"/>
      <c r="I273" s="15">
        <f>IF($H273="","",$H273-TODAY())</f>
        <v/>
      </c>
      <c r="J273" s="16" t="inlineStr">
        <is>
          <t>Open posting</t>
        </is>
      </c>
      <c r="K273" s="8" t="n"/>
      <c r="L273" s="17" t="inlineStr">
        <is>
          <t>new</t>
        </is>
      </c>
      <c r="M273" s="18" t="inlineStr"/>
      <c r="N273" s="7" t="inlineStr">
        <is>
          <t>ed980cd2ab26daf7af3f0f56fb19c5040a6ddd3e</t>
        </is>
      </c>
      <c r="O273" s="14" t="n">
        <v>46185</v>
      </c>
      <c r="P273" s="7" t="inlineStr">
        <is>
          <t>jobspy</t>
        </is>
      </c>
      <c r="Q273" s="8" t="inlineStr">
        <is>
          <t>python, sql, javascript, git</t>
        </is>
      </c>
      <c r="R273" s="8" t="inlineStr">
        <is>
          <t>graduate Full Stack Developer</t>
        </is>
      </c>
      <c r="S273" s="19" t="n"/>
      <c r="T273" s="19" t="n"/>
      <c r="U273" s="14" t="n">
        <v>46191</v>
      </c>
      <c r="V273" s="7" t="n"/>
    </row>
    <row r="274" ht="28" customHeight="1">
      <c r="A274" s="12">
        <f>IF($L274="applied","Applied",IF($L274="interview","Interview",IF($L274="offer","Offer",IF($L274="rejected","Rejected",IF($L274="ignore","Ignore",IF($L274="archive","Archive",IF($L274="closed","Closed",IF($B274="","Unscored",IF(AND($B274&gt;=8,OR($H274="",$H274-TODAY()&lt;=14)),"P1 Apply",IF($B274&gt;=7,"P2 Strong",IF($B274&gt;=5,"P3 Maybe","P4 Low")))))))))))</f>
        <v/>
      </c>
      <c r="B274" s="13" t="n">
        <v>3.47</v>
      </c>
      <c r="C274" s="12" t="inlineStr">
        <is>
          <t>Senior/Lead</t>
        </is>
      </c>
      <c r="D274" s="8" t="inlineStr">
        <is>
          <t>Software Engineer (Next.js + Playwright)</t>
        </is>
      </c>
      <c r="E274" s="7" t="inlineStr">
        <is>
          <t>GP Automate</t>
        </is>
      </c>
      <c r="F274" s="8" t="inlineStr">
        <is>
          <t>London, England, UK</t>
        </is>
      </c>
      <c r="G274" s="8" t="n"/>
      <c r="H274" s="14" t="n"/>
      <c r="I274" s="15">
        <f>IF($H274="","",$H274-TODAY())</f>
        <v/>
      </c>
      <c r="J274" s="16" t="inlineStr">
        <is>
          <t>Open posting</t>
        </is>
      </c>
      <c r="K274" s="8" t="n"/>
      <c r="L274" s="17" t="inlineStr">
        <is>
          <t>new</t>
        </is>
      </c>
      <c r="M274" s="18" t="inlineStr"/>
      <c r="N274" s="7" t="inlineStr">
        <is>
          <t>952cda89a3cd8f6a093296433da61bc5036412f9</t>
        </is>
      </c>
      <c r="O274" s="14" t="n">
        <v>46177</v>
      </c>
      <c r="P274" s="7" t="inlineStr">
        <is>
          <t>jobspy</t>
        </is>
      </c>
      <c r="Q274" s="8" t="inlineStr">
        <is>
          <t>sql, rest apis, git, software development</t>
        </is>
      </c>
      <c r="R274" s="8" t="inlineStr">
        <is>
          <t>Graduate Software Developer remote</t>
        </is>
      </c>
      <c r="S274" s="19" t="n"/>
      <c r="T274" s="19" t="n"/>
      <c r="U274" s="14" t="n">
        <v>46191</v>
      </c>
      <c r="V274" s="7" t="n"/>
    </row>
    <row r="275" ht="28" customHeight="1">
      <c r="A275" s="12">
        <f>IF($L275="applied","Applied",IF($L275="interview","Interview",IF($L275="offer","Offer",IF($L275="rejected","Rejected",IF($L275="ignore","Ignore",IF($L275="archive","Archive",IF($L275="closed","Closed",IF($B275="","Unscored",IF(AND($B275&gt;=8,OR($H275="",$H275-TODAY()&lt;=14)),"P1 Apply",IF($B275&gt;=7,"P2 Strong",IF($B275&gt;=5,"P3 Maybe","P4 Low")))))))))))</f>
        <v/>
      </c>
      <c r="B275" s="13" t="n">
        <v>3.47</v>
      </c>
      <c r="C275" s="12" t="inlineStr">
        <is>
          <t>Junior</t>
        </is>
      </c>
      <c r="D275" s="8" t="inlineStr">
        <is>
          <t>Junior Software Engineer</t>
        </is>
      </c>
      <c r="E275" s="7" t="inlineStr">
        <is>
          <t>Stealth iT Consulting</t>
        </is>
      </c>
      <c r="F275" s="8" t="inlineStr"/>
      <c r="G275" s="8" t="n"/>
      <c r="H275" s="14" t="n"/>
      <c r="I275" s="15">
        <f>IF($H275="","",$H275-TODAY())</f>
        <v/>
      </c>
      <c r="J275" s="16" t="inlineStr">
        <is>
          <t>Open posting</t>
        </is>
      </c>
      <c r="K275" s="8" t="n"/>
      <c r="L275" s="17" t="inlineStr">
        <is>
          <t>new</t>
        </is>
      </c>
      <c r="M275" s="18" t="inlineStr"/>
      <c r="N275" s="7" t="inlineStr">
        <is>
          <t>f4363045bdd5a72fc0ae0fbca476c3988ae36d54</t>
        </is>
      </c>
      <c r="O275" s="14" t="n">
        <v>46182</v>
      </c>
      <c r="P275" s="7" t="inlineStr">
        <is>
          <t>jobspy</t>
        </is>
      </c>
      <c r="Q275" s="8" t="inlineStr">
        <is>
          <t>sql, javascript, git, software development</t>
        </is>
      </c>
      <c r="R275" s="8" t="inlineStr">
        <is>
          <t>junior/graduate Full Stack Developer</t>
        </is>
      </c>
      <c r="S275" s="19" t="n"/>
      <c r="T275" s="19" t="n"/>
      <c r="U275" s="14" t="n">
        <v>46191</v>
      </c>
      <c r="V275" s="7" t="n"/>
    </row>
    <row r="276" ht="28" customHeight="1">
      <c r="A276" s="12">
        <f>IF($L276="applied","Applied",IF($L276="interview","Interview",IF($L276="offer","Offer",IF($L276="rejected","Rejected",IF($L276="ignore","Ignore",IF($L276="archive","Archive",IF($L276="closed","Closed",IF($B276="","Unscored",IF(AND($B276&gt;=8,OR($H276="",$H276-TODAY()&lt;=14)),"P1 Apply",IF($B276&gt;=7,"P2 Strong",IF($B276&gt;=5,"P3 Maybe","P4 Low")))))))))))</f>
        <v/>
      </c>
      <c r="B276" s="13" t="n">
        <v>3.27</v>
      </c>
      <c r="C276" s="12" t="inlineStr">
        <is>
          <t>Graduate/Entry</t>
        </is>
      </c>
      <c r="D276" s="8" t="inlineStr">
        <is>
          <t>Junior/Graduate Software Engineer</t>
        </is>
      </c>
      <c r="E276" s="7" t="inlineStr">
        <is>
          <t>NCR Atleos</t>
        </is>
      </c>
      <c r="F276" s="8" t="inlineStr">
        <is>
          <t>Dundee, SCT, GB</t>
        </is>
      </c>
      <c r="G276" s="8" t="n"/>
      <c r="H276" s="14" t="n"/>
      <c r="I276" s="15">
        <f>IF($H276="","",$H276-TODAY())</f>
        <v/>
      </c>
      <c r="J276" s="16" t="inlineStr">
        <is>
          <t>Open posting</t>
        </is>
      </c>
      <c r="K276" s="8" t="n"/>
      <c r="L276" s="17" t="inlineStr">
        <is>
          <t>new</t>
        </is>
      </c>
      <c r="M276" s="18" t="inlineStr"/>
      <c r="N276" s="7" t="inlineStr">
        <is>
          <t>823a0a6e0c819484bd9fed53ed8ece17366a995d</t>
        </is>
      </c>
      <c r="O276" s="14" t="n">
        <v>46190</v>
      </c>
      <c r="P276" s="7" t="inlineStr">
        <is>
          <t>jobspy</t>
        </is>
      </c>
      <c r="Q276" s="8" t="inlineStr">
        <is>
          <t>python, sql, git, software development</t>
        </is>
      </c>
      <c r="R276" s="8" t="inlineStr">
        <is>
          <t>Graduate Software Developer</t>
        </is>
      </c>
      <c r="S276" s="19" t="n"/>
      <c r="T276" s="19" t="n"/>
      <c r="U276" s="14" t="n">
        <v>46191</v>
      </c>
      <c r="V276" s="7" t="n"/>
    </row>
    <row r="277" ht="28" customHeight="1">
      <c r="A277" s="12">
        <f>IF($L277="applied","Applied",IF($L277="interview","Interview",IF($L277="offer","Offer",IF($L277="rejected","Rejected",IF($L277="ignore","Ignore",IF($L277="archive","Archive",IF($L277="closed","Closed",IF($B277="","Unscored",IF(AND($B277&gt;=8,OR($H277="",$H277-TODAY()&lt;=14)),"P1 Apply",IF($B277&gt;=7,"P2 Strong",IF($B277&gt;=5,"P3 Maybe","P4 Low")))))))))))</f>
        <v/>
      </c>
      <c r="B277" s="13" t="n">
        <v>3.27</v>
      </c>
      <c r="C277" s="12" t="inlineStr">
        <is>
          <t>Junior</t>
        </is>
      </c>
      <c r="D277" s="8" t="inlineStr">
        <is>
          <t>Junior Developer</t>
        </is>
      </c>
      <c r="E277" s="7" t="inlineStr">
        <is>
          <t>NCS Ltd</t>
        </is>
      </c>
      <c r="F277" s="8" t="inlineStr">
        <is>
          <t>Woking, ENG, GB</t>
        </is>
      </c>
      <c r="G277" s="8" t="n"/>
      <c r="H277" s="14" t="n"/>
      <c r="I277" s="15">
        <f>IF($H277="","",$H277-TODAY())</f>
        <v/>
      </c>
      <c r="J277" s="16" t="inlineStr">
        <is>
          <t>Open posting</t>
        </is>
      </c>
      <c r="K277" s="8" t="n"/>
      <c r="L277" s="17" t="inlineStr">
        <is>
          <t>new</t>
        </is>
      </c>
      <c r="M277" s="18" t="inlineStr"/>
      <c r="N277" s="7" t="inlineStr">
        <is>
          <t>513d03f6eeff96a197bc8d1b2ec6b00491ac2a85</t>
        </is>
      </c>
      <c r="O277" s="14" t="n">
        <v>46182</v>
      </c>
      <c r="P277" s="7" t="inlineStr">
        <is>
          <t>jobspy</t>
        </is>
      </c>
      <c r="Q277" s="8" t="inlineStr">
        <is>
          <t>python, sql, javascript, git, software development</t>
        </is>
      </c>
      <c r="R277" s="8" t="inlineStr">
        <is>
          <t>junior Graduate Software Developer</t>
        </is>
      </c>
      <c r="S277" s="19" t="n"/>
      <c r="T277" s="19" t="n"/>
      <c r="U277" s="14" t="n">
        <v>46191</v>
      </c>
      <c r="V277" s="7" t="n"/>
    </row>
    <row r="278" ht="28" customHeight="1">
      <c r="A278" s="12">
        <f>IF($L278="applied","Applied",IF($L278="interview","Interview",IF($L278="offer","Offer",IF($L278="rejected","Rejected",IF($L278="ignore","Ignore",IF($L278="archive","Archive",IF($L278="closed","Closed",IF($B278="","Unscored",IF(AND($B278&gt;=8,OR($H278="",$H278-TODAY()&lt;=14)),"P1 Apply",IF($B278&gt;=7,"P2 Strong",IF($B278&gt;=5,"P3 Maybe","P4 Low")))))))))))</f>
        <v/>
      </c>
      <c r="B278" s="13" t="n">
        <v>3.27</v>
      </c>
      <c r="C278" s="12" t="inlineStr">
        <is>
          <t>Unspecified</t>
        </is>
      </c>
      <c r="D278" s="8" t="inlineStr">
        <is>
          <t>Software Development Engineer</t>
        </is>
      </c>
      <c r="E278" s="7" t="inlineStr">
        <is>
          <t>Bupa UK</t>
        </is>
      </c>
      <c r="F278" s="8" t="inlineStr">
        <is>
          <t>Bristol, England, UK</t>
        </is>
      </c>
      <c r="G278" s="8" t="n"/>
      <c r="H278" s="14" t="n"/>
      <c r="I278" s="15">
        <f>IF($H278="","",$H278-TODAY())</f>
        <v/>
      </c>
      <c r="J278" s="16" t="inlineStr">
        <is>
          <t>Open posting</t>
        </is>
      </c>
      <c r="K278" s="8" t="n"/>
      <c r="L278" s="17" t="inlineStr">
        <is>
          <t>new</t>
        </is>
      </c>
      <c r="M278" s="18" t="inlineStr"/>
      <c r="N278" s="7" t="inlineStr">
        <is>
          <t>0879976fd2223da1cc3213221effa7ec9ae52e1d</t>
        </is>
      </c>
      <c r="O278" s="14" t="n">
        <v>46178</v>
      </c>
      <c r="P278" s="7" t="inlineStr">
        <is>
          <t>jobspy</t>
        </is>
      </c>
      <c r="Q278" s="8" t="inlineStr">
        <is>
          <t>sql, javascript, git, software development</t>
        </is>
      </c>
      <c r="R278" s="8" t="inlineStr">
        <is>
          <t>entry level Graduate Software Developer</t>
        </is>
      </c>
      <c r="S278" s="19" t="n"/>
      <c r="T278" s="19" t="n"/>
      <c r="U278" s="14" t="n">
        <v>46191</v>
      </c>
      <c r="V278" s="7" t="n"/>
    </row>
    <row r="279" ht="28" customHeight="1">
      <c r="A279" s="12">
        <f>IF($L279="applied","Applied",IF($L279="interview","Interview",IF($L279="offer","Offer",IF($L279="rejected","Rejected",IF($L279="ignore","Ignore",IF($L279="archive","Archive",IF($L279="closed","Closed",IF($B279="","Unscored",IF(AND($B279&gt;=8,OR($H279="",$H279-TODAY()&lt;=14)),"P1 Apply",IF($B279&gt;=7,"P2 Strong",IF($B279&gt;=5,"P3 Maybe","P4 Low")))))))))))</f>
        <v/>
      </c>
      <c r="B279" s="13" t="n">
        <v>3.27</v>
      </c>
      <c r="C279" s="12" t="inlineStr">
        <is>
          <t>Junior</t>
        </is>
      </c>
      <c r="D279" s="8" t="inlineStr">
        <is>
          <t>Junior Software Engineer</t>
        </is>
      </c>
      <c r="E279" s="7" t="inlineStr">
        <is>
          <t>AEJ Consulting Ltd</t>
        </is>
      </c>
      <c r="F279" s="8" t="inlineStr">
        <is>
          <t>London Area, United Kingdom</t>
        </is>
      </c>
      <c r="G279" s="8" t="n"/>
      <c r="H279" s="14" t="n"/>
      <c r="I279" s="15">
        <f>IF($H279="","",$H279-TODAY())</f>
        <v/>
      </c>
      <c r="J279" s="16" t="inlineStr">
        <is>
          <t>Open posting</t>
        </is>
      </c>
      <c r="K279" s="8" t="n"/>
      <c r="L279" s="17" t="inlineStr">
        <is>
          <t>new</t>
        </is>
      </c>
      <c r="M279" s="18" t="inlineStr"/>
      <c r="N279" s="7" t="inlineStr">
        <is>
          <t>6cb179283beb6e3dea6cfc439fa76f6804548049</t>
        </is>
      </c>
      <c r="O279" s="14" t="n"/>
      <c r="P279" s="7" t="inlineStr">
        <is>
          <t>jobspy</t>
        </is>
      </c>
      <c r="Q279" s="8" t="inlineStr">
        <is>
          <t>python, sql, git</t>
        </is>
      </c>
      <c r="R279" s="8" t="inlineStr">
        <is>
          <t>junior/graduate Graduate Software Developer</t>
        </is>
      </c>
      <c r="S279" s="19" t="n"/>
      <c r="T279" s="19" t="n"/>
      <c r="U279" s="14" t="n">
        <v>46191</v>
      </c>
      <c r="V279" s="7" t="n"/>
    </row>
    <row r="280" ht="28" customHeight="1">
      <c r="A280" s="12">
        <f>IF($L280="applied","Applied",IF($L280="interview","Interview",IF($L280="offer","Offer",IF($L280="rejected","Rejected",IF($L280="ignore","Ignore",IF($L280="archive","Archive",IF($L280="closed","Closed",IF($B280="","Unscored",IF(AND($B280&gt;=8,OR($H280="",$H280-TODAY()&lt;=14)),"P1 Apply",IF($B280&gt;=7,"P2 Strong",IF($B280&gt;=5,"P3 Maybe","P4 Low")))))))))))</f>
        <v/>
      </c>
      <c r="B280" s="13" t="n">
        <v>3.27</v>
      </c>
      <c r="C280" s="12" t="inlineStr">
        <is>
          <t>Mid-level</t>
        </is>
      </c>
      <c r="D280" s="8" t="inlineStr">
        <is>
          <t>Back-End Engineer - Team Agents</t>
        </is>
      </c>
      <c r="E280" s="7" t="inlineStr">
        <is>
          <t>Taktile</t>
        </is>
      </c>
      <c r="F280" s="8" t="inlineStr">
        <is>
          <t>London, England, UK</t>
        </is>
      </c>
      <c r="G280" s="8" t="n"/>
      <c r="H280" s="14" t="n"/>
      <c r="I280" s="15">
        <f>IF($H280="","",$H280-TODAY())</f>
        <v/>
      </c>
      <c r="J280" s="16" t="inlineStr">
        <is>
          <t>Open posting</t>
        </is>
      </c>
      <c r="K280" s="8" t="n"/>
      <c r="L280" s="17" t="inlineStr">
        <is>
          <t>new</t>
        </is>
      </c>
      <c r="M280" s="18" t="inlineStr"/>
      <c r="N280" s="7" t="inlineStr">
        <is>
          <t>23870fe9c08691d3a55bc6715e91aafa68c99ebc</t>
        </is>
      </c>
      <c r="O280" s="14" t="n">
        <v>46162</v>
      </c>
      <c r="P280" s="7" t="inlineStr">
        <is>
          <t>jobspy</t>
        </is>
      </c>
      <c r="Q280" s="8" t="inlineStr">
        <is>
          <t>python, sql, git</t>
        </is>
      </c>
      <c r="R280" s="8" t="inlineStr">
        <is>
          <t>entry level Junior Python Developer</t>
        </is>
      </c>
      <c r="S280" s="19" t="n"/>
      <c r="T280" s="19" t="n"/>
      <c r="U280" s="14" t="n">
        <v>46191</v>
      </c>
      <c r="V280" s="7" t="n"/>
    </row>
    <row r="281" ht="28" customHeight="1">
      <c r="A281" s="12">
        <f>IF($L281="applied","Applied",IF($L281="interview","Interview",IF($L281="offer","Offer",IF($L281="rejected","Rejected",IF($L281="ignore","Ignore",IF($L281="archive","Archive",IF($L281="closed","Closed",IF($B281="","Unscored",IF(AND($B281&gt;=8,OR($H281="",$H281-TODAY()&lt;=14)),"P1 Apply",IF($B281&gt;=7,"P2 Strong",IF($B281&gt;=5,"P3 Maybe","P4 Low")))))))))))</f>
        <v/>
      </c>
      <c r="B281" s="13" t="n">
        <v>3.27</v>
      </c>
      <c r="C281" s="12" t="inlineStr">
        <is>
          <t>Senior/Lead</t>
        </is>
      </c>
      <c r="D281" s="8" t="inlineStr">
        <is>
          <t>Full Stack Developer (Angular, Node.js, Express, PHP/CakePHP)</t>
        </is>
      </c>
      <c r="E281" s="7" t="inlineStr">
        <is>
          <t>Atos</t>
        </is>
      </c>
      <c r="F281" s="8" t="inlineStr">
        <is>
          <t>Balham, ENG, GB</t>
        </is>
      </c>
      <c r="G281" s="8" t="n"/>
      <c r="H281" s="14" t="n"/>
      <c r="I281" s="15">
        <f>IF($H281="","",$H281-TODAY())</f>
        <v/>
      </c>
      <c r="J281" s="16" t="inlineStr">
        <is>
          <t>Open posting</t>
        </is>
      </c>
      <c r="K281" s="8" t="n"/>
      <c r="L281" s="17" t="inlineStr">
        <is>
          <t>new</t>
        </is>
      </c>
      <c r="M281" s="18" t="inlineStr"/>
      <c r="N281" s="7" t="inlineStr">
        <is>
          <t>3a79e3b39f1d12d4ffc0c81eb746ebe069f91cfc</t>
        </is>
      </c>
      <c r="O281" s="14" t="n">
        <v>46189</v>
      </c>
      <c r="P281" s="7" t="inlineStr">
        <is>
          <t>jobspy</t>
        </is>
      </c>
      <c r="Q281" s="8" t="inlineStr">
        <is>
          <t>python, sql, rest apis, git</t>
        </is>
      </c>
      <c r="R281" s="8" t="inlineStr">
        <is>
          <t>Full Stack Developer</t>
        </is>
      </c>
      <c r="S281" s="19" t="n"/>
      <c r="T281" s="19" t="n"/>
      <c r="U281" s="14" t="n">
        <v>46191</v>
      </c>
      <c r="V281" s="7" t="n"/>
    </row>
    <row r="282" ht="28" customHeight="1">
      <c r="A282" s="12">
        <f>IF($L282="applied","Applied",IF($L282="interview","Interview",IF($L282="offer","Offer",IF($L282="rejected","Rejected",IF($L282="ignore","Ignore",IF($L282="archive","Archive",IF($L282="closed","Closed",IF($B282="","Unscored",IF(AND($B282&gt;=8,OR($H282="",$H282-TODAY()&lt;=14)),"P1 Apply",IF($B282&gt;=7,"P2 Strong",IF($B282&gt;=5,"P3 Maybe","P4 Low")))))))))))</f>
        <v/>
      </c>
      <c r="B282" s="13" t="n">
        <v>3.27</v>
      </c>
      <c r="C282" s="12" t="inlineStr">
        <is>
          <t>Unspecified</t>
        </is>
      </c>
      <c r="D282" s="8" t="inlineStr">
        <is>
          <t>Python Engineer (Data)</t>
        </is>
      </c>
      <c r="E282" s="7" t="inlineStr">
        <is>
          <t>BCIS</t>
        </is>
      </c>
      <c r="F282" s="8" t="inlineStr">
        <is>
          <t>Coventry, England, UK</t>
        </is>
      </c>
      <c r="G282" s="8" t="n"/>
      <c r="H282" s="14" t="n"/>
      <c r="I282" s="15">
        <f>IF($H282="","",$H282-TODAY())</f>
        <v/>
      </c>
      <c r="J282" s="16" t="inlineStr">
        <is>
          <t>Open posting</t>
        </is>
      </c>
      <c r="K282" s="8" t="n"/>
      <c r="L282" s="17" t="inlineStr">
        <is>
          <t>new</t>
        </is>
      </c>
      <c r="M282" s="18" t="inlineStr"/>
      <c r="N282" s="7" t="inlineStr">
        <is>
          <t>ac6cc6b3d72d20aa1930f73e02a04a87f552fe55</t>
        </is>
      </c>
      <c r="O282" s="14" t="n">
        <v>46171</v>
      </c>
      <c r="P282" s="7" t="inlineStr">
        <is>
          <t>jobspy</t>
        </is>
      </c>
      <c r="Q282" s="8" t="inlineStr">
        <is>
          <t>python, sql, git</t>
        </is>
      </c>
      <c r="R282" s="8" t="inlineStr">
        <is>
          <t>graduate Junior Python Developer</t>
        </is>
      </c>
      <c r="S282" s="19" t="n"/>
      <c r="T282" s="19" t="n"/>
      <c r="U282" s="14" t="n">
        <v>46191</v>
      </c>
      <c r="V282" s="7" t="n"/>
    </row>
    <row r="283" ht="28" customHeight="1">
      <c r="A283" s="12">
        <f>IF($L283="applied","Applied",IF($L283="interview","Interview",IF($L283="offer","Offer",IF($L283="rejected","Rejected",IF($L283="ignore","Ignore",IF($L283="archive","Archive",IF($L283="closed","Closed",IF($B283="","Unscored",IF(AND($B283&gt;=8,OR($H283="",$H283-TODAY()&lt;=14)),"P1 Apply",IF($B283&gt;=7,"P2 Strong",IF($B283&gt;=5,"P3 Maybe","P4 Low")))))))))))</f>
        <v/>
      </c>
      <c r="B283" s="13" t="n">
        <v>3.27</v>
      </c>
      <c r="C283" s="12" t="inlineStr">
        <is>
          <t>Graduate/Entry</t>
        </is>
      </c>
      <c r="D283" s="8" t="inlineStr">
        <is>
          <t>Junior/Graduate Software Engineer</t>
        </is>
      </c>
      <c r="E283" s="7" t="inlineStr">
        <is>
          <t>NCR Atleos</t>
        </is>
      </c>
      <c r="F283" s="8" t="inlineStr">
        <is>
          <t>Dundee, Scotland, UK</t>
        </is>
      </c>
      <c r="G283" s="8" t="n"/>
      <c r="H283" s="14" t="n"/>
      <c r="I283" s="15">
        <f>IF($H283="","",$H283-TODAY())</f>
        <v/>
      </c>
      <c r="J283" s="16" t="inlineStr">
        <is>
          <t>Open posting</t>
        </is>
      </c>
      <c r="K283" s="8" t="n"/>
      <c r="L283" s="17" t="inlineStr">
        <is>
          <t>new</t>
        </is>
      </c>
      <c r="M283" s="18" t="inlineStr"/>
      <c r="N283" s="7" t="inlineStr">
        <is>
          <t>1fb64e0181c5a1f80eb2b7addf97c16ba34a1538</t>
        </is>
      </c>
      <c r="O283" s="14" t="n"/>
      <c r="P283" s="7" t="inlineStr">
        <is>
          <t>jobspy</t>
        </is>
      </c>
      <c r="Q283" s="8" t="inlineStr">
        <is>
          <t>python, sql, git, software development</t>
        </is>
      </c>
      <c r="R283" s="8" t="inlineStr">
        <is>
          <t>graduate Junior Python Developer</t>
        </is>
      </c>
      <c r="S283" s="19" t="n"/>
      <c r="T283" s="19" t="n"/>
      <c r="U283" s="14" t="n">
        <v>46191</v>
      </c>
      <c r="V283" s="7" t="n"/>
    </row>
    <row r="284" ht="28" customHeight="1">
      <c r="A284" s="12">
        <f>IF($L284="applied","Applied",IF($L284="interview","Interview",IF($L284="offer","Offer",IF($L284="rejected","Rejected",IF($L284="ignore","Ignore",IF($L284="archive","Archive",IF($L284="closed","Closed",IF($B284="","Unscored",IF(AND($B284&gt;=8,OR($H284="",$H284-TODAY()&lt;=14)),"P1 Apply",IF($B284&gt;=7,"P2 Strong",IF($B284&gt;=5,"P3 Maybe","P4 Low")))))))))))</f>
        <v/>
      </c>
      <c r="B284" s="13" t="n">
        <v>3.27</v>
      </c>
      <c r="C284" s="12" t="inlineStr">
        <is>
          <t>Unspecified</t>
        </is>
      </c>
      <c r="D284" s="8" t="inlineStr">
        <is>
          <t>Automation &amp; Software Developer</t>
        </is>
      </c>
      <c r="E284" s="7" t="inlineStr">
        <is>
          <t>BatchdUK</t>
        </is>
      </c>
      <c r="F284" s="8" t="inlineStr">
        <is>
          <t>Leeds, England, UK</t>
        </is>
      </c>
      <c r="G284" s="8" t="n"/>
      <c r="H284" s="14" t="n"/>
      <c r="I284" s="15">
        <f>IF($H284="","",$H284-TODAY())</f>
        <v/>
      </c>
      <c r="J284" s="16" t="inlineStr">
        <is>
          <t>Open posting</t>
        </is>
      </c>
      <c r="K284" s="8" t="n"/>
      <c r="L284" s="17" t="inlineStr">
        <is>
          <t>new</t>
        </is>
      </c>
      <c r="M284" s="18" t="inlineStr"/>
      <c r="N284" s="7" t="inlineStr">
        <is>
          <t>874515010d879432e44a883c25b27e6d7ced014a</t>
        </is>
      </c>
      <c r="O284" s="14" t="n">
        <v>46189</v>
      </c>
      <c r="P284" s="7" t="inlineStr">
        <is>
          <t>jobspy</t>
        </is>
      </c>
      <c r="Q284" s="8" t="inlineStr">
        <is>
          <t>python, sql, javascript, git, software development</t>
        </is>
      </c>
      <c r="R284" s="8" t="inlineStr">
        <is>
          <t>Graduate Software Developer Sheffield</t>
        </is>
      </c>
      <c r="S284" s="19" t="n"/>
      <c r="T284" s="19" t="n"/>
      <c r="U284" s="14" t="n">
        <v>46191</v>
      </c>
      <c r="V284" s="7" t="n"/>
    </row>
    <row r="285" ht="28" customHeight="1">
      <c r="A285" s="12">
        <f>IF($L285="applied","Applied",IF($L285="interview","Interview",IF($L285="offer","Offer",IF($L285="rejected","Rejected",IF($L285="ignore","Ignore",IF($L285="archive","Archive",IF($L285="closed","Closed",IF($B285="","Unscored",IF(AND($B285&gt;=8,OR($H285="",$H285-TODAY()&lt;=14)),"P1 Apply",IF($B285&gt;=7,"P2 Strong",IF($B285&gt;=5,"P3 Maybe","P4 Low")))))))))))</f>
        <v/>
      </c>
      <c r="B285" s="13" t="n">
        <v>3.27</v>
      </c>
      <c r="C285" s="12" t="inlineStr">
        <is>
          <t>Junior</t>
        </is>
      </c>
      <c r="D285" s="8" t="inlineStr">
        <is>
          <t>Junior Software Engineer</t>
        </is>
      </c>
      <c r="E285" s="7" t="inlineStr">
        <is>
          <t>VERDANT VENTURE MANAGEMENT LIMITED</t>
        </is>
      </c>
      <c r="F285" s="8" t="inlineStr">
        <is>
          <t>Wooler, ENG, GB</t>
        </is>
      </c>
      <c r="G285" s="8" t="n"/>
      <c r="H285" s="14" t="n"/>
      <c r="I285" s="15">
        <f>IF($H285="","",$H285-TODAY())</f>
        <v/>
      </c>
      <c r="J285" s="16" t="inlineStr">
        <is>
          <t>Open posting</t>
        </is>
      </c>
      <c r="K285" s="8" t="n"/>
      <c r="L285" s="17" t="inlineStr">
        <is>
          <t>new</t>
        </is>
      </c>
      <c r="M285" s="18" t="inlineStr"/>
      <c r="N285" s="7" t="inlineStr">
        <is>
          <t>d4586649ec26da567d0f7f7e5e7bbd0ec8df9521</t>
        </is>
      </c>
      <c r="O285" s="14" t="n">
        <v>46191</v>
      </c>
      <c r="P285" s="7" t="inlineStr">
        <is>
          <t>jobspy</t>
        </is>
      </c>
      <c r="Q285" s="8" t="inlineStr">
        <is>
          <t>python, javascript, git, software development, web development</t>
        </is>
      </c>
      <c r="R285" s="8" t="inlineStr">
        <is>
          <t>Junior Python Developer</t>
        </is>
      </c>
      <c r="S285" s="19" t="n"/>
      <c r="T285" s="19" t="n"/>
      <c r="U285" s="14" t="n">
        <v>46191</v>
      </c>
      <c r="V285" s="7" t="n"/>
    </row>
    <row r="286" ht="28" customHeight="1">
      <c r="A286" s="12">
        <f>IF($L286="applied","Applied",IF($L286="interview","Interview",IF($L286="offer","Offer",IF($L286="rejected","Rejected",IF($L286="ignore","Ignore",IF($L286="archive","Archive",IF($L286="closed","Closed",IF($B286="","Unscored",IF(AND($B286&gt;=8,OR($H286="",$H286-TODAY()&lt;=14)),"P1 Apply",IF($B286&gt;=7,"P2 Strong",IF($B286&gt;=5,"P3 Maybe","P4 Low")))))))))))</f>
        <v/>
      </c>
      <c r="B286" s="13" t="n">
        <v>3.27</v>
      </c>
      <c r="C286" s="12" t="inlineStr">
        <is>
          <t>Unspecified</t>
        </is>
      </c>
      <c r="D286" s="8" t="inlineStr">
        <is>
          <t>Python Developer</t>
        </is>
      </c>
      <c r="E286" s="7" t="inlineStr">
        <is>
          <t>Smartedge Solutions</t>
        </is>
      </c>
      <c r="F286" s="8" t="inlineStr">
        <is>
          <t>England, United Kingdom</t>
        </is>
      </c>
      <c r="G286" s="8" t="n"/>
      <c r="H286" s="14" t="n"/>
      <c r="I286" s="15">
        <f>IF($H286="","",$H286-TODAY())</f>
        <v/>
      </c>
      <c r="J286" s="16" t="inlineStr">
        <is>
          <t>Open posting</t>
        </is>
      </c>
      <c r="K286" s="8" t="n"/>
      <c r="L286" s="17" t="inlineStr">
        <is>
          <t>new</t>
        </is>
      </c>
      <c r="M286" s="18" t="inlineStr"/>
      <c r="N286" s="7" t="inlineStr">
        <is>
          <t>15b92ad73a3f2e402df74bbcb6051c6a03aabc7d</t>
        </is>
      </c>
      <c r="O286" s="14" t="n"/>
      <c r="P286" s="7" t="inlineStr">
        <is>
          <t>jobspy</t>
        </is>
      </c>
      <c r="Q286" s="8" t="inlineStr">
        <is>
          <t>python, sql, software development</t>
        </is>
      </c>
      <c r="R286" s="8" t="inlineStr">
        <is>
          <t>Junior Python Developer Sheffield</t>
        </is>
      </c>
      <c r="S286" s="19" t="n"/>
      <c r="T286" s="19" t="n"/>
      <c r="U286" s="14" t="n">
        <v>46191</v>
      </c>
      <c r="V286" s="7" t="n"/>
    </row>
    <row r="287" ht="28" customHeight="1">
      <c r="A287" s="12">
        <f>IF($L287="applied","Applied",IF($L287="interview","Interview",IF($L287="offer","Offer",IF($L287="rejected","Rejected",IF($L287="ignore","Ignore",IF($L287="archive","Archive",IF($L287="closed","Closed",IF($B287="","Unscored",IF(AND($B287&gt;=8,OR($H287="",$H287-TODAY()&lt;=14)),"P1 Apply",IF($B287&gt;=7,"P2 Strong",IF($B287&gt;=5,"P3 Maybe","P4 Low")))))))))))</f>
        <v/>
      </c>
      <c r="B287" s="13" t="n">
        <v>3.27</v>
      </c>
      <c r="C287" s="12" t="inlineStr">
        <is>
          <t>Senior/Lead</t>
        </is>
      </c>
      <c r="D287" s="8" t="inlineStr">
        <is>
          <t>Python Quantitative Developer - Systematic Hedge Fund</t>
        </is>
      </c>
      <c r="E287" s="7" t="inlineStr">
        <is>
          <t>Winston Fox</t>
        </is>
      </c>
      <c r="F287" s="8" t="inlineStr">
        <is>
          <t>London Area, United Kingdom</t>
        </is>
      </c>
      <c r="G287" s="8" t="n"/>
      <c r="H287" s="14" t="n"/>
      <c r="I287" s="15">
        <f>IF($H287="","",$H287-TODAY())</f>
        <v/>
      </c>
      <c r="J287" s="16" t="inlineStr">
        <is>
          <t>Open posting</t>
        </is>
      </c>
      <c r="K287" s="8" t="n"/>
      <c r="L287" s="17" t="inlineStr">
        <is>
          <t>new</t>
        </is>
      </c>
      <c r="M287" s="18" t="inlineStr"/>
      <c r="N287" s="7" t="inlineStr">
        <is>
          <t>4bf252940aa9328b846fed88a3584a8a9448b29e</t>
        </is>
      </c>
      <c r="O287" s="14" t="n">
        <v>46185</v>
      </c>
      <c r="P287" s="7" t="inlineStr">
        <is>
          <t>jobspy</t>
        </is>
      </c>
      <c r="Q287" s="8" t="inlineStr">
        <is>
          <t>python, sql, git, software development</t>
        </is>
      </c>
      <c r="R287" s="8" t="inlineStr">
        <is>
          <t>junior/graduate Junior Python Developer</t>
        </is>
      </c>
      <c r="S287" s="19" t="n"/>
      <c r="T287" s="19" t="n"/>
      <c r="U287" s="14" t="n">
        <v>46191</v>
      </c>
      <c r="V287" s="7" t="n"/>
    </row>
    <row r="288" ht="28" customHeight="1">
      <c r="A288" s="12">
        <f>IF($L288="applied","Applied",IF($L288="interview","Interview",IF($L288="offer","Offer",IF($L288="rejected","Rejected",IF($L288="ignore","Ignore",IF($L288="archive","Archive",IF($L288="closed","Closed",IF($B288="","Unscored",IF(AND($B288&gt;=8,OR($H288="",$H288-TODAY()&lt;=14)),"P1 Apply",IF($B288&gt;=7,"P2 Strong",IF($B288&gt;=5,"P3 Maybe","P4 Low")))))))))))</f>
        <v/>
      </c>
      <c r="B288" s="13" t="n">
        <v>3.27</v>
      </c>
      <c r="C288" s="12" t="inlineStr">
        <is>
          <t>Unspecified</t>
        </is>
      </c>
      <c r="D288" s="8" t="inlineStr">
        <is>
          <t>Software Developer, Risk and Regulatory</t>
        </is>
      </c>
      <c r="E288" s="7" t="inlineStr">
        <is>
          <t>bet365</t>
        </is>
      </c>
      <c r="F288" s="8" t="inlineStr">
        <is>
          <t>Manchester, England, UK</t>
        </is>
      </c>
      <c r="G288" s="8" t="n"/>
      <c r="H288" s="14" t="n"/>
      <c r="I288" s="15">
        <f>IF($H288="","",$H288-TODAY())</f>
        <v/>
      </c>
      <c r="J288" s="16" t="inlineStr">
        <is>
          <t>Open posting</t>
        </is>
      </c>
      <c r="K288" s="8" t="n"/>
      <c r="L288" s="17" t="inlineStr">
        <is>
          <t>new</t>
        </is>
      </c>
      <c r="M288" s="18" t="inlineStr"/>
      <c r="N288" s="7" t="inlineStr">
        <is>
          <t>f2005dc7fda9d892b8cdf310777ff4dda4b49840</t>
        </is>
      </c>
      <c r="O288" s="14" t="n">
        <v>46190</v>
      </c>
      <c r="P288" s="7" t="inlineStr">
        <is>
          <t>jobspy</t>
        </is>
      </c>
      <c r="Q288" s="8" t="inlineStr">
        <is>
          <t>sql, javascript, software development, web development</t>
        </is>
      </c>
      <c r="R288" s="8" t="inlineStr">
        <is>
          <t>Full Stack Developer Sheffield</t>
        </is>
      </c>
      <c r="S288" s="19" t="n"/>
      <c r="T288" s="19" t="n"/>
      <c r="U288" s="14" t="n">
        <v>46191</v>
      </c>
      <c r="V288" s="7" t="n"/>
    </row>
    <row r="289" ht="28" customHeight="1">
      <c r="A289" s="12">
        <f>IF($L289="applied","Applied",IF($L289="interview","Interview",IF($L289="offer","Offer",IF($L289="rejected","Rejected",IF($L289="ignore","Ignore",IF($L289="archive","Archive",IF($L289="closed","Closed",IF($B289="","Unscored",IF(AND($B289&gt;=8,OR($H289="",$H289-TODAY()&lt;=14)),"P1 Apply",IF($B289&gt;=7,"P2 Strong",IF($B289&gt;=5,"P3 Maybe","P4 Low")))))))))))</f>
        <v/>
      </c>
      <c r="B289" s="13" t="n">
        <v>3.27</v>
      </c>
      <c r="C289" s="12" t="inlineStr">
        <is>
          <t>Unspecified</t>
        </is>
      </c>
      <c r="D289" s="8" t="inlineStr">
        <is>
          <t>Software Developer, Risk and Regulatory</t>
        </is>
      </c>
      <c r="E289" s="7" t="inlineStr">
        <is>
          <t>bet365</t>
        </is>
      </c>
      <c r="F289" s="8" t="inlineStr">
        <is>
          <t>Stoke-On-Trent, England, UK</t>
        </is>
      </c>
      <c r="G289" s="8" t="n"/>
      <c r="H289" s="14" t="n"/>
      <c r="I289" s="15">
        <f>IF($H289="","",$H289-TODAY())</f>
        <v/>
      </c>
      <c r="J289" s="16" t="inlineStr">
        <is>
          <t>Open posting</t>
        </is>
      </c>
      <c r="K289" s="8" t="n"/>
      <c r="L289" s="17" t="inlineStr">
        <is>
          <t>new</t>
        </is>
      </c>
      <c r="M289" s="18" t="inlineStr"/>
      <c r="N289" s="7" t="inlineStr">
        <is>
          <t>b4147af698c41e11334da2503422569ab03eb232</t>
        </is>
      </c>
      <c r="O289" s="14" t="n">
        <v>46190</v>
      </c>
      <c r="P289" s="7" t="inlineStr">
        <is>
          <t>jobspy</t>
        </is>
      </c>
      <c r="Q289" s="8" t="inlineStr">
        <is>
          <t>sql, javascript, software development, web development</t>
        </is>
      </c>
      <c r="R289" s="8" t="inlineStr">
        <is>
          <t>graduate Full Stack Developer</t>
        </is>
      </c>
      <c r="S289" s="19" t="n"/>
      <c r="T289" s="19" t="n"/>
      <c r="U289" s="14" t="n">
        <v>46191</v>
      </c>
      <c r="V289" s="7" t="n"/>
    </row>
    <row r="290" ht="28" customHeight="1">
      <c r="A290" s="12">
        <f>IF($L290="applied","Applied",IF($L290="interview","Interview",IF($L290="offer","Offer",IF($L290="rejected","Rejected",IF($L290="ignore","Ignore",IF($L290="archive","Archive",IF($L290="closed","Closed",IF($B290="","Unscored",IF(AND($B290&gt;=8,OR($H290="",$H290-TODAY()&lt;=14)),"P1 Apply",IF($B290&gt;=7,"P2 Strong",IF($B290&gt;=5,"P3 Maybe","P4 Low")))))))))))</f>
        <v/>
      </c>
      <c r="B290" s="13" t="n">
        <v>3.27</v>
      </c>
      <c r="C290" s="12" t="inlineStr">
        <is>
          <t>Mid-level</t>
        </is>
      </c>
      <c r="D290" s="8" t="inlineStr">
        <is>
          <t>Full Stack Engineer</t>
        </is>
      </c>
      <c r="E290" s="7" t="inlineStr">
        <is>
          <t>FDJ UNITED</t>
        </is>
      </c>
      <c r="F290" s="8" t="inlineStr">
        <is>
          <t>London Area, United Kingdom</t>
        </is>
      </c>
      <c r="G290" s="8" t="n"/>
      <c r="H290" s="14" t="n"/>
      <c r="I290" s="15">
        <f>IF($H290="","",$H290-TODAY())</f>
        <v/>
      </c>
      <c r="J290" s="16" t="inlineStr">
        <is>
          <t>Open posting</t>
        </is>
      </c>
      <c r="K290" s="8" t="n"/>
      <c r="L290" s="17" t="inlineStr">
        <is>
          <t>new</t>
        </is>
      </c>
      <c r="M290" s="18" t="inlineStr"/>
      <c r="N290" s="7" t="inlineStr">
        <is>
          <t>a97fd90dccb060967ca7ec7df1451ec0b3fe8bd4</t>
        </is>
      </c>
      <c r="O290" s="14" t="n">
        <v>46168</v>
      </c>
      <c r="P290" s="7" t="inlineStr">
        <is>
          <t>jobspy</t>
        </is>
      </c>
      <c r="Q290" s="8" t="inlineStr">
        <is>
          <t>javascript, rest apis, git</t>
        </is>
      </c>
      <c r="R290" s="8" t="inlineStr">
        <is>
          <t>entry level Full Stack Developer</t>
        </is>
      </c>
      <c r="S290" s="19" t="n"/>
      <c r="T290" s="19" t="n"/>
      <c r="U290" s="14" t="n">
        <v>46191</v>
      </c>
      <c r="V290" s="7" t="n"/>
    </row>
    <row r="291" ht="28" customHeight="1">
      <c r="A291" s="12">
        <f>IF($L291="applied","Applied",IF($L291="interview","Interview",IF($L291="offer","Offer",IF($L291="rejected","Rejected",IF($L291="ignore","Ignore",IF($L291="archive","Archive",IF($L291="closed","Closed",IF($B291="","Unscored",IF(AND($B291&gt;=8,OR($H291="",$H291-TODAY()&lt;=14)),"P1 Apply",IF($B291&gt;=7,"P2 Strong",IF($B291&gt;=5,"P3 Maybe","P4 Low")))))))))))</f>
        <v/>
      </c>
      <c r="B291" s="13" t="n">
        <v>3.27</v>
      </c>
      <c r="C291" s="12" t="inlineStr">
        <is>
          <t>Mid-level</t>
        </is>
      </c>
      <c r="D291" s="8" t="inlineStr">
        <is>
          <t>Software Engineer</t>
        </is>
      </c>
      <c r="E291" s="7" t="inlineStr">
        <is>
          <t>CDP</t>
        </is>
      </c>
      <c r="F291" s="8" t="inlineStr">
        <is>
          <t>London Area, United Kingdom</t>
        </is>
      </c>
      <c r="G291" s="8" t="n"/>
      <c r="H291" s="14" t="n"/>
      <c r="I291" s="15">
        <f>IF($H291="","",$H291-TODAY())</f>
        <v/>
      </c>
      <c r="J291" s="16" t="inlineStr">
        <is>
          <t>Open posting</t>
        </is>
      </c>
      <c r="K291" s="8" t="n"/>
      <c r="L291" s="17" t="inlineStr">
        <is>
          <t>new</t>
        </is>
      </c>
      <c r="M291" s="18" t="inlineStr"/>
      <c r="N291" s="7" t="inlineStr">
        <is>
          <t>e5caf648c7d1937d5d37cc3351e1c3bda69d32a2</t>
        </is>
      </c>
      <c r="O291" s="14" t="n">
        <v>46163</v>
      </c>
      <c r="P291" s="7" t="inlineStr">
        <is>
          <t>jobspy</t>
        </is>
      </c>
      <c r="Q291" s="8" t="inlineStr">
        <is>
          <t>python, javascript, git, web development</t>
        </is>
      </c>
      <c r="R291" s="8" t="inlineStr">
        <is>
          <t>entry level Full Stack Developer</t>
        </is>
      </c>
      <c r="S291" s="19" t="n"/>
      <c r="T291" s="19" t="n"/>
      <c r="U291" s="14" t="n">
        <v>46191</v>
      </c>
      <c r="V291" s="7" t="n"/>
    </row>
    <row r="292" ht="28" customHeight="1">
      <c r="A292" s="12">
        <f>IF($L292="applied","Applied",IF($L292="interview","Interview",IF($L292="offer","Offer",IF($L292="rejected","Rejected",IF($L292="ignore","Ignore",IF($L292="archive","Archive",IF($L292="closed","Closed",IF($B292="","Unscored",IF(AND($B292&gt;=8,OR($H292="",$H292-TODAY()&lt;=14)),"P1 Apply",IF($B292&gt;=7,"P2 Strong",IF($B292&gt;=5,"P3 Maybe","P4 Low")))))))))))</f>
        <v/>
      </c>
      <c r="B292" s="13" t="n">
        <v>3.06</v>
      </c>
      <c r="C292" s="12" t="inlineStr">
        <is>
          <t>Unspecified</t>
        </is>
      </c>
      <c r="D292" s="8" t="inlineStr">
        <is>
          <t>Software Development Engineer II</t>
        </is>
      </c>
      <c r="E292" s="7" t="inlineStr">
        <is>
          <t>GoCardless</t>
        </is>
      </c>
      <c r="F292" s="8" t="inlineStr">
        <is>
          <t>London, UK</t>
        </is>
      </c>
      <c r="G292" s="8" t="n"/>
      <c r="H292" s="14" t="n"/>
      <c r="I292" s="15">
        <f>IF($H292="","",$H292-TODAY())</f>
        <v/>
      </c>
      <c r="J292" s="16" t="inlineStr">
        <is>
          <t>Open posting</t>
        </is>
      </c>
      <c r="K292" s="8" t="n"/>
      <c r="L292" s="17" t="inlineStr">
        <is>
          <t>new</t>
        </is>
      </c>
      <c r="M292" s="18" t="inlineStr"/>
      <c r="N292" s="7" t="inlineStr">
        <is>
          <t>dd95caacd1d806379d217f8328c63cc42b1dc9f3</t>
        </is>
      </c>
      <c r="O292" s="14" t="n">
        <v>46182</v>
      </c>
      <c r="P292" s="7" t="inlineStr">
        <is>
          <t>greenhouse:gocardless</t>
        </is>
      </c>
      <c r="Q292" s="8" t="inlineStr">
        <is>
          <t>python, javascript, git, software development</t>
        </is>
      </c>
      <c r="R292" s="8" t="n"/>
      <c r="S292" s="19" t="n"/>
      <c r="T292" s="19" t="n"/>
      <c r="U292" s="14" t="n">
        <v>46191</v>
      </c>
      <c r="V292" s="7" t="n"/>
    </row>
    <row r="293" ht="28" customHeight="1">
      <c r="A293" s="12">
        <f>IF($L293="applied","Applied",IF($L293="interview","Interview",IF($L293="offer","Offer",IF($L293="rejected","Rejected",IF($L293="ignore","Ignore",IF($L293="archive","Archive",IF($L293="closed","Closed",IF($B293="","Unscored",IF(AND($B293&gt;=8,OR($H293="",$H293-TODAY()&lt;=14)),"P1 Apply",IF($B293&gt;=7,"P2 Strong",IF($B293&gt;=5,"P3 Maybe","P4 Low")))))))))))</f>
        <v/>
      </c>
      <c r="B293" s="13" t="n">
        <v>3.06</v>
      </c>
      <c r="C293" s="12" t="inlineStr">
        <is>
          <t>Senior/Lead</t>
        </is>
      </c>
      <c r="D293" s="8" t="inlineStr">
        <is>
          <t>Software Engineer - (Full-stack Javascript)</t>
        </is>
      </c>
      <c r="E293" s="7" t="inlineStr">
        <is>
          <t>Perlego</t>
        </is>
      </c>
      <c r="F293" s="8" t="inlineStr">
        <is>
          <t>London, England, UK</t>
        </is>
      </c>
      <c r="G293" s="8" t="n"/>
      <c r="H293" s="14" t="n"/>
      <c r="I293" s="15">
        <f>IF($H293="","",$H293-TODAY())</f>
        <v/>
      </c>
      <c r="J293" s="16" t="inlineStr">
        <is>
          <t>Open posting</t>
        </is>
      </c>
      <c r="K293" s="8" t="n"/>
      <c r="L293" s="17" t="inlineStr">
        <is>
          <t>new</t>
        </is>
      </c>
      <c r="M293" s="18" t="inlineStr"/>
      <c r="N293" s="7" t="inlineStr">
        <is>
          <t>6a0cfe9884df8d4476d2bc23230b661d8d7214b8</t>
        </is>
      </c>
      <c r="O293" s="14" t="n">
        <v>46164</v>
      </c>
      <c r="P293" s="7" t="inlineStr">
        <is>
          <t>jobspy</t>
        </is>
      </c>
      <c r="Q293" s="8" t="inlineStr">
        <is>
          <t>sql, javascript, git</t>
        </is>
      </c>
      <c r="R293" s="8" t="inlineStr">
        <is>
          <t>junior Graduate Software Developer</t>
        </is>
      </c>
      <c r="S293" s="19" t="n"/>
      <c r="T293" s="19" t="n"/>
      <c r="U293" s="14" t="n">
        <v>46191</v>
      </c>
      <c r="V293" s="7" t="n"/>
    </row>
    <row r="294" ht="28" customHeight="1">
      <c r="A294" s="12">
        <f>IF($L294="applied","Applied",IF($L294="interview","Interview",IF($L294="offer","Offer",IF($L294="rejected","Rejected",IF($L294="ignore","Ignore",IF($L294="archive","Archive",IF($L294="closed","Closed",IF($B294="","Unscored",IF(AND($B294&gt;=8,OR($H294="",$H294-TODAY()&lt;=14)),"P1 Apply",IF($B294&gt;=7,"P2 Strong",IF($B294&gt;=5,"P3 Maybe","P4 Low")))))))))))</f>
        <v/>
      </c>
      <c r="B294" s="13" t="n">
        <v>3.06</v>
      </c>
      <c r="C294" s="12" t="inlineStr">
        <is>
          <t>Junior</t>
        </is>
      </c>
      <c r="D294" s="8" t="inlineStr">
        <is>
          <t>Junior Backend Engineer - UK</t>
        </is>
      </c>
      <c r="E294" s="7" t="inlineStr">
        <is>
          <t>Bumper</t>
        </is>
      </c>
      <c r="F294" s="8" t="inlineStr"/>
      <c r="G294" s="8" t="n"/>
      <c r="H294" s="14" t="n"/>
      <c r="I294" s="15">
        <f>IF($H294="","",$H294-TODAY())</f>
        <v/>
      </c>
      <c r="J294" s="16" t="inlineStr">
        <is>
          <t>Open posting</t>
        </is>
      </c>
      <c r="K294" s="8" t="n"/>
      <c r="L294" s="17" t="inlineStr">
        <is>
          <t>new</t>
        </is>
      </c>
      <c r="M294" s="18" t="inlineStr"/>
      <c r="N294" s="7" t="inlineStr">
        <is>
          <t>2d4ec8aa487d598027e1cdef31a6505da67fbe24</t>
        </is>
      </c>
      <c r="O294" s="14" t="n">
        <v>46182</v>
      </c>
      <c r="P294" s="7" t="inlineStr">
        <is>
          <t>jobspy</t>
        </is>
      </c>
      <c r="Q294" s="8" t="inlineStr">
        <is>
          <t>python, sql, rest apis, git</t>
        </is>
      </c>
      <c r="R294" s="8" t="inlineStr">
        <is>
          <t>Junior Python Developer Sheffield</t>
        </is>
      </c>
      <c r="S294" s="19" t="n"/>
      <c r="T294" s="19" t="n"/>
      <c r="U294" s="14" t="n">
        <v>46191</v>
      </c>
      <c r="V294" s="7" t="n"/>
    </row>
    <row r="295" ht="28" customHeight="1">
      <c r="A295" s="12">
        <f>IF($L295="applied","Applied",IF($L295="interview","Interview",IF($L295="offer","Offer",IF($L295="rejected","Rejected",IF($L295="ignore","Ignore",IF($L295="archive","Archive",IF($L295="closed","Closed",IF($B295="","Unscored",IF(AND($B295&gt;=8,OR($H295="",$H295-TODAY()&lt;=14)),"P1 Apply",IF($B295&gt;=7,"P2 Strong",IF($B295&gt;=5,"P3 Maybe","P4 Low")))))))))))</f>
        <v/>
      </c>
      <c r="B295" s="13" t="n">
        <v>3.06</v>
      </c>
      <c r="C295" s="12" t="inlineStr">
        <is>
          <t>Mid-level</t>
        </is>
      </c>
      <c r="D295" s="8" t="inlineStr">
        <is>
          <t>Developer (React, Node.js)</t>
        </is>
      </c>
      <c r="E295" s="7" t="inlineStr">
        <is>
          <t>Sage</t>
        </is>
      </c>
      <c r="F295" s="8" t="inlineStr">
        <is>
          <t>Newcastle Upon Tyne, England, UK</t>
        </is>
      </c>
      <c r="G295" s="8" t="n"/>
      <c r="H295" s="14" t="n"/>
      <c r="I295" s="15">
        <f>IF($H295="","",$H295-TODAY())</f>
        <v/>
      </c>
      <c r="J295" s="16" t="inlineStr">
        <is>
          <t>Open posting</t>
        </is>
      </c>
      <c r="K295" s="8" t="n"/>
      <c r="L295" s="17" t="inlineStr">
        <is>
          <t>new</t>
        </is>
      </c>
      <c r="M295" s="18" t="inlineStr"/>
      <c r="N295" s="7" t="inlineStr">
        <is>
          <t>82906425217b17801ba6b3989b786d58ecff147b</t>
        </is>
      </c>
      <c r="O295" s="14" t="n"/>
      <c r="P295" s="7" t="inlineStr">
        <is>
          <t>jobspy</t>
        </is>
      </c>
      <c r="Q295" s="8" t="inlineStr">
        <is>
          <t>sql, git, software development</t>
        </is>
      </c>
      <c r="R295" s="8" t="inlineStr">
        <is>
          <t>graduate Full Stack Developer</t>
        </is>
      </c>
      <c r="S295" s="19" t="n"/>
      <c r="T295" s="19" t="n"/>
      <c r="U295" s="14" t="n">
        <v>46191</v>
      </c>
      <c r="V295" s="7" t="n"/>
    </row>
    <row r="296" ht="28" customHeight="1">
      <c r="A296" s="12">
        <f>IF($L296="applied","Applied",IF($L296="interview","Interview",IF($L296="offer","Offer",IF($L296="rejected","Rejected",IF($L296="ignore","Ignore",IF($L296="archive","Archive",IF($L296="closed","Closed",IF($B296="","Unscored",IF(AND($B296&gt;=8,OR($H296="",$H296-TODAY()&lt;=14)),"P1 Apply",IF($B296&gt;=7,"P2 Strong",IF($B296&gt;=5,"P3 Maybe","P4 Low")))))))))))</f>
        <v/>
      </c>
      <c r="B296" s="13" t="n">
        <v>3.06</v>
      </c>
      <c r="C296" s="12" t="inlineStr">
        <is>
          <t>Senior/Lead</t>
        </is>
      </c>
      <c r="D296" s="8" t="inlineStr">
        <is>
          <t>Software Engineer (Full Stack)</t>
        </is>
      </c>
      <c r="E296" s="7" t="inlineStr">
        <is>
          <t>Urban Jungle Insurance</t>
        </is>
      </c>
      <c r="F296" s="8" t="inlineStr">
        <is>
          <t>London Area, United Kingdom</t>
        </is>
      </c>
      <c r="G296" s="8" t="n"/>
      <c r="H296" s="14" t="n"/>
      <c r="I296" s="15">
        <f>IF($H296="","",$H296-TODAY())</f>
        <v/>
      </c>
      <c r="J296" s="16" t="inlineStr">
        <is>
          <t>Open posting</t>
        </is>
      </c>
      <c r="K296" s="8" t="n"/>
      <c r="L296" s="17" t="inlineStr">
        <is>
          <t>new</t>
        </is>
      </c>
      <c r="M296" s="18" t="inlineStr"/>
      <c r="N296" s="7" t="inlineStr">
        <is>
          <t>98cc91a902d7dafbe3d4c56481ccc95d7863fbde</t>
        </is>
      </c>
      <c r="O296" s="14" t="n">
        <v>46169</v>
      </c>
      <c r="P296" s="7" t="inlineStr">
        <is>
          <t>jobspy</t>
        </is>
      </c>
      <c r="Q296" s="8" t="inlineStr">
        <is>
          <t>python, sql, javascript</t>
        </is>
      </c>
      <c r="R296" s="8" t="inlineStr">
        <is>
          <t>junior/graduate Full Stack Developer</t>
        </is>
      </c>
      <c r="S296" s="19" t="n"/>
      <c r="T296" s="19" t="n"/>
      <c r="U296" s="14" t="n">
        <v>46191</v>
      </c>
      <c r="V296" s="7" t="n"/>
    </row>
    <row r="297" ht="28" customHeight="1">
      <c r="A297" s="12">
        <f>IF($L297="applied","Applied",IF($L297="interview","Interview",IF($L297="offer","Offer",IF($L297="rejected","Rejected",IF($L297="ignore","Ignore",IF($L297="archive","Archive",IF($L297="closed","Closed",IF($B297="","Unscored",IF(AND($B297&gt;=8,OR($H297="",$H297-TODAY()&lt;=14)),"P1 Apply",IF($B297&gt;=7,"P2 Strong",IF($B297&gt;=5,"P3 Maybe","P4 Low")))))))))))</f>
        <v/>
      </c>
      <c r="B297" s="13" t="n">
        <v>3.06</v>
      </c>
      <c r="C297" s="12" t="inlineStr">
        <is>
          <t>Unspecified</t>
        </is>
      </c>
      <c r="D297" s="8" t="inlineStr">
        <is>
          <t>Java UI Developer</t>
        </is>
      </c>
      <c r="E297" s="7" t="inlineStr">
        <is>
          <t>FalconSmartIT</t>
        </is>
      </c>
      <c r="F297" s="8" t="inlineStr">
        <is>
          <t>London, ENG, GB</t>
        </is>
      </c>
      <c r="G297" s="8" t="n"/>
      <c r="H297" s="14" t="n"/>
      <c r="I297" s="15">
        <f>IF($H297="","",$H297-TODAY())</f>
        <v/>
      </c>
      <c r="J297" s="16" t="inlineStr">
        <is>
          <t>Open posting</t>
        </is>
      </c>
      <c r="K297" s="8" t="n"/>
      <c r="L297" s="17" t="inlineStr">
        <is>
          <t>new</t>
        </is>
      </c>
      <c r="M297" s="18" t="inlineStr"/>
      <c r="N297" s="7" t="inlineStr">
        <is>
          <t>3d108f94b0bdef7c30808cc677c68ac55d13e171</t>
        </is>
      </c>
      <c r="O297" s="14" t="n">
        <v>46191</v>
      </c>
      <c r="P297" s="7" t="inlineStr">
        <is>
          <t>jobspy</t>
        </is>
      </c>
      <c r="Q297" s="8" t="inlineStr">
        <is>
          <t>javascript, rest apis, git</t>
        </is>
      </c>
      <c r="R297" s="8" t="inlineStr">
        <is>
          <t>Full Stack Developer</t>
        </is>
      </c>
      <c r="S297" s="19" t="n"/>
      <c r="T297" s="19" t="n"/>
      <c r="U297" s="14" t="n">
        <v>46191</v>
      </c>
      <c r="V297" s="7" t="n"/>
    </row>
    <row r="298" ht="28" customHeight="1">
      <c r="A298" s="12">
        <f>IF($L298="applied","Applied",IF($L298="interview","Interview",IF($L298="offer","Offer",IF($L298="rejected","Rejected",IF($L298="ignore","Ignore",IF($L298="archive","Archive",IF($L298="closed","Closed",IF($B298="","Unscored",IF(AND($B298&gt;=8,OR($H298="",$H298-TODAY()&lt;=14)),"P1 Apply",IF($B298&gt;=7,"P2 Strong",IF($B298&gt;=5,"P3 Maybe","P4 Low")))))))))))</f>
        <v/>
      </c>
      <c r="B298" s="13" t="n">
        <v>3.06</v>
      </c>
      <c r="C298" s="12" t="inlineStr">
        <is>
          <t>Senior/Lead</t>
        </is>
      </c>
      <c r="D298" s="8" t="inlineStr">
        <is>
          <t>Web Application Developer</t>
        </is>
      </c>
      <c r="E298" s="7" t="inlineStr">
        <is>
          <t>idash Software</t>
        </is>
      </c>
      <c r="F298" s="8" t="inlineStr">
        <is>
          <t>St Neots, England, UK</t>
        </is>
      </c>
      <c r="G298" s="8" t="n"/>
      <c r="H298" s="14" t="n">
        <v>46203</v>
      </c>
      <c r="I298" s="15">
        <f>IF($H298="","",$H298-TODAY())</f>
        <v/>
      </c>
      <c r="J298" s="16" t="inlineStr">
        <is>
          <t>Open posting</t>
        </is>
      </c>
      <c r="K298" s="8" t="n"/>
      <c r="L298" s="17" t="inlineStr">
        <is>
          <t>new</t>
        </is>
      </c>
      <c r="M298" s="18" t="inlineStr"/>
      <c r="N298" s="7" t="inlineStr">
        <is>
          <t>fd09d53809d8976bb50e55abd61ae38e75f75bcd</t>
        </is>
      </c>
      <c r="O298" s="14" t="n">
        <v>46174</v>
      </c>
      <c r="P298" s="7" t="inlineStr">
        <is>
          <t>jobspy</t>
        </is>
      </c>
      <c r="Q298" s="8" t="inlineStr">
        <is>
          <t>sql, javascript, git, software development, web development</t>
        </is>
      </c>
      <c r="R298" s="8" t="inlineStr">
        <is>
          <t>graduate Full Stack Developer</t>
        </is>
      </c>
      <c r="S298" s="19" t="n"/>
      <c r="T298" s="19" t="n"/>
      <c r="U298" s="14" t="n">
        <v>46191</v>
      </c>
      <c r="V298" s="7" t="n"/>
    </row>
    <row r="299" ht="28" customHeight="1">
      <c r="A299" s="12">
        <f>IF($L299="applied","Applied",IF($L299="interview","Interview",IF($L299="offer","Offer",IF($L299="rejected","Rejected",IF($L299="ignore","Ignore",IF($L299="archive","Archive",IF($L299="closed","Closed",IF($B299="","Unscored",IF(AND($B299&gt;=8,OR($H299="",$H299-TODAY()&lt;=14)),"P1 Apply",IF($B299&gt;=7,"P2 Strong",IF($B299&gt;=5,"P3 Maybe","P4 Low")))))))))))</f>
        <v/>
      </c>
      <c r="B299" s="13" t="n">
        <v>3.06</v>
      </c>
      <c r="C299" s="12" t="inlineStr">
        <is>
          <t>Unspecified</t>
        </is>
      </c>
      <c r="D299" s="8" t="inlineStr">
        <is>
          <t>Full-stack Engineer</t>
        </is>
      </c>
      <c r="E299" s="7" t="inlineStr">
        <is>
          <t>Renesas Electronics</t>
        </is>
      </c>
      <c r="F299" s="8" t="inlineStr">
        <is>
          <t>Cambridge, England, UK</t>
        </is>
      </c>
      <c r="G299" s="8" t="n"/>
      <c r="H299" s="14" t="n"/>
      <c r="I299" s="15">
        <f>IF($H299="","",$H299-TODAY())</f>
        <v/>
      </c>
      <c r="J299" s="16" t="inlineStr">
        <is>
          <t>Open posting</t>
        </is>
      </c>
      <c r="K299" s="8" t="n"/>
      <c r="L299" s="17" t="inlineStr">
        <is>
          <t>new</t>
        </is>
      </c>
      <c r="M299" s="18" t="inlineStr"/>
      <c r="N299" s="7" t="inlineStr">
        <is>
          <t>e5501079069275811970d9fe19cbce831e613f91</t>
        </is>
      </c>
      <c r="O299" s="14" t="n"/>
      <c r="P299" s="7" t="inlineStr">
        <is>
          <t>jobspy</t>
        </is>
      </c>
      <c r="Q299" s="8" t="inlineStr">
        <is>
          <t>python, sql, git</t>
        </is>
      </c>
      <c r="R299" s="8" t="inlineStr">
        <is>
          <t>Full Stack Developer</t>
        </is>
      </c>
      <c r="S299" s="19" t="n"/>
      <c r="T299" s="19" t="n"/>
      <c r="U299" s="14" t="n">
        <v>46191</v>
      </c>
      <c r="V299" s="7" t="n"/>
    </row>
    <row r="300" ht="28" customHeight="1">
      <c r="A300" s="12">
        <f>IF($L300="applied","Applied",IF($L300="interview","Interview",IF($L300="offer","Offer",IF($L300="rejected","Rejected",IF($L300="ignore","Ignore",IF($L300="archive","Archive",IF($L300="closed","Closed",IF($B300="","Unscored",IF(AND($B300&gt;=8,OR($H300="",$H300-TODAY()&lt;=14)),"P1 Apply",IF($B300&gt;=7,"P2 Strong",IF($B300&gt;=5,"P3 Maybe","P4 Low")))))))))))</f>
        <v/>
      </c>
      <c r="B300" s="13" t="n">
        <v>3</v>
      </c>
      <c r="C300" s="12" t="inlineStr">
        <is>
          <t>Unspecified</t>
        </is>
      </c>
      <c r="D300" s="8" t="inlineStr">
        <is>
          <t>DevOps engineer</t>
        </is>
      </c>
      <c r="E300" s="7" t="inlineStr">
        <is>
          <t>Edhouse s.r.o.</t>
        </is>
      </c>
      <c r="F300" s="8" t="inlineStr">
        <is>
          <t>Nebo, Wales, UK</t>
        </is>
      </c>
      <c r="G300" s="8" t="n"/>
      <c r="H300" s="14" t="n"/>
      <c r="I300" s="15">
        <f>IF($H300="","",$H300-TODAY())</f>
        <v/>
      </c>
      <c r="J300" s="16" t="inlineStr">
        <is>
          <t>Open posting</t>
        </is>
      </c>
      <c r="K300" s="8" t="inlineStr">
        <is>
          <t>Role is in Czech Republic/Slovak language context, location far outside search radius, and requires Windows admin experience not evidenced in profile.</t>
        </is>
      </c>
      <c r="L300" s="17" t="inlineStr">
        <is>
          <t>new</t>
        </is>
      </c>
      <c r="M300" s="18" t="inlineStr"/>
      <c r="N300" s="7" t="inlineStr">
        <is>
          <t>2f2d08704cbdf75a6f5448a65796fc0db4d642f4</t>
        </is>
      </c>
      <c r="O300" s="14" t="n">
        <v>46167</v>
      </c>
      <c r="P300" s="7" t="inlineStr">
        <is>
          <t>jobspy</t>
        </is>
      </c>
      <c r="Q300" s="8" t="inlineStr">
        <is>
          <t>Python, Git, Docker, Kubernetes</t>
        </is>
      </c>
      <c r="R300" s="8" t="inlineStr">
        <is>
          <t>Graduate DevOps Engineer Docker Kubernetes Git</t>
        </is>
      </c>
      <c r="S300" s="19" t="n"/>
      <c r="T300" s="19" t="n"/>
      <c r="U300" s="14" t="n">
        <v>46192</v>
      </c>
      <c r="V300" s="7" t="inlineStr">
        <is>
          <t>v2-cv-accuracy-13b988b18da8ea7d</t>
        </is>
      </c>
    </row>
    <row r="301" ht="28" customHeight="1">
      <c r="A301" s="12">
        <f>IF($L301="applied","Applied",IF($L301="interview","Interview",IF($L301="offer","Offer",IF($L301="rejected","Rejected",IF($L301="ignore","Ignore",IF($L301="archive","Archive",IF($L301="closed","Closed",IF($B301="","Unscored",IF(AND($B301&gt;=8,OR($H301="",$H301-TODAY()&lt;=14)),"P1 Apply",IF($B301&gt;=7,"P2 Strong",IF($B301&gt;=5,"P3 Maybe","P4 Low")))))))))))</f>
        <v/>
      </c>
      <c r="B301" s="13" t="n">
        <v>2.86</v>
      </c>
      <c r="C301" s="12" t="inlineStr">
        <is>
          <t>Unspecified</t>
        </is>
      </c>
      <c r="D301" s="8" t="inlineStr">
        <is>
          <t>Site Reliability Engineer</t>
        </is>
      </c>
      <c r="E301" s="7" t="inlineStr">
        <is>
          <t>GoCardless</t>
        </is>
      </c>
      <c r="F301" s="8" t="inlineStr">
        <is>
          <t>London, UK</t>
        </is>
      </c>
      <c r="G301" s="8" t="n"/>
      <c r="H301" s="14" t="n"/>
      <c r="I301" s="15">
        <f>IF($H301="","",$H301-TODAY())</f>
        <v/>
      </c>
      <c r="J301" s="16" t="inlineStr">
        <is>
          <t>Open posting</t>
        </is>
      </c>
      <c r="K301" s="8" t="n"/>
      <c r="L301" s="17" t="inlineStr">
        <is>
          <t>new</t>
        </is>
      </c>
      <c r="M301" s="18" t="inlineStr"/>
      <c r="N301" s="7" t="inlineStr">
        <is>
          <t>49a2a0300fd14e9911eff5cad6fc94bc2eed750d</t>
        </is>
      </c>
      <c r="O301" s="14" t="n">
        <v>46190</v>
      </c>
      <c r="P301" s="7" t="inlineStr">
        <is>
          <t>greenhouse:gocardless</t>
        </is>
      </c>
      <c r="Q301" s="8" t="inlineStr">
        <is>
          <t>python, git, software development</t>
        </is>
      </c>
      <c r="R301" s="8" t="n"/>
      <c r="S301" s="19" t="n"/>
      <c r="T301" s="19" t="n"/>
      <c r="U301" s="14" t="n">
        <v>46191</v>
      </c>
      <c r="V301" s="7" t="n"/>
    </row>
    <row r="302" ht="28" customHeight="1">
      <c r="A302" s="12">
        <f>IF($L302="applied","Applied",IF($L302="interview","Interview",IF($L302="offer","Offer",IF($L302="rejected","Rejected",IF($L302="ignore","Ignore",IF($L302="archive","Archive",IF($L302="closed","Closed",IF($B302="","Unscored",IF(AND($B302&gt;=8,OR($H302="",$H302-TODAY()&lt;=14)),"P1 Apply",IF($B302&gt;=7,"P2 Strong",IF($B302&gt;=5,"P3 Maybe","P4 Low")))))))))))</f>
        <v/>
      </c>
      <c r="B302" s="13" t="n">
        <v>2.86</v>
      </c>
      <c r="C302" s="12" t="inlineStr">
        <is>
          <t>Unspecified</t>
        </is>
      </c>
      <c r="D302" s="8" t="inlineStr">
        <is>
          <t>Site Reliability Engineer</t>
        </is>
      </c>
      <c r="E302" s="7" t="inlineStr">
        <is>
          <t>GoCardless</t>
        </is>
      </c>
      <c r="F302" s="8" t="inlineStr">
        <is>
          <t>Lisbon, Portugal</t>
        </is>
      </c>
      <c r="G302" s="8" t="n"/>
      <c r="H302" s="14" t="n"/>
      <c r="I302" s="15">
        <f>IF($H302="","",$H302-TODAY())</f>
        <v/>
      </c>
      <c r="J302" s="16" t="inlineStr">
        <is>
          <t>Open posting</t>
        </is>
      </c>
      <c r="K302" s="8" t="n"/>
      <c r="L302" s="17" t="inlineStr">
        <is>
          <t>new</t>
        </is>
      </c>
      <c r="M302" s="18" t="inlineStr"/>
      <c r="N302" s="7" t="inlineStr">
        <is>
          <t>9c6065e388da9967c9ef98db16ffecaab8b4fa92</t>
        </is>
      </c>
      <c r="O302" s="14" t="n">
        <v>46176</v>
      </c>
      <c r="P302" s="7" t="inlineStr">
        <is>
          <t>greenhouse:gocardless</t>
        </is>
      </c>
      <c r="Q302" s="8" t="inlineStr">
        <is>
          <t>python, git, software development</t>
        </is>
      </c>
      <c r="R302" s="8" t="n"/>
      <c r="S302" s="19" t="n"/>
      <c r="T302" s="19" t="n"/>
      <c r="U302" s="14" t="n">
        <v>46191</v>
      </c>
      <c r="V302" s="7" t="n"/>
    </row>
    <row r="303" ht="28" customHeight="1">
      <c r="A303" s="12">
        <f>IF($L303="applied","Applied",IF($L303="interview","Interview",IF($L303="offer","Offer",IF($L303="rejected","Rejected",IF($L303="ignore","Ignore",IF($L303="archive","Archive",IF($L303="closed","Closed",IF($B303="","Unscored",IF(AND($B303&gt;=8,OR($H303="",$H303-TODAY()&lt;=14)),"P1 Apply",IF($B303&gt;=7,"P2 Strong",IF($B303&gt;=5,"P3 Maybe","P4 Low")))))))))))</f>
        <v/>
      </c>
      <c r="B303" s="13" t="n">
        <v>2.86</v>
      </c>
      <c r="C303" s="12" t="inlineStr">
        <is>
          <t>Graduate/Entry</t>
        </is>
      </c>
      <c r="D303" s="8" t="inlineStr">
        <is>
          <t>Software Developer (Entry Level)</t>
        </is>
      </c>
      <c r="E303" s="7" t="inlineStr">
        <is>
          <t>Konrad</t>
        </is>
      </c>
      <c r="F303" s="8" t="inlineStr">
        <is>
          <t>London, England, UK</t>
        </is>
      </c>
      <c r="G303" s="8" t="n"/>
      <c r="H303" s="14" t="n"/>
      <c r="I303" s="15">
        <f>IF($H303="","",$H303-TODAY())</f>
        <v/>
      </c>
      <c r="J303" s="16" t="inlineStr">
        <is>
          <t>Open posting</t>
        </is>
      </c>
      <c r="K303" s="8" t="n"/>
      <c r="L303" s="17" t="inlineStr">
        <is>
          <t>new</t>
        </is>
      </c>
      <c r="M303" s="18" t="inlineStr"/>
      <c r="N303" s="7" t="inlineStr">
        <is>
          <t>bd521aeee2af3157143edbe76b2dd5090c43e318</t>
        </is>
      </c>
      <c r="O303" s="14" t="n">
        <v>46189</v>
      </c>
      <c r="P303" s="7" t="inlineStr">
        <is>
          <t>jobspy</t>
        </is>
      </c>
      <c r="Q303" s="8" t="inlineStr">
        <is>
          <t>python, javascript, git, software development</t>
        </is>
      </c>
      <c r="R303" s="8" t="inlineStr">
        <is>
          <t>Graduate Software Developer</t>
        </is>
      </c>
      <c r="S303" s="19" t="n"/>
      <c r="T303" s="19" t="n"/>
      <c r="U303" s="14" t="n">
        <v>46191</v>
      </c>
      <c r="V303" s="7" t="n"/>
    </row>
    <row r="304" ht="28" customHeight="1">
      <c r="A304" s="12">
        <f>IF($L304="applied","Applied",IF($L304="interview","Interview",IF($L304="offer","Offer",IF($L304="rejected","Rejected",IF($L304="ignore","Ignore",IF($L304="archive","Archive",IF($L304="closed","Closed",IF($B304="","Unscored",IF(AND($B304&gt;=8,OR($H304="",$H304-TODAY()&lt;=14)),"P1 Apply",IF($B304&gt;=7,"P2 Strong",IF($B304&gt;=5,"P3 Maybe","P4 Low")))))))))))</f>
        <v/>
      </c>
      <c r="B304" s="13" t="n">
        <v>2.86</v>
      </c>
      <c r="C304" s="12" t="inlineStr">
        <is>
          <t>Graduate/Entry</t>
        </is>
      </c>
      <c r="D304" s="8" t="inlineStr">
        <is>
          <t>Graduate Software Developer</t>
        </is>
      </c>
      <c r="E304" s="7" t="inlineStr">
        <is>
          <t>Netcompany</t>
        </is>
      </c>
      <c r="F304" s="8" t="inlineStr">
        <is>
          <t>Leeds, England, UK</t>
        </is>
      </c>
      <c r="G304" s="8" t="n"/>
      <c r="H304" s="14" t="n"/>
      <c r="I304" s="15">
        <f>IF($H304="","",$H304-TODAY())</f>
        <v/>
      </c>
      <c r="J304" s="16" t="inlineStr">
        <is>
          <t>Open posting</t>
        </is>
      </c>
      <c r="K304" s="8" t="n"/>
      <c r="L304" s="17" t="inlineStr">
        <is>
          <t>new</t>
        </is>
      </c>
      <c r="M304" s="18" t="inlineStr"/>
      <c r="N304" s="7" t="inlineStr">
        <is>
          <t>aefffe0cfae93a0aa2df64ed85859dd17f65c600</t>
        </is>
      </c>
      <c r="O304" s="14" t="n">
        <v>46186</v>
      </c>
      <c r="P304" s="7" t="inlineStr">
        <is>
          <t>jobspy</t>
        </is>
      </c>
      <c r="Q304" s="8" t="inlineStr">
        <is>
          <t>python, sql, javascript, git</t>
        </is>
      </c>
      <c r="R304" s="8" t="inlineStr">
        <is>
          <t>Graduate Software Developer</t>
        </is>
      </c>
      <c r="S304" s="19" t="n"/>
      <c r="T304" s="19" t="n"/>
      <c r="U304" s="14" t="n">
        <v>46191</v>
      </c>
      <c r="V304" s="7" t="n"/>
    </row>
    <row r="305" ht="28" customHeight="1">
      <c r="A305" s="12">
        <f>IF($L305="applied","Applied",IF($L305="interview","Interview",IF($L305="offer","Offer",IF($L305="rejected","Rejected",IF($L305="ignore","Ignore",IF($L305="archive","Archive",IF($L305="closed","Closed",IF($B305="","Unscored",IF(AND($B305&gt;=8,OR($H305="",$H305-TODAY()&lt;=14)),"P1 Apply",IF($B305&gt;=7,"P2 Strong",IF($B305&gt;=5,"P3 Maybe","P4 Low")))))))))))</f>
        <v/>
      </c>
      <c r="B305" s="13" t="n">
        <v>2.86</v>
      </c>
      <c r="C305" s="12" t="inlineStr">
        <is>
          <t>Graduate/Entry</t>
        </is>
      </c>
      <c r="D305" s="8" t="inlineStr">
        <is>
          <t>Graduate Software Developer</t>
        </is>
      </c>
      <c r="E305" s="7" t="inlineStr">
        <is>
          <t>Reply</t>
        </is>
      </c>
      <c r="F305" s="8" t="inlineStr">
        <is>
          <t>London Area, United Kingdom</t>
        </is>
      </c>
      <c r="G305" s="8" t="n"/>
      <c r="H305" s="14" t="n"/>
      <c r="I305" s="15">
        <f>IF($H305="","",$H305-TODAY())</f>
        <v/>
      </c>
      <c r="J305" s="16" t="inlineStr">
        <is>
          <t>Open posting</t>
        </is>
      </c>
      <c r="K305" s="8" t="n"/>
      <c r="L305" s="17" t="inlineStr">
        <is>
          <t>new</t>
        </is>
      </c>
      <c r="M305" s="18" t="inlineStr"/>
      <c r="N305" s="7" t="inlineStr">
        <is>
          <t>0d66bb2d5b8352bf48269b6e924ef6626acd5ae6</t>
        </is>
      </c>
      <c r="O305" s="14" t="n">
        <v>46171</v>
      </c>
      <c r="P305" s="7" t="inlineStr">
        <is>
          <t>jobspy</t>
        </is>
      </c>
      <c r="Q305" s="8" t="inlineStr">
        <is>
          <t>javascript, git, software development, web development</t>
        </is>
      </c>
      <c r="R305" s="8" t="inlineStr">
        <is>
          <t>Graduate Software Developer</t>
        </is>
      </c>
      <c r="S305" s="19" t="n"/>
      <c r="T305" s="19" t="n"/>
      <c r="U305" s="14" t="n">
        <v>46191</v>
      </c>
      <c r="V305" s="7" t="n"/>
    </row>
    <row r="306" ht="28" customHeight="1">
      <c r="A306" s="12">
        <f>IF($L306="applied","Applied",IF($L306="interview","Interview",IF($L306="offer","Offer",IF($L306="rejected","Rejected",IF($L306="ignore","Ignore",IF($L306="archive","Archive",IF($L306="closed","Closed",IF($B306="","Unscored",IF(AND($B306&gt;=8,OR($H306="",$H306-TODAY()&lt;=14)),"P1 Apply",IF($B306&gt;=7,"P2 Strong",IF($B306&gt;=5,"P3 Maybe","P4 Low")))))))))))</f>
        <v/>
      </c>
      <c r="B306" s="13" t="n">
        <v>2.86</v>
      </c>
      <c r="C306" s="12" t="inlineStr">
        <is>
          <t>Graduate/Entry</t>
        </is>
      </c>
      <c r="D306" s="8" t="inlineStr">
        <is>
          <t>Graduate Software Developer</t>
        </is>
      </c>
      <c r="E306" s="7" t="inlineStr">
        <is>
          <t>Reply</t>
        </is>
      </c>
      <c r="F306" s="8" t="inlineStr">
        <is>
          <t>Manchester Area, United Kingdom</t>
        </is>
      </c>
      <c r="G306" s="8" t="n"/>
      <c r="H306" s="14" t="n"/>
      <c r="I306" s="15">
        <f>IF($H306="","",$H306-TODAY())</f>
        <v/>
      </c>
      <c r="J306" s="16" t="inlineStr">
        <is>
          <t>Open posting</t>
        </is>
      </c>
      <c r="K306" s="8" t="n"/>
      <c r="L306" s="17" t="inlineStr">
        <is>
          <t>new</t>
        </is>
      </c>
      <c r="M306" s="18" t="inlineStr"/>
      <c r="N306" s="7" t="inlineStr">
        <is>
          <t>61c1733eb93b7cdaea97ad7d6b92ad30febce347</t>
        </is>
      </c>
      <c r="O306" s="14" t="n">
        <v>46162</v>
      </c>
      <c r="P306" s="7" t="inlineStr">
        <is>
          <t>jobspy</t>
        </is>
      </c>
      <c r="Q306" s="8" t="inlineStr">
        <is>
          <t>python, sql, javascript, git</t>
        </is>
      </c>
      <c r="R306" s="8" t="inlineStr">
        <is>
          <t>Graduate Software Developer</t>
        </is>
      </c>
      <c r="S306" s="19" t="n"/>
      <c r="T306" s="19" t="n"/>
      <c r="U306" s="14" t="n">
        <v>46191</v>
      </c>
      <c r="V306" s="7" t="n"/>
    </row>
    <row r="307" ht="28" customHeight="1">
      <c r="A307" s="12">
        <f>IF($L307="applied","Applied",IF($L307="interview","Interview",IF($L307="offer","Offer",IF($L307="rejected","Rejected",IF($L307="ignore","Ignore",IF($L307="archive","Archive",IF($L307="closed","Closed",IF($B307="","Unscored",IF(AND($B307&gt;=8,OR($H307="",$H307-TODAY()&lt;=14)),"P1 Apply",IF($B307&gt;=7,"P2 Strong",IF($B307&gt;=5,"P3 Maybe","P4 Low")))))))))))</f>
        <v/>
      </c>
      <c r="B307" s="13" t="n">
        <v>2.86</v>
      </c>
      <c r="C307" s="12" t="inlineStr">
        <is>
          <t>Junior</t>
        </is>
      </c>
      <c r="D307" s="8" t="inlineStr">
        <is>
          <t>Software Engineer / Software Developer</t>
        </is>
      </c>
      <c r="E307" s="7" t="inlineStr">
        <is>
          <t>hackajob</t>
        </is>
      </c>
      <c r="F307" s="8" t="inlineStr">
        <is>
          <t>Sheffield, England, UK</t>
        </is>
      </c>
      <c r="G307" s="8" t="n"/>
      <c r="H307" s="14" t="n"/>
      <c r="I307" s="15">
        <f>IF($H307="","",$H307-TODAY())</f>
        <v/>
      </c>
      <c r="J307" s="16" t="inlineStr">
        <is>
          <t>Open posting</t>
        </is>
      </c>
      <c r="K307" s="8" t="n"/>
      <c r="L307" s="17" t="inlineStr">
        <is>
          <t>new</t>
        </is>
      </c>
      <c r="M307" s="18" t="inlineStr"/>
      <c r="N307" s="7" t="inlineStr">
        <is>
          <t>95fa0fa56d9a887829e5656e572807adffb5fabf</t>
        </is>
      </c>
      <c r="O307" s="14" t="n">
        <v>46175</v>
      </c>
      <c r="P307" s="7" t="inlineStr">
        <is>
          <t>jobspy</t>
        </is>
      </c>
      <c r="Q307" s="8" t="inlineStr">
        <is>
          <t>sql, javascript, rest apis</t>
        </is>
      </c>
      <c r="R307" s="8" t="inlineStr">
        <is>
          <t>Graduate Software Developer Sheffield</t>
        </is>
      </c>
      <c r="S307" s="19" t="n"/>
      <c r="T307" s="19" t="n"/>
      <c r="U307" s="14" t="n">
        <v>46191</v>
      </c>
      <c r="V307" s="7" t="n"/>
    </row>
    <row r="308" ht="28" customHeight="1">
      <c r="A308" s="12">
        <f>IF($L308="applied","Applied",IF($L308="interview","Interview",IF($L308="offer","Offer",IF($L308="rejected","Rejected",IF($L308="ignore","Ignore",IF($L308="archive","Archive",IF($L308="closed","Closed",IF($B308="","Unscored",IF(AND($B308&gt;=8,OR($H308="",$H308-TODAY()&lt;=14)),"P1 Apply",IF($B308&gt;=7,"P2 Strong",IF($B308&gt;=5,"P3 Maybe","P4 Low")))))))))))</f>
        <v/>
      </c>
      <c r="B308" s="13" t="n">
        <v>2.86</v>
      </c>
      <c r="C308" s="12" t="inlineStr">
        <is>
          <t>Graduate/Entry</t>
        </is>
      </c>
      <c r="D308" s="8" t="inlineStr">
        <is>
          <t>Graduate Full Stack Software Engineer</t>
        </is>
      </c>
      <c r="E308" s="7" t="inlineStr">
        <is>
          <t>Lovey</t>
        </is>
      </c>
      <c r="F308" s="8" t="inlineStr">
        <is>
          <t>Birmingham, England, UK</t>
        </is>
      </c>
      <c r="G308" s="8" t="n"/>
      <c r="H308" s="14" t="n"/>
      <c r="I308" s="15">
        <f>IF($H308="","",$H308-TODAY())</f>
        <v/>
      </c>
      <c r="J308" s="16" t="inlineStr">
        <is>
          <t>Open posting</t>
        </is>
      </c>
      <c r="K308" s="8" t="n"/>
      <c r="L308" s="17" t="inlineStr">
        <is>
          <t>new</t>
        </is>
      </c>
      <c r="M308" s="18" t="inlineStr"/>
      <c r="N308" s="7" t="inlineStr">
        <is>
          <t>1b8cbefb6e7e7ad08460810d58c1c38bdbaf8b01</t>
        </is>
      </c>
      <c r="O308" s="14" t="n"/>
      <c r="P308" s="7" t="inlineStr">
        <is>
          <t>jobspy</t>
        </is>
      </c>
      <c r="Q308" s="8" t="inlineStr">
        <is>
          <t>python, sql, rest apis</t>
        </is>
      </c>
      <c r="R308" s="8" t="inlineStr">
        <is>
          <t>junior Graduate Software Developer</t>
        </is>
      </c>
      <c r="S308" s="19" t="n"/>
      <c r="T308" s="19" t="n"/>
      <c r="U308" s="14" t="n">
        <v>46191</v>
      </c>
      <c r="V308" s="7" t="n"/>
    </row>
    <row r="309" ht="28" customHeight="1">
      <c r="A309" s="12">
        <f>IF($L309="applied","Applied",IF($L309="interview","Interview",IF($L309="offer","Offer",IF($L309="rejected","Rejected",IF($L309="ignore","Ignore",IF($L309="archive","Archive",IF($L309="closed","Closed",IF($B309="","Unscored",IF(AND($B309&gt;=8,OR($H309="",$H309-TODAY()&lt;=14)),"P1 Apply",IF($B309&gt;=7,"P2 Strong",IF($B309&gt;=5,"P3 Maybe","P4 Low")))))))))))</f>
        <v/>
      </c>
      <c r="B309" s="13" t="n">
        <v>2.86</v>
      </c>
      <c r="C309" s="12" t="inlineStr">
        <is>
          <t>Mid-level</t>
        </is>
      </c>
      <c r="D309" s="8" t="inlineStr">
        <is>
          <t>Software Engineer</t>
        </is>
      </c>
      <c r="E309" s="7" t="inlineStr">
        <is>
          <t>Experis UK</t>
        </is>
      </c>
      <c r="F309" s="8" t="inlineStr">
        <is>
          <t>Newcastle Upon Tyne, England, UK</t>
        </is>
      </c>
      <c r="G309" s="8" t="n"/>
      <c r="H309" s="14" t="n"/>
      <c r="I309" s="15">
        <f>IF($H309="","",$H309-TODAY())</f>
        <v/>
      </c>
      <c r="J309" s="16" t="inlineStr">
        <is>
          <t>Open posting</t>
        </is>
      </c>
      <c r="K309" s="8" t="n"/>
      <c r="L309" s="17" t="inlineStr">
        <is>
          <t>new</t>
        </is>
      </c>
      <c r="M309" s="18" t="inlineStr"/>
      <c r="N309" s="7" t="inlineStr">
        <is>
          <t>7d51b36170f68724e6a699895ae97d514e3eece1</t>
        </is>
      </c>
      <c r="O309" s="14" t="n">
        <v>46189</v>
      </c>
      <c r="P309" s="7" t="inlineStr">
        <is>
          <t>jobspy</t>
        </is>
      </c>
      <c r="Q309" s="8" t="inlineStr">
        <is>
          <t>python, sql, software development</t>
        </is>
      </c>
      <c r="R309" s="8" t="inlineStr">
        <is>
          <t>Junior Python Developer</t>
        </is>
      </c>
      <c r="S309" s="19" t="n"/>
      <c r="T309" s="19" t="n"/>
      <c r="U309" s="14" t="n">
        <v>46191</v>
      </c>
      <c r="V309" s="7" t="n"/>
    </row>
    <row r="310" ht="28" customHeight="1">
      <c r="A310" s="12">
        <f>IF($L310="applied","Applied",IF($L310="interview","Interview",IF($L310="offer","Offer",IF($L310="rejected","Rejected",IF($L310="ignore","Ignore",IF($L310="archive","Archive",IF($L310="closed","Closed",IF($B310="","Unscored",IF(AND($B310&gt;=8,OR($H310="",$H310-TODAY()&lt;=14)),"P1 Apply",IF($B310&gt;=7,"P2 Strong",IF($B310&gt;=5,"P3 Maybe","P4 Low")))))))))))</f>
        <v/>
      </c>
      <c r="B310" s="13" t="n">
        <v>2.86</v>
      </c>
      <c r="C310" s="12" t="inlineStr">
        <is>
          <t>Unspecified</t>
        </is>
      </c>
      <c r="D310" s="8" t="inlineStr">
        <is>
          <t>Frontend Software Engineer</t>
        </is>
      </c>
      <c r="E310" s="7" t="inlineStr">
        <is>
          <t>Twilio</t>
        </is>
      </c>
      <c r="F310" s="8" t="inlineStr"/>
      <c r="G310" s="8" t="n"/>
      <c r="H310" s="14" t="n"/>
      <c r="I310" s="15">
        <f>IF($H310="","",$H310-TODAY())</f>
        <v/>
      </c>
      <c r="J310" s="16" t="inlineStr">
        <is>
          <t>Open posting</t>
        </is>
      </c>
      <c r="K310" s="8" t="n"/>
      <c r="L310" s="17" t="inlineStr">
        <is>
          <t>new</t>
        </is>
      </c>
      <c r="M310" s="18" t="inlineStr"/>
      <c r="N310" s="7" t="inlineStr">
        <is>
          <t>c3d53db17e1d1513239293c33ad62460be70e186</t>
        </is>
      </c>
      <c r="O310" s="14" t="n">
        <v>46189</v>
      </c>
      <c r="P310" s="7" t="inlineStr">
        <is>
          <t>jobspy</t>
        </is>
      </c>
      <c r="Q310" s="8" t="inlineStr">
        <is>
          <t>javascript, rest apis, git</t>
        </is>
      </c>
      <c r="R310" s="8" t="inlineStr">
        <is>
          <t>Full Stack Developer</t>
        </is>
      </c>
      <c r="S310" s="19" t="n"/>
      <c r="T310" s="19" t="n"/>
      <c r="U310" s="14" t="n">
        <v>46191</v>
      </c>
      <c r="V310" s="7" t="n"/>
    </row>
    <row r="311" ht="28" customHeight="1">
      <c r="A311" s="12">
        <f>IF($L311="applied","Applied",IF($L311="interview","Interview",IF($L311="offer","Offer",IF($L311="rejected","Rejected",IF($L311="ignore","Ignore",IF($L311="archive","Archive",IF($L311="closed","Closed",IF($B311="","Unscored",IF(AND($B311&gt;=8,OR($H311="",$H311-TODAY()&lt;=14)),"P1 Apply",IF($B311&gt;=7,"P2 Strong",IF($B311&gt;=5,"P3 Maybe","P4 Low")))))))))))</f>
        <v/>
      </c>
      <c r="B311" s="13" t="n">
        <v>2.86</v>
      </c>
      <c r="C311" s="12" t="inlineStr">
        <is>
          <t>Unspecified</t>
        </is>
      </c>
      <c r="D311" s="8" t="inlineStr">
        <is>
          <t>Python Developer</t>
        </is>
      </c>
      <c r="E311" s="7" t="inlineStr">
        <is>
          <t>Digital Gurus</t>
        </is>
      </c>
      <c r="F311" s="8" t="inlineStr">
        <is>
          <t>Gloucestershire, England, UK</t>
        </is>
      </c>
      <c r="G311" s="8" t="n"/>
      <c r="H311" s="14" t="n"/>
      <c r="I311" s="15">
        <f>IF($H311="","",$H311-TODAY())</f>
        <v/>
      </c>
      <c r="J311" s="16" t="inlineStr">
        <is>
          <t>Open posting</t>
        </is>
      </c>
      <c r="K311" s="8" t="n"/>
      <c r="L311" s="17" t="inlineStr">
        <is>
          <t>new</t>
        </is>
      </c>
      <c r="M311" s="18" t="inlineStr"/>
      <c r="N311" s="7" t="inlineStr">
        <is>
          <t>f62374135231b88a87412ca8630b304da16a903d</t>
        </is>
      </c>
      <c r="O311" s="14" t="n">
        <v>46170</v>
      </c>
      <c r="P311" s="7" t="inlineStr">
        <is>
          <t>jobspy</t>
        </is>
      </c>
      <c r="Q311" s="8" t="inlineStr">
        <is>
          <t>python, javascript, rest apis</t>
        </is>
      </c>
      <c r="R311" s="8" t="inlineStr">
        <is>
          <t>Junior Python Developer</t>
        </is>
      </c>
      <c r="S311" s="19" t="n"/>
      <c r="T311" s="19" t="n"/>
      <c r="U311" s="14" t="n">
        <v>46191</v>
      </c>
      <c r="V311" s="7" t="n"/>
    </row>
    <row r="312" ht="28" customHeight="1">
      <c r="A312" s="12">
        <f>IF($L312="applied","Applied",IF($L312="interview","Interview",IF($L312="offer","Offer",IF($L312="rejected","Rejected",IF($L312="ignore","Ignore",IF($L312="archive","Archive",IF($L312="closed","Closed",IF($B312="","Unscored",IF(AND($B312&gt;=8,OR($H312="",$H312-TODAY()&lt;=14)),"P1 Apply",IF($B312&gt;=7,"P2 Strong",IF($B312&gt;=5,"P3 Maybe","P4 Low")))))))))))</f>
        <v/>
      </c>
      <c r="B312" s="13" t="n">
        <v>2.86</v>
      </c>
      <c r="C312" s="12" t="inlineStr">
        <is>
          <t>Mid-level</t>
        </is>
      </c>
      <c r="D312" s="8" t="inlineStr">
        <is>
          <t>GenAI Python Developer</t>
        </is>
      </c>
      <c r="E312" s="7" t="inlineStr">
        <is>
          <t>EMBS Technology</t>
        </is>
      </c>
      <c r="F312" s="8" t="inlineStr">
        <is>
          <t>London Area, United Kingdom</t>
        </is>
      </c>
      <c r="G312" s="8" t="n"/>
      <c r="H312" s="14" t="n"/>
      <c r="I312" s="15">
        <f>IF($H312="","",$H312-TODAY())</f>
        <v/>
      </c>
      <c r="J312" s="16" t="inlineStr">
        <is>
          <t>Open posting</t>
        </is>
      </c>
      <c r="K312" s="8" t="n"/>
      <c r="L312" s="17" t="inlineStr">
        <is>
          <t>new</t>
        </is>
      </c>
      <c r="M312" s="18" t="inlineStr"/>
      <c r="N312" s="7" t="inlineStr">
        <is>
          <t>81be837eaf2fae61e33fe6cf53c248408a1d546f</t>
        </is>
      </c>
      <c r="O312" s="14" t="n">
        <v>46176</v>
      </c>
      <c r="P312" s="7" t="inlineStr">
        <is>
          <t>jobspy</t>
        </is>
      </c>
      <c r="Q312" s="8" t="inlineStr">
        <is>
          <t>python, sql, git</t>
        </is>
      </c>
      <c r="R312" s="8" t="inlineStr">
        <is>
          <t>junior/graduate Junior Python Developer</t>
        </is>
      </c>
      <c r="S312" s="19" t="n"/>
      <c r="T312" s="19" t="n"/>
      <c r="U312" s="14" t="n">
        <v>46191</v>
      </c>
      <c r="V312" s="7" t="n"/>
    </row>
    <row r="313" ht="28" customHeight="1">
      <c r="A313" s="12">
        <f>IF($L313="applied","Applied",IF($L313="interview","Interview",IF($L313="offer","Offer",IF($L313="rejected","Rejected",IF($L313="ignore","Ignore",IF($L313="archive","Archive",IF($L313="closed","Closed",IF($B313="","Unscored",IF(AND($B313&gt;=8,OR($H313="",$H313-TODAY()&lt;=14)),"P1 Apply",IF($B313&gt;=7,"P2 Strong",IF($B313&gt;=5,"P3 Maybe","P4 Low")))))))))))</f>
        <v/>
      </c>
      <c r="B313" s="13" t="n">
        <v>2.86</v>
      </c>
      <c r="C313" s="12" t="inlineStr">
        <is>
          <t>Graduate/Entry</t>
        </is>
      </c>
      <c r="D313" s="8" t="inlineStr">
        <is>
          <t>Python Developer</t>
        </is>
      </c>
      <c r="E313" s="7" t="inlineStr">
        <is>
          <t>Emonics LLC</t>
        </is>
      </c>
      <c r="F313" s="8" t="inlineStr">
        <is>
          <t>Seattle, WA</t>
        </is>
      </c>
      <c r="G313" s="8" t="n"/>
      <c r="H313" s="14" t="n"/>
      <c r="I313" s="15">
        <f>IF($H313="","",$H313-TODAY())</f>
        <v/>
      </c>
      <c r="J313" s="16" t="inlineStr">
        <is>
          <t>Open posting</t>
        </is>
      </c>
      <c r="K313" s="8" t="n"/>
      <c r="L313" s="17" t="inlineStr">
        <is>
          <t>new</t>
        </is>
      </c>
      <c r="M313" s="18" t="inlineStr"/>
      <c r="N313" s="7" t="inlineStr">
        <is>
          <t>768dd31ef26e667c22f5e6f102f66ca1309f3b04</t>
        </is>
      </c>
      <c r="O313" s="14" t="n"/>
      <c r="P313" s="7" t="inlineStr">
        <is>
          <t>jobspy</t>
        </is>
      </c>
      <c r="Q313" s="8" t="inlineStr">
        <is>
          <t>python, sql, rest apis, git</t>
        </is>
      </c>
      <c r="R313" s="8" t="inlineStr">
        <is>
          <t>junior/graduate Junior Python Developer</t>
        </is>
      </c>
      <c r="S313" s="19" t="n"/>
      <c r="T313" s="19" t="n"/>
      <c r="U313" s="14" t="n">
        <v>46191</v>
      </c>
      <c r="V313" s="7" t="n"/>
    </row>
    <row r="314" ht="28" customHeight="1">
      <c r="A314" s="12">
        <f>IF($L314="applied","Applied",IF($L314="interview","Interview",IF($L314="offer","Offer",IF($L314="rejected","Rejected",IF($L314="ignore","Ignore",IF($L314="archive","Archive",IF($L314="closed","Closed",IF($B314="","Unscored",IF(AND($B314&gt;=8,OR($H314="",$H314-TODAY()&lt;=14)),"P1 Apply",IF($B314&gt;=7,"P2 Strong",IF($B314&gt;=5,"P3 Maybe","P4 Low")))))))))))</f>
        <v/>
      </c>
      <c r="B314" s="13" t="n">
        <v>2.86</v>
      </c>
      <c r="C314" s="12" t="inlineStr">
        <is>
          <t>Mid-level</t>
        </is>
      </c>
      <c r="D314" s="8" t="inlineStr">
        <is>
          <t>Software Engineer</t>
        </is>
      </c>
      <c r="E314" s="7" t="inlineStr">
        <is>
          <t>Accelero</t>
        </is>
      </c>
      <c r="F314" s="8" t="inlineStr">
        <is>
          <t>Northamptonshire, England, UK</t>
        </is>
      </c>
      <c r="G314" s="8" t="n"/>
      <c r="H314" s="14" t="n"/>
      <c r="I314" s="15">
        <f>IF($H314="","",$H314-TODAY())</f>
        <v/>
      </c>
      <c r="J314" s="16" t="inlineStr">
        <is>
          <t>Open posting</t>
        </is>
      </c>
      <c r="K314" s="8" t="n"/>
      <c r="L314" s="17" t="inlineStr">
        <is>
          <t>new</t>
        </is>
      </c>
      <c r="M314" s="18" t="inlineStr"/>
      <c r="N314" s="7" t="inlineStr">
        <is>
          <t>552e9bb7221d6604aca75fc32f587bcf2a6bff35</t>
        </is>
      </c>
      <c r="O314" s="14" t="n">
        <v>46189</v>
      </c>
      <c r="P314" s="7" t="inlineStr">
        <is>
          <t>jobspy</t>
        </is>
      </c>
      <c r="Q314" s="8" t="inlineStr">
        <is>
          <t>sql, git, software development</t>
        </is>
      </c>
      <c r="R314" s="8" t="inlineStr">
        <is>
          <t>graduate Full Stack Developer</t>
        </is>
      </c>
      <c r="S314" s="19" t="n"/>
      <c r="T314" s="19" t="n"/>
      <c r="U314" s="14" t="n">
        <v>46191</v>
      </c>
      <c r="V314" s="7" t="n"/>
    </row>
    <row r="315" ht="28" customHeight="1">
      <c r="A315" s="12">
        <f>IF($L315="applied","Applied",IF($L315="interview","Interview",IF($L315="offer","Offer",IF($L315="rejected","Rejected",IF($L315="ignore","Ignore",IF($L315="archive","Archive",IF($L315="closed","Closed",IF($B315="","Unscored",IF(AND($B315&gt;=8,OR($H315="",$H315-TODAY()&lt;=14)),"P1 Apply",IF($B315&gt;=7,"P2 Strong",IF($B315&gt;=5,"P3 Maybe","P4 Low")))))))))))</f>
        <v/>
      </c>
      <c r="B315" s="13" t="n">
        <v>2.65</v>
      </c>
      <c r="C315" s="12" t="inlineStr">
        <is>
          <t>Junior</t>
        </is>
      </c>
      <c r="D315" s="8" t="inlineStr">
        <is>
          <t>Junior Software Developer</t>
        </is>
      </c>
      <c r="E315" s="7" t="inlineStr">
        <is>
          <t>Skuuudle</t>
        </is>
      </c>
      <c r="F315" s="8" t="inlineStr">
        <is>
          <t>Manchester, ENG, GB</t>
        </is>
      </c>
      <c r="G315" s="8" t="n"/>
      <c r="H315" s="14" t="n"/>
      <c r="I315" s="15">
        <f>IF($H315="","",$H315-TODAY())</f>
        <v/>
      </c>
      <c r="J315" s="16" t="inlineStr">
        <is>
          <t>Open posting</t>
        </is>
      </c>
      <c r="K315" s="8" t="n"/>
      <c r="L315" s="17" t="inlineStr">
        <is>
          <t>new</t>
        </is>
      </c>
      <c r="M315" s="18" t="inlineStr"/>
      <c r="N315" s="7" t="inlineStr">
        <is>
          <t>f4244fa27ee19f0762c1de984578b9ce8eddfb88</t>
        </is>
      </c>
      <c r="O315" s="14" t="n">
        <v>46188</v>
      </c>
      <c r="P315" s="7" t="inlineStr">
        <is>
          <t>jobspy</t>
        </is>
      </c>
      <c r="Q315" s="8" t="inlineStr">
        <is>
          <t>python, sql, git, software development</t>
        </is>
      </c>
      <c r="R315" s="8" t="inlineStr">
        <is>
          <t>Graduate Software Developer</t>
        </is>
      </c>
      <c r="S315" s="19" t="n"/>
      <c r="T315" s="19" t="n"/>
      <c r="U315" s="14" t="n">
        <v>46191</v>
      </c>
      <c r="V315" s="7" t="n"/>
    </row>
    <row r="316" ht="28" customHeight="1">
      <c r="A316" s="12">
        <f>IF($L316="applied","Applied",IF($L316="interview","Interview",IF($L316="offer","Offer",IF($L316="rejected","Rejected",IF($L316="ignore","Ignore",IF($L316="archive","Archive",IF($L316="closed","Closed",IF($B316="","Unscored",IF(AND($B316&gt;=8,OR($H316="",$H316-TODAY()&lt;=14)),"P1 Apply",IF($B316&gt;=7,"P2 Strong",IF($B316&gt;=5,"P3 Maybe","P4 Low")))))))))))</f>
        <v/>
      </c>
      <c r="B316" s="13" t="n">
        <v>2.65</v>
      </c>
      <c r="C316" s="12" t="inlineStr">
        <is>
          <t>Junior</t>
        </is>
      </c>
      <c r="D316" s="8" t="inlineStr">
        <is>
          <t>Junior Developer</t>
        </is>
      </c>
      <c r="E316" s="7" t="inlineStr">
        <is>
          <t>ASENDIA UK LIMITED</t>
        </is>
      </c>
      <c r="F316" s="8" t="inlineStr">
        <is>
          <t>Hounslow, England, UK</t>
        </is>
      </c>
      <c r="G316" s="8" t="n"/>
      <c r="H316" s="14" t="n"/>
      <c r="I316" s="15">
        <f>IF($H316="","",$H316-TODAY())</f>
        <v/>
      </c>
      <c r="J316" s="16" t="inlineStr">
        <is>
          <t>Open posting</t>
        </is>
      </c>
      <c r="K316" s="8" t="n"/>
      <c r="L316" s="17" t="inlineStr">
        <is>
          <t>new</t>
        </is>
      </c>
      <c r="M316" s="18" t="inlineStr"/>
      <c r="N316" s="7" t="inlineStr">
        <is>
          <t>903b24102a5b8dfb9f2d9e585b474080161984d9</t>
        </is>
      </c>
      <c r="O316" s="14" t="n">
        <v>46169</v>
      </c>
      <c r="P316" s="7" t="inlineStr">
        <is>
          <t>jobspy</t>
        </is>
      </c>
      <c r="Q316" s="8" t="inlineStr">
        <is>
          <t>sql, javascript, git, software development</t>
        </is>
      </c>
      <c r="R316" s="8" t="inlineStr">
        <is>
          <t>junior/graduate Graduate Software Developer</t>
        </is>
      </c>
      <c r="S316" s="19" t="n"/>
      <c r="T316" s="19" t="n"/>
      <c r="U316" s="14" t="n">
        <v>46191</v>
      </c>
      <c r="V316" s="7" t="n"/>
    </row>
    <row r="317" ht="28" customHeight="1">
      <c r="A317" s="12">
        <f>IF($L317="applied","Applied",IF($L317="interview","Interview",IF($L317="offer","Offer",IF($L317="rejected","Rejected",IF($L317="ignore","Ignore",IF($L317="archive","Archive",IF($L317="closed","Closed",IF($B317="","Unscored",IF(AND($B317&gt;=8,OR($H317="",$H317-TODAY()&lt;=14)),"P1 Apply",IF($B317&gt;=7,"P2 Strong",IF($B317&gt;=5,"P3 Maybe","P4 Low")))))))))))</f>
        <v/>
      </c>
      <c r="B317" s="13" t="n">
        <v>2.65</v>
      </c>
      <c r="C317" s="12" t="inlineStr">
        <is>
          <t>Mid-level</t>
        </is>
      </c>
      <c r="D317" s="8" t="inlineStr">
        <is>
          <t>Software Developer</t>
        </is>
      </c>
      <c r="E317" s="7" t="inlineStr">
        <is>
          <t>MedChemica Ltd</t>
        </is>
      </c>
      <c r="F317" s="8" t="inlineStr">
        <is>
          <t>Macclesfield, ENG, GB</t>
        </is>
      </c>
      <c r="G317" s="8" t="n"/>
      <c r="H317" s="14" t="n"/>
      <c r="I317" s="15">
        <f>IF($H317="","",$H317-TODAY())</f>
        <v/>
      </c>
      <c r="J317" s="16" t="inlineStr">
        <is>
          <t>Open posting</t>
        </is>
      </c>
      <c r="K317" s="8" t="n"/>
      <c r="L317" s="17" t="inlineStr">
        <is>
          <t>new</t>
        </is>
      </c>
      <c r="M317" s="18" t="inlineStr"/>
      <c r="N317" s="7" t="inlineStr">
        <is>
          <t>94c1f7020f99d629dc51ebc88d5048c8be41425b</t>
        </is>
      </c>
      <c r="O317" s="14" t="n">
        <v>46184</v>
      </c>
      <c r="P317" s="7" t="inlineStr">
        <is>
          <t>jobspy</t>
        </is>
      </c>
      <c r="Q317" s="8" t="inlineStr">
        <is>
          <t>python, sql, git, software development</t>
        </is>
      </c>
      <c r="R317" s="8" t="inlineStr">
        <is>
          <t>Graduate Software Developer remote</t>
        </is>
      </c>
      <c r="S317" s="19" t="n"/>
      <c r="T317" s="19" t="n"/>
      <c r="U317" s="14" t="n">
        <v>46191</v>
      </c>
      <c r="V317" s="7" t="n"/>
    </row>
    <row r="318" ht="28" customHeight="1">
      <c r="A318" s="12">
        <f>IF($L318="applied","Applied",IF($L318="interview","Interview",IF($L318="offer","Offer",IF($L318="rejected","Rejected",IF($L318="ignore","Ignore",IF($L318="archive","Archive",IF($L318="closed","Closed",IF($B318="","Unscored",IF(AND($B318&gt;=8,OR($H318="",$H318-TODAY()&lt;=14)),"P1 Apply",IF($B318&gt;=7,"P2 Strong",IF($B318&gt;=5,"P3 Maybe","P4 Low")))))))))))</f>
        <v/>
      </c>
      <c r="B318" s="13" t="n">
        <v>2.65</v>
      </c>
      <c r="C318" s="12" t="inlineStr">
        <is>
          <t>Junior</t>
        </is>
      </c>
      <c r="D318" s="8" t="inlineStr">
        <is>
          <t>Software Engineer</t>
        </is>
      </c>
      <c r="E318" s="7" t="inlineStr">
        <is>
          <t>Verso Recruitment Group</t>
        </is>
      </c>
      <c r="F318" s="8" t="inlineStr">
        <is>
          <t>Weymouth, England, UK</t>
        </is>
      </c>
      <c r="G318" s="8" t="n"/>
      <c r="H318" s="14" t="n"/>
      <c r="I318" s="15">
        <f>IF($H318="","",$H318-TODAY())</f>
        <v/>
      </c>
      <c r="J318" s="16" t="inlineStr">
        <is>
          <t>Open posting</t>
        </is>
      </c>
      <c r="K318" s="8" t="n"/>
      <c r="L318" s="17" t="inlineStr">
        <is>
          <t>new</t>
        </is>
      </c>
      <c r="M318" s="18" t="inlineStr"/>
      <c r="N318" s="7" t="inlineStr">
        <is>
          <t>24f0381e88f0a1e6d6da1e198002b32c470e043b</t>
        </is>
      </c>
      <c r="O318" s="14" t="n">
        <v>46177</v>
      </c>
      <c r="P318" s="7" t="inlineStr">
        <is>
          <t>jobspy</t>
        </is>
      </c>
      <c r="Q318" s="8" t="inlineStr">
        <is>
          <t>python, sql, git, software development</t>
        </is>
      </c>
      <c r="R318" s="8" t="inlineStr">
        <is>
          <t>Junior Python Developer</t>
        </is>
      </c>
      <c r="S318" s="19" t="n"/>
      <c r="T318" s="19" t="n"/>
      <c r="U318" s="14" t="n">
        <v>46191</v>
      </c>
      <c r="V318" s="7" t="n"/>
    </row>
    <row r="319" ht="28" customHeight="1">
      <c r="A319" s="12">
        <f>IF($L319="applied","Applied",IF($L319="interview","Interview",IF($L319="offer","Offer",IF($L319="rejected","Rejected",IF($L319="ignore","Ignore",IF($L319="archive","Archive",IF($L319="closed","Closed",IF($B319="","Unscored",IF(AND($B319&gt;=8,OR($H319="",$H319-TODAY()&lt;=14)),"P1 Apply",IF($B319&gt;=7,"P2 Strong",IF($B319&gt;=5,"P3 Maybe","P4 Low")))))))))))</f>
        <v/>
      </c>
      <c r="B319" s="13" t="n">
        <v>2.65</v>
      </c>
      <c r="C319" s="12" t="inlineStr">
        <is>
          <t>Senior/Lead</t>
        </is>
      </c>
      <c r="D319" s="8" t="inlineStr">
        <is>
          <t>Full Stack Engineer</t>
        </is>
      </c>
      <c r="E319" s="7" t="inlineStr">
        <is>
          <t>CRU</t>
        </is>
      </c>
      <c r="F319" s="8" t="inlineStr">
        <is>
          <t>Sheffield, England, UK</t>
        </is>
      </c>
      <c r="G319" s="8" t="n"/>
      <c r="H319" s="14" t="n"/>
      <c r="I319" s="15">
        <f>IF($H319="","",$H319-TODAY())</f>
        <v/>
      </c>
      <c r="J319" s="16" t="inlineStr">
        <is>
          <t>Open posting</t>
        </is>
      </c>
      <c r="K319" s="8" t="n"/>
      <c r="L319" s="17" t="inlineStr">
        <is>
          <t>new</t>
        </is>
      </c>
      <c r="M319" s="18" t="inlineStr"/>
      <c r="N319" s="7" t="inlineStr">
        <is>
          <t>2f1f33d2b7f811bd4cce2b9e694bc09bfa3eb29b</t>
        </is>
      </c>
      <c r="O319" s="14" t="n"/>
      <c r="P319" s="7" t="inlineStr">
        <is>
          <t>jobspy</t>
        </is>
      </c>
      <c r="Q319" s="8" t="inlineStr">
        <is>
          <t>javascript, git, software development</t>
        </is>
      </c>
      <c r="R319" s="8" t="inlineStr">
        <is>
          <t>Junior Python Developer Sheffield</t>
        </is>
      </c>
      <c r="S319" s="19" t="n"/>
      <c r="T319" s="19" t="n"/>
      <c r="U319" s="14" t="n">
        <v>46191</v>
      </c>
      <c r="V319" s="7" t="n"/>
    </row>
    <row r="320" ht="28" customHeight="1">
      <c r="A320" s="12">
        <f>IF($L320="applied","Applied",IF($L320="interview","Interview",IF($L320="offer","Offer",IF($L320="rejected","Rejected",IF($L320="ignore","Ignore",IF($L320="archive","Archive",IF($L320="closed","Closed",IF($B320="","Unscored",IF(AND($B320&gt;=8,OR($H320="",$H320-TODAY()&lt;=14)),"P1 Apply",IF($B320&gt;=7,"P2 Strong",IF($B320&gt;=5,"P3 Maybe","P4 Low")))))))))))</f>
        <v/>
      </c>
      <c r="B320" s="13" t="n">
        <v>2.65</v>
      </c>
      <c r="C320" s="12" t="inlineStr">
        <is>
          <t>Unspecified</t>
        </is>
      </c>
      <c r="D320" s="8" t="inlineStr">
        <is>
          <t>Python Software Engineer</t>
        </is>
      </c>
      <c r="E320" s="7" t="inlineStr">
        <is>
          <t>GoFibre</t>
        </is>
      </c>
      <c r="F320" s="8" t="inlineStr">
        <is>
          <t>Edinburgh, Scotland, UK</t>
        </is>
      </c>
      <c r="G320" s="8" t="n"/>
      <c r="H320" s="14" t="n"/>
      <c r="I320" s="15">
        <f>IF($H320="","",$H320-TODAY())</f>
        <v/>
      </c>
      <c r="J320" s="16" t="inlineStr">
        <is>
          <t>Open posting</t>
        </is>
      </c>
      <c r="K320" s="8" t="n"/>
      <c r="L320" s="17" t="inlineStr">
        <is>
          <t>new</t>
        </is>
      </c>
      <c r="M320" s="18" t="inlineStr"/>
      <c r="N320" s="7" t="inlineStr">
        <is>
          <t>f67c76b24f4ecae440dcec33c10b9588fb2f8609</t>
        </is>
      </c>
      <c r="O320" s="14" t="n">
        <v>46178</v>
      </c>
      <c r="P320" s="7" t="inlineStr">
        <is>
          <t>jobspy</t>
        </is>
      </c>
      <c r="Q320" s="8" t="inlineStr">
        <is>
          <t>python, sql, git</t>
        </is>
      </c>
      <c r="R320" s="8" t="inlineStr">
        <is>
          <t>graduate Junior Python Developer</t>
        </is>
      </c>
      <c r="S320" s="19" t="n"/>
      <c r="T320" s="19" t="n"/>
      <c r="U320" s="14" t="n">
        <v>46191</v>
      </c>
      <c r="V320" s="7" t="n"/>
    </row>
    <row r="321" ht="28" customHeight="1">
      <c r="A321" s="12">
        <f>IF($L321="applied","Applied",IF($L321="interview","Interview",IF($L321="offer","Offer",IF($L321="rejected","Rejected",IF($L321="ignore","Ignore",IF($L321="archive","Archive",IF($L321="closed","Closed",IF($B321="","Unscored",IF(AND($B321&gt;=8,OR($H321="",$H321-TODAY()&lt;=14)),"P1 Apply",IF($B321&gt;=7,"P2 Strong",IF($B321&gt;=5,"P3 Maybe","P4 Low")))))))))))</f>
        <v/>
      </c>
      <c r="B321" s="13" t="n">
        <v>2.65</v>
      </c>
      <c r="C321" s="12" t="inlineStr">
        <is>
          <t>Unspecified</t>
        </is>
      </c>
      <c r="D321" s="8" t="inlineStr">
        <is>
          <t>Software Engineer</t>
        </is>
      </c>
      <c r="E321" s="7" t="inlineStr">
        <is>
          <t>WRK digital</t>
        </is>
      </c>
      <c r="F321" s="8" t="inlineStr">
        <is>
          <t>Leeds, England, UK</t>
        </is>
      </c>
      <c r="G321" s="8" t="n"/>
      <c r="H321" s="14" t="n"/>
      <c r="I321" s="15">
        <f>IF($H321="","",$H321-TODAY())</f>
        <v/>
      </c>
      <c r="J321" s="16" t="inlineStr">
        <is>
          <t>Open posting</t>
        </is>
      </c>
      <c r="K321" s="8" t="n"/>
      <c r="L321" s="17" t="inlineStr">
        <is>
          <t>new</t>
        </is>
      </c>
      <c r="M321" s="18" t="inlineStr"/>
      <c r="N321" s="7" t="inlineStr">
        <is>
          <t>42354da0cada5d7d6e532532a1e7334f45393238</t>
        </is>
      </c>
      <c r="O321" s="14" t="n">
        <v>46170</v>
      </c>
      <c r="P321" s="7" t="inlineStr">
        <is>
          <t>jobspy</t>
        </is>
      </c>
      <c r="Q321" s="8" t="inlineStr">
        <is>
          <t>sql, javascript, git</t>
        </is>
      </c>
      <c r="R321" s="8" t="inlineStr">
        <is>
          <t>Full Stack Developer Sheffield</t>
        </is>
      </c>
      <c r="S321" s="19" t="n"/>
      <c r="T321" s="19" t="n"/>
      <c r="U321" s="14" t="n">
        <v>46191</v>
      </c>
      <c r="V321" s="7" t="n"/>
    </row>
    <row r="322" ht="28" customHeight="1">
      <c r="A322" s="12">
        <f>IF($L322="applied","Applied",IF($L322="interview","Interview",IF($L322="offer","Offer",IF($L322="rejected","Rejected",IF($L322="ignore","Ignore",IF($L322="archive","Archive",IF($L322="closed","Closed",IF($B322="","Unscored",IF(AND($B322&gt;=8,OR($H322="",$H322-TODAY()&lt;=14)),"P1 Apply",IF($B322&gt;=7,"P2 Strong",IF($B322&gt;=5,"P3 Maybe","P4 Low")))))))))))</f>
        <v/>
      </c>
      <c r="B322" s="13" t="n">
        <v>2.65</v>
      </c>
      <c r="C322" s="12" t="inlineStr">
        <is>
          <t>Graduate/Entry</t>
        </is>
      </c>
      <c r="D322" s="8" t="inlineStr">
        <is>
          <t>Graduate/Junior Software Engineer (Must have a CS Degree from a top Uni)</t>
        </is>
      </c>
      <c r="E322" s="7" t="inlineStr">
        <is>
          <t>Oliver Bernard</t>
        </is>
      </c>
      <c r="F322" s="8" t="inlineStr">
        <is>
          <t>London Area, United Kingdom</t>
        </is>
      </c>
      <c r="G322" s="8" t="n"/>
      <c r="H322" s="14" t="n"/>
      <c r="I322" s="15">
        <f>IF($H322="","",$H322-TODAY())</f>
        <v/>
      </c>
      <c r="J322" s="16" t="inlineStr">
        <is>
          <t>Open posting</t>
        </is>
      </c>
      <c r="K322" s="8" t="n"/>
      <c r="L322" s="17" t="inlineStr">
        <is>
          <t>new</t>
        </is>
      </c>
      <c r="M322" s="18" t="inlineStr"/>
      <c r="N322" s="7" t="inlineStr">
        <is>
          <t>d977f3a8825c5a9a04859581d1904618077b8c13</t>
        </is>
      </c>
      <c r="O322" s="14" t="n">
        <v>46176</v>
      </c>
      <c r="P322" s="7" t="inlineStr">
        <is>
          <t>jobspy</t>
        </is>
      </c>
      <c r="Q322" s="8" t="inlineStr">
        <is>
          <t>python, sql, software development</t>
        </is>
      </c>
      <c r="R322" s="8" t="inlineStr">
        <is>
          <t>junior/graduate Full Stack Developer</t>
        </is>
      </c>
      <c r="S322" s="19" t="n"/>
      <c r="T322" s="19" t="n"/>
      <c r="U322" s="14" t="n">
        <v>46191</v>
      </c>
      <c r="V322" s="7" t="n"/>
    </row>
    <row r="323" ht="28" customHeight="1">
      <c r="A323" s="12">
        <f>IF($L323="applied","Applied",IF($L323="interview","Interview",IF($L323="offer","Offer",IF($L323="rejected","Rejected",IF($L323="ignore","Ignore",IF($L323="archive","Archive",IF($L323="closed","Closed",IF($B323="","Unscored",IF(AND($B323&gt;=8,OR($H323="",$H323-TODAY()&lt;=14)),"P1 Apply",IF($B323&gt;=7,"P2 Strong",IF($B323&gt;=5,"P3 Maybe","P4 Low")))))))))))</f>
        <v/>
      </c>
      <c r="B323" s="13" t="n">
        <v>2.65</v>
      </c>
      <c r="C323" s="12" t="inlineStr">
        <is>
          <t>Junior</t>
        </is>
      </c>
      <c r="D323" s="8" t="inlineStr">
        <is>
          <t>Junior Developer</t>
        </is>
      </c>
      <c r="E323" s="7" t="inlineStr">
        <is>
          <t>iO Associates</t>
        </is>
      </c>
      <c r="F323" s="8" t="inlineStr">
        <is>
          <t>England, United Kingdom</t>
        </is>
      </c>
      <c r="G323" s="8" t="n"/>
      <c r="H323" s="14" t="n"/>
      <c r="I323" s="15">
        <f>IF($H323="","",$H323-TODAY())</f>
        <v/>
      </c>
      <c r="J323" s="16" t="inlineStr">
        <is>
          <t>Open posting</t>
        </is>
      </c>
      <c r="K323" s="8" t="n"/>
      <c r="L323" s="17" t="inlineStr">
        <is>
          <t>new</t>
        </is>
      </c>
      <c r="M323" s="18" t="inlineStr"/>
      <c r="N323" s="7" t="inlineStr">
        <is>
          <t>d115f5274c288a439e34aee8d19ab0bcb4090408</t>
        </is>
      </c>
      <c r="O323" s="14" t="n"/>
      <c r="P323" s="7" t="inlineStr">
        <is>
          <t>jobspy</t>
        </is>
      </c>
      <c r="Q323" s="8" t="inlineStr">
        <is>
          <t>javascript, git, software development</t>
        </is>
      </c>
      <c r="R323" s="8" t="inlineStr">
        <is>
          <t>junior/graduate Full Stack Developer</t>
        </is>
      </c>
      <c r="S323" s="19" t="n"/>
      <c r="T323" s="19" t="n"/>
      <c r="U323" s="14" t="n">
        <v>46191</v>
      </c>
      <c r="V323" s="7" t="n"/>
    </row>
    <row r="324" ht="28" customHeight="1">
      <c r="A324" s="12">
        <f>IF($L324="applied","Applied",IF($L324="interview","Interview",IF($L324="offer","Offer",IF($L324="rejected","Rejected",IF($L324="ignore","Ignore",IF($L324="archive","Archive",IF($L324="closed","Closed",IF($B324="","Unscored",IF(AND($B324&gt;=8,OR($H324="",$H324-TODAY()&lt;=14)),"P1 Apply",IF($B324&gt;=7,"P2 Strong",IF($B324&gt;=5,"P3 Maybe","P4 Low")))))))))))</f>
        <v/>
      </c>
      <c r="B324" s="13" t="n">
        <v>2.65</v>
      </c>
      <c r="C324" s="12" t="inlineStr">
        <is>
          <t>Junior</t>
        </is>
      </c>
      <c r="D324" s="8" t="inlineStr">
        <is>
          <t>Junior Software Developer</t>
        </is>
      </c>
      <c r="E324" s="7" t="inlineStr">
        <is>
          <t>Skuuudle | Better Pricing Intelligence</t>
        </is>
      </c>
      <c r="F324" s="8" t="inlineStr">
        <is>
          <t>England, United Kingdom</t>
        </is>
      </c>
      <c r="G324" s="8" t="n"/>
      <c r="H324" s="14" t="n"/>
      <c r="I324" s="15">
        <f>IF($H324="","",$H324-TODAY())</f>
        <v/>
      </c>
      <c r="J324" s="16" t="inlineStr">
        <is>
          <t>Open posting</t>
        </is>
      </c>
      <c r="K324" s="8" t="n"/>
      <c r="L324" s="17" t="inlineStr">
        <is>
          <t>new</t>
        </is>
      </c>
      <c r="M324" s="18" t="inlineStr"/>
      <c r="N324" s="7" t="inlineStr">
        <is>
          <t>1861c71e1e7cc81d36b04ffca03ae1f26e6b3744</t>
        </is>
      </c>
      <c r="O324" s="14" t="n">
        <v>46188</v>
      </c>
      <c r="P324" s="7" t="inlineStr">
        <is>
          <t>jobspy</t>
        </is>
      </c>
      <c r="Q324" s="8" t="inlineStr">
        <is>
          <t>python, sql, git, software development</t>
        </is>
      </c>
      <c r="R324" s="8" t="inlineStr">
        <is>
          <t>Graduate Software Developer remote</t>
        </is>
      </c>
      <c r="S324" s="19" t="n"/>
      <c r="T324" s="19" t="n"/>
      <c r="U324" s="14" t="n">
        <v>46191</v>
      </c>
      <c r="V324" s="7" t="n"/>
    </row>
    <row r="325" ht="28" customHeight="1">
      <c r="A325" s="12">
        <f>IF($L325="applied","Applied",IF($L325="interview","Interview",IF($L325="offer","Offer",IF($L325="rejected","Rejected",IF($L325="ignore","Ignore",IF($L325="archive","Archive",IF($L325="closed","Closed",IF($B325="","Unscored",IF(AND($B325&gt;=8,OR($H325="",$H325-TODAY()&lt;=14)),"P1 Apply",IF($B325&gt;=7,"P2 Strong",IF($B325&gt;=5,"P3 Maybe","P4 Low")))))))))))</f>
        <v/>
      </c>
      <c r="B325" s="13" t="n">
        <v>2.65</v>
      </c>
      <c r="C325" s="12" t="inlineStr">
        <is>
          <t>Junior</t>
        </is>
      </c>
      <c r="D325" s="8" t="inlineStr">
        <is>
          <t>Web Developer (Python)</t>
        </is>
      </c>
      <c r="E325" s="7" t="inlineStr">
        <is>
          <t>Signify Technology</t>
        </is>
      </c>
      <c r="F325" s="8" t="inlineStr">
        <is>
          <t>London, England, UK</t>
        </is>
      </c>
      <c r="G325" s="8" t="n"/>
      <c r="H325" s="14" t="n"/>
      <c r="I325" s="15">
        <f>IF($H325="","",$H325-TODAY())</f>
        <v/>
      </c>
      <c r="J325" s="16" t="inlineStr">
        <is>
          <t>Open posting</t>
        </is>
      </c>
      <c r="K325" s="8" t="n"/>
      <c r="L325" s="17" t="inlineStr">
        <is>
          <t>new</t>
        </is>
      </c>
      <c r="M325" s="18" t="inlineStr"/>
      <c r="N325" s="7" t="inlineStr">
        <is>
          <t>eff0c763d716a28db9d5d1085445e63baa30439a</t>
        </is>
      </c>
      <c r="O325" s="14" t="n">
        <v>46184</v>
      </c>
      <c r="P325" s="7" t="inlineStr">
        <is>
          <t>jobspy</t>
        </is>
      </c>
      <c r="Q325" s="8" t="inlineStr">
        <is>
          <t>python, sql, javascript</t>
        </is>
      </c>
      <c r="R325" s="8" t="inlineStr">
        <is>
          <t>junior/graduate Junior Python Developer</t>
        </is>
      </c>
      <c r="S325" s="19" t="n"/>
      <c r="T325" s="19" t="n"/>
      <c r="U325" s="14" t="n">
        <v>46191</v>
      </c>
      <c r="V325" s="7" t="n"/>
    </row>
    <row r="326" ht="28" customHeight="1">
      <c r="A326" s="12">
        <f>IF($L326="applied","Applied",IF($L326="interview","Interview",IF($L326="offer","Offer",IF($L326="rejected","Rejected",IF($L326="ignore","Ignore",IF($L326="archive","Archive",IF($L326="closed","Closed",IF($B326="","Unscored",IF(AND($B326&gt;=8,OR($H326="",$H326-TODAY()&lt;=14)),"P1 Apply",IF($B326&gt;=7,"P2 Strong",IF($B326&gt;=5,"P3 Maybe","P4 Low")))))))))))</f>
        <v/>
      </c>
      <c r="B326" s="13" t="n">
        <v>2.65</v>
      </c>
      <c r="C326" s="12" t="inlineStr">
        <is>
          <t>Junior</t>
        </is>
      </c>
      <c r="D326" s="8" t="inlineStr">
        <is>
          <t>Web Developer (Python)</t>
        </is>
      </c>
      <c r="E326" s="7" t="inlineStr">
        <is>
          <t>Signify Technology</t>
        </is>
      </c>
      <c r="F326" s="8" t="inlineStr">
        <is>
          <t>London Area, United Kingdom</t>
        </is>
      </c>
      <c r="G326" s="8" t="n"/>
      <c r="H326" s="14" t="n"/>
      <c r="I326" s="15">
        <f>IF($H326="","",$H326-TODAY())</f>
        <v/>
      </c>
      <c r="J326" s="16" t="inlineStr">
        <is>
          <t>Open posting</t>
        </is>
      </c>
      <c r="K326" s="8" t="n"/>
      <c r="L326" s="17" t="inlineStr">
        <is>
          <t>new</t>
        </is>
      </c>
      <c r="M326" s="18" t="inlineStr"/>
      <c r="N326" s="7" t="inlineStr">
        <is>
          <t>e1e8ef831d354fa1dc671c112ba6133c0e730bb4</t>
        </is>
      </c>
      <c r="O326" s="14" t="n">
        <v>46182</v>
      </c>
      <c r="P326" s="7" t="inlineStr">
        <is>
          <t>jobspy</t>
        </is>
      </c>
      <c r="Q326" s="8" t="inlineStr">
        <is>
          <t>python, sql, javascript</t>
        </is>
      </c>
      <c r="R326" s="8" t="inlineStr">
        <is>
          <t>junior/graduate Junior Python Developer</t>
        </is>
      </c>
      <c r="S326" s="19" t="n"/>
      <c r="T326" s="19" t="n"/>
      <c r="U326" s="14" t="n">
        <v>46191</v>
      </c>
      <c r="V326" s="7" t="n"/>
    </row>
    <row r="327" ht="28" customHeight="1">
      <c r="A327" s="12">
        <f>IF($L327="applied","Applied",IF($L327="interview","Interview",IF($L327="offer","Offer",IF($L327="rejected","Rejected",IF($L327="ignore","Ignore",IF($L327="archive","Archive",IF($L327="closed","Closed",IF($B327="","Unscored",IF(AND($B327&gt;=8,OR($H327="",$H327-TODAY()&lt;=14)),"P1 Apply",IF($B327&gt;=7,"P2 Strong",IF($B327&gt;=5,"P3 Maybe","P4 Low")))))))))))</f>
        <v/>
      </c>
      <c r="B327" s="13" t="n">
        <v>2.65</v>
      </c>
      <c r="C327" s="12" t="inlineStr">
        <is>
          <t>Mid-level</t>
        </is>
      </c>
      <c r="D327" s="8" t="inlineStr">
        <is>
          <t>Software Developer</t>
        </is>
      </c>
      <c r="E327" s="7" t="inlineStr">
        <is>
          <t>Haystack</t>
        </is>
      </c>
      <c r="F327" s="8" t="inlineStr">
        <is>
          <t>Belfast, Northern Ireland, UK</t>
        </is>
      </c>
      <c r="G327" s="8" t="n"/>
      <c r="H327" s="14" t="n"/>
      <c r="I327" s="15">
        <f>IF($H327="","",$H327-TODAY())</f>
        <v/>
      </c>
      <c r="J327" s="16" t="inlineStr">
        <is>
          <t>Open posting</t>
        </is>
      </c>
      <c r="K327" s="8" t="n"/>
      <c r="L327" s="17" t="inlineStr">
        <is>
          <t>new</t>
        </is>
      </c>
      <c r="M327" s="18" t="inlineStr"/>
      <c r="N327" s="7" t="inlineStr">
        <is>
          <t>1181dcb3f3e2beb1ba80d5c2cf3b9128e253788e</t>
        </is>
      </c>
      <c r="O327" s="14" t="n"/>
      <c r="P327" s="7" t="inlineStr">
        <is>
          <t>jobspy</t>
        </is>
      </c>
      <c r="Q327" s="8" t="inlineStr">
        <is>
          <t>sql, javascript, git</t>
        </is>
      </c>
      <c r="R327" s="8" t="inlineStr">
        <is>
          <t>Full Stack Developer</t>
        </is>
      </c>
      <c r="S327" s="19" t="n"/>
      <c r="T327" s="19" t="n"/>
      <c r="U327" s="14" t="n">
        <v>46191</v>
      </c>
      <c r="V327" s="7" t="n"/>
    </row>
    <row r="328" ht="28" customHeight="1">
      <c r="A328" s="12">
        <f>IF($L328="applied","Applied",IF($L328="interview","Interview",IF($L328="offer","Offer",IF($L328="rejected","Rejected",IF($L328="ignore","Ignore",IF($L328="archive","Archive",IF($L328="closed","Closed",IF($B328="","Unscored",IF(AND($B328&gt;=8,OR($H328="",$H328-TODAY()&lt;=14)),"P1 Apply",IF($B328&gt;=7,"P2 Strong",IF($B328&gt;=5,"P3 Maybe","P4 Low")))))))))))</f>
        <v/>
      </c>
      <c r="B328" s="13" t="n">
        <v>2.65</v>
      </c>
      <c r="C328" s="12" t="inlineStr">
        <is>
          <t>Senior/Lead</t>
        </is>
      </c>
      <c r="D328" s="8" t="inlineStr">
        <is>
          <t>Full Stack Engineer</t>
        </is>
      </c>
      <c r="E328" s="7" t="inlineStr">
        <is>
          <t>Solvex Solutions</t>
        </is>
      </c>
      <c r="F328" s="8" t="inlineStr">
        <is>
          <t>Manchester Area, United Kingdom</t>
        </is>
      </c>
      <c r="G328" s="8" t="n"/>
      <c r="H328" s="14" t="n"/>
      <c r="I328" s="15">
        <f>IF($H328="","",$H328-TODAY())</f>
        <v/>
      </c>
      <c r="J328" s="16" t="inlineStr">
        <is>
          <t>Open posting</t>
        </is>
      </c>
      <c r="K328" s="8" t="n"/>
      <c r="L328" s="17" t="inlineStr">
        <is>
          <t>new</t>
        </is>
      </c>
      <c r="M328" s="18" t="inlineStr"/>
      <c r="N328" s="7" t="inlineStr">
        <is>
          <t>00576668f8ce610ca6a5072ee3a850ffd93ece3d</t>
        </is>
      </c>
      <c r="O328" s="14" t="n">
        <v>46184</v>
      </c>
      <c r="P328" s="7" t="inlineStr">
        <is>
          <t>jobspy</t>
        </is>
      </c>
      <c r="Q328" s="8" t="inlineStr">
        <is>
          <t>python, git</t>
        </is>
      </c>
      <c r="R328" s="8" t="inlineStr">
        <is>
          <t>Full Stack Developer Sheffield</t>
        </is>
      </c>
      <c r="S328" s="19" t="n"/>
      <c r="T328" s="19" t="n"/>
      <c r="U328" s="14" t="n">
        <v>46191</v>
      </c>
      <c r="V328" s="7" t="n"/>
    </row>
    <row r="329" ht="28" customHeight="1">
      <c r="A329" s="12">
        <f>IF($L329="applied","Applied",IF($L329="interview","Interview",IF($L329="offer","Offer",IF($L329="rejected","Rejected",IF($L329="ignore","Ignore",IF($L329="archive","Archive",IF($L329="closed","Closed",IF($B329="","Unscored",IF(AND($B329&gt;=8,OR($H329="",$H329-TODAY()&lt;=14)),"P1 Apply",IF($B329&gt;=7,"P2 Strong",IF($B329&gt;=5,"P3 Maybe","P4 Low")))))))))))</f>
        <v/>
      </c>
      <c r="B329" s="13" t="n">
        <v>2.65</v>
      </c>
      <c r="C329" s="12" t="inlineStr">
        <is>
          <t>Junior</t>
        </is>
      </c>
      <c r="D329" s="8" t="inlineStr">
        <is>
          <t>Front-End Developer</t>
        </is>
      </c>
      <c r="E329" s="7" t="inlineStr">
        <is>
          <t>Erin Associates Ltd</t>
        </is>
      </c>
      <c r="F329" s="8" t="inlineStr">
        <is>
          <t>Blackburn, England, UK</t>
        </is>
      </c>
      <c r="G329" s="8" t="n"/>
      <c r="H329" s="14" t="n"/>
      <c r="I329" s="15">
        <f>IF($H329="","",$H329-TODAY())</f>
        <v/>
      </c>
      <c r="J329" s="16" t="inlineStr">
        <is>
          <t>Open posting</t>
        </is>
      </c>
      <c r="K329" s="8" t="n"/>
      <c r="L329" s="17" t="inlineStr">
        <is>
          <t>new</t>
        </is>
      </c>
      <c r="M329" s="18" t="inlineStr"/>
      <c r="N329" s="7" t="inlineStr">
        <is>
          <t>5cbdfde14a7e81ce929220d162eb7cefe893daee</t>
        </is>
      </c>
      <c r="O329" s="14" t="n">
        <v>46170</v>
      </c>
      <c r="P329" s="7" t="inlineStr">
        <is>
          <t>jobspy</t>
        </is>
      </c>
      <c r="Q329" s="8" t="inlineStr">
        <is>
          <t>javascript, git, web development</t>
        </is>
      </c>
      <c r="R329" s="8" t="inlineStr">
        <is>
          <t>junior Full Stack Developer</t>
        </is>
      </c>
      <c r="S329" s="19" t="n"/>
      <c r="T329" s="19" t="n"/>
      <c r="U329" s="14" t="n">
        <v>46191</v>
      </c>
      <c r="V329" s="7" t="n"/>
    </row>
    <row r="330" ht="28" customHeight="1">
      <c r="A330" s="12">
        <f>IF($L330="applied","Applied",IF($L330="interview","Interview",IF($L330="offer","Offer",IF($L330="rejected","Rejected",IF($L330="ignore","Ignore",IF($L330="archive","Archive",IF($L330="closed","Closed",IF($B330="","Unscored",IF(AND($B330&gt;=8,OR($H330="",$H330-TODAY()&lt;=14)),"P1 Apply",IF($B330&gt;=7,"P2 Strong",IF($B330&gt;=5,"P3 Maybe","P4 Low")))))))))))</f>
        <v/>
      </c>
      <c r="B330" s="13" t="n">
        <v>2.65</v>
      </c>
      <c r="C330" s="12" t="inlineStr">
        <is>
          <t>Unspecified</t>
        </is>
      </c>
      <c r="D330" s="8" t="inlineStr">
        <is>
          <t>Software Developer, Backend</t>
        </is>
      </c>
      <c r="E330" s="7" t="inlineStr">
        <is>
          <t>bet365</t>
        </is>
      </c>
      <c r="F330" s="8" t="inlineStr">
        <is>
          <t>Stoke-On-Trent, England, UK</t>
        </is>
      </c>
      <c r="G330" s="8" t="n"/>
      <c r="H330" s="14" t="n"/>
      <c r="I330" s="15">
        <f>IF($H330="","",$H330-TODAY())</f>
        <v/>
      </c>
      <c r="J330" s="16" t="inlineStr">
        <is>
          <t>Open posting</t>
        </is>
      </c>
      <c r="K330" s="8" t="n"/>
      <c r="L330" s="17" t="inlineStr">
        <is>
          <t>new</t>
        </is>
      </c>
      <c r="M330" s="18" t="inlineStr"/>
      <c r="N330" s="7" t="inlineStr">
        <is>
          <t>b25f85b3cf834cf03b41e1455eaa946f43023da7</t>
        </is>
      </c>
      <c r="O330" s="14" t="n">
        <v>46182</v>
      </c>
      <c r="P330" s="7" t="inlineStr">
        <is>
          <t>jobspy</t>
        </is>
      </c>
      <c r="Q330" s="8" t="inlineStr">
        <is>
          <t>sql, javascript, software development</t>
        </is>
      </c>
      <c r="R330" s="8" t="inlineStr">
        <is>
          <t>graduate Graduate Software Developer</t>
        </is>
      </c>
      <c r="S330" s="19" t="n"/>
      <c r="T330" s="19" t="n"/>
      <c r="U330" s="14" t="n">
        <v>46191</v>
      </c>
      <c r="V330" s="7" t="n"/>
    </row>
    <row r="331" ht="28" customHeight="1">
      <c r="A331" s="12">
        <f>IF($L331="applied","Applied",IF($L331="interview","Interview",IF($L331="offer","Offer",IF($L331="rejected","Rejected",IF($L331="ignore","Ignore",IF($L331="archive","Archive",IF($L331="closed","Closed",IF($B331="","Unscored",IF(AND($B331&gt;=8,OR($H331="",$H331-TODAY()&lt;=14)),"P1 Apply",IF($B331&gt;=7,"P2 Strong",IF($B331&gt;=5,"P3 Maybe","P4 Low")))))))))))</f>
        <v/>
      </c>
      <c r="B331" s="13" t="n">
        <v>2.5</v>
      </c>
      <c r="C331" s="12" t="inlineStr">
        <is>
          <t>Mid-level</t>
        </is>
      </c>
      <c r="D331" s="8" t="inlineStr">
        <is>
          <t>Data &amp; ML Platform Engineer</t>
        </is>
      </c>
      <c r="E331" s="7" t="inlineStr">
        <is>
          <t>Revoco</t>
        </is>
      </c>
      <c r="F331" s="8" t="inlineStr">
        <is>
          <t>Greater Bristol Area, United Kingdom</t>
        </is>
      </c>
      <c r="G331" s="8" t="n"/>
      <c r="H331" s="14" t="n"/>
      <c r="I331" s="15">
        <f>IF($H331="","",$H331-TODAY())</f>
        <v/>
      </c>
      <c r="J331" s="16" t="inlineStr">
        <is>
          <t>Open posting</t>
        </is>
      </c>
      <c r="K331" s="8" t="inlineStr">
        <is>
          <t>SC clearance required and 3+ years experience needed; salary far above level but seniority and clearance exclude this role.</t>
        </is>
      </c>
      <c r="L331" s="17" t="inlineStr">
        <is>
          <t>new</t>
        </is>
      </c>
      <c r="M331" s="18" t="inlineStr"/>
      <c r="N331" s="7" t="inlineStr">
        <is>
          <t>7b346e473782a6e779e707174bbff6735af8650a</t>
        </is>
      </c>
      <c r="O331" s="14" t="n">
        <v>46188</v>
      </c>
      <c r="P331" s="7" t="inlineStr">
        <is>
          <t>jobspy</t>
        </is>
      </c>
      <c r="Q331" s="8" t="inlineStr">
        <is>
          <t>Python, SQL, Docker, Kubernetes, MySQL</t>
        </is>
      </c>
      <c r="R331" s="8" t="inlineStr">
        <is>
          <t>Junior Data Engineer SQL Python MySQL</t>
        </is>
      </c>
      <c r="S331" s="19" t="n"/>
      <c r="T331" s="19" t="n"/>
      <c r="U331" s="14" t="n">
        <v>46193</v>
      </c>
      <c r="V331" s="7" t="inlineStr">
        <is>
          <t>v2-cv-accuracy-13b988b18da8ea7d</t>
        </is>
      </c>
    </row>
    <row r="332" ht="28" customHeight="1">
      <c r="A332" s="12">
        <f>IF($L332="applied","Applied",IF($L332="interview","Interview",IF($L332="offer","Offer",IF($L332="rejected","Rejected",IF($L332="ignore","Ignore",IF($L332="archive","Archive",IF($L332="closed","Closed",IF($B332="","Unscored",IF(AND($B332&gt;=8,OR($H332="",$H332-TODAY()&lt;=14)),"P1 Apply",IF($B332&gt;=7,"P2 Strong",IF($B332&gt;=5,"P3 Maybe","P4 Low")))))))))))</f>
        <v/>
      </c>
      <c r="B332" s="13" t="n">
        <v>2.5</v>
      </c>
      <c r="C332" s="12" t="inlineStr">
        <is>
          <t>Senior/Lead</t>
        </is>
      </c>
      <c r="D332" s="8" t="inlineStr">
        <is>
          <t>Data &amp; ML Platform Engineer</t>
        </is>
      </c>
      <c r="E332" s="7" t="inlineStr">
        <is>
          <t>Mobizy</t>
        </is>
      </c>
      <c r="F332" s="8" t="inlineStr">
        <is>
          <t>Bristol, England, UK</t>
        </is>
      </c>
      <c r="G332" s="8" t="n"/>
      <c r="H332" s="14" t="n"/>
      <c r="I332" s="15">
        <f>IF($H332="","",$H332-TODAY())</f>
        <v/>
      </c>
      <c r="J332" s="16" t="inlineStr">
        <is>
          <t>Open posting</t>
        </is>
      </c>
      <c r="K332" s="8" t="inlineStr">
        <is>
          <t>Senior platform/MLOps role requiring deep production experience; candidate's skills partially match but seniority and experience level misalign.</t>
        </is>
      </c>
      <c r="L332" s="17" t="inlineStr">
        <is>
          <t>new</t>
        </is>
      </c>
      <c r="M332" s="18" t="inlineStr"/>
      <c r="N332" s="7" t="inlineStr">
        <is>
          <t>1c93264ce86f13b77c785ac06edcdc448ad33cc5</t>
        </is>
      </c>
      <c r="O332" s="14" t="n">
        <v>46186</v>
      </c>
      <c r="P332" s="7" t="inlineStr">
        <is>
          <t>jobspy</t>
        </is>
      </c>
      <c r="Q332" s="8" t="inlineStr">
        <is>
          <t>Python, SQL, Docker, API integration</t>
        </is>
      </c>
      <c r="R332" s="8" t="inlineStr">
        <is>
          <t>Junior Data Engineer SQL Python MySQL</t>
        </is>
      </c>
      <c r="S332" s="19" t="n"/>
      <c r="T332" s="19" t="n"/>
      <c r="U332" s="14" t="n">
        <v>46193</v>
      </c>
      <c r="V332" s="7" t="inlineStr">
        <is>
          <t>v2-cv-accuracy-13b988b18da8ea7d</t>
        </is>
      </c>
    </row>
    <row r="333" ht="28" customHeight="1">
      <c r="A333" s="12">
        <f>IF($L333="applied","Applied",IF($L333="interview","Interview",IF($L333="offer","Offer",IF($L333="rejected","Rejected",IF($L333="ignore","Ignore",IF($L333="archive","Archive",IF($L333="closed","Closed",IF($B333="","Unscored",IF(AND($B333&gt;=8,OR($H333="",$H333-TODAY()&lt;=14)),"P1 Apply",IF($B333&gt;=7,"P2 Strong",IF($B333&gt;=5,"P3 Maybe","P4 Low")))))))))))</f>
        <v/>
      </c>
      <c r="B333" s="13" t="n">
        <v>2.5</v>
      </c>
      <c r="C333" s="12" t="inlineStr">
        <is>
          <t>Junior</t>
        </is>
      </c>
      <c r="D333" s="8" t="inlineStr">
        <is>
          <t>Cloud Engineering Consultant (Azure)</t>
        </is>
      </c>
      <c r="E333" s="7" t="inlineStr">
        <is>
          <t>Colibri Digital</t>
        </is>
      </c>
      <c r="F333" s="8" t="inlineStr">
        <is>
          <t>London, ENG, GB</t>
        </is>
      </c>
      <c r="G333" s="8" t="n"/>
      <c r="H333" s="14" t="n"/>
      <c r="I333" s="15">
        <f>IF($H333="","",$H333-TODAY())</f>
        <v/>
      </c>
      <c r="J333" s="16" t="inlineStr">
        <is>
          <t>Open posting</t>
        </is>
      </c>
      <c r="K333" s="8" t="inlineStr">
        <is>
          <t>Role requires proven commercial Azure/Terraform cloud consulting experience well beyond the profile's adjacent Docker/Kubernetes skills; seniority mismatch.</t>
        </is>
      </c>
      <c r="L333" s="17" t="inlineStr">
        <is>
          <t>new</t>
        </is>
      </c>
      <c r="M333" s="18" t="inlineStr"/>
      <c r="N333" s="7" t="inlineStr">
        <is>
          <t>900503c43d03c3c9dfb20bb03043e6b515785fd3</t>
        </is>
      </c>
      <c r="O333" s="14" t="n">
        <v>46192</v>
      </c>
      <c r="P333" s="7" t="inlineStr">
        <is>
          <t>jobspy</t>
        </is>
      </c>
      <c r="Q333" s="8" t="inlineStr">
        <is>
          <t>Docker, Kubernetes, CI/CD</t>
        </is>
      </c>
      <c r="R333" s="8" t="inlineStr">
        <is>
          <t>Junior Data Engineer Python SQL pipeline</t>
        </is>
      </c>
      <c r="S333" s="19" t="n"/>
      <c r="T333" s="19" t="n"/>
      <c r="U333" s="14" t="n">
        <v>46193</v>
      </c>
      <c r="V333" s="7" t="inlineStr">
        <is>
          <t>v2-cv-accuracy-13b988b18da8ea7d</t>
        </is>
      </c>
    </row>
    <row r="334" ht="28" customHeight="1">
      <c r="A334" s="12">
        <f>IF($L334="applied","Applied",IF($L334="interview","Interview",IF($L334="offer","Offer",IF($L334="rejected","Rejected",IF($L334="ignore","Ignore",IF($L334="archive","Archive",IF($L334="closed","Closed",IF($B334="","Unscored",IF(AND($B334&gt;=8,OR($H334="",$H334-TODAY()&lt;=14)),"P1 Apply",IF($B334&gt;=7,"P2 Strong",IF($B334&gt;=5,"P3 Maybe","P4 Low")))))))))))</f>
        <v/>
      </c>
      <c r="B334" s="13" t="n">
        <v>2.5</v>
      </c>
      <c r="C334" s="12" t="inlineStr">
        <is>
          <t>Unspecified</t>
        </is>
      </c>
      <c r="D334" s="8" t="inlineStr">
        <is>
          <t>DevOps Engineer</t>
        </is>
      </c>
      <c r="E334" s="7" t="inlineStr">
        <is>
          <t>Experis UK</t>
        </is>
      </c>
      <c r="F334" s="8" t="inlineStr">
        <is>
          <t>Newcastle Upon Tyne, England, UK</t>
        </is>
      </c>
      <c r="G334" s="8" t="n"/>
      <c r="H334" s="14" t="n"/>
      <c r="I334" s="15">
        <f>IF($H334="","",$H334-TODAY())</f>
        <v/>
      </c>
      <c r="J334" s="16" t="inlineStr">
        <is>
          <t>Open posting</t>
        </is>
      </c>
      <c r="K334" s="8" t="inlineStr">
        <is>
          <t>SC clearance required is a hard exclusion; role also demands cloud platform and CI/CD pipeline experience not evidenced in profile.</t>
        </is>
      </c>
      <c r="L334" s="17" t="inlineStr">
        <is>
          <t>new</t>
        </is>
      </c>
      <c r="M334" s="18" t="inlineStr"/>
      <c r="N334" s="7" t="inlineStr">
        <is>
          <t>ad0973822755f6ecd56ec87ace594a028671330d</t>
        </is>
      </c>
      <c r="O334" s="14" t="n">
        <v>46189</v>
      </c>
      <c r="P334" s="7" t="inlineStr">
        <is>
          <t>jobspy</t>
        </is>
      </c>
      <c r="Q334" s="8" t="inlineStr">
        <is>
          <t>Docker, Kubernetes, Python, SQL</t>
        </is>
      </c>
      <c r="R334" s="8" t="inlineStr">
        <is>
          <t>Graduate DevOps Engineer Python CI/CD Sheffield</t>
        </is>
      </c>
      <c r="S334" s="19" t="n"/>
      <c r="T334" s="19" t="n"/>
      <c r="U334" s="14" t="n">
        <v>46193</v>
      </c>
      <c r="V334" s="7" t="inlineStr">
        <is>
          <t>v2-cv-accuracy-13b988b18da8ea7d</t>
        </is>
      </c>
    </row>
    <row r="335" ht="28" customHeight="1">
      <c r="A335" s="12">
        <f>IF($L335="applied","Applied",IF($L335="interview","Interview",IF($L335="offer","Offer",IF($L335="rejected","Rejected",IF($L335="ignore","Ignore",IF($L335="archive","Archive",IF($L335="closed","Closed",IF($B335="","Unscored",IF(AND($B335&gt;=8,OR($H335="",$H335-TODAY()&lt;=14)),"P1 Apply",IF($B335&gt;=7,"P2 Strong",IF($B335&gt;=5,"P3 Maybe","P4 Low")))))))))))</f>
        <v/>
      </c>
      <c r="B335" s="13" t="n">
        <v>2.5</v>
      </c>
      <c r="C335" s="12" t="inlineStr">
        <is>
          <t>Junior</t>
        </is>
      </c>
      <c r="D335" s="8" t="inlineStr">
        <is>
          <t>Python Developer</t>
        </is>
      </c>
      <c r="E335" s="7" t="inlineStr">
        <is>
          <t>Radley James</t>
        </is>
      </c>
      <c r="F335" s="8" t="inlineStr">
        <is>
          <t>London Area, United Kingdom</t>
        </is>
      </c>
      <c r="G335" s="8" t="n"/>
      <c r="H335" s="14" t="n"/>
      <c r="I335" s="15">
        <f>IF($H335="","",$H335-TODAY())</f>
        <v/>
      </c>
      <c r="J335" s="16" t="inlineStr">
        <is>
          <t>Open posting</t>
        </is>
      </c>
      <c r="K335" s="8" t="inlineStr">
        <is>
          <t>Requires 5+ years senior Python experience in trading; candidate has 2 years and no finance/trading background.</t>
        </is>
      </c>
      <c r="L335" s="17" t="inlineStr">
        <is>
          <t>new</t>
        </is>
      </c>
      <c r="M335" s="18" t="inlineStr"/>
      <c r="N335" s="7" t="inlineStr">
        <is>
          <t>48b547f13d74577f16fcafbc6b377bf8f92e7cfa</t>
        </is>
      </c>
      <c r="O335" s="14" t="n">
        <v>46188</v>
      </c>
      <c r="P335" s="7" t="inlineStr">
        <is>
          <t>jobspy</t>
        </is>
      </c>
      <c r="Q335" s="8" t="inlineStr">
        <is>
          <t>Python, SQL, Docker, Kubernetes, API integration</t>
        </is>
      </c>
      <c r="R335" s="8" t="inlineStr">
        <is>
          <t>Junior Python Developer SQL Docker</t>
        </is>
      </c>
      <c r="S335" s="19" t="n"/>
      <c r="T335" s="19" t="n"/>
      <c r="U335" s="14" t="n">
        <v>46193</v>
      </c>
      <c r="V335" s="7" t="inlineStr">
        <is>
          <t>v2-cv-accuracy-13b988b18da8ea7d</t>
        </is>
      </c>
    </row>
    <row r="336" ht="28" customHeight="1">
      <c r="A336" s="12">
        <f>IF($L336="applied","Applied",IF($L336="interview","Interview",IF($L336="offer","Offer",IF($L336="rejected","Rejected",IF($L336="ignore","Ignore",IF($L336="archive","Archive",IF($L336="closed","Closed",IF($B336="","Unscored",IF(AND($B336&gt;=8,OR($H336="",$H336-TODAY()&lt;=14)),"P1 Apply",IF($B336&gt;=7,"P2 Strong",IF($B336&gt;=5,"P3 Maybe","P4 Low")))))))))))</f>
        <v/>
      </c>
      <c r="B336" s="13" t="n">
        <v>2.5</v>
      </c>
      <c r="C336" s="12" t="inlineStr">
        <is>
          <t>Senior/Lead</t>
        </is>
      </c>
      <c r="D336" s="8" t="inlineStr">
        <is>
          <t>Software Engineer</t>
        </is>
      </c>
      <c r="E336" s="7" t="inlineStr">
        <is>
          <t>Smarkets</t>
        </is>
      </c>
      <c r="F336" s="8" t="inlineStr">
        <is>
          <t>London Area, United Kingdom</t>
        </is>
      </c>
      <c r="G336" s="8" t="n"/>
      <c r="H336" s="14" t="n"/>
      <c r="I336" s="15">
        <f>IF($H336="","",$H336-TODAY())</f>
        <v/>
      </c>
      <c r="J336" s="16" t="inlineStr">
        <is>
          <t>Open posting</t>
        </is>
      </c>
      <c r="K336" s="8" t="inlineStr">
        <is>
          <t>Requires 4+ years experience and Rust expertise, both firmly above candidate's profile; Python matches but seniority mismatch is disqualifying.</t>
        </is>
      </c>
      <c r="L336" s="17" t="inlineStr">
        <is>
          <t>new</t>
        </is>
      </c>
      <c r="M336" s="18" t="inlineStr"/>
      <c r="N336" s="7" t="inlineStr">
        <is>
          <t>c2a30a5a6e236c3e49eb013a444a8eec458be030</t>
        </is>
      </c>
      <c r="O336" s="14" t="n">
        <v>46191</v>
      </c>
      <c r="P336" s="7" t="inlineStr">
        <is>
          <t>jobspy</t>
        </is>
      </c>
      <c r="Q336" s="8" t="inlineStr">
        <is>
          <t>Python, Kubernetes</t>
        </is>
      </c>
      <c r="R336" s="8" t="inlineStr">
        <is>
          <t>Graduate Backend Developer Docker Kubernetes</t>
        </is>
      </c>
      <c r="S336" s="19" t="n"/>
      <c r="T336" s="19" t="n"/>
      <c r="U336" s="14" t="n">
        <v>46192</v>
      </c>
      <c r="V336" s="7" t="inlineStr">
        <is>
          <t>v2-cv-accuracy-13b988b18da8ea7d</t>
        </is>
      </c>
    </row>
    <row r="337" ht="28" customHeight="1">
      <c r="A337" s="12">
        <f>IF($L337="applied","Applied",IF($L337="interview","Interview",IF($L337="offer","Offer",IF($L337="rejected","Rejected",IF($L337="ignore","Ignore",IF($L337="archive","Archive",IF($L337="closed","Closed",IF($B337="","Unscored",IF(AND($B337&gt;=8,OR($H337="",$H337-TODAY()&lt;=14)),"P1 Apply",IF($B337&gt;=7,"P2 Strong",IF($B337&gt;=5,"P3 Maybe","P4 Low")))))))))))</f>
        <v/>
      </c>
      <c r="B337" s="13" t="n">
        <v>2.45</v>
      </c>
      <c r="C337" s="12" t="inlineStr">
        <is>
          <t>Mid-level</t>
        </is>
      </c>
      <c r="D337" s="8" t="inlineStr">
        <is>
          <t>Full Stack Developer</t>
        </is>
      </c>
      <c r="E337" s="7" t="inlineStr">
        <is>
          <t>Typeform</t>
        </is>
      </c>
      <c r="F337" s="8" t="inlineStr">
        <is>
          <t>Germany (Remote) ; Ireland (Remote); Netherlands (Remote) ; Portugal (Remote) ; Spain (Remote) ; United Kingdom (Remote)</t>
        </is>
      </c>
      <c r="G337" s="8" t="n"/>
      <c r="H337" s="14" t="n"/>
      <c r="I337" s="15">
        <f>IF($H337="","",$H337-TODAY())</f>
        <v/>
      </c>
      <c r="J337" s="16" t="inlineStr">
        <is>
          <t>Open posting</t>
        </is>
      </c>
      <c r="K337" s="8" t="n"/>
      <c r="L337" s="17" t="inlineStr">
        <is>
          <t>new</t>
        </is>
      </c>
      <c r="M337" s="18" t="inlineStr"/>
      <c r="N337" s="7" t="inlineStr">
        <is>
          <t>cd5ed66128f3b9b916493b27ee6ff7b1e8b5a256</t>
        </is>
      </c>
      <c r="O337" s="14" t="n">
        <v>46161</v>
      </c>
      <c r="P337" s="7" t="inlineStr">
        <is>
          <t>greenhouse:typeform</t>
        </is>
      </c>
      <c r="Q337" s="8" t="inlineStr">
        <is>
          <t>javascript, git</t>
        </is>
      </c>
      <c r="R337" s="8" t="n"/>
      <c r="S337" s="19" t="n"/>
      <c r="T337" s="19" t="n"/>
      <c r="U337" s="14" t="n">
        <v>46191</v>
      </c>
      <c r="V337" s="7" t="n"/>
    </row>
    <row r="338" ht="28" customHeight="1">
      <c r="A338" s="12">
        <f>IF($L338="applied","Applied",IF($L338="interview","Interview",IF($L338="offer","Offer",IF($L338="rejected","Rejected",IF($L338="ignore","Ignore",IF($L338="archive","Archive",IF($L338="closed","Closed",IF($B338="","Unscored",IF(AND($B338&gt;=8,OR($H338="",$H338-TODAY()&lt;=14)),"P1 Apply",IF($B338&gt;=7,"P2 Strong",IF($B338&gt;=5,"P3 Maybe","P4 Low")))))))))))</f>
        <v/>
      </c>
      <c r="B338" s="13" t="n">
        <v>2.45</v>
      </c>
      <c r="C338" s="12" t="inlineStr">
        <is>
          <t>Graduate/Entry</t>
        </is>
      </c>
      <c r="D338" s="8" t="inlineStr">
        <is>
          <t>Graduate Software Engineer</t>
        </is>
      </c>
      <c r="E338" s="7" t="inlineStr">
        <is>
          <t>Autodesk</t>
        </is>
      </c>
      <c r="F338" s="8" t="inlineStr">
        <is>
          <t>Birmingham, England, UK</t>
        </is>
      </c>
      <c r="G338" s="8" t="n"/>
      <c r="H338" s="14" t="n"/>
      <c r="I338" s="15">
        <f>IF($H338="","",$H338-TODAY())</f>
        <v/>
      </c>
      <c r="J338" s="16" t="inlineStr">
        <is>
          <t>Open posting</t>
        </is>
      </c>
      <c r="K338" s="8" t="n"/>
      <c r="L338" s="17" t="inlineStr">
        <is>
          <t>new</t>
        </is>
      </c>
      <c r="M338" s="18" t="inlineStr"/>
      <c r="N338" s="7" t="inlineStr">
        <is>
          <t>7d37d309e9a5b4d772b0b43e97e7949fb6b93ec8</t>
        </is>
      </c>
      <c r="O338" s="14" t="n">
        <v>46177</v>
      </c>
      <c r="P338" s="7" t="inlineStr">
        <is>
          <t>jobspy</t>
        </is>
      </c>
      <c r="Q338" s="8" t="inlineStr">
        <is>
          <t>python, git, software development</t>
        </is>
      </c>
      <c r="R338" s="8" t="inlineStr">
        <is>
          <t>Graduate Software Developer</t>
        </is>
      </c>
      <c r="S338" s="19" t="n"/>
      <c r="T338" s="19" t="n"/>
      <c r="U338" s="14" t="n">
        <v>46191</v>
      </c>
      <c r="V338" s="7" t="n"/>
    </row>
    <row r="339" ht="28" customHeight="1">
      <c r="A339" s="12">
        <f>IF($L339="applied","Applied",IF($L339="interview","Interview",IF($L339="offer","Offer",IF($L339="rejected","Rejected",IF($L339="ignore","Ignore",IF($L339="archive","Archive",IF($L339="closed","Closed",IF($B339="","Unscored",IF(AND($B339&gt;=8,OR($H339="",$H339-TODAY()&lt;=14)),"P1 Apply",IF($B339&gt;=7,"P2 Strong",IF($B339&gt;=5,"P3 Maybe","P4 Low")))))))))))</f>
        <v/>
      </c>
      <c r="B339" s="13" t="n">
        <v>2.45</v>
      </c>
      <c r="C339" s="12" t="inlineStr">
        <is>
          <t>Graduate/Entry</t>
        </is>
      </c>
      <c r="D339" s="8" t="inlineStr">
        <is>
          <t>Graduate Software Engineer</t>
        </is>
      </c>
      <c r="E339" s="7" t="inlineStr">
        <is>
          <t>Autodesk</t>
        </is>
      </c>
      <c r="F339" s="8" t="inlineStr">
        <is>
          <t>Birmingham, ENG, GB</t>
        </is>
      </c>
      <c r="G339" s="8" t="n"/>
      <c r="H339" s="14" t="n"/>
      <c r="I339" s="15">
        <f>IF($H339="","",$H339-TODAY())</f>
        <v/>
      </c>
      <c r="J339" s="16" t="inlineStr">
        <is>
          <t>Open posting</t>
        </is>
      </c>
      <c r="K339" s="8" t="n"/>
      <c r="L339" s="17" t="inlineStr">
        <is>
          <t>new</t>
        </is>
      </c>
      <c r="M339" s="18" t="inlineStr"/>
      <c r="N339" s="7" t="inlineStr">
        <is>
          <t>7be90ec30010b6f7e0e60fa2f207af9e28062e5b</t>
        </is>
      </c>
      <c r="O339" s="14" t="n">
        <v>46177</v>
      </c>
      <c r="P339" s="7" t="inlineStr">
        <is>
          <t>jobspy</t>
        </is>
      </c>
      <c r="Q339" s="8" t="inlineStr">
        <is>
          <t>python, git, software development</t>
        </is>
      </c>
      <c r="R339" s="8" t="inlineStr">
        <is>
          <t>Graduate Software Developer remote</t>
        </is>
      </c>
      <c r="S339" s="19" t="n"/>
      <c r="T339" s="19" t="n"/>
      <c r="U339" s="14" t="n">
        <v>46191</v>
      </c>
      <c r="V339" s="7" t="n"/>
    </row>
    <row r="340" ht="28" customHeight="1">
      <c r="A340" s="12">
        <f>IF($L340="applied","Applied",IF($L340="interview","Interview",IF($L340="offer","Offer",IF($L340="rejected","Rejected",IF($L340="ignore","Ignore",IF($L340="archive","Archive",IF($L340="closed","Closed",IF($B340="","Unscored",IF(AND($B340&gt;=8,OR($H340="",$H340-TODAY()&lt;=14)),"P1 Apply",IF($B340&gt;=7,"P2 Strong",IF($B340&gt;=5,"P3 Maybe","P4 Low")))))))))))</f>
        <v/>
      </c>
      <c r="B340" s="13" t="n">
        <v>2.45</v>
      </c>
      <c r="C340" s="12" t="inlineStr">
        <is>
          <t>Senior/Lead</t>
        </is>
      </c>
      <c r="D340" s="8" t="inlineStr">
        <is>
          <t>Python Software Developer - Algos</t>
        </is>
      </c>
      <c r="E340" s="7" t="inlineStr">
        <is>
          <t>Playtech</t>
        </is>
      </c>
      <c r="F340" s="8" t="inlineStr">
        <is>
          <t>London, England, UK</t>
        </is>
      </c>
      <c r="G340" s="8" t="n"/>
      <c r="H340" s="14" t="n"/>
      <c r="I340" s="15">
        <f>IF($H340="","",$H340-TODAY())</f>
        <v/>
      </c>
      <c r="J340" s="16" t="inlineStr">
        <is>
          <t>Open posting</t>
        </is>
      </c>
      <c r="K340" s="8" t="n"/>
      <c r="L340" s="17" t="inlineStr">
        <is>
          <t>new</t>
        </is>
      </c>
      <c r="M340" s="18" t="inlineStr"/>
      <c r="N340" s="7" t="inlineStr">
        <is>
          <t>b86e96d738552fa05edf87bfd62ee0c82f5a4fdf</t>
        </is>
      </c>
      <c r="O340" s="14" t="n">
        <v>46175</v>
      </c>
      <c r="P340" s="7" t="inlineStr">
        <is>
          <t>jobspy</t>
        </is>
      </c>
      <c r="Q340" s="8" t="inlineStr">
        <is>
          <t>python, git</t>
        </is>
      </c>
      <c r="R340" s="8" t="inlineStr">
        <is>
          <t>Junior Python Developer</t>
        </is>
      </c>
      <c r="S340" s="19" t="n"/>
      <c r="T340" s="19" t="n"/>
      <c r="U340" s="14" t="n">
        <v>46191</v>
      </c>
      <c r="V340" s="7" t="n"/>
    </row>
    <row r="341" ht="28" customHeight="1">
      <c r="A341" s="12">
        <f>IF($L341="applied","Applied",IF($L341="interview","Interview",IF($L341="offer","Offer",IF($L341="rejected","Rejected",IF($L341="ignore","Ignore",IF($L341="archive","Archive",IF($L341="closed","Closed",IF($B341="","Unscored",IF(AND($B341&gt;=8,OR($H341="",$H341-TODAY()&lt;=14)),"P1 Apply",IF($B341&gt;=7,"P2 Strong",IF($B341&gt;=5,"P3 Maybe","P4 Low")))))))))))</f>
        <v/>
      </c>
      <c r="B341" s="13" t="n">
        <v>2.45</v>
      </c>
      <c r="C341" s="12" t="inlineStr">
        <is>
          <t>Unspecified</t>
        </is>
      </c>
      <c r="D341" s="8" t="inlineStr">
        <is>
          <t>Python Developer</t>
        </is>
      </c>
      <c r="E341" s="7" t="inlineStr">
        <is>
          <t>Acceler8 Talent</t>
        </is>
      </c>
      <c r="F341" s="8" t="inlineStr"/>
      <c r="G341" s="8" t="n"/>
      <c r="H341" s="14" t="n"/>
      <c r="I341" s="15">
        <f>IF($H341="","",$H341-TODAY())</f>
        <v/>
      </c>
      <c r="J341" s="16" t="inlineStr">
        <is>
          <t>Open posting</t>
        </is>
      </c>
      <c r="K341" s="8" t="n"/>
      <c r="L341" s="17" t="inlineStr">
        <is>
          <t>new</t>
        </is>
      </c>
      <c r="M341" s="18" t="inlineStr"/>
      <c r="N341" s="7" t="inlineStr">
        <is>
          <t>76dadc939b7a5ec153d5e042e4a8edbc6eefcec7</t>
        </is>
      </c>
      <c r="O341" s="14" t="n">
        <v>46189</v>
      </c>
      <c r="P341" s="7" t="inlineStr">
        <is>
          <t>jobspy</t>
        </is>
      </c>
      <c r="Q341" s="8" t="inlineStr">
        <is>
          <t>python, sql</t>
        </is>
      </c>
      <c r="R341" s="8" t="inlineStr">
        <is>
          <t>Junior Python Developer remote</t>
        </is>
      </c>
      <c r="S341" s="19" t="n"/>
      <c r="T341" s="19" t="n"/>
      <c r="U341" s="14" t="n">
        <v>46191</v>
      </c>
      <c r="V341" s="7" t="n"/>
    </row>
    <row r="342" ht="28" customHeight="1">
      <c r="A342" s="12">
        <f>IF($L342="applied","Applied",IF($L342="interview","Interview",IF($L342="offer","Offer",IF($L342="rejected","Rejected",IF($L342="ignore","Ignore",IF($L342="archive","Archive",IF($L342="closed","Closed",IF($B342="","Unscored",IF(AND($B342&gt;=8,OR($H342="",$H342-TODAY()&lt;=14)),"P1 Apply",IF($B342&gt;=7,"P2 Strong",IF($B342&gt;=5,"P3 Maybe","P4 Low")))))))))))</f>
        <v/>
      </c>
      <c r="B342" s="13" t="n">
        <v>2.45</v>
      </c>
      <c r="C342" s="12" t="inlineStr">
        <is>
          <t>Unspecified</t>
        </is>
      </c>
      <c r="D342" s="8" t="inlineStr">
        <is>
          <t>Python Developer</t>
        </is>
      </c>
      <c r="E342" s="7" t="inlineStr">
        <is>
          <t>Arcus Search</t>
        </is>
      </c>
      <c r="F342" s="8" t="inlineStr"/>
      <c r="G342" s="8" t="n"/>
      <c r="H342" s="14" t="n"/>
      <c r="I342" s="15">
        <f>IF($H342="","",$H342-TODAY())</f>
        <v/>
      </c>
      <c r="J342" s="16" t="inlineStr">
        <is>
          <t>Open posting</t>
        </is>
      </c>
      <c r="K342" s="8" t="n"/>
      <c r="L342" s="17" t="inlineStr">
        <is>
          <t>new</t>
        </is>
      </c>
      <c r="M342" s="18" t="inlineStr"/>
      <c r="N342" s="7" t="inlineStr">
        <is>
          <t>3892fab6299c189504665abaec9439b0e7491020</t>
        </is>
      </c>
      <c r="O342" s="14" t="n">
        <v>46174</v>
      </c>
      <c r="P342" s="7" t="inlineStr">
        <is>
          <t>jobspy</t>
        </is>
      </c>
      <c r="Q342" s="8" t="inlineStr">
        <is>
          <t>python, software development</t>
        </is>
      </c>
      <c r="R342" s="8" t="inlineStr">
        <is>
          <t>Junior Python Developer remote</t>
        </is>
      </c>
      <c r="S342" s="19" t="n"/>
      <c r="T342" s="19" t="n"/>
      <c r="U342" s="14" t="n">
        <v>46191</v>
      </c>
      <c r="V342" s="7" t="n"/>
    </row>
    <row r="343" ht="28" customHeight="1">
      <c r="A343" s="12">
        <f>IF($L343="applied","Applied",IF($L343="interview","Interview",IF($L343="offer","Offer",IF($L343="rejected","Rejected",IF($L343="ignore","Ignore",IF($L343="archive","Archive",IF($L343="closed","Closed",IF($B343="","Unscored",IF(AND($B343&gt;=8,OR($H343="",$H343-TODAY()&lt;=14)),"P1 Apply",IF($B343&gt;=7,"P2 Strong",IF($B343&gt;=5,"P3 Maybe","P4 Low")))))))))))</f>
        <v/>
      </c>
      <c r="B343" s="13" t="n">
        <v>2.45</v>
      </c>
      <c r="C343" s="12" t="inlineStr">
        <is>
          <t>Mid-level</t>
        </is>
      </c>
      <c r="D343" s="8" t="inlineStr">
        <is>
          <t>Full Stack PHP Developer – Mid-level</t>
        </is>
      </c>
      <c r="E343" s="7" t="inlineStr">
        <is>
          <t>LexisNexis Risk Solutions</t>
        </is>
      </c>
      <c r="F343" s="8" t="inlineStr">
        <is>
          <t>Cardiff, WLS, GB</t>
        </is>
      </c>
      <c r="G343" s="8" t="n"/>
      <c r="H343" s="14" t="n"/>
      <c r="I343" s="15">
        <f>IF($H343="","",$H343-TODAY())</f>
        <v/>
      </c>
      <c r="J343" s="16" t="inlineStr">
        <is>
          <t>Open posting</t>
        </is>
      </c>
      <c r="K343" s="8" t="n"/>
      <c r="L343" s="17" t="inlineStr">
        <is>
          <t>new</t>
        </is>
      </c>
      <c r="M343" s="18" t="inlineStr"/>
      <c r="N343" s="7" t="inlineStr">
        <is>
          <t>7f84977e8cfe61540348116b6f0369307038515a</t>
        </is>
      </c>
      <c r="O343" s="14" t="n">
        <v>46189</v>
      </c>
      <c r="P343" s="7" t="inlineStr">
        <is>
          <t>jobspy</t>
        </is>
      </c>
      <c r="Q343" s="8" t="inlineStr">
        <is>
          <t>python, git, software development</t>
        </is>
      </c>
      <c r="R343" s="8" t="inlineStr">
        <is>
          <t>Full Stack Developer</t>
        </is>
      </c>
      <c r="S343" s="19" t="n"/>
      <c r="T343" s="19" t="n"/>
      <c r="U343" s="14" t="n">
        <v>46191</v>
      </c>
      <c r="V343" s="7" t="n"/>
    </row>
    <row r="344" ht="28" customHeight="1">
      <c r="A344" s="12">
        <f>IF($L344="applied","Applied",IF($L344="interview","Interview",IF($L344="offer","Offer",IF($L344="rejected","Rejected",IF($L344="ignore","Ignore",IF($L344="archive","Archive",IF($L344="closed","Closed",IF($B344="","Unscored",IF(AND($B344&gt;=8,OR($H344="",$H344-TODAY()&lt;=14)),"P1 Apply",IF($B344&gt;=7,"P2 Strong",IF($B344&gt;=5,"P3 Maybe","P4 Low")))))))))))</f>
        <v/>
      </c>
      <c r="B344" s="13" t="n">
        <v>2.45</v>
      </c>
      <c r="C344" s="12" t="inlineStr">
        <is>
          <t>Mid-level</t>
        </is>
      </c>
      <c r="D344" s="8" t="inlineStr">
        <is>
          <t>Full Stack PHP Developer – Mid-level</t>
        </is>
      </c>
      <c r="E344" s="7" t="inlineStr">
        <is>
          <t>RELX Group</t>
        </is>
      </c>
      <c r="F344" s="8" t="inlineStr">
        <is>
          <t>Cardiff, WLS, GB</t>
        </is>
      </c>
      <c r="G344" s="8" t="n"/>
      <c r="H344" s="14" t="n"/>
      <c r="I344" s="15">
        <f>IF($H344="","",$H344-TODAY())</f>
        <v/>
      </c>
      <c r="J344" s="16" t="inlineStr">
        <is>
          <t>Open posting</t>
        </is>
      </c>
      <c r="K344" s="8" t="n"/>
      <c r="L344" s="17" t="inlineStr">
        <is>
          <t>new</t>
        </is>
      </c>
      <c r="M344" s="18" t="inlineStr"/>
      <c r="N344" s="7" t="inlineStr">
        <is>
          <t>bf0bb079184c4736efe6f0ad1740c2d8bf3921a4</t>
        </is>
      </c>
      <c r="O344" s="14" t="n">
        <v>46189</v>
      </c>
      <c r="P344" s="7" t="inlineStr">
        <is>
          <t>jobspy</t>
        </is>
      </c>
      <c r="Q344" s="8" t="inlineStr">
        <is>
          <t>python, git, software development</t>
        </is>
      </c>
      <c r="R344" s="8" t="inlineStr">
        <is>
          <t>Full Stack Developer</t>
        </is>
      </c>
      <c r="S344" s="19" t="n"/>
      <c r="T344" s="19" t="n"/>
      <c r="U344" s="14" t="n">
        <v>46191</v>
      </c>
      <c r="V344" s="7" t="n"/>
    </row>
    <row r="345" ht="28" customHeight="1">
      <c r="A345" s="12">
        <f>IF($L345="applied","Applied",IF($L345="interview","Interview",IF($L345="offer","Offer",IF($L345="rejected","Rejected",IF($L345="ignore","Ignore",IF($L345="archive","Archive",IF($L345="closed","Closed",IF($B345="","Unscored",IF(AND($B345&gt;=8,OR($H345="",$H345-TODAY()&lt;=14)),"P1 Apply",IF($B345&gt;=7,"P2 Strong",IF($B345&gt;=5,"P3 Maybe","P4 Low")))))))))))</f>
        <v/>
      </c>
      <c r="B345" s="13" t="n">
        <v>2.45</v>
      </c>
      <c r="C345" s="12" t="inlineStr">
        <is>
          <t>Mid-level</t>
        </is>
      </c>
      <c r="D345" s="8" t="inlineStr">
        <is>
          <t>Frontend Vue.js Developer (Data &amp; Dashboards)</t>
        </is>
      </c>
      <c r="E345" s="7" t="inlineStr">
        <is>
          <t>Urban Environments Ltd</t>
        </is>
      </c>
      <c r="F345" s="8" t="inlineStr">
        <is>
          <t>Brighton, ENG, GB</t>
        </is>
      </c>
      <c r="G345" s="8" t="n"/>
      <c r="H345" s="14" t="n"/>
      <c r="I345" s="15">
        <f>IF($H345="","",$H345-TODAY())</f>
        <v/>
      </c>
      <c r="J345" s="16" t="inlineStr">
        <is>
          <t>Open posting</t>
        </is>
      </c>
      <c r="K345" s="8" t="n"/>
      <c r="L345" s="17" t="inlineStr">
        <is>
          <t>new</t>
        </is>
      </c>
      <c r="M345" s="18" t="inlineStr"/>
      <c r="N345" s="7" t="inlineStr">
        <is>
          <t>105b40021437fe00fae0a18bfef472ed3b454b5c</t>
        </is>
      </c>
      <c r="O345" s="14" t="n">
        <v>46189</v>
      </c>
      <c r="P345" s="7" t="inlineStr">
        <is>
          <t>jobspy</t>
        </is>
      </c>
      <c r="Q345" s="8" t="inlineStr">
        <is>
          <t>javascript, rest apis, git</t>
        </is>
      </c>
      <c r="R345" s="8" t="inlineStr">
        <is>
          <t>Full Stack Developer</t>
        </is>
      </c>
      <c r="S345" s="19" t="n"/>
      <c r="T345" s="19" t="n"/>
      <c r="U345" s="14" t="n">
        <v>46191</v>
      </c>
      <c r="V345" s="7" t="n"/>
    </row>
    <row r="346" ht="28" customHeight="1">
      <c r="A346" s="12">
        <f>IF($L346="applied","Applied",IF($L346="interview","Interview",IF($L346="offer","Offer",IF($L346="rejected","Rejected",IF($L346="ignore","Ignore",IF($L346="archive","Archive",IF($L346="closed","Closed",IF($B346="","Unscored",IF(AND($B346&gt;=8,OR($H346="",$H346-TODAY()&lt;=14)),"P1 Apply",IF($B346&gt;=7,"P2 Strong",IF($B346&gt;=5,"P3 Maybe","P4 Low")))))))))))</f>
        <v/>
      </c>
      <c r="B346" s="13" t="n">
        <v>2.45</v>
      </c>
      <c r="C346" s="12" t="inlineStr">
        <is>
          <t>Senior/Lead</t>
        </is>
      </c>
      <c r="D346" s="8" t="inlineStr">
        <is>
          <t>Web Developer / Frontend Engineer</t>
        </is>
      </c>
      <c r="E346" s="7" t="inlineStr">
        <is>
          <t>hackajob</t>
        </is>
      </c>
      <c r="F346" s="8" t="inlineStr">
        <is>
          <t>London, England, UK</t>
        </is>
      </c>
      <c r="G346" s="8" t="n"/>
      <c r="H346" s="14" t="n"/>
      <c r="I346" s="15">
        <f>IF($H346="","",$H346-TODAY())</f>
        <v/>
      </c>
      <c r="J346" s="16" t="inlineStr">
        <is>
          <t>Open posting</t>
        </is>
      </c>
      <c r="K346" s="8" t="n"/>
      <c r="L346" s="17" t="inlineStr">
        <is>
          <t>new</t>
        </is>
      </c>
      <c r="M346" s="18" t="inlineStr"/>
      <c r="N346" s="7" t="inlineStr">
        <is>
          <t>c0d26f989ca9a21e150fd9c12f4bf71bbbda9bc6</t>
        </is>
      </c>
      <c r="O346" s="14" t="n">
        <v>46182</v>
      </c>
      <c r="P346" s="7" t="inlineStr">
        <is>
          <t>jobspy</t>
        </is>
      </c>
      <c r="Q346" s="8" t="inlineStr">
        <is>
          <t>javascript, git</t>
        </is>
      </c>
      <c r="R346" s="8" t="inlineStr">
        <is>
          <t>Full Stack Developer</t>
        </is>
      </c>
      <c r="S346" s="19" t="n"/>
      <c r="T346" s="19" t="n"/>
      <c r="U346" s="14" t="n">
        <v>46191</v>
      </c>
      <c r="V346" s="7" t="n"/>
    </row>
    <row r="347" ht="28" customHeight="1">
      <c r="A347" s="12">
        <f>IF($L347="applied","Applied",IF($L347="interview","Interview",IF($L347="offer","Offer",IF($L347="rejected","Rejected",IF($L347="ignore","Ignore",IF($L347="archive","Archive",IF($L347="closed","Closed",IF($B347="","Unscored",IF(AND($B347&gt;=8,OR($H347="",$H347-TODAY()&lt;=14)),"P1 Apply",IF($B347&gt;=7,"P2 Strong",IF($B347&gt;=5,"P3 Maybe","P4 Low")))))))))))</f>
        <v/>
      </c>
      <c r="B347" s="13" t="n">
        <v>2.45</v>
      </c>
      <c r="C347" s="12" t="inlineStr">
        <is>
          <t>Senior/Lead</t>
        </is>
      </c>
      <c r="D347" s="8" t="inlineStr">
        <is>
          <t>Javascript Developer</t>
        </is>
      </c>
      <c r="E347" s="7" t="inlineStr">
        <is>
          <t>Immersum</t>
        </is>
      </c>
      <c r="F347" s="8" t="inlineStr">
        <is>
          <t>London Area, United Kingdom</t>
        </is>
      </c>
      <c r="G347" s="8" t="n"/>
      <c r="H347" s="14" t="n"/>
      <c r="I347" s="15">
        <f>IF($H347="","",$H347-TODAY())</f>
        <v/>
      </c>
      <c r="J347" s="16" t="inlineStr">
        <is>
          <t>Open posting</t>
        </is>
      </c>
      <c r="K347" s="8" t="n"/>
      <c r="L347" s="17" t="inlineStr">
        <is>
          <t>new</t>
        </is>
      </c>
      <c r="M347" s="18" t="inlineStr"/>
      <c r="N347" s="7" t="inlineStr">
        <is>
          <t>355503f594ec22e397495e2ba56ce997f07e4989</t>
        </is>
      </c>
      <c r="O347" s="14" t="n">
        <v>46164</v>
      </c>
      <c r="P347" s="7" t="inlineStr">
        <is>
          <t>jobspy</t>
        </is>
      </c>
      <c r="Q347" s="8" t="inlineStr">
        <is>
          <t>sql, javascript, git</t>
        </is>
      </c>
      <c r="R347" s="8" t="inlineStr">
        <is>
          <t>junior Full Stack Developer</t>
        </is>
      </c>
      <c r="S347" s="19" t="n"/>
      <c r="T347" s="19" t="n"/>
      <c r="U347" s="14" t="n">
        <v>46191</v>
      </c>
      <c r="V347" s="7" t="n"/>
    </row>
    <row r="348" ht="28" customHeight="1">
      <c r="A348" s="12">
        <f>IF($L348="applied","Applied",IF($L348="interview","Interview",IF($L348="offer","Offer",IF($L348="rejected","Rejected",IF($L348="ignore","Ignore",IF($L348="archive","Archive",IF($L348="closed","Closed",IF($B348="","Unscored",IF(AND($B348&gt;=8,OR($H348="",$H348-TODAY()&lt;=14)),"P1 Apply",IF($B348&gt;=7,"P2 Strong",IF($B348&gt;=5,"P3 Maybe","P4 Low")))))))))))</f>
        <v/>
      </c>
      <c r="B348" s="13" t="n">
        <v>2.45</v>
      </c>
      <c r="C348" s="12" t="inlineStr">
        <is>
          <t>Unspecified</t>
        </is>
      </c>
      <c r="D348" s="8" t="inlineStr">
        <is>
          <t>Python开发</t>
        </is>
      </c>
      <c r="E348" s="7" t="inlineStr">
        <is>
          <t>南京临度医疗科技有限公司</t>
        </is>
      </c>
      <c r="F348" s="8" t="inlineStr">
        <is>
          <t>Nanjing, Jiangsu, China</t>
        </is>
      </c>
      <c r="G348" s="8" t="n"/>
      <c r="H348" s="14" t="n"/>
      <c r="I348" s="15">
        <f>IF($H348="","",$H348-TODAY())</f>
        <v/>
      </c>
      <c r="J348" s="16" t="inlineStr">
        <is>
          <t>Open posting</t>
        </is>
      </c>
      <c r="K348" s="8" t="n"/>
      <c r="L348" s="17" t="inlineStr">
        <is>
          <t>new</t>
        </is>
      </c>
      <c r="M348" s="18" t="inlineStr"/>
      <c r="N348" s="7" t="inlineStr">
        <is>
          <t>6c4ae9ff856a3395214e40f55fb97953600710dc</t>
        </is>
      </c>
      <c r="O348" s="14" t="n">
        <v>46171</v>
      </c>
      <c r="P348" s="7" t="inlineStr">
        <is>
          <t>jobspy</t>
        </is>
      </c>
      <c r="Q348" s="8" t="inlineStr">
        <is>
          <t>python, sql</t>
        </is>
      </c>
      <c r="R348" s="8" t="inlineStr">
        <is>
          <t>junior/graduate Junior Python Developer</t>
        </is>
      </c>
      <c r="S348" s="19" t="n"/>
      <c r="T348" s="19" t="n"/>
      <c r="U348" s="14" t="n">
        <v>46191</v>
      </c>
      <c r="V348" s="7" t="n"/>
    </row>
    <row r="349" ht="28" customHeight="1">
      <c r="A349" s="12">
        <f>IF($L349="applied","Applied",IF($L349="interview","Interview",IF($L349="offer","Offer",IF($L349="rejected","Rejected",IF($L349="ignore","Ignore",IF($L349="archive","Archive",IF($L349="closed","Closed",IF($B349="","Unscored",IF(AND($B349&gt;=8,OR($H349="",$H349-TODAY()&lt;=14)),"P1 Apply",IF($B349&gt;=7,"P2 Strong",IF($B349&gt;=5,"P3 Maybe","P4 Low")))))))))))</f>
        <v/>
      </c>
      <c r="B349" s="13" t="n">
        <v>2.45</v>
      </c>
      <c r="C349" s="12" t="inlineStr">
        <is>
          <t>Junior</t>
        </is>
      </c>
      <c r="D349" s="8" t="inlineStr">
        <is>
          <t>Full Stack Developer (PHP, Javascript &amp; AWS)</t>
        </is>
      </c>
      <c r="E349" s="7" t="inlineStr">
        <is>
          <t>Verion</t>
        </is>
      </c>
      <c r="F349" s="8" t="inlineStr">
        <is>
          <t>Mansfield, ENG, GB</t>
        </is>
      </c>
      <c r="G349" s="8" t="n"/>
      <c r="H349" s="14" t="n"/>
      <c r="I349" s="15">
        <f>IF($H349="","",$H349-TODAY())</f>
        <v/>
      </c>
      <c r="J349" s="16" t="inlineStr">
        <is>
          <t>Open posting</t>
        </is>
      </c>
      <c r="K349" s="8" t="n"/>
      <c r="L349" s="17" t="inlineStr">
        <is>
          <t>new</t>
        </is>
      </c>
      <c r="M349" s="18" t="inlineStr"/>
      <c r="N349" s="7" t="inlineStr">
        <is>
          <t>802b499404312f3d2aad9b6e8511db163438054b</t>
        </is>
      </c>
      <c r="O349" s="14" t="n">
        <v>46191</v>
      </c>
      <c r="P349" s="7" t="inlineStr">
        <is>
          <t>jobspy</t>
        </is>
      </c>
      <c r="Q349" s="8" t="inlineStr">
        <is>
          <t>javascript, git, software development</t>
        </is>
      </c>
      <c r="R349" s="8" t="inlineStr">
        <is>
          <t>Full Stack Developer</t>
        </is>
      </c>
      <c r="S349" s="19" t="n"/>
      <c r="T349" s="19" t="n"/>
      <c r="U349" s="14" t="n">
        <v>46191</v>
      </c>
      <c r="V349" s="7" t="n"/>
    </row>
    <row r="350" ht="28" customHeight="1">
      <c r="A350" s="12">
        <f>IF($L350="applied","Applied",IF($L350="interview","Interview",IF($L350="offer","Offer",IF($L350="rejected","Rejected",IF($L350="ignore","Ignore",IF($L350="archive","Archive",IF($L350="closed","Closed",IF($B350="","Unscored",IF(AND($B350&gt;=8,OR($H350="",$H350-TODAY()&lt;=14)),"P1 Apply",IF($B350&gt;=7,"P2 Strong",IF($B350&gt;=5,"P3 Maybe","P4 Low")))))))))))</f>
        <v/>
      </c>
      <c r="B350" s="13" t="n">
        <v>2.45</v>
      </c>
      <c r="C350" s="12" t="inlineStr">
        <is>
          <t>Junior</t>
        </is>
      </c>
      <c r="D350" s="8" t="inlineStr">
        <is>
          <t>Full Stack Engineer</t>
        </is>
      </c>
      <c r="E350" s="7" t="inlineStr">
        <is>
          <t>NearTech Search</t>
        </is>
      </c>
      <c r="F350" s="8" t="inlineStr">
        <is>
          <t>London Area, United Kingdom</t>
        </is>
      </c>
      <c r="G350" s="8" t="n"/>
      <c r="H350" s="14" t="n"/>
      <c r="I350" s="15">
        <f>IF($H350="","",$H350-TODAY())</f>
        <v/>
      </c>
      <c r="J350" s="16" t="inlineStr">
        <is>
          <t>Open posting</t>
        </is>
      </c>
      <c r="K350" s="8" t="n"/>
      <c r="L350" s="17" t="inlineStr">
        <is>
          <t>new</t>
        </is>
      </c>
      <c r="M350" s="18" t="inlineStr"/>
      <c r="N350" s="7" t="inlineStr">
        <is>
          <t>101381dfeefcb1b3cf465d591d3c4c4b758d47d3</t>
        </is>
      </c>
      <c r="O350" s="14" t="n">
        <v>46189</v>
      </c>
      <c r="P350" s="7" t="inlineStr">
        <is>
          <t>jobspy</t>
        </is>
      </c>
      <c r="Q350" s="8" t="inlineStr">
        <is>
          <t>sql, rest apis</t>
        </is>
      </c>
      <c r="R350" s="8" t="inlineStr">
        <is>
          <t>junior Full Stack Developer</t>
        </is>
      </c>
      <c r="S350" s="19" t="n"/>
      <c r="T350" s="19" t="n"/>
      <c r="U350" s="14" t="n">
        <v>46191</v>
      </c>
      <c r="V350" s="7" t="n"/>
    </row>
    <row r="351" ht="28" customHeight="1">
      <c r="A351" s="12">
        <f>IF($L351="applied","Applied",IF($L351="interview","Interview",IF($L351="offer","Offer",IF($L351="rejected","Rejected",IF($L351="ignore","Ignore",IF($L351="archive","Archive",IF($L351="closed","Closed",IF($B351="","Unscored",IF(AND($B351&gt;=8,OR($H351="",$H351-TODAY()&lt;=14)),"P1 Apply",IF($B351&gt;=7,"P2 Strong",IF($B351&gt;=5,"P3 Maybe","P4 Low")))))))))))</f>
        <v/>
      </c>
      <c r="B351" s="13" t="n">
        <v>2.45</v>
      </c>
      <c r="C351" s="12" t="inlineStr">
        <is>
          <t>Mid-level</t>
        </is>
      </c>
      <c r="D351" s="8" t="inlineStr">
        <is>
          <t>Full Stack Java Developer (Fixed-Term Contract)</t>
        </is>
      </c>
      <c r="E351" s="7" t="inlineStr">
        <is>
          <t>Broadridge</t>
        </is>
      </c>
      <c r="F351" s="8" t="inlineStr">
        <is>
          <t>London, ENG, GB</t>
        </is>
      </c>
      <c r="G351" s="8" t="n"/>
      <c r="H351" s="14" t="n"/>
      <c r="I351" s="15">
        <f>IF($H351="","",$H351-TODAY())</f>
        <v/>
      </c>
      <c r="J351" s="16" t="inlineStr">
        <is>
          <t>Open posting</t>
        </is>
      </c>
      <c r="K351" s="8" t="n"/>
      <c r="L351" s="17" t="inlineStr">
        <is>
          <t>new</t>
        </is>
      </c>
      <c r="M351" s="18" t="inlineStr"/>
      <c r="N351" s="7" t="inlineStr">
        <is>
          <t>dfecc19fc3ab1b51cd055c783bd4abc7d0d18932</t>
        </is>
      </c>
      <c r="O351" s="14" t="n">
        <v>46191</v>
      </c>
      <c r="P351" s="7" t="inlineStr">
        <is>
          <t>jobspy</t>
        </is>
      </c>
      <c r="Q351" s="8" t="inlineStr">
        <is>
          <t>sql, git, software development</t>
        </is>
      </c>
      <c r="R351" s="8" t="inlineStr">
        <is>
          <t>Full Stack Developer</t>
        </is>
      </c>
      <c r="S351" s="19" t="n"/>
      <c r="T351" s="19" t="n"/>
      <c r="U351" s="14" t="n">
        <v>46191</v>
      </c>
      <c r="V351" s="7" t="n"/>
    </row>
    <row r="352" ht="28" customHeight="1">
      <c r="A352" s="12">
        <f>IF($L352="applied","Applied",IF($L352="interview","Interview",IF($L352="offer","Offer",IF($L352="rejected","Rejected",IF($L352="ignore","Ignore",IF($L352="archive","Archive",IF($L352="closed","Closed",IF($B352="","Unscored",IF(AND($B352&gt;=8,OR($H352="",$H352-TODAY()&lt;=14)),"P1 Apply",IF($B352&gt;=7,"P2 Strong",IF($B352&gt;=5,"P3 Maybe","P4 Low")))))))))))</f>
        <v/>
      </c>
      <c r="B352" s="13" t="n">
        <v>2.24</v>
      </c>
      <c r="C352" s="12" t="inlineStr">
        <is>
          <t>Junior</t>
        </is>
      </c>
      <c r="D352" s="8" t="inlineStr">
        <is>
          <t>Junior Software Engineer</t>
        </is>
      </c>
      <c r="E352" s="7" t="inlineStr">
        <is>
          <t>Nixor</t>
        </is>
      </c>
      <c r="F352" s="8" t="inlineStr">
        <is>
          <t>Manchester Area, United Kingdom</t>
        </is>
      </c>
      <c r="G352" s="8" t="n"/>
      <c r="H352" s="14" t="n"/>
      <c r="I352" s="15">
        <f>IF($H352="","",$H352-TODAY())</f>
        <v/>
      </c>
      <c r="J352" s="16" t="inlineStr">
        <is>
          <t>Open posting</t>
        </is>
      </c>
      <c r="K352" s="8" t="n"/>
      <c r="L352" s="17" t="inlineStr">
        <is>
          <t>new</t>
        </is>
      </c>
      <c r="M352" s="18" t="inlineStr"/>
      <c r="N352" s="7" t="inlineStr">
        <is>
          <t>c31bd69c76493608502e8c5fcbc03c936f9f7939</t>
        </is>
      </c>
      <c r="O352" s="14" t="n">
        <v>46188</v>
      </c>
      <c r="P352" s="7" t="inlineStr">
        <is>
          <t>jobspy</t>
        </is>
      </c>
      <c r="Q352" s="8" t="inlineStr">
        <is>
          <t>sql, javascript</t>
        </is>
      </c>
      <c r="R352" s="8" t="inlineStr">
        <is>
          <t>junior Graduate Software Developer</t>
        </is>
      </c>
      <c r="S352" s="19" t="n"/>
      <c r="T352" s="19" t="n"/>
      <c r="U352" s="14" t="n">
        <v>46191</v>
      </c>
      <c r="V352" s="7" t="n"/>
    </row>
    <row r="353" ht="28" customHeight="1">
      <c r="A353" s="12">
        <f>IF($L353="applied","Applied",IF($L353="interview","Interview",IF($L353="offer","Offer",IF($L353="rejected","Rejected",IF($L353="ignore","Ignore",IF($L353="archive","Archive",IF($L353="closed","Closed",IF($B353="","Unscored",IF(AND($B353&gt;=8,OR($H353="",$H353-TODAY()&lt;=14)),"P1 Apply",IF($B353&gt;=7,"P2 Strong",IF($B353&gt;=5,"P3 Maybe","P4 Low")))))))))))</f>
        <v/>
      </c>
      <c r="B353" s="13" t="n">
        <v>2.24</v>
      </c>
      <c r="C353" s="12" t="inlineStr">
        <is>
          <t>Junior</t>
        </is>
      </c>
      <c r="D353" s="8" t="inlineStr">
        <is>
          <t>Junior Software Engineer</t>
        </is>
      </c>
      <c r="E353" s="7" t="inlineStr">
        <is>
          <t>Opus 2</t>
        </is>
      </c>
      <c r="F353" s="8" t="inlineStr">
        <is>
          <t>Edinburgh, Scotland, UK</t>
        </is>
      </c>
      <c r="G353" s="8" t="n"/>
      <c r="H353" s="14" t="n"/>
      <c r="I353" s="15">
        <f>IF($H353="","",$H353-TODAY())</f>
        <v/>
      </c>
      <c r="J353" s="16" t="inlineStr">
        <is>
          <t>Open posting</t>
        </is>
      </c>
      <c r="K353" s="8" t="n"/>
      <c r="L353" s="17" t="inlineStr">
        <is>
          <t>new</t>
        </is>
      </c>
      <c r="M353" s="18" t="inlineStr"/>
      <c r="N353" s="7" t="inlineStr">
        <is>
          <t>b14026dc8d09804d9f2a8cbcdb870d75497b24c4</t>
        </is>
      </c>
      <c r="O353" s="14" t="n">
        <v>46178</v>
      </c>
      <c r="P353" s="7" t="inlineStr">
        <is>
          <t>jobspy</t>
        </is>
      </c>
      <c r="Q353" s="8" t="inlineStr">
        <is>
          <t>python, git</t>
        </is>
      </c>
      <c r="R353" s="8" t="inlineStr">
        <is>
          <t>junior Graduate Software Developer</t>
        </is>
      </c>
      <c r="S353" s="19" t="n"/>
      <c r="T353" s="19" t="n"/>
      <c r="U353" s="14" t="n">
        <v>46191</v>
      </c>
      <c r="V353" s="7" t="n"/>
    </row>
    <row r="354" ht="28" customHeight="1">
      <c r="A354" s="12">
        <f>IF($L354="applied","Applied",IF($L354="interview","Interview",IF($L354="offer","Offer",IF($L354="rejected","Rejected",IF($L354="ignore","Ignore",IF($L354="archive","Archive",IF($L354="closed","Closed",IF($B354="","Unscored",IF(AND($B354&gt;=8,OR($H354="",$H354-TODAY()&lt;=14)),"P1 Apply",IF($B354&gt;=7,"P2 Strong",IF($B354&gt;=5,"P3 Maybe","P4 Low")))))))))))</f>
        <v/>
      </c>
      <c r="B354" s="13" t="n">
        <v>2.24</v>
      </c>
      <c r="C354" s="12" t="inlineStr">
        <is>
          <t>Graduate/Entry</t>
        </is>
      </c>
      <c r="D354" s="8" t="inlineStr">
        <is>
          <t>Graduate/ Junior Developer</t>
        </is>
      </c>
      <c r="E354" s="7" t="inlineStr">
        <is>
          <t>Heywood</t>
        </is>
      </c>
      <c r="F354" s="8" t="inlineStr">
        <is>
          <t>Altrincham, England, UK</t>
        </is>
      </c>
      <c r="G354" s="8" t="n"/>
      <c r="H354" s="14" t="n"/>
      <c r="I354" s="15">
        <f>IF($H354="","",$H354-TODAY())</f>
        <v/>
      </c>
      <c r="J354" s="16" t="inlineStr">
        <is>
          <t>Open posting</t>
        </is>
      </c>
      <c r="K354" s="8" t="n"/>
      <c r="L354" s="17" t="inlineStr">
        <is>
          <t>new</t>
        </is>
      </c>
      <c r="M354" s="18" t="inlineStr"/>
      <c r="N354" s="7" t="inlineStr">
        <is>
          <t>334eba1d8a04b8defbf0720b8fb93ee4f88c7ae2</t>
        </is>
      </c>
      <c r="O354" s="14" t="n">
        <v>46164</v>
      </c>
      <c r="P354" s="7" t="inlineStr">
        <is>
          <t>jobspy</t>
        </is>
      </c>
      <c r="Q354" s="8" t="inlineStr">
        <is>
          <t>git, software development</t>
        </is>
      </c>
      <c r="R354" s="8" t="inlineStr">
        <is>
          <t>junior Graduate Software Developer</t>
        </is>
      </c>
      <c r="S354" s="19" t="n"/>
      <c r="T354" s="19" t="n"/>
      <c r="U354" s="14" t="n">
        <v>46191</v>
      </c>
      <c r="V354" s="7" t="n"/>
    </row>
    <row r="355" ht="28" customHeight="1">
      <c r="A355" s="12">
        <f>IF($L355="applied","Applied",IF($L355="interview","Interview",IF($L355="offer","Offer",IF($L355="rejected","Rejected",IF($L355="ignore","Ignore",IF($L355="archive","Archive",IF($L355="closed","Closed",IF($B355="","Unscored",IF(AND($B355&gt;=8,OR($H355="",$H355-TODAY()&lt;=14)),"P1 Apply",IF($B355&gt;=7,"P2 Strong",IF($B355&gt;=5,"P3 Maybe","P4 Low")))))))))))</f>
        <v/>
      </c>
      <c r="B355" s="13" t="n">
        <v>2.24</v>
      </c>
      <c r="C355" s="12" t="inlineStr">
        <is>
          <t>Junior</t>
        </is>
      </c>
      <c r="D355" s="8" t="inlineStr">
        <is>
          <t>Software Engineer – Gloucester – National Security West</t>
        </is>
      </c>
      <c r="E355" s="7" t="inlineStr">
        <is>
          <t>BAE Systems</t>
        </is>
      </c>
      <c r="F355" s="8" t="inlineStr">
        <is>
          <t>Gloucester, ENG, GB</t>
        </is>
      </c>
      <c r="G355" s="8" t="n"/>
      <c r="H355" s="14" t="n"/>
      <c r="I355" s="15">
        <f>IF($H355="","",$H355-TODAY())</f>
        <v/>
      </c>
      <c r="J355" s="16" t="inlineStr">
        <is>
          <t>Open posting</t>
        </is>
      </c>
      <c r="K355" s="8" t="n"/>
      <c r="L355" s="17" t="inlineStr">
        <is>
          <t>new</t>
        </is>
      </c>
      <c r="M355" s="18" t="inlineStr"/>
      <c r="N355" s="7" t="inlineStr">
        <is>
          <t>bf02458ad91e7a692c9596f25d31fde86fa07e13</t>
        </is>
      </c>
      <c r="O355" s="14" t="n">
        <v>46182</v>
      </c>
      <c r="P355" s="7" t="inlineStr">
        <is>
          <t>jobspy</t>
        </is>
      </c>
      <c r="Q355" s="8" t="inlineStr">
        <is>
          <t>python, git</t>
        </is>
      </c>
      <c r="R355" s="8" t="inlineStr">
        <is>
          <t>Junior Python Developer</t>
        </is>
      </c>
      <c r="S355" s="19" t="n"/>
      <c r="T355" s="19" t="n"/>
      <c r="U355" s="14" t="n">
        <v>46191</v>
      </c>
      <c r="V355" s="7" t="n"/>
    </row>
    <row r="356" ht="28" customHeight="1">
      <c r="A356" s="12">
        <f>IF($L356="applied","Applied",IF($L356="interview","Interview",IF($L356="offer","Offer",IF($L356="rejected","Rejected",IF($L356="ignore","Ignore",IF($L356="archive","Archive",IF($L356="closed","Closed",IF($B356="","Unscored",IF(AND($B356&gt;=8,OR($H356="",$H356-TODAY()&lt;=14)),"P1 Apply",IF($B356&gt;=7,"P2 Strong",IF($B356&gt;=5,"P3 Maybe","P4 Low")))))))))))</f>
        <v/>
      </c>
      <c r="B356" s="13" t="n">
        <v>2.24</v>
      </c>
      <c r="C356" s="12" t="inlineStr">
        <is>
          <t>Unspecified</t>
        </is>
      </c>
      <c r="D356" s="8" t="inlineStr">
        <is>
          <t>Python Developer</t>
        </is>
      </c>
      <c r="E356" s="7" t="inlineStr">
        <is>
          <t>Global</t>
        </is>
      </c>
      <c r="F356" s="8" t="inlineStr">
        <is>
          <t>London, England, UK</t>
        </is>
      </c>
      <c r="G356" s="8" t="n"/>
      <c r="H356" s="14" t="n"/>
      <c r="I356" s="15">
        <f>IF($H356="","",$H356-TODAY())</f>
        <v/>
      </c>
      <c r="J356" s="16" t="inlineStr">
        <is>
          <t>Open posting</t>
        </is>
      </c>
      <c r="K356" s="8" t="n"/>
      <c r="L356" s="17" t="inlineStr">
        <is>
          <t>new</t>
        </is>
      </c>
      <c r="M356" s="18" t="inlineStr"/>
      <c r="N356" s="7" t="inlineStr">
        <is>
          <t>7be0c4cff00a4bdca35cd3b1ac2bc1e4696495c3</t>
        </is>
      </c>
      <c r="O356" s="14" t="n"/>
      <c r="P356" s="7" t="inlineStr">
        <is>
          <t>jobspy</t>
        </is>
      </c>
      <c r="Q356" s="8" t="inlineStr">
        <is>
          <t>python, git</t>
        </is>
      </c>
      <c r="R356" s="8" t="inlineStr">
        <is>
          <t>Junior Python Developer</t>
        </is>
      </c>
      <c r="S356" s="19" t="n"/>
      <c r="T356" s="19" t="n"/>
      <c r="U356" s="14" t="n">
        <v>46191</v>
      </c>
      <c r="V356" s="7" t="n"/>
    </row>
    <row r="357" ht="28" customHeight="1">
      <c r="A357" s="12">
        <f>IF($L357="applied","Applied",IF($L357="interview","Interview",IF($L357="offer","Offer",IF($L357="rejected","Rejected",IF($L357="ignore","Ignore",IF($L357="archive","Archive",IF($L357="closed","Closed",IF($B357="","Unscored",IF(AND($B357&gt;=8,OR($H357="",$H357-TODAY()&lt;=14)),"P1 Apply",IF($B357&gt;=7,"P2 Strong",IF($B357&gt;=5,"P3 Maybe","P4 Low")))))))))))</f>
        <v/>
      </c>
      <c r="B357" s="13" t="n">
        <v>2.24</v>
      </c>
      <c r="C357" s="12" t="inlineStr">
        <is>
          <t>Mid-level</t>
        </is>
      </c>
      <c r="D357" s="8" t="inlineStr">
        <is>
          <t>Software Engineer (Python/Data)</t>
        </is>
      </c>
      <c r="E357" s="7" t="inlineStr">
        <is>
          <t>YLD</t>
        </is>
      </c>
      <c r="F357" s="8" t="inlineStr"/>
      <c r="G357" s="8" t="n"/>
      <c r="H357" s="14" t="n"/>
      <c r="I357" s="15">
        <f>IF($H357="","",$H357-TODAY())</f>
        <v/>
      </c>
      <c r="J357" s="16" t="inlineStr">
        <is>
          <t>Open posting</t>
        </is>
      </c>
      <c r="K357" s="8" t="n"/>
      <c r="L357" s="17" t="inlineStr">
        <is>
          <t>new</t>
        </is>
      </c>
      <c r="M357" s="18" t="inlineStr"/>
      <c r="N357" s="7" t="inlineStr">
        <is>
          <t>0ee614ea0d5220f6f4a15033c2028f25411baeb5</t>
        </is>
      </c>
      <c r="O357" s="14" t="n">
        <v>46168</v>
      </c>
      <c r="P357" s="7" t="inlineStr">
        <is>
          <t>jobspy</t>
        </is>
      </c>
      <c r="Q357" s="8" t="inlineStr">
        <is>
          <t>python, git</t>
        </is>
      </c>
      <c r="R357" s="8" t="inlineStr">
        <is>
          <t>Junior Python Developer remote</t>
        </is>
      </c>
      <c r="S357" s="19" t="n"/>
      <c r="T357" s="19" t="n"/>
      <c r="U357" s="14" t="n">
        <v>46191</v>
      </c>
      <c r="V357" s="7" t="n"/>
    </row>
    <row r="358" ht="28" customHeight="1">
      <c r="A358" s="12">
        <f>IF($L358="applied","Applied",IF($L358="interview","Interview",IF($L358="offer","Offer",IF($L358="rejected","Rejected",IF($L358="ignore","Ignore",IF($L358="archive","Archive",IF($L358="closed","Closed",IF($B358="","Unscored",IF(AND($B358&gt;=8,OR($H358="",$H358-TODAY()&lt;=14)),"P1 Apply",IF($B358&gt;=7,"P2 Strong",IF($B358&gt;=5,"P3 Maybe","P4 Low")))))))))))</f>
        <v/>
      </c>
      <c r="B358" s="13" t="n">
        <v>2.24</v>
      </c>
      <c r="C358" s="12" t="inlineStr">
        <is>
          <t>Junior</t>
        </is>
      </c>
      <c r="D358" s="8" t="inlineStr">
        <is>
          <t>Full Stack Developer</t>
        </is>
      </c>
      <c r="E358" s="7" t="inlineStr">
        <is>
          <t>Whitestores LTD</t>
        </is>
      </c>
      <c r="F358" s="8" t="inlineStr">
        <is>
          <t>Wickford North, ENG, GB</t>
        </is>
      </c>
      <c r="G358" s="8" t="n"/>
      <c r="H358" s="14" t="n"/>
      <c r="I358" s="15">
        <f>IF($H358="","",$H358-TODAY())</f>
        <v/>
      </c>
      <c r="J358" s="16" t="inlineStr">
        <is>
          <t>Open posting</t>
        </is>
      </c>
      <c r="K358" s="8" t="n"/>
      <c r="L358" s="17" t="inlineStr">
        <is>
          <t>new</t>
        </is>
      </c>
      <c r="M358" s="18" t="inlineStr"/>
      <c r="N358" s="7" t="inlineStr">
        <is>
          <t>e25b24143af0443c95a7c11735f6e326861b2907</t>
        </is>
      </c>
      <c r="O358" s="14" t="n">
        <v>46190</v>
      </c>
      <c r="P358" s="7" t="inlineStr">
        <is>
          <t>jobspy</t>
        </is>
      </c>
      <c r="Q358" s="8" t="inlineStr">
        <is>
          <t>javascript, git</t>
        </is>
      </c>
      <c r="R358" s="8" t="inlineStr">
        <is>
          <t>Full Stack Developer</t>
        </is>
      </c>
      <c r="S358" s="19" t="n"/>
      <c r="T358" s="19" t="n"/>
      <c r="U358" s="14" t="n">
        <v>46191</v>
      </c>
      <c r="V358" s="7" t="n"/>
    </row>
    <row r="359" ht="28" customHeight="1">
      <c r="A359" s="12">
        <f>IF($L359="applied","Applied",IF($L359="interview","Interview",IF($L359="offer","Offer",IF($L359="rejected","Rejected",IF($L359="ignore","Ignore",IF($L359="archive","Archive",IF($L359="closed","Closed",IF($B359="","Unscored",IF(AND($B359&gt;=8,OR($H359="",$H359-TODAY()&lt;=14)),"P1 Apply",IF($B359&gt;=7,"P2 Strong",IF($B359&gt;=5,"P3 Maybe","P4 Low")))))))))))</f>
        <v/>
      </c>
      <c r="B359" s="13" t="n">
        <v>2.24</v>
      </c>
      <c r="C359" s="12" t="inlineStr">
        <is>
          <t>Unspecified</t>
        </is>
      </c>
      <c r="D359" s="8" t="inlineStr">
        <is>
          <t>DevOps Engineer</t>
        </is>
      </c>
      <c r="E359" s="7" t="inlineStr">
        <is>
          <t>iSAM Securities</t>
        </is>
      </c>
      <c r="F359" s="8" t="inlineStr">
        <is>
          <t>London, ENG, GB</t>
        </is>
      </c>
      <c r="G359" s="8" t="n"/>
      <c r="H359" s="14" t="n"/>
      <c r="I359" s="15">
        <f>IF($H359="","",$H359-TODAY())</f>
        <v/>
      </c>
      <c r="J359" s="16" t="inlineStr">
        <is>
          <t>Open posting</t>
        </is>
      </c>
      <c r="K359" s="8" t="n"/>
      <c r="L359" s="17" t="inlineStr">
        <is>
          <t>new</t>
        </is>
      </c>
      <c r="M359" s="18" t="inlineStr"/>
      <c r="N359" s="7" t="inlineStr">
        <is>
          <t>f75ffd104cf7806f6f2d14af57ab9c74e7edb2f7</t>
        </is>
      </c>
      <c r="O359" s="14" t="n">
        <v>46190</v>
      </c>
      <c r="P359" s="7" t="inlineStr">
        <is>
          <t>jobspy</t>
        </is>
      </c>
      <c r="Q359" s="8" t="inlineStr">
        <is>
          <t>python, git</t>
        </is>
      </c>
      <c r="R359" s="8" t="inlineStr">
        <is>
          <t>Full Stack Developer</t>
        </is>
      </c>
      <c r="S359" s="19" t="n"/>
      <c r="T359" s="19" t="n"/>
      <c r="U359" s="14" t="n">
        <v>46191</v>
      </c>
      <c r="V359" s="7" t="n"/>
    </row>
    <row r="360" ht="28" customHeight="1">
      <c r="A360" s="12">
        <f>IF($L360="applied","Applied",IF($L360="interview","Interview",IF($L360="offer","Offer",IF($L360="rejected","Rejected",IF($L360="ignore","Ignore",IF($L360="archive","Archive",IF($L360="closed","Closed",IF($B360="","Unscored",IF(AND($B360&gt;=8,OR($H360="",$H360-TODAY()&lt;=14)),"P1 Apply",IF($B360&gt;=7,"P2 Strong",IF($B360&gt;=5,"P3 Maybe","P4 Low")))))))))))</f>
        <v/>
      </c>
      <c r="B360" s="13" t="n">
        <v>2.24</v>
      </c>
      <c r="C360" s="12" t="inlineStr">
        <is>
          <t>Mid-level</t>
        </is>
      </c>
      <c r="D360" s="8" t="inlineStr">
        <is>
          <t>.NET Developer</t>
        </is>
      </c>
      <c r="E360" s="7" t="inlineStr">
        <is>
          <t>Noir</t>
        </is>
      </c>
      <c r="F360" s="8" t="inlineStr">
        <is>
          <t>Sheffield, England, UK</t>
        </is>
      </c>
      <c r="G360" s="8" t="n"/>
      <c r="H360" s="14" t="n"/>
      <c r="I360" s="15">
        <f>IF($H360="","",$H360-TODAY())</f>
        <v/>
      </c>
      <c r="J360" s="16" t="inlineStr">
        <is>
          <t>Open posting</t>
        </is>
      </c>
      <c r="K360" s="8" t="n"/>
      <c r="L360" s="17" t="inlineStr">
        <is>
          <t>new</t>
        </is>
      </c>
      <c r="M360" s="18" t="inlineStr"/>
      <c r="N360" s="7" t="inlineStr">
        <is>
          <t>6855720c0f016adf86e8ab330aacfe12f9e226d3</t>
        </is>
      </c>
      <c r="O360" s="14" t="n">
        <v>46184</v>
      </c>
      <c r="P360" s="7" t="inlineStr">
        <is>
          <t>jobspy</t>
        </is>
      </c>
      <c r="Q360" s="8" t="inlineStr">
        <is>
          <t>sql, javascript, git</t>
        </is>
      </c>
      <c r="R360" s="8" t="inlineStr">
        <is>
          <t>Full Stack Developer Sheffield</t>
        </is>
      </c>
      <c r="S360" s="19" t="n"/>
      <c r="T360" s="19" t="n"/>
      <c r="U360" s="14" t="n">
        <v>46191</v>
      </c>
      <c r="V360" s="7" t="n"/>
    </row>
    <row r="361" ht="28" customHeight="1">
      <c r="A361" s="12">
        <f>IF($L361="applied","Applied",IF($L361="interview","Interview",IF($L361="offer","Offer",IF($L361="rejected","Rejected",IF($L361="ignore","Ignore",IF($L361="archive","Archive",IF($L361="closed","Closed",IF($B361="","Unscored",IF(AND($B361&gt;=8,OR($H361="",$H361-TODAY()&lt;=14)),"P1 Apply",IF($B361&gt;=7,"P2 Strong",IF($B361&gt;=5,"P3 Maybe","P4 Low")))))))))))</f>
        <v/>
      </c>
      <c r="B361" s="13" t="n">
        <v>2.24</v>
      </c>
      <c r="C361" s="12" t="inlineStr">
        <is>
          <t>Mid-level</t>
        </is>
      </c>
      <c r="D361" s="8" t="inlineStr">
        <is>
          <t>Full Stack Developer</t>
        </is>
      </c>
      <c r="E361" s="7" t="inlineStr">
        <is>
          <t>Computappoint</t>
        </is>
      </c>
      <c r="F361" s="8" t="inlineStr">
        <is>
          <t>London Area, United Kingdom</t>
        </is>
      </c>
      <c r="G361" s="8" t="n"/>
      <c r="H361" s="14" t="n"/>
      <c r="I361" s="15">
        <f>IF($H361="","",$H361-TODAY())</f>
        <v/>
      </c>
      <c r="J361" s="16" t="inlineStr">
        <is>
          <t>Open posting</t>
        </is>
      </c>
      <c r="K361" s="8" t="n"/>
      <c r="L361" s="17" t="inlineStr">
        <is>
          <t>new</t>
        </is>
      </c>
      <c r="M361" s="18" t="inlineStr"/>
      <c r="N361" s="7" t="inlineStr">
        <is>
          <t>6d5067a711b55eceecc0e2956b6e1cf05bba4f45</t>
        </is>
      </c>
      <c r="O361" s="14" t="n">
        <v>46170</v>
      </c>
      <c r="P361" s="7" t="inlineStr">
        <is>
          <t>jobspy</t>
        </is>
      </c>
      <c r="Q361" s="8" t="inlineStr">
        <is>
          <t>javascript, git</t>
        </is>
      </c>
      <c r="R361" s="8" t="inlineStr">
        <is>
          <t>Full Stack Developer</t>
        </is>
      </c>
      <c r="S361" s="19" t="n"/>
      <c r="T361" s="19" t="n"/>
      <c r="U361" s="14" t="n">
        <v>46191</v>
      </c>
      <c r="V361" s="7" t="n"/>
    </row>
    <row r="362" ht="28" customHeight="1">
      <c r="A362" s="12">
        <f>IF($L362="applied","Applied",IF($L362="interview","Interview",IF($L362="offer","Offer",IF($L362="rejected","Rejected",IF($L362="ignore","Ignore",IF($L362="archive","Archive",IF($L362="closed","Closed",IF($B362="","Unscored",IF(AND($B362&gt;=8,OR($H362="",$H362-TODAY()&lt;=14)),"P1 Apply",IF($B362&gt;=7,"P2 Strong",IF($B362&gt;=5,"P3 Maybe","P4 Low")))))))))))</f>
        <v/>
      </c>
      <c r="B362" s="13" t="n">
        <v>2.24</v>
      </c>
      <c r="C362" s="12" t="inlineStr">
        <is>
          <t>Graduate/Entry</t>
        </is>
      </c>
      <c r="D362" s="8" t="inlineStr">
        <is>
          <t>Graduate Software Engineer</t>
        </is>
      </c>
      <c r="E362" s="7" t="inlineStr">
        <is>
          <t>Ebury</t>
        </is>
      </c>
      <c r="F362" s="8" t="inlineStr">
        <is>
          <t>London, England, UK</t>
        </is>
      </c>
      <c r="G362" s="8" t="n"/>
      <c r="H362" s="14" t="n"/>
      <c r="I362" s="15">
        <f>IF($H362="","",$H362-TODAY())</f>
        <v/>
      </c>
      <c r="J362" s="16" t="inlineStr">
        <is>
          <t>Open posting</t>
        </is>
      </c>
      <c r="K362" s="8" t="n"/>
      <c r="L362" s="17" t="inlineStr">
        <is>
          <t>new</t>
        </is>
      </c>
      <c r="M362" s="18" t="inlineStr"/>
      <c r="N362" s="7" t="inlineStr">
        <is>
          <t>19ce14cbc4be2b6ec8109e01e83585d167713f98</t>
        </is>
      </c>
      <c r="O362" s="14" t="n">
        <v>46177</v>
      </c>
      <c r="P362" s="7" t="inlineStr">
        <is>
          <t>jobspy</t>
        </is>
      </c>
      <c r="Q362" s="8" t="inlineStr">
        <is>
          <t>python, software development</t>
        </is>
      </c>
      <c r="R362" s="8" t="inlineStr">
        <is>
          <t>Graduate Software Developer</t>
        </is>
      </c>
      <c r="S362" s="19" t="n"/>
      <c r="T362" s="19" t="n"/>
      <c r="U362" s="14" t="n">
        <v>46191</v>
      </c>
      <c r="V362" s="7" t="n"/>
    </row>
    <row r="363" ht="28" customHeight="1">
      <c r="A363" s="12">
        <f>IF($L363="applied","Applied",IF($L363="interview","Interview",IF($L363="offer","Offer",IF($L363="rejected","Rejected",IF($L363="ignore","Ignore",IF($L363="archive","Archive",IF($L363="closed","Closed",IF($B363="","Unscored",IF(AND($B363&gt;=8,OR($H363="",$H363-TODAY()&lt;=14)),"P1 Apply",IF($B363&gt;=7,"P2 Strong",IF($B363&gt;=5,"P3 Maybe","P4 Low")))))))))))</f>
        <v/>
      </c>
      <c r="B363" s="13" t="n">
        <v>2.24</v>
      </c>
      <c r="C363" s="12" t="inlineStr">
        <is>
          <t>Graduate/Entry</t>
        </is>
      </c>
      <c r="D363" s="8" t="inlineStr">
        <is>
          <t>Graduate Software Engineer</t>
        </is>
      </c>
      <c r="E363" s="7" t="inlineStr">
        <is>
          <t>Neat</t>
        </is>
      </c>
      <c r="F363" s="8" t="inlineStr">
        <is>
          <t>Cambridge, England, UK</t>
        </is>
      </c>
      <c r="G363" s="8" t="n"/>
      <c r="H363" s="14" t="n"/>
      <c r="I363" s="15">
        <f>IF($H363="","",$H363-TODAY())</f>
        <v/>
      </c>
      <c r="J363" s="16" t="inlineStr">
        <is>
          <t>Open posting</t>
        </is>
      </c>
      <c r="K363" s="8" t="n"/>
      <c r="L363" s="17" t="inlineStr">
        <is>
          <t>new</t>
        </is>
      </c>
      <c r="M363" s="18" t="inlineStr"/>
      <c r="N363" s="7" t="inlineStr">
        <is>
          <t>eebad66239455e12ae3af1c86229cb9df378c1a9</t>
        </is>
      </c>
      <c r="O363" s="14" t="n">
        <v>46173</v>
      </c>
      <c r="P363" s="7" t="inlineStr">
        <is>
          <t>jobspy</t>
        </is>
      </c>
      <c r="Q363" s="8" t="inlineStr">
        <is>
          <t>python, web development</t>
        </is>
      </c>
      <c r="R363" s="8" t="inlineStr">
        <is>
          <t>graduate Graduate Software Developer</t>
        </is>
      </c>
      <c r="S363" s="19" t="n"/>
      <c r="T363" s="19" t="n"/>
      <c r="U363" s="14" t="n">
        <v>46191</v>
      </c>
      <c r="V363" s="7" t="n"/>
    </row>
    <row r="364" ht="28" customHeight="1">
      <c r="A364" s="12">
        <f>IF($L364="applied","Applied",IF($L364="interview","Interview",IF($L364="offer","Offer",IF($L364="rejected","Rejected",IF($L364="ignore","Ignore",IF($L364="archive","Archive",IF($L364="closed","Closed",IF($B364="","Unscored",IF(AND($B364&gt;=8,OR($H364="",$H364-TODAY()&lt;=14)),"P1 Apply",IF($B364&gt;=7,"P2 Strong",IF($B364&gt;=5,"P3 Maybe","P4 Low")))))))))))</f>
        <v/>
      </c>
      <c r="B364" s="13" t="n">
        <v>2.24</v>
      </c>
      <c r="C364" s="12" t="inlineStr">
        <is>
          <t>Unspecified</t>
        </is>
      </c>
      <c r="D364" s="8" t="inlineStr">
        <is>
          <t>Fullstack Developer</t>
        </is>
      </c>
      <c r="E364" s="7" t="inlineStr">
        <is>
          <t>iO Associates</t>
        </is>
      </c>
      <c r="F364" s="8" t="inlineStr">
        <is>
          <t>Bristol, England, UK</t>
        </is>
      </c>
      <c r="G364" s="8" t="n"/>
      <c r="H364" s="14" t="n"/>
      <c r="I364" s="15">
        <f>IF($H364="","",$H364-TODAY())</f>
        <v/>
      </c>
      <c r="J364" s="16" t="inlineStr">
        <is>
          <t>Open posting</t>
        </is>
      </c>
      <c r="K364" s="8" t="n"/>
      <c r="L364" s="17" t="inlineStr">
        <is>
          <t>new</t>
        </is>
      </c>
      <c r="M364" s="18" t="inlineStr"/>
      <c r="N364" s="7" t="inlineStr">
        <is>
          <t>6e5bfe545f09c1a7ce91d6d2fae3474768788658</t>
        </is>
      </c>
      <c r="O364" s="14" t="n">
        <v>46190</v>
      </c>
      <c r="P364" s="7" t="inlineStr">
        <is>
          <t>jobspy</t>
        </is>
      </c>
      <c r="Q364" s="8" t="inlineStr">
        <is>
          <t>python, software development</t>
        </is>
      </c>
      <c r="R364" s="8" t="inlineStr">
        <is>
          <t>Full Stack Developer</t>
        </is>
      </c>
      <c r="S364" s="19" t="n"/>
      <c r="T364" s="19" t="n"/>
      <c r="U364" s="14" t="n">
        <v>46191</v>
      </c>
      <c r="V364" s="7" t="n"/>
    </row>
    <row r="365" ht="28" customHeight="1">
      <c r="A365" s="12">
        <f>IF($L365="applied","Applied",IF($L365="interview","Interview",IF($L365="offer","Offer",IF($L365="rejected","Rejected",IF($L365="ignore","Ignore",IF($L365="archive","Archive",IF($L365="closed","Closed",IF($B365="","Unscored",IF(AND($B365&gt;=8,OR($H365="",$H365-TODAY()&lt;=14)),"P1 Apply",IF($B365&gt;=7,"P2 Strong",IF($B365&gt;=5,"P3 Maybe","P4 Low")))))))))))</f>
        <v/>
      </c>
      <c r="B365" s="13" t="n">
        <v>2.24</v>
      </c>
      <c r="C365" s="12" t="inlineStr">
        <is>
          <t>Junior</t>
        </is>
      </c>
      <c r="D365" s="8" t="inlineStr">
        <is>
          <t>Full Stack Developer</t>
        </is>
      </c>
      <c r="E365" s="7" t="inlineStr">
        <is>
          <t>Global 4</t>
        </is>
      </c>
      <c r="F365" s="8" t="inlineStr">
        <is>
          <t>Fareham, England, UK</t>
        </is>
      </c>
      <c r="G365" s="8" t="n"/>
      <c r="H365" s="14" t="n"/>
      <c r="I365" s="15">
        <f>IF($H365="","",$H365-TODAY())</f>
        <v/>
      </c>
      <c r="J365" s="16" t="inlineStr">
        <is>
          <t>Open posting</t>
        </is>
      </c>
      <c r="K365" s="8" t="n"/>
      <c r="L365" s="17" t="inlineStr">
        <is>
          <t>new</t>
        </is>
      </c>
      <c r="M365" s="18" t="inlineStr"/>
      <c r="N365" s="7" t="inlineStr">
        <is>
          <t>3319b16fba7d4ac4c723ec3a8d03d0c79d5070fa</t>
        </is>
      </c>
      <c r="O365" s="14" t="n">
        <v>46181</v>
      </c>
      <c r="P365" s="7" t="inlineStr">
        <is>
          <t>jobspy</t>
        </is>
      </c>
      <c r="Q365" s="8" t="inlineStr">
        <is>
          <t>git</t>
        </is>
      </c>
      <c r="R365" s="8" t="inlineStr">
        <is>
          <t>Full Stack Developer</t>
        </is>
      </c>
      <c r="S365" s="19" t="n"/>
      <c r="T365" s="19" t="n"/>
      <c r="U365" s="14" t="n">
        <v>46191</v>
      </c>
      <c r="V365" s="7" t="n"/>
    </row>
    <row r="366" ht="28" customHeight="1">
      <c r="A366" s="12">
        <f>IF($L366="applied","Applied",IF($L366="interview","Interview",IF($L366="offer","Offer",IF($L366="rejected","Rejected",IF($L366="ignore","Ignore",IF($L366="archive","Archive",IF($L366="closed","Closed",IF($B366="","Unscored",IF(AND($B366&gt;=8,OR($H366="",$H366-TODAY()&lt;=14)),"P1 Apply",IF($B366&gt;=7,"P2 Strong",IF($B366&gt;=5,"P3 Maybe","P4 Low")))))))))))</f>
        <v/>
      </c>
      <c r="B366" s="13" t="n">
        <v>2.24</v>
      </c>
      <c r="C366" s="12" t="inlineStr">
        <is>
          <t>Senior/Lead</t>
        </is>
      </c>
      <c r="D366" s="8" t="inlineStr">
        <is>
          <t>Full-Stack Web Developer (Website Development)</t>
        </is>
      </c>
      <c r="E366" s="7" t="inlineStr">
        <is>
          <t>Moneycorp</t>
        </is>
      </c>
      <c r="F366" s="8" t="inlineStr">
        <is>
          <t>London Area, United Kingdom</t>
        </is>
      </c>
      <c r="G366" s="8" t="n"/>
      <c r="H366" s="14" t="n"/>
      <c r="I366" s="15">
        <f>IF($H366="","",$H366-TODAY())</f>
        <v/>
      </c>
      <c r="J366" s="16" t="inlineStr">
        <is>
          <t>Open posting</t>
        </is>
      </c>
      <c r="K366" s="8" t="n"/>
      <c r="L366" s="17" t="inlineStr">
        <is>
          <t>new</t>
        </is>
      </c>
      <c r="M366" s="18" t="inlineStr"/>
      <c r="N366" s="7" t="inlineStr">
        <is>
          <t>e194a30cd32efcfdda218513b8238ce523ef0e47</t>
        </is>
      </c>
      <c r="O366" s="14" t="n">
        <v>46189</v>
      </c>
      <c r="P366" s="7" t="inlineStr">
        <is>
          <t>jobspy</t>
        </is>
      </c>
      <c r="Q366" s="8" t="inlineStr">
        <is>
          <t>javascript, git, web development</t>
        </is>
      </c>
      <c r="R366" s="8" t="inlineStr">
        <is>
          <t>junior Full Stack Developer</t>
        </is>
      </c>
      <c r="S366" s="19" t="n"/>
      <c r="T366" s="19" t="n"/>
      <c r="U366" s="14" t="n">
        <v>46191</v>
      </c>
      <c r="V366" s="7" t="n"/>
    </row>
    <row r="367" ht="28" customHeight="1">
      <c r="A367" s="12">
        <f>IF($L367="applied","Applied",IF($L367="interview","Interview",IF($L367="offer","Offer",IF($L367="rejected","Rejected",IF($L367="ignore","Ignore",IF($L367="archive","Archive",IF($L367="closed","Closed",IF($B367="","Unscored",IF(AND($B367&gt;=8,OR($H367="",$H367-TODAY()&lt;=14)),"P1 Apply",IF($B367&gt;=7,"P2 Strong",IF($B367&gt;=5,"P3 Maybe","P4 Low")))))))))))</f>
        <v/>
      </c>
      <c r="B367" s="13" t="n">
        <v>2.24</v>
      </c>
      <c r="C367" s="12" t="inlineStr">
        <is>
          <t>Mid-level</t>
        </is>
      </c>
      <c r="D367" s="8" t="inlineStr">
        <is>
          <t>.NET Developer</t>
        </is>
      </c>
      <c r="E367" s="7" t="inlineStr">
        <is>
          <t>Noir</t>
        </is>
      </c>
      <c r="F367" s="8" t="inlineStr">
        <is>
          <t>Sheffield, England, UK</t>
        </is>
      </c>
      <c r="G367" s="8" t="n"/>
      <c r="H367" s="14" t="n"/>
      <c r="I367" s="15">
        <f>IF($H367="","",$H367-TODAY())</f>
        <v/>
      </c>
      <c r="J367" s="16" t="inlineStr">
        <is>
          <t>Open posting</t>
        </is>
      </c>
      <c r="K367" s="8" t="n"/>
      <c r="L367" s="17" t="inlineStr">
        <is>
          <t>new</t>
        </is>
      </c>
      <c r="M367" s="18" t="inlineStr"/>
      <c r="N367" s="7" t="inlineStr">
        <is>
          <t>1d8ac05cf1241c6fb7076c770eefeab81571689a</t>
        </is>
      </c>
      <c r="O367" s="14" t="n"/>
      <c r="P367" s="7" t="inlineStr">
        <is>
          <t>jobspy</t>
        </is>
      </c>
      <c r="Q367" s="8" t="inlineStr">
        <is>
          <t>sql, javascript, git</t>
        </is>
      </c>
      <c r="R367" s="8" t="inlineStr">
        <is>
          <t>Full Stack Developer Sheffield</t>
        </is>
      </c>
      <c r="S367" s="19" t="n"/>
      <c r="T367" s="19" t="n"/>
      <c r="U367" s="14" t="n">
        <v>46191</v>
      </c>
      <c r="V367" s="7" t="n"/>
    </row>
    <row r="368" ht="28" customHeight="1">
      <c r="A368" s="12">
        <f>IF($L368="applied","Applied",IF($L368="interview","Interview",IF($L368="offer","Offer",IF($L368="rejected","Rejected",IF($L368="ignore","Ignore",IF($L368="archive","Archive",IF($L368="closed","Closed",IF($B368="","Unscored",IF(AND($B368&gt;=8,OR($H368="",$H368-TODAY()&lt;=14)),"P1 Apply",IF($B368&gt;=7,"P2 Strong",IF($B368&gt;=5,"P3 Maybe","P4 Low")))))))))))</f>
        <v/>
      </c>
      <c r="B368" s="13" t="n">
        <v>2.24</v>
      </c>
      <c r="C368" s="12" t="inlineStr">
        <is>
          <t>Graduate/Entry</t>
        </is>
      </c>
      <c r="D368" s="8" t="inlineStr">
        <is>
          <t>Graduate Software Engineer</t>
        </is>
      </c>
      <c r="E368" s="7" t="inlineStr">
        <is>
          <t>LexisNexis Risk Solutions</t>
        </is>
      </c>
      <c r="F368" s="8" t="inlineStr">
        <is>
          <t>Cardiff, Wales, UK</t>
        </is>
      </c>
      <c r="G368" s="8" t="n"/>
      <c r="H368" s="14" t="n"/>
      <c r="I368" s="15">
        <f>IF($H368="","",$H368-TODAY())</f>
        <v/>
      </c>
      <c r="J368" s="16" t="inlineStr">
        <is>
          <t>Open posting</t>
        </is>
      </c>
      <c r="K368" s="8" t="n"/>
      <c r="L368" s="17" t="inlineStr">
        <is>
          <t>new</t>
        </is>
      </c>
      <c r="M368" s="18" t="inlineStr"/>
      <c r="N368" s="7" t="inlineStr">
        <is>
          <t>673b8aeafc79ef20981cf516fc75bf9ef2c92c25</t>
        </is>
      </c>
      <c r="O368" s="14" t="n">
        <v>46184</v>
      </c>
      <c r="P368" s="7" t="inlineStr">
        <is>
          <t>jobspy</t>
        </is>
      </c>
      <c r="Q368" s="8" t="inlineStr">
        <is>
          <t>python, git, software development</t>
        </is>
      </c>
      <c r="R368" s="8" t="inlineStr">
        <is>
          <t>entry level Full Stack Developer</t>
        </is>
      </c>
      <c r="S368" s="19" t="n"/>
      <c r="T368" s="19" t="n"/>
      <c r="U368" s="14" t="n">
        <v>46191</v>
      </c>
      <c r="V368" s="7" t="n"/>
    </row>
    <row r="369" ht="28" customHeight="1">
      <c r="A369" s="12">
        <f>IF($L369="applied","Applied",IF($L369="interview","Interview",IF($L369="offer","Offer",IF($L369="rejected","Rejected",IF($L369="ignore","Ignore",IF($L369="archive","Archive",IF($L369="closed","Closed",IF($B369="","Unscored",IF(AND($B369&gt;=8,OR($H369="",$H369-TODAY()&lt;=14)),"P1 Apply",IF($B369&gt;=7,"P2 Strong",IF($B369&gt;=5,"P3 Maybe","P4 Low")))))))))))</f>
        <v/>
      </c>
      <c r="B369" s="13" t="n">
        <v>2.24</v>
      </c>
      <c r="C369" s="12" t="inlineStr">
        <is>
          <t>Graduate/Entry</t>
        </is>
      </c>
      <c r="D369" s="8" t="inlineStr">
        <is>
          <t>Graduate Software Engineer (+ Equity) at Letty</t>
        </is>
      </c>
      <c r="E369" s="7" t="inlineStr">
        <is>
          <t>Jack &amp; Jill</t>
        </is>
      </c>
      <c r="F369" s="8" t="inlineStr">
        <is>
          <t>London, England, UK</t>
        </is>
      </c>
      <c r="G369" s="8" t="n"/>
      <c r="H369" s="14" t="n"/>
      <c r="I369" s="15">
        <f>IF($H369="","",$H369-TODAY())</f>
        <v/>
      </c>
      <c r="J369" s="16" t="inlineStr">
        <is>
          <t>Open posting</t>
        </is>
      </c>
      <c r="K369" s="8" t="n"/>
      <c r="L369" s="17" t="inlineStr">
        <is>
          <t>new</t>
        </is>
      </c>
      <c r="M369" s="18" t="inlineStr"/>
      <c r="N369" s="7" t="inlineStr">
        <is>
          <t>fc3a7a802600eb483af01d5efb413827276f5d3e</t>
        </is>
      </c>
      <c r="O369" s="14" t="n"/>
      <c r="P369" s="7" t="inlineStr">
        <is>
          <t>jobspy</t>
        </is>
      </c>
      <c r="Q369" s="8" t="inlineStr">
        <is>
          <t>python, git</t>
        </is>
      </c>
      <c r="R369" s="8" t="inlineStr">
        <is>
          <t>entry level Full Stack Developer</t>
        </is>
      </c>
      <c r="S369" s="19" t="n"/>
      <c r="T369" s="19" t="n"/>
      <c r="U369" s="14" t="n">
        <v>46191</v>
      </c>
      <c r="V369" s="7" t="n"/>
    </row>
    <row r="370" ht="28" customHeight="1">
      <c r="A370" s="12">
        <f>IF($L370="applied","Applied",IF($L370="interview","Interview",IF($L370="offer","Offer",IF($L370="rejected","Rejected",IF($L370="ignore","Ignore",IF($L370="archive","Archive",IF($L370="closed","Closed",IF($B370="","Unscored",IF(AND($B370&gt;=8,OR($H370="",$H370-TODAY()&lt;=14)),"P1 Apply",IF($B370&gt;=7,"P2 Strong",IF($B370&gt;=5,"P3 Maybe","P4 Low")))))))))))</f>
        <v/>
      </c>
      <c r="B370" s="13" t="n">
        <v>2.04</v>
      </c>
      <c r="C370" s="12" t="inlineStr">
        <is>
          <t>Senior/Lead</t>
        </is>
      </c>
      <c r="D370" s="8" t="inlineStr">
        <is>
          <t>Software Engineer, Network Performance &amp; Reliability</t>
        </is>
      </c>
      <c r="E370" s="7" t="inlineStr">
        <is>
          <t>Cloudflare</t>
        </is>
      </c>
      <c r="F370" s="8" t="inlineStr">
        <is>
          <t>Hybrid</t>
        </is>
      </c>
      <c r="G370" s="8" t="n"/>
      <c r="H370" s="14" t="n"/>
      <c r="I370" s="15">
        <f>IF($H370="","",$H370-TODAY())</f>
        <v/>
      </c>
      <c r="J370" s="16" t="inlineStr">
        <is>
          <t>Open posting</t>
        </is>
      </c>
      <c r="K370" s="8" t="n"/>
      <c r="L370" s="17" t="inlineStr">
        <is>
          <t>new</t>
        </is>
      </c>
      <c r="M370" s="18" t="inlineStr"/>
      <c r="N370" s="7" t="inlineStr">
        <is>
          <t>4e3a5c7d0f0202ba693ed4e084a2cea266a4bb16</t>
        </is>
      </c>
      <c r="O370" s="14" t="n">
        <v>46190</v>
      </c>
      <c r="P370" s="7" t="inlineStr">
        <is>
          <t>greenhouse:cloudflare</t>
        </is>
      </c>
      <c r="Q370" s="8" t="inlineStr">
        <is>
          <t>sql, software development</t>
        </is>
      </c>
      <c r="R370" s="8" t="n"/>
      <c r="S370" s="19" t="n"/>
      <c r="T370" s="19" t="n"/>
      <c r="U370" s="14" t="n">
        <v>46191</v>
      </c>
      <c r="V370" s="7" t="n"/>
    </row>
    <row r="371" ht="28" customHeight="1">
      <c r="A371" s="12">
        <f>IF($L371="applied","Applied",IF($L371="interview","Interview",IF($L371="offer","Offer",IF($L371="rejected","Rejected",IF($L371="ignore","Ignore",IF($L371="archive","Archive",IF($L371="closed","Closed",IF($B371="","Unscored",IF(AND($B371&gt;=8,OR($H371="",$H371-TODAY()&lt;=14)),"P1 Apply",IF($B371&gt;=7,"P2 Strong",IF($B371&gt;=5,"P3 Maybe","P4 Low")))))))))))</f>
        <v/>
      </c>
      <c r="B371" s="13" t="n">
        <v>2.04</v>
      </c>
      <c r="C371" s="12" t="inlineStr">
        <is>
          <t>Senior/Lead</t>
        </is>
      </c>
      <c r="D371" s="8" t="inlineStr">
        <is>
          <t>Software Developer D365 (up to £55,806)</t>
        </is>
      </c>
      <c r="E371" s="7" t="inlineStr">
        <is>
          <t>Department for Education</t>
        </is>
      </c>
      <c r="F371" s="8" t="inlineStr">
        <is>
          <t>Sheffield, England, UK</t>
        </is>
      </c>
      <c r="G371" s="8" t="n"/>
      <c r="H371" s="14" t="n"/>
      <c r="I371" s="15">
        <f>IF($H371="","",$H371-TODAY())</f>
        <v/>
      </c>
      <c r="J371" s="16" t="inlineStr">
        <is>
          <t>Open posting</t>
        </is>
      </c>
      <c r="K371" s="8" t="n"/>
      <c r="L371" s="17" t="inlineStr">
        <is>
          <t>new</t>
        </is>
      </c>
      <c r="M371" s="18" t="inlineStr"/>
      <c r="N371" s="7" t="inlineStr">
        <is>
          <t>8336fcec289a4d810b53a8baf64d345bd879f45c</t>
        </is>
      </c>
      <c r="O371" s="14" t="n">
        <v>46181</v>
      </c>
      <c r="P371" s="7" t="inlineStr">
        <is>
          <t>jobspy</t>
        </is>
      </c>
      <c r="Q371" s="8" t="inlineStr">
        <is>
          <t>javascript, git, software development</t>
        </is>
      </c>
      <c r="R371" s="8" t="inlineStr">
        <is>
          <t>Graduate Software Developer Sheffield</t>
        </is>
      </c>
      <c r="S371" s="19" t="n"/>
      <c r="T371" s="19" t="n"/>
      <c r="U371" s="14" t="n">
        <v>46191</v>
      </c>
      <c r="V371" s="7" t="n"/>
    </row>
    <row r="372" ht="28" customHeight="1">
      <c r="A372" s="12">
        <f>IF($L372="applied","Applied",IF($L372="interview","Interview",IF($L372="offer","Offer",IF($L372="rejected","Rejected",IF($L372="ignore","Ignore",IF($L372="archive","Archive",IF($L372="closed","Closed",IF($B372="","Unscored",IF(AND($B372&gt;=8,OR($H372="",$H372-TODAY()&lt;=14)),"P1 Apply",IF($B372&gt;=7,"P2 Strong",IF($B372&gt;=5,"P3 Maybe","P4 Low")))))))))))</f>
        <v/>
      </c>
      <c r="B372" s="13" t="n">
        <v>2.04</v>
      </c>
      <c r="C372" s="12" t="inlineStr">
        <is>
          <t>Graduate/Entry</t>
        </is>
      </c>
      <c r="D372" s="8" t="inlineStr">
        <is>
          <t>Graduate / Junior Java Developer</t>
        </is>
      </c>
      <c r="E372" s="7" t="inlineStr">
        <is>
          <t>Radius</t>
        </is>
      </c>
      <c r="F372" s="8" t="inlineStr">
        <is>
          <t>Crewe, ENG, GB</t>
        </is>
      </c>
      <c r="G372" s="8" t="n"/>
      <c r="H372" s="14" t="n"/>
      <c r="I372" s="15">
        <f>IF($H372="","",$H372-TODAY())</f>
        <v/>
      </c>
      <c r="J372" s="16" t="inlineStr">
        <is>
          <t>Open posting</t>
        </is>
      </c>
      <c r="K372" s="8" t="n"/>
      <c r="L372" s="17" t="inlineStr">
        <is>
          <t>new</t>
        </is>
      </c>
      <c r="M372" s="18" t="inlineStr"/>
      <c r="N372" s="7" t="inlineStr">
        <is>
          <t>0dc2d8fe003a165db5e021bd3871e8536fd81a67</t>
        </is>
      </c>
      <c r="O372" s="14" t="n">
        <v>46182</v>
      </c>
      <c r="P372" s="7" t="inlineStr">
        <is>
          <t>jobspy</t>
        </is>
      </c>
      <c r="Q372" s="8" t="inlineStr">
        <is>
          <t>sql, software development</t>
        </is>
      </c>
      <c r="R372" s="8" t="inlineStr">
        <is>
          <t>junior Graduate Software Developer</t>
        </is>
      </c>
      <c r="S372" s="19" t="n"/>
      <c r="T372" s="19" t="n"/>
      <c r="U372" s="14" t="n">
        <v>46191</v>
      </c>
      <c r="V372" s="7" t="n"/>
    </row>
    <row r="373" ht="28" customHeight="1">
      <c r="A373" s="12">
        <f>IF($L373="applied","Applied",IF($L373="interview","Interview",IF($L373="offer","Offer",IF($L373="rejected","Rejected",IF($L373="ignore","Ignore",IF($L373="archive","Archive",IF($L373="closed","Closed",IF($B373="","Unscored",IF(AND($B373&gt;=8,OR($H373="",$H373-TODAY()&lt;=14)),"P1 Apply",IF($B373&gt;=7,"P2 Strong",IF($B373&gt;=5,"P3 Maybe","P4 Low")))))))))))</f>
        <v/>
      </c>
      <c r="B373" s="13" t="n">
        <v>2.04</v>
      </c>
      <c r="C373" s="12" t="inlineStr">
        <is>
          <t>Junior</t>
        </is>
      </c>
      <c r="D373" s="8" t="inlineStr">
        <is>
          <t>Junior Python Developer</t>
        </is>
      </c>
      <c r="E373" s="7" t="inlineStr">
        <is>
          <t>Information Tech Consultants</t>
        </is>
      </c>
      <c r="F373" s="8" t="inlineStr">
        <is>
          <t>London Area, United Kingdom</t>
        </is>
      </c>
      <c r="G373" s="8" t="n"/>
      <c r="H373" s="14" t="n"/>
      <c r="I373" s="15">
        <f>IF($H373="","",$H373-TODAY())</f>
        <v/>
      </c>
      <c r="J373" s="16" t="inlineStr">
        <is>
          <t>Open posting</t>
        </is>
      </c>
      <c r="K373" s="8" t="n"/>
      <c r="L373" s="17" t="inlineStr">
        <is>
          <t>new</t>
        </is>
      </c>
      <c r="M373" s="18" t="inlineStr"/>
      <c r="N373" s="7" t="inlineStr">
        <is>
          <t>4996eb8491fa65fb5120dcd4935e2e27b87b2455</t>
        </is>
      </c>
      <c r="O373" s="14" t="n">
        <v>46190</v>
      </c>
      <c r="P373" s="7" t="inlineStr">
        <is>
          <t>jobspy</t>
        </is>
      </c>
      <c r="Q373" s="8" t="inlineStr">
        <is>
          <t>python, sql</t>
        </is>
      </c>
      <c r="R373" s="8" t="inlineStr">
        <is>
          <t>Junior Python Developer</t>
        </is>
      </c>
      <c r="S373" s="19" t="n"/>
      <c r="T373" s="19" t="n"/>
      <c r="U373" s="14" t="n">
        <v>46191</v>
      </c>
      <c r="V373" s="7" t="n"/>
    </row>
    <row r="374" ht="28" customHeight="1">
      <c r="A374" s="12">
        <f>IF($L374="applied","Applied",IF($L374="interview","Interview",IF($L374="offer","Offer",IF($L374="rejected","Rejected",IF($L374="ignore","Ignore",IF($L374="archive","Archive",IF($L374="closed","Closed",IF($B374="","Unscored",IF(AND($B374&gt;=8,OR($H374="",$H374-TODAY()&lt;=14)),"P1 Apply",IF($B374&gt;=7,"P2 Strong",IF($B374&gt;=5,"P3 Maybe","P4 Low")))))))))))</f>
        <v/>
      </c>
      <c r="B374" s="13" t="n">
        <v>2.04</v>
      </c>
      <c r="C374" s="12" t="inlineStr">
        <is>
          <t>Unspecified</t>
        </is>
      </c>
      <c r="D374" s="8" t="inlineStr">
        <is>
          <t>Back End Software Developer</t>
        </is>
      </c>
      <c r="E374" s="7" t="inlineStr">
        <is>
          <t>Selby Jennings</t>
        </is>
      </c>
      <c r="F374" s="8" t="inlineStr">
        <is>
          <t>Newcastle Upon Tyne, England, UK</t>
        </is>
      </c>
      <c r="G374" s="8" t="n"/>
      <c r="H374" s="14" t="n"/>
      <c r="I374" s="15">
        <f>IF($H374="","",$H374-TODAY())</f>
        <v/>
      </c>
      <c r="J374" s="16" t="inlineStr">
        <is>
          <t>Open posting</t>
        </is>
      </c>
      <c r="K374" s="8" t="n"/>
      <c r="L374" s="17" t="inlineStr">
        <is>
          <t>new</t>
        </is>
      </c>
      <c r="M374" s="18" t="inlineStr"/>
      <c r="N374" s="7" t="inlineStr">
        <is>
          <t>fcc3ad27fa4cb24e0d51bfa832fc28e7995fbf65</t>
        </is>
      </c>
      <c r="O374" s="14" t="n">
        <v>46185</v>
      </c>
      <c r="P374" s="7" t="inlineStr">
        <is>
          <t>jobspy</t>
        </is>
      </c>
      <c r="Q374" s="8" t="inlineStr">
        <is>
          <t>python, sql</t>
        </is>
      </c>
      <c r="R374" s="8" t="inlineStr">
        <is>
          <t>Junior Python Developer</t>
        </is>
      </c>
      <c r="S374" s="19" t="n"/>
      <c r="T374" s="19" t="n"/>
      <c r="U374" s="14" t="n">
        <v>46191</v>
      </c>
      <c r="V374" s="7" t="n"/>
    </row>
    <row r="375" ht="28" customHeight="1">
      <c r="A375" s="12">
        <f>IF($L375="applied","Applied",IF($L375="interview","Interview",IF($L375="offer","Offer",IF($L375="rejected","Rejected",IF($L375="ignore","Ignore",IF($L375="archive","Archive",IF($L375="closed","Closed",IF($B375="","Unscored",IF(AND($B375&gt;=8,OR($H375="",$H375-TODAY()&lt;=14)),"P1 Apply",IF($B375&gt;=7,"P2 Strong",IF($B375&gt;=5,"P3 Maybe","P4 Low")))))))))))</f>
        <v/>
      </c>
      <c r="B375" s="13" t="n">
        <v>2.04</v>
      </c>
      <c r="C375" s="12" t="inlineStr">
        <is>
          <t>Senior/Lead</t>
        </is>
      </c>
      <c r="D375" s="8" t="inlineStr">
        <is>
          <t>Software Engineer</t>
        </is>
      </c>
      <c r="E375" s="7" t="inlineStr">
        <is>
          <t>Abound</t>
        </is>
      </c>
      <c r="F375" s="8" t="inlineStr">
        <is>
          <t>London, England, UK</t>
        </is>
      </c>
      <c r="G375" s="8" t="n"/>
      <c r="H375" s="14" t="n"/>
      <c r="I375" s="15">
        <f>IF($H375="","",$H375-TODAY())</f>
        <v/>
      </c>
      <c r="J375" s="16" t="inlineStr">
        <is>
          <t>Open posting</t>
        </is>
      </c>
      <c r="K375" s="8" t="n"/>
      <c r="L375" s="17" t="inlineStr">
        <is>
          <t>new</t>
        </is>
      </c>
      <c r="M375" s="18" t="inlineStr"/>
      <c r="N375" s="7" t="inlineStr">
        <is>
          <t>57e9b005253440115f291f1d4fe752efeca6299b</t>
        </is>
      </c>
      <c r="O375" s="14" t="n">
        <v>46182</v>
      </c>
      <c r="P375" s="7" t="inlineStr">
        <is>
          <t>jobspy</t>
        </is>
      </c>
      <c r="Q375" s="8" t="inlineStr">
        <is>
          <t>python, sql</t>
        </is>
      </c>
      <c r="R375" s="8" t="inlineStr">
        <is>
          <t>Junior Python Developer</t>
        </is>
      </c>
      <c r="S375" s="19" t="n"/>
      <c r="T375" s="19" t="n"/>
      <c r="U375" s="14" t="n">
        <v>46191</v>
      </c>
      <c r="V375" s="7" t="n"/>
    </row>
    <row r="376" ht="28" customHeight="1">
      <c r="A376" s="12">
        <f>IF($L376="applied","Applied",IF($L376="interview","Interview",IF($L376="offer","Offer",IF($L376="rejected","Rejected",IF($L376="ignore","Ignore",IF($L376="archive","Archive",IF($L376="closed","Closed",IF($B376="","Unscored",IF(AND($B376&gt;=8,OR($H376="",$H376-TODAY()&lt;=14)),"P1 Apply",IF($B376&gt;=7,"P2 Strong",IF($B376&gt;=5,"P3 Maybe","P4 Low")))))))))))</f>
        <v/>
      </c>
      <c r="B376" s="13" t="n">
        <v>2.04</v>
      </c>
      <c r="C376" s="12" t="inlineStr">
        <is>
          <t>Unspecified</t>
        </is>
      </c>
      <c r="D376" s="8" t="inlineStr">
        <is>
          <t>Python Developer</t>
        </is>
      </c>
      <c r="E376" s="7" t="inlineStr">
        <is>
          <t>Tata Consultancy Services</t>
        </is>
      </c>
      <c r="F376" s="8" t="inlineStr">
        <is>
          <t>England, United Kingdom</t>
        </is>
      </c>
      <c r="G376" s="8" t="n"/>
      <c r="H376" s="14" t="n"/>
      <c r="I376" s="15">
        <f>IF($H376="","",$H376-TODAY())</f>
        <v/>
      </c>
      <c r="J376" s="16" t="inlineStr">
        <is>
          <t>Open posting</t>
        </is>
      </c>
      <c r="K376" s="8" t="n"/>
      <c r="L376" s="17" t="inlineStr">
        <is>
          <t>new</t>
        </is>
      </c>
      <c r="M376" s="18" t="inlineStr"/>
      <c r="N376" s="7" t="inlineStr">
        <is>
          <t>b2e6771ab38aed8161a3dc27708814cd0362db29</t>
        </is>
      </c>
      <c r="O376" s="14" t="n">
        <v>46169</v>
      </c>
      <c r="P376" s="7" t="inlineStr">
        <is>
          <t>jobspy</t>
        </is>
      </c>
      <c r="Q376" s="8" t="inlineStr">
        <is>
          <t>python, git, software development</t>
        </is>
      </c>
      <c r="R376" s="8" t="inlineStr">
        <is>
          <t>Junior Python Developer</t>
        </is>
      </c>
      <c r="S376" s="19" t="n"/>
      <c r="T376" s="19" t="n"/>
      <c r="U376" s="14" t="n">
        <v>46191</v>
      </c>
      <c r="V376" s="7" t="n"/>
    </row>
    <row r="377" ht="28" customHeight="1">
      <c r="A377" s="12">
        <f>IF($L377="applied","Applied",IF($L377="interview","Interview",IF($L377="offer","Offer",IF($L377="rejected","Rejected",IF($L377="ignore","Ignore",IF($L377="archive","Archive",IF($L377="closed","Closed",IF($B377="","Unscored",IF(AND($B377&gt;=8,OR($H377="",$H377-TODAY()&lt;=14)),"P1 Apply",IF($B377&gt;=7,"P2 Strong",IF($B377&gt;=5,"P3 Maybe","P4 Low")))))))))))</f>
        <v/>
      </c>
      <c r="B377" s="13" t="n">
        <v>2.04</v>
      </c>
      <c r="C377" s="12" t="inlineStr">
        <is>
          <t>Mid-level</t>
        </is>
      </c>
      <c r="D377" s="8" t="inlineStr">
        <is>
          <t>Backend Engineer (Python)</t>
        </is>
      </c>
      <c r="E377" s="7" t="inlineStr">
        <is>
          <t>Skin + Me</t>
        </is>
      </c>
      <c r="F377" s="8" t="inlineStr">
        <is>
          <t>London, England, UK</t>
        </is>
      </c>
      <c r="G377" s="8" t="n"/>
      <c r="H377" s="14" t="n"/>
      <c r="I377" s="15">
        <f>IF($H377="","",$H377-TODAY())</f>
        <v/>
      </c>
      <c r="J377" s="16" t="inlineStr">
        <is>
          <t>Open posting</t>
        </is>
      </c>
      <c r="K377" s="8" t="n"/>
      <c r="L377" s="17" t="inlineStr">
        <is>
          <t>new</t>
        </is>
      </c>
      <c r="M377" s="18" t="inlineStr"/>
      <c r="N377" s="7" t="inlineStr">
        <is>
          <t>03a86d52cbe1bb0119111ba268a5b90609a5ddd8</t>
        </is>
      </c>
      <c r="O377" s="14" t="n">
        <v>46178</v>
      </c>
      <c r="P377" s="7" t="inlineStr">
        <is>
          <t>jobspy</t>
        </is>
      </c>
      <c r="Q377" s="8" t="inlineStr">
        <is>
          <t>python, sql</t>
        </is>
      </c>
      <c r="R377" s="8" t="inlineStr">
        <is>
          <t>Junior Python Developer remote</t>
        </is>
      </c>
      <c r="S377" s="19" t="n"/>
      <c r="T377" s="19" t="n"/>
      <c r="U377" s="14" t="n">
        <v>46191</v>
      </c>
      <c r="V377" s="7" t="n"/>
    </row>
    <row r="378" ht="28" customHeight="1">
      <c r="A378" s="12">
        <f>IF($L378="applied","Applied",IF($L378="interview","Interview",IF($L378="offer","Offer",IF($L378="rejected","Rejected",IF($L378="ignore","Ignore",IF($L378="archive","Archive",IF($L378="closed","Closed",IF($B378="","Unscored",IF(AND($B378&gt;=8,OR($H378="",$H378-TODAY()&lt;=14)),"P1 Apply",IF($B378&gt;=7,"P2 Strong",IF($B378&gt;=5,"P3 Maybe","P4 Low")))))))))))</f>
        <v/>
      </c>
      <c r="B378" s="13" t="n">
        <v>2.04</v>
      </c>
      <c r="C378" s="12" t="inlineStr">
        <is>
          <t>Junior</t>
        </is>
      </c>
      <c r="D378" s="8" t="inlineStr">
        <is>
          <t>Junior Engineer - UK Only (Brighton) - Studio Based</t>
        </is>
      </c>
      <c r="E378" s="7" t="inlineStr">
        <is>
          <t>FuturLab Ltd</t>
        </is>
      </c>
      <c r="F378" s="8" t="inlineStr">
        <is>
          <t>Brighton, ENG, GB</t>
        </is>
      </c>
      <c r="G378" s="8" t="n"/>
      <c r="H378" s="14" t="n"/>
      <c r="I378" s="15">
        <f>IF($H378="","",$H378-TODAY())</f>
        <v/>
      </c>
      <c r="J378" s="16" t="inlineStr">
        <is>
          <t>Open posting</t>
        </is>
      </c>
      <c r="K378" s="8" t="n"/>
      <c r="L378" s="17" t="inlineStr">
        <is>
          <t>new</t>
        </is>
      </c>
      <c r="M378" s="18" t="inlineStr"/>
      <c r="N378" s="7" t="inlineStr">
        <is>
          <t>d437c4fca51098c9a40d6ec379de21254116d19c</t>
        </is>
      </c>
      <c r="O378" s="14" t="n">
        <v>46190</v>
      </c>
      <c r="P378" s="7" t="inlineStr">
        <is>
          <t>jobspy</t>
        </is>
      </c>
      <c r="Q378" s="8" t="inlineStr">
        <is>
          <t>sql, web development</t>
        </is>
      </c>
      <c r="R378" s="8" t="inlineStr">
        <is>
          <t>Full Stack Developer</t>
        </is>
      </c>
      <c r="S378" s="19" t="n"/>
      <c r="T378" s="19" t="n"/>
      <c r="U378" s="14" t="n">
        <v>46191</v>
      </c>
      <c r="V378" s="7" t="n"/>
    </row>
    <row r="379" ht="28" customHeight="1">
      <c r="A379" s="12">
        <f>IF($L379="applied","Applied",IF($L379="interview","Interview",IF($L379="offer","Offer",IF($L379="rejected","Rejected",IF($L379="ignore","Ignore",IF($L379="archive","Archive",IF($L379="closed","Closed",IF($B379="","Unscored",IF(AND($B379&gt;=8,OR($H379="",$H379-TODAY()&lt;=14)),"P1 Apply",IF($B379&gt;=7,"P2 Strong",IF($B379&gt;=5,"P3 Maybe","P4 Low")))))))))))</f>
        <v/>
      </c>
      <c r="B379" s="13" t="n">
        <v>2.04</v>
      </c>
      <c r="C379" s="12" t="inlineStr">
        <is>
          <t>Graduate/Entry</t>
        </is>
      </c>
      <c r="D379" s="8" t="inlineStr">
        <is>
          <t>Graduate Software Developer - Summer 2026 Start</t>
        </is>
      </c>
      <c r="E379" s="7" t="inlineStr">
        <is>
          <t>Oliver Bernard</t>
        </is>
      </c>
      <c r="F379" s="8" t="inlineStr">
        <is>
          <t>Newcastle Upon Tyne, England, UK</t>
        </is>
      </c>
      <c r="G379" s="8" t="n"/>
      <c r="H379" s="14" t="n"/>
      <c r="I379" s="15">
        <f>IF($H379="","",$H379-TODAY())</f>
        <v/>
      </c>
      <c r="J379" s="16" t="inlineStr">
        <is>
          <t>Open posting</t>
        </is>
      </c>
      <c r="K379" s="8" t="n"/>
      <c r="L379" s="17" t="inlineStr">
        <is>
          <t>new</t>
        </is>
      </c>
      <c r="M379" s="18" t="inlineStr"/>
      <c r="N379" s="7" t="inlineStr">
        <is>
          <t>b4fa86d4d864b2af8922fb2637061971cae88de5</t>
        </is>
      </c>
      <c r="O379" s="14" t="n">
        <v>46190</v>
      </c>
      <c r="P379" s="7" t="inlineStr">
        <is>
          <t>jobspy</t>
        </is>
      </c>
      <c r="Q379" s="8" t="inlineStr">
        <is>
          <t>python, sql, software development</t>
        </is>
      </c>
      <c r="R379" s="8" t="inlineStr">
        <is>
          <t>entry level Graduate Software Developer</t>
        </is>
      </c>
      <c r="S379" s="19" t="n"/>
      <c r="T379" s="19" t="n"/>
      <c r="U379" s="14" t="n">
        <v>46191</v>
      </c>
      <c r="V379" s="7" t="n"/>
    </row>
    <row r="380" ht="28" customHeight="1">
      <c r="A380" s="12">
        <f>IF($L380="applied","Applied",IF($L380="interview","Interview",IF($L380="offer","Offer",IF($L380="rejected","Rejected",IF($L380="ignore","Ignore",IF($L380="archive","Archive",IF($L380="closed","Closed",IF($B380="","Unscored",IF(AND($B380&gt;=8,OR($H380="",$H380-TODAY()&lt;=14)),"P1 Apply",IF($B380&gt;=7,"P2 Strong",IF($B380&gt;=5,"P3 Maybe","P4 Low")))))))))))</f>
        <v/>
      </c>
      <c r="B380" s="13" t="n">
        <v>2.04</v>
      </c>
      <c r="C380" s="12" t="inlineStr">
        <is>
          <t>Mid-level</t>
        </is>
      </c>
      <c r="D380" s="8" t="inlineStr">
        <is>
          <t>Full Stack Engineer (Python / React)</t>
        </is>
      </c>
      <c r="E380" s="7" t="inlineStr">
        <is>
          <t>Skin + Me</t>
        </is>
      </c>
      <c r="F380" s="8" t="inlineStr">
        <is>
          <t>London, England, UK</t>
        </is>
      </c>
      <c r="G380" s="8" t="n"/>
      <c r="H380" s="14" t="n"/>
      <c r="I380" s="15">
        <f>IF($H380="","",$H380-TODAY())</f>
        <v/>
      </c>
      <c r="J380" s="16" t="inlineStr">
        <is>
          <t>Open posting</t>
        </is>
      </c>
      <c r="K380" s="8" t="n"/>
      <c r="L380" s="17" t="inlineStr">
        <is>
          <t>new</t>
        </is>
      </c>
      <c r="M380" s="18" t="inlineStr"/>
      <c r="N380" s="7" t="inlineStr">
        <is>
          <t>ce2d98a7fe1aebc888ba6ace34e13824514105d3</t>
        </is>
      </c>
      <c r="O380" s="14" t="n">
        <v>46178</v>
      </c>
      <c r="P380" s="7" t="inlineStr">
        <is>
          <t>jobspy</t>
        </is>
      </c>
      <c r="Q380" s="8" t="inlineStr">
        <is>
          <t>python, sql</t>
        </is>
      </c>
      <c r="R380" s="8" t="inlineStr">
        <is>
          <t>Junior Python Developer remote</t>
        </is>
      </c>
      <c r="S380" s="19" t="n"/>
      <c r="T380" s="19" t="n"/>
      <c r="U380" s="14" t="n">
        <v>46191</v>
      </c>
      <c r="V380" s="7" t="n"/>
    </row>
    <row r="381" ht="28" customHeight="1">
      <c r="A381" s="12">
        <f>IF($L381="applied","Applied",IF($L381="interview","Interview",IF($L381="offer","Offer",IF($L381="rejected","Rejected",IF($L381="ignore","Ignore",IF($L381="archive","Archive",IF($L381="closed","Closed",IF($B381="","Unscored",IF(AND($B381&gt;=8,OR($H381="",$H381-TODAY()&lt;=14)),"P1 Apply",IF($B381&gt;=7,"P2 Strong",IF($B381&gt;=5,"P3 Maybe","P4 Low")))))))))))</f>
        <v/>
      </c>
      <c r="B381" s="13" t="n">
        <v>2.04</v>
      </c>
      <c r="C381" s="12" t="inlineStr">
        <is>
          <t>Junior</t>
        </is>
      </c>
      <c r="D381" s="8" t="inlineStr">
        <is>
          <t>Full Stack Developer</t>
        </is>
      </c>
      <c r="E381" s="7" t="inlineStr">
        <is>
          <t>ICS-digital</t>
        </is>
      </c>
      <c r="F381" s="8" t="inlineStr">
        <is>
          <t>Leeds, England, UK</t>
        </is>
      </c>
      <c r="G381" s="8" t="n"/>
      <c r="H381" s="14" t="n"/>
      <c r="I381" s="15">
        <f>IF($H381="","",$H381-TODAY())</f>
        <v/>
      </c>
      <c r="J381" s="16" t="inlineStr">
        <is>
          <t>Open posting</t>
        </is>
      </c>
      <c r="K381" s="8" t="n"/>
      <c r="L381" s="17" t="inlineStr">
        <is>
          <t>new</t>
        </is>
      </c>
      <c r="M381" s="18" t="inlineStr"/>
      <c r="N381" s="7" t="inlineStr">
        <is>
          <t>553d9f06f952cc83d7783a8869b5d4871333599a</t>
        </is>
      </c>
      <c r="O381" s="14" t="n">
        <v>46175</v>
      </c>
      <c r="P381" s="7" t="inlineStr">
        <is>
          <t>jobspy</t>
        </is>
      </c>
      <c r="Q381" s="8" t="inlineStr">
        <is>
          <t>javascript, git, software development</t>
        </is>
      </c>
      <c r="R381" s="8" t="inlineStr">
        <is>
          <t>graduate Full Stack Developer</t>
        </is>
      </c>
      <c r="S381" s="19" t="n"/>
      <c r="T381" s="19" t="n"/>
      <c r="U381" s="14" t="n">
        <v>46191</v>
      </c>
      <c r="V381" s="7" t="n"/>
    </row>
    <row r="382" ht="28" customHeight="1">
      <c r="A382" s="12">
        <f>IF($L382="applied","Applied",IF($L382="interview","Interview",IF($L382="offer","Offer",IF($L382="rejected","Rejected",IF($L382="ignore","Ignore",IF($L382="archive","Archive",IF($L382="closed","Closed",IF($B382="","Unscored",IF(AND($B382&gt;=8,OR($H382="",$H382-TODAY()&lt;=14)),"P1 Apply",IF($B382&gt;=7,"P2 Strong",IF($B382&gt;=5,"P3 Maybe","P4 Low")))))))))))</f>
        <v/>
      </c>
      <c r="B382" s="13" t="n">
        <v>2.04</v>
      </c>
      <c r="C382" s="12" t="inlineStr">
        <is>
          <t>Junior</t>
        </is>
      </c>
      <c r="D382" s="8" t="inlineStr">
        <is>
          <t>Junior Data Engineer</t>
        </is>
      </c>
      <c r="E382" s="7" t="inlineStr">
        <is>
          <t>RealityMine</t>
        </is>
      </c>
      <c r="F382" s="8" t="inlineStr">
        <is>
          <t>Trafford Park, England, UK</t>
        </is>
      </c>
      <c r="G382" s="8" t="n"/>
      <c r="H382" s="14" t="n"/>
      <c r="I382" s="15">
        <f>IF($H382="","",$H382-TODAY())</f>
        <v/>
      </c>
      <c r="J382" s="16" t="inlineStr">
        <is>
          <t>Open posting</t>
        </is>
      </c>
      <c r="K382" s="8" t="n"/>
      <c r="L382" s="17" t="inlineStr">
        <is>
          <t>new</t>
        </is>
      </c>
      <c r="M382" s="18" t="inlineStr"/>
      <c r="N382" s="7" t="inlineStr">
        <is>
          <t>a2674697b86bd3dcb8dcb5a7b65201cf8d4b61e5</t>
        </is>
      </c>
      <c r="O382" s="14" t="n">
        <v>46162</v>
      </c>
      <c r="P382" s="7" t="inlineStr">
        <is>
          <t>jobspy</t>
        </is>
      </c>
      <c r="Q382" s="8" t="inlineStr">
        <is>
          <t>python, sql</t>
        </is>
      </c>
      <c r="R382" s="8" t="inlineStr">
        <is>
          <t>graduate Junior Python Developer</t>
        </is>
      </c>
      <c r="S382" s="19" t="n"/>
      <c r="T382" s="19" t="n"/>
      <c r="U382" s="14" t="n">
        <v>46191</v>
      </c>
      <c r="V382" s="7" t="n"/>
    </row>
    <row r="383" ht="28" customHeight="1">
      <c r="A383" s="12">
        <f>IF($L383="applied","Applied",IF($L383="interview","Interview",IF($L383="offer","Offer",IF($L383="rejected","Rejected",IF($L383="ignore","Ignore",IF($L383="archive","Archive",IF($L383="closed","Closed",IF($B383="","Unscored",IF(AND($B383&gt;=8,OR($H383="",$H383-TODAY()&lt;=14)),"P1 Apply",IF($B383&gt;=7,"P2 Strong",IF($B383&gt;=5,"P3 Maybe","P4 Low")))))))))))</f>
        <v/>
      </c>
      <c r="B383" s="13" t="n">
        <v>2.04</v>
      </c>
      <c r="C383" s="12" t="inlineStr">
        <is>
          <t>Junior</t>
        </is>
      </c>
      <c r="D383" s="8" t="inlineStr">
        <is>
          <t>Full Stack Developer</t>
        </is>
      </c>
      <c r="E383" s="7" t="inlineStr">
        <is>
          <t>UK IT Networks Limited</t>
        </is>
      </c>
      <c r="F383" s="8" t="inlineStr">
        <is>
          <t>Westcliff-on-Sea, ENG, GB</t>
        </is>
      </c>
      <c r="G383" s="8" t="n"/>
      <c r="H383" s="14" t="n"/>
      <c r="I383" s="15">
        <f>IF($H383="","",$H383-TODAY())</f>
        <v/>
      </c>
      <c r="J383" s="16" t="inlineStr">
        <is>
          <t>Open posting</t>
        </is>
      </c>
      <c r="K383" s="8" t="n"/>
      <c r="L383" s="17" t="inlineStr">
        <is>
          <t>new</t>
        </is>
      </c>
      <c r="M383" s="18" t="inlineStr"/>
      <c r="N383" s="7" t="inlineStr">
        <is>
          <t>cc3a7012e22c1f5b41aae66eae88c5a68b3f3f3d</t>
        </is>
      </c>
      <c r="O383" s="14" t="n">
        <v>46191</v>
      </c>
      <c r="P383" s="7" t="inlineStr">
        <is>
          <t>jobspy</t>
        </is>
      </c>
      <c r="Q383" s="8" t="inlineStr">
        <is>
          <t>sql, javascript</t>
        </is>
      </c>
      <c r="R383" s="8" t="inlineStr">
        <is>
          <t>Full Stack Developer</t>
        </is>
      </c>
      <c r="S383" s="19" t="n"/>
      <c r="T383" s="19" t="n"/>
      <c r="U383" s="14" t="n">
        <v>46191</v>
      </c>
      <c r="V383" s="7" t="n"/>
    </row>
    <row r="384" ht="28" customHeight="1">
      <c r="A384" s="12">
        <f>IF($L384="applied","Applied",IF($L384="interview","Interview",IF($L384="offer","Offer",IF($L384="rejected","Rejected",IF($L384="ignore","Ignore",IF($L384="archive","Archive",IF($L384="closed","Closed",IF($B384="","Unscored",IF(AND($B384&gt;=8,OR($H384="",$H384-TODAY()&lt;=14)),"P1 Apply",IF($B384&gt;=7,"P2 Strong",IF($B384&gt;=5,"P3 Maybe","P4 Low")))))))))))</f>
        <v/>
      </c>
      <c r="B384" s="13" t="n">
        <v>2.04</v>
      </c>
      <c r="C384" s="12" t="inlineStr">
        <is>
          <t>Junior</t>
        </is>
      </c>
      <c r="D384" s="8" t="inlineStr">
        <is>
          <t>Software Engineer</t>
        </is>
      </c>
      <c r="E384" s="7" t="inlineStr">
        <is>
          <t>Freedman International</t>
        </is>
      </c>
      <c r="F384" s="8" t="inlineStr">
        <is>
          <t>London Area, United Kingdom</t>
        </is>
      </c>
      <c r="G384" s="8" t="n"/>
      <c r="H384" s="14" t="n"/>
      <c r="I384" s="15">
        <f>IF($H384="","",$H384-TODAY())</f>
        <v/>
      </c>
      <c r="J384" s="16" t="inlineStr">
        <is>
          <t>Open posting</t>
        </is>
      </c>
      <c r="K384" s="8" t="n"/>
      <c r="L384" s="17" t="inlineStr">
        <is>
          <t>new</t>
        </is>
      </c>
      <c r="M384" s="18" t="inlineStr"/>
      <c r="N384" s="7" t="inlineStr">
        <is>
          <t>16043f5714ee51380f5a36f58a3fa724a505bd6b</t>
        </is>
      </c>
      <c r="O384" s="14" t="n">
        <v>46177</v>
      </c>
      <c r="P384" s="7" t="inlineStr">
        <is>
          <t>jobspy</t>
        </is>
      </c>
      <c r="Q384" s="8" t="inlineStr">
        <is>
          <t>python, javascript, git</t>
        </is>
      </c>
      <c r="R384" s="8" t="inlineStr">
        <is>
          <t>Junior Python Developer</t>
        </is>
      </c>
      <c r="S384" s="19" t="n"/>
      <c r="T384" s="19" t="n"/>
      <c r="U384" s="14" t="n">
        <v>46191</v>
      </c>
      <c r="V384" s="7" t="n"/>
    </row>
    <row r="385" ht="28" customHeight="1">
      <c r="A385" s="12">
        <f>IF($L385="applied","Applied",IF($L385="interview","Interview",IF($L385="offer","Offer",IF($L385="rejected","Rejected",IF($L385="ignore","Ignore",IF($L385="archive","Archive",IF($L385="closed","Closed",IF($B385="","Unscored",IF(AND($B385&gt;=8,OR($H385="",$H385-TODAY()&lt;=14)),"P1 Apply",IF($B385&gt;=7,"P2 Strong",IF($B385&gt;=5,"P3 Maybe","P4 Low")))))))))))</f>
        <v/>
      </c>
      <c r="B385" s="13" t="n">
        <v>2.04</v>
      </c>
      <c r="C385" s="12" t="inlineStr">
        <is>
          <t>Internship</t>
        </is>
      </c>
      <c r="D385" s="8" t="inlineStr">
        <is>
          <t>Internship Programme 2027: Software Engineer (Python)</t>
        </is>
      </c>
      <c r="E385" s="7" t="inlineStr">
        <is>
          <t>hackajob</t>
        </is>
      </c>
      <c r="F385" s="8" t="inlineStr"/>
      <c r="G385" s="8" t="n"/>
      <c r="H385" s="14" t="n"/>
      <c r="I385" s="15">
        <f>IF($H385="","",$H385-TODAY())</f>
        <v/>
      </c>
      <c r="J385" s="16" t="inlineStr">
        <is>
          <t>Open posting</t>
        </is>
      </c>
      <c r="K385" s="8" t="n"/>
      <c r="L385" s="17" t="inlineStr">
        <is>
          <t>new</t>
        </is>
      </c>
      <c r="M385" s="18" t="inlineStr"/>
      <c r="N385" s="7" t="inlineStr">
        <is>
          <t>c16970522e239f4b98bea7c5c89934a640f4d119</t>
        </is>
      </c>
      <c r="O385" s="14" t="n">
        <v>46186</v>
      </c>
      <c r="P385" s="7" t="inlineStr">
        <is>
          <t>jobspy</t>
        </is>
      </c>
      <c r="Q385" s="8" t="inlineStr">
        <is>
          <t>python, sql</t>
        </is>
      </c>
      <c r="R385" s="8" t="inlineStr">
        <is>
          <t>graduate Junior Python Developer</t>
        </is>
      </c>
      <c r="S385" s="19" t="n"/>
      <c r="T385" s="19" t="n"/>
      <c r="U385" s="14" t="n">
        <v>46191</v>
      </c>
      <c r="V385" s="7" t="n"/>
    </row>
    <row r="386" ht="28" customHeight="1">
      <c r="A386" s="12">
        <f>IF($L386="applied","Applied",IF($L386="interview","Interview",IF($L386="offer","Offer",IF($L386="rejected","Rejected",IF($L386="ignore","Ignore",IF($L386="archive","Archive",IF($L386="closed","Closed",IF($B386="","Unscored",IF(AND($B386&gt;=8,OR($H386="",$H386-TODAY()&lt;=14)),"P1 Apply",IF($B386&gt;=7,"P2 Strong",IF($B386&gt;=5,"P3 Maybe","P4 Low")))))))))))</f>
        <v/>
      </c>
      <c r="B386" s="13" t="n">
        <v>2.04</v>
      </c>
      <c r="C386" s="12" t="inlineStr">
        <is>
          <t>Internship</t>
        </is>
      </c>
      <c r="D386" s="8" t="inlineStr">
        <is>
          <t>Internship Programme 2027: Software Engineer (Python)</t>
        </is>
      </c>
      <c r="E386" s="7" t="inlineStr">
        <is>
          <t>Revolut</t>
        </is>
      </c>
      <c r="F386" s="8" t="inlineStr"/>
      <c r="G386" s="8" t="n"/>
      <c r="H386" s="14" t="n"/>
      <c r="I386" s="15">
        <f>IF($H386="","",$H386-TODAY())</f>
        <v/>
      </c>
      <c r="J386" s="16" t="inlineStr">
        <is>
          <t>Open posting</t>
        </is>
      </c>
      <c r="K386" s="8" t="n"/>
      <c r="L386" s="17" t="inlineStr">
        <is>
          <t>new</t>
        </is>
      </c>
      <c r="M386" s="18" t="inlineStr"/>
      <c r="N386" s="7" t="inlineStr">
        <is>
          <t>4dd340a8c3fd2c078aa00742992f9b925a7a3d33</t>
        </is>
      </c>
      <c r="O386" s="14" t="n">
        <v>46170</v>
      </c>
      <c r="P386" s="7" t="inlineStr">
        <is>
          <t>jobspy</t>
        </is>
      </c>
      <c r="Q386" s="8" t="inlineStr">
        <is>
          <t>python, sql</t>
        </is>
      </c>
      <c r="R386" s="8" t="inlineStr">
        <is>
          <t>graduate Junior Python Developer</t>
        </is>
      </c>
      <c r="S386" s="19" t="n"/>
      <c r="T386" s="19" t="n"/>
      <c r="U386" s="14" t="n">
        <v>46191</v>
      </c>
      <c r="V386" s="7" t="n"/>
    </row>
    <row r="387" ht="28" customHeight="1">
      <c r="A387" s="12">
        <f>IF($L387="applied","Applied",IF($L387="interview","Interview",IF($L387="offer","Offer",IF($L387="rejected","Rejected",IF($L387="ignore","Ignore",IF($L387="archive","Archive",IF($L387="closed","Closed",IF($B387="","Unscored",IF(AND($B387&gt;=8,OR($H387="",$H387-TODAY()&lt;=14)),"P1 Apply",IF($B387&gt;=7,"P2 Strong",IF($B387&gt;=5,"P3 Maybe","P4 Low")))))))))))</f>
        <v/>
      </c>
      <c r="B387" s="13" t="n">
        <v>2.04</v>
      </c>
      <c r="C387" s="12" t="inlineStr">
        <is>
          <t>Junior</t>
        </is>
      </c>
      <c r="D387" s="8" t="inlineStr">
        <is>
          <t>Front-End Developer</t>
        </is>
      </c>
      <c r="E387" s="7" t="inlineStr">
        <is>
          <t>Morgan Hunt</t>
        </is>
      </c>
      <c r="F387" s="8" t="inlineStr">
        <is>
          <t>City Of London, England, UK</t>
        </is>
      </c>
      <c r="G387" s="8" t="n"/>
      <c r="H387" s="14" t="n"/>
      <c r="I387" s="15">
        <f>IF($H387="","",$H387-TODAY())</f>
        <v/>
      </c>
      <c r="J387" s="16" t="inlineStr">
        <is>
          <t>Open posting</t>
        </is>
      </c>
      <c r="K387" s="8" t="n"/>
      <c r="L387" s="17" t="inlineStr">
        <is>
          <t>new</t>
        </is>
      </c>
      <c r="M387" s="18" t="inlineStr"/>
      <c r="N387" s="7" t="inlineStr">
        <is>
          <t>59f3a82bc8f1881fb5c38061d7d49f36596f35c2</t>
        </is>
      </c>
      <c r="O387" s="14" t="n"/>
      <c r="P387" s="7" t="inlineStr">
        <is>
          <t>jobspy</t>
        </is>
      </c>
      <c r="Q387" s="8" t="inlineStr">
        <is>
          <t>git, software development</t>
        </is>
      </c>
      <c r="R387" s="8" t="inlineStr">
        <is>
          <t>junior Full Stack Developer</t>
        </is>
      </c>
      <c r="S387" s="19" t="n"/>
      <c r="T387" s="19" t="n"/>
      <c r="U387" s="14" t="n">
        <v>46191</v>
      </c>
      <c r="V387" s="7" t="n"/>
    </row>
    <row r="388" ht="28" customHeight="1">
      <c r="A388" s="12">
        <f>IF($L388="applied","Applied",IF($L388="interview","Interview",IF($L388="offer","Offer",IF($L388="rejected","Rejected",IF($L388="ignore","Ignore",IF($L388="archive","Archive",IF($L388="closed","Closed",IF($B388="","Unscored",IF(AND($B388&gt;=8,OR($H388="",$H388-TODAY()&lt;=14)),"P1 Apply",IF($B388&gt;=7,"P2 Strong",IF($B388&gt;=5,"P3 Maybe","P4 Low")))))))))))</f>
        <v/>
      </c>
      <c r="B388" s="13" t="n">
        <v>2.04</v>
      </c>
      <c r="C388" s="12" t="inlineStr">
        <is>
          <t>Unspecified</t>
        </is>
      </c>
      <c r="D388" s="8" t="inlineStr">
        <is>
          <t>Full Stack Engineer</t>
        </is>
      </c>
      <c r="E388" s="7" t="inlineStr">
        <is>
          <t>develop</t>
        </is>
      </c>
      <c r="F388" s="8" t="inlineStr">
        <is>
          <t>Southampton, England, UK</t>
        </is>
      </c>
      <c r="G388" s="8" t="n"/>
      <c r="H388" s="14" t="n"/>
      <c r="I388" s="15">
        <f>IF($H388="","",$H388-TODAY())</f>
        <v/>
      </c>
      <c r="J388" s="16" t="inlineStr">
        <is>
          <t>Open posting</t>
        </is>
      </c>
      <c r="K388" s="8" t="n"/>
      <c r="L388" s="17" t="inlineStr">
        <is>
          <t>new</t>
        </is>
      </c>
      <c r="M388" s="18" t="inlineStr"/>
      <c r="N388" s="7" t="inlineStr">
        <is>
          <t>03b63adf538809bae96a962bdf0b5b1aa1c98bdc</t>
        </is>
      </c>
      <c r="O388" s="14" t="n">
        <v>46174</v>
      </c>
      <c r="P388" s="7" t="inlineStr">
        <is>
          <t>jobspy</t>
        </is>
      </c>
      <c r="Q388" s="8" t="inlineStr">
        <is>
          <t>sql</t>
        </is>
      </c>
      <c r="R388" s="8" t="inlineStr">
        <is>
          <t>Full Stack Developer</t>
        </is>
      </c>
      <c r="S388" s="19" t="n"/>
      <c r="T388" s="19" t="n"/>
      <c r="U388" s="14" t="n">
        <v>46191</v>
      </c>
      <c r="V388" s="7" t="n"/>
    </row>
    <row r="389" ht="28" customHeight="1">
      <c r="A389" s="12">
        <f>IF($L389="applied","Applied",IF($L389="interview","Interview",IF($L389="offer","Offer",IF($L389="rejected","Rejected",IF($L389="ignore","Ignore",IF($L389="archive","Archive",IF($L389="closed","Closed",IF($B389="","Unscored",IF(AND($B389&gt;=8,OR($H389="",$H389-TODAY()&lt;=14)),"P1 Apply",IF($B389&gt;=7,"P2 Strong",IF($B389&gt;=5,"P3 Maybe","P4 Low")))))))))))</f>
        <v/>
      </c>
      <c r="B389" s="13" t="n">
        <v>2</v>
      </c>
      <c r="C389" s="12" t="inlineStr">
        <is>
          <t>Mid-level</t>
        </is>
      </c>
      <c r="D389" s="8" t="inlineStr">
        <is>
          <t>Python Engineer (Hybrid in London)</t>
        </is>
      </c>
      <c r="E389" s="7" t="inlineStr">
        <is>
          <t>Signify Technology</t>
        </is>
      </c>
      <c r="F389" s="8" t="inlineStr">
        <is>
          <t>London, England, UK</t>
        </is>
      </c>
      <c r="G389" s="8" t="n"/>
      <c r="H389" s="14" t="n"/>
      <c r="I389" s="15">
        <f>IF($H389="","",$H389-TODAY())</f>
        <v/>
      </c>
      <c r="J389" s="16" t="inlineStr">
        <is>
          <t>Open posting</t>
        </is>
      </c>
      <c r="K389" s="8" t="inlineStr">
        <is>
          <t>Requires 4+ years and FinTech industry experience; candidate lacks both seniority and domain background.</t>
        </is>
      </c>
      <c r="L389" s="17" t="inlineStr">
        <is>
          <t>new</t>
        </is>
      </c>
      <c r="M389" s="18" t="inlineStr"/>
      <c r="N389" s="7" t="inlineStr">
        <is>
          <t>0e040c8b99f12c3def6f70a2fec8ff72e23d5411</t>
        </is>
      </c>
      <c r="O389" s="14" t="n">
        <v>46187</v>
      </c>
      <c r="P389" s="7" t="inlineStr">
        <is>
          <t>jobspy</t>
        </is>
      </c>
      <c r="Q389" s="8" t="inlineStr">
        <is>
          <t>Python, SQL, Git, Docker, Kubernetes</t>
        </is>
      </c>
      <c r="R389" s="8" t="inlineStr">
        <is>
          <t>Junior Python Developer SQL Docker</t>
        </is>
      </c>
      <c r="S389" s="19" t="n"/>
      <c r="T389" s="19" t="n"/>
      <c r="U389" s="14" t="n">
        <v>46193</v>
      </c>
      <c r="V389" s="7" t="inlineStr">
        <is>
          <t>v2-cv-accuracy-13b988b18da8ea7d</t>
        </is>
      </c>
    </row>
    <row r="390" ht="28" customHeight="1">
      <c r="A390" s="12">
        <f>IF($L390="applied","Applied",IF($L390="interview","Interview",IF($L390="offer","Offer",IF($L390="rejected","Rejected",IF($L390="ignore","Ignore",IF($L390="archive","Archive",IF($L390="closed","Closed",IF($B390="","Unscored",IF(AND($B390&gt;=8,OR($H390="",$H390-TODAY()&lt;=14)),"P1 Apply",IF($B390&gt;=7,"P2 Strong",IF($B390&gt;=5,"P3 Maybe","P4 Low")))))))))))</f>
        <v/>
      </c>
      <c r="B390" s="13" t="n">
        <v>2</v>
      </c>
      <c r="C390" s="12" t="inlineStr">
        <is>
          <t>Mid-level</t>
        </is>
      </c>
      <c r="D390" s="8" t="inlineStr">
        <is>
          <t>Data Engineer</t>
        </is>
      </c>
      <c r="E390" s="7" t="inlineStr">
        <is>
          <t>Computappoint</t>
        </is>
      </c>
      <c r="F390" s="8" t="inlineStr">
        <is>
          <t>City Of London, England, UK</t>
        </is>
      </c>
      <c r="G390" s="8" t="n"/>
      <c r="H390" s="14" t="n"/>
      <c r="I390" s="15">
        <f>IF($H390="","",$H390-TODAY())</f>
        <v/>
      </c>
      <c r="J390" s="16" t="inlineStr">
        <is>
          <t>Open posting</t>
        </is>
      </c>
      <c r="K390" s="8" t="inlineStr">
        <is>
          <t>Title includes 'Senior', requires 5+ years, City of London contract; major seniority, experience, and location mismatches.</t>
        </is>
      </c>
      <c r="L390" s="17" t="inlineStr">
        <is>
          <t>new</t>
        </is>
      </c>
      <c r="M390" s="18" t="inlineStr"/>
      <c r="N390" s="7" t="inlineStr">
        <is>
          <t>b4686209d693171bac20badfd158ed8754322e6b</t>
        </is>
      </c>
      <c r="O390" s="14" t="n">
        <v>46185</v>
      </c>
      <c r="P390" s="7" t="inlineStr">
        <is>
          <t>jobspy</t>
        </is>
      </c>
      <c r="Q390" s="8" t="inlineStr">
        <is>
          <t>Python, SQL, Docker, Kubernetes</t>
        </is>
      </c>
      <c r="R390" s="8" t="inlineStr">
        <is>
          <t>Graduate Data Engineer SQL Python pipeline</t>
        </is>
      </c>
      <c r="S390" s="19" t="n"/>
      <c r="T390" s="19" t="n"/>
      <c r="U390" s="14" t="n">
        <v>46192</v>
      </c>
      <c r="V390" s="7" t="inlineStr">
        <is>
          <t>v2-cv-accuracy-13b988b18da8ea7d</t>
        </is>
      </c>
    </row>
    <row r="391" ht="28" customHeight="1">
      <c r="A391" s="12">
        <f>IF($L391="applied","Applied",IF($L391="interview","Interview",IF($L391="offer","Offer",IF($L391="rejected","Rejected",IF($L391="ignore","Ignore",IF($L391="archive","Archive",IF($L391="closed","Closed",IF($B391="","Unscored",IF(AND($B391&gt;=8,OR($H391="",$H391-TODAY()&lt;=14)),"P1 Apply",IF($B391&gt;=7,"P2 Strong",IF($B391&gt;=5,"P3 Maybe","P4 Low")))))))))))</f>
        <v/>
      </c>
      <c r="B391" s="13" t="n">
        <v>1.94</v>
      </c>
      <c r="C391" s="12" t="inlineStr">
        <is>
          <t>Senior/Lead</t>
        </is>
      </c>
      <c r="D391" s="8" t="inlineStr">
        <is>
          <t>Cybersecurity Engineer, Enterprise Services</t>
        </is>
      </c>
      <c r="E391" s="7" t="inlineStr">
        <is>
          <t>Thales</t>
        </is>
      </c>
      <c r="F391" s="8" t="inlineStr">
        <is>
          <t>Belfast, NIR, GB</t>
        </is>
      </c>
      <c r="G391" s="8" t="n"/>
      <c r="H391" s="14" t="n"/>
      <c r="I391" s="15">
        <f>IF($H391="","",$H391-TODAY())</f>
        <v/>
      </c>
      <c r="J391" s="16" t="inlineStr">
        <is>
          <t>Open posting</t>
        </is>
      </c>
      <c r="K391" s="8" t="inlineStr">
        <is>
          <t>filtered by keyword pre-scan</t>
        </is>
      </c>
      <c r="L391" s="17" t="inlineStr">
        <is>
          <t>new</t>
        </is>
      </c>
      <c r="M391" s="18" t="inlineStr"/>
      <c r="N391" s="7" t="inlineStr">
        <is>
          <t>a57414dea34fc391157a8e2c1ef774f64b3e5d8e</t>
        </is>
      </c>
      <c r="O391" s="14" t="n">
        <v>46191</v>
      </c>
      <c r="P391" s="7" t="inlineStr">
        <is>
          <t>jobspy</t>
        </is>
      </c>
      <c r="Q391" s="8" t="inlineStr">
        <is>
          <t>python, sql, mysql, git, c</t>
        </is>
      </c>
      <c r="R391" s="8" t="inlineStr">
        <is>
          <t>Junior Data Engineer SQL Python MySQL</t>
        </is>
      </c>
      <c r="S391" s="19" t="n"/>
      <c r="T391" s="19" t="n"/>
      <c r="U391" s="14" t="n">
        <v>46193</v>
      </c>
      <c r="V391" s="7" t="inlineStr">
        <is>
          <t>v2-cv-accuracy-13b988b18da8ea7d</t>
        </is>
      </c>
    </row>
    <row r="392" ht="28" customHeight="1">
      <c r="A392" s="12">
        <f>IF($L392="applied","Applied",IF($L392="interview","Interview",IF($L392="offer","Offer",IF($L392="rejected","Rejected",IF($L392="ignore","Ignore",IF($L392="archive","Archive",IF($L392="closed","Closed",IF($B392="","Unscored",IF(AND($B392&gt;=8,OR($H392="",$H392-TODAY()&lt;=14)),"P1 Apply",IF($B392&gt;=7,"P2 Strong",IF($B392&gt;=5,"P3 Maybe","P4 Low")))))))))))</f>
        <v/>
      </c>
      <c r="B392" s="13" t="n">
        <v>1.94</v>
      </c>
      <c r="C392" s="12" t="inlineStr">
        <is>
          <t>Unspecified</t>
        </is>
      </c>
      <c r="D392" s="8" t="inlineStr">
        <is>
          <t>Data Engineer</t>
        </is>
      </c>
      <c r="E392" s="7" t="inlineStr">
        <is>
          <t>Akkodis</t>
        </is>
      </c>
      <c r="F392" s="8" t="inlineStr">
        <is>
          <t>Stevenage, England, UK</t>
        </is>
      </c>
      <c r="G392" s="8" t="n"/>
      <c r="H392" s="14" t="n"/>
      <c r="I392" s="15">
        <f>IF($H392="","",$H392-TODAY())</f>
        <v/>
      </c>
      <c r="J392" s="16" t="inlineStr">
        <is>
          <t>Open posting</t>
        </is>
      </c>
      <c r="K392" s="8" t="inlineStr">
        <is>
          <t>filtered by keyword pre-scan</t>
        </is>
      </c>
      <c r="L392" s="17" t="inlineStr">
        <is>
          <t>new</t>
        </is>
      </c>
      <c r="M392" s="18" t="inlineStr"/>
      <c r="N392" s="7" t="inlineStr">
        <is>
          <t>0bddbb7a67930fafb4ac6b9935869e34709509ed</t>
        </is>
      </c>
      <c r="O392" s="14" t="n">
        <v>46181</v>
      </c>
      <c r="P392" s="7" t="inlineStr">
        <is>
          <t>jobspy</t>
        </is>
      </c>
      <c r="Q392" s="8" t="inlineStr">
        <is>
          <t>python, sql, mysql, git, c</t>
        </is>
      </c>
      <c r="R392" s="8" t="inlineStr">
        <is>
          <t>Junior Data Engineer SQL Python MySQL</t>
        </is>
      </c>
      <c r="S392" s="19" t="n"/>
      <c r="T392" s="19" t="n"/>
      <c r="U392" s="14" t="n">
        <v>46193</v>
      </c>
      <c r="V392" s="7" t="inlineStr">
        <is>
          <t>v2-cv-accuracy-13b988b18da8ea7d</t>
        </is>
      </c>
    </row>
    <row r="393" ht="28" customHeight="1">
      <c r="A393" s="12">
        <f>IF($L393="applied","Applied",IF($L393="interview","Interview",IF($L393="offer","Offer",IF($L393="rejected","Rejected",IF($L393="ignore","Ignore",IF($L393="archive","Archive",IF($L393="closed","Closed",IF($B393="","Unscored",IF(AND($B393&gt;=8,OR($H393="",$H393-TODAY()&lt;=14)),"P1 Apply",IF($B393&gt;=7,"P2 Strong",IF($B393&gt;=5,"P3 Maybe","P4 Low")))))))))))</f>
        <v/>
      </c>
      <c r="B393" s="13" t="n">
        <v>1.94</v>
      </c>
      <c r="C393" s="12" t="inlineStr">
        <is>
          <t>Junior</t>
        </is>
      </c>
      <c r="D393" s="8" t="inlineStr">
        <is>
          <t>AWS DevOps Engineer - eSC or eDV Cleared</t>
        </is>
      </c>
      <c r="E393" s="7" t="inlineStr">
        <is>
          <t>IBM</t>
        </is>
      </c>
      <c r="F393" s="8" t="inlineStr">
        <is>
          <t>London, England, UK</t>
        </is>
      </c>
      <c r="G393" s="8" t="n"/>
      <c r="H393" s="14" t="n"/>
      <c r="I393" s="15">
        <f>IF($H393="","",$H393-TODAY())</f>
        <v/>
      </c>
      <c r="J393" s="16" t="inlineStr">
        <is>
          <t>Open posting</t>
        </is>
      </c>
      <c r="K393" s="8" t="inlineStr">
        <is>
          <t>filtered by keyword pre-scan</t>
        </is>
      </c>
      <c r="L393" s="17" t="inlineStr">
        <is>
          <t>new</t>
        </is>
      </c>
      <c r="M393" s="18" t="inlineStr"/>
      <c r="N393" s="7" t="inlineStr">
        <is>
          <t>b397089faf20a4ff2de9f6f968455e64faad0869</t>
        </is>
      </c>
      <c r="O393" s="14" t="n">
        <v>46176</v>
      </c>
      <c r="P393" s="7" t="inlineStr">
        <is>
          <t>jobspy</t>
        </is>
      </c>
      <c r="Q393" s="8" t="inlineStr">
        <is>
          <t>python, docker, kubernetes, git, c</t>
        </is>
      </c>
      <c r="R393" s="8" t="inlineStr">
        <is>
          <t>Graduate DevOps Engineer Docker Kubernetes Git</t>
        </is>
      </c>
      <c r="S393" s="19" t="n"/>
      <c r="T393" s="19" t="n"/>
      <c r="U393" s="14" t="n">
        <v>46193</v>
      </c>
      <c r="V393" s="7" t="inlineStr">
        <is>
          <t>v2-cv-accuracy-13b988b18da8ea7d</t>
        </is>
      </c>
    </row>
    <row r="394" ht="28" customHeight="1">
      <c r="A394" s="12">
        <f>IF($L394="applied","Applied",IF($L394="interview","Interview",IF($L394="offer","Offer",IF($L394="rejected","Rejected",IF($L394="ignore","Ignore",IF($L394="archive","Archive",IF($L394="closed","Closed",IF($B394="","Unscored",IF(AND($B394&gt;=8,OR($H394="",$H394-TODAY()&lt;=14)),"P1 Apply",IF($B394&gt;=7,"P2 Strong",IF($B394&gt;=5,"P3 Maybe","P4 Low")))))))))))</f>
        <v/>
      </c>
      <c r="B394" s="13" t="n">
        <v>1.94</v>
      </c>
      <c r="C394" s="12" t="inlineStr">
        <is>
          <t>Unspecified</t>
        </is>
      </c>
      <c r="D394" s="8" t="inlineStr">
        <is>
          <t>Audio R&amp;D Engineer</t>
        </is>
      </c>
      <c r="E394" s="7" t="inlineStr">
        <is>
          <t>elasticStage</t>
        </is>
      </c>
      <c r="F394" s="8" t="inlineStr">
        <is>
          <t>Elstree, England, UK</t>
        </is>
      </c>
      <c r="G394" s="8" t="n"/>
      <c r="H394" s="14" t="n"/>
      <c r="I394" s="15">
        <f>IF($H394="","",$H394-TODAY())</f>
        <v/>
      </c>
      <c r="J394" s="16" t="inlineStr">
        <is>
          <t>Open posting</t>
        </is>
      </c>
      <c r="K394" s="8" t="inlineStr">
        <is>
          <t>filtered by keyword pre-scan</t>
        </is>
      </c>
      <c r="L394" s="17" t="inlineStr">
        <is>
          <t>new</t>
        </is>
      </c>
      <c r="M394" s="18" t="inlineStr"/>
      <c r="N394" s="7" t="inlineStr">
        <is>
          <t>ef59a82afa30da438eb63ad2ebfdc3fbf55583ca</t>
        </is>
      </c>
      <c r="O394" s="14" t="n">
        <v>46183</v>
      </c>
      <c r="P394" s="7" t="inlineStr">
        <is>
          <t>jobspy</t>
        </is>
      </c>
      <c r="Q394" s="8" t="inlineStr">
        <is>
          <t>python, git, c, embedded systems, dsp</t>
        </is>
      </c>
      <c r="R394" s="8" t="inlineStr">
        <is>
          <t>Graduate Signal Processing Engineer DSP</t>
        </is>
      </c>
      <c r="S394" s="19" t="n"/>
      <c r="T394" s="19" t="n"/>
      <c r="U394" s="14" t="n">
        <v>46193</v>
      </c>
      <c r="V394" s="7" t="inlineStr">
        <is>
          <t>v2-cv-accuracy-13b988b18da8ea7d</t>
        </is>
      </c>
    </row>
    <row r="395" ht="28" customHeight="1">
      <c r="A395" s="12">
        <f>IF($L395="applied","Applied",IF($L395="interview","Interview",IF($L395="offer","Offer",IF($L395="rejected","Rejected",IF($L395="ignore","Ignore",IF($L395="archive","Archive",IF($L395="closed","Closed",IF($B395="","Unscored",IF(AND($B395&gt;=8,OR($H395="",$H395-TODAY()&lt;=14)),"P1 Apply",IF($B395&gt;=7,"P2 Strong",IF($B395&gt;=5,"P3 Maybe","P4 Low")))))))))))</f>
        <v/>
      </c>
      <c r="B395" s="13" t="n">
        <v>1.94</v>
      </c>
      <c r="C395" s="12" t="inlineStr">
        <is>
          <t>Unspecified</t>
        </is>
      </c>
      <c r="D395" s="8" t="inlineStr">
        <is>
          <t>Embedded Software Engineer</t>
        </is>
      </c>
      <c r="E395" s="7" t="inlineStr">
        <is>
          <t>IC Resources</t>
        </is>
      </c>
      <c r="F395" s="8" t="inlineStr">
        <is>
          <t>Oxfordshire, England, UK</t>
        </is>
      </c>
      <c r="G395" s="8" t="n"/>
      <c r="H395" s="14" t="n"/>
      <c r="I395" s="15">
        <f>IF($H395="","",$H395-TODAY())</f>
        <v/>
      </c>
      <c r="J395" s="16" t="inlineStr">
        <is>
          <t>Open posting</t>
        </is>
      </c>
      <c r="K395" s="8" t="inlineStr">
        <is>
          <t>filtered by keyword pre-scan</t>
        </is>
      </c>
      <c r="L395" s="17" t="inlineStr">
        <is>
          <t>new</t>
        </is>
      </c>
      <c r="M395" s="18" t="inlineStr"/>
      <c r="N395" s="7" t="inlineStr">
        <is>
          <t>81c44cacaccea52cca5867dbdd460b6410b98f93</t>
        </is>
      </c>
      <c r="O395" s="14" t="n"/>
      <c r="P395" s="7" t="inlineStr">
        <is>
          <t>jobspy</t>
        </is>
      </c>
      <c r="Q395" s="8" t="inlineStr">
        <is>
          <t>python, fpga, git, c, embedded systems</t>
        </is>
      </c>
      <c r="R395" s="8" t="inlineStr">
        <is>
          <t>Graduate Embedded Engineer Python FPGA</t>
        </is>
      </c>
      <c r="S395" s="19" t="n"/>
      <c r="T395" s="19" t="n"/>
      <c r="U395" s="14" t="n">
        <v>46193</v>
      </c>
      <c r="V395" s="7" t="inlineStr">
        <is>
          <t>v2-cv-accuracy-13b988b18da8ea7d</t>
        </is>
      </c>
    </row>
    <row r="396" ht="28" customHeight="1">
      <c r="A396" s="12">
        <f>IF($L396="applied","Applied",IF($L396="interview","Interview",IF($L396="offer","Offer",IF($L396="rejected","Rejected",IF($L396="ignore","Ignore",IF($L396="archive","Archive",IF($L396="closed","Closed",IF($B396="","Unscored",IF(AND($B396&gt;=8,OR($H396="",$H396-TODAY()&lt;=14)),"P1 Apply",IF($B396&gt;=7,"P2 Strong",IF($B396&gt;=5,"P3 Maybe","P4 Low")))))))))))</f>
        <v/>
      </c>
      <c r="B396" s="13" t="n">
        <v>1.94</v>
      </c>
      <c r="C396" s="12" t="inlineStr">
        <is>
          <t>Unspecified</t>
        </is>
      </c>
      <c r="D396" s="8" t="inlineStr">
        <is>
          <t>Platform Engineer</t>
        </is>
      </c>
      <c r="E396" s="7" t="inlineStr">
        <is>
          <t>SubSea Craft</t>
        </is>
      </c>
      <c r="F396" s="8" t="inlineStr">
        <is>
          <t>Portsmouth, ENG, GB</t>
        </is>
      </c>
      <c r="G396" s="8" t="n"/>
      <c r="H396" s="14" t="n"/>
      <c r="I396" s="15">
        <f>IF($H396="","",$H396-TODAY())</f>
        <v/>
      </c>
      <c r="J396" s="16" t="inlineStr">
        <is>
          <t>Open posting</t>
        </is>
      </c>
      <c r="K396" s="8" t="inlineStr">
        <is>
          <t>filtered by keyword pre-scan</t>
        </is>
      </c>
      <c r="L396" s="17" t="inlineStr">
        <is>
          <t>new</t>
        </is>
      </c>
      <c r="M396" s="18" t="inlineStr"/>
      <c r="N396" s="7" t="inlineStr">
        <is>
          <t>36ba565939ee284db0439b635898c28d26173aa3</t>
        </is>
      </c>
      <c r="O396" s="14" t="n">
        <v>46193</v>
      </c>
      <c r="P396" s="7" t="inlineStr">
        <is>
          <t>jobspy</t>
        </is>
      </c>
      <c r="Q396" s="8" t="inlineStr">
        <is>
          <t>python, docker, kubernetes, git, c</t>
        </is>
      </c>
      <c r="R396" s="8" t="inlineStr">
        <is>
          <t>Platform Engineer Docker Kubernetes Python</t>
        </is>
      </c>
      <c r="S396" s="19" t="n"/>
      <c r="T396" s="19" t="n"/>
      <c r="U396" s="14" t="n">
        <v>46193</v>
      </c>
      <c r="V396" s="7" t="inlineStr">
        <is>
          <t>v2-cv-accuracy-13b988b18da8ea7d</t>
        </is>
      </c>
    </row>
    <row r="397" ht="28" customHeight="1">
      <c r="A397" s="12">
        <f>IF($L397="applied","Applied",IF($L397="interview","Interview",IF($L397="offer","Offer",IF($L397="rejected","Rejected",IF($L397="ignore","Ignore",IF($L397="archive","Archive",IF($L397="closed","Closed",IF($B397="","Unscored",IF(AND($B397&gt;=8,OR($H397="",$H397-TODAY()&lt;=14)),"P1 Apply",IF($B397&gt;=7,"P2 Strong",IF($B397&gt;=5,"P3 Maybe","P4 Low")))))))))))</f>
        <v/>
      </c>
      <c r="B397" s="13" t="n">
        <v>1.94</v>
      </c>
      <c r="C397" s="12" t="inlineStr">
        <is>
          <t>Senior/Lead</t>
        </is>
      </c>
      <c r="D397" s="8" t="inlineStr">
        <is>
          <t>DevOps Engineer</t>
        </is>
      </c>
      <c r="E397" s="7" t="inlineStr">
        <is>
          <t>Trafalgar House Pensions Administration</t>
        </is>
      </c>
      <c r="F397" s="8" t="inlineStr">
        <is>
          <t>London, ENG, GB</t>
        </is>
      </c>
      <c r="G397" s="8" t="n"/>
      <c r="H397" s="14" t="n"/>
      <c r="I397" s="15">
        <f>IF($H397="","",$H397-TODAY())</f>
        <v/>
      </c>
      <c r="J397" s="16" t="inlineStr">
        <is>
          <t>Open posting</t>
        </is>
      </c>
      <c r="K397" s="8" t="inlineStr">
        <is>
          <t>filtered by keyword pre-scan</t>
        </is>
      </c>
      <c r="L397" s="17" t="inlineStr">
        <is>
          <t>new</t>
        </is>
      </c>
      <c r="M397" s="18" t="inlineStr"/>
      <c r="N397" s="7" t="inlineStr">
        <is>
          <t>d7b84d670e643f6115eafbf32b05412b7acd65a5</t>
        </is>
      </c>
      <c r="O397" s="14" t="n">
        <v>46191</v>
      </c>
      <c r="P397" s="7" t="inlineStr">
        <is>
          <t>jobspy</t>
        </is>
      </c>
      <c r="Q397" s="8" t="inlineStr">
        <is>
          <t>python, docker, kubernetes, git, c</t>
        </is>
      </c>
      <c r="R397" s="8" t="inlineStr">
        <is>
          <t>Platform Engineer Docker Kubernetes Python</t>
        </is>
      </c>
      <c r="S397" s="19" t="n"/>
      <c r="T397" s="19" t="n"/>
      <c r="U397" s="14" t="n">
        <v>46193</v>
      </c>
      <c r="V397" s="7" t="inlineStr">
        <is>
          <t>v2-cv-accuracy-13b988b18da8ea7d</t>
        </is>
      </c>
    </row>
    <row r="398" ht="28" customHeight="1">
      <c r="A398" s="12">
        <f>IF($L398="applied","Applied",IF($L398="interview","Interview",IF($L398="offer","Offer",IF($L398="rejected","Rejected",IF($L398="ignore","Ignore",IF($L398="archive","Archive",IF($L398="closed","Closed",IF($B398="","Unscored",IF(AND($B398&gt;=8,OR($H398="",$H398-TODAY()&lt;=14)),"P1 Apply",IF($B398&gt;=7,"P2 Strong",IF($B398&gt;=5,"P3 Maybe","P4 Low")))))))))))</f>
        <v/>
      </c>
      <c r="B398" s="13" t="n">
        <v>1.94</v>
      </c>
      <c r="C398" s="12" t="inlineStr">
        <is>
          <t>Senior/Lead</t>
        </is>
      </c>
      <c r="D398" s="8" t="inlineStr">
        <is>
          <t>Platform Engineer</t>
        </is>
      </c>
      <c r="E398" s="7" t="inlineStr">
        <is>
          <t>Cogna</t>
        </is>
      </c>
      <c r="F398" s="8" t="inlineStr">
        <is>
          <t>London, England, UK</t>
        </is>
      </c>
      <c r="G398" s="8" t="n"/>
      <c r="H398" s="14" t="n"/>
      <c r="I398" s="15">
        <f>IF($H398="","",$H398-TODAY())</f>
        <v/>
      </c>
      <c r="J398" s="16" t="inlineStr">
        <is>
          <t>Open posting</t>
        </is>
      </c>
      <c r="K398" s="8" t="inlineStr">
        <is>
          <t>filtered by keyword pre-scan</t>
        </is>
      </c>
      <c r="L398" s="17" t="inlineStr">
        <is>
          <t>new</t>
        </is>
      </c>
      <c r="M398" s="18" t="inlineStr"/>
      <c r="N398" s="7" t="inlineStr">
        <is>
          <t>2a41e9105ff6daace4b731130e620f855f00f605</t>
        </is>
      </c>
      <c r="O398" s="14" t="n">
        <v>46191</v>
      </c>
      <c r="P398" s="7" t="inlineStr">
        <is>
          <t>jobspy</t>
        </is>
      </c>
      <c r="Q398" s="8" t="inlineStr">
        <is>
          <t>python, sql, kubernetes, git, c</t>
        </is>
      </c>
      <c r="R398" s="8" t="inlineStr">
        <is>
          <t>Platform Engineer Docker Kubernetes Python</t>
        </is>
      </c>
      <c r="S398" s="19" t="n"/>
      <c r="T398" s="19" t="n"/>
      <c r="U398" s="14" t="n">
        <v>46193</v>
      </c>
      <c r="V398" s="7" t="inlineStr">
        <is>
          <t>v2-cv-accuracy-13b988b18da8ea7d</t>
        </is>
      </c>
    </row>
    <row r="399" ht="28" customHeight="1">
      <c r="A399" s="12">
        <f>IF($L399="applied","Applied",IF($L399="interview","Interview",IF($L399="offer","Offer",IF($L399="rejected","Rejected",IF($L399="ignore","Ignore",IF($L399="archive","Archive",IF($L399="closed","Closed",IF($B399="","Unscored",IF(AND($B399&gt;=8,OR($H399="",$H399-TODAY()&lt;=14)),"P1 Apply",IF($B399&gt;=7,"P2 Strong",IF($B399&gt;=5,"P3 Maybe","P4 Low")))))))))))</f>
        <v/>
      </c>
      <c r="B399" s="13" t="n">
        <v>1.94</v>
      </c>
      <c r="C399" s="12" t="inlineStr">
        <is>
          <t>Unspecified</t>
        </is>
      </c>
      <c r="D399" s="8" t="inlineStr">
        <is>
          <t>Software Infrastructure Engineer</t>
        </is>
      </c>
      <c r="E399" s="7" t="inlineStr">
        <is>
          <t>Graphcore</t>
        </is>
      </c>
      <c r="F399" s="8" t="inlineStr">
        <is>
          <t>Bristol, England, UK</t>
        </is>
      </c>
      <c r="G399" s="8" t="n"/>
      <c r="H399" s="14" t="n"/>
      <c r="I399" s="15">
        <f>IF($H399="","",$H399-TODAY())</f>
        <v/>
      </c>
      <c r="J399" s="16" t="inlineStr">
        <is>
          <t>Open posting</t>
        </is>
      </c>
      <c r="K399" s="8" t="inlineStr">
        <is>
          <t>filtered by keyword pre-scan</t>
        </is>
      </c>
      <c r="L399" s="17" t="inlineStr">
        <is>
          <t>new</t>
        </is>
      </c>
      <c r="M399" s="18" t="inlineStr"/>
      <c r="N399" s="7" t="inlineStr">
        <is>
          <t>22d029072de689383fda427d60ab7b49744e5b34</t>
        </is>
      </c>
      <c r="O399" s="14" t="n">
        <v>46182</v>
      </c>
      <c r="P399" s="7" t="inlineStr">
        <is>
          <t>jobspy</t>
        </is>
      </c>
      <c r="Q399" s="8" t="inlineStr">
        <is>
          <t>python, docker, kubernetes, git, c</t>
        </is>
      </c>
      <c r="R399" s="8" t="inlineStr">
        <is>
          <t>Platform Engineer Docker Kubernetes Python</t>
        </is>
      </c>
      <c r="S399" s="19" t="n"/>
      <c r="T399" s="19" t="n"/>
      <c r="U399" s="14" t="n">
        <v>46193</v>
      </c>
      <c r="V399" s="7" t="inlineStr">
        <is>
          <t>v2-cv-accuracy-13b988b18da8ea7d</t>
        </is>
      </c>
    </row>
    <row r="400" ht="28" customHeight="1">
      <c r="A400" s="12">
        <f>IF($L400="applied","Applied",IF($L400="interview","Interview",IF($L400="offer","Offer",IF($L400="rejected","Rejected",IF($L400="ignore","Ignore",IF($L400="archive","Archive",IF($L400="closed","Closed",IF($B400="","Unscored",IF(AND($B400&gt;=8,OR($H400="",$H400-TODAY()&lt;=14)),"P1 Apply",IF($B400&gt;=7,"P2 Strong",IF($B400&gt;=5,"P3 Maybe","P4 Low")))))))))))</f>
        <v/>
      </c>
      <c r="B400" s="13" t="n">
        <v>1.94</v>
      </c>
      <c r="C400" s="12" t="inlineStr">
        <is>
          <t>Mid-level</t>
        </is>
      </c>
      <c r="D400" s="8" t="inlineStr">
        <is>
          <t>Platform Engineer</t>
        </is>
      </c>
      <c r="E400" s="7" t="inlineStr">
        <is>
          <t>CAIS</t>
        </is>
      </c>
      <c r="F400" s="8" t="inlineStr">
        <is>
          <t>London, England, UK</t>
        </is>
      </c>
      <c r="G400" s="8" t="n"/>
      <c r="H400" s="14" t="n"/>
      <c r="I400" s="15">
        <f>IF($H400="","",$H400-TODAY())</f>
        <v/>
      </c>
      <c r="J400" s="16" t="inlineStr">
        <is>
          <t>Open posting</t>
        </is>
      </c>
      <c r="K400" s="8" t="inlineStr">
        <is>
          <t>filtered by keyword pre-scan</t>
        </is>
      </c>
      <c r="L400" s="17" t="inlineStr">
        <is>
          <t>new</t>
        </is>
      </c>
      <c r="M400" s="18" t="inlineStr"/>
      <c r="N400" s="7" t="inlineStr">
        <is>
          <t>1e847faf6bad7b6417ef317666058b6005a64632</t>
        </is>
      </c>
      <c r="O400" s="14" t="n">
        <v>46177</v>
      </c>
      <c r="P400" s="7" t="inlineStr">
        <is>
          <t>jobspy</t>
        </is>
      </c>
      <c r="Q400" s="8" t="inlineStr">
        <is>
          <t>python, kubernetes, git, c, javascript</t>
        </is>
      </c>
      <c r="R400" s="8" t="inlineStr">
        <is>
          <t>Platform Engineer Docker Kubernetes Python</t>
        </is>
      </c>
      <c r="S400" s="19" t="n"/>
      <c r="T400" s="19" t="n"/>
      <c r="U400" s="14" t="n">
        <v>46193</v>
      </c>
      <c r="V400" s="7" t="inlineStr">
        <is>
          <t>v2-cv-accuracy-13b988b18da8ea7d</t>
        </is>
      </c>
    </row>
    <row r="401" ht="28" customHeight="1">
      <c r="A401" s="12">
        <f>IF($L401="applied","Applied",IF($L401="interview","Interview",IF($L401="offer","Offer",IF($L401="rejected","Rejected",IF($L401="ignore","Ignore",IF($L401="archive","Archive",IF($L401="closed","Closed",IF($B401="","Unscored",IF(AND($B401&gt;=8,OR($H401="",$H401-TODAY()&lt;=14)),"P1 Apply",IF($B401&gt;=7,"P2 Strong",IF($B401&gt;=5,"P3 Maybe","P4 Low")))))))))))</f>
        <v/>
      </c>
      <c r="B401" s="13" t="n">
        <v>1.94</v>
      </c>
      <c r="C401" s="12" t="inlineStr">
        <is>
          <t>Mid-level</t>
        </is>
      </c>
      <c r="D401" s="8" t="inlineStr">
        <is>
          <t>Platform Engineer</t>
        </is>
      </c>
      <c r="E401" s="7" t="inlineStr">
        <is>
          <t>Immersum</t>
        </is>
      </c>
      <c r="F401" s="8" t="inlineStr">
        <is>
          <t>London Area, United Kingdom</t>
        </is>
      </c>
      <c r="G401" s="8" t="n"/>
      <c r="H401" s="14" t="n"/>
      <c r="I401" s="15">
        <f>IF($H401="","",$H401-TODAY())</f>
        <v/>
      </c>
      <c r="J401" s="16" t="inlineStr">
        <is>
          <t>Open posting</t>
        </is>
      </c>
      <c r="K401" s="8" t="inlineStr">
        <is>
          <t>filtered by keyword pre-scan</t>
        </is>
      </c>
      <c r="L401" s="17" t="inlineStr">
        <is>
          <t>new</t>
        </is>
      </c>
      <c r="M401" s="18" t="inlineStr"/>
      <c r="N401" s="7" t="inlineStr">
        <is>
          <t>beccf6866ff06bd1bbdd38b3aa94c44046f50227</t>
        </is>
      </c>
      <c r="O401" s="14" t="n">
        <v>46177</v>
      </c>
      <c r="P401" s="7" t="inlineStr">
        <is>
          <t>jobspy</t>
        </is>
      </c>
      <c r="Q401" s="8" t="inlineStr">
        <is>
          <t>python, docker, kubernetes, git, c</t>
        </is>
      </c>
      <c r="R401" s="8" t="inlineStr">
        <is>
          <t>Platform Engineer Docker Kubernetes Python</t>
        </is>
      </c>
      <c r="S401" s="19" t="n"/>
      <c r="T401" s="19" t="n"/>
      <c r="U401" s="14" t="n">
        <v>46193</v>
      </c>
      <c r="V401" s="7" t="inlineStr">
        <is>
          <t>v2-cv-accuracy-13b988b18da8ea7d</t>
        </is>
      </c>
    </row>
    <row r="402" ht="28" customHeight="1">
      <c r="A402" s="12">
        <f>IF($L402="applied","Applied",IF($L402="interview","Interview",IF($L402="offer","Offer",IF($L402="rejected","Rejected",IF($L402="ignore","Ignore",IF($L402="archive","Archive",IF($L402="closed","Closed",IF($B402="","Unscored",IF(AND($B402&gt;=8,OR($H402="",$H402-TODAY()&lt;=14)),"P1 Apply",IF($B402&gt;=7,"P2 Strong",IF($B402&gt;=5,"P3 Maybe","P4 Low")))))))))))</f>
        <v/>
      </c>
      <c r="B402" s="13" t="n">
        <v>1.94</v>
      </c>
      <c r="C402" s="12" t="inlineStr">
        <is>
          <t>Unspecified</t>
        </is>
      </c>
      <c r="D402" s="8" t="inlineStr">
        <is>
          <t>Platform Engineer</t>
        </is>
      </c>
      <c r="E402" s="7" t="inlineStr">
        <is>
          <t>SubSea Craft Limited</t>
        </is>
      </c>
      <c r="F402" s="8" t="inlineStr">
        <is>
          <t>Portsmouth, England, UK</t>
        </is>
      </c>
      <c r="G402" s="8" t="n"/>
      <c r="H402" s="14" t="n"/>
      <c r="I402" s="15">
        <f>IF($H402="","",$H402-TODAY())</f>
        <v/>
      </c>
      <c r="J402" s="16" t="inlineStr">
        <is>
          <t>Open posting</t>
        </is>
      </c>
      <c r="K402" s="8" t="inlineStr">
        <is>
          <t>filtered by keyword pre-scan</t>
        </is>
      </c>
      <c r="L402" s="17" t="inlineStr">
        <is>
          <t>new</t>
        </is>
      </c>
      <c r="M402" s="18" t="inlineStr"/>
      <c r="N402" s="7" t="inlineStr">
        <is>
          <t>248dbd2f312617f040b541898b2f815e291f7317</t>
        </is>
      </c>
      <c r="O402" s="14" t="n"/>
      <c r="P402" s="7" t="inlineStr">
        <is>
          <t>jobspy</t>
        </is>
      </c>
      <c r="Q402" s="8" t="inlineStr">
        <is>
          <t>python, docker, kubernetes, git, c</t>
        </is>
      </c>
      <c r="R402" s="8" t="inlineStr">
        <is>
          <t>Platform Engineer Docker Kubernetes Python</t>
        </is>
      </c>
      <c r="S402" s="19" t="n"/>
      <c r="T402" s="19" t="n"/>
      <c r="U402" s="14" t="n">
        <v>46193</v>
      </c>
      <c r="V402" s="7" t="inlineStr">
        <is>
          <t>v2-cv-accuracy-13b988b18da8ea7d</t>
        </is>
      </c>
    </row>
    <row r="403" ht="28" customHeight="1">
      <c r="A403" s="12">
        <f>IF($L403="applied","Applied",IF($L403="interview","Interview",IF($L403="offer","Offer",IF($L403="rejected","Rejected",IF($L403="ignore","Ignore",IF($L403="archive","Archive",IF($L403="closed","Closed",IF($B403="","Unscored",IF(AND($B403&gt;=8,OR($H403="",$H403-TODAY()&lt;=14)),"P1 Apply",IF($B403&gt;=7,"P2 Strong",IF($B403&gt;=5,"P3 Maybe","P4 Low")))))))))))</f>
        <v/>
      </c>
      <c r="B403" s="13" t="n">
        <v>1.94</v>
      </c>
      <c r="C403" s="12" t="inlineStr">
        <is>
          <t>Unspecified</t>
        </is>
      </c>
      <c r="D403" s="8" t="inlineStr">
        <is>
          <t>Embedded Software Engineer</t>
        </is>
      </c>
      <c r="E403" s="7" t="inlineStr">
        <is>
          <t>IC Resources</t>
        </is>
      </c>
      <c r="F403" s="8" t="inlineStr">
        <is>
          <t>Oxfordshire, England, UK</t>
        </is>
      </c>
      <c r="G403" s="8" t="n"/>
      <c r="H403" s="14" t="n"/>
      <c r="I403" s="15">
        <f>IF($H403="","",$H403-TODAY())</f>
        <v/>
      </c>
      <c r="J403" s="16" t="inlineStr">
        <is>
          <t>Open posting</t>
        </is>
      </c>
      <c r="K403" s="8" t="inlineStr">
        <is>
          <t>filtered by keyword pre-scan</t>
        </is>
      </c>
      <c r="L403" s="17" t="inlineStr">
        <is>
          <t>new</t>
        </is>
      </c>
      <c r="M403" s="18" t="inlineStr"/>
      <c r="N403" s="7" t="inlineStr">
        <is>
          <t>cf4c64fb2a3c2d269b60eb1d596ae99f114c0ed8</t>
        </is>
      </c>
      <c r="O403" s="14" t="n">
        <v>46187</v>
      </c>
      <c r="P403" s="7" t="inlineStr">
        <is>
          <t>jobspy</t>
        </is>
      </c>
      <c r="Q403" s="8" t="inlineStr">
        <is>
          <t>python, fpga, git, c, embedded systems</t>
        </is>
      </c>
      <c r="R403" s="8" t="inlineStr">
        <is>
          <t>Graduate Embedded Engineer Python FPGA</t>
        </is>
      </c>
      <c r="S403" s="19" t="n"/>
      <c r="T403" s="19" t="n"/>
      <c r="U403" s="14" t="n">
        <v>46192</v>
      </c>
      <c r="V403" s="7" t="inlineStr">
        <is>
          <t>v2-cv-accuracy-13b988b18da8ea7d</t>
        </is>
      </c>
    </row>
    <row r="404" ht="28" customHeight="1">
      <c r="A404" s="12">
        <f>IF($L404="applied","Applied",IF($L404="interview","Interview",IF($L404="offer","Offer",IF($L404="rejected","Rejected",IF($L404="ignore","Ignore",IF($L404="archive","Archive",IF($L404="closed","Closed",IF($B404="","Unscored",IF(AND($B404&gt;=8,OR($H404="",$H404-TODAY()&lt;=14)),"P1 Apply",IF($B404&gt;=7,"P2 Strong",IF($B404&gt;=5,"P3 Maybe","P4 Low")))))))))))</f>
        <v/>
      </c>
      <c r="B404" s="13" t="n">
        <v>1.94</v>
      </c>
      <c r="C404" s="12" t="inlineStr">
        <is>
          <t>Unspecified</t>
        </is>
      </c>
      <c r="D404" s="8" t="inlineStr">
        <is>
          <t>Data Engineer, Fraud</t>
        </is>
      </c>
      <c r="E404" s="7" t="inlineStr">
        <is>
          <t>Xcelirate</t>
        </is>
      </c>
      <c r="F404" s="8" t="inlineStr">
        <is>
          <t>London, England, UK</t>
        </is>
      </c>
      <c r="G404" s="8" t="n"/>
      <c r="H404" s="14" t="n"/>
      <c r="I404" s="15">
        <f>IF($H404="","",$H404-TODAY())</f>
        <v/>
      </c>
      <c r="J404" s="16" t="inlineStr">
        <is>
          <t>Open posting</t>
        </is>
      </c>
      <c r="K404" s="8" t="inlineStr">
        <is>
          <t>filtered by keyword pre-scan</t>
        </is>
      </c>
      <c r="L404" s="17" t="inlineStr">
        <is>
          <t>new</t>
        </is>
      </c>
      <c r="M404" s="18" t="inlineStr"/>
      <c r="N404" s="7" t="inlineStr">
        <is>
          <t>fe668304433cf0d8ea0f678eeccb41fa833de9f5</t>
        </is>
      </c>
      <c r="O404" s="14" t="n">
        <v>46181</v>
      </c>
      <c r="P404" s="7" t="inlineStr">
        <is>
          <t>jobspy</t>
        </is>
      </c>
      <c r="Q404" s="8" t="inlineStr">
        <is>
          <t>python, sql, mysql, git, c</t>
        </is>
      </c>
      <c r="R404" s="8" t="inlineStr">
        <is>
          <t>Graduate Data Engineer SQL Python pipeline</t>
        </is>
      </c>
      <c r="S404" s="19" t="n"/>
      <c r="T404" s="19" t="n"/>
      <c r="U404" s="14" t="n">
        <v>46192</v>
      </c>
      <c r="V404" s="7" t="inlineStr">
        <is>
          <t>v2-cv-accuracy-13b988b18da8ea7d</t>
        </is>
      </c>
    </row>
    <row r="405" ht="28" customHeight="1">
      <c r="A405" s="12">
        <f>IF($L405="applied","Applied",IF($L405="interview","Interview",IF($L405="offer","Offer",IF($L405="rejected","Rejected",IF($L405="ignore","Ignore",IF($L405="archive","Archive",IF($L405="closed","Closed",IF($B405="","Unscored",IF(AND($B405&gt;=8,OR($H405="",$H405-TODAY()&lt;=14)),"P1 Apply",IF($B405&gt;=7,"P2 Strong",IF($B405&gt;=5,"P3 Maybe","P4 Low")))))))))))</f>
        <v/>
      </c>
      <c r="B405" s="13" t="n">
        <v>1.94</v>
      </c>
      <c r="C405" s="12" t="inlineStr">
        <is>
          <t>Unspecified</t>
        </is>
      </c>
      <c r="D405" s="8" t="inlineStr">
        <is>
          <t>Full Stack Engineer</t>
        </is>
      </c>
      <c r="E405" s="7" t="inlineStr">
        <is>
          <t>Mark43</t>
        </is>
      </c>
      <c r="F405" s="8" t="inlineStr">
        <is>
          <t>Manchester, ENG, GB</t>
        </is>
      </c>
      <c r="G405" s="8" t="n"/>
      <c r="H405" s="14" t="n"/>
      <c r="I405" s="15">
        <f>IF($H405="","",$H405-TODAY())</f>
        <v/>
      </c>
      <c r="J405" s="16" t="inlineStr">
        <is>
          <t>Open posting</t>
        </is>
      </c>
      <c r="K405" s="8" t="inlineStr">
        <is>
          <t>filtered by keyword pre-scan</t>
        </is>
      </c>
      <c r="L405" s="17" t="inlineStr">
        <is>
          <t>new</t>
        </is>
      </c>
      <c r="M405" s="18" t="inlineStr"/>
      <c r="N405" s="7" t="inlineStr">
        <is>
          <t>21f17577a2420e2bf2a5b29a11d2be6b08a7065c</t>
        </is>
      </c>
      <c r="O405" s="14" t="n">
        <v>46170</v>
      </c>
      <c r="P405" s="7" t="inlineStr">
        <is>
          <t>jobspy</t>
        </is>
      </c>
      <c r="Q405" s="8" t="inlineStr">
        <is>
          <t>sql, mysql, kubernetes, c, javascript</t>
        </is>
      </c>
      <c r="R405" s="8" t="inlineStr">
        <is>
          <t>Graduate Electronics Engineer remote UK</t>
        </is>
      </c>
      <c r="S405" s="19" t="n"/>
      <c r="T405" s="19" t="n"/>
      <c r="U405" s="14" t="n">
        <v>46192</v>
      </c>
      <c r="V405" s="7" t="inlineStr">
        <is>
          <t>v2-cv-accuracy-13b988b18da8ea7d</t>
        </is>
      </c>
    </row>
    <row r="406" ht="28" customHeight="1">
      <c r="A406" s="12">
        <f>IF($L406="applied","Applied",IF($L406="interview","Interview",IF($L406="offer","Offer",IF($L406="rejected","Rejected",IF($L406="ignore","Ignore",IF($L406="archive","Archive",IF($L406="closed","Closed",IF($B406="","Unscored",IF(AND($B406&gt;=8,OR($H406="",$H406-TODAY()&lt;=14)),"P1 Apply",IF($B406&gt;=7,"P2 Strong",IF($B406&gt;=5,"P3 Maybe","P4 Low")))))))))))</f>
        <v/>
      </c>
      <c r="B406" s="13" t="n">
        <v>1.94</v>
      </c>
      <c r="C406" s="12" t="inlineStr">
        <is>
          <t>Mid-level</t>
        </is>
      </c>
      <c r="D406" s="8" t="inlineStr">
        <is>
          <t>Backend Software Engineer (Python)</t>
        </is>
      </c>
      <c r="E406" s="7" t="inlineStr">
        <is>
          <t>Signal</t>
        </is>
      </c>
      <c r="F406" s="8" t="inlineStr">
        <is>
          <t>London Area, United Kingdom</t>
        </is>
      </c>
      <c r="G406" s="8" t="n"/>
      <c r="H406" s="14" t="n"/>
      <c r="I406" s="15">
        <f>IF($H406="","",$H406-TODAY())</f>
        <v/>
      </c>
      <c r="J406" s="16" t="inlineStr">
        <is>
          <t>Open posting</t>
        </is>
      </c>
      <c r="K406" s="8" t="inlineStr">
        <is>
          <t>filtered by keyword pre-scan</t>
        </is>
      </c>
      <c r="L406" s="17" t="inlineStr">
        <is>
          <t>new</t>
        </is>
      </c>
      <c r="M406" s="18" t="inlineStr"/>
      <c r="N406" s="7" t="inlineStr">
        <is>
          <t>04e74edb06d5762f9b7b2d017884ed9a4122fc3c</t>
        </is>
      </c>
      <c r="O406" s="14" t="n">
        <v>46185</v>
      </c>
      <c r="P406" s="7" t="inlineStr">
        <is>
          <t>jobspy</t>
        </is>
      </c>
      <c r="Q406" s="8" t="inlineStr">
        <is>
          <t>python, sql, docker, kubernetes, c</t>
        </is>
      </c>
      <c r="R406" s="8" t="inlineStr">
        <is>
          <t>Junior Python Developer Docker Kubernetes Sheffield</t>
        </is>
      </c>
      <c r="S406" s="19" t="n"/>
      <c r="T406" s="19" t="n"/>
      <c r="U406" s="14" t="n">
        <v>46192</v>
      </c>
      <c r="V406" s="7" t="inlineStr">
        <is>
          <t>v2-cv-accuracy-13b988b18da8ea7d</t>
        </is>
      </c>
    </row>
    <row r="407" ht="28" customHeight="1">
      <c r="A407" s="12">
        <f>IF($L407="applied","Applied",IF($L407="interview","Interview",IF($L407="offer","Offer",IF($L407="rejected","Rejected",IF($L407="ignore","Ignore",IF($L407="archive","Archive",IF($L407="closed","Closed",IF($B407="","Unscored",IF(AND($B407&gt;=8,OR($H407="",$H407-TODAY()&lt;=14)),"P1 Apply",IF($B407&gt;=7,"P2 Strong",IF($B407&gt;=5,"P3 Maybe","P4 Low")))))))))))</f>
        <v/>
      </c>
      <c r="B407" s="13" t="n">
        <v>1.94</v>
      </c>
      <c r="C407" s="12" t="inlineStr">
        <is>
          <t>Graduate/Entry</t>
        </is>
      </c>
      <c r="D407" s="8" t="inlineStr">
        <is>
          <t>Entry Level - Site Reliability Engineer - (Remote - United Kingdom)</t>
        </is>
      </c>
      <c r="E407" s="7" t="inlineStr">
        <is>
          <t>Yelp</t>
        </is>
      </c>
      <c r="F407" s="8" t="inlineStr">
        <is>
          <t>Leeds, England, UK</t>
        </is>
      </c>
      <c r="G407" s="8" t="n"/>
      <c r="H407" s="14" t="n"/>
      <c r="I407" s="15">
        <f>IF($H407="","",$H407-TODAY())</f>
        <v/>
      </c>
      <c r="J407" s="16" t="inlineStr">
        <is>
          <t>Open posting</t>
        </is>
      </c>
      <c r="K407" s="8" t="inlineStr">
        <is>
          <t>filtered by keyword pre-scan</t>
        </is>
      </c>
      <c r="L407" s="17" t="inlineStr">
        <is>
          <t>new</t>
        </is>
      </c>
      <c r="M407" s="18" t="inlineStr"/>
      <c r="N407" s="7" t="inlineStr">
        <is>
          <t>55da3ff7a99e56249c8915863523f059b3826032</t>
        </is>
      </c>
      <c r="O407" s="14" t="n">
        <v>46179</v>
      </c>
      <c r="P407" s="7" t="inlineStr">
        <is>
          <t>jobspy</t>
        </is>
      </c>
      <c r="Q407" s="8" t="inlineStr">
        <is>
          <t>python, docker, kubernetes, git, c</t>
        </is>
      </c>
      <c r="R407" s="8" t="inlineStr">
        <is>
          <t>Graduate Computer Engineer Sheffield remote</t>
        </is>
      </c>
      <c r="S407" s="19" t="n"/>
      <c r="T407" s="19" t="n"/>
      <c r="U407" s="14" t="n">
        <v>46192</v>
      </c>
      <c r="V407" s="7" t="inlineStr">
        <is>
          <t>v2-cv-accuracy-13b988b18da8ea7d</t>
        </is>
      </c>
    </row>
    <row r="408" ht="28" customHeight="1">
      <c r="A408" s="12">
        <f>IF($L408="applied","Applied",IF($L408="interview","Interview",IF($L408="offer","Offer",IF($L408="rejected","Rejected",IF($L408="ignore","Ignore",IF($L408="archive","Archive",IF($L408="closed","Closed",IF($B408="","Unscored",IF(AND($B408&gt;=8,OR($H408="",$H408-TODAY()&lt;=14)),"P1 Apply",IF($B408&gt;=7,"P2 Strong",IF($B408&gt;=5,"P3 Maybe","P4 Low")))))))))))</f>
        <v/>
      </c>
      <c r="B408" s="13" t="n">
        <v>1.94</v>
      </c>
      <c r="C408" s="12" t="inlineStr">
        <is>
          <t>Graduate/Entry</t>
        </is>
      </c>
      <c r="D408" s="8" t="inlineStr">
        <is>
          <t>Entry Level - Site Reliability Engineer - (Remote - United Kingdom)</t>
        </is>
      </c>
      <c r="E408" s="7" t="inlineStr">
        <is>
          <t>Yelp</t>
        </is>
      </c>
      <c r="F408" s="8" t="inlineStr">
        <is>
          <t>Manchester, England, UK</t>
        </is>
      </c>
      <c r="G408" s="8" t="n"/>
      <c r="H408" s="14" t="n"/>
      <c r="I408" s="15">
        <f>IF($H408="","",$H408-TODAY())</f>
        <v/>
      </c>
      <c r="J408" s="16" t="inlineStr">
        <is>
          <t>Open posting</t>
        </is>
      </c>
      <c r="K408" s="8" t="inlineStr">
        <is>
          <t>filtered by keyword pre-scan</t>
        </is>
      </c>
      <c r="L408" s="17" t="inlineStr">
        <is>
          <t>new</t>
        </is>
      </c>
      <c r="M408" s="18" t="inlineStr"/>
      <c r="N408" s="7" t="inlineStr">
        <is>
          <t>e233e989f531895f7b5ba4b67e4bf4dc499a702a</t>
        </is>
      </c>
      <c r="O408" s="14" t="n">
        <v>46178</v>
      </c>
      <c r="P408" s="7" t="inlineStr">
        <is>
          <t>jobspy</t>
        </is>
      </c>
      <c r="Q408" s="8" t="inlineStr">
        <is>
          <t>python, docker, kubernetes, git, c</t>
        </is>
      </c>
      <c r="R408" s="8" t="inlineStr">
        <is>
          <t>Graduate Computer Engineer Sheffield remote</t>
        </is>
      </c>
      <c r="S408" s="19" t="n"/>
      <c r="T408" s="19" t="n"/>
      <c r="U408" s="14" t="n">
        <v>46192</v>
      </c>
      <c r="V408" s="7" t="inlineStr">
        <is>
          <t>v2-cv-accuracy-13b988b18da8ea7d</t>
        </is>
      </c>
    </row>
    <row r="409" ht="28" customHeight="1">
      <c r="A409" s="12">
        <f>IF($L409="applied","Applied",IF($L409="interview","Interview",IF($L409="offer","Offer",IF($L409="rejected","Rejected",IF($L409="ignore","Ignore",IF($L409="archive","Archive",IF($L409="closed","Closed",IF($B409="","Unscored",IF(AND($B409&gt;=8,OR($H409="",$H409-TODAY()&lt;=14)),"P1 Apply",IF($B409&gt;=7,"P2 Strong",IF($B409&gt;=5,"P3 Maybe","P4 Low")))))))))))</f>
        <v/>
      </c>
      <c r="B409" s="13" t="n">
        <v>1.94</v>
      </c>
      <c r="C409" s="12" t="inlineStr">
        <is>
          <t>Mid-level</t>
        </is>
      </c>
      <c r="D409" s="8" t="inlineStr">
        <is>
          <t>Cloud DevOps Engineer (AWS)</t>
        </is>
      </c>
      <c r="E409" s="7" t="inlineStr">
        <is>
          <t>Broadridge</t>
        </is>
      </c>
      <c r="F409" s="8" t="inlineStr">
        <is>
          <t>London, England, UK</t>
        </is>
      </c>
      <c r="G409" s="8" t="n"/>
      <c r="H409" s="14" t="n"/>
      <c r="I409" s="15">
        <f>IF($H409="","",$H409-TODAY())</f>
        <v/>
      </c>
      <c r="J409" s="16" t="inlineStr">
        <is>
          <t>Open posting</t>
        </is>
      </c>
      <c r="K409" s="8" t="inlineStr">
        <is>
          <t>filtered by keyword pre-scan</t>
        </is>
      </c>
      <c r="L409" s="17" t="inlineStr">
        <is>
          <t>new</t>
        </is>
      </c>
      <c r="M409" s="18" t="inlineStr"/>
      <c r="N409" s="7" t="inlineStr">
        <is>
          <t>ccc804420a9e031e660d4d4ffd26b4351fd6d624</t>
        </is>
      </c>
      <c r="O409" s="14" t="n">
        <v>46181</v>
      </c>
      <c r="P409" s="7" t="inlineStr">
        <is>
          <t>jobspy</t>
        </is>
      </c>
      <c r="Q409" s="8" t="inlineStr">
        <is>
          <t>python, docker, kubernetes, git, c</t>
        </is>
      </c>
      <c r="R409" s="8" t="inlineStr">
        <is>
          <t>Graduate DevOps Engineer Docker Kubernetes Python</t>
        </is>
      </c>
      <c r="S409" s="19" t="n"/>
      <c r="T409" s="19" t="n"/>
      <c r="U409" s="14" t="n">
        <v>46192</v>
      </c>
      <c r="V409" s="7" t="inlineStr">
        <is>
          <t>v2-cv-accuracy-13b988b18da8ea7d</t>
        </is>
      </c>
    </row>
    <row r="410" ht="28" customHeight="1">
      <c r="A410" s="12">
        <f>IF($L410="applied","Applied",IF($L410="interview","Interview",IF($L410="offer","Offer",IF($L410="rejected","Rejected",IF($L410="ignore","Ignore",IF($L410="archive","Archive",IF($L410="closed","Closed",IF($B410="","Unscored",IF(AND($B410&gt;=8,OR($H410="",$H410-TODAY()&lt;=14)),"P1 Apply",IF($B410&gt;=7,"P2 Strong",IF($B410&gt;=5,"P3 Maybe","P4 Low")))))))))))</f>
        <v/>
      </c>
      <c r="B410" s="13" t="n">
        <v>1.94</v>
      </c>
      <c r="C410" s="12" t="inlineStr">
        <is>
          <t>Graduate/Entry</t>
        </is>
      </c>
      <c r="D410" s="8" t="inlineStr">
        <is>
          <t>Entry Level - Site Reliability Engineer - (Remote - United Kingdom)</t>
        </is>
      </c>
      <c r="E410" s="7" t="inlineStr">
        <is>
          <t>Yelp</t>
        </is>
      </c>
      <c r="F410" s="8" t="inlineStr">
        <is>
          <t>Birmingham, England, UK</t>
        </is>
      </c>
      <c r="G410" s="8" t="n"/>
      <c r="H410" s="14" t="n"/>
      <c r="I410" s="15">
        <f>IF($H410="","",$H410-TODAY())</f>
        <v/>
      </c>
      <c r="J410" s="16" t="inlineStr">
        <is>
          <t>Open posting</t>
        </is>
      </c>
      <c r="K410" s="8" t="inlineStr">
        <is>
          <t>filtered by keyword pre-scan</t>
        </is>
      </c>
      <c r="L410" s="17" t="inlineStr">
        <is>
          <t>new</t>
        </is>
      </c>
      <c r="M410" s="18" t="inlineStr"/>
      <c r="N410" s="7" t="inlineStr">
        <is>
          <t>5ecc9d734577c4ffab7f6fdc96135ba1d59b4efa</t>
        </is>
      </c>
      <c r="O410" s="14" t="n">
        <v>46179</v>
      </c>
      <c r="P410" s="7" t="inlineStr">
        <is>
          <t>jobspy</t>
        </is>
      </c>
      <c r="Q410" s="8" t="inlineStr">
        <is>
          <t>python, docker, kubernetes, git, c</t>
        </is>
      </c>
      <c r="R410" s="8" t="inlineStr">
        <is>
          <t>Graduate DevOps Engineer Docker Kubernetes Python</t>
        </is>
      </c>
      <c r="S410" s="19" t="n"/>
      <c r="T410" s="19" t="n"/>
      <c r="U410" s="14" t="n">
        <v>46192</v>
      </c>
      <c r="V410" s="7" t="inlineStr">
        <is>
          <t>v2-cv-accuracy-13b988b18da8ea7d</t>
        </is>
      </c>
    </row>
    <row r="411" ht="28" customHeight="1">
      <c r="A411" s="12">
        <f>IF($L411="applied","Applied",IF($L411="interview","Interview",IF($L411="offer","Offer",IF($L411="rejected","Rejected",IF($L411="ignore","Ignore",IF($L411="archive","Archive",IF($L411="closed","Closed",IF($B411="","Unscored",IF(AND($B411&gt;=8,OR($H411="",$H411-TODAY()&lt;=14)),"P1 Apply",IF($B411&gt;=7,"P2 Strong",IF($B411&gt;=5,"P3 Maybe","P4 Low")))))))))))</f>
        <v/>
      </c>
      <c r="B411" s="13" t="n">
        <v>1.94</v>
      </c>
      <c r="C411" s="12" t="inlineStr">
        <is>
          <t>Graduate/Entry</t>
        </is>
      </c>
      <c r="D411" s="8" t="inlineStr">
        <is>
          <t>Entry Level - Site Reliability Engineer - (Remote - United Kingdom)</t>
        </is>
      </c>
      <c r="E411" s="7" t="inlineStr">
        <is>
          <t>Yelp</t>
        </is>
      </c>
      <c r="F411" s="8" t="inlineStr">
        <is>
          <t>London, England, UK</t>
        </is>
      </c>
      <c r="G411" s="8" t="n"/>
      <c r="H411" s="14" t="n"/>
      <c r="I411" s="15">
        <f>IF($H411="","",$H411-TODAY())</f>
        <v/>
      </c>
      <c r="J411" s="16" t="inlineStr">
        <is>
          <t>Open posting</t>
        </is>
      </c>
      <c r="K411" s="8" t="inlineStr">
        <is>
          <t>filtered by keyword pre-scan</t>
        </is>
      </c>
      <c r="L411" s="17" t="inlineStr">
        <is>
          <t>new</t>
        </is>
      </c>
      <c r="M411" s="18" t="inlineStr"/>
      <c r="N411" s="7" t="inlineStr">
        <is>
          <t>4b0467b23e386e7e0efa5e5a1fa07e0102a1eb10</t>
        </is>
      </c>
      <c r="O411" s="14" t="n">
        <v>46178</v>
      </c>
      <c r="P411" s="7" t="inlineStr">
        <is>
          <t>jobspy</t>
        </is>
      </c>
      <c r="Q411" s="8" t="inlineStr">
        <is>
          <t>python, docker, kubernetes, git, c</t>
        </is>
      </c>
      <c r="R411" s="8" t="inlineStr">
        <is>
          <t>Graduate DevOps Engineer Docker Kubernetes Python</t>
        </is>
      </c>
      <c r="S411" s="19" t="n"/>
      <c r="T411" s="19" t="n"/>
      <c r="U411" s="14" t="n">
        <v>46192</v>
      </c>
      <c r="V411" s="7" t="inlineStr">
        <is>
          <t>v2-cv-accuracy-13b988b18da8ea7d</t>
        </is>
      </c>
    </row>
    <row r="412" ht="28" customHeight="1">
      <c r="A412" s="12">
        <f>IF($L412="applied","Applied",IF($L412="interview","Interview",IF($L412="offer","Offer",IF($L412="rejected","Rejected",IF($L412="ignore","Ignore",IF($L412="archive","Archive",IF($L412="closed","Closed",IF($B412="","Unscored",IF(AND($B412&gt;=8,OR($H412="",$H412-TODAY()&lt;=14)),"P1 Apply",IF($B412&gt;=7,"P2 Strong",IF($B412&gt;=5,"P3 Maybe","P4 Low")))))))))))</f>
        <v/>
      </c>
      <c r="B412" s="13" t="n">
        <v>1.94</v>
      </c>
      <c r="C412" s="12" t="inlineStr">
        <is>
          <t>Unspecified</t>
        </is>
      </c>
      <c r="D412" s="8" t="inlineStr">
        <is>
          <t>Cloud DevOps Engineer</t>
        </is>
      </c>
      <c r="E412" s="7" t="inlineStr">
        <is>
          <t>Halliburton</t>
        </is>
      </c>
      <c r="F412" s="8" t="inlineStr">
        <is>
          <t>Abingdon-On-Thames, England, UK</t>
        </is>
      </c>
      <c r="G412" s="8" t="n"/>
      <c r="H412" s="14" t="n"/>
      <c r="I412" s="15">
        <f>IF($H412="","",$H412-TODAY())</f>
        <v/>
      </c>
      <c r="J412" s="16" t="inlineStr">
        <is>
          <t>Open posting</t>
        </is>
      </c>
      <c r="K412" s="8" t="inlineStr">
        <is>
          <t>filtered by keyword pre-scan</t>
        </is>
      </c>
      <c r="L412" s="17" t="inlineStr">
        <is>
          <t>new</t>
        </is>
      </c>
      <c r="M412" s="18" t="inlineStr"/>
      <c r="N412" s="7" t="inlineStr">
        <is>
          <t>41e387251b99ae73f99424657e92cc03fb6093e2</t>
        </is>
      </c>
      <c r="O412" s="14" t="n">
        <v>46177</v>
      </c>
      <c r="P412" s="7" t="inlineStr">
        <is>
          <t>jobspy</t>
        </is>
      </c>
      <c r="Q412" s="8" t="inlineStr">
        <is>
          <t>python, docker, kubernetes, git, c</t>
        </is>
      </c>
      <c r="R412" s="8" t="inlineStr">
        <is>
          <t>Graduate DevOps Engineer Docker Kubernetes Python</t>
        </is>
      </c>
      <c r="S412" s="19" t="n"/>
      <c r="T412" s="19" t="n"/>
      <c r="U412" s="14" t="n">
        <v>46192</v>
      </c>
      <c r="V412" s="7" t="inlineStr">
        <is>
          <t>v2-cv-accuracy-13b988b18da8ea7d</t>
        </is>
      </c>
    </row>
    <row r="413" ht="28" customHeight="1">
      <c r="A413" s="12">
        <f>IF($L413="applied","Applied",IF($L413="interview","Interview",IF($L413="offer","Offer",IF($L413="rejected","Rejected",IF($L413="ignore","Ignore",IF($L413="archive","Archive",IF($L413="closed","Closed",IF($B413="","Unscored",IF(AND($B413&gt;=8,OR($H413="",$H413-TODAY()&lt;=14)),"P1 Apply",IF($B413&gt;=7,"P2 Strong",IF($B413&gt;=5,"P3 Maybe","P4 Low")))))))))))</f>
        <v/>
      </c>
      <c r="B413" s="13" t="n">
        <v>1.94</v>
      </c>
      <c r="C413" s="12" t="inlineStr">
        <is>
          <t>Unspecified</t>
        </is>
      </c>
      <c r="D413" s="8" t="inlineStr">
        <is>
          <t>Site Reliability Engineer</t>
        </is>
      </c>
      <c r="E413" s="7" t="inlineStr">
        <is>
          <t>TESTQ Technologies</t>
        </is>
      </c>
      <c r="F413" s="8" t="inlineStr">
        <is>
          <t>Sheffield, England, UK</t>
        </is>
      </c>
      <c r="G413" s="8" t="n"/>
      <c r="H413" s="14" t="n"/>
      <c r="I413" s="15">
        <f>IF($H413="","",$H413-TODAY())</f>
        <v/>
      </c>
      <c r="J413" s="16" t="inlineStr">
        <is>
          <t>Open posting</t>
        </is>
      </c>
      <c r="K413" s="8" t="inlineStr">
        <is>
          <t>filtered by keyword pre-scan</t>
        </is>
      </c>
      <c r="L413" s="17" t="inlineStr">
        <is>
          <t>new</t>
        </is>
      </c>
      <c r="M413" s="18" t="inlineStr"/>
      <c r="N413" s="7" t="inlineStr">
        <is>
          <t>c868cdfcb54a78d15ea88c57e4e4da8192d9fc52</t>
        </is>
      </c>
      <c r="O413" s="14" t="n"/>
      <c r="P413" s="7" t="inlineStr">
        <is>
          <t>jobspy</t>
        </is>
      </c>
      <c r="Q413" s="8" t="inlineStr">
        <is>
          <t>python, sql, kubernetes, git, c</t>
        </is>
      </c>
      <c r="R413" s="8" t="inlineStr">
        <is>
          <t>Graduate DevOps Engineer Docker Kubernetes Python</t>
        </is>
      </c>
      <c r="S413" s="19" t="n"/>
      <c r="T413" s="19" t="n"/>
      <c r="U413" s="14" t="n">
        <v>46192</v>
      </c>
      <c r="V413" s="7" t="inlineStr">
        <is>
          <t>v2-cv-accuracy-13b988b18da8ea7d</t>
        </is>
      </c>
    </row>
    <row r="414" ht="28" customHeight="1">
      <c r="A414" s="12">
        <f>IF($L414="applied","Applied",IF($L414="interview","Interview",IF($L414="offer","Offer",IF($L414="rejected","Rejected",IF($L414="ignore","Ignore",IF($L414="archive","Archive",IF($L414="closed","Closed",IF($B414="","Unscored",IF(AND($B414&gt;=8,OR($H414="",$H414-TODAY()&lt;=14)),"P1 Apply",IF($B414&gt;=7,"P2 Strong",IF($B414&gt;=5,"P3 Maybe","P4 Low")))))))))))</f>
        <v/>
      </c>
      <c r="B414" s="13" t="n">
        <v>1.94</v>
      </c>
      <c r="C414" s="12" t="inlineStr">
        <is>
          <t>Senior/Lead</t>
        </is>
      </c>
      <c r="D414" s="8" t="inlineStr">
        <is>
          <t>Software Engineer II- Global Banking Platform</t>
        </is>
      </c>
      <c r="E414" s="7" t="inlineStr">
        <is>
          <t>JPMorganChase</t>
        </is>
      </c>
      <c r="F414" s="8" t="inlineStr">
        <is>
          <t>Greater London, England, UK</t>
        </is>
      </c>
      <c r="G414" s="8" t="n"/>
      <c r="H414" s="14" t="n"/>
      <c r="I414" s="15">
        <f>IF($H414="","",$H414-TODAY())</f>
        <v/>
      </c>
      <c r="J414" s="16" t="inlineStr">
        <is>
          <t>Open posting</t>
        </is>
      </c>
      <c r="K414" s="8" t="inlineStr">
        <is>
          <t>filtered by keyword pre-scan</t>
        </is>
      </c>
      <c r="L414" s="17" t="inlineStr">
        <is>
          <t>new</t>
        </is>
      </c>
      <c r="M414" s="18" t="inlineStr"/>
      <c r="N414" s="7" t="inlineStr">
        <is>
          <t>fbade8b05b048d5834694fab288cf49b85fb1b94</t>
        </is>
      </c>
      <c r="O414" s="14" t="n">
        <v>46180</v>
      </c>
      <c r="P414" s="7" t="inlineStr">
        <is>
          <t>jobspy</t>
        </is>
      </c>
      <c r="Q414" s="8" t="inlineStr">
        <is>
          <t>python, sql, kubernetes, git, c</t>
        </is>
      </c>
      <c r="R414" s="8" t="inlineStr">
        <is>
          <t>Graduate Backend Developer Docker Kubernetes</t>
        </is>
      </c>
      <c r="S414" s="19" t="n"/>
      <c r="T414" s="19" t="n"/>
      <c r="U414" s="14" t="n">
        <v>46192</v>
      </c>
      <c r="V414" s="7" t="inlineStr">
        <is>
          <t>v2-cv-accuracy-13b988b18da8ea7d</t>
        </is>
      </c>
    </row>
    <row r="415" ht="28" customHeight="1">
      <c r="A415" s="12">
        <f>IF($L415="applied","Applied",IF($L415="interview","Interview",IF($L415="offer","Offer",IF($L415="rejected","Rejected",IF($L415="ignore","Ignore",IF($L415="archive","Archive",IF($L415="closed","Closed",IF($B415="","Unscored",IF(AND($B415&gt;=8,OR($H415="",$H415-TODAY()&lt;=14)),"P1 Apply",IF($B415&gt;=7,"P2 Strong",IF($B415&gt;=5,"P3 Maybe","P4 Low")))))))))))</f>
        <v/>
      </c>
      <c r="B415" s="13" t="n">
        <v>1.94</v>
      </c>
      <c r="C415" s="12" t="inlineStr">
        <is>
          <t>Unspecified</t>
        </is>
      </c>
      <c r="D415" s="8" t="inlineStr">
        <is>
          <t>Full Stack Engineer</t>
        </is>
      </c>
      <c r="E415" s="7" t="inlineStr">
        <is>
          <t>Humanoid</t>
        </is>
      </c>
      <c r="F415" s="8" t="inlineStr">
        <is>
          <t>London, England, UK</t>
        </is>
      </c>
      <c r="G415" s="8" t="n"/>
      <c r="H415" s="14" t="n"/>
      <c r="I415" s="15">
        <f>IF($H415="","",$H415-TODAY())</f>
        <v/>
      </c>
      <c r="J415" s="16" t="inlineStr">
        <is>
          <t>Open posting</t>
        </is>
      </c>
      <c r="K415" s="8" t="inlineStr">
        <is>
          <t>filtered by keyword pre-scan</t>
        </is>
      </c>
      <c r="L415" s="17" t="inlineStr">
        <is>
          <t>new</t>
        </is>
      </c>
      <c r="M415" s="18" t="inlineStr"/>
      <c r="N415" s="7" t="inlineStr">
        <is>
          <t>5b4fed6c1881cb430abd00252a72838d23b99416</t>
        </is>
      </c>
      <c r="O415" s="14" t="n">
        <v>46173</v>
      </c>
      <c r="P415" s="7" t="inlineStr">
        <is>
          <t>jobspy</t>
        </is>
      </c>
      <c r="Q415" s="8" t="inlineStr">
        <is>
          <t>python, docker, kubernetes, c, javascript</t>
        </is>
      </c>
      <c r="R415" s="8" t="inlineStr">
        <is>
          <t>Graduate Backend Developer Docker Kubernetes</t>
        </is>
      </c>
      <c r="S415" s="19" t="n"/>
      <c r="T415" s="19" t="n"/>
      <c r="U415" s="14" t="n">
        <v>46192</v>
      </c>
      <c r="V415" s="7" t="inlineStr">
        <is>
          <t>v2-cv-accuracy-13b988b18da8ea7d</t>
        </is>
      </c>
    </row>
    <row r="416" ht="28" customHeight="1">
      <c r="A416" s="12">
        <f>IF($L416="applied","Applied",IF($L416="interview","Interview",IF($L416="offer","Offer",IF($L416="rejected","Rejected",IF($L416="ignore","Ignore",IF($L416="archive","Archive",IF($L416="closed","Closed",IF($B416="","Unscored",IF(AND($B416&gt;=8,OR($H416="",$H416-TODAY()&lt;=14)),"P1 Apply",IF($B416&gt;=7,"P2 Strong",IF($B416&gt;=5,"P3 Maybe","P4 Low")))))))))))</f>
        <v/>
      </c>
      <c r="B416" s="13" t="n">
        <v>1.94</v>
      </c>
      <c r="C416" s="12" t="inlineStr">
        <is>
          <t>Graduate/Entry</t>
        </is>
      </c>
      <c r="D416" s="8" t="inlineStr">
        <is>
          <t>Entry Level - Site Reliability Engineer - (Remote - United Kingdom)</t>
        </is>
      </c>
      <c r="E416" s="7" t="inlineStr">
        <is>
          <t>Yelp</t>
        </is>
      </c>
      <c r="F416" s="8" t="inlineStr">
        <is>
          <t>Edinburgh, Scotland, UK</t>
        </is>
      </c>
      <c r="G416" s="8" t="n"/>
      <c r="H416" s="14" t="n"/>
      <c r="I416" s="15">
        <f>IF($H416="","",$H416-TODAY())</f>
        <v/>
      </c>
      <c r="J416" s="16" t="inlineStr">
        <is>
          <t>Open posting</t>
        </is>
      </c>
      <c r="K416" s="8" t="inlineStr">
        <is>
          <t>filtered by keyword pre-scan</t>
        </is>
      </c>
      <c r="L416" s="17" t="inlineStr">
        <is>
          <t>new</t>
        </is>
      </c>
      <c r="M416" s="18" t="inlineStr"/>
      <c r="N416" s="7" t="inlineStr">
        <is>
          <t>34e57f0f3c3eb5804103a804a199bec3b9e6de3f</t>
        </is>
      </c>
      <c r="O416" s="14" t="n">
        <v>46178</v>
      </c>
      <c r="P416" s="7" t="inlineStr">
        <is>
          <t>jobspy</t>
        </is>
      </c>
      <c r="Q416" s="8" t="inlineStr">
        <is>
          <t>python, docker, kubernetes, git, c</t>
        </is>
      </c>
      <c r="R416" s="8" t="inlineStr">
        <is>
          <t>Graduate DevOps Engineer Docker Kubernetes Git</t>
        </is>
      </c>
      <c r="S416" s="19" t="n"/>
      <c r="T416" s="19" t="n"/>
      <c r="U416" s="14" t="n">
        <v>46192</v>
      </c>
      <c r="V416" s="7" t="inlineStr">
        <is>
          <t>v2-cv-accuracy-13b988b18da8ea7d</t>
        </is>
      </c>
    </row>
    <row r="417" ht="28" customHeight="1">
      <c r="A417" s="12">
        <f>IF($L417="applied","Applied",IF($L417="interview","Interview",IF($L417="offer","Offer",IF($L417="rejected","Rejected",IF($L417="ignore","Ignore",IF($L417="archive","Archive",IF($L417="closed","Closed",IF($B417="","Unscored",IF(AND($B417&gt;=8,OR($H417="",$H417-TODAY()&lt;=14)),"P1 Apply",IF($B417&gt;=7,"P2 Strong",IF($B417&gt;=5,"P3 Maybe","P4 Low")))))))))))</f>
        <v/>
      </c>
      <c r="B417" s="13" t="n">
        <v>1.94</v>
      </c>
      <c r="C417" s="12" t="inlineStr">
        <is>
          <t>Senior/Lead</t>
        </is>
      </c>
      <c r="D417" s="8" t="inlineStr">
        <is>
          <t>Cloud SRE &amp; DevOps Engineer</t>
        </is>
      </c>
      <c r="E417" s="7" t="inlineStr">
        <is>
          <t>Soros Fund Management</t>
        </is>
      </c>
      <c r="F417" s="8" t="inlineStr">
        <is>
          <t>London Area, United Kingdom</t>
        </is>
      </c>
      <c r="G417" s="8" t="n"/>
      <c r="H417" s="14" t="n"/>
      <c r="I417" s="15">
        <f>IF($H417="","",$H417-TODAY())</f>
        <v/>
      </c>
      <c r="J417" s="16" t="inlineStr">
        <is>
          <t>Open posting</t>
        </is>
      </c>
      <c r="K417" s="8" t="inlineStr">
        <is>
          <t>filtered by keyword pre-scan</t>
        </is>
      </c>
      <c r="L417" s="17" t="inlineStr">
        <is>
          <t>new</t>
        </is>
      </c>
      <c r="M417" s="18" t="inlineStr"/>
      <c r="N417" s="7" t="inlineStr">
        <is>
          <t>e611a59a7a4255054d0ae8cbcf2c1093b034fdfc</t>
        </is>
      </c>
      <c r="O417" s="14" t="n">
        <v>46175</v>
      </c>
      <c r="P417" s="7" t="inlineStr">
        <is>
          <t>jobspy</t>
        </is>
      </c>
      <c r="Q417" s="8" t="inlineStr">
        <is>
          <t>python, docker, kubernetes, git, c</t>
        </is>
      </c>
      <c r="R417" s="8" t="inlineStr">
        <is>
          <t>Graduate DevOps Engineer Docker Kubernetes Git</t>
        </is>
      </c>
      <c r="S417" s="19" t="n"/>
      <c r="T417" s="19" t="n"/>
      <c r="U417" s="14" t="n">
        <v>46192</v>
      </c>
      <c r="V417" s="7" t="inlineStr">
        <is>
          <t>v2-cv-accuracy-13b988b18da8ea7d</t>
        </is>
      </c>
    </row>
    <row r="418" ht="28" customHeight="1">
      <c r="A418" s="12">
        <f>IF($L418="applied","Applied",IF($L418="interview","Interview",IF($L418="offer","Offer",IF($L418="rejected","Rejected",IF($L418="ignore","Ignore",IF($L418="archive","Archive",IF($L418="closed","Closed",IF($B418="","Unscored",IF(AND($B418&gt;=8,OR($H418="",$H418-TODAY()&lt;=14)),"P1 Apply",IF($B418&gt;=7,"P2 Strong",IF($B418&gt;=5,"P3 Maybe","P4 Low")))))))))))</f>
        <v/>
      </c>
      <c r="B418" s="13" t="n">
        <v>1.9</v>
      </c>
      <c r="C418" s="12" t="inlineStr">
        <is>
          <t>Senior/Lead</t>
        </is>
      </c>
      <c r="D418" s="8" t="inlineStr">
        <is>
          <t>Full Stack Developer</t>
        </is>
      </c>
      <c r="E418" s="7" t="inlineStr">
        <is>
          <t>Mastek</t>
        </is>
      </c>
      <c r="F418" s="8" t="inlineStr">
        <is>
          <t>Reading, England, UK</t>
        </is>
      </c>
      <c r="G418" s="8" t="n"/>
      <c r="H418" s="14" t="n"/>
      <c r="I418" s="15">
        <f>IF($H418="","",$H418-TODAY())</f>
        <v/>
      </c>
      <c r="J418" s="16" t="inlineStr">
        <is>
          <t>Open posting</t>
        </is>
      </c>
      <c r="K418" s="8" t="inlineStr">
        <is>
          <t>filtered by keyword pre-scan</t>
        </is>
      </c>
      <c r="L418" s="17" t="inlineStr">
        <is>
          <t>new</t>
        </is>
      </c>
      <c r="M418" s="18" t="inlineStr"/>
      <c r="N418" s="7" t="inlineStr">
        <is>
          <t>5ecfae744cd4638ca951ddd250b83198d8358e4d</t>
        </is>
      </c>
      <c r="O418" s="14" t="n">
        <v>46168</v>
      </c>
      <c r="P418" s="7" t="inlineStr">
        <is>
          <t>jobspy</t>
        </is>
      </c>
      <c r="Q418" s="8" t="inlineStr">
        <is>
          <t>python, sql, javascript, git, web development</t>
        </is>
      </c>
      <c r="R418" s="8" t="inlineStr">
        <is>
          <t>Full Stack Developer</t>
        </is>
      </c>
      <c r="S418" s="19" t="n"/>
      <c r="T418" s="19" t="n"/>
      <c r="U418" s="14" t="n">
        <v>46191</v>
      </c>
      <c r="V418" s="7" t="inlineStr">
        <is>
          <t>v2-cv-accuracy-13b988b18da8ea7d</t>
        </is>
      </c>
    </row>
    <row r="419" ht="28" customHeight="1">
      <c r="A419" s="12">
        <f>IF($L419="applied","Applied",IF($L419="interview","Interview",IF($L419="offer","Offer",IF($L419="rejected","Rejected",IF($L419="ignore","Ignore",IF($L419="archive","Archive",IF($L419="closed","Closed",IF($B419="","Unscored",IF(AND($B419&gt;=8,OR($H419="",$H419-TODAY()&lt;=14)),"P1 Apply",IF($B419&gt;=7,"P2 Strong",IF($B419&gt;=5,"P3 Maybe","P4 Low")))))))))))</f>
        <v/>
      </c>
      <c r="B419" s="13" t="n">
        <v>1.84</v>
      </c>
      <c r="C419" s="12" t="inlineStr">
        <is>
          <t>Graduate/Entry</t>
        </is>
      </c>
      <c r="D419" s="8" t="inlineStr">
        <is>
          <t>Graduate software engineer</t>
        </is>
      </c>
      <c r="E419" s="7" t="inlineStr">
        <is>
          <t>Evernote</t>
        </is>
      </c>
      <c r="F419" s="8" t="inlineStr"/>
      <c r="G419" s="8" t="n"/>
      <c r="H419" s="14" t="n"/>
      <c r="I419" s="15">
        <f>IF($H419="","",$H419-TODAY())</f>
        <v/>
      </c>
      <c r="J419" s="16" t="inlineStr">
        <is>
          <t>Open posting</t>
        </is>
      </c>
      <c r="K419" s="8" t="inlineStr">
        <is>
          <t>filtered by keyword pre-scan</t>
        </is>
      </c>
      <c r="L419" s="17" t="inlineStr">
        <is>
          <t>new</t>
        </is>
      </c>
      <c r="M419" s="18" t="inlineStr"/>
      <c r="N419" s="7" t="inlineStr">
        <is>
          <t>ac2729e65e15bf55ebec84cad01150e35c90d21c</t>
        </is>
      </c>
      <c r="O419" s="14" t="n">
        <v>46186</v>
      </c>
      <c r="P419" s="7" t="inlineStr">
        <is>
          <t>jobspy</t>
        </is>
      </c>
      <c r="Q419" s="8" t="inlineStr">
        <is>
          <t>python, git</t>
        </is>
      </c>
      <c r="R419" s="8" t="inlineStr">
        <is>
          <t>Graduate Software Developer</t>
        </is>
      </c>
      <c r="S419" s="19" t="n"/>
      <c r="T419" s="19" t="n"/>
      <c r="U419" s="14" t="n">
        <v>46191</v>
      </c>
      <c r="V419" s="7" t="inlineStr">
        <is>
          <t>v2-cv-accuracy-13b988b18da8ea7d</t>
        </is>
      </c>
    </row>
    <row r="420" ht="28" customHeight="1">
      <c r="A420" s="12">
        <f>IF($L420="applied","Applied",IF($L420="interview","Interview",IF($L420="offer","Offer",IF($L420="rejected","Rejected",IF($L420="ignore","Ignore",IF($L420="archive","Archive",IF($L420="closed","Closed",IF($B420="","Unscored",IF(AND($B420&gt;=8,OR($H420="",$H420-TODAY()&lt;=14)),"P1 Apply",IF($B420&gt;=7,"P2 Strong",IF($B420&gt;=5,"P3 Maybe","P4 Low")))))))))))</f>
        <v/>
      </c>
      <c r="B420" s="13" t="n">
        <v>1.84</v>
      </c>
      <c r="C420" s="12" t="inlineStr">
        <is>
          <t>Graduate/Entry</t>
        </is>
      </c>
      <c r="D420" s="8" t="inlineStr">
        <is>
          <t>Graduate software engineer</t>
        </is>
      </c>
      <c r="E420" s="7" t="inlineStr">
        <is>
          <t>Evernote</t>
        </is>
      </c>
      <c r="F420" s="8" t="inlineStr">
        <is>
          <t>London, England, UK</t>
        </is>
      </c>
      <c r="G420" s="8" t="n"/>
      <c r="H420" s="14" t="n"/>
      <c r="I420" s="15">
        <f>IF($H420="","",$H420-TODAY())</f>
        <v/>
      </c>
      <c r="J420" s="16" t="inlineStr">
        <is>
          <t>Open posting</t>
        </is>
      </c>
      <c r="K420" s="8" t="inlineStr">
        <is>
          <t>filtered by keyword pre-scan</t>
        </is>
      </c>
      <c r="L420" s="17" t="inlineStr">
        <is>
          <t>new</t>
        </is>
      </c>
      <c r="M420" s="18" t="inlineStr"/>
      <c r="N420" s="7" t="inlineStr">
        <is>
          <t>b3c5bba8f84f948ccf69ad6092665ffc942b8eaf</t>
        </is>
      </c>
      <c r="O420" s="14" t="n">
        <v>46186</v>
      </c>
      <c r="P420" s="7" t="inlineStr">
        <is>
          <t>jobspy</t>
        </is>
      </c>
      <c r="Q420" s="8" t="inlineStr">
        <is>
          <t>python, git</t>
        </is>
      </c>
      <c r="R420" s="8" t="inlineStr">
        <is>
          <t>Graduate Software Developer</t>
        </is>
      </c>
      <c r="S420" s="19" t="n"/>
      <c r="T420" s="19" t="n"/>
      <c r="U420" s="14" t="n">
        <v>46191</v>
      </c>
      <c r="V420" s="7" t="inlineStr">
        <is>
          <t>v2-cv-accuracy-13b988b18da8ea7d</t>
        </is>
      </c>
    </row>
    <row r="421" ht="28" customHeight="1">
      <c r="A421" s="12">
        <f>IF($L421="applied","Applied",IF($L421="interview","Interview",IF($L421="offer","Offer",IF($L421="rejected","Rejected",IF($L421="ignore","Ignore",IF($L421="archive","Archive",IF($L421="closed","Closed",IF($B421="","Unscored",IF(AND($B421&gt;=8,OR($H421="",$H421-TODAY()&lt;=14)),"P1 Apply",IF($B421&gt;=7,"P2 Strong",IF($B421&gt;=5,"P3 Maybe","P4 Low")))))))))))</f>
        <v/>
      </c>
      <c r="B421" s="13" t="n">
        <v>1.84</v>
      </c>
      <c r="C421" s="12" t="inlineStr">
        <is>
          <t>Graduate/Entry</t>
        </is>
      </c>
      <c r="D421" s="8" t="inlineStr">
        <is>
          <t>Graduate software engineer</t>
        </is>
      </c>
      <c r="E421" s="7" t="inlineStr">
        <is>
          <t>Meetup</t>
        </is>
      </c>
      <c r="F421" s="8" t="inlineStr">
        <is>
          <t>London, England, UK</t>
        </is>
      </c>
      <c r="G421" s="8" t="n"/>
      <c r="H421" s="14" t="n"/>
      <c r="I421" s="15">
        <f>IF($H421="","",$H421-TODAY())</f>
        <v/>
      </c>
      <c r="J421" s="16" t="inlineStr">
        <is>
          <t>Open posting</t>
        </is>
      </c>
      <c r="K421" s="8" t="inlineStr">
        <is>
          <t>filtered by keyword pre-scan</t>
        </is>
      </c>
      <c r="L421" s="17" t="inlineStr">
        <is>
          <t>new</t>
        </is>
      </c>
      <c r="M421" s="18" t="inlineStr"/>
      <c r="N421" s="7" t="inlineStr">
        <is>
          <t>05ac79639a2d9e9135a14223a0f41c0536612e81</t>
        </is>
      </c>
      <c r="O421" s="14" t="n">
        <v>46186</v>
      </c>
      <c r="P421" s="7" t="inlineStr">
        <is>
          <t>jobspy</t>
        </is>
      </c>
      <c r="Q421" s="8" t="inlineStr">
        <is>
          <t>python, git</t>
        </is>
      </c>
      <c r="R421" s="8" t="inlineStr">
        <is>
          <t>Graduate Software Developer</t>
        </is>
      </c>
      <c r="S421" s="19" t="n"/>
      <c r="T421" s="19" t="n"/>
      <c r="U421" s="14" t="n">
        <v>46191</v>
      </c>
      <c r="V421" s="7" t="inlineStr">
        <is>
          <t>v2-cv-accuracy-13b988b18da8ea7d</t>
        </is>
      </c>
    </row>
    <row r="422" ht="28" customHeight="1">
      <c r="A422" s="12">
        <f>IF($L422="applied","Applied",IF($L422="interview","Interview",IF($L422="offer","Offer",IF($L422="rejected","Rejected",IF($L422="ignore","Ignore",IF($L422="archive","Archive",IF($L422="closed","Closed",IF($B422="","Unscored",IF(AND($B422&gt;=8,OR($H422="",$H422-TODAY()&lt;=14)),"P1 Apply",IF($B422&gt;=7,"P2 Strong",IF($B422&gt;=5,"P3 Maybe","P4 Low")))))))))))</f>
        <v/>
      </c>
      <c r="B422" s="13" t="n">
        <v>1.84</v>
      </c>
      <c r="C422" s="12" t="inlineStr">
        <is>
          <t>Graduate/Entry</t>
        </is>
      </c>
      <c r="D422" s="8" t="inlineStr">
        <is>
          <t>Graduate software engineer</t>
        </is>
      </c>
      <c r="E422" s="7" t="inlineStr">
        <is>
          <t>Meetup</t>
        </is>
      </c>
      <c r="F422" s="8" t="inlineStr"/>
      <c r="G422" s="8" t="n"/>
      <c r="H422" s="14" t="n"/>
      <c r="I422" s="15">
        <f>IF($H422="","",$H422-TODAY())</f>
        <v/>
      </c>
      <c r="J422" s="16" t="inlineStr">
        <is>
          <t>Open posting</t>
        </is>
      </c>
      <c r="K422" s="8" t="inlineStr">
        <is>
          <t>filtered by keyword pre-scan</t>
        </is>
      </c>
      <c r="L422" s="17" t="inlineStr">
        <is>
          <t>new</t>
        </is>
      </c>
      <c r="M422" s="18" t="inlineStr"/>
      <c r="N422" s="7" t="inlineStr">
        <is>
          <t>9b9568812d0c51dd7e371c638fa9aaebf98e8fec</t>
        </is>
      </c>
      <c r="O422" s="14" t="n">
        <v>46186</v>
      </c>
      <c r="P422" s="7" t="inlineStr">
        <is>
          <t>jobspy</t>
        </is>
      </c>
      <c r="Q422" s="8" t="inlineStr">
        <is>
          <t>python, git</t>
        </is>
      </c>
      <c r="R422" s="8" t="inlineStr">
        <is>
          <t>Graduate Software Developer</t>
        </is>
      </c>
      <c r="S422" s="19" t="n"/>
      <c r="T422" s="19" t="n"/>
      <c r="U422" s="14" t="n">
        <v>46191</v>
      </c>
      <c r="V422" s="7" t="inlineStr">
        <is>
          <t>v2-cv-accuracy-13b988b18da8ea7d</t>
        </is>
      </c>
    </row>
    <row r="423" ht="28" customHeight="1">
      <c r="A423" s="12">
        <f>IF($L423="applied","Applied",IF($L423="interview","Interview",IF($L423="offer","Offer",IF($L423="rejected","Rejected",IF($L423="ignore","Ignore",IF($L423="archive","Archive",IF($L423="closed","Closed",IF($B423="","Unscored",IF(AND($B423&gt;=8,OR($H423="",$H423-TODAY()&lt;=14)),"P1 Apply",IF($B423&gt;=7,"P2 Strong",IF($B423&gt;=5,"P3 Maybe","P4 Low")))))))))))</f>
        <v/>
      </c>
      <c r="B423" s="13" t="n">
        <v>1.84</v>
      </c>
      <c r="C423" s="12" t="inlineStr">
        <is>
          <t>Graduate/Entry</t>
        </is>
      </c>
      <c r="D423" s="8" t="inlineStr">
        <is>
          <t>Graduate software engineer</t>
        </is>
      </c>
      <c r="E423" s="7" t="inlineStr">
        <is>
          <t>Evernote</t>
        </is>
      </c>
      <c r="F423" s="8" t="inlineStr">
        <is>
          <t>Oxford, England, UK</t>
        </is>
      </c>
      <c r="G423" s="8" t="n"/>
      <c r="H423" s="14" t="n"/>
      <c r="I423" s="15">
        <f>IF($H423="","",$H423-TODAY())</f>
        <v/>
      </c>
      <c r="J423" s="16" t="inlineStr">
        <is>
          <t>Open posting</t>
        </is>
      </c>
      <c r="K423" s="8" t="inlineStr">
        <is>
          <t>filtered by keyword pre-scan</t>
        </is>
      </c>
      <c r="L423" s="17" t="inlineStr">
        <is>
          <t>new</t>
        </is>
      </c>
      <c r="M423" s="18" t="inlineStr"/>
      <c r="N423" s="7" t="inlineStr">
        <is>
          <t>c698b0d71303b7fcaf33f182e7113f9132a12c4d</t>
        </is>
      </c>
      <c r="O423" s="14" t="n">
        <v>46186</v>
      </c>
      <c r="P423" s="7" t="inlineStr">
        <is>
          <t>jobspy</t>
        </is>
      </c>
      <c r="Q423" s="8" t="inlineStr">
        <is>
          <t>python, git</t>
        </is>
      </c>
      <c r="R423" s="8" t="inlineStr">
        <is>
          <t>Graduate Software Developer</t>
        </is>
      </c>
      <c r="S423" s="19" t="n"/>
      <c r="T423" s="19" t="n"/>
      <c r="U423" s="14" t="n">
        <v>46191</v>
      </c>
      <c r="V423" s="7" t="inlineStr">
        <is>
          <t>v2-cv-accuracy-13b988b18da8ea7d</t>
        </is>
      </c>
    </row>
    <row r="424" ht="28" customHeight="1">
      <c r="A424" s="12">
        <f>IF($L424="applied","Applied",IF($L424="interview","Interview",IF($L424="offer","Offer",IF($L424="rejected","Rejected",IF($L424="ignore","Ignore",IF($L424="archive","Archive",IF($L424="closed","Closed",IF($B424="","Unscored",IF(AND($B424&gt;=8,OR($H424="",$H424-TODAY()&lt;=14)),"P1 Apply",IF($B424&gt;=7,"P2 Strong",IF($B424&gt;=5,"P3 Maybe","P4 Low")))))))))))</f>
        <v/>
      </c>
      <c r="B424" s="13" t="n">
        <v>1.84</v>
      </c>
      <c r="C424" s="12" t="inlineStr">
        <is>
          <t>Graduate/Entry</t>
        </is>
      </c>
      <c r="D424" s="8" t="inlineStr">
        <is>
          <t>Graduate software engineer</t>
        </is>
      </c>
      <c r="E424" s="7" t="inlineStr">
        <is>
          <t>Meetup</t>
        </is>
      </c>
      <c r="F424" s="8" t="inlineStr">
        <is>
          <t>Oxford, England, UK</t>
        </is>
      </c>
      <c r="G424" s="8" t="n"/>
      <c r="H424" s="14" t="n"/>
      <c r="I424" s="15">
        <f>IF($H424="","",$H424-TODAY())</f>
        <v/>
      </c>
      <c r="J424" s="16" t="inlineStr">
        <is>
          <t>Open posting</t>
        </is>
      </c>
      <c r="K424" s="8" t="inlineStr">
        <is>
          <t>filtered by keyword pre-scan</t>
        </is>
      </c>
      <c r="L424" s="17" t="inlineStr">
        <is>
          <t>new</t>
        </is>
      </c>
      <c r="M424" s="18" t="inlineStr"/>
      <c r="N424" s="7" t="inlineStr">
        <is>
          <t>a4146daee3a0b712206f49dbaac4feebb7d838c0</t>
        </is>
      </c>
      <c r="O424" s="14" t="n">
        <v>46186</v>
      </c>
      <c r="P424" s="7" t="inlineStr">
        <is>
          <t>jobspy</t>
        </is>
      </c>
      <c r="Q424" s="8" t="inlineStr">
        <is>
          <t>python, git</t>
        </is>
      </c>
      <c r="R424" s="8" t="inlineStr">
        <is>
          <t>Graduate Software Developer</t>
        </is>
      </c>
      <c r="S424" s="19" t="n"/>
      <c r="T424" s="19" t="n"/>
      <c r="U424" s="14" t="n">
        <v>46191</v>
      </c>
      <c r="V424" s="7" t="inlineStr">
        <is>
          <t>v2-cv-accuracy-13b988b18da8ea7d</t>
        </is>
      </c>
    </row>
    <row r="425" ht="28" customHeight="1">
      <c r="A425" s="12">
        <f>IF($L425="applied","Applied",IF($L425="interview","Interview",IF($L425="offer","Offer",IF($L425="rejected","Rejected",IF($L425="ignore","Ignore",IF($L425="archive","Archive",IF($L425="closed","Closed",IF($B425="","Unscored",IF(AND($B425&gt;=8,OR($H425="",$H425-TODAY()&lt;=14)),"P1 Apply",IF($B425&gt;=7,"P2 Strong",IF($B425&gt;=5,"P3 Maybe","P4 Low")))))))))))</f>
        <v/>
      </c>
      <c r="B425" s="13" t="n">
        <v>1.84</v>
      </c>
      <c r="C425" s="12" t="inlineStr">
        <is>
          <t>Graduate/Entry</t>
        </is>
      </c>
      <c r="D425" s="8" t="inlineStr">
        <is>
          <t>Graduate software engineer</t>
        </is>
      </c>
      <c r="E425" s="7" t="inlineStr">
        <is>
          <t>Meetup</t>
        </is>
      </c>
      <c r="F425" s="8" t="inlineStr">
        <is>
          <t>Cambridge, England, UK</t>
        </is>
      </c>
      <c r="G425" s="8" t="n"/>
      <c r="H425" s="14" t="n"/>
      <c r="I425" s="15">
        <f>IF($H425="","",$H425-TODAY())</f>
        <v/>
      </c>
      <c r="J425" s="16" t="inlineStr">
        <is>
          <t>Open posting</t>
        </is>
      </c>
      <c r="K425" s="8" t="inlineStr">
        <is>
          <t>filtered by keyword pre-scan</t>
        </is>
      </c>
      <c r="L425" s="17" t="inlineStr">
        <is>
          <t>new</t>
        </is>
      </c>
      <c r="M425" s="18" t="inlineStr"/>
      <c r="N425" s="7" t="inlineStr">
        <is>
          <t>ab8eb5665d45bff29c3f1de1a46b1c1007be1cb7</t>
        </is>
      </c>
      <c r="O425" s="14" t="n">
        <v>46186</v>
      </c>
      <c r="P425" s="7" t="inlineStr">
        <is>
          <t>jobspy</t>
        </is>
      </c>
      <c r="Q425" s="8" t="inlineStr">
        <is>
          <t>python, git</t>
        </is>
      </c>
      <c r="R425" s="8" t="inlineStr">
        <is>
          <t>graduate Graduate Software Developer</t>
        </is>
      </c>
      <c r="S425" s="19" t="n"/>
      <c r="T425" s="19" t="n"/>
      <c r="U425" s="14" t="n">
        <v>46191</v>
      </c>
      <c r="V425" s="7" t="inlineStr">
        <is>
          <t>v2-cv-accuracy-13b988b18da8ea7d</t>
        </is>
      </c>
    </row>
    <row r="426" ht="28" customHeight="1">
      <c r="A426" s="12">
        <f>IF($L426="applied","Applied",IF($L426="interview","Interview",IF($L426="offer","Offer",IF($L426="rejected","Rejected",IF($L426="ignore","Ignore",IF($L426="archive","Archive",IF($L426="closed","Closed",IF($B426="","Unscored",IF(AND($B426&gt;=8,OR($H426="",$H426-TODAY()&lt;=14)),"P1 Apply",IF($B426&gt;=7,"P2 Strong",IF($B426&gt;=5,"P3 Maybe","P4 Low")))))))))))</f>
        <v/>
      </c>
      <c r="B426" s="13" t="n">
        <v>1.84</v>
      </c>
      <c r="C426" s="12" t="inlineStr">
        <is>
          <t>Graduate/Entry</t>
        </is>
      </c>
      <c r="D426" s="8" t="inlineStr">
        <is>
          <t>Graduate software engineer</t>
        </is>
      </c>
      <c r="E426" s="7" t="inlineStr">
        <is>
          <t>WeTransfer</t>
        </is>
      </c>
      <c r="F426" s="8" t="inlineStr">
        <is>
          <t>London, England, UK</t>
        </is>
      </c>
      <c r="G426" s="8" t="n"/>
      <c r="H426" s="14" t="n"/>
      <c r="I426" s="15">
        <f>IF($H426="","",$H426-TODAY())</f>
        <v/>
      </c>
      <c r="J426" s="16" t="inlineStr">
        <is>
          <t>Open posting</t>
        </is>
      </c>
      <c r="K426" s="8" t="inlineStr">
        <is>
          <t>filtered by keyword pre-scan</t>
        </is>
      </c>
      <c r="L426" s="17" t="inlineStr">
        <is>
          <t>new</t>
        </is>
      </c>
      <c r="M426" s="18" t="inlineStr"/>
      <c r="N426" s="7" t="inlineStr">
        <is>
          <t>91d74dad5086d57893cfbbca86a54679ea54b514</t>
        </is>
      </c>
      <c r="O426" s="14" t="n">
        <v>46186</v>
      </c>
      <c r="P426" s="7" t="inlineStr">
        <is>
          <t>jobspy</t>
        </is>
      </c>
      <c r="Q426" s="8" t="inlineStr">
        <is>
          <t>python, git</t>
        </is>
      </c>
      <c r="R426" s="8" t="inlineStr">
        <is>
          <t>graduate Graduate Software Developer</t>
        </is>
      </c>
      <c r="S426" s="19" t="n"/>
      <c r="T426" s="19" t="n"/>
      <c r="U426" s="14" t="n">
        <v>46191</v>
      </c>
      <c r="V426" s="7" t="inlineStr">
        <is>
          <t>v2-cv-accuracy-13b988b18da8ea7d</t>
        </is>
      </c>
    </row>
    <row r="427" ht="28" customHeight="1">
      <c r="A427" s="12">
        <f>IF($L427="applied","Applied",IF($L427="interview","Interview",IF($L427="offer","Offer",IF($L427="rejected","Rejected",IF($L427="ignore","Ignore",IF($L427="archive","Archive",IF($L427="closed","Closed",IF($B427="","Unscored",IF(AND($B427&gt;=8,OR($H427="",$H427-TODAY()&lt;=14)),"P1 Apply",IF($B427&gt;=7,"P2 Strong",IF($B427&gt;=5,"P3 Maybe","P4 Low")))))))))))</f>
        <v/>
      </c>
      <c r="B427" s="13" t="n">
        <v>1.84</v>
      </c>
      <c r="C427" s="12" t="inlineStr">
        <is>
          <t>Graduate/Entry</t>
        </is>
      </c>
      <c r="D427" s="8" t="inlineStr">
        <is>
          <t>Graduate software engineer</t>
        </is>
      </c>
      <c r="E427" s="7" t="inlineStr">
        <is>
          <t>Evernote</t>
        </is>
      </c>
      <c r="F427" s="8" t="inlineStr">
        <is>
          <t>Cambridge, England, UK</t>
        </is>
      </c>
      <c r="G427" s="8" t="n"/>
      <c r="H427" s="14" t="n"/>
      <c r="I427" s="15">
        <f>IF($H427="","",$H427-TODAY())</f>
        <v/>
      </c>
      <c r="J427" s="16" t="inlineStr">
        <is>
          <t>Open posting</t>
        </is>
      </c>
      <c r="K427" s="8" t="inlineStr">
        <is>
          <t>filtered by keyword pre-scan</t>
        </is>
      </c>
      <c r="L427" s="17" t="inlineStr">
        <is>
          <t>new</t>
        </is>
      </c>
      <c r="M427" s="18" t="inlineStr"/>
      <c r="N427" s="7" t="inlineStr">
        <is>
          <t>2d0194d33873ca9bc12574df2760f1d3689a7516</t>
        </is>
      </c>
      <c r="O427" s="14" t="n">
        <v>46186</v>
      </c>
      <c r="P427" s="7" t="inlineStr">
        <is>
          <t>jobspy</t>
        </is>
      </c>
      <c r="Q427" s="8" t="inlineStr">
        <is>
          <t>python, git</t>
        </is>
      </c>
      <c r="R427" s="8" t="inlineStr">
        <is>
          <t>graduate Graduate Software Developer</t>
        </is>
      </c>
      <c r="S427" s="19" t="n"/>
      <c r="T427" s="19" t="n"/>
      <c r="U427" s="14" t="n">
        <v>46191</v>
      </c>
      <c r="V427" s="7" t="inlineStr">
        <is>
          <t>v2-cv-accuracy-13b988b18da8ea7d</t>
        </is>
      </c>
    </row>
    <row r="428" ht="28" customHeight="1">
      <c r="A428" s="12">
        <f>IF($L428="applied","Applied",IF($L428="interview","Interview",IF($L428="offer","Offer",IF($L428="rejected","Rejected",IF($L428="ignore","Ignore",IF($L428="archive","Archive",IF($L428="closed","Closed",IF($B428="","Unscored",IF(AND($B428&gt;=8,OR($H428="",$H428-TODAY()&lt;=14)),"P1 Apply",IF($B428&gt;=7,"P2 Strong",IF($B428&gt;=5,"P3 Maybe","P4 Low")))))))))))</f>
        <v/>
      </c>
      <c r="B428" s="13" t="n">
        <v>1.84</v>
      </c>
      <c r="C428" s="12" t="inlineStr">
        <is>
          <t>Graduate/Entry</t>
        </is>
      </c>
      <c r="D428" s="8" t="inlineStr">
        <is>
          <t>.Net Developer Graduate</t>
        </is>
      </c>
      <c r="E428" s="7" t="inlineStr">
        <is>
          <t>Graham + Sibbald</t>
        </is>
      </c>
      <c r="F428" s="8" t="inlineStr">
        <is>
          <t>Remote, GB</t>
        </is>
      </c>
      <c r="G428" s="8" t="n"/>
      <c r="H428" s="14" t="n"/>
      <c r="I428" s="15">
        <f>IF($H428="","",$H428-TODAY())</f>
        <v/>
      </c>
      <c r="J428" s="16" t="inlineStr">
        <is>
          <t>Open posting</t>
        </is>
      </c>
      <c r="K428" s="8" t="inlineStr">
        <is>
          <t>filtered by keyword pre-scan</t>
        </is>
      </c>
      <c r="L428" s="17" t="inlineStr">
        <is>
          <t>new</t>
        </is>
      </c>
      <c r="M428" s="18" t="inlineStr"/>
      <c r="N428" s="7" t="inlineStr">
        <is>
          <t>7ef8a00336b709fc7e42ff6365677f291b70865f</t>
        </is>
      </c>
      <c r="O428" s="14" t="n">
        <v>46183</v>
      </c>
      <c r="P428" s="7" t="inlineStr">
        <is>
          <t>jobspy</t>
        </is>
      </c>
      <c r="Q428" s="8" t="inlineStr">
        <is>
          <t>sql, software development</t>
        </is>
      </c>
      <c r="R428" s="8" t="inlineStr">
        <is>
          <t>entry level Graduate Software Developer</t>
        </is>
      </c>
      <c r="S428" s="19" t="n"/>
      <c r="T428" s="19" t="n"/>
      <c r="U428" s="14" t="n">
        <v>46191</v>
      </c>
      <c r="V428" s="7" t="inlineStr">
        <is>
          <t>v2-cv-accuracy-13b988b18da8ea7d</t>
        </is>
      </c>
    </row>
    <row r="429" ht="28" customHeight="1">
      <c r="A429" s="12">
        <f>IF($L429="applied","Applied",IF($L429="interview","Interview",IF($L429="offer","Offer",IF($L429="rejected","Rejected",IF($L429="ignore","Ignore",IF($L429="archive","Archive",IF($L429="closed","Closed",IF($B429="","Unscored",IF(AND($B429&gt;=8,OR($H429="",$H429-TODAY()&lt;=14)),"P1 Apply",IF($B429&gt;=7,"P2 Strong",IF($B429&gt;=5,"P3 Maybe","P4 Low")))))))))))</f>
        <v/>
      </c>
      <c r="B429" s="13" t="n">
        <v>1.84</v>
      </c>
      <c r="C429" s="12" t="inlineStr">
        <is>
          <t>Junior</t>
        </is>
      </c>
      <c r="D429" s="8" t="inlineStr">
        <is>
          <t>Junior Software Engineer</t>
        </is>
      </c>
      <c r="E429" s="7" t="inlineStr">
        <is>
          <t>hackajob</t>
        </is>
      </c>
      <c r="F429" s="8" t="inlineStr">
        <is>
          <t>Newbury, England, UK</t>
        </is>
      </c>
      <c r="G429" s="8" t="n"/>
      <c r="H429" s="14" t="n"/>
      <c r="I429" s="15">
        <f>IF($H429="","",$H429-TODAY())</f>
        <v/>
      </c>
      <c r="J429" s="16" t="inlineStr">
        <is>
          <t>Open posting</t>
        </is>
      </c>
      <c r="K429" s="8" t="inlineStr">
        <is>
          <t>filtered by keyword pre-scan</t>
        </is>
      </c>
      <c r="L429" s="17" t="inlineStr">
        <is>
          <t>new</t>
        </is>
      </c>
      <c r="M429" s="18" t="inlineStr"/>
      <c r="N429" s="7" t="inlineStr">
        <is>
          <t>ec10e8d8e3f8bf4f9b1e3d02b433201d065b1214</t>
        </is>
      </c>
      <c r="O429" s="14" t="n">
        <v>46189</v>
      </c>
      <c r="P429" s="7" t="inlineStr">
        <is>
          <t>jobspy</t>
        </is>
      </c>
      <c r="Q429" s="8" t="inlineStr">
        <is>
          <t>sql</t>
        </is>
      </c>
      <c r="R429" s="8" t="inlineStr">
        <is>
          <t>junior/graduate Graduate Software Developer</t>
        </is>
      </c>
      <c r="S429" s="19" t="n"/>
      <c r="T429" s="19" t="n"/>
      <c r="U429" s="14" t="n">
        <v>46191</v>
      </c>
      <c r="V429" s="7" t="inlineStr">
        <is>
          <t>v2-cv-accuracy-13b988b18da8ea7d</t>
        </is>
      </c>
    </row>
    <row r="430" ht="28" customHeight="1">
      <c r="A430" s="12">
        <f>IF($L430="applied","Applied",IF($L430="interview","Interview",IF($L430="offer","Offer",IF($L430="rejected","Rejected",IF($L430="ignore","Ignore",IF($L430="archive","Archive",IF($L430="closed","Closed",IF($B430="","Unscored",IF(AND($B430&gt;=8,OR($H430="",$H430-TODAY()&lt;=14)),"P1 Apply",IF($B430&gt;=7,"P2 Strong",IF($B430&gt;=5,"P3 Maybe","P4 Low")))))))))))</f>
        <v/>
      </c>
      <c r="B430" s="13" t="n">
        <v>1.84</v>
      </c>
      <c r="C430" s="12" t="inlineStr">
        <is>
          <t>Mid-level</t>
        </is>
      </c>
      <c r="D430" s="8" t="inlineStr">
        <is>
          <t>Trading Analyst</t>
        </is>
      </c>
      <c r="E430" s="7" t="inlineStr">
        <is>
          <t>Wintermute Trading</t>
        </is>
      </c>
      <c r="F430" s="8" t="inlineStr">
        <is>
          <t>London, ENG, GB</t>
        </is>
      </c>
      <c r="G430" s="8" t="n"/>
      <c r="H430" s="14" t="n"/>
      <c r="I430" s="15">
        <f>IF($H430="","",$H430-TODAY())</f>
        <v/>
      </c>
      <c r="J430" s="16" t="inlineStr">
        <is>
          <t>Open posting</t>
        </is>
      </c>
      <c r="K430" s="8" t="inlineStr">
        <is>
          <t>filtered by keyword pre-scan</t>
        </is>
      </c>
      <c r="L430" s="17" t="inlineStr">
        <is>
          <t>new</t>
        </is>
      </c>
      <c r="M430" s="18" t="inlineStr"/>
      <c r="N430" s="7" t="inlineStr">
        <is>
          <t>d7e9b5e0fb8c2270440abe7971d78a66d699c98d</t>
        </is>
      </c>
      <c r="O430" s="14" t="n">
        <v>46176</v>
      </c>
      <c r="P430" s="7" t="inlineStr">
        <is>
          <t>jobspy</t>
        </is>
      </c>
      <c r="Q430" s="8" t="inlineStr">
        <is>
          <t>python, git, software development</t>
        </is>
      </c>
      <c r="R430" s="8" t="inlineStr">
        <is>
          <t>Graduate Software Developer remote</t>
        </is>
      </c>
      <c r="S430" s="19" t="n"/>
      <c r="T430" s="19" t="n"/>
      <c r="U430" s="14" t="n">
        <v>46191</v>
      </c>
      <c r="V430" s="7" t="inlineStr">
        <is>
          <t>v2-cv-accuracy-13b988b18da8ea7d</t>
        </is>
      </c>
    </row>
    <row r="431" ht="28" customHeight="1">
      <c r="A431" s="12">
        <f>IF($L431="applied","Applied",IF($L431="interview","Interview",IF($L431="offer","Offer",IF($L431="rejected","Rejected",IF($L431="ignore","Ignore",IF($L431="archive","Archive",IF($L431="closed","Closed",IF($B431="","Unscored",IF(AND($B431&gt;=8,OR($H431="",$H431-TODAY()&lt;=14)),"P1 Apply",IF($B431&gt;=7,"P2 Strong",IF($B431&gt;=5,"P3 Maybe","P4 Low")))))))))))</f>
        <v/>
      </c>
      <c r="B431" s="13" t="n">
        <v>1.84</v>
      </c>
      <c r="C431" s="12" t="inlineStr">
        <is>
          <t>Graduate/Entry</t>
        </is>
      </c>
      <c r="D431" s="8" t="inlineStr">
        <is>
          <t>Graduate software engineer</t>
        </is>
      </c>
      <c r="E431" s="7" t="inlineStr">
        <is>
          <t>Bending Spoons</t>
        </is>
      </c>
      <c r="F431" s="8" t="inlineStr">
        <is>
          <t>London, England, UK</t>
        </is>
      </c>
      <c r="G431" s="8" t="n"/>
      <c r="H431" s="14" t="n"/>
      <c r="I431" s="15">
        <f>IF($H431="","",$H431-TODAY())</f>
        <v/>
      </c>
      <c r="J431" s="16" t="inlineStr">
        <is>
          <t>Open posting</t>
        </is>
      </c>
      <c r="K431" s="8" t="inlineStr">
        <is>
          <t>filtered by keyword pre-scan</t>
        </is>
      </c>
      <c r="L431" s="17" t="inlineStr">
        <is>
          <t>new</t>
        </is>
      </c>
      <c r="M431" s="18" t="inlineStr"/>
      <c r="N431" s="7" t="inlineStr">
        <is>
          <t>f97dad693d1d0b019c6c4670904919b31ece4675</t>
        </is>
      </c>
      <c r="O431" s="14" t="n">
        <v>46187</v>
      </c>
      <c r="P431" s="7" t="inlineStr">
        <is>
          <t>jobspy</t>
        </is>
      </c>
      <c r="Q431" s="8" t="inlineStr">
        <is>
          <t>python, git</t>
        </is>
      </c>
      <c r="R431" s="8" t="inlineStr">
        <is>
          <t>Graduate Software Developer remote</t>
        </is>
      </c>
      <c r="S431" s="19" t="n"/>
      <c r="T431" s="19" t="n"/>
      <c r="U431" s="14" t="n">
        <v>46191</v>
      </c>
      <c r="V431" s="7" t="inlineStr">
        <is>
          <t>v2-cv-accuracy-13b988b18da8ea7d</t>
        </is>
      </c>
    </row>
    <row r="432" ht="28" customHeight="1">
      <c r="A432" s="12">
        <f>IF($L432="applied","Applied",IF($L432="interview","Interview",IF($L432="offer","Offer",IF($L432="rejected","Rejected",IF($L432="ignore","Ignore",IF($L432="archive","Archive",IF($L432="closed","Closed",IF($B432="","Unscored",IF(AND($B432&gt;=8,OR($H432="",$H432-TODAY()&lt;=14)),"P1 Apply",IF($B432&gt;=7,"P2 Strong",IF($B432&gt;=5,"P3 Maybe","P4 Low")))))))))))</f>
        <v/>
      </c>
      <c r="B432" s="13" t="n">
        <v>1.84</v>
      </c>
      <c r="C432" s="12" t="inlineStr">
        <is>
          <t>Graduate/Entry</t>
        </is>
      </c>
      <c r="D432" s="8" t="inlineStr">
        <is>
          <t>Graduate software engineer</t>
        </is>
      </c>
      <c r="E432" s="7" t="inlineStr">
        <is>
          <t>Bending Spoons</t>
        </is>
      </c>
      <c r="F432" s="8" t="inlineStr"/>
      <c r="G432" s="8" t="n"/>
      <c r="H432" s="14" t="n"/>
      <c r="I432" s="15">
        <f>IF($H432="","",$H432-TODAY())</f>
        <v/>
      </c>
      <c r="J432" s="16" t="inlineStr">
        <is>
          <t>Open posting</t>
        </is>
      </c>
      <c r="K432" s="8" t="inlineStr">
        <is>
          <t>filtered by keyword pre-scan</t>
        </is>
      </c>
      <c r="L432" s="17" t="inlineStr">
        <is>
          <t>new</t>
        </is>
      </c>
      <c r="M432" s="18" t="inlineStr"/>
      <c r="N432" s="7" t="inlineStr">
        <is>
          <t>f23ac7829fbfd3bb4f9b5a18489c508b713d77f9</t>
        </is>
      </c>
      <c r="O432" s="14" t="n">
        <v>46187</v>
      </c>
      <c r="P432" s="7" t="inlineStr">
        <is>
          <t>jobspy</t>
        </is>
      </c>
      <c r="Q432" s="8" t="inlineStr">
        <is>
          <t>python, git</t>
        </is>
      </c>
      <c r="R432" s="8" t="inlineStr">
        <is>
          <t>Graduate Software Developer remote</t>
        </is>
      </c>
      <c r="S432" s="19" t="n"/>
      <c r="T432" s="19" t="n"/>
      <c r="U432" s="14" t="n">
        <v>46191</v>
      </c>
      <c r="V432" s="7" t="inlineStr">
        <is>
          <t>v2-cv-accuracy-13b988b18da8ea7d</t>
        </is>
      </c>
    </row>
    <row r="433" ht="28" customHeight="1">
      <c r="A433" s="12">
        <f>IF($L433="applied","Applied",IF($L433="interview","Interview",IF($L433="offer","Offer",IF($L433="rejected","Rejected",IF($L433="ignore","Ignore",IF($L433="archive","Archive",IF($L433="closed","Closed",IF($B433="","Unscored",IF(AND($B433&gt;=8,OR($H433="",$H433-TODAY()&lt;=14)),"P1 Apply",IF($B433&gt;=7,"P2 Strong",IF($B433&gt;=5,"P3 Maybe","P4 Low")))))))))))</f>
        <v/>
      </c>
      <c r="B433" s="13" t="n">
        <v>1.84</v>
      </c>
      <c r="C433" s="12" t="inlineStr">
        <is>
          <t>Graduate/Entry</t>
        </is>
      </c>
      <c r="D433" s="8" t="inlineStr">
        <is>
          <t>Graduate software engineer</t>
        </is>
      </c>
      <c r="E433" s="7" t="inlineStr">
        <is>
          <t>WeTransfer</t>
        </is>
      </c>
      <c r="F433" s="8" t="inlineStr"/>
      <c r="G433" s="8" t="n"/>
      <c r="H433" s="14" t="n"/>
      <c r="I433" s="15">
        <f>IF($H433="","",$H433-TODAY())</f>
        <v/>
      </c>
      <c r="J433" s="16" t="inlineStr">
        <is>
          <t>Open posting</t>
        </is>
      </c>
      <c r="K433" s="8" t="inlineStr">
        <is>
          <t>filtered by keyword pre-scan</t>
        </is>
      </c>
      <c r="L433" s="17" t="inlineStr">
        <is>
          <t>new</t>
        </is>
      </c>
      <c r="M433" s="18" t="inlineStr"/>
      <c r="N433" s="7" t="inlineStr">
        <is>
          <t>ff0e14a1736706fb18b3d265241c69b4cf3297a1</t>
        </is>
      </c>
      <c r="O433" s="14" t="n">
        <v>46186</v>
      </c>
      <c r="P433" s="7" t="inlineStr">
        <is>
          <t>jobspy</t>
        </is>
      </c>
      <c r="Q433" s="8" t="inlineStr">
        <is>
          <t>python, git</t>
        </is>
      </c>
      <c r="R433" s="8" t="inlineStr">
        <is>
          <t>Graduate Software Developer remote</t>
        </is>
      </c>
      <c r="S433" s="19" t="n"/>
      <c r="T433" s="19" t="n"/>
      <c r="U433" s="14" t="n">
        <v>46191</v>
      </c>
      <c r="V433" s="7" t="inlineStr">
        <is>
          <t>v2-cv-accuracy-13b988b18da8ea7d</t>
        </is>
      </c>
    </row>
    <row r="434" ht="28" customHeight="1">
      <c r="A434" s="12">
        <f>IF($L434="applied","Applied",IF($L434="interview","Interview",IF($L434="offer","Offer",IF($L434="rejected","Rejected",IF($L434="ignore","Ignore",IF($L434="archive","Archive",IF($L434="closed","Closed",IF($B434="","Unscored",IF(AND($B434&gt;=8,OR($H434="",$H434-TODAY()&lt;=14)),"P1 Apply",IF($B434&gt;=7,"P2 Strong",IF($B434&gt;=5,"P3 Maybe","P4 Low")))))))))))</f>
        <v/>
      </c>
      <c r="B434" s="13" t="n">
        <v>1.84</v>
      </c>
      <c r="C434" s="12" t="inlineStr">
        <is>
          <t>Graduate/Entry</t>
        </is>
      </c>
      <c r="D434" s="8" t="inlineStr">
        <is>
          <t>Graduate Software Developer</t>
        </is>
      </c>
      <c r="E434" s="7" t="inlineStr">
        <is>
          <t>IBM</t>
        </is>
      </c>
      <c r="F434" s="8" t="inlineStr">
        <is>
          <t>Hursley, England, UK</t>
        </is>
      </c>
      <c r="G434" s="8" t="n"/>
      <c r="H434" s="14" t="n"/>
      <c r="I434" s="15">
        <f>IF($H434="","",$H434-TODAY())</f>
        <v/>
      </c>
      <c r="J434" s="16" t="inlineStr">
        <is>
          <t>Open posting</t>
        </is>
      </c>
      <c r="K434" s="8" t="inlineStr">
        <is>
          <t>filtered by keyword pre-scan</t>
        </is>
      </c>
      <c r="L434" s="17" t="inlineStr">
        <is>
          <t>new</t>
        </is>
      </c>
      <c r="M434" s="18" t="inlineStr"/>
      <c r="N434" s="7" t="inlineStr">
        <is>
          <t>57fb240e3167860aeef749cc0b15de496d7d28d4</t>
        </is>
      </c>
      <c r="O434" s="14" t="n">
        <v>46174</v>
      </c>
      <c r="P434" s="7" t="inlineStr">
        <is>
          <t>jobspy</t>
        </is>
      </c>
      <c r="Q434" s="8" t="inlineStr">
        <is>
          <t>python, git</t>
        </is>
      </c>
      <c r="R434" s="8" t="inlineStr">
        <is>
          <t>junior/graduate Junior Python Developer</t>
        </is>
      </c>
      <c r="S434" s="19" t="n"/>
      <c r="T434" s="19" t="n"/>
      <c r="U434" s="14" t="n">
        <v>46191</v>
      </c>
      <c r="V434" s="7" t="inlineStr">
        <is>
          <t>v2-cv-accuracy-13b988b18da8ea7d</t>
        </is>
      </c>
    </row>
    <row r="435" ht="28" customHeight="1">
      <c r="A435" s="12">
        <f>IF($L435="applied","Applied",IF($L435="interview","Interview",IF($L435="offer","Offer",IF($L435="rejected","Rejected",IF($L435="ignore","Ignore",IF($L435="archive","Archive",IF($L435="closed","Closed",IF($B435="","Unscored",IF(AND($B435&gt;=8,OR($H435="",$H435-TODAY()&lt;=14)),"P1 Apply",IF($B435&gt;=7,"P2 Strong",IF($B435&gt;=5,"P3 Maybe","P4 Low")))))))))))</f>
        <v/>
      </c>
      <c r="B435" s="13" t="n">
        <v>1.84</v>
      </c>
      <c r="C435" s="12" t="inlineStr">
        <is>
          <t>Unspecified</t>
        </is>
      </c>
      <c r="D435" s="8" t="inlineStr">
        <is>
          <t>Dev Ops Engineer</t>
        </is>
      </c>
      <c r="E435" s="7" t="inlineStr">
        <is>
          <t>EvaluAgent</t>
        </is>
      </c>
      <c r="F435" s="8" t="inlineStr">
        <is>
          <t>Remote, GB</t>
        </is>
      </c>
      <c r="G435" s="8" t="n"/>
      <c r="H435" s="14" t="n"/>
      <c r="I435" s="15">
        <f>IF($H435="","",$H435-TODAY())</f>
        <v/>
      </c>
      <c r="J435" s="16" t="inlineStr">
        <is>
          <t>Open posting</t>
        </is>
      </c>
      <c r="K435" s="8" t="inlineStr">
        <is>
          <t>filtered by keyword pre-scan</t>
        </is>
      </c>
      <c r="L435" s="17" t="inlineStr">
        <is>
          <t>new</t>
        </is>
      </c>
      <c r="M435" s="18" t="inlineStr"/>
      <c r="N435" s="7" t="inlineStr">
        <is>
          <t>616a5b99848fd92923e60c4488138098cfe8e227</t>
        </is>
      </c>
      <c r="O435" s="14" t="n">
        <v>46188</v>
      </c>
      <c r="P435" s="7" t="inlineStr">
        <is>
          <t>jobspy</t>
        </is>
      </c>
      <c r="Q435" s="8" t="inlineStr">
        <is>
          <t>git</t>
        </is>
      </c>
      <c r="R435" s="8" t="inlineStr">
        <is>
          <t>Full Stack Developer</t>
        </is>
      </c>
      <c r="S435" s="19" t="n"/>
      <c r="T435" s="19" t="n"/>
      <c r="U435" s="14" t="n">
        <v>46191</v>
      </c>
      <c r="V435" s="7" t="inlineStr">
        <is>
          <t>v2-cv-accuracy-13b988b18da8ea7d</t>
        </is>
      </c>
    </row>
    <row r="436" ht="28" customHeight="1">
      <c r="A436" s="12">
        <f>IF($L436="applied","Applied",IF($L436="interview","Interview",IF($L436="offer","Offer",IF($L436="rejected","Rejected",IF($L436="ignore","Ignore",IF($L436="archive","Archive",IF($L436="closed","Closed",IF($B436="","Unscored",IF(AND($B436&gt;=8,OR($H436="",$H436-TODAY()&lt;=14)),"P1 Apply",IF($B436&gt;=7,"P2 Strong",IF($B436&gt;=5,"P3 Maybe","P4 Low")))))))))))</f>
        <v/>
      </c>
      <c r="B436" s="13" t="n">
        <v>1.84</v>
      </c>
      <c r="C436" s="12" t="inlineStr">
        <is>
          <t>Mid-level</t>
        </is>
      </c>
      <c r="D436" s="8" t="inlineStr">
        <is>
          <t>Software Developer - Prime Services</t>
        </is>
      </c>
      <c r="E436" s="7" t="inlineStr">
        <is>
          <t>MAREX</t>
        </is>
      </c>
      <c r="F436" s="8" t="inlineStr">
        <is>
          <t>Belfast, NIR, GB</t>
        </is>
      </c>
      <c r="G436" s="8" t="n"/>
      <c r="H436" s="14" t="n"/>
      <c r="I436" s="15">
        <f>IF($H436="","",$H436-TODAY())</f>
        <v/>
      </c>
      <c r="J436" s="16" t="inlineStr">
        <is>
          <t>Open posting</t>
        </is>
      </c>
      <c r="K436" s="8" t="inlineStr">
        <is>
          <t>filtered by keyword pre-scan</t>
        </is>
      </c>
      <c r="L436" s="17" t="inlineStr">
        <is>
          <t>new</t>
        </is>
      </c>
      <c r="M436" s="18" t="inlineStr"/>
      <c r="N436" s="7" t="inlineStr">
        <is>
          <t>9b7a0085dc91beebc00ad74489757b4e28318222</t>
        </is>
      </c>
      <c r="O436" s="14" t="n">
        <v>46174</v>
      </c>
      <c r="P436" s="7" t="inlineStr">
        <is>
          <t>jobspy</t>
        </is>
      </c>
      <c r="Q436" s="8" t="inlineStr">
        <is>
          <t>git, software development</t>
        </is>
      </c>
      <c r="R436" s="8" t="inlineStr">
        <is>
          <t>Full Stack Developer</t>
        </is>
      </c>
      <c r="S436" s="19" t="n"/>
      <c r="T436" s="19" t="n"/>
      <c r="U436" s="14" t="n">
        <v>46191</v>
      </c>
      <c r="V436" s="7" t="inlineStr">
        <is>
          <t>v2-cv-accuracy-13b988b18da8ea7d</t>
        </is>
      </c>
    </row>
    <row r="437" ht="28" customHeight="1">
      <c r="A437" s="12">
        <f>IF($L437="applied","Applied",IF($L437="interview","Interview",IF($L437="offer","Offer",IF($L437="rejected","Rejected",IF($L437="ignore","Ignore",IF($L437="archive","Archive",IF($L437="closed","Closed",IF($B437="","Unscored",IF(AND($B437&gt;=8,OR($H437="",$H437-TODAY()&lt;=14)),"P1 Apply",IF($B437&gt;=7,"P2 Strong",IF($B437&gt;=5,"P3 Maybe","P4 Low")))))))))))</f>
        <v/>
      </c>
      <c r="B437" s="13" t="n">
        <v>1.84</v>
      </c>
      <c r="C437" s="12" t="inlineStr">
        <is>
          <t>Junior</t>
        </is>
      </c>
      <c r="D437" s="8" t="inlineStr">
        <is>
          <t>Front end developer</t>
        </is>
      </c>
      <c r="E437" s="7" t="inlineStr">
        <is>
          <t>hackajob</t>
        </is>
      </c>
      <c r="F437" s="8" t="inlineStr"/>
      <c r="G437" s="8" t="n"/>
      <c r="H437" s="14" t="n"/>
      <c r="I437" s="15">
        <f>IF($H437="","",$H437-TODAY())</f>
        <v/>
      </c>
      <c r="J437" s="16" t="inlineStr">
        <is>
          <t>Open posting</t>
        </is>
      </c>
      <c r="K437" s="8" t="inlineStr">
        <is>
          <t>filtered by keyword pre-scan</t>
        </is>
      </c>
      <c r="L437" s="17" t="inlineStr">
        <is>
          <t>new</t>
        </is>
      </c>
      <c r="M437" s="18" t="inlineStr"/>
      <c r="N437" s="7" t="inlineStr">
        <is>
          <t>6cec3eef8645f904d7885f39d3abc83fe141d06c</t>
        </is>
      </c>
      <c r="O437" s="14" t="n">
        <v>46181</v>
      </c>
      <c r="P437" s="7" t="inlineStr">
        <is>
          <t>jobspy</t>
        </is>
      </c>
      <c r="Q437" s="8" t="inlineStr">
        <is>
          <t>javascript, git</t>
        </is>
      </c>
      <c r="R437" s="8" t="inlineStr">
        <is>
          <t>Full Stack Developer</t>
        </is>
      </c>
      <c r="S437" s="19" t="n"/>
      <c r="T437" s="19" t="n"/>
      <c r="U437" s="14" t="n">
        <v>46191</v>
      </c>
      <c r="V437" s="7" t="inlineStr">
        <is>
          <t>v2-cv-accuracy-13b988b18da8ea7d</t>
        </is>
      </c>
    </row>
    <row r="438" ht="28" customHeight="1">
      <c r="A438" s="12">
        <f>IF($L438="applied","Applied",IF($L438="interview","Interview",IF($L438="offer","Offer",IF($L438="rejected","Rejected",IF($L438="ignore","Ignore",IF($L438="archive","Archive",IF($L438="closed","Closed",IF($B438="","Unscored",IF(AND($B438&gt;=8,OR($H438="",$H438-TODAY()&lt;=14)),"P1 Apply",IF($B438&gt;=7,"P2 Strong",IF($B438&gt;=5,"P3 Maybe","P4 Low")))))))))))</f>
        <v/>
      </c>
      <c r="B438" s="13" t="n">
        <v>1.84</v>
      </c>
      <c r="C438" s="12" t="inlineStr">
        <is>
          <t>Unspecified</t>
        </is>
      </c>
      <c r="D438" s="8" t="inlineStr">
        <is>
          <t>Founding Frontend Engineer</t>
        </is>
      </c>
      <c r="E438" s="7" t="inlineStr">
        <is>
          <t>Innerworks</t>
        </is>
      </c>
      <c r="F438" s="8" t="inlineStr">
        <is>
          <t>London, England, UK</t>
        </is>
      </c>
      <c r="G438" s="8" t="n"/>
      <c r="H438" s="14" t="n"/>
      <c r="I438" s="15">
        <f>IF($H438="","",$H438-TODAY())</f>
        <v/>
      </c>
      <c r="J438" s="16" t="inlineStr">
        <is>
          <t>Open posting</t>
        </is>
      </c>
      <c r="K438" s="8" t="inlineStr">
        <is>
          <t>filtered by keyword pre-scan</t>
        </is>
      </c>
      <c r="L438" s="17" t="inlineStr">
        <is>
          <t>new</t>
        </is>
      </c>
      <c r="M438" s="18" t="inlineStr"/>
      <c r="N438" s="7" t="inlineStr">
        <is>
          <t>9eba7c5b107a3a95b234b814d368cec57d9e1d2a</t>
        </is>
      </c>
      <c r="O438" s="14" t="n">
        <v>46177</v>
      </c>
      <c r="P438" s="7" t="inlineStr">
        <is>
          <t>jobspy</t>
        </is>
      </c>
      <c r="Q438" s="8" t="inlineStr">
        <is>
          <t>javascript, git</t>
        </is>
      </c>
      <c r="R438" s="8" t="inlineStr">
        <is>
          <t>Full Stack Developer</t>
        </is>
      </c>
      <c r="S438" s="19" t="n"/>
      <c r="T438" s="19" t="n"/>
      <c r="U438" s="14" t="n">
        <v>46191</v>
      </c>
      <c r="V438" s="7" t="inlineStr">
        <is>
          <t>v2-cv-accuracy-13b988b18da8ea7d</t>
        </is>
      </c>
    </row>
    <row r="439" ht="28" customHeight="1">
      <c r="A439" s="12">
        <f>IF($L439="applied","Applied",IF($L439="interview","Interview",IF($L439="offer","Offer",IF($L439="rejected","Rejected",IF($L439="ignore","Ignore",IF($L439="archive","Archive",IF($L439="closed","Closed",IF($B439="","Unscored",IF(AND($B439&gt;=8,OR($H439="",$H439-TODAY()&lt;=14)),"P1 Apply",IF($B439&gt;=7,"P2 Strong",IF($B439&gt;=5,"P3 Maybe","P4 Low")))))))))))</f>
        <v/>
      </c>
      <c r="B439" s="13" t="n">
        <v>1.84</v>
      </c>
      <c r="C439" s="12" t="inlineStr">
        <is>
          <t>Senior/Lead</t>
        </is>
      </c>
      <c r="D439" s="8" t="inlineStr">
        <is>
          <t>.NET Web Developer</t>
        </is>
      </c>
      <c r="E439" s="7" t="inlineStr">
        <is>
          <t>Fisher Educational Ltd</t>
        </is>
      </c>
      <c r="F439" s="8" t="inlineStr">
        <is>
          <t>Bolton, ENG, GB</t>
        </is>
      </c>
      <c r="G439" s="8" t="n"/>
      <c r="H439" s="14" t="n"/>
      <c r="I439" s="15">
        <f>IF($H439="","",$H439-TODAY())</f>
        <v/>
      </c>
      <c r="J439" s="16" t="inlineStr">
        <is>
          <t>Open posting</t>
        </is>
      </c>
      <c r="K439" s="8" t="inlineStr">
        <is>
          <t>filtered by keyword pre-scan</t>
        </is>
      </c>
      <c r="L439" s="17" t="inlineStr">
        <is>
          <t>new</t>
        </is>
      </c>
      <c r="M439" s="18" t="inlineStr"/>
      <c r="N439" s="7" t="inlineStr">
        <is>
          <t>b18cdb89ff960da1481e752eba1f1ffd13ac66a3</t>
        </is>
      </c>
      <c r="O439" s="14" t="n">
        <v>46178</v>
      </c>
      <c r="P439" s="7" t="inlineStr">
        <is>
          <t>jobspy</t>
        </is>
      </c>
      <c r="Q439" s="8" t="inlineStr">
        <is>
          <t>sql, javascript, git</t>
        </is>
      </c>
      <c r="R439" s="8" t="inlineStr">
        <is>
          <t>graduate Full Stack Developer</t>
        </is>
      </c>
      <c r="S439" s="19" t="n"/>
      <c r="T439" s="19" t="n"/>
      <c r="U439" s="14" t="n">
        <v>46191</v>
      </c>
      <c r="V439" s="7" t="inlineStr">
        <is>
          <t>v2-cv-accuracy-13b988b18da8ea7d</t>
        </is>
      </c>
    </row>
    <row r="440" ht="28" customHeight="1">
      <c r="A440" s="12">
        <f>IF($L440="applied","Applied",IF($L440="interview","Interview",IF($L440="offer","Offer",IF($L440="rejected","Rejected",IF($L440="ignore","Ignore",IF($L440="archive","Archive",IF($L440="closed","Closed",IF($B440="","Unscored",IF(AND($B440&gt;=8,OR($H440="",$H440-TODAY()&lt;=14)),"P1 Apply",IF($B440&gt;=7,"P2 Strong",IF($B440&gt;=5,"P3 Maybe","P4 Low")))))))))))</f>
        <v/>
      </c>
      <c r="B440" s="13" t="n">
        <v>1.84</v>
      </c>
      <c r="C440" s="12" t="inlineStr">
        <is>
          <t>Junior</t>
        </is>
      </c>
      <c r="D440" s="8" t="inlineStr">
        <is>
          <t>Junior Software Engineer</t>
        </is>
      </c>
      <c r="E440" s="7" t="inlineStr">
        <is>
          <t>Gamma</t>
        </is>
      </c>
      <c r="F440" s="8" t="inlineStr">
        <is>
          <t>Newbury, England, UK</t>
        </is>
      </c>
      <c r="G440" s="8" t="n"/>
      <c r="H440" s="14" t="n"/>
      <c r="I440" s="15">
        <f>IF($H440="","",$H440-TODAY())</f>
        <v/>
      </c>
      <c r="J440" s="16" t="inlineStr">
        <is>
          <t>Open posting</t>
        </is>
      </c>
      <c r="K440" s="8" t="inlineStr">
        <is>
          <t>filtered by keyword pre-scan</t>
        </is>
      </c>
      <c r="L440" s="17" t="inlineStr">
        <is>
          <t>new</t>
        </is>
      </c>
      <c r="M440" s="18" t="inlineStr"/>
      <c r="N440" s="7" t="inlineStr">
        <is>
          <t>cc0dc2b46f770d780744ce221e49987773dac093</t>
        </is>
      </c>
      <c r="O440" s="14" t="n">
        <v>46179</v>
      </c>
      <c r="P440" s="7" t="inlineStr">
        <is>
          <t>jobspy</t>
        </is>
      </c>
      <c r="Q440" s="8" t="inlineStr">
        <is>
          <t>sql</t>
        </is>
      </c>
      <c r="R440" s="8" t="inlineStr">
        <is>
          <t>junior/graduate Graduate Software Developer</t>
        </is>
      </c>
      <c r="S440" s="19" t="n"/>
      <c r="T440" s="19" t="n"/>
      <c r="U440" s="14" t="n">
        <v>46191</v>
      </c>
      <c r="V440" s="7" t="inlineStr">
        <is>
          <t>v2-cv-accuracy-13b988b18da8ea7d</t>
        </is>
      </c>
    </row>
    <row r="441" ht="28" customHeight="1">
      <c r="A441" s="12">
        <f>IF($L441="applied","Applied",IF($L441="interview","Interview",IF($L441="offer","Offer",IF($L441="rejected","Rejected",IF($L441="ignore","Ignore",IF($L441="archive","Archive",IF($L441="closed","Closed",IF($B441="","Unscored",IF(AND($B441&gt;=8,OR($H441="",$H441-TODAY()&lt;=14)),"P1 Apply",IF($B441&gt;=7,"P2 Strong",IF($B441&gt;=5,"P3 Maybe","P4 Low")))))))))))</f>
        <v/>
      </c>
      <c r="B441" s="13" t="n">
        <v>1.84</v>
      </c>
      <c r="C441" s="12" t="inlineStr">
        <is>
          <t>Graduate/Entry</t>
        </is>
      </c>
      <c r="D441" s="8" t="inlineStr">
        <is>
          <t>Graduate software engineer</t>
        </is>
      </c>
      <c r="E441" s="7" t="inlineStr">
        <is>
          <t>Bending Spoons</t>
        </is>
      </c>
      <c r="F441" s="8" t="inlineStr"/>
      <c r="G441" s="8" t="n"/>
      <c r="H441" s="14" t="n"/>
      <c r="I441" s="15">
        <f>IF($H441="","",$H441-TODAY())</f>
        <v/>
      </c>
      <c r="J441" s="16" t="inlineStr">
        <is>
          <t>Open posting</t>
        </is>
      </c>
      <c r="K441" s="8" t="inlineStr">
        <is>
          <t>filtered by keyword pre-scan</t>
        </is>
      </c>
      <c r="L441" s="17" t="inlineStr">
        <is>
          <t>new</t>
        </is>
      </c>
      <c r="M441" s="18" t="inlineStr"/>
      <c r="N441" s="7" t="inlineStr">
        <is>
          <t>9afc59608fde9e14b753427d0a906441520c14fc</t>
        </is>
      </c>
      <c r="O441" s="14" t="n">
        <v>46190</v>
      </c>
      <c r="P441" s="7" t="inlineStr">
        <is>
          <t>jobspy</t>
        </is>
      </c>
      <c r="Q441" s="8" t="inlineStr">
        <is>
          <t>python, git</t>
        </is>
      </c>
      <c r="R441" s="8" t="inlineStr">
        <is>
          <t>Graduate Software Developer remote</t>
        </is>
      </c>
      <c r="S441" s="19" t="n"/>
      <c r="T441" s="19" t="n"/>
      <c r="U441" s="14" t="n">
        <v>46191</v>
      </c>
      <c r="V441" s="7" t="inlineStr">
        <is>
          <t>v2-cv-accuracy-13b988b18da8ea7d</t>
        </is>
      </c>
    </row>
    <row r="442" ht="28" customHeight="1">
      <c r="A442" s="12">
        <f>IF($L442="applied","Applied",IF($L442="interview","Interview",IF($L442="offer","Offer",IF($L442="rejected","Rejected",IF($L442="ignore","Ignore",IF($L442="archive","Archive",IF($L442="closed","Closed",IF($B442="","Unscored",IF(AND($B442&gt;=8,OR($H442="",$H442-TODAY()&lt;=14)),"P1 Apply",IF($B442&gt;=7,"P2 Strong",IF($B442&gt;=5,"P3 Maybe","P4 Low")))))))))))</f>
        <v/>
      </c>
      <c r="B442" s="13" t="n">
        <v>1.84</v>
      </c>
      <c r="C442" s="12" t="inlineStr">
        <is>
          <t>Graduate/Entry</t>
        </is>
      </c>
      <c r="D442" s="8" t="inlineStr">
        <is>
          <t>Graduate software engineer</t>
        </is>
      </c>
      <c r="E442" s="7" t="inlineStr">
        <is>
          <t>Bending Spoons</t>
        </is>
      </c>
      <c r="F442" s="8" t="inlineStr">
        <is>
          <t>Cambridge, England, UK</t>
        </is>
      </c>
      <c r="G442" s="8" t="n"/>
      <c r="H442" s="14" t="n"/>
      <c r="I442" s="15">
        <f>IF($H442="","",$H442-TODAY())</f>
        <v/>
      </c>
      <c r="J442" s="16" t="inlineStr">
        <is>
          <t>Open posting</t>
        </is>
      </c>
      <c r="K442" s="8" t="inlineStr">
        <is>
          <t>filtered by keyword pre-scan</t>
        </is>
      </c>
      <c r="L442" s="17" t="inlineStr">
        <is>
          <t>new</t>
        </is>
      </c>
      <c r="M442" s="18" t="inlineStr"/>
      <c r="N442" s="7" t="inlineStr">
        <is>
          <t>304442235df1d1b673777118f11efffb7faee5bc</t>
        </is>
      </c>
      <c r="O442" s="14" t="n">
        <v>46187</v>
      </c>
      <c r="P442" s="7" t="inlineStr">
        <is>
          <t>jobspy</t>
        </is>
      </c>
      <c r="Q442" s="8" t="inlineStr">
        <is>
          <t>python, git</t>
        </is>
      </c>
      <c r="R442" s="8" t="inlineStr">
        <is>
          <t>Graduate Software Developer remote</t>
        </is>
      </c>
      <c r="S442" s="19" t="n"/>
      <c r="T442" s="19" t="n"/>
      <c r="U442" s="14" t="n">
        <v>46191</v>
      </c>
      <c r="V442" s="7" t="inlineStr">
        <is>
          <t>v2-cv-accuracy-13b988b18da8ea7d</t>
        </is>
      </c>
    </row>
    <row r="443" ht="28" customHeight="1">
      <c r="A443" s="12">
        <f>IF($L443="applied","Applied",IF($L443="interview","Interview",IF($L443="offer","Offer",IF($L443="rejected","Rejected",IF($L443="ignore","Ignore",IF($L443="archive","Archive",IF($L443="closed","Closed",IF($B443="","Unscored",IF(AND($B443&gt;=8,OR($H443="",$H443-TODAY()&lt;=14)),"P1 Apply",IF($B443&gt;=7,"P2 Strong",IF($B443&gt;=5,"P3 Maybe","P4 Low")))))))))))</f>
        <v/>
      </c>
      <c r="B443" s="13" t="n">
        <v>1.84</v>
      </c>
      <c r="C443" s="12" t="inlineStr">
        <is>
          <t>Graduate/Entry</t>
        </is>
      </c>
      <c r="D443" s="8" t="inlineStr">
        <is>
          <t>Graduate software engineer</t>
        </is>
      </c>
      <c r="E443" s="7" t="inlineStr">
        <is>
          <t>WeTransfer</t>
        </is>
      </c>
      <c r="F443" s="8" t="inlineStr">
        <is>
          <t>Cambridge, England, UK</t>
        </is>
      </c>
      <c r="G443" s="8" t="n"/>
      <c r="H443" s="14" t="n"/>
      <c r="I443" s="15">
        <f>IF($H443="","",$H443-TODAY())</f>
        <v/>
      </c>
      <c r="J443" s="16" t="inlineStr">
        <is>
          <t>Open posting</t>
        </is>
      </c>
      <c r="K443" s="8" t="inlineStr">
        <is>
          <t>filtered by keyword pre-scan</t>
        </is>
      </c>
      <c r="L443" s="17" t="inlineStr">
        <is>
          <t>new</t>
        </is>
      </c>
      <c r="M443" s="18" t="inlineStr"/>
      <c r="N443" s="7" t="inlineStr">
        <is>
          <t>75402c163a507743cbba5d76cf75cdf28b531b02</t>
        </is>
      </c>
      <c r="O443" s="14" t="n">
        <v>46186</v>
      </c>
      <c r="P443" s="7" t="inlineStr">
        <is>
          <t>jobspy</t>
        </is>
      </c>
      <c r="Q443" s="8" t="inlineStr">
        <is>
          <t>python, git</t>
        </is>
      </c>
      <c r="R443" s="8" t="inlineStr">
        <is>
          <t>Graduate Software Developer remote</t>
        </is>
      </c>
      <c r="S443" s="19" t="n"/>
      <c r="T443" s="19" t="n"/>
      <c r="U443" s="14" t="n">
        <v>46191</v>
      </c>
      <c r="V443" s="7" t="inlineStr">
        <is>
          <t>v2-cv-accuracy-13b988b18da8ea7d</t>
        </is>
      </c>
    </row>
    <row r="444" ht="28" customHeight="1">
      <c r="A444" s="12">
        <f>IF($L444="applied","Applied",IF($L444="interview","Interview",IF($L444="offer","Offer",IF($L444="rejected","Rejected",IF($L444="ignore","Ignore",IF($L444="archive","Archive",IF($L444="closed","Closed",IF($B444="","Unscored",IF(AND($B444&gt;=8,OR($H444="",$H444-TODAY()&lt;=14)),"P1 Apply",IF($B444&gt;=7,"P2 Strong",IF($B444&gt;=5,"P3 Maybe","P4 Low")))))))))))</f>
        <v/>
      </c>
      <c r="B444" s="13" t="n">
        <v>1.84</v>
      </c>
      <c r="C444" s="12" t="inlineStr">
        <is>
          <t>Graduate/Entry</t>
        </is>
      </c>
      <c r="D444" s="8" t="inlineStr">
        <is>
          <t>Graduate software engineer</t>
        </is>
      </c>
      <c r="E444" s="7" t="inlineStr">
        <is>
          <t>WeTransfer</t>
        </is>
      </c>
      <c r="F444" s="8" t="inlineStr">
        <is>
          <t>Oxford, England, UK</t>
        </is>
      </c>
      <c r="G444" s="8" t="n"/>
      <c r="H444" s="14" t="n"/>
      <c r="I444" s="15">
        <f>IF($H444="","",$H444-TODAY())</f>
        <v/>
      </c>
      <c r="J444" s="16" t="inlineStr">
        <is>
          <t>Open posting</t>
        </is>
      </c>
      <c r="K444" s="8" t="inlineStr">
        <is>
          <t>filtered by keyword pre-scan</t>
        </is>
      </c>
      <c r="L444" s="17" t="inlineStr">
        <is>
          <t>new</t>
        </is>
      </c>
      <c r="M444" s="18" t="inlineStr"/>
      <c r="N444" s="7" t="inlineStr">
        <is>
          <t>b3049a707886a559d1223c5d0e5585974d4d9a26</t>
        </is>
      </c>
      <c r="O444" s="14" t="n">
        <v>46186</v>
      </c>
      <c r="P444" s="7" t="inlineStr">
        <is>
          <t>jobspy</t>
        </is>
      </c>
      <c r="Q444" s="8" t="inlineStr">
        <is>
          <t>python, git</t>
        </is>
      </c>
      <c r="R444" s="8" t="inlineStr">
        <is>
          <t>Graduate Software Developer remote</t>
        </is>
      </c>
      <c r="S444" s="19" t="n"/>
      <c r="T444" s="19" t="n"/>
      <c r="U444" s="14" t="n">
        <v>46191</v>
      </c>
      <c r="V444" s="7" t="inlineStr">
        <is>
          <t>v2-cv-accuracy-13b988b18da8ea7d</t>
        </is>
      </c>
    </row>
    <row r="445" ht="28" customHeight="1">
      <c r="A445" s="12">
        <f>IF($L445="applied","Applied",IF($L445="interview","Interview",IF($L445="offer","Offer",IF($L445="rejected","Rejected",IF($L445="ignore","Ignore",IF($L445="archive","Archive",IF($L445="closed","Closed",IF($B445="","Unscored",IF(AND($B445&gt;=8,OR($H445="",$H445-TODAY()&lt;=14)),"P1 Apply",IF($B445&gt;=7,"P2 Strong",IF($B445&gt;=5,"P3 Maybe","P4 Low")))))))))))</f>
        <v/>
      </c>
      <c r="B445" s="13" t="n">
        <v>1.84</v>
      </c>
      <c r="C445" s="12" t="inlineStr">
        <is>
          <t>Unspecified</t>
        </is>
      </c>
      <c r="D445" s="8" t="inlineStr">
        <is>
          <t>MERN Stack Developer</t>
        </is>
      </c>
      <c r="E445" s="7" t="inlineStr">
        <is>
          <t>Spait Infotech</t>
        </is>
      </c>
      <c r="F445" s="8" t="inlineStr">
        <is>
          <t>London Area, United Kingdom</t>
        </is>
      </c>
      <c r="G445" s="8" t="n"/>
      <c r="H445" s="14" t="n"/>
      <c r="I445" s="15">
        <f>IF($H445="","",$H445-TODAY())</f>
        <v/>
      </c>
      <c r="J445" s="16" t="inlineStr">
        <is>
          <t>Open posting</t>
        </is>
      </c>
      <c r="K445" s="8" t="inlineStr">
        <is>
          <t>filtered by keyword pre-scan</t>
        </is>
      </c>
      <c r="L445" s="17" t="inlineStr">
        <is>
          <t>new</t>
        </is>
      </c>
      <c r="M445" s="18" t="inlineStr"/>
      <c r="N445" s="7" t="inlineStr">
        <is>
          <t>9d7240ace4ee0b38c4e9730e5c3d45ece7a5cd26</t>
        </is>
      </c>
      <c r="O445" s="14" t="n">
        <v>46184</v>
      </c>
      <c r="P445" s="7" t="inlineStr">
        <is>
          <t>jobspy</t>
        </is>
      </c>
      <c r="Q445" s="8" t="inlineStr">
        <is>
          <t>javascript, git</t>
        </is>
      </c>
      <c r="R445" s="8" t="inlineStr">
        <is>
          <t>graduate Full Stack Developer</t>
        </is>
      </c>
      <c r="S445" s="19" t="n"/>
      <c r="T445" s="19" t="n"/>
      <c r="U445" s="14" t="n">
        <v>46191</v>
      </c>
      <c r="V445" s="7" t="inlineStr">
        <is>
          <t>v2-cv-accuracy-13b988b18da8ea7d</t>
        </is>
      </c>
    </row>
    <row r="446" ht="28" customHeight="1">
      <c r="A446" s="12">
        <f>IF($L446="applied","Applied",IF($L446="interview","Interview",IF($L446="offer","Offer",IF($L446="rejected","Rejected",IF($L446="ignore","Ignore",IF($L446="archive","Archive",IF($L446="closed","Closed",IF($B446="","Unscored",IF(AND($B446&gt;=8,OR($H446="",$H446-TODAY()&lt;=14)),"P1 Apply",IF($B446&gt;=7,"P2 Strong",IF($B446&gt;=5,"P3 Maybe","P4 Low")))))))))))</f>
        <v/>
      </c>
      <c r="B446" s="13" t="n">
        <v>1.84</v>
      </c>
      <c r="C446" s="12" t="inlineStr">
        <is>
          <t>Graduate/Entry</t>
        </is>
      </c>
      <c r="D446" s="8" t="inlineStr">
        <is>
          <t>Graduate software engineer</t>
        </is>
      </c>
      <c r="E446" s="7" t="inlineStr">
        <is>
          <t>Meetup</t>
        </is>
      </c>
      <c r="F446" s="8" t="inlineStr">
        <is>
          <t>London, England, UK</t>
        </is>
      </c>
      <c r="G446" s="8" t="n"/>
      <c r="H446" s="14" t="n"/>
      <c r="I446" s="15">
        <f>IF($H446="","",$H446-TODAY())</f>
        <v/>
      </c>
      <c r="J446" s="16" t="inlineStr">
        <is>
          <t>Open posting</t>
        </is>
      </c>
      <c r="K446" s="8" t="inlineStr">
        <is>
          <t>filtered by keyword pre-scan</t>
        </is>
      </c>
      <c r="L446" s="17" t="inlineStr">
        <is>
          <t>new</t>
        </is>
      </c>
      <c r="M446" s="18" t="inlineStr"/>
      <c r="N446" s="7" t="inlineStr">
        <is>
          <t>227cf39b91e83e69b9e1194624e9d5b7c10aafbb</t>
        </is>
      </c>
      <c r="O446" s="14" t="n"/>
      <c r="P446" s="7" t="inlineStr">
        <is>
          <t>jobspy</t>
        </is>
      </c>
      <c r="Q446" s="8" t="inlineStr">
        <is>
          <t>python, git</t>
        </is>
      </c>
      <c r="R446" s="8" t="inlineStr">
        <is>
          <t>Graduate Software Developer</t>
        </is>
      </c>
      <c r="S446" s="19" t="n"/>
      <c r="T446" s="19" t="n"/>
      <c r="U446" s="14" t="n">
        <v>46191</v>
      </c>
      <c r="V446" s="7" t="inlineStr">
        <is>
          <t>v2-cv-accuracy-13b988b18da8ea7d</t>
        </is>
      </c>
    </row>
    <row r="447" ht="28" customHeight="1">
      <c r="A447" s="12">
        <f>IF($L447="applied","Applied",IF($L447="interview","Interview",IF($L447="offer","Offer",IF($L447="rejected","Rejected",IF($L447="ignore","Ignore",IF($L447="archive","Archive",IF($L447="closed","Closed",IF($B447="","Unscored",IF(AND($B447&gt;=8,OR($H447="",$H447-TODAY()&lt;=14)),"P1 Apply",IF($B447&gt;=7,"P2 Strong",IF($B447&gt;=5,"P3 Maybe","P4 Low")))))))))))</f>
        <v/>
      </c>
      <c r="B447" s="13" t="n">
        <v>1.84</v>
      </c>
      <c r="C447" s="12" t="inlineStr">
        <is>
          <t>Graduate/Entry</t>
        </is>
      </c>
      <c r="D447" s="8" t="inlineStr">
        <is>
          <t>Graduate software engineer</t>
        </is>
      </c>
      <c r="E447" s="7" t="inlineStr">
        <is>
          <t>Evernote</t>
        </is>
      </c>
      <c r="F447" s="8" t="inlineStr">
        <is>
          <t>London, England, UK</t>
        </is>
      </c>
      <c r="G447" s="8" t="n"/>
      <c r="H447" s="14" t="n"/>
      <c r="I447" s="15">
        <f>IF($H447="","",$H447-TODAY())</f>
        <v/>
      </c>
      <c r="J447" s="16" t="inlineStr">
        <is>
          <t>Open posting</t>
        </is>
      </c>
      <c r="K447" s="8" t="inlineStr">
        <is>
          <t>filtered by keyword pre-scan</t>
        </is>
      </c>
      <c r="L447" s="17" t="inlineStr">
        <is>
          <t>new</t>
        </is>
      </c>
      <c r="M447" s="18" t="inlineStr"/>
      <c r="N447" s="7" t="inlineStr">
        <is>
          <t>67cd49d9cb10f0762d99c766d000e3a1ace27e62</t>
        </is>
      </c>
      <c r="O447" s="14" t="n"/>
      <c r="P447" s="7" t="inlineStr">
        <is>
          <t>jobspy</t>
        </is>
      </c>
      <c r="Q447" s="8" t="inlineStr">
        <is>
          <t>python, git</t>
        </is>
      </c>
      <c r="R447" s="8" t="inlineStr">
        <is>
          <t>Graduate Software Developer</t>
        </is>
      </c>
      <c r="S447" s="19" t="n"/>
      <c r="T447" s="19" t="n"/>
      <c r="U447" s="14" t="n">
        <v>46191</v>
      </c>
      <c r="V447" s="7" t="inlineStr">
        <is>
          <t>v2-cv-accuracy-13b988b18da8ea7d</t>
        </is>
      </c>
    </row>
    <row r="448" ht="28" customHeight="1">
      <c r="A448" s="12">
        <f>IF($L448="applied","Applied",IF($L448="interview","Interview",IF($L448="offer","Offer",IF($L448="rejected","Rejected",IF($L448="ignore","Ignore",IF($L448="archive","Archive",IF($L448="closed","Closed",IF($B448="","Unscored",IF(AND($B448&gt;=8,OR($H448="",$H448-TODAY()&lt;=14)),"P1 Apply",IF($B448&gt;=7,"P2 Strong",IF($B448&gt;=5,"P3 Maybe","P4 Low")))))))))))</f>
        <v/>
      </c>
      <c r="B448" s="13" t="n">
        <v>1.84</v>
      </c>
      <c r="C448" s="12" t="inlineStr">
        <is>
          <t>Graduate/Entry</t>
        </is>
      </c>
      <c r="D448" s="8" t="inlineStr">
        <is>
          <t>Graduate software engineer</t>
        </is>
      </c>
      <c r="E448" s="7" t="inlineStr">
        <is>
          <t>Meetup</t>
        </is>
      </c>
      <c r="F448" s="8" t="inlineStr"/>
      <c r="G448" s="8" t="n"/>
      <c r="H448" s="14" t="n"/>
      <c r="I448" s="15">
        <f>IF($H448="","",$H448-TODAY())</f>
        <v/>
      </c>
      <c r="J448" s="16" t="inlineStr">
        <is>
          <t>Open posting</t>
        </is>
      </c>
      <c r="K448" s="8" t="inlineStr">
        <is>
          <t>filtered by keyword pre-scan</t>
        </is>
      </c>
      <c r="L448" s="17" t="inlineStr">
        <is>
          <t>new</t>
        </is>
      </c>
      <c r="M448" s="18" t="inlineStr"/>
      <c r="N448" s="7" t="inlineStr">
        <is>
          <t>28564f70f9ef413182bab2ab8061eeaa6c949f38</t>
        </is>
      </c>
      <c r="O448" s="14" t="n"/>
      <c r="P448" s="7" t="inlineStr">
        <is>
          <t>jobspy</t>
        </is>
      </c>
      <c r="Q448" s="8" t="inlineStr">
        <is>
          <t>python, git</t>
        </is>
      </c>
      <c r="R448" s="8" t="inlineStr">
        <is>
          <t>Graduate Software Developer</t>
        </is>
      </c>
      <c r="S448" s="19" t="n"/>
      <c r="T448" s="19" t="n"/>
      <c r="U448" s="14" t="n">
        <v>46191</v>
      </c>
      <c r="V448" s="7" t="inlineStr">
        <is>
          <t>v2-cv-accuracy-13b988b18da8ea7d</t>
        </is>
      </c>
    </row>
    <row r="449" ht="28" customHeight="1">
      <c r="A449" s="12">
        <f>IF($L449="applied","Applied",IF($L449="interview","Interview",IF($L449="offer","Offer",IF($L449="rejected","Rejected",IF($L449="ignore","Ignore",IF($L449="archive","Archive",IF($L449="closed","Closed",IF($B449="","Unscored",IF(AND($B449&gt;=8,OR($H449="",$H449-TODAY()&lt;=14)),"P1 Apply",IF($B449&gt;=7,"P2 Strong",IF($B449&gt;=5,"P3 Maybe","P4 Low")))))))))))</f>
        <v/>
      </c>
      <c r="B449" s="13" t="n">
        <v>1.84</v>
      </c>
      <c r="C449" s="12" t="inlineStr">
        <is>
          <t>Graduate/Entry</t>
        </is>
      </c>
      <c r="D449" s="8" t="inlineStr">
        <is>
          <t>Graduate software engineer</t>
        </is>
      </c>
      <c r="E449" s="7" t="inlineStr">
        <is>
          <t>Bending Spoons</t>
        </is>
      </c>
      <c r="F449" s="8" t="inlineStr">
        <is>
          <t>Warwick, England, UK</t>
        </is>
      </c>
      <c r="G449" s="8" t="n"/>
      <c r="H449" s="14" t="n"/>
      <c r="I449" s="15">
        <f>IF($H449="","",$H449-TODAY())</f>
        <v/>
      </c>
      <c r="J449" s="16" t="inlineStr">
        <is>
          <t>Open posting</t>
        </is>
      </c>
      <c r="K449" s="8" t="inlineStr">
        <is>
          <t>filtered by keyword pre-scan</t>
        </is>
      </c>
      <c r="L449" s="17" t="inlineStr">
        <is>
          <t>new</t>
        </is>
      </c>
      <c r="M449" s="18" t="inlineStr"/>
      <c r="N449" s="7" t="inlineStr">
        <is>
          <t>1694d495a8814318827eb0a9794eb4fd0e653824</t>
        </is>
      </c>
      <c r="O449" s="14" t="n">
        <v>46190</v>
      </c>
      <c r="P449" s="7" t="inlineStr">
        <is>
          <t>jobspy</t>
        </is>
      </c>
      <c r="Q449" s="8" t="inlineStr">
        <is>
          <t>python, git</t>
        </is>
      </c>
      <c r="R449" s="8" t="inlineStr">
        <is>
          <t>junior Graduate Software Developer</t>
        </is>
      </c>
      <c r="S449" s="19" t="n"/>
      <c r="T449" s="19" t="n"/>
      <c r="U449" s="14" t="n">
        <v>46191</v>
      </c>
      <c r="V449" s="7" t="inlineStr">
        <is>
          <t>v2-cv-accuracy-13b988b18da8ea7d</t>
        </is>
      </c>
    </row>
    <row r="450" ht="28" customHeight="1">
      <c r="A450" s="12">
        <f>IF($L450="applied","Applied",IF($L450="interview","Interview",IF($L450="offer","Offer",IF($L450="rejected","Rejected",IF($L450="ignore","Ignore",IF($L450="archive","Archive",IF($L450="closed","Closed",IF($B450="","Unscored",IF(AND($B450&gt;=8,OR($H450="",$H450-TODAY()&lt;=14)),"P1 Apply",IF($B450&gt;=7,"P2 Strong",IF($B450&gt;=5,"P3 Maybe","P4 Low")))))))))))</f>
        <v/>
      </c>
      <c r="B450" s="13" t="n">
        <v>1.84</v>
      </c>
      <c r="C450" s="12" t="inlineStr">
        <is>
          <t>Senior/Lead</t>
        </is>
      </c>
      <c r="D450" s="8" t="inlineStr">
        <is>
          <t>Software Engineer</t>
        </is>
      </c>
      <c r="E450" s="7" t="inlineStr">
        <is>
          <t>The Open University</t>
        </is>
      </c>
      <c r="F450" s="8" t="inlineStr">
        <is>
          <t>Milton Keynes, England, UK</t>
        </is>
      </c>
      <c r="G450" s="8" t="n"/>
      <c r="H450" s="14" t="n"/>
      <c r="I450" s="15">
        <f>IF($H450="","",$H450-TODAY())</f>
        <v/>
      </c>
      <c r="J450" s="16" t="inlineStr">
        <is>
          <t>Open posting</t>
        </is>
      </c>
      <c r="K450" s="8" t="inlineStr">
        <is>
          <t>filtered by keyword pre-scan</t>
        </is>
      </c>
      <c r="L450" s="17" t="inlineStr">
        <is>
          <t>new</t>
        </is>
      </c>
      <c r="M450" s="18" t="inlineStr"/>
      <c r="N450" s="7" t="inlineStr">
        <is>
          <t>b46a5d321ed99e963f54d89ff1dc2b1c5fc7813e</t>
        </is>
      </c>
      <c r="O450" s="14" t="n">
        <v>46185</v>
      </c>
      <c r="P450" s="7" t="inlineStr">
        <is>
          <t>jobspy</t>
        </is>
      </c>
      <c r="Q450" s="8" t="inlineStr">
        <is>
          <t>git, software development</t>
        </is>
      </c>
      <c r="R450" s="8" t="inlineStr">
        <is>
          <t>junior Graduate Software Developer</t>
        </is>
      </c>
      <c r="S450" s="19" t="n"/>
      <c r="T450" s="19" t="n"/>
      <c r="U450" s="14" t="n">
        <v>46191</v>
      </c>
      <c r="V450" s="7" t="inlineStr">
        <is>
          <t>v2-cv-accuracy-13b988b18da8ea7d</t>
        </is>
      </c>
    </row>
    <row r="451" ht="28" customHeight="1">
      <c r="A451" s="12">
        <f>IF($L451="applied","Applied",IF($L451="interview","Interview",IF($L451="offer","Offer",IF($L451="rejected","Rejected",IF($L451="ignore","Ignore",IF($L451="archive","Archive",IF($L451="closed","Closed",IF($B451="","Unscored",IF(AND($B451&gt;=8,OR($H451="",$H451-TODAY()&lt;=14)),"P1 Apply",IF($B451&gt;=7,"P2 Strong",IF($B451&gt;=5,"P3 Maybe","P4 Low")))))))))))</f>
        <v/>
      </c>
      <c r="B451" s="13" t="n">
        <v>1.84</v>
      </c>
      <c r="C451" s="12" t="inlineStr">
        <is>
          <t>Senior/Lead</t>
        </is>
      </c>
      <c r="D451" s="8" t="inlineStr">
        <is>
          <t>Software Engineer (Backend, Python)</t>
        </is>
      </c>
      <c r="E451" s="7" t="inlineStr">
        <is>
          <t>Octopus Energy</t>
        </is>
      </c>
      <c r="F451" s="8" t="inlineStr">
        <is>
          <t>London, England, UK</t>
        </is>
      </c>
      <c r="G451" s="8" t="n"/>
      <c r="H451" s="14" t="n"/>
      <c r="I451" s="15">
        <f>IF($H451="","",$H451-TODAY())</f>
        <v/>
      </c>
      <c r="J451" s="16" t="inlineStr">
        <is>
          <t>Open posting</t>
        </is>
      </c>
      <c r="K451" s="8" t="inlineStr">
        <is>
          <t>filtered by keyword pre-scan</t>
        </is>
      </c>
      <c r="L451" s="17" t="inlineStr">
        <is>
          <t>new</t>
        </is>
      </c>
      <c r="M451" s="18" t="inlineStr"/>
      <c r="N451" s="7" t="inlineStr">
        <is>
          <t>b4d9baf7979f41f70e391388b52be3297e1705a8</t>
        </is>
      </c>
      <c r="O451" s="14" t="n">
        <v>46184</v>
      </c>
      <c r="P451" s="7" t="inlineStr">
        <is>
          <t>jobspy</t>
        </is>
      </c>
      <c r="Q451" s="8" t="inlineStr">
        <is>
          <t>python, rest apis, git</t>
        </is>
      </c>
      <c r="R451" s="8" t="inlineStr">
        <is>
          <t>junior Graduate Software Developer</t>
        </is>
      </c>
      <c r="S451" s="19" t="n"/>
      <c r="T451" s="19" t="n"/>
      <c r="U451" s="14" t="n">
        <v>46191</v>
      </c>
      <c r="V451" s="7" t="inlineStr">
        <is>
          <t>v2-cv-accuracy-13b988b18da8ea7d</t>
        </is>
      </c>
    </row>
    <row r="452" ht="28" customHeight="1">
      <c r="A452" s="12">
        <f>IF($L452="applied","Applied",IF($L452="interview","Interview",IF($L452="offer","Offer",IF($L452="rejected","Rejected",IF($L452="ignore","Ignore",IF($L452="archive","Archive",IF($L452="closed","Closed",IF($B452="","Unscored",IF(AND($B452&gt;=8,OR($H452="",$H452-TODAY()&lt;=14)),"P1 Apply",IF($B452&gt;=7,"P2 Strong",IF($B452&gt;=5,"P3 Maybe","P4 Low")))))))))))</f>
        <v/>
      </c>
      <c r="B452" s="13" t="n">
        <v>1.84</v>
      </c>
      <c r="C452" s="12" t="inlineStr">
        <is>
          <t>Graduate/Entry</t>
        </is>
      </c>
      <c r="D452" s="8" t="inlineStr">
        <is>
          <t>Graduate software engineer</t>
        </is>
      </c>
      <c r="E452" s="7" t="inlineStr">
        <is>
          <t>Meetup</t>
        </is>
      </c>
      <c r="F452" s="8" t="inlineStr">
        <is>
          <t>Cambridge, England, UK</t>
        </is>
      </c>
      <c r="G452" s="8" t="n"/>
      <c r="H452" s="14" t="n"/>
      <c r="I452" s="15">
        <f>IF($H452="","",$H452-TODAY())</f>
        <v/>
      </c>
      <c r="J452" s="16" t="inlineStr">
        <is>
          <t>Open posting</t>
        </is>
      </c>
      <c r="K452" s="8" t="inlineStr">
        <is>
          <t>filtered by keyword pre-scan</t>
        </is>
      </c>
      <c r="L452" s="17" t="inlineStr">
        <is>
          <t>new</t>
        </is>
      </c>
      <c r="M452" s="18" t="inlineStr"/>
      <c r="N452" s="7" t="inlineStr">
        <is>
          <t>a061273dd6df5501d115c770ad3e15c85929e176</t>
        </is>
      </c>
      <c r="O452" s="14" t="n"/>
      <c r="P452" s="7" t="inlineStr">
        <is>
          <t>jobspy</t>
        </is>
      </c>
      <c r="Q452" s="8" t="inlineStr">
        <is>
          <t>python, git</t>
        </is>
      </c>
      <c r="R452" s="8" t="inlineStr">
        <is>
          <t>graduate Graduate Software Developer</t>
        </is>
      </c>
      <c r="S452" s="19" t="n"/>
      <c r="T452" s="19" t="n"/>
      <c r="U452" s="14" t="n">
        <v>46191</v>
      </c>
      <c r="V452" s="7" t="inlineStr">
        <is>
          <t>v2-cv-accuracy-13b988b18da8ea7d</t>
        </is>
      </c>
    </row>
    <row r="453" ht="28" customHeight="1">
      <c r="A453" s="12">
        <f>IF($L453="applied","Applied",IF($L453="interview","Interview",IF($L453="offer","Offer",IF($L453="rejected","Rejected",IF($L453="ignore","Ignore",IF($L453="archive","Archive",IF($L453="closed","Closed",IF($B453="","Unscored",IF(AND($B453&gt;=8,OR($H453="",$H453-TODAY()&lt;=14)),"P1 Apply",IF($B453&gt;=7,"P2 Strong",IF($B453&gt;=5,"P3 Maybe","P4 Low")))))))))))</f>
        <v/>
      </c>
      <c r="B453" s="13" t="n">
        <v>1.84</v>
      </c>
      <c r="C453" s="12" t="inlineStr">
        <is>
          <t>Graduate/Entry</t>
        </is>
      </c>
      <c r="D453" s="8" t="inlineStr">
        <is>
          <t>Graduate software engineer</t>
        </is>
      </c>
      <c r="E453" s="7" t="inlineStr">
        <is>
          <t>WeTransfer</t>
        </is>
      </c>
      <c r="F453" s="8" t="inlineStr">
        <is>
          <t>London, England, UK</t>
        </is>
      </c>
      <c r="G453" s="8" t="n"/>
      <c r="H453" s="14" t="n"/>
      <c r="I453" s="15">
        <f>IF($H453="","",$H453-TODAY())</f>
        <v/>
      </c>
      <c r="J453" s="16" t="inlineStr">
        <is>
          <t>Open posting</t>
        </is>
      </c>
      <c r="K453" s="8" t="inlineStr">
        <is>
          <t>filtered by keyword pre-scan</t>
        </is>
      </c>
      <c r="L453" s="17" t="inlineStr">
        <is>
          <t>new</t>
        </is>
      </c>
      <c r="M453" s="18" t="inlineStr"/>
      <c r="N453" s="7" t="inlineStr">
        <is>
          <t>3188123e7ac4fa53e11a209b515763b507ed5376</t>
        </is>
      </c>
      <c r="O453" s="14" t="n"/>
      <c r="P453" s="7" t="inlineStr">
        <is>
          <t>jobspy</t>
        </is>
      </c>
      <c r="Q453" s="8" t="inlineStr">
        <is>
          <t>python, git</t>
        </is>
      </c>
      <c r="R453" s="8" t="inlineStr">
        <is>
          <t>graduate Graduate Software Developer</t>
        </is>
      </c>
      <c r="S453" s="19" t="n"/>
      <c r="T453" s="19" t="n"/>
      <c r="U453" s="14" t="n">
        <v>46191</v>
      </c>
      <c r="V453" s="7" t="inlineStr">
        <is>
          <t>v2-cv-accuracy-13b988b18da8ea7d</t>
        </is>
      </c>
    </row>
    <row r="454" ht="28" customHeight="1">
      <c r="A454" s="12">
        <f>IF($L454="applied","Applied",IF($L454="interview","Interview",IF($L454="offer","Offer",IF($L454="rejected","Rejected",IF($L454="ignore","Ignore",IF($L454="archive","Archive",IF($L454="closed","Closed",IF($B454="","Unscored",IF(AND($B454&gt;=8,OR($H454="",$H454-TODAY()&lt;=14)),"P1 Apply",IF($B454&gt;=7,"P2 Strong",IF($B454&gt;=5,"P3 Maybe","P4 Low")))))))))))</f>
        <v/>
      </c>
      <c r="B454" s="13" t="n">
        <v>1.84</v>
      </c>
      <c r="C454" s="12" t="inlineStr">
        <is>
          <t>Graduate/Entry</t>
        </is>
      </c>
      <c r="D454" s="8" t="inlineStr">
        <is>
          <t>Graduate software engineer</t>
        </is>
      </c>
      <c r="E454" s="7" t="inlineStr">
        <is>
          <t>Evernote</t>
        </is>
      </c>
      <c r="F454" s="8" t="inlineStr">
        <is>
          <t>Oxford, England, UK</t>
        </is>
      </c>
      <c r="G454" s="8" t="n"/>
      <c r="H454" s="14" t="n"/>
      <c r="I454" s="15">
        <f>IF($H454="","",$H454-TODAY())</f>
        <v/>
      </c>
      <c r="J454" s="16" t="inlineStr">
        <is>
          <t>Open posting</t>
        </is>
      </c>
      <c r="K454" s="8" t="inlineStr">
        <is>
          <t>filtered by keyword pre-scan</t>
        </is>
      </c>
      <c r="L454" s="17" t="inlineStr">
        <is>
          <t>new</t>
        </is>
      </c>
      <c r="M454" s="18" t="inlineStr"/>
      <c r="N454" s="7" t="inlineStr">
        <is>
          <t>e04ba9594aed0b43cd2270aa25601cbbd438a365</t>
        </is>
      </c>
      <c r="O454" s="14" t="n"/>
      <c r="P454" s="7" t="inlineStr">
        <is>
          <t>jobspy</t>
        </is>
      </c>
      <c r="Q454" s="8" t="inlineStr">
        <is>
          <t>python, git</t>
        </is>
      </c>
      <c r="R454" s="8" t="inlineStr">
        <is>
          <t>graduate Graduate Software Developer</t>
        </is>
      </c>
      <c r="S454" s="19" t="n"/>
      <c r="T454" s="19" t="n"/>
      <c r="U454" s="14" t="n">
        <v>46191</v>
      </c>
      <c r="V454" s="7" t="inlineStr">
        <is>
          <t>v2-cv-accuracy-13b988b18da8ea7d</t>
        </is>
      </c>
    </row>
    <row r="455" ht="28" customHeight="1">
      <c r="A455" s="12">
        <f>IF($L455="applied","Applied",IF($L455="interview","Interview",IF($L455="offer","Offer",IF($L455="rejected","Rejected",IF($L455="ignore","Ignore",IF($L455="archive","Archive",IF($L455="closed","Closed",IF($B455="","Unscored",IF(AND($B455&gt;=8,OR($H455="",$H455-TODAY()&lt;=14)),"P1 Apply",IF($B455&gt;=7,"P2 Strong",IF($B455&gt;=5,"P3 Maybe","P4 Low")))))))))))</f>
        <v/>
      </c>
      <c r="B455" s="13" t="n">
        <v>1.84</v>
      </c>
      <c r="C455" s="12" t="inlineStr">
        <is>
          <t>Graduate/Entry</t>
        </is>
      </c>
      <c r="D455" s="8" t="inlineStr">
        <is>
          <t>Graduate software engineer</t>
        </is>
      </c>
      <c r="E455" s="7" t="inlineStr">
        <is>
          <t>Bending Spoons</t>
        </is>
      </c>
      <c r="F455" s="8" t="inlineStr">
        <is>
          <t>Oxford, England, UK</t>
        </is>
      </c>
      <c r="G455" s="8" t="n"/>
      <c r="H455" s="14" t="n"/>
      <c r="I455" s="15">
        <f>IF($H455="","",$H455-TODAY())</f>
        <v/>
      </c>
      <c r="J455" s="16" t="inlineStr">
        <is>
          <t>Open posting</t>
        </is>
      </c>
      <c r="K455" s="8" t="inlineStr">
        <is>
          <t>filtered by keyword pre-scan</t>
        </is>
      </c>
      <c r="L455" s="17" t="inlineStr">
        <is>
          <t>new</t>
        </is>
      </c>
      <c r="M455" s="18" t="inlineStr"/>
      <c r="N455" s="7" t="inlineStr">
        <is>
          <t>b7508a5f1a2d4904c0c15d4eea37d386df58d079</t>
        </is>
      </c>
      <c r="O455" s="14" t="n">
        <v>46187</v>
      </c>
      <c r="P455" s="7" t="inlineStr">
        <is>
          <t>jobspy</t>
        </is>
      </c>
      <c r="Q455" s="8" t="inlineStr">
        <is>
          <t>python, git</t>
        </is>
      </c>
      <c r="R455" s="8" t="inlineStr">
        <is>
          <t>junior/graduate Graduate Software Developer</t>
        </is>
      </c>
      <c r="S455" s="19" t="n"/>
      <c r="T455" s="19" t="n"/>
      <c r="U455" s="14" t="n">
        <v>46191</v>
      </c>
      <c r="V455" s="7" t="inlineStr">
        <is>
          <t>v2-cv-accuracy-13b988b18da8ea7d</t>
        </is>
      </c>
    </row>
    <row r="456" ht="28" customHeight="1">
      <c r="A456" s="12">
        <f>IF($L456="applied","Applied",IF($L456="interview","Interview",IF($L456="offer","Offer",IF($L456="rejected","Rejected",IF($L456="ignore","Ignore",IF($L456="archive","Archive",IF($L456="closed","Closed",IF($B456="","Unscored",IF(AND($B456&gt;=8,OR($H456="",$H456-TODAY()&lt;=14)),"P1 Apply",IF($B456&gt;=7,"P2 Strong",IF($B456&gt;=5,"P3 Maybe","P4 Low")))))))))))</f>
        <v/>
      </c>
      <c r="B456" s="13" t="n">
        <v>1.84</v>
      </c>
      <c r="C456" s="12" t="inlineStr">
        <is>
          <t>Graduate/Entry</t>
        </is>
      </c>
      <c r="D456" s="8" t="inlineStr">
        <is>
          <t>Graduate software engineer</t>
        </is>
      </c>
      <c r="E456" s="7" t="inlineStr">
        <is>
          <t>Meetup</t>
        </is>
      </c>
      <c r="F456" s="8" t="inlineStr">
        <is>
          <t>Oxford, England, UK</t>
        </is>
      </c>
      <c r="G456" s="8" t="n"/>
      <c r="H456" s="14" t="n"/>
      <c r="I456" s="15">
        <f>IF($H456="","",$H456-TODAY())</f>
        <v/>
      </c>
      <c r="J456" s="16" t="inlineStr">
        <is>
          <t>Open posting</t>
        </is>
      </c>
      <c r="K456" s="8" t="inlineStr">
        <is>
          <t>filtered by keyword pre-scan</t>
        </is>
      </c>
      <c r="L456" s="17" t="inlineStr">
        <is>
          <t>new</t>
        </is>
      </c>
      <c r="M456" s="18" t="inlineStr"/>
      <c r="N456" s="7" t="inlineStr">
        <is>
          <t>722d43e0ce86ad473f074cd16bf90c895fad8d6f</t>
        </is>
      </c>
      <c r="O456" s="14" t="n"/>
      <c r="P456" s="7" t="inlineStr">
        <is>
          <t>jobspy</t>
        </is>
      </c>
      <c r="Q456" s="8" t="inlineStr">
        <is>
          <t>python, git</t>
        </is>
      </c>
      <c r="R456" s="8" t="inlineStr">
        <is>
          <t>Graduate Software Developer remote</t>
        </is>
      </c>
      <c r="S456" s="19" t="n"/>
      <c r="T456" s="19" t="n"/>
      <c r="U456" s="14" t="n">
        <v>46191</v>
      </c>
      <c r="V456" s="7" t="inlineStr">
        <is>
          <t>v2-cv-accuracy-13b988b18da8ea7d</t>
        </is>
      </c>
    </row>
    <row r="457" ht="28" customHeight="1">
      <c r="A457" s="12">
        <f>IF($L457="applied","Applied",IF($L457="interview","Interview",IF($L457="offer","Offer",IF($L457="rejected","Rejected",IF($L457="ignore","Ignore",IF($L457="archive","Archive",IF($L457="closed","Closed",IF($B457="","Unscored",IF(AND($B457&gt;=8,OR($H457="",$H457-TODAY()&lt;=14)),"P1 Apply",IF($B457&gt;=7,"P2 Strong",IF($B457&gt;=5,"P3 Maybe","P4 Low")))))))))))</f>
        <v/>
      </c>
      <c r="B457" s="13" t="n">
        <v>1.84</v>
      </c>
      <c r="C457" s="12" t="inlineStr">
        <is>
          <t>Graduate/Entry</t>
        </is>
      </c>
      <c r="D457" s="8" t="inlineStr">
        <is>
          <t>Graduate software engineer</t>
        </is>
      </c>
      <c r="E457" s="7" t="inlineStr">
        <is>
          <t>WeTransfer</t>
        </is>
      </c>
      <c r="F457" s="8" t="inlineStr">
        <is>
          <t>Oxford, England, UK</t>
        </is>
      </c>
      <c r="G457" s="8" t="n"/>
      <c r="H457" s="14" t="n"/>
      <c r="I457" s="15">
        <f>IF($H457="","",$H457-TODAY())</f>
        <v/>
      </c>
      <c r="J457" s="16" t="inlineStr">
        <is>
          <t>Open posting</t>
        </is>
      </c>
      <c r="K457" s="8" t="inlineStr">
        <is>
          <t>filtered by keyword pre-scan</t>
        </is>
      </c>
      <c r="L457" s="17" t="inlineStr">
        <is>
          <t>new</t>
        </is>
      </c>
      <c r="M457" s="18" t="inlineStr"/>
      <c r="N457" s="7" t="inlineStr">
        <is>
          <t>a880f96ae25fe7532d1679588850c901094e6a38</t>
        </is>
      </c>
      <c r="O457" s="14" t="n"/>
      <c r="P457" s="7" t="inlineStr">
        <is>
          <t>jobspy</t>
        </is>
      </c>
      <c r="Q457" s="8" t="inlineStr">
        <is>
          <t>python, git</t>
        </is>
      </c>
      <c r="R457" s="8" t="inlineStr">
        <is>
          <t>Graduate Software Developer remote</t>
        </is>
      </c>
      <c r="S457" s="19" t="n"/>
      <c r="T457" s="19" t="n"/>
      <c r="U457" s="14" t="n">
        <v>46191</v>
      </c>
      <c r="V457" s="7" t="inlineStr">
        <is>
          <t>v2-cv-accuracy-13b988b18da8ea7d</t>
        </is>
      </c>
    </row>
    <row r="458" ht="28" customHeight="1">
      <c r="A458" s="12">
        <f>IF($L458="applied","Applied",IF($L458="interview","Interview",IF($L458="offer","Offer",IF($L458="rejected","Rejected",IF($L458="ignore","Ignore",IF($L458="archive","Archive",IF($L458="closed","Closed",IF($B458="","Unscored",IF(AND($B458&gt;=8,OR($H458="",$H458-TODAY()&lt;=14)),"P1 Apply",IF($B458&gt;=7,"P2 Strong",IF($B458&gt;=5,"P3 Maybe","P4 Low")))))))))))</f>
        <v/>
      </c>
      <c r="B458" s="13" t="n">
        <v>1.84</v>
      </c>
      <c r="C458" s="12" t="inlineStr">
        <is>
          <t>Graduate/Entry</t>
        </is>
      </c>
      <c r="D458" s="8" t="inlineStr">
        <is>
          <t>Graduate software engineer</t>
        </is>
      </c>
      <c r="E458" s="7" t="inlineStr">
        <is>
          <t>WeTransfer</t>
        </is>
      </c>
      <c r="F458" s="8" t="inlineStr">
        <is>
          <t>Cambridge, England, UK</t>
        </is>
      </c>
      <c r="G458" s="8" t="n"/>
      <c r="H458" s="14" t="n"/>
      <c r="I458" s="15">
        <f>IF($H458="","",$H458-TODAY())</f>
        <v/>
      </c>
      <c r="J458" s="16" t="inlineStr">
        <is>
          <t>Open posting</t>
        </is>
      </c>
      <c r="K458" s="8" t="inlineStr">
        <is>
          <t>filtered by keyword pre-scan</t>
        </is>
      </c>
      <c r="L458" s="17" t="inlineStr">
        <is>
          <t>new</t>
        </is>
      </c>
      <c r="M458" s="18" t="inlineStr"/>
      <c r="N458" s="7" t="inlineStr">
        <is>
          <t>67cf54a64d27bd2486fd7e6595ee6fbd6f2ab84c</t>
        </is>
      </c>
      <c r="O458" s="14" t="n"/>
      <c r="P458" s="7" t="inlineStr">
        <is>
          <t>jobspy</t>
        </is>
      </c>
      <c r="Q458" s="8" t="inlineStr">
        <is>
          <t>python, git</t>
        </is>
      </c>
      <c r="R458" s="8" t="inlineStr">
        <is>
          <t>Graduate Software Developer remote</t>
        </is>
      </c>
      <c r="S458" s="19" t="n"/>
      <c r="T458" s="19" t="n"/>
      <c r="U458" s="14" t="n">
        <v>46191</v>
      </c>
      <c r="V458" s="7" t="inlineStr">
        <is>
          <t>v2-cv-accuracy-13b988b18da8ea7d</t>
        </is>
      </c>
    </row>
    <row r="459" ht="28" customHeight="1">
      <c r="A459" s="12">
        <f>IF($L459="applied","Applied",IF($L459="interview","Interview",IF($L459="offer","Offer",IF($L459="rejected","Rejected",IF($L459="ignore","Ignore",IF($L459="archive","Archive",IF($L459="closed","Closed",IF($B459="","Unscored",IF(AND($B459&gt;=8,OR($H459="",$H459-TODAY()&lt;=14)),"P1 Apply",IF($B459&gt;=7,"P2 Strong",IF($B459&gt;=5,"P3 Maybe","P4 Low")))))))))))</f>
        <v/>
      </c>
      <c r="B459" s="13" t="n">
        <v>1.84</v>
      </c>
      <c r="C459" s="12" t="inlineStr">
        <is>
          <t>Graduate/Entry</t>
        </is>
      </c>
      <c r="D459" s="8" t="inlineStr">
        <is>
          <t>Graduate software engineer</t>
        </is>
      </c>
      <c r="E459" s="7" t="inlineStr">
        <is>
          <t>Evernote</t>
        </is>
      </c>
      <c r="F459" s="8" t="inlineStr">
        <is>
          <t>Cambridge, England, UK</t>
        </is>
      </c>
      <c r="G459" s="8" t="n"/>
      <c r="H459" s="14" t="n"/>
      <c r="I459" s="15">
        <f>IF($H459="","",$H459-TODAY())</f>
        <v/>
      </c>
      <c r="J459" s="16" t="inlineStr">
        <is>
          <t>Open posting</t>
        </is>
      </c>
      <c r="K459" s="8" t="inlineStr">
        <is>
          <t>filtered by keyword pre-scan</t>
        </is>
      </c>
      <c r="L459" s="17" t="inlineStr">
        <is>
          <t>new</t>
        </is>
      </c>
      <c r="M459" s="18" t="inlineStr"/>
      <c r="N459" s="7" t="inlineStr">
        <is>
          <t>8551448320e261602ffc423b6cec327763c479aa</t>
        </is>
      </c>
      <c r="O459" s="14" t="n"/>
      <c r="P459" s="7" t="inlineStr">
        <is>
          <t>jobspy</t>
        </is>
      </c>
      <c r="Q459" s="8" t="inlineStr">
        <is>
          <t>python, git</t>
        </is>
      </c>
      <c r="R459" s="8" t="inlineStr">
        <is>
          <t>Graduate Software Developer remote</t>
        </is>
      </c>
      <c r="S459" s="19" t="n"/>
      <c r="T459" s="19" t="n"/>
      <c r="U459" s="14" t="n">
        <v>46191</v>
      </c>
      <c r="V459" s="7" t="inlineStr">
        <is>
          <t>v2-cv-accuracy-13b988b18da8ea7d</t>
        </is>
      </c>
    </row>
    <row r="460" ht="28" customHeight="1">
      <c r="A460" s="12">
        <f>IF($L460="applied","Applied",IF($L460="interview","Interview",IF($L460="offer","Offer",IF($L460="rejected","Rejected",IF($L460="ignore","Ignore",IF($L460="archive","Archive",IF($L460="closed","Closed",IF($B460="","Unscored",IF(AND($B460&gt;=8,OR($H460="",$H460-TODAY()&lt;=14)),"P1 Apply",IF($B460&gt;=7,"P2 Strong",IF($B460&gt;=5,"P3 Maybe","P4 Low")))))))))))</f>
        <v/>
      </c>
      <c r="B460" s="13" t="n">
        <v>1.84</v>
      </c>
      <c r="C460" s="12" t="inlineStr">
        <is>
          <t>Graduate/Entry</t>
        </is>
      </c>
      <c r="D460" s="8" t="inlineStr">
        <is>
          <t>Graduate Programme 2027: Software Engineer (Python)</t>
        </is>
      </c>
      <c r="E460" s="7" t="inlineStr">
        <is>
          <t>Revolut</t>
        </is>
      </c>
      <c r="F460" s="8" t="inlineStr"/>
      <c r="G460" s="8" t="n"/>
      <c r="H460" s="14" t="n"/>
      <c r="I460" s="15">
        <f>IF($H460="","",$H460-TODAY())</f>
        <v/>
      </c>
      <c r="J460" s="16" t="inlineStr">
        <is>
          <t>Open posting</t>
        </is>
      </c>
      <c r="K460" s="8" t="inlineStr">
        <is>
          <t>filtered by keyword pre-scan</t>
        </is>
      </c>
      <c r="L460" s="17" t="inlineStr">
        <is>
          <t>new</t>
        </is>
      </c>
      <c r="M460" s="18" t="inlineStr"/>
      <c r="N460" s="7" t="inlineStr">
        <is>
          <t>91f251f7cb829accb29bb47bf1ab0e742dd85ab2</t>
        </is>
      </c>
      <c r="O460" s="14" t="n"/>
      <c r="P460" s="7" t="inlineStr">
        <is>
          <t>jobspy</t>
        </is>
      </c>
      <c r="Q460" s="8" t="inlineStr">
        <is>
          <t>python, sql</t>
        </is>
      </c>
      <c r="R460" s="8" t="inlineStr">
        <is>
          <t>Graduate Software Developer remote</t>
        </is>
      </c>
      <c r="S460" s="19" t="n"/>
      <c r="T460" s="19" t="n"/>
      <c r="U460" s="14" t="n">
        <v>46191</v>
      </c>
      <c r="V460" s="7" t="inlineStr">
        <is>
          <t>v2-cv-accuracy-13b988b18da8ea7d</t>
        </is>
      </c>
    </row>
    <row r="461" ht="28" customHeight="1">
      <c r="A461" s="12">
        <f>IF($L461="applied","Applied",IF($L461="interview","Interview",IF($L461="offer","Offer",IF($L461="rejected","Rejected",IF($L461="ignore","Ignore",IF($L461="archive","Archive",IF($L461="closed","Closed",IF($B461="","Unscored",IF(AND($B461&gt;=8,OR($H461="",$H461-TODAY()&lt;=14)),"P1 Apply",IF($B461&gt;=7,"P2 Strong",IF($B461&gt;=5,"P3 Maybe","P4 Low")))))))))))</f>
        <v/>
      </c>
      <c r="B461" s="13" t="n">
        <v>1.84</v>
      </c>
      <c r="C461" s="12" t="inlineStr">
        <is>
          <t>Junior</t>
        </is>
      </c>
      <c r="D461" s="8" t="inlineStr">
        <is>
          <t>Junior Software Engineer (m/f/d) AI and Data Systems</t>
        </is>
      </c>
      <c r="E461" s="7" t="inlineStr">
        <is>
          <t>Rohde &amp; Schwarz</t>
        </is>
      </c>
      <c r="F461" s="8" t="inlineStr">
        <is>
          <t>Berlin, Germany</t>
        </is>
      </c>
      <c r="G461" s="8" t="n"/>
      <c r="H461" s="14" t="n"/>
      <c r="I461" s="15">
        <f>IF($H461="","",$H461-TODAY())</f>
        <v/>
      </c>
      <c r="J461" s="16" t="inlineStr">
        <is>
          <t>Open posting</t>
        </is>
      </c>
      <c r="K461" s="8" t="inlineStr">
        <is>
          <t>filtered by keyword pre-scan</t>
        </is>
      </c>
      <c r="L461" s="17" t="inlineStr">
        <is>
          <t>new</t>
        </is>
      </c>
      <c r="M461" s="18" t="inlineStr"/>
      <c r="N461" s="7" t="inlineStr">
        <is>
          <t>af28a49786b37d50b2d7d929731ef1a92eda6fc5</t>
        </is>
      </c>
      <c r="O461" s="14" t="n">
        <v>46185</v>
      </c>
      <c r="P461" s="7" t="inlineStr">
        <is>
          <t>jobspy</t>
        </is>
      </c>
      <c r="Q461" s="8" t="inlineStr">
        <is>
          <t>python, javascript</t>
        </is>
      </c>
      <c r="R461" s="8" t="inlineStr">
        <is>
          <t>junior/graduate Junior Python Developer</t>
        </is>
      </c>
      <c r="S461" s="19" t="n"/>
      <c r="T461" s="19" t="n"/>
      <c r="U461" s="14" t="n">
        <v>46191</v>
      </c>
      <c r="V461" s="7" t="inlineStr">
        <is>
          <t>v2-cv-accuracy-13b988b18da8ea7d</t>
        </is>
      </c>
    </row>
    <row r="462" ht="28" customHeight="1">
      <c r="A462" s="12">
        <f>IF($L462="applied","Applied",IF($L462="interview","Interview",IF($L462="offer","Offer",IF($L462="rejected","Rejected",IF($L462="ignore","Ignore",IF($L462="archive","Archive",IF($L462="closed","Closed",IF($B462="","Unscored",IF(AND($B462&gt;=8,OR($H462="",$H462-TODAY()&lt;=14)),"P1 Apply",IF($B462&gt;=7,"P2 Strong",IF($B462&gt;=5,"P3 Maybe","P4 Low")))))))))))</f>
        <v/>
      </c>
      <c r="B462" s="13" t="n">
        <v>1.84</v>
      </c>
      <c r="C462" s="12" t="inlineStr">
        <is>
          <t>Junior</t>
        </is>
      </c>
      <c r="D462" s="8" t="inlineStr">
        <is>
          <t>Junior Software Engineer (m/f/d) AI and Data Systems</t>
        </is>
      </c>
      <c r="E462" s="7" t="inlineStr">
        <is>
          <t>Rohde &amp; Schwarz</t>
        </is>
      </c>
      <c r="F462" s="8" t="inlineStr">
        <is>
          <t>Berlin, Berlin, Germany</t>
        </is>
      </c>
      <c r="G462" s="8" t="n"/>
      <c r="H462" s="14" t="n"/>
      <c r="I462" s="15">
        <f>IF($H462="","",$H462-TODAY())</f>
        <v/>
      </c>
      <c r="J462" s="16" t="inlineStr">
        <is>
          <t>Open posting</t>
        </is>
      </c>
      <c r="K462" s="8" t="inlineStr">
        <is>
          <t>filtered by keyword pre-scan</t>
        </is>
      </c>
      <c r="L462" s="17" t="inlineStr">
        <is>
          <t>new</t>
        </is>
      </c>
      <c r="M462" s="18" t="inlineStr"/>
      <c r="N462" s="7" t="inlineStr">
        <is>
          <t>e22363404d51f4b974ec33897418818fafcef680</t>
        </is>
      </c>
      <c r="O462" s="14" t="n">
        <v>46184</v>
      </c>
      <c r="P462" s="7" t="inlineStr">
        <is>
          <t>jobspy</t>
        </is>
      </c>
      <c r="Q462" s="8" t="inlineStr">
        <is>
          <t>python, javascript</t>
        </is>
      </c>
      <c r="R462" s="8" t="inlineStr">
        <is>
          <t>junior/graduate Junior Python Developer</t>
        </is>
      </c>
      <c r="S462" s="19" t="n"/>
      <c r="T462" s="19" t="n"/>
      <c r="U462" s="14" t="n">
        <v>46191</v>
      </c>
      <c r="V462" s="7" t="inlineStr">
        <is>
          <t>v2-cv-accuracy-13b988b18da8ea7d</t>
        </is>
      </c>
    </row>
    <row r="463" ht="28" customHeight="1">
      <c r="A463" s="12">
        <f>IF($L463="applied","Applied",IF($L463="interview","Interview",IF($L463="offer","Offer",IF($L463="rejected","Rejected",IF($L463="ignore","Ignore",IF($L463="archive","Archive",IF($L463="closed","Closed",IF($B463="","Unscored",IF(AND($B463&gt;=8,OR($H463="",$H463-TODAY()&lt;=14)),"P1 Apply",IF($B463&gt;=7,"P2 Strong",IF($B463&gt;=5,"P3 Maybe","P4 Low")))))))))))</f>
        <v/>
      </c>
      <c r="B463" s="13" t="n">
        <v>1.84</v>
      </c>
      <c r="C463" s="12" t="inlineStr">
        <is>
          <t>Junior</t>
        </is>
      </c>
      <c r="D463" s="8" t="inlineStr">
        <is>
          <t>Software Developer - .NET &amp; Angular</t>
        </is>
      </c>
      <c r="E463" s="7" t="inlineStr">
        <is>
          <t>Network Plus</t>
        </is>
      </c>
      <c r="F463" s="8" t="inlineStr">
        <is>
          <t>Salford, ENG, GB</t>
        </is>
      </c>
      <c r="G463" s="8" t="n"/>
      <c r="H463" s="14" t="n"/>
      <c r="I463" s="15">
        <f>IF($H463="","",$H463-TODAY())</f>
        <v/>
      </c>
      <c r="J463" s="16" t="inlineStr">
        <is>
          <t>Open posting</t>
        </is>
      </c>
      <c r="K463" s="8" t="inlineStr">
        <is>
          <t>filtered by keyword pre-scan</t>
        </is>
      </c>
      <c r="L463" s="17" t="inlineStr">
        <is>
          <t>new</t>
        </is>
      </c>
      <c r="M463" s="18" t="inlineStr"/>
      <c r="N463" s="7" t="inlineStr">
        <is>
          <t>8aae4245b6eba272c66e5ce0d85cf8e5248ac666</t>
        </is>
      </c>
      <c r="O463" s="14" t="n">
        <v>46191</v>
      </c>
      <c r="P463" s="7" t="inlineStr">
        <is>
          <t>jobspy</t>
        </is>
      </c>
      <c r="Q463" s="8" t="inlineStr">
        <is>
          <t>sql, git</t>
        </is>
      </c>
      <c r="R463" s="8" t="inlineStr">
        <is>
          <t>Full Stack Developer</t>
        </is>
      </c>
      <c r="S463" s="19" t="n"/>
      <c r="T463" s="19" t="n"/>
      <c r="U463" s="14" t="n">
        <v>46191</v>
      </c>
      <c r="V463" s="7" t="inlineStr">
        <is>
          <t>v2-cv-accuracy-13b988b18da8ea7d</t>
        </is>
      </c>
    </row>
    <row r="464" ht="28" customHeight="1">
      <c r="A464" s="12">
        <f>IF($L464="applied","Applied",IF($L464="interview","Interview",IF($L464="offer","Offer",IF($L464="rejected","Rejected",IF($L464="ignore","Ignore",IF($L464="archive","Archive",IF($L464="closed","Closed",IF($B464="","Unscored",IF(AND($B464&gt;=8,OR($H464="",$H464-TODAY()&lt;=14)),"P1 Apply",IF($B464&gt;=7,"P2 Strong",IF($B464&gt;=5,"P3 Maybe","P4 Low")))))))))))</f>
        <v/>
      </c>
      <c r="B464" s="13" t="n">
        <v>1.84</v>
      </c>
      <c r="C464" s="12" t="inlineStr">
        <is>
          <t>Unspecified</t>
        </is>
      </c>
      <c r="D464" s="8" t="inlineStr">
        <is>
          <t>Full Stack Engineer</t>
        </is>
      </c>
      <c r="E464" s="7" t="inlineStr">
        <is>
          <t>TechYard</t>
        </is>
      </c>
      <c r="F464" s="8" t="inlineStr">
        <is>
          <t>Liverpool, England, UK</t>
        </is>
      </c>
      <c r="G464" s="8" t="n"/>
      <c r="H464" s="14" t="n"/>
      <c r="I464" s="15">
        <f>IF($H464="","",$H464-TODAY())</f>
        <v/>
      </c>
      <c r="J464" s="16" t="inlineStr">
        <is>
          <t>Open posting</t>
        </is>
      </c>
      <c r="K464" s="8" t="inlineStr">
        <is>
          <t>filtered by keyword pre-scan</t>
        </is>
      </c>
      <c r="L464" s="17" t="inlineStr">
        <is>
          <t>new</t>
        </is>
      </c>
      <c r="M464" s="18" t="inlineStr"/>
      <c r="N464" s="7" t="inlineStr">
        <is>
          <t>eaa50f4e7e9063f582284d9be5586e1ef4d70107</t>
        </is>
      </c>
      <c r="O464" s="14" t="n">
        <v>46183</v>
      </c>
      <c r="P464" s="7" t="inlineStr">
        <is>
          <t>jobspy</t>
        </is>
      </c>
      <c r="Q464" s="8" t="inlineStr">
        <is>
          <t>sql, git</t>
        </is>
      </c>
      <c r="R464" s="8" t="inlineStr">
        <is>
          <t>Full Stack Developer</t>
        </is>
      </c>
      <c r="S464" s="19" t="n"/>
      <c r="T464" s="19" t="n"/>
      <c r="U464" s="14" t="n">
        <v>46191</v>
      </c>
      <c r="V464" s="7" t="inlineStr">
        <is>
          <t>v2-cv-accuracy-13b988b18da8ea7d</t>
        </is>
      </c>
    </row>
    <row r="465" ht="28" customHeight="1">
      <c r="A465" s="12">
        <f>IF($L465="applied","Applied",IF($L465="interview","Interview",IF($L465="offer","Offer",IF($L465="rejected","Rejected",IF($L465="ignore","Ignore",IF($L465="archive","Archive",IF($L465="closed","Closed",IF($B465="","Unscored",IF(AND($B465&gt;=8,OR($H465="",$H465-TODAY()&lt;=14)),"P1 Apply",IF($B465&gt;=7,"P2 Strong",IF($B465&gt;=5,"P3 Maybe","P4 Low")))))))))))</f>
        <v/>
      </c>
      <c r="B465" s="13" t="n">
        <v>1.84</v>
      </c>
      <c r="C465" s="12" t="inlineStr">
        <is>
          <t>Graduate/Entry</t>
        </is>
      </c>
      <c r="D465" s="8" t="inlineStr">
        <is>
          <t>Graduate software engineer</t>
        </is>
      </c>
      <c r="E465" s="7" t="inlineStr">
        <is>
          <t>Evernote</t>
        </is>
      </c>
      <c r="F465" s="8" t="inlineStr"/>
      <c r="G465" s="8" t="n"/>
      <c r="H465" s="14" t="n"/>
      <c r="I465" s="15">
        <f>IF($H465="","",$H465-TODAY())</f>
        <v/>
      </c>
      <c r="J465" s="16" t="inlineStr">
        <is>
          <t>Open posting</t>
        </is>
      </c>
      <c r="K465" s="8" t="inlineStr">
        <is>
          <t>filtered by keyword pre-scan</t>
        </is>
      </c>
      <c r="L465" s="17" t="inlineStr">
        <is>
          <t>new</t>
        </is>
      </c>
      <c r="M465" s="18" t="inlineStr"/>
      <c r="N465" s="7" t="inlineStr">
        <is>
          <t>1322e778766df774d9136deed03b57f47103bdd0</t>
        </is>
      </c>
      <c r="O465" s="14" t="n"/>
      <c r="P465" s="7" t="inlineStr">
        <is>
          <t>jobspy</t>
        </is>
      </c>
      <c r="Q465" s="8" t="inlineStr">
        <is>
          <t>python, git</t>
        </is>
      </c>
      <c r="R465" s="8" t="inlineStr">
        <is>
          <t>Graduate Software Developer remote</t>
        </is>
      </c>
      <c r="S465" s="19" t="n"/>
      <c r="T465" s="19" t="n"/>
      <c r="U465" s="14" t="n">
        <v>46191</v>
      </c>
      <c r="V465" s="7" t="inlineStr">
        <is>
          <t>v2-cv-accuracy-13b988b18da8ea7d</t>
        </is>
      </c>
    </row>
    <row r="466" ht="28" customHeight="1">
      <c r="A466" s="12">
        <f>IF($L466="applied","Applied",IF($L466="interview","Interview",IF($L466="offer","Offer",IF($L466="rejected","Rejected",IF($L466="ignore","Ignore",IF($L466="archive","Archive",IF($L466="closed","Closed",IF($B466="","Unscored",IF(AND($B466&gt;=8,OR($H466="",$H466-TODAY()&lt;=14)),"P1 Apply",IF($B466&gt;=7,"P2 Strong",IF($B466&gt;=5,"P3 Maybe","P4 Low")))))))))))</f>
        <v/>
      </c>
      <c r="B466" s="13" t="n">
        <v>1.84</v>
      </c>
      <c r="C466" s="12" t="inlineStr">
        <is>
          <t>Junior</t>
        </is>
      </c>
      <c r="D466" s="8" t="inlineStr">
        <is>
          <t>Junior Software Engineer</t>
        </is>
      </c>
      <c r="E466" s="7" t="inlineStr">
        <is>
          <t>Advanced Research + Invention Agency (ARIA)</t>
        </is>
      </c>
      <c r="F466" s="8" t="inlineStr">
        <is>
          <t>London, England, UK</t>
        </is>
      </c>
      <c r="G466" s="8" t="n"/>
      <c r="H466" s="14" t="n"/>
      <c r="I466" s="15">
        <f>IF($H466="","",$H466-TODAY())</f>
        <v/>
      </c>
      <c r="J466" s="16" t="inlineStr">
        <is>
          <t>Open posting</t>
        </is>
      </c>
      <c r="K466" s="8" t="inlineStr">
        <is>
          <t>filtered by keyword pre-scan</t>
        </is>
      </c>
      <c r="L466" s="17" t="inlineStr">
        <is>
          <t>new</t>
        </is>
      </c>
      <c r="M466" s="18" t="inlineStr"/>
      <c r="N466" s="7" t="inlineStr">
        <is>
          <t>f8f1a3acfa57e0dcdbadd6d561e6cc4d82e3aa8e</t>
        </is>
      </c>
      <c r="O466" s="14" t="n">
        <v>46189</v>
      </c>
      <c r="P466" s="7" t="inlineStr">
        <is>
          <t>jobspy</t>
        </is>
      </c>
      <c r="Q466" s="8" t="inlineStr">
        <is>
          <t>python, git</t>
        </is>
      </c>
      <c r="R466" s="8" t="inlineStr">
        <is>
          <t>junior/graduate Junior Python Developer</t>
        </is>
      </c>
      <c r="S466" s="19" t="n"/>
      <c r="T466" s="19" t="n"/>
      <c r="U466" s="14" t="n">
        <v>46191</v>
      </c>
      <c r="V466" s="7" t="inlineStr">
        <is>
          <t>v2-cv-accuracy-13b988b18da8ea7d</t>
        </is>
      </c>
    </row>
    <row r="467" ht="28" customHeight="1">
      <c r="A467" s="12">
        <f>IF($L467="applied","Applied",IF($L467="interview","Interview",IF($L467="offer","Offer",IF($L467="rejected","Rejected",IF($L467="ignore","Ignore",IF($L467="archive","Archive",IF($L467="closed","Closed",IF($B467="","Unscored",IF(AND($B467&gt;=8,OR($H467="",$H467-TODAY()&lt;=14)),"P1 Apply",IF($B467&gt;=7,"P2 Strong",IF($B467&gt;=5,"P3 Maybe","P4 Low")))))))))))</f>
        <v/>
      </c>
      <c r="B467" s="13" t="n">
        <v>1.84</v>
      </c>
      <c r="C467" s="12" t="inlineStr">
        <is>
          <t>Unspecified</t>
        </is>
      </c>
      <c r="D467" s="8" t="inlineStr">
        <is>
          <t>Python Software Engineer</t>
        </is>
      </c>
      <c r="E467" s="7" t="inlineStr">
        <is>
          <t>Haystack</t>
        </is>
      </c>
      <c r="F467" s="8" t="inlineStr"/>
      <c r="G467" s="8" t="n"/>
      <c r="H467" s="14" t="n"/>
      <c r="I467" s="15">
        <f>IF($H467="","",$H467-TODAY())</f>
        <v/>
      </c>
      <c r="J467" s="16" t="inlineStr">
        <is>
          <t>Open posting</t>
        </is>
      </c>
      <c r="K467" s="8" t="inlineStr">
        <is>
          <t>filtered by keyword pre-scan</t>
        </is>
      </c>
      <c r="L467" s="17" t="inlineStr">
        <is>
          <t>new</t>
        </is>
      </c>
      <c r="M467" s="18" t="inlineStr"/>
      <c r="N467" s="7" t="inlineStr">
        <is>
          <t>dc8e2f42c17b2cd1bbc150487980110c4c3ca294</t>
        </is>
      </c>
      <c r="O467" s="14" t="n">
        <v>46189</v>
      </c>
      <c r="P467" s="7" t="inlineStr">
        <is>
          <t>jobspy</t>
        </is>
      </c>
      <c r="Q467" s="8" t="inlineStr">
        <is>
          <t>python, sql</t>
        </is>
      </c>
      <c r="R467" s="8" t="inlineStr">
        <is>
          <t>Junior Python Developer remote</t>
        </is>
      </c>
      <c r="S467" s="19" t="n"/>
      <c r="T467" s="19" t="n"/>
      <c r="U467" s="14" t="n">
        <v>46191</v>
      </c>
      <c r="V467" s="7" t="inlineStr">
        <is>
          <t>v2-cv-accuracy-13b988b18da8ea7d</t>
        </is>
      </c>
    </row>
    <row r="468" ht="28" customHeight="1">
      <c r="A468" s="12">
        <f>IF($L468="applied","Applied",IF($L468="interview","Interview",IF($L468="offer","Offer",IF($L468="rejected","Rejected",IF($L468="ignore","Ignore",IF($L468="archive","Archive",IF($L468="closed","Closed",IF($B468="","Unscored",IF(AND($B468&gt;=8,OR($H468="",$H468-TODAY()&lt;=14)),"P1 Apply",IF($B468&gt;=7,"P2 Strong",IF($B468&gt;=5,"P3 Maybe","P4 Low")))))))))))</f>
        <v/>
      </c>
      <c r="B468" s="13" t="n">
        <v>1.84</v>
      </c>
      <c r="C468" s="12" t="inlineStr">
        <is>
          <t>Graduate/Entry</t>
        </is>
      </c>
      <c r="D468" s="8" t="inlineStr">
        <is>
          <t>Graduate software engineer</t>
        </is>
      </c>
      <c r="E468" s="7" t="inlineStr">
        <is>
          <t>Bending Spoons</t>
        </is>
      </c>
      <c r="F468" s="8" t="inlineStr">
        <is>
          <t>Edinburgh, Scotland, UK</t>
        </is>
      </c>
      <c r="G468" s="8" t="n"/>
      <c r="H468" s="14" t="n"/>
      <c r="I468" s="15">
        <f>IF($H468="","",$H468-TODAY())</f>
        <v/>
      </c>
      <c r="J468" s="16" t="inlineStr">
        <is>
          <t>Open posting</t>
        </is>
      </c>
      <c r="K468" s="8" t="inlineStr">
        <is>
          <t>filtered by keyword pre-scan</t>
        </is>
      </c>
      <c r="L468" s="17" t="inlineStr">
        <is>
          <t>new</t>
        </is>
      </c>
      <c r="M468" s="18" t="inlineStr"/>
      <c r="N468" s="7" t="inlineStr">
        <is>
          <t>313c42c18d9eb8f14dc5a66faaf20d393b389aeb</t>
        </is>
      </c>
      <c r="O468" s="14" t="n">
        <v>46190</v>
      </c>
      <c r="P468" s="7" t="inlineStr">
        <is>
          <t>jobspy</t>
        </is>
      </c>
      <c r="Q468" s="8" t="inlineStr">
        <is>
          <t>python, git</t>
        </is>
      </c>
      <c r="R468" s="8" t="inlineStr">
        <is>
          <t>graduate Graduate Software Developer</t>
        </is>
      </c>
      <c r="S468" s="19" t="n"/>
      <c r="T468" s="19" t="n"/>
      <c r="U468" s="14" t="n">
        <v>46191</v>
      </c>
      <c r="V468" s="7" t="inlineStr">
        <is>
          <t>v2-cv-accuracy-13b988b18da8ea7d</t>
        </is>
      </c>
    </row>
    <row r="469" ht="28" customHeight="1">
      <c r="A469" s="12">
        <f>IF($L469="applied","Applied",IF($L469="interview","Interview",IF($L469="offer","Offer",IF($L469="rejected","Rejected",IF($L469="ignore","Ignore",IF($L469="archive","Archive",IF($L469="closed","Closed",IF($B469="","Unscored",IF(AND($B469&gt;=8,OR($H469="",$H469-TODAY()&lt;=14)),"P1 Apply",IF($B469&gt;=7,"P2 Strong",IF($B469&gt;=5,"P3 Maybe","P4 Low")))))))))))</f>
        <v/>
      </c>
      <c r="B469" s="13" t="n">
        <v>1.84</v>
      </c>
      <c r="C469" s="12" t="inlineStr">
        <is>
          <t>Senior/Lead</t>
        </is>
      </c>
      <c r="D469" s="8" t="inlineStr">
        <is>
          <t>Python Software Engineer</t>
        </is>
      </c>
      <c r="E469" s="7" t="inlineStr">
        <is>
          <t>Instil</t>
        </is>
      </c>
      <c r="F469" s="8" t="inlineStr">
        <is>
          <t>Belfast, Northern Ireland, UK</t>
        </is>
      </c>
      <c r="G469" s="8" t="n"/>
      <c r="H469" s="14" t="n"/>
      <c r="I469" s="15">
        <f>IF($H469="","",$H469-TODAY())</f>
        <v/>
      </c>
      <c r="J469" s="16" t="inlineStr">
        <is>
          <t>Open posting</t>
        </is>
      </c>
      <c r="K469" s="8" t="inlineStr">
        <is>
          <t>filtered by keyword pre-scan</t>
        </is>
      </c>
      <c r="L469" s="17" t="inlineStr">
        <is>
          <t>new</t>
        </is>
      </c>
      <c r="M469" s="18" t="inlineStr"/>
      <c r="N469" s="7" t="inlineStr">
        <is>
          <t>521dc07b36676bb0c4a45e1a0e4e6ad2f8299f68</t>
        </is>
      </c>
      <c r="O469" s="14" t="n">
        <v>46188</v>
      </c>
      <c r="P469" s="7" t="inlineStr">
        <is>
          <t>jobspy</t>
        </is>
      </c>
      <c r="Q469" s="8" t="inlineStr">
        <is>
          <t>python, git</t>
        </is>
      </c>
      <c r="R469" s="8" t="inlineStr">
        <is>
          <t>Junior Python Developer</t>
        </is>
      </c>
      <c r="S469" s="19" t="n"/>
      <c r="T469" s="19" t="n"/>
      <c r="U469" s="14" t="n">
        <v>46191</v>
      </c>
      <c r="V469" s="7" t="inlineStr">
        <is>
          <t>v2-cv-accuracy-13b988b18da8ea7d</t>
        </is>
      </c>
    </row>
    <row r="470" ht="28" customHeight="1">
      <c r="A470" s="12">
        <f>IF($L470="applied","Applied",IF($L470="interview","Interview",IF($L470="offer","Offer",IF($L470="rejected","Rejected",IF($L470="ignore","Ignore",IF($L470="archive","Archive",IF($L470="closed","Closed",IF($B470="","Unscored",IF(AND($B470&gt;=8,OR($H470="",$H470-TODAY()&lt;=14)),"P1 Apply",IF($B470&gt;=7,"P2 Strong",IF($B470&gt;=5,"P3 Maybe","P4 Low")))))))))))</f>
        <v/>
      </c>
      <c r="B470" s="13" t="n">
        <v>1.84</v>
      </c>
      <c r="C470" s="12" t="inlineStr">
        <is>
          <t>Mid-level</t>
        </is>
      </c>
      <c r="D470" s="8" t="inlineStr">
        <is>
          <t>Mid-Level Backend Developer</t>
        </is>
      </c>
      <c r="E470" s="7" t="inlineStr">
        <is>
          <t>Oliver Bernard</t>
        </is>
      </c>
      <c r="F470" s="8" t="inlineStr"/>
      <c r="G470" s="8" t="n"/>
      <c r="H470" s="14" t="n"/>
      <c r="I470" s="15">
        <f>IF($H470="","",$H470-TODAY())</f>
        <v/>
      </c>
      <c r="J470" s="16" t="inlineStr">
        <is>
          <t>Open posting</t>
        </is>
      </c>
      <c r="K470" s="8" t="inlineStr">
        <is>
          <t>filtered by keyword pre-scan</t>
        </is>
      </c>
      <c r="L470" s="17" t="inlineStr">
        <is>
          <t>new</t>
        </is>
      </c>
      <c r="M470" s="18" t="inlineStr"/>
      <c r="N470" s="7" t="inlineStr">
        <is>
          <t>5481d3575e55da23eca777567c0d7f03145a2f59</t>
        </is>
      </c>
      <c r="O470" s="14" t="n">
        <v>46188</v>
      </c>
      <c r="P470" s="7" t="inlineStr">
        <is>
          <t>jobspy</t>
        </is>
      </c>
      <c r="Q470" s="8" t="inlineStr">
        <is>
          <t>python, sql</t>
        </is>
      </c>
      <c r="R470" s="8" t="inlineStr">
        <is>
          <t>Junior Python Developer remote</t>
        </is>
      </c>
      <c r="S470" s="19" t="n"/>
      <c r="T470" s="19" t="n"/>
      <c r="U470" s="14" t="n">
        <v>46191</v>
      </c>
      <c r="V470" s="7" t="inlineStr">
        <is>
          <t>v2-cv-accuracy-13b988b18da8ea7d</t>
        </is>
      </c>
    </row>
    <row r="471" ht="28" customHeight="1">
      <c r="A471" s="12">
        <f>IF($L471="applied","Applied",IF($L471="interview","Interview",IF($L471="offer","Offer",IF($L471="rejected","Rejected",IF($L471="ignore","Ignore",IF($L471="archive","Archive",IF($L471="closed","Closed",IF($B471="","Unscored",IF(AND($B471&gt;=8,OR($H471="",$H471-TODAY()&lt;=14)),"P1 Apply",IF($B471&gt;=7,"P2 Strong",IF($B471&gt;=5,"P3 Maybe","P4 Low")))))))))))</f>
        <v/>
      </c>
      <c r="B471" s="13" t="n">
        <v>1.84</v>
      </c>
      <c r="C471" s="12" t="inlineStr">
        <is>
          <t>Mid-level</t>
        </is>
      </c>
      <c r="D471" s="8" t="inlineStr">
        <is>
          <t>Mid-Level Python Developer</t>
        </is>
      </c>
      <c r="E471" s="7" t="inlineStr">
        <is>
          <t>Oliver Bernard</t>
        </is>
      </c>
      <c r="F471" s="8" t="inlineStr"/>
      <c r="G471" s="8" t="n"/>
      <c r="H471" s="14" t="n"/>
      <c r="I471" s="15">
        <f>IF($H471="","",$H471-TODAY())</f>
        <v/>
      </c>
      <c r="J471" s="16" t="inlineStr">
        <is>
          <t>Open posting</t>
        </is>
      </c>
      <c r="K471" s="8" t="inlineStr">
        <is>
          <t>filtered by keyword pre-scan</t>
        </is>
      </c>
      <c r="L471" s="17" t="inlineStr">
        <is>
          <t>new</t>
        </is>
      </c>
      <c r="M471" s="18" t="inlineStr"/>
      <c r="N471" s="7" t="inlineStr">
        <is>
          <t>75e95d5a3d80ff748fccb06c26ba8d7142ed1cf6</t>
        </is>
      </c>
      <c r="O471" s="14" t="n">
        <v>46181</v>
      </c>
      <c r="P471" s="7" t="inlineStr">
        <is>
          <t>jobspy</t>
        </is>
      </c>
      <c r="Q471" s="8" t="inlineStr">
        <is>
          <t>python, sql</t>
        </is>
      </c>
      <c r="R471" s="8" t="inlineStr">
        <is>
          <t>Junior Python Developer remote</t>
        </is>
      </c>
      <c r="S471" s="19" t="n"/>
      <c r="T471" s="19" t="n"/>
      <c r="U471" s="14" t="n">
        <v>46191</v>
      </c>
      <c r="V471" s="7" t="inlineStr">
        <is>
          <t>v2-cv-accuracy-13b988b18da8ea7d</t>
        </is>
      </c>
    </row>
    <row r="472" ht="28" customHeight="1">
      <c r="A472" s="12">
        <f>IF($L472="applied","Applied",IF($L472="interview","Interview",IF($L472="offer","Offer",IF($L472="rejected","Rejected",IF($L472="ignore","Ignore",IF($L472="archive","Archive",IF($L472="closed","Closed",IF($B472="","Unscored",IF(AND($B472&gt;=8,OR($H472="",$H472-TODAY()&lt;=14)),"P1 Apply",IF($B472&gt;=7,"P2 Strong",IF($B472&gt;=5,"P3 Maybe","P4 Low")))))))))))</f>
        <v/>
      </c>
      <c r="B472" s="13" t="n">
        <v>1.83</v>
      </c>
      <c r="C472" s="12" t="inlineStr">
        <is>
          <t>Mid-level</t>
        </is>
      </c>
      <c r="D472" s="8" t="inlineStr">
        <is>
          <t>Communication Systems Engineer</t>
        </is>
      </c>
      <c r="E472" s="7" t="inlineStr">
        <is>
          <t>Microchip Technology Inc.</t>
        </is>
      </c>
      <c r="F472" s="8" t="inlineStr">
        <is>
          <t>Cambridge, England, UK</t>
        </is>
      </c>
      <c r="G472" s="8" t="n"/>
      <c r="H472" s="14" t="n"/>
      <c r="I472" s="15">
        <f>IF($H472="","",$H472-TODAY())</f>
        <v/>
      </c>
      <c r="J472" s="16" t="inlineStr">
        <is>
          <t>Open posting</t>
        </is>
      </c>
      <c r="K472" s="8" t="inlineStr">
        <is>
          <t>filtered by keyword pre-scan</t>
        </is>
      </c>
      <c r="L472" s="17" t="inlineStr">
        <is>
          <t>new</t>
        </is>
      </c>
      <c r="M472" s="18" t="inlineStr"/>
      <c r="N472" s="7" t="inlineStr">
        <is>
          <t>dae29bb628d88b6e87d9770d6c6b3bcb134c35d6</t>
        </is>
      </c>
      <c r="O472" s="14" t="n">
        <v>46178</v>
      </c>
      <c r="P472" s="7" t="inlineStr">
        <is>
          <t>jobspy</t>
        </is>
      </c>
      <c r="Q472" s="8" t="inlineStr">
        <is>
          <t>fpga, git, c, digital design</t>
        </is>
      </c>
      <c r="R472" s="8" t="inlineStr">
        <is>
          <t>Graduate DSP Engineer signal processing FPGA</t>
        </is>
      </c>
      <c r="S472" s="19" t="n"/>
      <c r="T472" s="19" t="n"/>
      <c r="U472" s="14" t="n">
        <v>46193</v>
      </c>
      <c r="V472" s="7" t="inlineStr">
        <is>
          <t>v2-cv-accuracy-13b988b18da8ea7d</t>
        </is>
      </c>
    </row>
    <row r="473" ht="28" customHeight="1">
      <c r="A473" s="12">
        <f>IF($L473="applied","Applied",IF($L473="interview","Interview",IF($L473="offer","Offer",IF($L473="rejected","Rejected",IF($L473="ignore","Ignore",IF($L473="archive","Archive",IF($L473="closed","Closed",IF($B473="","Unscored",IF(AND($B473&gt;=8,OR($H473="",$H473-TODAY()&lt;=14)),"P1 Apply",IF($B473&gt;=7,"P2 Strong",IF($B473&gt;=5,"P3 Maybe","P4 Low")))))))))))</f>
        <v/>
      </c>
      <c r="B473" s="13" t="n">
        <v>1.83</v>
      </c>
      <c r="C473" s="12" t="inlineStr">
        <is>
          <t>Senior/Lead</t>
        </is>
      </c>
      <c r="D473" s="8" t="inlineStr">
        <is>
          <t>Machine Learning DSP Engineer</t>
        </is>
      </c>
      <c r="E473" s="7" t="inlineStr">
        <is>
          <t>Marshall Group</t>
        </is>
      </c>
      <c r="F473" s="8" t="inlineStr">
        <is>
          <t>Milton Keynes, England, UK</t>
        </is>
      </c>
      <c r="G473" s="8" t="n"/>
      <c r="H473" s="14" t="n"/>
      <c r="I473" s="15">
        <f>IF($H473="","",$H473-TODAY())</f>
        <v/>
      </c>
      <c r="J473" s="16" t="inlineStr">
        <is>
          <t>Open posting</t>
        </is>
      </c>
      <c r="K473" s="8" t="inlineStr">
        <is>
          <t>filtered by keyword pre-scan</t>
        </is>
      </c>
      <c r="L473" s="17" t="inlineStr">
        <is>
          <t>new</t>
        </is>
      </c>
      <c r="M473" s="18" t="inlineStr"/>
      <c r="N473" s="7" t="inlineStr">
        <is>
          <t>82753025f3ff974b114d48617725a37ec9f0f235</t>
        </is>
      </c>
      <c r="O473" s="14" t="n">
        <v>46177</v>
      </c>
      <c r="P473" s="7" t="inlineStr">
        <is>
          <t>jobspy</t>
        </is>
      </c>
      <c r="Q473" s="8" t="inlineStr">
        <is>
          <t>python, git, c, embedded systems, dsp</t>
        </is>
      </c>
      <c r="R473" s="8" t="inlineStr">
        <is>
          <t>Graduate Signal Processing Engineer DSP</t>
        </is>
      </c>
      <c r="S473" s="19" t="n"/>
      <c r="T473" s="19" t="n"/>
      <c r="U473" s="14" t="n">
        <v>46193</v>
      </c>
      <c r="V473" s="7" t="inlineStr">
        <is>
          <t>v2-cv-accuracy-13b988b18da8ea7d</t>
        </is>
      </c>
    </row>
    <row r="474" ht="28" customHeight="1">
      <c r="A474" s="12">
        <f>IF($L474="applied","Applied",IF($L474="interview","Interview",IF($L474="offer","Offer",IF($L474="rejected","Rejected",IF($L474="ignore","Ignore",IF($L474="archive","Archive",IF($L474="closed","Closed",IF($B474="","Unscored",IF(AND($B474&gt;=8,OR($H474="",$H474-TODAY()&lt;=14)),"P1 Apply",IF($B474&gt;=7,"P2 Strong",IF($B474&gt;=5,"P3 Maybe","P4 Low")))))))))))</f>
        <v/>
      </c>
      <c r="B474" s="13" t="n">
        <v>1.83</v>
      </c>
      <c r="C474" s="12" t="inlineStr">
        <is>
          <t>Unspecified</t>
        </is>
      </c>
      <c r="D474" s="8" t="inlineStr">
        <is>
          <t>DevOps Engineer</t>
        </is>
      </c>
      <c r="E474" s="7" t="inlineStr">
        <is>
          <t>Morson Edge (Technology)</t>
        </is>
      </c>
      <c r="F474" s="8" t="inlineStr">
        <is>
          <t>Newcastle Upon Tyne, England, UK</t>
        </is>
      </c>
      <c r="G474" s="8" t="n"/>
      <c r="H474" s="14" t="n"/>
      <c r="I474" s="15">
        <f>IF($H474="","",$H474-TODAY())</f>
        <v/>
      </c>
      <c r="J474" s="16" t="inlineStr">
        <is>
          <t>Open posting</t>
        </is>
      </c>
      <c r="K474" s="8" t="inlineStr">
        <is>
          <t>filtered by keyword pre-scan</t>
        </is>
      </c>
      <c r="L474" s="17" t="inlineStr">
        <is>
          <t>new</t>
        </is>
      </c>
      <c r="M474" s="18" t="inlineStr"/>
      <c r="N474" s="7" t="inlineStr">
        <is>
          <t>754d801396f38d255fd27e75a74e494e6b6a2542</t>
        </is>
      </c>
      <c r="O474" s="14" t="n">
        <v>46170</v>
      </c>
      <c r="P474" s="7" t="inlineStr">
        <is>
          <t>jobspy</t>
        </is>
      </c>
      <c r="Q474" s="8" t="inlineStr">
        <is>
          <t>python, docker, kubernetes, git, c</t>
        </is>
      </c>
      <c r="R474" s="8" t="inlineStr">
        <is>
          <t>Graduate DevOps Engineer Python CI/CD Sheffield</t>
        </is>
      </c>
      <c r="S474" s="19" t="n"/>
      <c r="T474" s="19" t="n"/>
      <c r="U474" s="14" t="n">
        <v>46193</v>
      </c>
      <c r="V474" s="7" t="inlineStr">
        <is>
          <t>v2-cv-accuracy-13b988b18da8ea7d</t>
        </is>
      </c>
    </row>
    <row r="475" ht="28" customHeight="1">
      <c r="A475" s="12">
        <f>IF($L475="applied","Applied",IF($L475="interview","Interview",IF($L475="offer","Offer",IF($L475="rejected","Rejected",IF($L475="ignore","Ignore",IF($L475="archive","Archive",IF($L475="closed","Closed",IF($B475="","Unscored",IF(AND($B475&gt;=8,OR($H475="",$H475-TODAY()&lt;=14)),"P1 Apply",IF($B475&gt;=7,"P2 Strong",IF($B475&gt;=5,"P3 Maybe","P4 Low")))))))))))</f>
        <v/>
      </c>
      <c r="B475" s="13" t="n">
        <v>1.83</v>
      </c>
      <c r="C475" s="12" t="inlineStr">
        <is>
          <t>Graduate/Entry</t>
        </is>
      </c>
      <c r="D475" s="8" t="inlineStr">
        <is>
          <t>Graduate Software Engineer</t>
        </is>
      </c>
      <c r="E475" s="7" t="inlineStr">
        <is>
          <t>Native</t>
        </is>
      </c>
      <c r="F475" s="8" t="inlineStr">
        <is>
          <t>London, ENG, GB</t>
        </is>
      </c>
      <c r="G475" s="8" t="n"/>
      <c r="H475" s="14" t="n"/>
      <c r="I475" s="15">
        <f>IF($H475="","",$H475-TODAY())</f>
        <v/>
      </c>
      <c r="J475" s="16" t="inlineStr">
        <is>
          <t>Open posting</t>
        </is>
      </c>
      <c r="K475" s="8" t="inlineStr">
        <is>
          <t>filtered by keyword pre-scan</t>
        </is>
      </c>
      <c r="L475" s="17" t="inlineStr">
        <is>
          <t>new</t>
        </is>
      </c>
      <c r="M475" s="18" t="inlineStr"/>
      <c r="N475" s="7" t="inlineStr">
        <is>
          <t>c68086a2f7558b056d55e95cda1efdf845ee37d0</t>
        </is>
      </c>
      <c r="O475" s="14" t="n">
        <v>46192</v>
      </c>
      <c r="P475" s="7" t="inlineStr">
        <is>
          <t>jobspy</t>
        </is>
      </c>
      <c r="Q475" s="8" t="inlineStr">
        <is>
          <t>python, sql, docker, git, c</t>
        </is>
      </c>
      <c r="R475" s="8" t="inlineStr">
        <is>
          <t>Graduate Software Engineer Python Docker</t>
        </is>
      </c>
      <c r="S475" s="19" t="n"/>
      <c r="T475" s="19" t="n"/>
      <c r="U475" s="14" t="n">
        <v>46193</v>
      </c>
      <c r="V475" s="7" t="inlineStr">
        <is>
          <t>v2-cv-accuracy-13b988b18da8ea7d</t>
        </is>
      </c>
    </row>
    <row r="476" ht="28" customHeight="1">
      <c r="A476" s="12">
        <f>IF($L476="applied","Applied",IF($L476="interview","Interview",IF($L476="offer","Offer",IF($L476="rejected","Rejected",IF($L476="ignore","Ignore",IF($L476="archive","Archive",IF($L476="closed","Closed",IF($B476="","Unscored",IF(AND($B476&gt;=8,OR($H476="",$H476-TODAY()&lt;=14)),"P1 Apply",IF($B476&gt;=7,"P2 Strong",IF($B476&gt;=5,"P3 Maybe","P4 Low")))))))))))</f>
        <v/>
      </c>
      <c r="B476" s="13" t="n">
        <v>1.83</v>
      </c>
      <c r="C476" s="12" t="inlineStr">
        <is>
          <t>Unspecified</t>
        </is>
      </c>
      <c r="D476" s="8" t="inlineStr">
        <is>
          <t>Embedded Software Engineer</t>
        </is>
      </c>
      <c r="E476" s="7" t="inlineStr">
        <is>
          <t>Electus Recruitment Solutions</t>
        </is>
      </c>
      <c r="F476" s="8" t="inlineStr">
        <is>
          <t>Weston-Super-Mare, England, UK</t>
        </is>
      </c>
      <c r="G476" s="8" t="n"/>
      <c r="H476" s="14" t="n"/>
      <c r="I476" s="15">
        <f>IF($H476="","",$H476-TODAY())</f>
        <v/>
      </c>
      <c r="J476" s="16" t="inlineStr">
        <is>
          <t>Open posting</t>
        </is>
      </c>
      <c r="K476" s="8" t="inlineStr">
        <is>
          <t>filtered by keyword pre-scan</t>
        </is>
      </c>
      <c r="L476" s="17" t="inlineStr">
        <is>
          <t>new</t>
        </is>
      </c>
      <c r="M476" s="18" t="inlineStr"/>
      <c r="N476" s="7" t="inlineStr">
        <is>
          <t>8dbd5af1533487ed57221d9b3ed01da0c68aec6d</t>
        </is>
      </c>
      <c r="O476" s="14" t="n">
        <v>46177</v>
      </c>
      <c r="P476" s="7" t="inlineStr">
        <is>
          <t>jobspy</t>
        </is>
      </c>
      <c r="Q476" s="8" t="inlineStr">
        <is>
          <t>python, git, c, embedded systems</t>
        </is>
      </c>
      <c r="R476" s="8" t="inlineStr">
        <is>
          <t>Firmware Engineer Embedded C Microcontroller</t>
        </is>
      </c>
      <c r="S476" s="19" t="n"/>
      <c r="T476" s="19" t="n"/>
      <c r="U476" s="14" t="n">
        <v>46193</v>
      </c>
      <c r="V476" s="7" t="inlineStr">
        <is>
          <t>v2-cv-accuracy-13b988b18da8ea7d</t>
        </is>
      </c>
    </row>
    <row r="477" ht="28" customHeight="1">
      <c r="A477" s="12">
        <f>IF($L477="applied","Applied",IF($L477="interview","Interview",IF($L477="offer","Offer",IF($L477="rejected","Rejected",IF($L477="ignore","Ignore",IF($L477="archive","Archive",IF($L477="closed","Closed",IF($B477="","Unscored",IF(AND($B477&gt;=8,OR($H477="",$H477-TODAY()&lt;=14)),"P1 Apply",IF($B477&gt;=7,"P2 Strong",IF($B477&gt;=5,"P3 Maybe","P4 Low")))))))))))</f>
        <v/>
      </c>
      <c r="B477" s="13" t="n">
        <v>1.83</v>
      </c>
      <c r="C477" s="12" t="inlineStr">
        <is>
          <t>Junior</t>
        </is>
      </c>
      <c r="D477" s="8" t="inlineStr">
        <is>
          <t>Junior Software Developer</t>
        </is>
      </c>
      <c r="E477" s="7" t="inlineStr">
        <is>
          <t>Helic &amp; Co</t>
        </is>
      </c>
      <c r="F477" s="8" t="inlineStr"/>
      <c r="G477" s="8" t="n"/>
      <c r="H477" s="14" t="n"/>
      <c r="I477" s="15">
        <f>IF($H477="","",$H477-TODAY())</f>
        <v/>
      </c>
      <c r="J477" s="16" t="inlineStr">
        <is>
          <t>Open posting</t>
        </is>
      </c>
      <c r="K477" s="8" t="inlineStr">
        <is>
          <t>filtered by keyword pre-scan</t>
        </is>
      </c>
      <c r="L477" s="17" t="inlineStr">
        <is>
          <t>new</t>
        </is>
      </c>
      <c r="M477" s="18" t="inlineStr"/>
      <c r="N477" s="7" t="inlineStr">
        <is>
          <t>d69bd7c49b18e2234d1e05f876844398aee6b1a3</t>
        </is>
      </c>
      <c r="O477" s="14" t="n"/>
      <c r="P477" s="7" t="inlineStr">
        <is>
          <t>jobspy</t>
        </is>
      </c>
      <c r="Q477" s="8" t="inlineStr">
        <is>
          <t>python, sql, git, c, javascript</t>
        </is>
      </c>
      <c r="R477" s="8" t="inlineStr">
        <is>
          <t>Junior Python Developer SQL Docker</t>
        </is>
      </c>
      <c r="S477" s="19" t="n"/>
      <c r="T477" s="19" t="n"/>
      <c r="U477" s="14" t="n">
        <v>46193</v>
      </c>
      <c r="V477" s="7" t="inlineStr">
        <is>
          <t>v2-cv-accuracy-13b988b18da8ea7d</t>
        </is>
      </c>
    </row>
    <row r="478" ht="28" customHeight="1">
      <c r="A478" s="12">
        <f>IF($L478="applied","Applied",IF($L478="interview","Interview",IF($L478="offer","Offer",IF($L478="rejected","Rejected",IF($L478="ignore","Ignore",IF($L478="archive","Archive",IF($L478="closed","Closed",IF($B478="","Unscored",IF(AND($B478&gt;=8,OR($H478="",$H478-TODAY()&lt;=14)),"P1 Apply",IF($B478&gt;=7,"P2 Strong",IF($B478&gt;=5,"P3 Maybe","P4 Low")))))))))))</f>
        <v/>
      </c>
      <c r="B478" s="13" t="n">
        <v>1.83</v>
      </c>
      <c r="C478" s="12" t="inlineStr">
        <is>
          <t>Graduate/Entry</t>
        </is>
      </c>
      <c r="D478" s="8" t="inlineStr">
        <is>
          <t>Graduate Full Stack Software Engineer</t>
        </is>
      </c>
      <c r="E478" s="7" t="inlineStr">
        <is>
          <t>Lovey</t>
        </is>
      </c>
      <c r="F478" s="8" t="inlineStr">
        <is>
          <t>Birmingham, ENG, GB</t>
        </is>
      </c>
      <c r="G478" s="8" t="n"/>
      <c r="H478" s="14" t="n"/>
      <c r="I478" s="15">
        <f>IF($H478="","",$H478-TODAY())</f>
        <v/>
      </c>
      <c r="J478" s="16" t="inlineStr">
        <is>
          <t>Open posting</t>
        </is>
      </c>
      <c r="K478" s="8" t="inlineStr">
        <is>
          <t>filtered by keyword pre-scan</t>
        </is>
      </c>
      <c r="L478" s="17" t="inlineStr">
        <is>
          <t>new</t>
        </is>
      </c>
      <c r="M478" s="18" t="inlineStr"/>
      <c r="N478" s="7" t="inlineStr">
        <is>
          <t>0a266789ac0afbe6bcca027b61831da10071e66d</t>
        </is>
      </c>
      <c r="O478" s="14" t="n">
        <v>46189</v>
      </c>
      <c r="P478" s="7" t="inlineStr">
        <is>
          <t>jobspy</t>
        </is>
      </c>
      <c r="Q478" s="8" t="inlineStr">
        <is>
          <t>python, sql, c, backend development</t>
        </is>
      </c>
      <c r="R478" s="8" t="inlineStr">
        <is>
          <t>Junior Software Engineer Python backend</t>
        </is>
      </c>
      <c r="S478" s="19" t="n"/>
      <c r="T478" s="19" t="n"/>
      <c r="U478" s="14" t="n">
        <v>46193</v>
      </c>
      <c r="V478" s="7" t="inlineStr">
        <is>
          <t>v2-cv-accuracy-13b988b18da8ea7d</t>
        </is>
      </c>
    </row>
    <row r="479" ht="28" customHeight="1">
      <c r="A479" s="12">
        <f>IF($L479="applied","Applied",IF($L479="interview","Interview",IF($L479="offer","Offer",IF($L479="rejected","Rejected",IF($L479="ignore","Ignore",IF($L479="archive","Archive",IF($L479="closed","Closed",IF($B479="","Unscored",IF(AND($B479&gt;=8,OR($H479="",$H479-TODAY()&lt;=14)),"P1 Apply",IF($B479&gt;=7,"P2 Strong",IF($B479&gt;=5,"P3 Maybe","P4 Low")))))))))))</f>
        <v/>
      </c>
      <c r="B479" s="13" t="n">
        <v>1.83</v>
      </c>
      <c r="C479" s="12" t="inlineStr">
        <is>
          <t>Graduate/Entry</t>
        </is>
      </c>
      <c r="D479" s="8" t="inlineStr">
        <is>
          <t>Graduate Software Engineer</t>
        </is>
      </c>
      <c r="E479" s="7" t="inlineStr">
        <is>
          <t>native</t>
        </is>
      </c>
      <c r="F479" s="8" t="inlineStr">
        <is>
          <t>London, England, UK</t>
        </is>
      </c>
      <c r="G479" s="8" t="n"/>
      <c r="H479" s="14" t="n"/>
      <c r="I479" s="15">
        <f>IF($H479="","",$H479-TODAY())</f>
        <v/>
      </c>
      <c r="J479" s="16" t="inlineStr">
        <is>
          <t>Open posting</t>
        </is>
      </c>
      <c r="K479" s="8" t="inlineStr">
        <is>
          <t>filtered by keyword pre-scan</t>
        </is>
      </c>
      <c r="L479" s="17" t="inlineStr">
        <is>
          <t>new</t>
        </is>
      </c>
      <c r="M479" s="18" t="inlineStr"/>
      <c r="N479" s="7" t="inlineStr">
        <is>
          <t>46ee8b1e0844badfb297e2d6ad82784d6930800f</t>
        </is>
      </c>
      <c r="O479" s="14" t="n">
        <v>46192</v>
      </c>
      <c r="P479" s="7" t="inlineStr">
        <is>
          <t>jobspy</t>
        </is>
      </c>
      <c r="Q479" s="8" t="inlineStr">
        <is>
          <t>python, sql, docker, git, c</t>
        </is>
      </c>
      <c r="R479" s="8" t="inlineStr">
        <is>
          <t>Junior Software Engineer Python backend</t>
        </is>
      </c>
      <c r="S479" s="19" t="n"/>
      <c r="T479" s="19" t="n"/>
      <c r="U479" s="14" t="n">
        <v>46193</v>
      </c>
      <c r="V479" s="7" t="inlineStr">
        <is>
          <t>v2-cv-accuracy-13b988b18da8ea7d</t>
        </is>
      </c>
    </row>
    <row r="480" ht="28" customHeight="1">
      <c r="A480" s="12">
        <f>IF($L480="applied","Applied",IF($L480="interview","Interview",IF($L480="offer","Offer",IF($L480="rejected","Rejected",IF($L480="ignore","Ignore",IF($L480="archive","Archive",IF($L480="closed","Closed",IF($B480="","Unscored",IF(AND($B480&gt;=8,OR($H480="",$H480-TODAY()&lt;=14)),"P1 Apply",IF($B480&gt;=7,"P2 Strong",IF($B480&gt;=5,"P3 Maybe","P4 Low")))))))))))</f>
        <v/>
      </c>
      <c r="B480" s="13" t="n">
        <v>1.83</v>
      </c>
      <c r="C480" s="12" t="inlineStr">
        <is>
          <t>Unspecified</t>
        </is>
      </c>
      <c r="D480" s="8" t="inlineStr">
        <is>
          <t>Embedded Software Engineer</t>
        </is>
      </c>
      <c r="E480" s="7" t="inlineStr">
        <is>
          <t>Executive Integrity | B Corp®</t>
        </is>
      </c>
      <c r="F480" s="8" t="inlineStr">
        <is>
          <t>Southampton, England, UK</t>
        </is>
      </c>
      <c r="G480" s="8" t="n"/>
      <c r="H480" s="14" t="n"/>
      <c r="I480" s="15">
        <f>IF($H480="","",$H480-TODAY())</f>
        <v/>
      </c>
      <c r="J480" s="16" t="inlineStr">
        <is>
          <t>Open posting</t>
        </is>
      </c>
      <c r="K480" s="8" t="inlineStr">
        <is>
          <t>filtered by keyword pre-scan</t>
        </is>
      </c>
      <c r="L480" s="17" t="inlineStr">
        <is>
          <t>new</t>
        </is>
      </c>
      <c r="M480" s="18" t="inlineStr"/>
      <c r="N480" s="7" t="inlineStr">
        <is>
          <t>c674e33dfb1b4cd85f3d4b5d4849931037869f60</t>
        </is>
      </c>
      <c r="O480" s="14" t="n">
        <v>46188</v>
      </c>
      <c r="P480" s="7" t="inlineStr">
        <is>
          <t>jobspy</t>
        </is>
      </c>
      <c r="Q480" s="8" t="inlineStr">
        <is>
          <t>python, stm32, git, c, embedded systems</t>
        </is>
      </c>
      <c r="R480" s="8" t="inlineStr">
        <is>
          <t>Junior Embedded Software Engineer STM32 C</t>
        </is>
      </c>
      <c r="S480" s="19" t="n"/>
      <c r="T480" s="19" t="n"/>
      <c r="U480" s="14" t="n">
        <v>46192</v>
      </c>
      <c r="V480" s="7" t="inlineStr">
        <is>
          <t>v2-cv-accuracy-13b988b18da8ea7d</t>
        </is>
      </c>
    </row>
    <row r="481" ht="28" customHeight="1">
      <c r="A481" s="12">
        <f>IF($L481="applied","Applied",IF($L481="interview","Interview",IF($L481="offer","Offer",IF($L481="rejected","Rejected",IF($L481="ignore","Ignore",IF($L481="archive","Archive",IF($L481="closed","Closed",IF($B481="","Unscored",IF(AND($B481&gt;=8,OR($H481="",$H481-TODAY()&lt;=14)),"P1 Apply",IF($B481&gt;=7,"P2 Strong",IF($B481&gt;=5,"P3 Maybe","P4 Low")))))))))))</f>
        <v/>
      </c>
      <c r="B481" s="13" t="n">
        <v>1.83</v>
      </c>
      <c r="C481" s="12" t="inlineStr">
        <is>
          <t>Junior</t>
        </is>
      </c>
      <c r="D481" s="8" t="inlineStr">
        <is>
          <t>Junior Software Developer</t>
        </is>
      </c>
      <c r="E481" s="7" t="inlineStr">
        <is>
          <t>Helic &amp; Co</t>
        </is>
      </c>
      <c r="F481" s="8" t="inlineStr"/>
      <c r="G481" s="8" t="n"/>
      <c r="H481" s="14" t="n"/>
      <c r="I481" s="15">
        <f>IF($H481="","",$H481-TODAY())</f>
        <v/>
      </c>
      <c r="J481" s="16" t="inlineStr">
        <is>
          <t>Open posting</t>
        </is>
      </c>
      <c r="K481" s="8" t="inlineStr">
        <is>
          <t>filtered by keyword pre-scan</t>
        </is>
      </c>
      <c r="L481" s="17" t="inlineStr">
        <is>
          <t>new</t>
        </is>
      </c>
      <c r="M481" s="18" t="inlineStr"/>
      <c r="N481" s="7" t="inlineStr">
        <is>
          <t>3e3ad75107d30f0e3a5aa197be3b57b8c13aa058</t>
        </is>
      </c>
      <c r="O481" s="14" t="n"/>
      <c r="P481" s="7" t="inlineStr">
        <is>
          <t>jobspy</t>
        </is>
      </c>
      <c r="Q481" s="8" t="inlineStr">
        <is>
          <t>python, sql, git, c, javascript</t>
        </is>
      </c>
      <c r="R481" s="8" t="inlineStr">
        <is>
          <t>Graduate Backend Developer Python MySQL REST API</t>
        </is>
      </c>
      <c r="S481" s="19" t="n"/>
      <c r="T481" s="19" t="n"/>
      <c r="U481" s="14" t="n">
        <v>46192</v>
      </c>
      <c r="V481" s="7" t="inlineStr">
        <is>
          <t>v2-cv-accuracy-13b988b18da8ea7d</t>
        </is>
      </c>
    </row>
    <row r="482" ht="28" customHeight="1">
      <c r="A482" s="12">
        <f>IF($L482="applied","Applied",IF($L482="interview","Interview",IF($L482="offer","Offer",IF($L482="rejected","Rejected",IF($L482="ignore","Ignore",IF($L482="archive","Archive",IF($L482="closed","Closed",IF($B482="","Unscored",IF(AND($B482&gt;=8,OR($H482="",$H482-TODAY()&lt;=14)),"P1 Apply",IF($B482&gt;=7,"P2 Strong",IF($B482&gt;=5,"P3 Maybe","P4 Low")))))))))))</f>
        <v/>
      </c>
      <c r="B482" s="13" t="n">
        <v>1.83</v>
      </c>
      <c r="C482" s="12" t="inlineStr">
        <is>
          <t>Senior/Lead</t>
        </is>
      </c>
      <c r="D482" s="8" t="inlineStr">
        <is>
          <t>Data Reliability Engineer I (dRE 1)</t>
        </is>
      </c>
      <c r="E482" s="7" t="inlineStr">
        <is>
          <t>CME Group</t>
        </is>
      </c>
      <c r="F482" s="8" t="inlineStr">
        <is>
          <t>Belfast, NIR, GB</t>
        </is>
      </c>
      <c r="G482" s="8" t="n"/>
      <c r="H482" s="14" t="n"/>
      <c r="I482" s="15">
        <f>IF($H482="","",$H482-TODAY())</f>
        <v/>
      </c>
      <c r="J482" s="16" t="inlineStr">
        <is>
          <t>Open posting</t>
        </is>
      </c>
      <c r="K482" s="8" t="inlineStr">
        <is>
          <t>filtered by keyword pre-scan</t>
        </is>
      </c>
      <c r="L482" s="17" t="inlineStr">
        <is>
          <t>new</t>
        </is>
      </c>
      <c r="M482" s="18" t="inlineStr"/>
      <c r="N482" s="7" t="inlineStr">
        <is>
          <t>f155838caa3920d4d204ccf58fa6966327ecb237</t>
        </is>
      </c>
      <c r="O482" s="14" t="n">
        <v>46171</v>
      </c>
      <c r="P482" s="7" t="inlineStr">
        <is>
          <t>jobspy</t>
        </is>
      </c>
      <c r="Q482" s="8" t="inlineStr">
        <is>
          <t>python, sql, git, c</t>
        </is>
      </c>
      <c r="R482" s="8" t="inlineStr">
        <is>
          <t>Graduate Data Engineer SQL Python pipeline</t>
        </is>
      </c>
      <c r="S482" s="19" t="n"/>
      <c r="T482" s="19" t="n"/>
      <c r="U482" s="14" t="n">
        <v>46192</v>
      </c>
      <c r="V482" s="7" t="inlineStr">
        <is>
          <t>v2-cv-accuracy-13b988b18da8ea7d</t>
        </is>
      </c>
    </row>
    <row r="483" ht="28" customHeight="1">
      <c r="A483" s="12">
        <f>IF($L483="applied","Applied",IF($L483="interview","Interview",IF($L483="offer","Offer",IF($L483="rejected","Rejected",IF($L483="ignore","Ignore",IF($L483="archive","Archive",IF($L483="closed","Closed",IF($B483="","Unscored",IF(AND($B483&gt;=8,OR($H483="",$H483-TODAY()&lt;=14)),"P1 Apply",IF($B483&gt;=7,"P2 Strong",IF($B483&gt;=5,"P3 Maybe","P4 Low")))))))))))</f>
        <v/>
      </c>
      <c r="B483" s="13" t="n">
        <v>1.83</v>
      </c>
      <c r="C483" s="12" t="inlineStr">
        <is>
          <t>Junior</t>
        </is>
      </c>
      <c r="D483" s="8" t="inlineStr">
        <is>
          <t>Data Engineer</t>
        </is>
      </c>
      <c r="E483" s="7" t="inlineStr">
        <is>
          <t>Huron</t>
        </is>
      </c>
      <c r="F483" s="8" t="inlineStr">
        <is>
          <t>Belfast, Northern Ireland, UK</t>
        </is>
      </c>
      <c r="G483" s="8" t="n"/>
      <c r="H483" s="14" t="n"/>
      <c r="I483" s="15">
        <f>IF($H483="","",$H483-TODAY())</f>
        <v/>
      </c>
      <c r="J483" s="16" t="inlineStr">
        <is>
          <t>Open posting</t>
        </is>
      </c>
      <c r="K483" s="8" t="inlineStr">
        <is>
          <t>filtered by keyword pre-scan</t>
        </is>
      </c>
      <c r="L483" s="17" t="inlineStr">
        <is>
          <t>new</t>
        </is>
      </c>
      <c r="M483" s="18" t="inlineStr"/>
      <c r="N483" s="7" t="inlineStr">
        <is>
          <t>28573bfbd041e02490f369abc009b94370fc780d</t>
        </is>
      </c>
      <c r="O483" s="14" t="n">
        <v>46186</v>
      </c>
      <c r="P483" s="7" t="inlineStr">
        <is>
          <t>jobspy</t>
        </is>
      </c>
      <c r="Q483" s="8" t="inlineStr">
        <is>
          <t>python, sql, git, c</t>
        </is>
      </c>
      <c r="R483" s="8" t="inlineStr">
        <is>
          <t>Graduate Data Engineer SQL Python pipeline</t>
        </is>
      </c>
      <c r="S483" s="19" t="n"/>
      <c r="T483" s="19" t="n"/>
      <c r="U483" s="14" t="n">
        <v>46192</v>
      </c>
      <c r="V483" s="7" t="inlineStr">
        <is>
          <t>v2-cv-accuracy-13b988b18da8ea7d</t>
        </is>
      </c>
    </row>
    <row r="484" ht="28" customHeight="1">
      <c r="A484" s="12">
        <f>IF($L484="applied","Applied",IF($L484="interview","Interview",IF($L484="offer","Offer",IF($L484="rejected","Rejected",IF($L484="ignore","Ignore",IF($L484="archive","Archive",IF($L484="closed","Closed",IF($B484="","Unscored",IF(AND($B484&gt;=8,OR($H484="",$H484-TODAY()&lt;=14)),"P1 Apply",IF($B484&gt;=7,"P2 Strong",IF($B484&gt;=5,"P3 Maybe","P4 Low")))))))))))</f>
        <v/>
      </c>
      <c r="B484" s="13" t="n">
        <v>1.83</v>
      </c>
      <c r="C484" s="12" t="inlineStr">
        <is>
          <t>Unspecified</t>
        </is>
      </c>
      <c r="D484" s="8" t="inlineStr">
        <is>
          <t>Data Engineer</t>
        </is>
      </c>
      <c r="E484" s="7" t="inlineStr">
        <is>
          <t>Helic &amp; Co</t>
        </is>
      </c>
      <c r="F484" s="8" t="inlineStr"/>
      <c r="G484" s="8" t="n"/>
      <c r="H484" s="14" t="n"/>
      <c r="I484" s="15">
        <f>IF($H484="","",$H484-TODAY())</f>
        <v/>
      </c>
      <c r="J484" s="16" t="inlineStr">
        <is>
          <t>Open posting</t>
        </is>
      </c>
      <c r="K484" s="8" t="inlineStr">
        <is>
          <t>filtered by keyword pre-scan</t>
        </is>
      </c>
      <c r="L484" s="17" t="inlineStr">
        <is>
          <t>new</t>
        </is>
      </c>
      <c r="M484" s="18" t="inlineStr"/>
      <c r="N484" s="7" t="inlineStr">
        <is>
          <t>5b6d51242a84a90ab798f9c1b306dae095b42bbc</t>
        </is>
      </c>
      <c r="O484" s="14" t="n"/>
      <c r="P484" s="7" t="inlineStr">
        <is>
          <t>jobspy</t>
        </is>
      </c>
      <c r="Q484" s="8" t="inlineStr">
        <is>
          <t>python, sql, docker, kubernetes, c</t>
        </is>
      </c>
      <c r="R484" s="8" t="inlineStr">
        <is>
          <t>Graduate Data Engineer SQL Python pipeline</t>
        </is>
      </c>
      <c r="S484" s="19" t="n"/>
      <c r="T484" s="19" t="n"/>
      <c r="U484" s="14" t="n">
        <v>46192</v>
      </c>
      <c r="V484" s="7" t="inlineStr">
        <is>
          <t>v2-cv-accuracy-13b988b18da8ea7d</t>
        </is>
      </c>
    </row>
    <row r="485" ht="28" customHeight="1">
      <c r="A485" s="12">
        <f>IF($L485="applied","Applied",IF($L485="interview","Interview",IF($L485="offer","Offer",IF($L485="rejected","Rejected",IF($L485="ignore","Ignore",IF($L485="archive","Archive",IF($L485="closed","Closed",IF($B485="","Unscored",IF(AND($B485&gt;=8,OR($H485="",$H485-TODAY()&lt;=14)),"P1 Apply",IF($B485&gt;=7,"P2 Strong",IF($B485&gt;=5,"P3 Maybe","P4 Low")))))))))))</f>
        <v/>
      </c>
      <c r="B485" s="13" t="n">
        <v>1.83</v>
      </c>
      <c r="C485" s="12" t="inlineStr">
        <is>
          <t>Mid-level</t>
        </is>
      </c>
      <c r="D485" s="8" t="inlineStr">
        <is>
          <t>Design Verification Engineer</t>
        </is>
      </c>
      <c r="E485" s="7" t="inlineStr">
        <is>
          <t>IC Resources</t>
        </is>
      </c>
      <c r="F485" s="8" t="inlineStr">
        <is>
          <t>Oxfordshire, England, UK</t>
        </is>
      </c>
      <c r="G485" s="8" t="n"/>
      <c r="H485" s="14" t="n"/>
      <c r="I485" s="15">
        <f>IF($H485="","",$H485-TODAY())</f>
        <v/>
      </c>
      <c r="J485" s="16" t="inlineStr">
        <is>
          <t>Open posting</t>
        </is>
      </c>
      <c r="K485" s="8" t="inlineStr">
        <is>
          <t>filtered by keyword pre-scan</t>
        </is>
      </c>
      <c r="L485" s="17" t="inlineStr">
        <is>
          <t>new</t>
        </is>
      </c>
      <c r="M485" s="18" t="inlineStr"/>
      <c r="N485" s="7" t="inlineStr">
        <is>
          <t>2dac7720676ca38feef14b8a1cc998d64a7ea324</t>
        </is>
      </c>
      <c r="O485" s="14" t="n">
        <v>46174</v>
      </c>
      <c r="P485" s="7" t="inlineStr">
        <is>
          <t>jobspy</t>
        </is>
      </c>
      <c r="Q485" s="8" t="inlineStr">
        <is>
          <t>python, verilog, fpga, git, c</t>
        </is>
      </c>
      <c r="R485" s="8" t="inlineStr">
        <is>
          <t>Graduate Digital Design Engineer FPGA</t>
        </is>
      </c>
      <c r="S485" s="19" t="n"/>
      <c r="T485" s="19" t="n"/>
      <c r="U485" s="14" t="n">
        <v>46192</v>
      </c>
      <c r="V485" s="7" t="inlineStr">
        <is>
          <t>v2-cv-accuracy-13b988b18da8ea7d</t>
        </is>
      </c>
    </row>
    <row r="486" ht="28" customHeight="1">
      <c r="A486" s="12">
        <f>IF($L486="applied","Applied",IF($L486="interview","Interview",IF($L486="offer","Offer",IF($L486="rejected","Rejected",IF($L486="ignore","Ignore",IF($L486="archive","Archive",IF($L486="closed","Closed",IF($B486="","Unscored",IF(AND($B486&gt;=8,OR($H486="",$H486-TODAY()&lt;=14)),"P1 Apply",IF($B486&gt;=7,"P2 Strong",IF($B486&gt;=5,"P3 Maybe","P4 Low")))))))))))</f>
        <v/>
      </c>
      <c r="B486" s="13" t="n">
        <v>1.83</v>
      </c>
      <c r="C486" s="12" t="inlineStr">
        <is>
          <t>Mid-level</t>
        </is>
      </c>
      <c r="D486" s="8" t="inlineStr">
        <is>
          <t>Software Engineer (Infrastructure)</t>
        </is>
      </c>
      <c r="E486" s="7" t="inlineStr">
        <is>
          <t>Thought Machine</t>
        </is>
      </c>
      <c r="F486" s="8" t="inlineStr">
        <is>
          <t>London, England, UK</t>
        </is>
      </c>
      <c r="G486" s="8" t="n"/>
      <c r="H486" s="14" t="n"/>
      <c r="I486" s="15">
        <f>IF($H486="","",$H486-TODAY())</f>
        <v/>
      </c>
      <c r="J486" s="16" t="inlineStr">
        <is>
          <t>Open posting</t>
        </is>
      </c>
      <c r="K486" s="8" t="inlineStr">
        <is>
          <t>filtered by keyword pre-scan</t>
        </is>
      </c>
      <c r="L486" s="17" t="inlineStr">
        <is>
          <t>new</t>
        </is>
      </c>
      <c r="M486" s="18" t="inlineStr"/>
      <c r="N486" s="7" t="inlineStr">
        <is>
          <t>eee143fe39a2f77392c25491dff8aca5adc81fbd</t>
        </is>
      </c>
      <c r="O486" s="14" t="n">
        <v>46185</v>
      </c>
      <c r="P486" s="7" t="inlineStr">
        <is>
          <t>jobspy</t>
        </is>
      </c>
      <c r="Q486" s="8" t="inlineStr">
        <is>
          <t>python, docker, kubernetes, git, c</t>
        </is>
      </c>
      <c r="R486" s="8" t="inlineStr">
        <is>
          <t>Graduate Backend Developer Docker Kubernetes</t>
        </is>
      </c>
      <c r="S486" s="19" t="n"/>
      <c r="T486" s="19" t="n"/>
      <c r="U486" s="14" t="n">
        <v>46192</v>
      </c>
      <c r="V486" s="7" t="inlineStr">
        <is>
          <t>v2-cv-accuracy-13b988b18da8ea7d</t>
        </is>
      </c>
    </row>
    <row r="487" ht="28" customHeight="1">
      <c r="A487" s="12">
        <f>IF($L487="applied","Applied",IF($L487="interview","Interview",IF($L487="offer","Offer",IF($L487="rejected","Rejected",IF($L487="ignore","Ignore",IF($L487="archive","Archive",IF($L487="closed","Closed",IF($B487="","Unscored",IF(AND($B487&gt;=8,OR($H487="",$H487-TODAY()&lt;=14)),"P1 Apply",IF($B487&gt;=7,"P2 Strong",IF($B487&gt;=5,"P3 Maybe","P4 Low")))))))))))</f>
        <v/>
      </c>
      <c r="B487" s="13" t="n">
        <v>1.83</v>
      </c>
      <c r="C487" s="12" t="inlineStr">
        <is>
          <t>Unspecified</t>
        </is>
      </c>
      <c r="D487" s="8" t="inlineStr">
        <is>
          <t>DevOps Engineer</t>
        </is>
      </c>
      <c r="E487" s="7" t="inlineStr">
        <is>
          <t>JAM</t>
        </is>
      </c>
      <c r="F487" s="8" t="inlineStr">
        <is>
          <t>Rugby, England, UK</t>
        </is>
      </c>
      <c r="G487" s="8" t="n"/>
      <c r="H487" s="14" t="n"/>
      <c r="I487" s="15">
        <f>IF($H487="","",$H487-TODAY())</f>
        <v/>
      </c>
      <c r="J487" s="16" t="inlineStr">
        <is>
          <t>Open posting</t>
        </is>
      </c>
      <c r="K487" s="8" t="inlineStr">
        <is>
          <t>filtered by keyword pre-scan</t>
        </is>
      </c>
      <c r="L487" s="17" t="inlineStr">
        <is>
          <t>new</t>
        </is>
      </c>
      <c r="M487" s="18" t="inlineStr"/>
      <c r="N487" s="7" t="inlineStr">
        <is>
          <t>52aad5562f0e539afd8a42ca4c00e2dd4e885fdf</t>
        </is>
      </c>
      <c r="O487" s="14" t="n">
        <v>46176</v>
      </c>
      <c r="P487" s="7" t="inlineStr">
        <is>
          <t>jobspy</t>
        </is>
      </c>
      <c r="Q487" s="8" t="inlineStr">
        <is>
          <t>python, docker, kubernetes, git, c</t>
        </is>
      </c>
      <c r="R487" s="8" t="inlineStr">
        <is>
          <t>Graduate DevOps Engineer Docker Kubernetes Git</t>
        </is>
      </c>
      <c r="S487" s="19" t="n"/>
      <c r="T487" s="19" t="n"/>
      <c r="U487" s="14" t="n">
        <v>46192</v>
      </c>
      <c r="V487" s="7" t="inlineStr">
        <is>
          <t>v2-cv-accuracy-13b988b18da8ea7d</t>
        </is>
      </c>
    </row>
    <row r="488" ht="28" customHeight="1">
      <c r="A488" s="12">
        <f>IF($L488="applied","Applied",IF($L488="interview","Interview",IF($L488="offer","Offer",IF($L488="rejected","Rejected",IF($L488="ignore","Ignore",IF($L488="archive","Archive",IF($L488="closed","Closed",IF($B488="","Unscored",IF(AND($B488&gt;=8,OR($H488="",$H488-TODAY()&lt;=14)),"P1 Apply",IF($B488&gt;=7,"P2 Strong",IF($B488&gt;=5,"P3 Maybe","P4 Low")))))))))))</f>
        <v/>
      </c>
      <c r="B488" s="13" t="n">
        <v>1.83</v>
      </c>
      <c r="C488" s="12" t="inlineStr">
        <is>
          <t>Unspecified</t>
        </is>
      </c>
      <c r="D488" s="8" t="inlineStr">
        <is>
          <t>DevOps Engineer</t>
        </is>
      </c>
      <c r="E488" s="7" t="inlineStr">
        <is>
          <t>Anson McCade</t>
        </is>
      </c>
      <c r="F488" s="8" t="inlineStr">
        <is>
          <t>England, United Kingdom</t>
        </is>
      </c>
      <c r="G488" s="8" t="n"/>
      <c r="H488" s="14" t="n"/>
      <c r="I488" s="15">
        <f>IF($H488="","",$H488-TODAY())</f>
        <v/>
      </c>
      <c r="J488" s="16" t="inlineStr">
        <is>
          <t>Open posting</t>
        </is>
      </c>
      <c r="K488" s="8" t="inlineStr">
        <is>
          <t>filtered by keyword pre-scan</t>
        </is>
      </c>
      <c r="L488" s="17" t="inlineStr">
        <is>
          <t>new</t>
        </is>
      </c>
      <c r="M488" s="18" t="inlineStr"/>
      <c r="N488" s="7" t="inlineStr">
        <is>
          <t>aa9d805d91ea5de97d96dbf7cc56c3833492f89b</t>
        </is>
      </c>
      <c r="O488" s="14" t="n">
        <v>46175</v>
      </c>
      <c r="P488" s="7" t="inlineStr">
        <is>
          <t>jobspy</t>
        </is>
      </c>
      <c r="Q488" s="8" t="inlineStr">
        <is>
          <t>python, docker, kubernetes, git, c</t>
        </is>
      </c>
      <c r="R488" s="8" t="inlineStr">
        <is>
          <t>Graduate DevOps Engineer Docker Kubernetes Git</t>
        </is>
      </c>
      <c r="S488" s="19" t="n"/>
      <c r="T488" s="19" t="n"/>
      <c r="U488" s="14" t="n">
        <v>46192</v>
      </c>
      <c r="V488" s="7" t="inlineStr">
        <is>
          <t>v2-cv-accuracy-13b988b18da8ea7d</t>
        </is>
      </c>
    </row>
    <row r="489" ht="28" customHeight="1">
      <c r="A489" s="12">
        <f>IF($L489="applied","Applied",IF($L489="interview","Interview",IF($L489="offer","Offer",IF($L489="rejected","Rejected",IF($L489="ignore","Ignore",IF($L489="archive","Archive",IF($L489="closed","Closed",IF($B489="","Unscored",IF(AND($B489&gt;=8,OR($H489="",$H489-TODAY()&lt;=14)),"P1 Apply",IF($B489&gt;=7,"P2 Strong",IF($B489&gt;=5,"P3 Maybe","P4 Low")))))))))))</f>
        <v/>
      </c>
      <c r="B489" s="13" t="n">
        <v>1.83</v>
      </c>
      <c r="C489" s="12" t="inlineStr">
        <is>
          <t>Junior</t>
        </is>
      </c>
      <c r="D489" s="8" t="inlineStr">
        <is>
          <t>DevOps Engineer</t>
        </is>
      </c>
      <c r="E489" s="7" t="inlineStr">
        <is>
          <t>CGI</t>
        </is>
      </c>
      <c r="F489" s="8" t="inlineStr">
        <is>
          <t>London, England, UK</t>
        </is>
      </c>
      <c r="G489" s="8" t="n"/>
      <c r="H489" s="14" t="n"/>
      <c r="I489" s="15">
        <f>IF($H489="","",$H489-TODAY())</f>
        <v/>
      </c>
      <c r="J489" s="16" t="inlineStr">
        <is>
          <t>Open posting</t>
        </is>
      </c>
      <c r="K489" s="8" t="inlineStr">
        <is>
          <t>filtered by keyword pre-scan</t>
        </is>
      </c>
      <c r="L489" s="17" t="inlineStr">
        <is>
          <t>new</t>
        </is>
      </c>
      <c r="M489" s="18" t="inlineStr"/>
      <c r="N489" s="7" t="inlineStr">
        <is>
          <t>f9f365159af0d09dec44ce5efcc3949dd3facdf5</t>
        </is>
      </c>
      <c r="O489" s="14" t="n">
        <v>46175</v>
      </c>
      <c r="P489" s="7" t="inlineStr">
        <is>
          <t>jobspy</t>
        </is>
      </c>
      <c r="Q489" s="8" t="inlineStr">
        <is>
          <t>python, docker, kubernetes, git, c</t>
        </is>
      </c>
      <c r="R489" s="8" t="inlineStr">
        <is>
          <t>Graduate DevOps Engineer Docker Kubernetes Git</t>
        </is>
      </c>
      <c r="S489" s="19" t="n"/>
      <c r="T489" s="19" t="n"/>
      <c r="U489" s="14" t="n">
        <v>46192</v>
      </c>
      <c r="V489" s="7" t="inlineStr">
        <is>
          <t>v2-cv-accuracy-13b988b18da8ea7d</t>
        </is>
      </c>
    </row>
    <row r="490" ht="28" customHeight="1">
      <c r="A490" s="12">
        <f>IF($L490="applied","Applied",IF($L490="interview","Interview",IF($L490="offer","Offer",IF($L490="rejected","Rejected",IF($L490="ignore","Ignore",IF($L490="archive","Archive",IF($L490="closed","Closed",IF($B490="","Unscored",IF(AND($B490&gt;=8,OR($H490="",$H490-TODAY()&lt;=14)),"P1 Apply",IF($B490&gt;=7,"P2 Strong",IF($B490&gt;=5,"P3 Maybe","P4 Low")))))))))))</f>
        <v/>
      </c>
      <c r="B490" s="13" t="n">
        <v>1.83</v>
      </c>
      <c r="C490" s="12" t="inlineStr">
        <is>
          <t>Unspecified</t>
        </is>
      </c>
      <c r="D490" s="8" t="inlineStr">
        <is>
          <t>DevOps Engineer (AWS)</t>
        </is>
      </c>
      <c r="E490" s="7" t="inlineStr">
        <is>
          <t>MRP-Global</t>
        </is>
      </c>
      <c r="F490" s="8" t="inlineStr"/>
      <c r="G490" s="8" t="n"/>
      <c r="H490" s="14" t="n"/>
      <c r="I490" s="15">
        <f>IF($H490="","",$H490-TODAY())</f>
        <v/>
      </c>
      <c r="J490" s="16" t="inlineStr">
        <is>
          <t>Open posting</t>
        </is>
      </c>
      <c r="K490" s="8" t="inlineStr">
        <is>
          <t>filtered by keyword pre-scan</t>
        </is>
      </c>
      <c r="L490" s="17" t="inlineStr">
        <is>
          <t>new</t>
        </is>
      </c>
      <c r="M490" s="18" t="inlineStr"/>
      <c r="N490" s="7" t="inlineStr">
        <is>
          <t>d5c9ee6794f01786b183c6faec1f0dfb9d744346</t>
        </is>
      </c>
      <c r="O490" s="14" t="n"/>
      <c r="P490" s="7" t="inlineStr">
        <is>
          <t>jobspy</t>
        </is>
      </c>
      <c r="Q490" s="8" t="inlineStr">
        <is>
          <t>python, docker, kubernetes, git, c</t>
        </is>
      </c>
      <c r="R490" s="8" t="inlineStr">
        <is>
          <t>Graduate DevOps Engineer Docker Kubernetes Git</t>
        </is>
      </c>
      <c r="S490" s="19" t="n"/>
      <c r="T490" s="19" t="n"/>
      <c r="U490" s="14" t="n">
        <v>46192</v>
      </c>
      <c r="V490" s="7" t="inlineStr">
        <is>
          <t>v2-cv-accuracy-13b988b18da8ea7d</t>
        </is>
      </c>
    </row>
    <row r="491" ht="28" customHeight="1">
      <c r="A491" s="12">
        <f>IF($L491="applied","Applied",IF($L491="interview","Interview",IF($L491="offer","Offer",IF($L491="rejected","Rejected",IF($L491="ignore","Ignore",IF($L491="archive","Archive",IF($L491="closed","Closed",IF($B491="","Unscored",IF(AND($B491&gt;=8,OR($H491="",$H491-TODAY()&lt;=14)),"P1 Apply",IF($B491&gt;=7,"P2 Strong",IF($B491&gt;=5,"P3 Maybe","P4 Low")))))))))))</f>
        <v/>
      </c>
      <c r="B491" s="13" t="n">
        <v>1.72</v>
      </c>
      <c r="C491" s="12" t="inlineStr">
        <is>
          <t>Mid-level</t>
        </is>
      </c>
      <c r="D491" s="8" t="inlineStr">
        <is>
          <t>Backend Engineer (Node / Typescript)</t>
        </is>
      </c>
      <c r="E491" s="7" t="inlineStr">
        <is>
          <t>Skin + Me</t>
        </is>
      </c>
      <c r="F491" s="8" t="inlineStr">
        <is>
          <t>London, England, UK</t>
        </is>
      </c>
      <c r="G491" s="8" t="n"/>
      <c r="H491" s="14" t="n"/>
      <c r="I491" s="15">
        <f>IF($H491="","",$H491-TODAY())</f>
        <v/>
      </c>
      <c r="J491" s="16" t="inlineStr">
        <is>
          <t>Open posting</t>
        </is>
      </c>
      <c r="K491" s="8" t="inlineStr">
        <is>
          <t>filtered by keyword pre-scan</t>
        </is>
      </c>
      <c r="L491" s="17" t="inlineStr">
        <is>
          <t>new</t>
        </is>
      </c>
      <c r="M491" s="18" t="inlineStr"/>
      <c r="N491" s="7" t="inlineStr">
        <is>
          <t>ee38bf73c2537ed90c4b8b7b92accc7cd3856783</t>
        </is>
      </c>
      <c r="O491" s="14" t="n">
        <v>46178</v>
      </c>
      <c r="P491" s="7" t="inlineStr">
        <is>
          <t>jobspy</t>
        </is>
      </c>
      <c r="Q491" s="8" t="inlineStr">
        <is>
          <t>sql, mysql, docker, c</t>
        </is>
      </c>
      <c r="R491" s="8" t="inlineStr">
        <is>
          <t>Junior Full Stack Developer JavaScript Node.js Python</t>
        </is>
      </c>
      <c r="S491" s="19" t="n"/>
      <c r="T491" s="19" t="n"/>
      <c r="U491" s="14" t="n">
        <v>46193</v>
      </c>
      <c r="V491" s="7" t="inlineStr">
        <is>
          <t>v2-cv-accuracy-13b988b18da8ea7d</t>
        </is>
      </c>
    </row>
    <row r="492" ht="28" customHeight="1">
      <c r="A492" s="12">
        <f>IF($L492="applied","Applied",IF($L492="interview","Interview",IF($L492="offer","Offer",IF($L492="rejected","Rejected",IF($L492="ignore","Ignore",IF($L492="archive","Archive",IF($L492="closed","Closed",IF($B492="","Unscored",IF(AND($B492&gt;=8,OR($H492="",$H492-TODAY()&lt;=14)),"P1 Apply",IF($B492&gt;=7,"P2 Strong",IF($B492&gt;=5,"P3 Maybe","P4 Low")))))))))))</f>
        <v/>
      </c>
      <c r="B492" s="13" t="n">
        <v>1.72</v>
      </c>
      <c r="C492" s="12" t="inlineStr">
        <is>
          <t>Unspecified</t>
        </is>
      </c>
      <c r="D492" s="8" t="inlineStr">
        <is>
          <t>Digital Design Engineer (#OAEG2)</t>
        </is>
      </c>
      <c r="E492" s="7" t="inlineStr">
        <is>
          <t>Cirrus Logic</t>
        </is>
      </c>
      <c r="F492" s="8" t="inlineStr">
        <is>
          <t>Edinburgh, Scotland, UK</t>
        </is>
      </c>
      <c r="G492" s="8" t="n"/>
      <c r="H492" s="14" t="n"/>
      <c r="I492" s="15">
        <f>IF($H492="","",$H492-TODAY())</f>
        <v/>
      </c>
      <c r="J492" s="16" t="inlineStr">
        <is>
          <t>Open posting</t>
        </is>
      </c>
      <c r="K492" s="8" t="inlineStr">
        <is>
          <t>filtered by keyword pre-scan</t>
        </is>
      </c>
      <c r="L492" s="17" t="inlineStr">
        <is>
          <t>new</t>
        </is>
      </c>
      <c r="M492" s="18" t="inlineStr"/>
      <c r="N492" s="7" t="inlineStr">
        <is>
          <t>46a6a8d2432688e0567ecbc5767184a734a5da00</t>
        </is>
      </c>
      <c r="O492" s="14" t="n">
        <v>46175</v>
      </c>
      <c r="P492" s="7" t="inlineStr">
        <is>
          <t>jobspy</t>
        </is>
      </c>
      <c r="Q492" s="8" t="inlineStr">
        <is>
          <t>verilog, git, c, digital design</t>
        </is>
      </c>
      <c r="R492" s="8" t="inlineStr">
        <is>
          <t>Graduate Digital Design Engineer FPGA</t>
        </is>
      </c>
      <c r="S492" s="19" t="n"/>
      <c r="T492" s="19" t="n"/>
      <c r="U492" s="14" t="n">
        <v>46193</v>
      </c>
      <c r="V492" s="7" t="inlineStr">
        <is>
          <t>v2-cv-accuracy-13b988b18da8ea7d</t>
        </is>
      </c>
    </row>
    <row r="493" ht="28" customHeight="1">
      <c r="A493" s="12">
        <f>IF($L493="applied","Applied",IF($L493="interview","Interview",IF($L493="offer","Offer",IF($L493="rejected","Rejected",IF($L493="ignore","Ignore",IF($L493="archive","Archive",IF($L493="closed","Closed",IF($B493="","Unscored",IF(AND($B493&gt;=8,OR($H493="",$H493-TODAY()&lt;=14)),"P1 Apply",IF($B493&gt;=7,"P2 Strong",IF($B493&gt;=5,"P3 Maybe","P4 Low")))))))))))</f>
        <v/>
      </c>
      <c r="B493" s="13" t="n">
        <v>1.72</v>
      </c>
      <c r="C493" s="12" t="inlineStr">
        <is>
          <t>Senior/Lead</t>
        </is>
      </c>
      <c r="D493" s="8" t="inlineStr">
        <is>
          <t>Digital Engineers - All Levels</t>
        </is>
      </c>
      <c r="E493" s="7" t="inlineStr">
        <is>
          <t>Leonardo</t>
        </is>
      </c>
      <c r="F493" s="8" t="inlineStr">
        <is>
          <t>Edinburgh, Scotland, UK</t>
        </is>
      </c>
      <c r="G493" s="8" t="n"/>
      <c r="H493" s="14" t="n"/>
      <c r="I493" s="15">
        <f>IF($H493="","",$H493-TODAY())</f>
        <v/>
      </c>
      <c r="J493" s="16" t="inlineStr">
        <is>
          <t>Open posting</t>
        </is>
      </c>
      <c r="K493" s="8" t="inlineStr">
        <is>
          <t>filtered by keyword pre-scan</t>
        </is>
      </c>
      <c r="L493" s="17" t="inlineStr">
        <is>
          <t>new</t>
        </is>
      </c>
      <c r="M493" s="18" t="inlineStr"/>
      <c r="N493" s="7" t="inlineStr">
        <is>
          <t>56962dd7c49e08db2ee68242b015dc1c43b8b8b6</t>
        </is>
      </c>
      <c r="O493" s="14" t="n">
        <v>46177</v>
      </c>
      <c r="P493" s="7" t="inlineStr">
        <is>
          <t>jobspy</t>
        </is>
      </c>
      <c r="Q493" s="8" t="inlineStr">
        <is>
          <t>fpga, git, c, hardware design, dsp</t>
        </is>
      </c>
      <c r="R493" s="8" t="inlineStr">
        <is>
          <t>Graduate Systems Engineer hardware software</t>
        </is>
      </c>
      <c r="S493" s="19" t="n"/>
      <c r="T493" s="19" t="n"/>
      <c r="U493" s="14" t="n">
        <v>46193</v>
      </c>
      <c r="V493" s="7" t="inlineStr">
        <is>
          <t>v2-cv-accuracy-13b988b18da8ea7d</t>
        </is>
      </c>
    </row>
    <row r="494" ht="28" customHeight="1">
      <c r="A494" s="12">
        <f>IF($L494="applied","Applied",IF($L494="interview","Interview",IF($L494="offer","Offer",IF($L494="rejected","Rejected",IF($L494="ignore","Ignore",IF($L494="archive","Archive",IF($L494="closed","Closed",IF($B494="","Unscored",IF(AND($B494&gt;=8,OR($H494="",$H494-TODAY()&lt;=14)),"P1 Apply",IF($B494&gt;=7,"P2 Strong",IF($B494&gt;=5,"P3 Maybe","P4 Low")))))))))))</f>
        <v/>
      </c>
      <c r="B494" s="13" t="n">
        <v>1.72</v>
      </c>
      <c r="C494" s="12" t="inlineStr">
        <is>
          <t>Senior/Lead</t>
        </is>
      </c>
      <c r="D494" s="8" t="inlineStr">
        <is>
          <t>Python Developer</t>
        </is>
      </c>
      <c r="E494" s="7" t="inlineStr">
        <is>
          <t>Version 1</t>
        </is>
      </c>
      <c r="F494" s="8" t="inlineStr">
        <is>
          <t>Belfast, Northern Ireland, UK</t>
        </is>
      </c>
      <c r="G494" s="8" t="n"/>
      <c r="H494" s="14" t="n"/>
      <c r="I494" s="15">
        <f>IF($H494="","",$H494-TODAY())</f>
        <v/>
      </c>
      <c r="J494" s="16" t="inlineStr">
        <is>
          <t>Open posting</t>
        </is>
      </c>
      <c r="K494" s="8" t="inlineStr">
        <is>
          <t>filtered by keyword pre-scan</t>
        </is>
      </c>
      <c r="L494" s="17" t="inlineStr">
        <is>
          <t>new</t>
        </is>
      </c>
      <c r="M494" s="18" t="inlineStr"/>
      <c r="N494" s="7" t="inlineStr">
        <is>
          <t>177584f1c7ddc5c49eca16e4c218d968578e6a8f</t>
        </is>
      </c>
      <c r="O494" s="14" t="n">
        <v>46184</v>
      </c>
      <c r="P494" s="7" t="inlineStr">
        <is>
          <t>jobspy</t>
        </is>
      </c>
      <c r="Q494" s="8" t="inlineStr">
        <is>
          <t>python, sql, docker, git, c</t>
        </is>
      </c>
      <c r="R494" s="8" t="inlineStr">
        <is>
          <t>Junior Python Developer SQL Docker</t>
        </is>
      </c>
      <c r="S494" s="19" t="n"/>
      <c r="T494" s="19" t="n"/>
      <c r="U494" s="14" t="n">
        <v>46193</v>
      </c>
      <c r="V494" s="7" t="inlineStr">
        <is>
          <t>v2-cv-accuracy-13b988b18da8ea7d</t>
        </is>
      </c>
    </row>
    <row r="495" ht="28" customHeight="1">
      <c r="A495" s="12">
        <f>IF($L495="applied","Applied",IF($L495="interview","Interview",IF($L495="offer","Offer",IF($L495="rejected","Rejected",IF($L495="ignore","Ignore",IF($L495="archive","Archive",IF($L495="closed","Closed",IF($B495="","Unscored",IF(AND($B495&gt;=8,OR($H495="",$H495-TODAY()&lt;=14)),"P1 Apply",IF($B495&gt;=7,"P2 Strong",IF($B495&gt;=5,"P3 Maybe","P4 Low")))))))))))</f>
        <v/>
      </c>
      <c r="B495" s="13" t="n">
        <v>1.72</v>
      </c>
      <c r="C495" s="12" t="inlineStr">
        <is>
          <t>Senior/Lead</t>
        </is>
      </c>
      <c r="D495" s="8" t="inlineStr">
        <is>
          <t>Python Developer</t>
        </is>
      </c>
      <c r="E495" s="7" t="inlineStr">
        <is>
          <t>Version 1</t>
        </is>
      </c>
      <c r="F495" s="8" t="inlineStr">
        <is>
          <t>Newcastle Upon Tyne, England, UK</t>
        </is>
      </c>
      <c r="G495" s="8" t="n"/>
      <c r="H495" s="14" t="n"/>
      <c r="I495" s="15">
        <f>IF($H495="","",$H495-TODAY())</f>
        <v/>
      </c>
      <c r="J495" s="16" t="inlineStr">
        <is>
          <t>Open posting</t>
        </is>
      </c>
      <c r="K495" s="8" t="inlineStr">
        <is>
          <t>filtered by keyword pre-scan</t>
        </is>
      </c>
      <c r="L495" s="17" t="inlineStr">
        <is>
          <t>new</t>
        </is>
      </c>
      <c r="M495" s="18" t="inlineStr"/>
      <c r="N495" s="7" t="inlineStr">
        <is>
          <t>e176a1de5abc2ef5243f72169a96d1e6e105c115</t>
        </is>
      </c>
      <c r="O495" s="14" t="n">
        <v>46183</v>
      </c>
      <c r="P495" s="7" t="inlineStr">
        <is>
          <t>jobspy</t>
        </is>
      </c>
      <c r="Q495" s="8" t="inlineStr">
        <is>
          <t>python, sql, docker, git, c</t>
        </is>
      </c>
      <c r="R495" s="8" t="inlineStr">
        <is>
          <t>Junior Python Developer SQL Docker</t>
        </is>
      </c>
      <c r="S495" s="19" t="n"/>
      <c r="T495" s="19" t="n"/>
      <c r="U495" s="14" t="n">
        <v>46193</v>
      </c>
      <c r="V495" s="7" t="inlineStr">
        <is>
          <t>v2-cv-accuracy-13b988b18da8ea7d</t>
        </is>
      </c>
    </row>
    <row r="496" ht="28" customHeight="1">
      <c r="A496" s="12">
        <f>IF($L496="applied","Applied",IF($L496="interview","Interview",IF($L496="offer","Offer",IF($L496="rejected","Rejected",IF($L496="ignore","Ignore",IF($L496="archive","Archive",IF($L496="closed","Closed",IF($B496="","Unscored",IF(AND($B496&gt;=8,OR($H496="",$H496-TODAY()&lt;=14)),"P1 Apply",IF($B496&gt;=7,"P2 Strong",IF($B496&gt;=5,"P3 Maybe","P4 Low")))))))))))</f>
        <v/>
      </c>
      <c r="B496" s="13" t="n">
        <v>1.72</v>
      </c>
      <c r="C496" s="12" t="inlineStr">
        <is>
          <t>Senior/Lead</t>
        </is>
      </c>
      <c r="D496" s="8" t="inlineStr">
        <is>
          <t>Python Developer</t>
        </is>
      </c>
      <c r="E496" s="7" t="inlineStr">
        <is>
          <t>Version 1</t>
        </is>
      </c>
      <c r="F496" s="8" t="inlineStr">
        <is>
          <t>London, England, UK</t>
        </is>
      </c>
      <c r="G496" s="8" t="n"/>
      <c r="H496" s="14" t="n"/>
      <c r="I496" s="15">
        <f>IF($H496="","",$H496-TODAY())</f>
        <v/>
      </c>
      <c r="J496" s="16" t="inlineStr">
        <is>
          <t>Open posting</t>
        </is>
      </c>
      <c r="K496" s="8" t="inlineStr">
        <is>
          <t>filtered by keyword pre-scan</t>
        </is>
      </c>
      <c r="L496" s="17" t="inlineStr">
        <is>
          <t>new</t>
        </is>
      </c>
      <c r="M496" s="18" t="inlineStr"/>
      <c r="N496" s="7" t="inlineStr">
        <is>
          <t>a5b5a357f23adb00325e7e95a5e19a4e83833949</t>
        </is>
      </c>
      <c r="O496" s="14" t="n">
        <v>46182</v>
      </c>
      <c r="P496" s="7" t="inlineStr">
        <is>
          <t>jobspy</t>
        </is>
      </c>
      <c r="Q496" s="8" t="inlineStr">
        <is>
          <t>python, sql, docker, git, c</t>
        </is>
      </c>
      <c r="R496" s="8" t="inlineStr">
        <is>
          <t>Junior Python Developer SQL Docker</t>
        </is>
      </c>
      <c r="S496" s="19" t="n"/>
      <c r="T496" s="19" t="n"/>
      <c r="U496" s="14" t="n">
        <v>46193</v>
      </c>
      <c r="V496" s="7" t="inlineStr">
        <is>
          <t>v2-cv-accuracy-13b988b18da8ea7d</t>
        </is>
      </c>
    </row>
    <row r="497" ht="28" customHeight="1">
      <c r="A497" s="12">
        <f>IF($L497="applied","Applied",IF($L497="interview","Interview",IF($L497="offer","Offer",IF($L497="rejected","Rejected",IF($L497="ignore","Ignore",IF($L497="archive","Archive",IF($L497="closed","Closed",IF($B497="","Unscored",IF(AND($B497&gt;=8,OR($H497="",$H497-TODAY()&lt;=14)),"P1 Apply",IF($B497&gt;=7,"P2 Strong",IF($B497&gt;=5,"P3 Maybe","P4 Low")))))))))))</f>
        <v/>
      </c>
      <c r="B497" s="13" t="n">
        <v>1.72</v>
      </c>
      <c r="C497" s="12" t="inlineStr">
        <is>
          <t>Senior/Lead</t>
        </is>
      </c>
      <c r="D497" s="8" t="inlineStr">
        <is>
          <t>Python Developer</t>
        </is>
      </c>
      <c r="E497" s="7" t="inlineStr">
        <is>
          <t>Version 1</t>
        </is>
      </c>
      <c r="F497" s="8" t="inlineStr">
        <is>
          <t>Edinburgh, Scotland, UK</t>
        </is>
      </c>
      <c r="G497" s="8" t="n"/>
      <c r="H497" s="14" t="n"/>
      <c r="I497" s="15">
        <f>IF($H497="","",$H497-TODAY())</f>
        <v/>
      </c>
      <c r="J497" s="16" t="inlineStr">
        <is>
          <t>Open posting</t>
        </is>
      </c>
      <c r="K497" s="8" t="inlineStr">
        <is>
          <t>filtered by keyword pre-scan</t>
        </is>
      </c>
      <c r="L497" s="17" t="inlineStr">
        <is>
          <t>new</t>
        </is>
      </c>
      <c r="M497" s="18" t="inlineStr"/>
      <c r="N497" s="7" t="inlineStr">
        <is>
          <t>52b80f58f125592a09a74b9590d304ecfa28c83d</t>
        </is>
      </c>
      <c r="O497" s="14" t="n">
        <v>46182</v>
      </c>
      <c r="P497" s="7" t="inlineStr">
        <is>
          <t>jobspy</t>
        </is>
      </c>
      <c r="Q497" s="8" t="inlineStr">
        <is>
          <t>python, sql, docker, git, c</t>
        </is>
      </c>
      <c r="R497" s="8" t="inlineStr">
        <is>
          <t>Junior Python Developer SQL Docker</t>
        </is>
      </c>
      <c r="S497" s="19" t="n"/>
      <c r="T497" s="19" t="n"/>
      <c r="U497" s="14" t="n">
        <v>46193</v>
      </c>
      <c r="V497" s="7" t="inlineStr">
        <is>
          <t>v2-cv-accuracy-13b988b18da8ea7d</t>
        </is>
      </c>
    </row>
    <row r="498" ht="28" customHeight="1">
      <c r="A498" s="12">
        <f>IF($L498="applied","Applied",IF($L498="interview","Interview",IF($L498="offer","Offer",IF($L498="rejected","Rejected",IF($L498="ignore","Ignore",IF($L498="archive","Archive",IF($L498="closed","Closed",IF($B498="","Unscored",IF(AND($B498&gt;=8,OR($H498="",$H498-TODAY()&lt;=14)),"P1 Apply",IF($B498&gt;=7,"P2 Strong",IF($B498&gt;=5,"P3 Maybe","P4 Low")))))))))))</f>
        <v/>
      </c>
      <c r="B498" s="13" t="n">
        <v>1.72</v>
      </c>
      <c r="C498" s="12" t="inlineStr">
        <is>
          <t>Senior/Lead</t>
        </is>
      </c>
      <c r="D498" s="8" t="inlineStr">
        <is>
          <t>Python Developer</t>
        </is>
      </c>
      <c r="E498" s="7" t="inlineStr">
        <is>
          <t>Version 1</t>
        </is>
      </c>
      <c r="F498" s="8" t="inlineStr">
        <is>
          <t>Birmingham, England, UK</t>
        </is>
      </c>
      <c r="G498" s="8" t="n"/>
      <c r="H498" s="14" t="n"/>
      <c r="I498" s="15">
        <f>IF($H498="","",$H498-TODAY())</f>
        <v/>
      </c>
      <c r="J498" s="16" t="inlineStr">
        <is>
          <t>Open posting</t>
        </is>
      </c>
      <c r="K498" s="8" t="inlineStr">
        <is>
          <t>filtered by keyword pre-scan</t>
        </is>
      </c>
      <c r="L498" s="17" t="inlineStr">
        <is>
          <t>new</t>
        </is>
      </c>
      <c r="M498" s="18" t="inlineStr"/>
      <c r="N498" s="7" t="inlineStr">
        <is>
          <t>d453e8ff088ac36827eaa7f85b54bfd1f3b1a7f3</t>
        </is>
      </c>
      <c r="O498" s="14" t="n">
        <v>46182</v>
      </c>
      <c r="P498" s="7" t="inlineStr">
        <is>
          <t>jobspy</t>
        </is>
      </c>
      <c r="Q498" s="8" t="inlineStr">
        <is>
          <t>python, sql, docker, git, c</t>
        </is>
      </c>
      <c r="R498" s="8" t="inlineStr">
        <is>
          <t>Junior Python Developer SQL Docker</t>
        </is>
      </c>
      <c r="S498" s="19" t="n"/>
      <c r="T498" s="19" t="n"/>
      <c r="U498" s="14" t="n">
        <v>46193</v>
      </c>
      <c r="V498" s="7" t="inlineStr">
        <is>
          <t>v2-cv-accuracy-13b988b18da8ea7d</t>
        </is>
      </c>
    </row>
    <row r="499" ht="28" customHeight="1">
      <c r="A499" s="12">
        <f>IF($L499="applied","Applied",IF($L499="interview","Interview",IF($L499="offer","Offer",IF($L499="rejected","Rejected",IF($L499="ignore","Ignore",IF($L499="archive","Archive",IF($L499="closed","Closed",IF($B499="","Unscored",IF(AND($B499&gt;=8,OR($H499="",$H499-TODAY()&lt;=14)),"P1 Apply",IF($B499&gt;=7,"P2 Strong",IF($B499&gt;=5,"P3 Maybe","P4 Low")))))))))))</f>
        <v/>
      </c>
      <c r="B499" s="13" t="n">
        <v>1.72</v>
      </c>
      <c r="C499" s="12" t="inlineStr">
        <is>
          <t>Senior/Lead</t>
        </is>
      </c>
      <c r="D499" s="8" t="inlineStr">
        <is>
          <t>Python Developer</t>
        </is>
      </c>
      <c r="E499" s="7" t="inlineStr">
        <is>
          <t>Version 1</t>
        </is>
      </c>
      <c r="F499" s="8" t="inlineStr">
        <is>
          <t>Manchester, England, UK</t>
        </is>
      </c>
      <c r="G499" s="8" t="n"/>
      <c r="H499" s="14" t="n"/>
      <c r="I499" s="15">
        <f>IF($H499="","",$H499-TODAY())</f>
        <v/>
      </c>
      <c r="J499" s="16" t="inlineStr">
        <is>
          <t>Open posting</t>
        </is>
      </c>
      <c r="K499" s="8" t="inlineStr">
        <is>
          <t>filtered by keyword pre-scan</t>
        </is>
      </c>
      <c r="L499" s="17" t="inlineStr">
        <is>
          <t>new</t>
        </is>
      </c>
      <c r="M499" s="18" t="inlineStr"/>
      <c r="N499" s="7" t="inlineStr">
        <is>
          <t>1dcb452c8e8317c90bc79f5992f92f2c1b34e912</t>
        </is>
      </c>
      <c r="O499" s="14" t="n">
        <v>46181</v>
      </c>
      <c r="P499" s="7" t="inlineStr">
        <is>
          <t>jobspy</t>
        </is>
      </c>
      <c r="Q499" s="8" t="inlineStr">
        <is>
          <t>python, sql, docker, git, c</t>
        </is>
      </c>
      <c r="R499" s="8" t="inlineStr">
        <is>
          <t>Junior Python Developer SQL Docker</t>
        </is>
      </c>
      <c r="S499" s="19" t="n"/>
      <c r="T499" s="19" t="n"/>
      <c r="U499" s="14" t="n">
        <v>46193</v>
      </c>
      <c r="V499" s="7" t="inlineStr">
        <is>
          <t>v2-cv-accuracy-13b988b18da8ea7d</t>
        </is>
      </c>
    </row>
    <row r="500" ht="28" customHeight="1">
      <c r="A500" s="12">
        <f>IF($L500="applied","Applied",IF($L500="interview","Interview",IF($L500="offer","Offer",IF($L500="rejected","Rejected",IF($L500="ignore","Ignore",IF($L500="archive","Archive",IF($L500="closed","Closed",IF($B500="","Unscored",IF(AND($B500&gt;=8,OR($H500="",$H500-TODAY()&lt;=14)),"P1 Apply",IF($B500&gt;=7,"P2 Strong",IF($B500&gt;=5,"P3 Maybe","P4 Low")))))))))))</f>
        <v/>
      </c>
      <c r="B500" s="13" t="n">
        <v>1.72</v>
      </c>
      <c r="C500" s="12" t="inlineStr">
        <is>
          <t>Junior</t>
        </is>
      </c>
      <c r="D500" s="8" t="inlineStr">
        <is>
          <t>Data Engineer</t>
        </is>
      </c>
      <c r="E500" s="7" t="inlineStr">
        <is>
          <t>Information Tech Consultants</t>
        </is>
      </c>
      <c r="F500" s="8" t="inlineStr">
        <is>
          <t>England, United Kingdom</t>
        </is>
      </c>
      <c r="G500" s="8" t="n"/>
      <c r="H500" s="14" t="n"/>
      <c r="I500" s="15">
        <f>IF($H500="","",$H500-TODAY())</f>
        <v/>
      </c>
      <c r="J500" s="16" t="inlineStr">
        <is>
          <t>Open posting</t>
        </is>
      </c>
      <c r="K500" s="8" t="inlineStr">
        <is>
          <t>filtered by keyword pre-scan</t>
        </is>
      </c>
      <c r="L500" s="17" t="inlineStr">
        <is>
          <t>new</t>
        </is>
      </c>
      <c r="M500" s="18" t="inlineStr"/>
      <c r="N500" s="7" t="inlineStr">
        <is>
          <t>26ed763509918d1fa8c0eb140398dba7dd698674</t>
        </is>
      </c>
      <c r="O500" s="14" t="n">
        <v>46192</v>
      </c>
      <c r="P500" s="7" t="inlineStr">
        <is>
          <t>jobspy</t>
        </is>
      </c>
      <c r="Q500" s="8" t="inlineStr">
        <is>
          <t>python, sql, docker, kubernetes, c</t>
        </is>
      </c>
      <c r="R500" s="8" t="inlineStr">
        <is>
          <t>Graduate Data Engineer Python SQL MySQL</t>
        </is>
      </c>
      <c r="S500" s="19" t="n"/>
      <c r="T500" s="19" t="n"/>
      <c r="U500" s="14" t="n">
        <v>46193</v>
      </c>
      <c r="V500" s="7" t="inlineStr">
        <is>
          <t>v2-cv-accuracy-13b988b18da8ea7d</t>
        </is>
      </c>
    </row>
    <row r="501" ht="28" customHeight="1">
      <c r="A501" s="12">
        <f>IF($L501="applied","Applied",IF($L501="interview","Interview",IF($L501="offer","Offer",IF($L501="rejected","Rejected",IF($L501="ignore","Ignore",IF($L501="archive","Archive",IF($L501="closed","Closed",IF($B501="","Unscored",IF(AND($B501&gt;=8,OR($H501="",$H501-TODAY()&lt;=14)),"P1 Apply",IF($B501&gt;=7,"P2 Strong",IF($B501&gt;=5,"P3 Maybe","P4 Low")))))))))))</f>
        <v/>
      </c>
      <c r="B501" s="13" t="n">
        <v>1.72</v>
      </c>
      <c r="C501" s="12" t="inlineStr">
        <is>
          <t>Unspecified</t>
        </is>
      </c>
      <c r="D501" s="8" t="inlineStr">
        <is>
          <t>Data Engineer I - QuantumBlack, AI by McKinsey</t>
        </is>
      </c>
      <c r="E501" s="7" t="inlineStr">
        <is>
          <t>QuantumBlack, AI by McKinsey</t>
        </is>
      </c>
      <c r="F501" s="8" t="inlineStr">
        <is>
          <t>London, England, UK</t>
        </is>
      </c>
      <c r="G501" s="8" t="n"/>
      <c r="H501" s="14" t="n"/>
      <c r="I501" s="15">
        <f>IF($H501="","",$H501-TODAY())</f>
        <v/>
      </c>
      <c r="J501" s="16" t="inlineStr">
        <is>
          <t>Open posting</t>
        </is>
      </c>
      <c r="K501" s="8" t="inlineStr">
        <is>
          <t>filtered by keyword pre-scan</t>
        </is>
      </c>
      <c r="L501" s="17" t="inlineStr">
        <is>
          <t>new</t>
        </is>
      </c>
      <c r="M501" s="18" t="inlineStr"/>
      <c r="N501" s="7" t="inlineStr">
        <is>
          <t>597b70262fa0100fbbb96afd140c54073f3aaa4f</t>
        </is>
      </c>
      <c r="O501" s="14" t="n"/>
      <c r="P501" s="7" t="inlineStr">
        <is>
          <t>jobspy</t>
        </is>
      </c>
      <c r="Q501" s="8" t="inlineStr">
        <is>
          <t>python, sql, git, c</t>
        </is>
      </c>
      <c r="R501" s="8" t="inlineStr">
        <is>
          <t>Graduate Data Engineer Python SQL MySQL</t>
        </is>
      </c>
      <c r="S501" s="19" t="n"/>
      <c r="T501" s="19" t="n"/>
      <c r="U501" s="14" t="n">
        <v>46193</v>
      </c>
      <c r="V501" s="7" t="inlineStr">
        <is>
          <t>v2-cv-accuracy-13b988b18da8ea7d</t>
        </is>
      </c>
    </row>
    <row r="502" ht="28" customHeight="1">
      <c r="A502" s="12">
        <f>IF($L502="applied","Applied",IF($L502="interview","Interview",IF($L502="offer","Offer",IF($L502="rejected","Rejected",IF($L502="ignore","Ignore",IF($L502="archive","Archive",IF($L502="closed","Closed",IF($B502="","Unscored",IF(AND($B502&gt;=8,OR($H502="",$H502-TODAY()&lt;=14)),"P1 Apply",IF($B502&gt;=7,"P2 Strong",IF($B502&gt;=5,"P3 Maybe","P4 Low")))))))))))</f>
        <v/>
      </c>
      <c r="B502" s="13" t="n">
        <v>1.72</v>
      </c>
      <c r="C502" s="12" t="inlineStr">
        <is>
          <t>Mid-level</t>
        </is>
      </c>
      <c r="D502" s="8" t="inlineStr">
        <is>
          <t>Software Engineer</t>
        </is>
      </c>
      <c r="E502" s="7" t="inlineStr">
        <is>
          <t>ENGELHART</t>
        </is>
      </c>
      <c r="F502" s="8" t="inlineStr">
        <is>
          <t>London, ENG, GB</t>
        </is>
      </c>
      <c r="G502" s="8" t="n"/>
      <c r="H502" s="14" t="n"/>
      <c r="I502" s="15">
        <f>IF($H502="","",$H502-TODAY())</f>
        <v/>
      </c>
      <c r="J502" s="16" t="inlineStr">
        <is>
          <t>Open posting</t>
        </is>
      </c>
      <c r="K502" s="8" t="inlineStr">
        <is>
          <t>filtered by keyword pre-scan</t>
        </is>
      </c>
      <c r="L502" s="17" t="inlineStr">
        <is>
          <t>new</t>
        </is>
      </c>
      <c r="M502" s="18" t="inlineStr"/>
      <c r="N502" s="7" t="inlineStr">
        <is>
          <t>882c6bedc92bbe7abc740109827b74042e3b1d2d</t>
        </is>
      </c>
      <c r="O502" s="14" t="n">
        <v>46191</v>
      </c>
      <c r="P502" s="7" t="inlineStr">
        <is>
          <t>jobspy</t>
        </is>
      </c>
      <c r="Q502" s="8" t="inlineStr">
        <is>
          <t>python, docker, kubernetes, c</t>
        </is>
      </c>
      <c r="R502" s="8" t="inlineStr">
        <is>
          <t>Platform Engineer Docker Kubernetes Python</t>
        </is>
      </c>
      <c r="S502" s="19" t="n"/>
      <c r="T502" s="19" t="n"/>
      <c r="U502" s="14" t="n">
        <v>46193</v>
      </c>
      <c r="V502" s="7" t="inlineStr">
        <is>
          <t>v2-cv-accuracy-13b988b18da8ea7d</t>
        </is>
      </c>
    </row>
    <row r="503" ht="28" customHeight="1">
      <c r="A503" s="12">
        <f>IF($L503="applied","Applied",IF($L503="interview","Interview",IF($L503="offer","Offer",IF($L503="rejected","Rejected",IF($L503="ignore","Ignore",IF($L503="archive","Archive",IF($L503="closed","Closed",IF($B503="","Unscored",IF(AND($B503&gt;=8,OR($H503="",$H503-TODAY()&lt;=14)),"P1 Apply",IF($B503&gt;=7,"P2 Strong",IF($B503&gt;=5,"P3 Maybe","P4 Low")))))))))))</f>
        <v/>
      </c>
      <c r="B503" s="13" t="n">
        <v>1.72</v>
      </c>
      <c r="C503" s="12" t="inlineStr">
        <is>
          <t>Unspecified</t>
        </is>
      </c>
      <c r="D503" s="8" t="inlineStr">
        <is>
          <t>Platform Engineer</t>
        </is>
      </c>
      <c r="E503" s="7" t="inlineStr">
        <is>
          <t>Valarian</t>
        </is>
      </c>
      <c r="F503" s="8" t="inlineStr">
        <is>
          <t>London, England, UK</t>
        </is>
      </c>
      <c r="G503" s="8" t="n"/>
      <c r="H503" s="14" t="n"/>
      <c r="I503" s="15">
        <f>IF($H503="","",$H503-TODAY())</f>
        <v/>
      </c>
      <c r="J503" s="16" t="inlineStr">
        <is>
          <t>Open posting</t>
        </is>
      </c>
      <c r="K503" s="8" t="inlineStr">
        <is>
          <t>filtered by keyword pre-scan</t>
        </is>
      </c>
      <c r="L503" s="17" t="inlineStr">
        <is>
          <t>new</t>
        </is>
      </c>
      <c r="M503" s="18" t="inlineStr"/>
      <c r="N503" s="7" t="inlineStr">
        <is>
          <t>fdcc8139cb388b3e53347998eee2ab70310d9a09</t>
        </is>
      </c>
      <c r="O503" s="14" t="n">
        <v>46182</v>
      </c>
      <c r="P503" s="7" t="inlineStr">
        <is>
          <t>jobspy</t>
        </is>
      </c>
      <c r="Q503" s="8" t="inlineStr">
        <is>
          <t>python, docker, kubernetes, git, c</t>
        </is>
      </c>
      <c r="R503" s="8" t="inlineStr">
        <is>
          <t>Platform Engineer Docker Kubernetes Python</t>
        </is>
      </c>
      <c r="S503" s="19" t="n"/>
      <c r="T503" s="19" t="n"/>
      <c r="U503" s="14" t="n">
        <v>46193</v>
      </c>
      <c r="V503" s="7" t="inlineStr">
        <is>
          <t>v2-cv-accuracy-13b988b18da8ea7d</t>
        </is>
      </c>
    </row>
    <row r="504" ht="28" customHeight="1">
      <c r="A504" s="12">
        <f>IF($L504="applied","Applied",IF($L504="interview","Interview",IF($L504="offer","Offer",IF($L504="rejected","Rejected",IF($L504="ignore","Ignore",IF($L504="archive","Archive",IF($L504="closed","Closed",IF($B504="","Unscored",IF(AND($B504&gt;=8,OR($H504="",$H504-TODAY()&lt;=14)),"P1 Apply",IF($B504&gt;=7,"P2 Strong",IF($B504&gt;=5,"P3 Maybe","P4 Low")))))))))))</f>
        <v/>
      </c>
      <c r="B504" s="13" t="n">
        <v>1.72</v>
      </c>
      <c r="C504" s="12" t="inlineStr">
        <is>
          <t>Graduate/Entry</t>
        </is>
      </c>
      <c r="D504" s="8" t="inlineStr">
        <is>
          <t>Graduate Programme 2027: Software Engineer (Python)</t>
        </is>
      </c>
      <c r="E504" s="7" t="inlineStr">
        <is>
          <t>Revolut</t>
        </is>
      </c>
      <c r="F504" s="8" t="inlineStr">
        <is>
          <t>London, ENG, GB</t>
        </is>
      </c>
      <c r="G504" s="8" t="n"/>
      <c r="H504" s="14" t="n"/>
      <c r="I504" s="15">
        <f>IF($H504="","",$H504-TODAY())</f>
        <v/>
      </c>
      <c r="J504" s="16" t="inlineStr">
        <is>
          <t>Open posting</t>
        </is>
      </c>
      <c r="K504" s="8" t="inlineStr">
        <is>
          <t>filtered by keyword pre-scan</t>
        </is>
      </c>
      <c r="L504" s="17" t="inlineStr">
        <is>
          <t>new</t>
        </is>
      </c>
      <c r="M504" s="18" t="inlineStr"/>
      <c r="N504" s="7" t="inlineStr">
        <is>
          <t>57ac944d7a8294fa348bf8ca87ccee405f777844</t>
        </is>
      </c>
      <c r="O504" s="14" t="n">
        <v>46169</v>
      </c>
      <c r="P504" s="7" t="inlineStr">
        <is>
          <t>jobspy</t>
        </is>
      </c>
      <c r="Q504" s="8" t="inlineStr">
        <is>
          <t>python, sql, docker, kubernetes, c</t>
        </is>
      </c>
      <c r="R504" s="8" t="inlineStr">
        <is>
          <t>Graduate Software Engineer Python Docker Kubernetes</t>
        </is>
      </c>
      <c r="S504" s="19" t="n"/>
      <c r="T504" s="19" t="n"/>
      <c r="U504" s="14" t="n">
        <v>46192</v>
      </c>
      <c r="V504" s="7" t="inlineStr">
        <is>
          <t>v2-cv-accuracy-13b988b18da8ea7d</t>
        </is>
      </c>
    </row>
    <row r="505" ht="28" customHeight="1">
      <c r="A505" s="12">
        <f>IF($L505="applied","Applied",IF($L505="interview","Interview",IF($L505="offer","Offer",IF($L505="rejected","Rejected",IF($L505="ignore","Ignore",IF($L505="archive","Archive",IF($L505="closed","Closed",IF($B505="","Unscored",IF(AND($B505&gt;=8,OR($H505="",$H505-TODAY()&lt;=14)),"P1 Apply",IF($B505&gt;=7,"P2 Strong",IF($B505&gt;=5,"P3 Maybe","P4 Low")))))))))))</f>
        <v/>
      </c>
      <c r="B505" s="13" t="n">
        <v>1.72</v>
      </c>
      <c r="C505" s="12" t="inlineStr">
        <is>
          <t>Internship</t>
        </is>
      </c>
      <c r="D505" s="8" t="inlineStr">
        <is>
          <t>Internship Programme 2027: Software Engineer (Python)</t>
        </is>
      </c>
      <c r="E505" s="7" t="inlineStr">
        <is>
          <t>Revolut</t>
        </is>
      </c>
      <c r="F505" s="8" t="inlineStr">
        <is>
          <t>London, ENG, GB</t>
        </is>
      </c>
      <c r="G505" s="8" t="n"/>
      <c r="H505" s="14" t="n"/>
      <c r="I505" s="15">
        <f>IF($H505="","",$H505-TODAY())</f>
        <v/>
      </c>
      <c r="J505" s="16" t="inlineStr">
        <is>
          <t>Open posting</t>
        </is>
      </c>
      <c r="K505" s="8" t="inlineStr">
        <is>
          <t>filtered by keyword pre-scan</t>
        </is>
      </c>
      <c r="L505" s="17" t="inlineStr">
        <is>
          <t>new</t>
        </is>
      </c>
      <c r="M505" s="18" t="inlineStr"/>
      <c r="N505" s="7" t="inlineStr">
        <is>
          <t>92deec69bbde83413dbb46cbd97d606c9222b744</t>
        </is>
      </c>
      <c r="O505" s="14" t="n">
        <v>46169</v>
      </c>
      <c r="P505" s="7" t="inlineStr">
        <is>
          <t>jobspy</t>
        </is>
      </c>
      <c r="Q505" s="8" t="inlineStr">
        <is>
          <t>python, sql, docker, kubernetes, c</t>
        </is>
      </c>
      <c r="R505" s="8" t="inlineStr">
        <is>
          <t>Graduate Software Engineer Python Docker Kubernetes</t>
        </is>
      </c>
      <c r="S505" s="19" t="n"/>
      <c r="T505" s="19" t="n"/>
      <c r="U505" s="14" t="n">
        <v>46192</v>
      </c>
      <c r="V505" s="7" t="inlineStr">
        <is>
          <t>v2-cv-accuracy-13b988b18da8ea7d</t>
        </is>
      </c>
    </row>
    <row r="506" ht="28" customHeight="1">
      <c r="A506" s="12">
        <f>IF($L506="applied","Applied",IF($L506="interview","Interview",IF($L506="offer","Offer",IF($L506="rejected","Rejected",IF($L506="ignore","Ignore",IF($L506="archive","Archive",IF($L506="closed","Closed",IF($B506="","Unscored",IF(AND($B506&gt;=8,OR($H506="",$H506-TODAY()&lt;=14)),"P1 Apply",IF($B506&gt;=7,"P2 Strong",IF($B506&gt;=5,"P3 Maybe","P4 Low")))))))))))</f>
        <v/>
      </c>
      <c r="B506" s="13" t="n">
        <v>1.72</v>
      </c>
      <c r="C506" s="12" t="inlineStr">
        <is>
          <t>Graduate/Entry</t>
        </is>
      </c>
      <c r="D506" s="8" t="inlineStr">
        <is>
          <t>Graduate AI software engineer</t>
        </is>
      </c>
      <c r="E506" s="7" t="inlineStr">
        <is>
          <t>Bending Spoons</t>
        </is>
      </c>
      <c r="F506" s="8" t="inlineStr"/>
      <c r="G506" s="8" t="n"/>
      <c r="H506" s="14" t="n"/>
      <c r="I506" s="15">
        <f>IF($H506="","",$H506-TODAY())</f>
        <v/>
      </c>
      <c r="J506" s="16" t="inlineStr">
        <is>
          <t>Open posting</t>
        </is>
      </c>
      <c r="K506" s="8" t="inlineStr">
        <is>
          <t>filtered by keyword pre-scan</t>
        </is>
      </c>
      <c r="L506" s="17" t="inlineStr">
        <is>
          <t>new</t>
        </is>
      </c>
      <c r="M506" s="18" t="inlineStr"/>
      <c r="N506" s="7" t="inlineStr">
        <is>
          <t>139b40fc8bd1bf40369606c2ebee97402797132a</t>
        </is>
      </c>
      <c r="O506" s="14" t="n">
        <v>46190</v>
      </c>
      <c r="P506" s="7" t="inlineStr">
        <is>
          <t>jobspy</t>
        </is>
      </c>
      <c r="Q506" s="8" t="inlineStr">
        <is>
          <t>python, docker, kubernetes, git, c</t>
        </is>
      </c>
      <c r="R506" s="8" t="inlineStr">
        <is>
          <t>Graduate Software Engineer Python Docker Kubernetes</t>
        </is>
      </c>
      <c r="S506" s="19" t="n"/>
      <c r="T506" s="19" t="n"/>
      <c r="U506" s="14" t="n">
        <v>46192</v>
      </c>
      <c r="V506" s="7" t="inlineStr">
        <is>
          <t>v2-cv-accuracy-13b988b18da8ea7d</t>
        </is>
      </c>
    </row>
    <row r="507" ht="28" customHeight="1">
      <c r="A507" s="12">
        <f>IF($L507="applied","Applied",IF($L507="interview","Interview",IF($L507="offer","Offer",IF($L507="rejected","Rejected",IF($L507="ignore","Ignore",IF($L507="archive","Archive",IF($L507="closed","Closed",IF($B507="","Unscored",IF(AND($B507&gt;=8,OR($H507="",$H507-TODAY()&lt;=14)),"P1 Apply",IF($B507&gt;=7,"P2 Strong",IF($B507&gt;=5,"P3 Maybe","P4 Low")))))))))))</f>
        <v/>
      </c>
      <c r="B507" s="13" t="n">
        <v>1.72</v>
      </c>
      <c r="C507" s="12" t="inlineStr">
        <is>
          <t>Graduate/Entry</t>
        </is>
      </c>
      <c r="D507" s="8" t="inlineStr">
        <is>
          <t>Graduate AI software engineer</t>
        </is>
      </c>
      <c r="E507" s="7" t="inlineStr">
        <is>
          <t>Bending Spoons</t>
        </is>
      </c>
      <c r="F507" s="8" t="inlineStr">
        <is>
          <t>Warwick, England, UK</t>
        </is>
      </c>
      <c r="G507" s="8" t="n"/>
      <c r="H507" s="14" t="n"/>
      <c r="I507" s="15">
        <f>IF($H507="","",$H507-TODAY())</f>
        <v/>
      </c>
      <c r="J507" s="16" t="inlineStr">
        <is>
          <t>Open posting</t>
        </is>
      </c>
      <c r="K507" s="8" t="inlineStr">
        <is>
          <t>filtered by keyword pre-scan</t>
        </is>
      </c>
      <c r="L507" s="17" t="inlineStr">
        <is>
          <t>new</t>
        </is>
      </c>
      <c r="M507" s="18" t="inlineStr"/>
      <c r="N507" s="7" t="inlineStr">
        <is>
          <t>426dde5f83649c871dec3bc6c96f283168603a30</t>
        </is>
      </c>
      <c r="O507" s="14" t="n">
        <v>46190</v>
      </c>
      <c r="P507" s="7" t="inlineStr">
        <is>
          <t>jobspy</t>
        </is>
      </c>
      <c r="Q507" s="8" t="inlineStr">
        <is>
          <t>python, docker, kubernetes, git, c</t>
        </is>
      </c>
      <c r="R507" s="8" t="inlineStr">
        <is>
          <t>Graduate Software Engineer Python Docker Kubernetes</t>
        </is>
      </c>
      <c r="S507" s="19" t="n"/>
      <c r="T507" s="19" t="n"/>
      <c r="U507" s="14" t="n">
        <v>46192</v>
      </c>
      <c r="V507" s="7" t="inlineStr">
        <is>
          <t>v2-cv-accuracy-13b988b18da8ea7d</t>
        </is>
      </c>
    </row>
    <row r="508" ht="28" customHeight="1">
      <c r="A508" s="12">
        <f>IF($L508="applied","Applied",IF($L508="interview","Interview",IF($L508="offer","Offer",IF($L508="rejected","Rejected",IF($L508="ignore","Ignore",IF($L508="archive","Archive",IF($L508="closed","Closed",IF($B508="","Unscored",IF(AND($B508&gt;=8,OR($H508="",$H508-TODAY()&lt;=14)),"P1 Apply",IF($B508&gt;=7,"P2 Strong",IF($B508&gt;=5,"P3 Maybe","P4 Low")))))))))))</f>
        <v/>
      </c>
      <c r="B508" s="13" t="n">
        <v>1.72</v>
      </c>
      <c r="C508" s="12" t="inlineStr">
        <is>
          <t>Graduate/Entry</t>
        </is>
      </c>
      <c r="D508" s="8" t="inlineStr">
        <is>
          <t>Graduate AI software engineer</t>
        </is>
      </c>
      <c r="E508" s="7" t="inlineStr">
        <is>
          <t>Bending Spoons</t>
        </is>
      </c>
      <c r="F508" s="8" t="inlineStr">
        <is>
          <t>Durham, England, UK</t>
        </is>
      </c>
      <c r="G508" s="8" t="n"/>
      <c r="H508" s="14" t="n"/>
      <c r="I508" s="15">
        <f>IF($H508="","",$H508-TODAY())</f>
        <v/>
      </c>
      <c r="J508" s="16" t="inlineStr">
        <is>
          <t>Open posting</t>
        </is>
      </c>
      <c r="K508" s="8" t="inlineStr">
        <is>
          <t>filtered by keyword pre-scan</t>
        </is>
      </c>
      <c r="L508" s="17" t="inlineStr">
        <is>
          <t>new</t>
        </is>
      </c>
      <c r="M508" s="18" t="inlineStr"/>
      <c r="N508" s="7" t="inlineStr">
        <is>
          <t>3f737b4d73077136b7b9ed6573e2a5fb465e2640</t>
        </is>
      </c>
      <c r="O508" s="14" t="n">
        <v>46190</v>
      </c>
      <c r="P508" s="7" t="inlineStr">
        <is>
          <t>jobspy</t>
        </is>
      </c>
      <c r="Q508" s="8" t="inlineStr">
        <is>
          <t>python, docker, kubernetes, git, c</t>
        </is>
      </c>
      <c r="R508" s="8" t="inlineStr">
        <is>
          <t>Graduate Software Engineer Python Docker Kubernetes</t>
        </is>
      </c>
      <c r="S508" s="19" t="n"/>
      <c r="T508" s="19" t="n"/>
      <c r="U508" s="14" t="n">
        <v>46192</v>
      </c>
      <c r="V508" s="7" t="inlineStr">
        <is>
          <t>v2-cv-accuracy-13b988b18da8ea7d</t>
        </is>
      </c>
    </row>
    <row r="509" ht="28" customHeight="1">
      <c r="A509" s="12">
        <f>IF($L509="applied","Applied",IF($L509="interview","Interview",IF($L509="offer","Offer",IF($L509="rejected","Rejected",IF($L509="ignore","Ignore",IF($L509="archive","Archive",IF($L509="closed","Closed",IF($B509="","Unscored",IF(AND($B509&gt;=8,OR($H509="",$H509-TODAY()&lt;=14)),"P1 Apply",IF($B509&gt;=7,"P2 Strong",IF($B509&gt;=5,"P3 Maybe","P4 Low")))))))))))</f>
        <v/>
      </c>
      <c r="B509" s="13" t="n">
        <v>1.72</v>
      </c>
      <c r="C509" s="12" t="inlineStr">
        <is>
          <t>Graduate/Entry</t>
        </is>
      </c>
      <c r="D509" s="8" t="inlineStr">
        <is>
          <t>Graduate AI software engineer</t>
        </is>
      </c>
      <c r="E509" s="7" t="inlineStr">
        <is>
          <t>Bending Spoons</t>
        </is>
      </c>
      <c r="F509" s="8" t="inlineStr">
        <is>
          <t>Edinburgh, Scotland, UK</t>
        </is>
      </c>
      <c r="G509" s="8" t="n"/>
      <c r="H509" s="14" t="n"/>
      <c r="I509" s="15">
        <f>IF($H509="","",$H509-TODAY())</f>
        <v/>
      </c>
      <c r="J509" s="16" t="inlineStr">
        <is>
          <t>Open posting</t>
        </is>
      </c>
      <c r="K509" s="8" t="inlineStr">
        <is>
          <t>filtered by keyword pre-scan</t>
        </is>
      </c>
      <c r="L509" s="17" t="inlineStr">
        <is>
          <t>new</t>
        </is>
      </c>
      <c r="M509" s="18" t="inlineStr"/>
      <c r="N509" s="7" t="inlineStr">
        <is>
          <t>643a7e1036b0bde3a776262efd89222a4d53eaca</t>
        </is>
      </c>
      <c r="O509" s="14" t="n">
        <v>46190</v>
      </c>
      <c r="P509" s="7" t="inlineStr">
        <is>
          <t>jobspy</t>
        </is>
      </c>
      <c r="Q509" s="8" t="inlineStr">
        <is>
          <t>python, docker, kubernetes, git, c</t>
        </is>
      </c>
      <c r="R509" s="8" t="inlineStr">
        <is>
          <t>Graduate Software Engineer Python Docker Kubernetes</t>
        </is>
      </c>
      <c r="S509" s="19" t="n"/>
      <c r="T509" s="19" t="n"/>
      <c r="U509" s="14" t="n">
        <v>46192</v>
      </c>
      <c r="V509" s="7" t="inlineStr">
        <is>
          <t>v2-cv-accuracy-13b988b18da8ea7d</t>
        </is>
      </c>
    </row>
    <row r="510" ht="28" customHeight="1">
      <c r="A510" s="12">
        <f>IF($L510="applied","Applied",IF($L510="interview","Interview",IF($L510="offer","Offer",IF($L510="rejected","Rejected",IF($L510="ignore","Ignore",IF($L510="archive","Archive",IF($L510="closed","Closed",IF($B510="","Unscored",IF(AND($B510&gt;=8,OR($H510="",$H510-TODAY()&lt;=14)),"P1 Apply",IF($B510&gt;=7,"P2 Strong",IF($B510&gt;=5,"P3 Maybe","P4 Low")))))))))))</f>
        <v/>
      </c>
      <c r="B510" s="13" t="n">
        <v>1.72</v>
      </c>
      <c r="C510" s="12" t="inlineStr">
        <is>
          <t>Graduate/Entry</t>
        </is>
      </c>
      <c r="D510" s="8" t="inlineStr">
        <is>
          <t>Graduate AI software engineer</t>
        </is>
      </c>
      <c r="E510" s="7" t="inlineStr">
        <is>
          <t>Bending Spoons</t>
        </is>
      </c>
      <c r="F510" s="8" t="inlineStr">
        <is>
          <t>London, England, UK</t>
        </is>
      </c>
      <c r="G510" s="8" t="n"/>
      <c r="H510" s="14" t="n"/>
      <c r="I510" s="15">
        <f>IF($H510="","",$H510-TODAY())</f>
        <v/>
      </c>
      <c r="J510" s="16" t="inlineStr">
        <is>
          <t>Open posting</t>
        </is>
      </c>
      <c r="K510" s="8" t="inlineStr">
        <is>
          <t>filtered by keyword pre-scan</t>
        </is>
      </c>
      <c r="L510" s="17" t="inlineStr">
        <is>
          <t>new</t>
        </is>
      </c>
      <c r="M510" s="18" t="inlineStr"/>
      <c r="N510" s="7" t="inlineStr">
        <is>
          <t>ec717edcdc467664d96fdb2527579651352ca61e</t>
        </is>
      </c>
      <c r="O510" s="14" t="n">
        <v>46187</v>
      </c>
      <c r="P510" s="7" t="inlineStr">
        <is>
          <t>jobspy</t>
        </is>
      </c>
      <c r="Q510" s="8" t="inlineStr">
        <is>
          <t>python, docker, kubernetes, git, c</t>
        </is>
      </c>
      <c r="R510" s="8" t="inlineStr">
        <is>
          <t>Graduate Software Engineer Python Docker Kubernetes</t>
        </is>
      </c>
      <c r="S510" s="19" t="n"/>
      <c r="T510" s="19" t="n"/>
      <c r="U510" s="14" t="n">
        <v>46192</v>
      </c>
      <c r="V510" s="7" t="inlineStr">
        <is>
          <t>v2-cv-accuracy-13b988b18da8ea7d</t>
        </is>
      </c>
    </row>
    <row r="511" ht="28" customHeight="1">
      <c r="A511" s="12">
        <f>IF($L511="applied","Applied",IF($L511="interview","Interview",IF($L511="offer","Offer",IF($L511="rejected","Rejected",IF($L511="ignore","Ignore",IF($L511="archive","Archive",IF($L511="closed","Closed",IF($B511="","Unscored",IF(AND($B511&gt;=8,OR($H511="",$H511-TODAY()&lt;=14)),"P1 Apply",IF($B511&gt;=7,"P2 Strong",IF($B511&gt;=5,"P3 Maybe","P4 Low")))))))))))</f>
        <v/>
      </c>
      <c r="B511" s="13" t="n">
        <v>1.72</v>
      </c>
      <c r="C511" s="12" t="inlineStr">
        <is>
          <t>Graduate/Entry</t>
        </is>
      </c>
      <c r="D511" s="8" t="inlineStr">
        <is>
          <t>Graduate AI software engineer</t>
        </is>
      </c>
      <c r="E511" s="7" t="inlineStr">
        <is>
          <t>Bending Spoons</t>
        </is>
      </c>
      <c r="F511" s="8" t="inlineStr"/>
      <c r="G511" s="8" t="n"/>
      <c r="H511" s="14" t="n"/>
      <c r="I511" s="15">
        <f>IF($H511="","",$H511-TODAY())</f>
        <v/>
      </c>
      <c r="J511" s="16" t="inlineStr">
        <is>
          <t>Open posting</t>
        </is>
      </c>
      <c r="K511" s="8" t="inlineStr">
        <is>
          <t>filtered by keyword pre-scan</t>
        </is>
      </c>
      <c r="L511" s="17" t="inlineStr">
        <is>
          <t>new</t>
        </is>
      </c>
      <c r="M511" s="18" t="inlineStr"/>
      <c r="N511" s="7" t="inlineStr">
        <is>
          <t>61ef4f119c159f7de5efcb9975e802760b643dc8</t>
        </is>
      </c>
      <c r="O511" s="14" t="n">
        <v>46187</v>
      </c>
      <c r="P511" s="7" t="inlineStr">
        <is>
          <t>jobspy</t>
        </is>
      </c>
      <c r="Q511" s="8" t="inlineStr">
        <is>
          <t>python, docker, kubernetes, git, c</t>
        </is>
      </c>
      <c r="R511" s="8" t="inlineStr">
        <is>
          <t>Graduate Software Engineer Python Docker Kubernetes</t>
        </is>
      </c>
      <c r="S511" s="19" t="n"/>
      <c r="T511" s="19" t="n"/>
      <c r="U511" s="14" t="n">
        <v>46192</v>
      </c>
      <c r="V511" s="7" t="inlineStr">
        <is>
          <t>v2-cv-accuracy-13b988b18da8ea7d</t>
        </is>
      </c>
    </row>
    <row r="512" ht="28" customHeight="1">
      <c r="A512" s="12">
        <f>IF($L512="applied","Applied",IF($L512="interview","Interview",IF($L512="offer","Offer",IF($L512="rejected","Rejected",IF($L512="ignore","Ignore",IF($L512="archive","Archive",IF($L512="closed","Closed",IF($B512="","Unscored",IF(AND($B512&gt;=8,OR($H512="",$H512-TODAY()&lt;=14)),"P1 Apply",IF($B512&gt;=7,"P2 Strong",IF($B512&gt;=5,"P3 Maybe","P4 Low")))))))))))</f>
        <v/>
      </c>
      <c r="B512" s="13" t="n">
        <v>1.72</v>
      </c>
      <c r="C512" s="12" t="inlineStr">
        <is>
          <t>Graduate/Entry</t>
        </is>
      </c>
      <c r="D512" s="8" t="inlineStr">
        <is>
          <t>Graduate AI software engineer</t>
        </is>
      </c>
      <c r="E512" s="7" t="inlineStr">
        <is>
          <t>Bending Spoons</t>
        </is>
      </c>
      <c r="F512" s="8" t="inlineStr">
        <is>
          <t>Oxford, England, UK</t>
        </is>
      </c>
      <c r="G512" s="8" t="n"/>
      <c r="H512" s="14" t="n"/>
      <c r="I512" s="15">
        <f>IF($H512="","",$H512-TODAY())</f>
        <v/>
      </c>
      <c r="J512" s="16" t="inlineStr">
        <is>
          <t>Open posting</t>
        </is>
      </c>
      <c r="K512" s="8" t="inlineStr">
        <is>
          <t>filtered by keyword pre-scan</t>
        </is>
      </c>
      <c r="L512" s="17" t="inlineStr">
        <is>
          <t>new</t>
        </is>
      </c>
      <c r="M512" s="18" t="inlineStr"/>
      <c r="N512" s="7" t="inlineStr">
        <is>
          <t>865bb8adc445e4994c563b2688fa72994d70a17a</t>
        </is>
      </c>
      <c r="O512" s="14" t="n">
        <v>46187</v>
      </c>
      <c r="P512" s="7" t="inlineStr">
        <is>
          <t>jobspy</t>
        </is>
      </c>
      <c r="Q512" s="8" t="inlineStr">
        <is>
          <t>python, docker, kubernetes, git, c</t>
        </is>
      </c>
      <c r="R512" s="8" t="inlineStr">
        <is>
          <t>Graduate Software Engineer Python Docker Kubernetes</t>
        </is>
      </c>
      <c r="S512" s="19" t="n"/>
      <c r="T512" s="19" t="n"/>
      <c r="U512" s="14" t="n">
        <v>46192</v>
      </c>
      <c r="V512" s="7" t="inlineStr">
        <is>
          <t>v2-cv-accuracy-13b988b18da8ea7d</t>
        </is>
      </c>
    </row>
    <row r="513" ht="28" customHeight="1">
      <c r="A513" s="12">
        <f>IF($L513="applied","Applied",IF($L513="interview","Interview",IF($L513="offer","Offer",IF($L513="rejected","Rejected",IF($L513="ignore","Ignore",IF($L513="archive","Archive",IF($L513="closed","Closed",IF($B513="","Unscored",IF(AND($B513&gt;=8,OR($H513="",$H513-TODAY()&lt;=14)),"P1 Apply",IF($B513&gt;=7,"P2 Strong",IF($B513&gt;=5,"P3 Maybe","P4 Low")))))))))))</f>
        <v/>
      </c>
      <c r="B513" s="13" t="n">
        <v>1.72</v>
      </c>
      <c r="C513" s="12" t="inlineStr">
        <is>
          <t>Graduate/Entry</t>
        </is>
      </c>
      <c r="D513" s="8" t="inlineStr">
        <is>
          <t>Graduate AI software engineer</t>
        </is>
      </c>
      <c r="E513" s="7" t="inlineStr">
        <is>
          <t>Bending Spoons</t>
        </is>
      </c>
      <c r="F513" s="8" t="inlineStr">
        <is>
          <t>Cambridge, England, UK</t>
        </is>
      </c>
      <c r="G513" s="8" t="n"/>
      <c r="H513" s="14" t="n"/>
      <c r="I513" s="15">
        <f>IF($H513="","",$H513-TODAY())</f>
        <v/>
      </c>
      <c r="J513" s="16" t="inlineStr">
        <is>
          <t>Open posting</t>
        </is>
      </c>
      <c r="K513" s="8" t="inlineStr">
        <is>
          <t>filtered by keyword pre-scan</t>
        </is>
      </c>
      <c r="L513" s="17" t="inlineStr">
        <is>
          <t>new</t>
        </is>
      </c>
      <c r="M513" s="18" t="inlineStr"/>
      <c r="N513" s="7" t="inlineStr">
        <is>
          <t>42e7da3eb54466e9f46eb2a9365978ba16f54d0a</t>
        </is>
      </c>
      <c r="O513" s="14" t="n">
        <v>46187</v>
      </c>
      <c r="P513" s="7" t="inlineStr">
        <is>
          <t>jobspy</t>
        </is>
      </c>
      <c r="Q513" s="8" t="inlineStr">
        <is>
          <t>python, docker, kubernetes, git, c</t>
        </is>
      </c>
      <c r="R513" s="8" t="inlineStr">
        <is>
          <t>Graduate Software Engineer Python Docker Kubernetes</t>
        </is>
      </c>
      <c r="S513" s="19" t="n"/>
      <c r="T513" s="19" t="n"/>
      <c r="U513" s="14" t="n">
        <v>46192</v>
      </c>
      <c r="V513" s="7" t="inlineStr">
        <is>
          <t>v2-cv-accuracy-13b988b18da8ea7d</t>
        </is>
      </c>
    </row>
    <row r="514" ht="28" customHeight="1">
      <c r="A514" s="12">
        <f>IF($L514="applied","Applied",IF($L514="interview","Interview",IF($L514="offer","Offer",IF($L514="rejected","Rejected",IF($L514="ignore","Ignore",IF($L514="archive","Archive",IF($L514="closed","Closed",IF($B514="","Unscored",IF(AND($B514&gt;=8,OR($H514="",$H514-TODAY()&lt;=14)),"P1 Apply",IF($B514&gt;=7,"P2 Strong",IF($B514&gt;=5,"P3 Maybe","P4 Low")))))))))))</f>
        <v/>
      </c>
      <c r="B514" s="13" t="n">
        <v>1.72</v>
      </c>
      <c r="C514" s="12" t="inlineStr">
        <is>
          <t>Mid-level</t>
        </is>
      </c>
      <c r="D514" s="8" t="inlineStr">
        <is>
          <t>Software Engineer</t>
        </is>
      </c>
      <c r="E514" s="7" t="inlineStr">
        <is>
          <t>Engelhart</t>
        </is>
      </c>
      <c r="F514" s="8" t="inlineStr">
        <is>
          <t>London, England, UK</t>
        </is>
      </c>
      <c r="G514" s="8" t="n"/>
      <c r="H514" s="14" t="n"/>
      <c r="I514" s="15">
        <f>IF($H514="","",$H514-TODAY())</f>
        <v/>
      </c>
      <c r="J514" s="16" t="inlineStr">
        <is>
          <t>Open posting</t>
        </is>
      </c>
      <c r="K514" s="8" t="inlineStr">
        <is>
          <t>filtered by keyword pre-scan</t>
        </is>
      </c>
      <c r="L514" s="17" t="inlineStr">
        <is>
          <t>new</t>
        </is>
      </c>
      <c r="M514" s="18" t="inlineStr"/>
      <c r="N514" s="7" t="inlineStr">
        <is>
          <t>4f53409b8642b2dda9db3942552972c19a80c0f9</t>
        </is>
      </c>
      <c r="O514" s="14" t="n"/>
      <c r="P514" s="7" t="inlineStr">
        <is>
          <t>jobspy</t>
        </is>
      </c>
      <c r="Q514" s="8" t="inlineStr">
        <is>
          <t>python, docker, kubernetes, c</t>
        </is>
      </c>
      <c r="R514" s="8" t="inlineStr">
        <is>
          <t>Graduate Software Engineer Python Docker Kubernetes</t>
        </is>
      </c>
      <c r="S514" s="19" t="n"/>
      <c r="T514" s="19" t="n"/>
      <c r="U514" s="14" t="n">
        <v>46192</v>
      </c>
      <c r="V514" s="7" t="inlineStr">
        <is>
          <t>v2-cv-accuracy-13b988b18da8ea7d</t>
        </is>
      </c>
    </row>
    <row r="515" ht="28" customHeight="1">
      <c r="A515" s="12">
        <f>IF($L515="applied","Applied",IF($L515="interview","Interview",IF($L515="offer","Offer",IF($L515="rejected","Rejected",IF($L515="ignore","Ignore",IF($L515="archive","Archive",IF($L515="closed","Closed",IF($B515="","Unscored",IF(AND($B515&gt;=8,OR($H515="",$H515-TODAY()&lt;=14)),"P1 Apply",IF($B515&gt;=7,"P2 Strong",IF($B515&gt;=5,"P3 Maybe","P4 Low")))))))))))</f>
        <v/>
      </c>
      <c r="B515" s="13" t="n">
        <v>1.72</v>
      </c>
      <c r="C515" s="12" t="inlineStr">
        <is>
          <t>Senior/Lead</t>
        </is>
      </c>
      <c r="D515" s="8" t="inlineStr">
        <is>
          <t>Digital Engineers - All Levels</t>
        </is>
      </c>
      <c r="E515" s="7" t="inlineStr">
        <is>
          <t>Leonardo</t>
        </is>
      </c>
      <c r="F515" s="8" t="inlineStr">
        <is>
          <t>Newcastle Upon Tyne, England, UK</t>
        </is>
      </c>
      <c r="G515" s="8" t="n"/>
      <c r="H515" s="14" t="n"/>
      <c r="I515" s="15">
        <f>IF($H515="","",$H515-TODAY())</f>
        <v/>
      </c>
      <c r="J515" s="16" t="inlineStr">
        <is>
          <t>Open posting</t>
        </is>
      </c>
      <c r="K515" s="8" t="inlineStr">
        <is>
          <t>filtered by keyword pre-scan</t>
        </is>
      </c>
      <c r="L515" s="17" t="inlineStr">
        <is>
          <t>new</t>
        </is>
      </c>
      <c r="M515" s="18" t="inlineStr"/>
      <c r="N515" s="7" t="inlineStr">
        <is>
          <t>2a357b20a43cecdc950ead2bbcabac1058780dea</t>
        </is>
      </c>
      <c r="O515" s="14" t="n">
        <v>46178</v>
      </c>
      <c r="P515" s="7" t="inlineStr">
        <is>
          <t>jobspy</t>
        </is>
      </c>
      <c r="Q515" s="8" t="inlineStr">
        <is>
          <t>fpga, git, c, hardware design, dsp</t>
        </is>
      </c>
      <c r="R515" s="8" t="inlineStr">
        <is>
          <t>Junior Hardware Engineer embedded digital design UK</t>
        </is>
      </c>
      <c r="S515" s="19" t="n"/>
      <c r="T515" s="19" t="n"/>
      <c r="U515" s="14" t="n">
        <v>46192</v>
      </c>
      <c r="V515" s="7" t="inlineStr">
        <is>
          <t>v2-cv-accuracy-13b988b18da8ea7d</t>
        </is>
      </c>
    </row>
    <row r="516" ht="28" customHeight="1">
      <c r="A516" s="12">
        <f>IF($L516="applied","Applied",IF($L516="interview","Interview",IF($L516="offer","Offer",IF($L516="rejected","Rejected",IF($L516="ignore","Ignore",IF($L516="archive","Archive",IF($L516="closed","Closed",IF($B516="","Unscored",IF(AND($B516&gt;=8,OR($H516="",$H516-TODAY()&lt;=14)),"P1 Apply",IF($B516&gt;=7,"P2 Strong",IF($B516&gt;=5,"P3 Maybe","P4 Low")))))))))))</f>
        <v/>
      </c>
      <c r="B516" s="13" t="n">
        <v>1.72</v>
      </c>
      <c r="C516" s="12" t="inlineStr">
        <is>
          <t>Graduate/Entry</t>
        </is>
      </c>
      <c r="D516" s="8" t="inlineStr">
        <is>
          <t>Graduate Digital Engineer</t>
        </is>
      </c>
      <c r="E516" s="7" t="inlineStr">
        <is>
          <t>Renesas Electronics</t>
        </is>
      </c>
      <c r="F516" s="8" t="inlineStr">
        <is>
          <t>Swindon, England, UK</t>
        </is>
      </c>
      <c r="G516" s="8" t="n"/>
      <c r="H516" s="14" t="n"/>
      <c r="I516" s="15">
        <f>IF($H516="","",$H516-TODAY())</f>
        <v/>
      </c>
      <c r="J516" s="16" t="inlineStr">
        <is>
          <t>Open posting</t>
        </is>
      </c>
      <c r="K516" s="8" t="inlineStr">
        <is>
          <t>filtered by keyword pre-scan</t>
        </is>
      </c>
      <c r="L516" s="17" t="inlineStr">
        <is>
          <t>new</t>
        </is>
      </c>
      <c r="M516" s="18" t="inlineStr"/>
      <c r="N516" s="7" t="inlineStr">
        <is>
          <t>e6355e57d02542ef48dece038cce30e4a255beaa</t>
        </is>
      </c>
      <c r="O516" s="14" t="n">
        <v>46170</v>
      </c>
      <c r="P516" s="7" t="inlineStr">
        <is>
          <t>jobspy</t>
        </is>
      </c>
      <c r="Q516" s="8" t="inlineStr">
        <is>
          <t>verilog, git, c, digital design</t>
        </is>
      </c>
      <c r="R516" s="8" t="inlineStr">
        <is>
          <t>Junior Hardware Engineer embedded digital design UK</t>
        </is>
      </c>
      <c r="S516" s="19" t="n"/>
      <c r="T516" s="19" t="n"/>
      <c r="U516" s="14" t="n">
        <v>46192</v>
      </c>
      <c r="V516" s="7" t="inlineStr">
        <is>
          <t>v2-cv-accuracy-13b988b18da8ea7d</t>
        </is>
      </c>
    </row>
    <row r="517" ht="28" customHeight="1">
      <c r="A517" s="12">
        <f>IF($L517="applied","Applied",IF($L517="interview","Interview",IF($L517="offer","Offer",IF($L517="rejected","Rejected",IF($L517="ignore","Ignore",IF($L517="archive","Archive",IF($L517="closed","Closed",IF($B517="","Unscored",IF(AND($B517&gt;=8,OR($H517="",$H517-TODAY()&lt;=14)),"P1 Apply",IF($B517&gt;=7,"P2 Strong",IF($B517&gt;=5,"P3 Maybe","P4 Low")))))))))))</f>
        <v/>
      </c>
      <c r="B517" s="13" t="n">
        <v>1.72</v>
      </c>
      <c r="C517" s="12" t="inlineStr">
        <is>
          <t>Junior</t>
        </is>
      </c>
      <c r="D517" s="8" t="inlineStr">
        <is>
          <t>Junior Data Software Engineer</t>
        </is>
      </c>
      <c r="E517" s="7" t="inlineStr">
        <is>
          <t>TalentHawk</t>
        </is>
      </c>
      <c r="F517" s="8" t="inlineStr"/>
      <c r="G517" s="8" t="n"/>
      <c r="H517" s="14" t="n"/>
      <c r="I517" s="15">
        <f>IF($H517="","",$H517-TODAY())</f>
        <v/>
      </c>
      <c r="J517" s="16" t="inlineStr">
        <is>
          <t>Open posting</t>
        </is>
      </c>
      <c r="K517" s="8" t="inlineStr">
        <is>
          <t>filtered by keyword pre-scan</t>
        </is>
      </c>
      <c r="L517" s="17" t="inlineStr">
        <is>
          <t>new</t>
        </is>
      </c>
      <c r="M517" s="18" t="inlineStr"/>
      <c r="N517" s="7" t="inlineStr">
        <is>
          <t>55f81664263fac93a33531d0b77a0267867c84f7</t>
        </is>
      </c>
      <c r="O517" s="14" t="n"/>
      <c r="P517" s="7" t="inlineStr">
        <is>
          <t>jobspy</t>
        </is>
      </c>
      <c r="Q517" s="8" t="inlineStr">
        <is>
          <t>python, sql, docker, c</t>
        </is>
      </c>
      <c r="R517" s="8" t="inlineStr">
        <is>
          <t>Junior Python Developer Docker Kubernetes Sheffield</t>
        </is>
      </c>
      <c r="S517" s="19" t="n"/>
      <c r="T517" s="19" t="n"/>
      <c r="U517" s="14" t="n">
        <v>46192</v>
      </c>
      <c r="V517" s="7" t="inlineStr">
        <is>
          <t>v2-cv-accuracy-13b988b18da8ea7d</t>
        </is>
      </c>
    </row>
    <row r="518" ht="28" customHeight="1">
      <c r="A518" s="12">
        <f>IF($L518="applied","Applied",IF($L518="interview","Interview",IF($L518="offer","Offer",IF($L518="rejected","Rejected",IF($L518="ignore","Ignore",IF($L518="archive","Archive",IF($L518="closed","Closed",IF($B518="","Unscored",IF(AND($B518&gt;=8,OR($H518="",$H518-TODAY()&lt;=14)),"P1 Apply",IF($B518&gt;=7,"P2 Strong",IF($B518&gt;=5,"P3 Maybe","P4 Low")))))))))))</f>
        <v/>
      </c>
      <c r="B518" s="13" t="n">
        <v>1.72</v>
      </c>
      <c r="C518" s="12" t="inlineStr">
        <is>
          <t>Graduate/Entry</t>
        </is>
      </c>
      <c r="D518" s="8" t="inlineStr">
        <is>
          <t>Graduate software engineer</t>
        </is>
      </c>
      <c r="E518" s="7" t="inlineStr">
        <is>
          <t>WeTransfer</t>
        </is>
      </c>
      <c r="F518" s="8" t="inlineStr"/>
      <c r="G518" s="8" t="n"/>
      <c r="H518" s="14" t="n"/>
      <c r="I518" s="15">
        <f>IF($H518="","",$H518-TODAY())</f>
        <v/>
      </c>
      <c r="J518" s="16" t="inlineStr">
        <is>
          <t>Open posting</t>
        </is>
      </c>
      <c r="K518" s="8" t="inlineStr">
        <is>
          <t>filtered by keyword pre-scan</t>
        </is>
      </c>
      <c r="L518" s="17" t="inlineStr">
        <is>
          <t>new</t>
        </is>
      </c>
      <c r="M518" s="18" t="inlineStr"/>
      <c r="N518" s="7" t="inlineStr">
        <is>
          <t>3b19e8e14298e935bf2465e1aa5421d8620a8230</t>
        </is>
      </c>
      <c r="O518" s="14" t="n">
        <v>46191</v>
      </c>
      <c r="P518" s="7" t="inlineStr">
        <is>
          <t>jobspy</t>
        </is>
      </c>
      <c r="Q518" s="8" t="inlineStr">
        <is>
          <t>python, docker, kubernetes, git, c</t>
        </is>
      </c>
      <c r="R518" s="8" t="inlineStr">
        <is>
          <t>Graduate Computer Engineer Sheffield remote</t>
        </is>
      </c>
      <c r="S518" s="19" t="n"/>
      <c r="T518" s="19" t="n"/>
      <c r="U518" s="14" t="n">
        <v>46192</v>
      </c>
      <c r="V518" s="7" t="inlineStr">
        <is>
          <t>v2-cv-accuracy-13b988b18da8ea7d</t>
        </is>
      </c>
    </row>
    <row r="519" ht="28" customHeight="1">
      <c r="A519" s="12">
        <f>IF($L519="applied","Applied",IF($L519="interview","Interview",IF($L519="offer","Offer",IF($L519="rejected","Rejected",IF($L519="ignore","Ignore",IF($L519="archive","Archive",IF($L519="closed","Closed",IF($B519="","Unscored",IF(AND($B519&gt;=8,OR($H519="",$H519-TODAY()&lt;=14)),"P1 Apply",IF($B519&gt;=7,"P2 Strong",IF($B519&gt;=5,"P3 Maybe","P4 Low")))))))))))</f>
        <v/>
      </c>
      <c r="B519" s="13" t="n">
        <v>1.72</v>
      </c>
      <c r="C519" s="12" t="inlineStr">
        <is>
          <t>Junior</t>
        </is>
      </c>
      <c r="D519" s="8" t="inlineStr">
        <is>
          <t>Dev Ops Engineer</t>
        </is>
      </c>
      <c r="E519" s="7" t="inlineStr">
        <is>
          <t>Citation Canada</t>
        </is>
      </c>
      <c r="F519" s="8" t="inlineStr">
        <is>
          <t>Wilmslow, England, UK</t>
        </is>
      </c>
      <c r="G519" s="8" t="n"/>
      <c r="H519" s="14" t="n"/>
      <c r="I519" s="15">
        <f>IF($H519="","",$H519-TODAY())</f>
        <v/>
      </c>
      <c r="J519" s="16" t="inlineStr">
        <is>
          <t>Open posting</t>
        </is>
      </c>
      <c r="K519" s="8" t="inlineStr">
        <is>
          <t>filtered by keyword pre-scan</t>
        </is>
      </c>
      <c r="L519" s="17" t="inlineStr">
        <is>
          <t>new</t>
        </is>
      </c>
      <c r="M519" s="18" t="inlineStr"/>
      <c r="N519" s="7" t="inlineStr">
        <is>
          <t>39c5baf27f7dad71e116c384402a2f6816c7a572</t>
        </is>
      </c>
      <c r="O519" s="14" t="n">
        <v>46184</v>
      </c>
      <c r="P519" s="7" t="inlineStr">
        <is>
          <t>jobspy</t>
        </is>
      </c>
      <c r="Q519" s="8" t="inlineStr">
        <is>
          <t>python, docker, git, c</t>
        </is>
      </c>
      <c r="R519" s="8" t="inlineStr">
        <is>
          <t>Graduate DevOps Engineer Docker Kubernetes Python</t>
        </is>
      </c>
      <c r="S519" s="19" t="n"/>
      <c r="T519" s="19" t="n"/>
      <c r="U519" s="14" t="n">
        <v>46192</v>
      </c>
      <c r="V519" s="7" t="inlineStr">
        <is>
          <t>v2-cv-accuracy-13b988b18da8ea7d</t>
        </is>
      </c>
    </row>
    <row r="520" ht="28" customHeight="1">
      <c r="A520" s="12">
        <f>IF($L520="applied","Applied",IF($L520="interview","Interview",IF($L520="offer","Offer",IF($L520="rejected","Rejected",IF($L520="ignore","Ignore",IF($L520="archive","Archive",IF($L520="closed","Closed",IF($B520="","Unscored",IF(AND($B520&gt;=8,OR($H520="",$H520-TODAY()&lt;=14)),"P1 Apply",IF($B520&gt;=7,"P2 Strong",IF($B520&gt;=5,"P3 Maybe","P4 Low")))))))))))</f>
        <v/>
      </c>
      <c r="B520" s="13" t="n">
        <v>1.72</v>
      </c>
      <c r="C520" s="12" t="inlineStr">
        <is>
          <t>Junior</t>
        </is>
      </c>
      <c r="D520" s="8" t="inlineStr">
        <is>
          <t>Junior Platform Engineer</t>
        </is>
      </c>
      <c r="E520" s="7" t="inlineStr">
        <is>
          <t>Lean Tree</t>
        </is>
      </c>
      <c r="F520" s="8" t="inlineStr">
        <is>
          <t>London Area, United Kingdom</t>
        </is>
      </c>
      <c r="G520" s="8" t="n"/>
      <c r="H520" s="14" t="n"/>
      <c r="I520" s="15">
        <f>IF($H520="","",$H520-TODAY())</f>
        <v/>
      </c>
      <c r="J520" s="16" t="inlineStr">
        <is>
          <t>Open posting</t>
        </is>
      </c>
      <c r="K520" s="8" t="inlineStr">
        <is>
          <t>filtered by keyword pre-scan</t>
        </is>
      </c>
      <c r="L520" s="17" t="inlineStr">
        <is>
          <t>new</t>
        </is>
      </c>
      <c r="M520" s="18" t="inlineStr"/>
      <c r="N520" s="7" t="inlineStr">
        <is>
          <t>00a2d900c752c311b0211c64b9577340868c35f5</t>
        </is>
      </c>
      <c r="O520" s="14" t="n">
        <v>46170</v>
      </c>
      <c r="P520" s="7" t="inlineStr">
        <is>
          <t>jobspy</t>
        </is>
      </c>
      <c r="Q520" s="8" t="inlineStr">
        <is>
          <t>docker, kubernetes, git, c</t>
        </is>
      </c>
      <c r="R520" s="8" t="inlineStr">
        <is>
          <t>Graduate DevOps Engineer Docker Kubernetes Python</t>
        </is>
      </c>
      <c r="S520" s="19" t="n"/>
      <c r="T520" s="19" t="n"/>
      <c r="U520" s="14" t="n">
        <v>46192</v>
      </c>
      <c r="V520" s="7" t="inlineStr">
        <is>
          <t>v2-cv-accuracy-13b988b18da8ea7d</t>
        </is>
      </c>
    </row>
    <row r="521" ht="28" customHeight="1">
      <c r="A521" s="12">
        <f>IF($L521="applied","Applied",IF($L521="interview","Interview",IF($L521="offer","Offer",IF($L521="rejected","Rejected",IF($L521="ignore","Ignore",IF($L521="archive","Archive",IF($L521="closed","Closed",IF($B521="","Unscored",IF(AND($B521&gt;=8,OR($H521="",$H521-TODAY()&lt;=14)),"P1 Apply",IF($B521&gt;=7,"P2 Strong",IF($B521&gt;=5,"P3 Maybe","P4 Low")))))))))))</f>
        <v/>
      </c>
      <c r="B521" s="13" t="n">
        <v>1.72</v>
      </c>
      <c r="C521" s="12" t="inlineStr">
        <is>
          <t>Unspecified</t>
        </is>
      </c>
      <c r="D521" s="8" t="inlineStr">
        <is>
          <t>Embedded Software Engineer</t>
        </is>
      </c>
      <c r="E521" s="7" t="inlineStr">
        <is>
          <t>X4 Technology</t>
        </is>
      </c>
      <c r="F521" s="8" t="inlineStr">
        <is>
          <t>Birmingham, England, UK</t>
        </is>
      </c>
      <c r="G521" s="8" t="n"/>
      <c r="H521" s="14" t="n"/>
      <c r="I521" s="15">
        <f>IF($H521="","",$H521-TODAY())</f>
        <v/>
      </c>
      <c r="J521" s="16" t="inlineStr">
        <is>
          <t>Open posting</t>
        </is>
      </c>
      <c r="K521" s="8" t="inlineStr">
        <is>
          <t>filtered by keyword pre-scan</t>
        </is>
      </c>
      <c r="L521" s="17" t="inlineStr">
        <is>
          <t>new</t>
        </is>
      </c>
      <c r="M521" s="18" t="inlineStr"/>
      <c r="N521" s="7" t="inlineStr">
        <is>
          <t>9d83567f0b4e2b4e3cc9bdcb548e414b751e780c</t>
        </is>
      </c>
      <c r="O521" s="14" t="n"/>
      <c r="P521" s="7" t="inlineStr">
        <is>
          <t>jobspy</t>
        </is>
      </c>
      <c r="Q521" s="8" t="inlineStr">
        <is>
          <t>stm32, git, c, embedded systems</t>
        </is>
      </c>
      <c r="R521" s="8" t="inlineStr">
        <is>
          <t>Junior Embedded Software Engineer STM32</t>
        </is>
      </c>
      <c r="S521" s="19" t="n"/>
      <c r="T521" s="19" t="n"/>
      <c r="U521" s="14" t="n">
        <v>46192</v>
      </c>
      <c r="V521" s="7" t="inlineStr">
        <is>
          <t>v2-cv-accuracy-13b988b18da8ea7d</t>
        </is>
      </c>
    </row>
    <row r="522" ht="28" customHeight="1">
      <c r="A522" s="12">
        <f>IF($L522="applied","Applied",IF($L522="interview","Interview",IF($L522="offer","Offer",IF($L522="rejected","Rejected",IF($L522="ignore","Ignore",IF($L522="archive","Archive",IF($L522="closed","Closed",IF($B522="","Unscored",IF(AND($B522&gt;=8,OR($H522="",$H522-TODAY()&lt;=14)),"P1 Apply",IF($B522&gt;=7,"P2 Strong",IF($B522&gt;=5,"P3 Maybe","P4 Low")))))))))))</f>
        <v/>
      </c>
      <c r="B522" s="13" t="n">
        <v>1.63</v>
      </c>
      <c r="C522" s="12" t="inlineStr">
        <is>
          <t>Unspecified</t>
        </is>
      </c>
      <c r="D522" s="8" t="inlineStr">
        <is>
          <t>Software Developer, Offers</t>
        </is>
      </c>
      <c r="E522" s="7" t="inlineStr">
        <is>
          <t>bet365</t>
        </is>
      </c>
      <c r="F522" s="8" t="inlineStr">
        <is>
          <t>Manchester, England, UK</t>
        </is>
      </c>
      <c r="G522" s="8" t="n"/>
      <c r="H522" s="14" t="n"/>
      <c r="I522" s="15">
        <f>IF($H522="","",$H522-TODAY())</f>
        <v/>
      </c>
      <c r="J522" s="16" t="inlineStr">
        <is>
          <t>Open posting</t>
        </is>
      </c>
      <c r="K522" s="8" t="inlineStr">
        <is>
          <t>filtered by keyword pre-scan</t>
        </is>
      </c>
      <c r="L522" s="17" t="inlineStr">
        <is>
          <t>new</t>
        </is>
      </c>
      <c r="M522" s="18" t="inlineStr"/>
      <c r="N522" s="7" t="inlineStr">
        <is>
          <t>85c6daf49d7f60572fd8713e8c6fe0be11279a41</t>
        </is>
      </c>
      <c r="O522" s="14" t="n"/>
      <c r="P522" s="7" t="inlineStr">
        <is>
          <t>jobspy</t>
        </is>
      </c>
      <c r="Q522" s="8" t="inlineStr">
        <is>
          <t>sql, software development</t>
        </is>
      </c>
      <c r="R522" s="8" t="inlineStr">
        <is>
          <t>graduate Full Stack Developer</t>
        </is>
      </c>
      <c r="S522" s="19" t="n"/>
      <c r="T522" s="19" t="n"/>
      <c r="U522" s="14" t="n">
        <v>46192</v>
      </c>
      <c r="V522" s="7" t="inlineStr">
        <is>
          <t>v2-cv-accuracy-13b988b18da8ea7d</t>
        </is>
      </c>
    </row>
    <row r="523" ht="28" customHeight="1">
      <c r="A523" s="12">
        <f>IF($L523="applied","Applied",IF($L523="interview","Interview",IF($L523="offer","Offer",IF($L523="rejected","Rejected",IF($L523="ignore","Ignore",IF($L523="archive","Archive",IF($L523="closed","Closed",IF($B523="","Unscored",IF(AND($B523&gt;=8,OR($H523="",$H523-TODAY()&lt;=14)),"P1 Apply",IF($B523&gt;=7,"P2 Strong",IF($B523&gt;=5,"P3 Maybe","P4 Low")))))))))))</f>
        <v/>
      </c>
      <c r="B523" s="13" t="n">
        <v>1.63</v>
      </c>
      <c r="C523" s="12" t="inlineStr">
        <is>
          <t>Senior/Lead</t>
        </is>
      </c>
      <c r="D523" s="8" t="inlineStr">
        <is>
          <t>Insurance Pricing Analyst</t>
        </is>
      </c>
      <c r="E523" s="7" t="inlineStr">
        <is>
          <t>Monzo</t>
        </is>
      </c>
      <c r="F523" s="8" t="inlineStr">
        <is>
          <t>Cardiff, London or Remote (UK)</t>
        </is>
      </c>
      <c r="G523" s="8" t="n"/>
      <c r="H523" s="14" t="n"/>
      <c r="I523" s="15">
        <f>IF($H523="","",$H523-TODAY())</f>
        <v/>
      </c>
      <c r="J523" s="16" t="inlineStr">
        <is>
          <t>Open posting</t>
        </is>
      </c>
      <c r="K523" s="8" t="inlineStr">
        <is>
          <t>filtered by keyword pre-scan</t>
        </is>
      </c>
      <c r="L523" s="17" t="inlineStr">
        <is>
          <t>new</t>
        </is>
      </c>
      <c r="M523" s="18" t="inlineStr"/>
      <c r="N523" s="7" t="inlineStr">
        <is>
          <t>a9cc4b660f48f1e5054c10463f26474900a64373</t>
        </is>
      </c>
      <c r="O523" s="14" t="n">
        <v>46189</v>
      </c>
      <c r="P523" s="7" t="inlineStr">
        <is>
          <t>greenhouse:monzo</t>
        </is>
      </c>
      <c r="Q523" s="8" t="inlineStr">
        <is>
          <t>sql, data analysis</t>
        </is>
      </c>
      <c r="R523" s="8" t="n"/>
      <c r="S523" s="19" t="n"/>
      <c r="T523" s="19" t="n"/>
      <c r="U523" s="14" t="n">
        <v>46191</v>
      </c>
      <c r="V523" s="7" t="inlineStr">
        <is>
          <t>v2-cv-accuracy-13b988b18da8ea7d</t>
        </is>
      </c>
    </row>
    <row r="524" ht="28" customHeight="1">
      <c r="A524" s="12">
        <f>IF($L524="applied","Applied",IF($L524="interview","Interview",IF($L524="offer","Offer",IF($L524="rejected","Rejected",IF($L524="ignore","Ignore",IF($L524="archive","Archive",IF($L524="closed","Closed",IF($B524="","Unscored",IF(AND($B524&gt;=8,OR($H524="",$H524-TODAY()&lt;=14)),"P1 Apply",IF($B524&gt;=7,"P2 Strong",IF($B524&gt;=5,"P3 Maybe","P4 Low")))))))))))</f>
        <v/>
      </c>
      <c r="B524" s="13" t="n">
        <v>1.63</v>
      </c>
      <c r="C524" s="12" t="inlineStr">
        <is>
          <t>Graduate/Entry</t>
        </is>
      </c>
      <c r="D524" s="8" t="inlineStr">
        <is>
          <t>Software Engineer, New Grad</t>
        </is>
      </c>
      <c r="E524" s="7" t="inlineStr">
        <is>
          <t>Deliveroo</t>
        </is>
      </c>
      <c r="F524" s="8" t="inlineStr">
        <is>
          <t>London, England, UK</t>
        </is>
      </c>
      <c r="G524" s="8" t="n"/>
      <c r="H524" s="14" t="n"/>
      <c r="I524" s="15">
        <f>IF($H524="","",$H524-TODAY())</f>
        <v/>
      </c>
      <c r="J524" s="16" t="inlineStr">
        <is>
          <t>Open posting</t>
        </is>
      </c>
      <c r="K524" s="8" t="inlineStr">
        <is>
          <t>filtered by keyword pre-scan</t>
        </is>
      </c>
      <c r="L524" s="17" t="inlineStr">
        <is>
          <t>new</t>
        </is>
      </c>
      <c r="M524" s="18" t="inlineStr"/>
      <c r="N524" s="7" t="inlineStr">
        <is>
          <t>43a1d715fdcda5a66049ffa10e76fb79670788e4</t>
        </is>
      </c>
      <c r="O524" s="14" t="n">
        <v>46172</v>
      </c>
      <c r="P524" s="7" t="inlineStr">
        <is>
          <t>jobspy</t>
        </is>
      </c>
      <c r="Q524" s="8" t="inlineStr">
        <is>
          <t>python, sql</t>
        </is>
      </c>
      <c r="R524" s="8" t="inlineStr">
        <is>
          <t>Graduate Software Developer</t>
        </is>
      </c>
      <c r="S524" s="19" t="n"/>
      <c r="T524" s="19" t="n"/>
      <c r="U524" s="14" t="n">
        <v>46191</v>
      </c>
      <c r="V524" s="7" t="inlineStr">
        <is>
          <t>v2-cv-accuracy-13b988b18da8ea7d</t>
        </is>
      </c>
    </row>
    <row r="525" ht="28" customHeight="1">
      <c r="A525" s="12">
        <f>IF($L525="applied","Applied",IF($L525="interview","Interview",IF($L525="offer","Offer",IF($L525="rejected","Rejected",IF($L525="ignore","Ignore",IF($L525="archive","Archive",IF($L525="closed","Closed",IF($B525="","Unscored",IF(AND($B525&gt;=8,OR($H525="",$H525-TODAY()&lt;=14)),"P1 Apply",IF($B525&gt;=7,"P2 Strong",IF($B525&gt;=5,"P3 Maybe","P4 Low")))))))))))</f>
        <v/>
      </c>
      <c r="B525" s="13" t="n">
        <v>1.63</v>
      </c>
      <c r="C525" s="12" t="inlineStr">
        <is>
          <t>Junior</t>
        </is>
      </c>
      <c r="D525" s="8" t="inlineStr">
        <is>
          <t>React Engineer</t>
        </is>
      </c>
      <c r="E525" s="7" t="inlineStr">
        <is>
          <t>Randstad Digital</t>
        </is>
      </c>
      <c r="F525" s="8" t="inlineStr">
        <is>
          <t>Sheffield, England, UK</t>
        </is>
      </c>
      <c r="G525" s="8" t="n"/>
      <c r="H525" s="14" t="n"/>
      <c r="I525" s="15">
        <f>IF($H525="","",$H525-TODAY())</f>
        <v/>
      </c>
      <c r="J525" s="16" t="inlineStr">
        <is>
          <t>Open posting</t>
        </is>
      </c>
      <c r="K525" s="8" t="inlineStr">
        <is>
          <t>filtered by keyword pre-scan</t>
        </is>
      </c>
      <c r="L525" s="17" t="inlineStr">
        <is>
          <t>new</t>
        </is>
      </c>
      <c r="M525" s="18" t="inlineStr"/>
      <c r="N525" s="7" t="inlineStr">
        <is>
          <t>34b424ebb1110bccb6c5797b4727ee8ce1b12e6a</t>
        </is>
      </c>
      <c r="O525" s="14" t="n">
        <v>46182</v>
      </c>
      <c r="P525" s="7" t="inlineStr">
        <is>
          <t>jobspy</t>
        </is>
      </c>
      <c r="Q525" s="8" t="inlineStr">
        <is>
          <t>javascript, git</t>
        </is>
      </c>
      <c r="R525" s="8" t="inlineStr">
        <is>
          <t>Graduate Software Developer Sheffield</t>
        </is>
      </c>
      <c r="S525" s="19" t="n"/>
      <c r="T525" s="19" t="n"/>
      <c r="U525" s="14" t="n">
        <v>46191</v>
      </c>
      <c r="V525" s="7" t="inlineStr">
        <is>
          <t>v2-cv-accuracy-13b988b18da8ea7d</t>
        </is>
      </c>
    </row>
    <row r="526" ht="28" customHeight="1">
      <c r="A526" s="12">
        <f>IF($L526="applied","Applied",IF($L526="interview","Interview",IF($L526="offer","Offer",IF($L526="rejected","Rejected",IF($L526="ignore","Ignore",IF($L526="archive","Archive",IF($L526="closed","Closed",IF($B526="","Unscored",IF(AND($B526&gt;=8,OR($H526="",$H526-TODAY()&lt;=14)),"P1 Apply",IF($B526&gt;=7,"P2 Strong",IF($B526&gt;=5,"P3 Maybe","P4 Low")))))))))))</f>
        <v/>
      </c>
      <c r="B526" s="13" t="n">
        <v>1.63</v>
      </c>
      <c r="C526" s="12" t="inlineStr">
        <is>
          <t>Junior</t>
        </is>
      </c>
      <c r="D526" s="8" t="inlineStr">
        <is>
          <t>Junior Developer</t>
        </is>
      </c>
      <c r="E526" s="7" t="inlineStr">
        <is>
          <t>Telappliant</t>
        </is>
      </c>
      <c r="F526" s="8" t="inlineStr">
        <is>
          <t>London, ENG, GB</t>
        </is>
      </c>
      <c r="G526" s="8" t="n"/>
      <c r="H526" s="14" t="n"/>
      <c r="I526" s="15">
        <f>IF($H526="","",$H526-TODAY())</f>
        <v/>
      </c>
      <c r="J526" s="16" t="inlineStr">
        <is>
          <t>Open posting</t>
        </is>
      </c>
      <c r="K526" s="8" t="inlineStr">
        <is>
          <t>filtered by keyword pre-scan</t>
        </is>
      </c>
      <c r="L526" s="17" t="inlineStr">
        <is>
          <t>new</t>
        </is>
      </c>
      <c r="M526" s="18" t="inlineStr"/>
      <c r="N526" s="7" t="inlineStr">
        <is>
          <t>45b5dd4822718cbfd0171c3acd3d423e1965210d</t>
        </is>
      </c>
      <c r="O526" s="14" t="n">
        <v>46181</v>
      </c>
      <c r="P526" s="7" t="inlineStr">
        <is>
          <t>jobspy</t>
        </is>
      </c>
      <c r="Q526" s="8" t="inlineStr">
        <is>
          <t>python, software development</t>
        </is>
      </c>
      <c r="R526" s="8" t="inlineStr">
        <is>
          <t>junior Graduate Software Developer</t>
        </is>
      </c>
      <c r="S526" s="19" t="n"/>
      <c r="T526" s="19" t="n"/>
      <c r="U526" s="14" t="n">
        <v>46191</v>
      </c>
      <c r="V526" s="7" t="inlineStr">
        <is>
          <t>v2-cv-accuracy-13b988b18da8ea7d</t>
        </is>
      </c>
    </row>
    <row r="527" ht="28" customHeight="1">
      <c r="A527" s="12">
        <f>IF($L527="applied","Applied",IF($L527="interview","Interview",IF($L527="offer","Offer",IF($L527="rejected","Rejected",IF($L527="ignore","Ignore",IF($L527="archive","Archive",IF($L527="closed","Closed",IF($B527="","Unscored",IF(AND($B527&gt;=8,OR($H527="",$H527-TODAY()&lt;=14)),"P1 Apply",IF($B527&gt;=7,"P2 Strong",IF($B527&gt;=5,"P3 Maybe","P4 Low")))))))))))</f>
        <v/>
      </c>
      <c r="B527" s="13" t="n">
        <v>1.63</v>
      </c>
      <c r="C527" s="12" t="inlineStr">
        <is>
          <t>Junior</t>
        </is>
      </c>
      <c r="D527" s="8" t="inlineStr">
        <is>
          <t>Junior Full Stack Developer</t>
        </is>
      </c>
      <c r="E527" s="7" t="inlineStr">
        <is>
          <t>Play Sports Group</t>
        </is>
      </c>
      <c r="F527" s="8" t="inlineStr">
        <is>
          <t>Harwich, England, UK</t>
        </is>
      </c>
      <c r="G527" s="8" t="n"/>
      <c r="H527" s="14" t="n"/>
      <c r="I527" s="15">
        <f>IF($H527="","",$H527-TODAY())</f>
        <v/>
      </c>
      <c r="J527" s="16" t="inlineStr">
        <is>
          <t>Open posting</t>
        </is>
      </c>
      <c r="K527" s="8" t="inlineStr">
        <is>
          <t>filtered by keyword pre-scan</t>
        </is>
      </c>
      <c r="L527" s="17" t="inlineStr">
        <is>
          <t>new</t>
        </is>
      </c>
      <c r="M527" s="18" t="inlineStr"/>
      <c r="N527" s="7" t="inlineStr">
        <is>
          <t>c993bfd7302b3a9b3bc50a1dd07913a95a1437f5</t>
        </is>
      </c>
      <c r="O527" s="14" t="n">
        <v>46178</v>
      </c>
      <c r="P527" s="7" t="inlineStr">
        <is>
          <t>jobspy</t>
        </is>
      </c>
      <c r="Q527" s="8" t="inlineStr">
        <is>
          <t>sql, javascript</t>
        </is>
      </c>
      <c r="R527" s="8" t="inlineStr">
        <is>
          <t>junior Graduate Software Developer</t>
        </is>
      </c>
      <c r="S527" s="19" t="n"/>
      <c r="T527" s="19" t="n"/>
      <c r="U527" s="14" t="n">
        <v>46191</v>
      </c>
      <c r="V527" s="7" t="inlineStr">
        <is>
          <t>v2-cv-accuracy-13b988b18da8ea7d</t>
        </is>
      </c>
    </row>
    <row r="528" ht="28" customHeight="1">
      <c r="A528" s="12">
        <f>IF($L528="applied","Applied",IF($L528="interview","Interview",IF($L528="offer","Offer",IF($L528="rejected","Rejected",IF($L528="ignore","Ignore",IF($L528="archive","Archive",IF($L528="closed","Closed",IF($B528="","Unscored",IF(AND($B528&gt;=8,OR($H528="",$H528-TODAY()&lt;=14)),"P1 Apply",IF($B528&gt;=7,"P2 Strong",IF($B528&gt;=5,"P3 Maybe","P4 Low")))))))))))</f>
        <v/>
      </c>
      <c r="B528" s="13" t="n">
        <v>1.63</v>
      </c>
      <c r="C528" s="12" t="inlineStr">
        <is>
          <t>Senior/Lead</t>
        </is>
      </c>
      <c r="D528" s="8" t="inlineStr">
        <is>
          <t>Python Developer</t>
        </is>
      </c>
      <c r="E528" s="7" t="inlineStr">
        <is>
          <t>Talan</t>
        </is>
      </c>
      <c r="F528" s="8" t="inlineStr">
        <is>
          <t>London, England, UK</t>
        </is>
      </c>
      <c r="G528" s="8" t="n"/>
      <c r="H528" s="14" t="n"/>
      <c r="I528" s="15">
        <f>IF($H528="","",$H528-TODAY())</f>
        <v/>
      </c>
      <c r="J528" s="16" t="inlineStr">
        <is>
          <t>Open posting</t>
        </is>
      </c>
      <c r="K528" s="8" t="inlineStr">
        <is>
          <t>filtered by keyword pre-scan</t>
        </is>
      </c>
      <c r="L528" s="17" t="inlineStr">
        <is>
          <t>new</t>
        </is>
      </c>
      <c r="M528" s="18" t="inlineStr"/>
      <c r="N528" s="7" t="inlineStr">
        <is>
          <t>0bfe0a8aba21d59daee46e352976f028c34f522b</t>
        </is>
      </c>
      <c r="O528" s="14" t="n">
        <v>46183</v>
      </c>
      <c r="P528" s="7" t="inlineStr">
        <is>
          <t>jobspy</t>
        </is>
      </c>
      <c r="Q528" s="8" t="inlineStr">
        <is>
          <t>python, sql</t>
        </is>
      </c>
      <c r="R528" s="8" t="inlineStr">
        <is>
          <t>Junior Python Developer</t>
        </is>
      </c>
      <c r="S528" s="19" t="n"/>
      <c r="T528" s="19" t="n"/>
      <c r="U528" s="14" t="n">
        <v>46191</v>
      </c>
      <c r="V528" s="7" t="inlineStr">
        <is>
          <t>v2-cv-accuracy-13b988b18da8ea7d</t>
        </is>
      </c>
    </row>
    <row r="529" ht="28" customHeight="1">
      <c r="A529" s="12">
        <f>IF($L529="applied","Applied",IF($L529="interview","Interview",IF($L529="offer","Offer",IF($L529="rejected","Rejected",IF($L529="ignore","Ignore",IF($L529="archive","Archive",IF($L529="closed","Closed",IF($B529="","Unscored",IF(AND($B529&gt;=8,OR($H529="",$H529-TODAY()&lt;=14)),"P1 Apply",IF($B529&gt;=7,"P2 Strong",IF($B529&gt;=5,"P3 Maybe","P4 Low")))))))))))</f>
        <v/>
      </c>
      <c r="B529" s="13" t="n">
        <v>1.63</v>
      </c>
      <c r="C529" s="12" t="inlineStr">
        <is>
          <t>Unspecified</t>
        </is>
      </c>
      <c r="D529" s="8" t="inlineStr">
        <is>
          <t>Full Stack Engineer</t>
        </is>
      </c>
      <c r="E529" s="7" t="inlineStr">
        <is>
          <t>Albany Beck</t>
        </is>
      </c>
      <c r="F529" s="8" t="inlineStr">
        <is>
          <t>Sheffield, England, UK</t>
        </is>
      </c>
      <c r="G529" s="8" t="n"/>
      <c r="H529" s="14" t="n"/>
      <c r="I529" s="15">
        <f>IF($H529="","",$H529-TODAY())</f>
        <v/>
      </c>
      <c r="J529" s="16" t="inlineStr">
        <is>
          <t>Open posting</t>
        </is>
      </c>
      <c r="K529" s="8" t="inlineStr">
        <is>
          <t>filtered by keyword pre-scan</t>
        </is>
      </c>
      <c r="L529" s="17" t="inlineStr">
        <is>
          <t>new</t>
        </is>
      </c>
      <c r="M529" s="18" t="inlineStr"/>
      <c r="N529" s="7" t="inlineStr">
        <is>
          <t>5be02e6918d51662f6c7dabbed1eb33b3c5ab93f</t>
        </is>
      </c>
      <c r="O529" s="14" t="n">
        <v>46189</v>
      </c>
      <c r="P529" s="7" t="inlineStr">
        <is>
          <t>jobspy</t>
        </is>
      </c>
      <c r="Q529" s="8" t="inlineStr">
        <is>
          <t>sql</t>
        </is>
      </c>
      <c r="R529" s="8" t="inlineStr">
        <is>
          <t>Junior Python Developer Sheffield</t>
        </is>
      </c>
      <c r="S529" s="19" t="n"/>
      <c r="T529" s="19" t="n"/>
      <c r="U529" s="14" t="n">
        <v>46191</v>
      </c>
      <c r="V529" s="7" t="inlineStr">
        <is>
          <t>v2-cv-accuracy-13b988b18da8ea7d</t>
        </is>
      </c>
    </row>
    <row r="530" ht="28" customHeight="1">
      <c r="A530" s="12">
        <f>IF($L530="applied","Applied",IF($L530="interview","Interview",IF($L530="offer","Offer",IF($L530="rejected","Rejected",IF($L530="ignore","Ignore",IF($L530="archive","Archive",IF($L530="closed","Closed",IF($B530="","Unscored",IF(AND($B530&gt;=8,OR($H530="",$H530-TODAY()&lt;=14)),"P1 Apply",IF($B530&gt;=7,"P2 Strong",IF($B530&gt;=5,"P3 Maybe","P4 Low")))))))))))</f>
        <v/>
      </c>
      <c r="B530" s="13" t="n">
        <v>1.63</v>
      </c>
      <c r="C530" s="12" t="inlineStr">
        <is>
          <t>Mid-level</t>
        </is>
      </c>
      <c r="D530" s="8" t="inlineStr">
        <is>
          <t>IAM Backend Engineer (HashiCorp Vault)</t>
        </is>
      </c>
      <c r="E530" s="7" t="inlineStr">
        <is>
          <t>Cipher Talent</t>
        </is>
      </c>
      <c r="F530" s="8" t="inlineStr">
        <is>
          <t>Sheffield, England, UK</t>
        </is>
      </c>
      <c r="G530" s="8" t="n"/>
      <c r="H530" s="14" t="n"/>
      <c r="I530" s="15">
        <f>IF($H530="","",$H530-TODAY())</f>
        <v/>
      </c>
      <c r="J530" s="16" t="inlineStr">
        <is>
          <t>Open posting</t>
        </is>
      </c>
      <c r="K530" s="8" t="inlineStr">
        <is>
          <t>filtered by keyword pre-scan</t>
        </is>
      </c>
      <c r="L530" s="17" t="inlineStr">
        <is>
          <t>new</t>
        </is>
      </c>
      <c r="M530" s="18" t="inlineStr"/>
      <c r="N530" s="7" t="inlineStr">
        <is>
          <t>c29671e615e119ec8b385dad046417d5f1ed3e42</t>
        </is>
      </c>
      <c r="O530" s="14" t="n">
        <v>46184</v>
      </c>
      <c r="P530" s="7" t="inlineStr">
        <is>
          <t>jobspy</t>
        </is>
      </c>
      <c r="Q530" s="8" t="inlineStr">
        <is>
          <t>git</t>
        </is>
      </c>
      <c r="R530" s="8" t="inlineStr">
        <is>
          <t>Junior Python Developer Sheffield</t>
        </is>
      </c>
      <c r="S530" s="19" t="n"/>
      <c r="T530" s="19" t="n"/>
      <c r="U530" s="14" t="n">
        <v>46191</v>
      </c>
      <c r="V530" s="7" t="inlineStr">
        <is>
          <t>v2-cv-accuracy-13b988b18da8ea7d</t>
        </is>
      </c>
    </row>
    <row r="531" ht="28" customHeight="1">
      <c r="A531" s="12">
        <f>IF($L531="applied","Applied",IF($L531="interview","Interview",IF($L531="offer","Offer",IF($L531="rejected","Rejected",IF($L531="ignore","Ignore",IF($L531="archive","Archive",IF($L531="closed","Closed",IF($B531="","Unscored",IF(AND($B531&gt;=8,OR($H531="",$H531-TODAY()&lt;=14)),"P1 Apply",IF($B531&gt;=7,"P2 Strong",IF($B531&gt;=5,"P3 Maybe","P4 Low")))))))))))</f>
        <v/>
      </c>
      <c r="B531" s="13" t="n">
        <v>1.63</v>
      </c>
      <c r="C531" s="12" t="inlineStr">
        <is>
          <t>Junior</t>
        </is>
      </c>
      <c r="D531" s="8" t="inlineStr">
        <is>
          <t>Back End Developer (Sheffield x3 days)</t>
        </is>
      </c>
      <c r="E531" s="7" t="inlineStr">
        <is>
          <t>Synechron</t>
        </is>
      </c>
      <c r="F531" s="8" t="inlineStr">
        <is>
          <t>Sheffield, England, UK</t>
        </is>
      </c>
      <c r="G531" s="8" t="n"/>
      <c r="H531" s="14" t="n"/>
      <c r="I531" s="15">
        <f>IF($H531="","",$H531-TODAY())</f>
        <v/>
      </c>
      <c r="J531" s="16" t="inlineStr">
        <is>
          <t>Open posting</t>
        </is>
      </c>
      <c r="K531" s="8" t="inlineStr">
        <is>
          <t>filtered by keyword pre-scan</t>
        </is>
      </c>
      <c r="L531" s="17" t="inlineStr">
        <is>
          <t>new</t>
        </is>
      </c>
      <c r="M531" s="18" t="inlineStr"/>
      <c r="N531" s="7" t="inlineStr">
        <is>
          <t>5b0119ba0c760d1fb647041c58c0c6f43c83d4bb</t>
        </is>
      </c>
      <c r="O531" s="14" t="n">
        <v>46168</v>
      </c>
      <c r="P531" s="7" t="inlineStr">
        <is>
          <t>jobspy</t>
        </is>
      </c>
      <c r="Q531" s="8" t="inlineStr">
        <is>
          <t>python, javascript</t>
        </is>
      </c>
      <c r="R531" s="8" t="inlineStr">
        <is>
          <t>Junior Python Developer Sheffield</t>
        </is>
      </c>
      <c r="S531" s="19" t="n"/>
      <c r="T531" s="19" t="n"/>
      <c r="U531" s="14" t="n">
        <v>46191</v>
      </c>
      <c r="V531" s="7" t="inlineStr">
        <is>
          <t>v2-cv-accuracy-13b988b18da8ea7d</t>
        </is>
      </c>
    </row>
    <row r="532" ht="28" customHeight="1">
      <c r="A532" s="12">
        <f>IF($L532="applied","Applied",IF($L532="interview","Interview",IF($L532="offer","Offer",IF($L532="rejected","Rejected",IF($L532="ignore","Ignore",IF($L532="archive","Archive",IF($L532="closed","Closed",IF($B532="","Unscored",IF(AND($B532&gt;=8,OR($H532="",$H532-TODAY()&lt;=14)),"P1 Apply",IF($B532&gt;=7,"P2 Strong",IF($B532&gt;=5,"P3 Maybe","P4 Low")))))))))))</f>
        <v/>
      </c>
      <c r="B532" s="13" t="n">
        <v>1.63</v>
      </c>
      <c r="C532" s="12" t="inlineStr">
        <is>
          <t>Unspecified</t>
        </is>
      </c>
      <c r="D532" s="8" t="inlineStr">
        <is>
          <t>Python Engineer</t>
        </is>
      </c>
      <c r="E532" s="7" t="inlineStr">
        <is>
          <t>hackajob</t>
        </is>
      </c>
      <c r="F532" s="8" t="inlineStr">
        <is>
          <t>London, England, UK</t>
        </is>
      </c>
      <c r="G532" s="8" t="n"/>
      <c r="H532" s="14" t="n"/>
      <c r="I532" s="15">
        <f>IF($H532="","",$H532-TODAY())</f>
        <v/>
      </c>
      <c r="J532" s="16" t="inlineStr">
        <is>
          <t>Open posting</t>
        </is>
      </c>
      <c r="K532" s="8" t="inlineStr">
        <is>
          <t>filtered by keyword pre-scan</t>
        </is>
      </c>
      <c r="L532" s="17" t="inlineStr">
        <is>
          <t>new</t>
        </is>
      </c>
      <c r="M532" s="18" t="inlineStr"/>
      <c r="N532" s="7" t="inlineStr">
        <is>
          <t>299cd9002ebd338fa940aa8cc6b28a061152253c</t>
        </is>
      </c>
      <c r="O532" s="14" t="n">
        <v>46185</v>
      </c>
      <c r="P532" s="7" t="inlineStr">
        <is>
          <t>jobspy</t>
        </is>
      </c>
      <c r="Q532" s="8" t="inlineStr">
        <is>
          <t>python</t>
        </is>
      </c>
      <c r="R532" s="8" t="inlineStr">
        <is>
          <t>Junior Python Developer remote</t>
        </is>
      </c>
      <c r="S532" s="19" t="n"/>
      <c r="T532" s="19" t="n"/>
      <c r="U532" s="14" t="n">
        <v>46191</v>
      </c>
      <c r="V532" s="7" t="inlineStr">
        <is>
          <t>v2-cv-accuracy-13b988b18da8ea7d</t>
        </is>
      </c>
    </row>
    <row r="533" ht="28" customHeight="1">
      <c r="A533" s="12">
        <f>IF($L533="applied","Applied",IF($L533="interview","Interview",IF($L533="offer","Offer",IF($L533="rejected","Rejected",IF($L533="ignore","Ignore",IF($L533="archive","Archive",IF($L533="closed","Closed",IF($B533="","Unscored",IF(AND($B533&gt;=8,OR($H533="",$H533-TODAY()&lt;=14)),"P1 Apply",IF($B533&gt;=7,"P2 Strong",IF($B533&gt;=5,"P3 Maybe","P4 Low")))))))))))</f>
        <v/>
      </c>
      <c r="B533" s="13" t="n">
        <v>1.63</v>
      </c>
      <c r="C533" s="12" t="inlineStr">
        <is>
          <t>Unspecified</t>
        </is>
      </c>
      <c r="D533" s="8" t="inlineStr">
        <is>
          <t>Python Engineer</t>
        </is>
      </c>
      <c r="E533" s="7" t="inlineStr">
        <is>
          <t>Lendable</t>
        </is>
      </c>
      <c r="F533" s="8" t="inlineStr">
        <is>
          <t>London, England, UK</t>
        </is>
      </c>
      <c r="G533" s="8" t="n"/>
      <c r="H533" s="14" t="n"/>
      <c r="I533" s="15">
        <f>IF($H533="","",$H533-TODAY())</f>
        <v/>
      </c>
      <c r="J533" s="16" t="inlineStr">
        <is>
          <t>Open posting</t>
        </is>
      </c>
      <c r="K533" s="8" t="inlineStr">
        <is>
          <t>filtered by keyword pre-scan</t>
        </is>
      </c>
      <c r="L533" s="17" t="inlineStr">
        <is>
          <t>new</t>
        </is>
      </c>
      <c r="M533" s="18" t="inlineStr"/>
      <c r="N533" s="7" t="inlineStr">
        <is>
          <t>ccf5c40bf30815668e95849d0c46083bd0639098</t>
        </is>
      </c>
      <c r="O533" s="14" t="n">
        <v>46169</v>
      </c>
      <c r="P533" s="7" t="inlineStr">
        <is>
          <t>jobspy</t>
        </is>
      </c>
      <c r="Q533" s="8" t="inlineStr">
        <is>
          <t>python</t>
        </is>
      </c>
      <c r="R533" s="8" t="inlineStr">
        <is>
          <t>Junior Python Developer remote</t>
        </is>
      </c>
      <c r="S533" s="19" t="n"/>
      <c r="T533" s="19" t="n"/>
      <c r="U533" s="14" t="n">
        <v>46191</v>
      </c>
      <c r="V533" s="7" t="inlineStr">
        <is>
          <t>v2-cv-accuracy-13b988b18da8ea7d</t>
        </is>
      </c>
    </row>
    <row r="534" ht="28" customHeight="1">
      <c r="A534" s="12">
        <f>IF($L534="applied","Applied",IF($L534="interview","Interview",IF($L534="offer","Offer",IF($L534="rejected","Rejected",IF($L534="ignore","Ignore",IF($L534="archive","Archive",IF($L534="closed","Closed",IF($B534="","Unscored",IF(AND($B534&gt;=8,OR($H534="",$H534-TODAY()&lt;=14)),"P1 Apply",IF($B534&gt;=7,"P2 Strong",IF($B534&gt;=5,"P3 Maybe","P4 Low")))))))))))</f>
        <v/>
      </c>
      <c r="B534" s="13" t="n">
        <v>1.63</v>
      </c>
      <c r="C534" s="12" t="inlineStr">
        <is>
          <t>Unspecified</t>
        </is>
      </c>
      <c r="D534" s="8" t="inlineStr">
        <is>
          <t>Python Developer</t>
        </is>
      </c>
      <c r="E534" s="7" t="inlineStr">
        <is>
          <t>Halian | Managed Services, Recruitment Agency &amp; Contract Staffing</t>
        </is>
      </c>
      <c r="F534" s="8" t="inlineStr">
        <is>
          <t>London Area, United Kingdom</t>
        </is>
      </c>
      <c r="G534" s="8" t="n"/>
      <c r="H534" s="14" t="n"/>
      <c r="I534" s="15">
        <f>IF($H534="","",$H534-TODAY())</f>
        <v/>
      </c>
      <c r="J534" s="16" t="inlineStr">
        <is>
          <t>Open posting</t>
        </is>
      </c>
      <c r="K534" s="8" t="inlineStr">
        <is>
          <t>filtered by keyword pre-scan</t>
        </is>
      </c>
      <c r="L534" s="17" t="inlineStr">
        <is>
          <t>new</t>
        </is>
      </c>
      <c r="M534" s="18" t="inlineStr"/>
      <c r="N534" s="7" t="inlineStr">
        <is>
          <t>af22b2e4e2fd8b5f8876251f79b170f5b2c2aa00</t>
        </is>
      </c>
      <c r="O534" s="14" t="n">
        <v>46163</v>
      </c>
      <c r="P534" s="7" t="inlineStr">
        <is>
          <t>jobspy</t>
        </is>
      </c>
      <c r="Q534" s="8" t="inlineStr">
        <is>
          <t>python, rest apis</t>
        </is>
      </c>
      <c r="R534" s="8" t="inlineStr">
        <is>
          <t>Junior Python Developer remote</t>
        </is>
      </c>
      <c r="S534" s="19" t="n"/>
      <c r="T534" s="19" t="n"/>
      <c r="U534" s="14" t="n">
        <v>46191</v>
      </c>
      <c r="V534" s="7" t="inlineStr">
        <is>
          <t>v2-cv-accuracy-13b988b18da8ea7d</t>
        </is>
      </c>
    </row>
    <row r="535" ht="28" customHeight="1">
      <c r="A535" s="12">
        <f>IF($L535="applied","Applied",IF($L535="interview","Interview",IF($L535="offer","Offer",IF($L535="rejected","Rejected",IF($L535="ignore","Ignore",IF($L535="archive","Archive",IF($L535="closed","Closed",IF($B535="","Unscored",IF(AND($B535&gt;=8,OR($H535="",$H535-TODAY()&lt;=14)),"P1 Apply",IF($B535&gt;=7,"P2 Strong",IF($B535&gt;=5,"P3 Maybe","P4 Low")))))))))))</f>
        <v/>
      </c>
      <c r="B535" s="13" t="n">
        <v>1.63</v>
      </c>
      <c r="C535" s="12" t="inlineStr">
        <is>
          <t>Senior/Lead</t>
        </is>
      </c>
      <c r="D535" s="8" t="inlineStr">
        <is>
          <t>Software Developer - Clearing Technology</t>
        </is>
      </c>
      <c r="E535" s="7" t="inlineStr">
        <is>
          <t>MAREX</t>
        </is>
      </c>
      <c r="F535" s="8" t="inlineStr">
        <is>
          <t>London, ENG, GB</t>
        </is>
      </c>
      <c r="G535" s="8" t="n"/>
      <c r="H535" s="14" t="n"/>
      <c r="I535" s="15">
        <f>IF($H535="","",$H535-TODAY())</f>
        <v/>
      </c>
      <c r="J535" s="16" t="inlineStr">
        <is>
          <t>Open posting</t>
        </is>
      </c>
      <c r="K535" s="8" t="inlineStr">
        <is>
          <t>filtered by keyword pre-scan</t>
        </is>
      </c>
      <c r="L535" s="17" t="inlineStr">
        <is>
          <t>new</t>
        </is>
      </c>
      <c r="M535" s="18" t="inlineStr"/>
      <c r="N535" s="7" t="inlineStr">
        <is>
          <t>3850d2458e652224eb20eb4f08507863f5f7e443</t>
        </is>
      </c>
      <c r="O535" s="14" t="n">
        <v>46174</v>
      </c>
      <c r="P535" s="7" t="inlineStr">
        <is>
          <t>jobspy</t>
        </is>
      </c>
      <c r="Q535" s="8" t="inlineStr">
        <is>
          <t>git, software development</t>
        </is>
      </c>
      <c r="R535" s="8" t="inlineStr">
        <is>
          <t>Full Stack Developer</t>
        </is>
      </c>
      <c r="S535" s="19" t="n"/>
      <c r="T535" s="19" t="n"/>
      <c r="U535" s="14" t="n">
        <v>46191</v>
      </c>
      <c r="V535" s="7" t="inlineStr">
        <is>
          <t>v2-cv-accuracy-13b988b18da8ea7d</t>
        </is>
      </c>
    </row>
    <row r="536" ht="28" customHeight="1">
      <c r="A536" s="12">
        <f>IF($L536="applied","Applied",IF($L536="interview","Interview",IF($L536="offer","Offer",IF($L536="rejected","Rejected",IF($L536="ignore","Ignore",IF($L536="archive","Archive",IF($L536="closed","Closed",IF($B536="","Unscored",IF(AND($B536&gt;=8,OR($H536="",$H536-TODAY()&lt;=14)),"P1 Apply",IF($B536&gt;=7,"P2 Strong",IF($B536&gt;=5,"P3 Maybe","P4 Low")))))))))))</f>
        <v/>
      </c>
      <c r="B536" s="13" t="n">
        <v>1.63</v>
      </c>
      <c r="C536" s="12" t="inlineStr">
        <is>
          <t>Mid-level</t>
        </is>
      </c>
      <c r="D536" s="8" t="inlineStr">
        <is>
          <t>Frontend Developer</t>
        </is>
      </c>
      <c r="E536" s="7" t="inlineStr">
        <is>
          <t>Acorn Group</t>
        </is>
      </c>
      <c r="F536" s="8" t="inlineStr">
        <is>
          <t>Liverpool, England, UK</t>
        </is>
      </c>
      <c r="G536" s="8" t="n"/>
      <c r="H536" s="14" t="n"/>
      <c r="I536" s="15">
        <f>IF($H536="","",$H536-TODAY())</f>
        <v/>
      </c>
      <c r="J536" s="16" t="inlineStr">
        <is>
          <t>Open posting</t>
        </is>
      </c>
      <c r="K536" s="8" t="inlineStr">
        <is>
          <t>filtered by keyword pre-scan</t>
        </is>
      </c>
      <c r="L536" s="17" t="inlineStr">
        <is>
          <t>new</t>
        </is>
      </c>
      <c r="M536" s="18" t="inlineStr"/>
      <c r="N536" s="7" t="inlineStr">
        <is>
          <t>171cdb9143883077ce849a7b2d9ed3916d394d36</t>
        </is>
      </c>
      <c r="O536" s="14" t="n">
        <v>46183</v>
      </c>
      <c r="P536" s="7" t="inlineStr">
        <is>
          <t>jobspy</t>
        </is>
      </c>
      <c r="Q536" s="8" t="inlineStr">
        <is>
          <t>git</t>
        </is>
      </c>
      <c r="R536" s="8" t="inlineStr">
        <is>
          <t>graduate Full Stack Developer</t>
        </is>
      </c>
      <c r="S536" s="19" t="n"/>
      <c r="T536" s="19" t="n"/>
      <c r="U536" s="14" t="n">
        <v>46191</v>
      </c>
      <c r="V536" s="7" t="inlineStr">
        <is>
          <t>v2-cv-accuracy-13b988b18da8ea7d</t>
        </is>
      </c>
    </row>
    <row r="537" ht="28" customHeight="1">
      <c r="A537" s="12">
        <f>IF($L537="applied","Applied",IF($L537="interview","Interview",IF($L537="offer","Offer",IF($L537="rejected","Rejected",IF($L537="ignore","Ignore",IF($L537="archive","Archive",IF($L537="closed","Closed",IF($B537="","Unscored",IF(AND($B537&gt;=8,OR($H537="",$H537-TODAY()&lt;=14)),"P1 Apply",IF($B537&gt;=7,"P2 Strong",IF($B537&gt;=5,"P3 Maybe","P4 Low")))))))))))</f>
        <v/>
      </c>
      <c r="B537" s="13" t="n">
        <v>1.63</v>
      </c>
      <c r="C537" s="12" t="inlineStr">
        <is>
          <t>Unspecified</t>
        </is>
      </c>
      <c r="D537" s="8" t="inlineStr">
        <is>
          <t>Software Developer, Offers</t>
        </is>
      </c>
      <c r="E537" s="7" t="inlineStr">
        <is>
          <t>bet365</t>
        </is>
      </c>
      <c r="F537" s="8" t="inlineStr">
        <is>
          <t>Manchester, England, UK</t>
        </is>
      </c>
      <c r="G537" s="8" t="n"/>
      <c r="H537" s="14" t="n"/>
      <c r="I537" s="15">
        <f>IF($H537="","",$H537-TODAY())</f>
        <v/>
      </c>
      <c r="J537" s="16" t="inlineStr">
        <is>
          <t>Open posting</t>
        </is>
      </c>
      <c r="K537" s="8" t="inlineStr">
        <is>
          <t>filtered by keyword pre-scan</t>
        </is>
      </c>
      <c r="L537" s="17" t="inlineStr">
        <is>
          <t>new</t>
        </is>
      </c>
      <c r="M537" s="18" t="inlineStr"/>
      <c r="N537" s="7" t="inlineStr">
        <is>
          <t>ea75d4c18cd7a7ee72639051f6db36b40b5af3ab</t>
        </is>
      </c>
      <c r="O537" s="14" t="n">
        <v>46182</v>
      </c>
      <c r="P537" s="7" t="inlineStr">
        <is>
          <t>jobspy</t>
        </is>
      </c>
      <c r="Q537" s="8" t="inlineStr">
        <is>
          <t>sql, software development</t>
        </is>
      </c>
      <c r="R537" s="8" t="inlineStr">
        <is>
          <t>graduate Full Stack Developer</t>
        </is>
      </c>
      <c r="S537" s="19" t="n"/>
      <c r="T537" s="19" t="n"/>
      <c r="U537" s="14" t="n">
        <v>46191</v>
      </c>
      <c r="V537" s="7" t="inlineStr">
        <is>
          <t>v2-cv-accuracy-13b988b18da8ea7d</t>
        </is>
      </c>
    </row>
    <row r="538" ht="28" customHeight="1">
      <c r="A538" s="12">
        <f>IF($L538="applied","Applied",IF($L538="interview","Interview",IF($L538="offer","Offer",IF($L538="rejected","Rejected",IF($L538="ignore","Ignore",IF($L538="archive","Archive",IF($L538="closed","Closed",IF($B538="","Unscored",IF(AND($B538&gt;=8,OR($H538="",$H538-TODAY()&lt;=14)),"P1 Apply",IF($B538&gt;=7,"P2 Strong",IF($B538&gt;=5,"P3 Maybe","P4 Low")))))))))))</f>
        <v/>
      </c>
      <c r="B538" s="13" t="n">
        <v>1.63</v>
      </c>
      <c r="C538" s="12" t="inlineStr">
        <is>
          <t>Graduate/Entry</t>
        </is>
      </c>
      <c r="D538" s="8" t="inlineStr">
        <is>
          <t>Graduate Programme 2027: Software Engineer (Java)</t>
        </is>
      </c>
      <c r="E538" s="7" t="inlineStr">
        <is>
          <t>Revolut</t>
        </is>
      </c>
      <c r="F538" s="8" t="inlineStr"/>
      <c r="G538" s="8" t="n"/>
      <c r="H538" s="14" t="n"/>
      <c r="I538" s="15">
        <f>IF($H538="","",$H538-TODAY())</f>
        <v/>
      </c>
      <c r="J538" s="16" t="inlineStr">
        <is>
          <t>Open posting</t>
        </is>
      </c>
      <c r="K538" s="8" t="inlineStr">
        <is>
          <t>filtered by keyword pre-scan</t>
        </is>
      </c>
      <c r="L538" s="17" t="inlineStr">
        <is>
          <t>new</t>
        </is>
      </c>
      <c r="M538" s="18" t="inlineStr"/>
      <c r="N538" s="7" t="inlineStr">
        <is>
          <t>37b6e14e832c07d3dad95bdaab5847f96d24b4ec</t>
        </is>
      </c>
      <c r="O538" s="14" t="n"/>
      <c r="P538" s="7" t="inlineStr">
        <is>
          <t>jobspy</t>
        </is>
      </c>
      <c r="Q538" s="8" t="inlineStr">
        <is>
          <t>sql</t>
        </is>
      </c>
      <c r="R538" s="8" t="inlineStr">
        <is>
          <t>Graduate Software Developer remote</t>
        </is>
      </c>
      <c r="S538" s="19" t="n"/>
      <c r="T538" s="19" t="n"/>
      <c r="U538" s="14" t="n">
        <v>46191</v>
      </c>
      <c r="V538" s="7" t="inlineStr">
        <is>
          <t>v2-cv-accuracy-13b988b18da8ea7d</t>
        </is>
      </c>
    </row>
    <row r="539" ht="28" customHeight="1">
      <c r="A539" s="12">
        <f>IF($L539="applied","Applied",IF($L539="interview","Interview",IF($L539="offer","Offer",IF($L539="rejected","Rejected",IF($L539="ignore","Ignore",IF($L539="archive","Archive",IF($L539="closed","Closed",IF($B539="","Unscored",IF(AND($B539&gt;=8,OR($H539="",$H539-TODAY()&lt;=14)),"P1 Apply",IF($B539&gt;=7,"P2 Strong",IF($B539&gt;=5,"P3 Maybe","P4 Low")))))))))))</f>
        <v/>
      </c>
      <c r="B539" s="13" t="n">
        <v>1.63</v>
      </c>
      <c r="C539" s="12" t="inlineStr">
        <is>
          <t>Unspecified</t>
        </is>
      </c>
      <c r="D539" s="8" t="inlineStr">
        <is>
          <t>Python工程师-北京（25届校招）</t>
        </is>
      </c>
      <c r="E539" s="7" t="inlineStr">
        <is>
          <t>卓望数码技术(深圳)有限公司</t>
        </is>
      </c>
      <c r="F539" s="8" t="inlineStr">
        <is>
          <t>Beijing, Beijing, China</t>
        </is>
      </c>
      <c r="G539" s="8" t="n"/>
      <c r="H539" s="14" t="n"/>
      <c r="I539" s="15">
        <f>IF($H539="","",$H539-TODAY())</f>
        <v/>
      </c>
      <c r="J539" s="16" t="inlineStr">
        <is>
          <t>Open posting</t>
        </is>
      </c>
      <c r="K539" s="8" t="inlineStr">
        <is>
          <t>filtered by keyword pre-scan</t>
        </is>
      </c>
      <c r="L539" s="17" t="inlineStr">
        <is>
          <t>new</t>
        </is>
      </c>
      <c r="M539" s="18" t="inlineStr"/>
      <c r="N539" s="7" t="inlineStr">
        <is>
          <t>2fb2466c9909dd69aba3a18966711f6ada42fc44</t>
        </is>
      </c>
      <c r="O539" s="14" t="n">
        <v>46171</v>
      </c>
      <c r="P539" s="7" t="inlineStr">
        <is>
          <t>jobspy</t>
        </is>
      </c>
      <c r="Q539" s="8" t="inlineStr">
        <is>
          <t>python</t>
        </is>
      </c>
      <c r="R539" s="8" t="inlineStr">
        <is>
          <t>junior/graduate Junior Python Developer</t>
        </is>
      </c>
      <c r="S539" s="19" t="n"/>
      <c r="T539" s="19" t="n"/>
      <c r="U539" s="14" t="n">
        <v>46191</v>
      </c>
      <c r="V539" s="7" t="inlineStr">
        <is>
          <t>v2-cv-accuracy-13b988b18da8ea7d</t>
        </is>
      </c>
    </row>
    <row r="540" ht="28" customHeight="1">
      <c r="A540" s="12">
        <f>IF($L540="applied","Applied",IF($L540="interview","Interview",IF($L540="offer","Offer",IF($L540="rejected","Rejected",IF($L540="ignore","Ignore",IF($L540="archive","Archive",IF($L540="closed","Closed",IF($B540="","Unscored",IF(AND($B540&gt;=8,OR($H540="",$H540-TODAY()&lt;=14)),"P1 Apply",IF($B540&gt;=7,"P2 Strong",IF($B540&gt;=5,"P3 Maybe","P4 Low")))))))))))</f>
        <v/>
      </c>
      <c r="B540" s="13" t="n">
        <v>1.63</v>
      </c>
      <c r="C540" s="12" t="inlineStr">
        <is>
          <t>Junior</t>
        </is>
      </c>
      <c r="D540" s="8" t="inlineStr">
        <is>
          <t>Junior Full Stack Developer</t>
        </is>
      </c>
      <c r="E540" s="7" t="inlineStr">
        <is>
          <t>Play Sports Network</t>
        </is>
      </c>
      <c r="F540" s="8" t="inlineStr">
        <is>
          <t>Bath, ENG, GB</t>
        </is>
      </c>
      <c r="G540" s="8" t="n"/>
      <c r="H540" s="14" t="n"/>
      <c r="I540" s="15">
        <f>IF($H540="","",$H540-TODAY())</f>
        <v/>
      </c>
      <c r="J540" s="16" t="inlineStr">
        <is>
          <t>Open posting</t>
        </is>
      </c>
      <c r="K540" s="8" t="inlineStr">
        <is>
          <t>filtered by keyword pre-scan</t>
        </is>
      </c>
      <c r="L540" s="17" t="inlineStr">
        <is>
          <t>new</t>
        </is>
      </c>
      <c r="M540" s="18" t="inlineStr"/>
      <c r="N540" s="7" t="inlineStr">
        <is>
          <t>aad42fbb54778868e54c4ede570734e8ef8c4818</t>
        </is>
      </c>
      <c r="O540" s="14" t="n">
        <v>46178</v>
      </c>
      <c r="P540" s="7" t="inlineStr">
        <is>
          <t>jobspy</t>
        </is>
      </c>
      <c r="Q540" s="8" t="inlineStr">
        <is>
          <t>sql, javascript</t>
        </is>
      </c>
      <c r="R540" s="8" t="inlineStr">
        <is>
          <t>junior Full Stack Developer</t>
        </is>
      </c>
      <c r="S540" s="19" t="n"/>
      <c r="T540" s="19" t="n"/>
      <c r="U540" s="14" t="n">
        <v>46191</v>
      </c>
      <c r="V540" s="7" t="inlineStr">
        <is>
          <t>v2-cv-accuracy-13b988b18da8ea7d</t>
        </is>
      </c>
    </row>
    <row r="541" ht="28" customHeight="1">
      <c r="A541" s="12">
        <f>IF($L541="applied","Applied",IF($L541="interview","Interview",IF($L541="offer","Offer",IF($L541="rejected","Rejected",IF($L541="ignore","Ignore",IF($L541="archive","Archive",IF($L541="closed","Closed",IF($B541="","Unscored",IF(AND($B541&gt;=8,OR($H541="",$H541-TODAY()&lt;=14)),"P1 Apply",IF($B541&gt;=7,"P2 Strong",IF($B541&gt;=5,"P3 Maybe","P4 Low")))))))))))</f>
        <v/>
      </c>
      <c r="B541" s="13" t="n">
        <v>1.63</v>
      </c>
      <c r="C541" s="12" t="inlineStr">
        <is>
          <t>Junior</t>
        </is>
      </c>
      <c r="D541" s="8" t="inlineStr">
        <is>
          <t>Python Developer</t>
        </is>
      </c>
      <c r="E541" s="7" t="inlineStr">
        <is>
          <t>Robert Walters</t>
        </is>
      </c>
      <c r="F541" s="8" t="inlineStr">
        <is>
          <t>Glasgow, Scotland, UK</t>
        </is>
      </c>
      <c r="G541" s="8" t="n"/>
      <c r="H541" s="14" t="n"/>
      <c r="I541" s="15">
        <f>IF($H541="","",$H541-TODAY())</f>
        <v/>
      </c>
      <c r="J541" s="16" t="inlineStr">
        <is>
          <t>Open posting</t>
        </is>
      </c>
      <c r="K541" s="8" t="inlineStr">
        <is>
          <t>filtered by keyword pre-scan</t>
        </is>
      </c>
      <c r="L541" s="17" t="inlineStr">
        <is>
          <t>new</t>
        </is>
      </c>
      <c r="M541" s="18" t="inlineStr"/>
      <c r="N541" s="7" t="inlineStr">
        <is>
          <t>fc56b165005276bc3ff6c7127010cbcd39b6dad5</t>
        </is>
      </c>
      <c r="O541" s="14" t="n">
        <v>46184</v>
      </c>
      <c r="P541" s="7" t="inlineStr">
        <is>
          <t>jobspy</t>
        </is>
      </c>
      <c r="Q541" s="8" t="inlineStr">
        <is>
          <t>python, git</t>
        </is>
      </c>
      <c r="R541" s="8" t="inlineStr">
        <is>
          <t>Junior Python Developer</t>
        </is>
      </c>
      <c r="S541" s="19" t="n"/>
      <c r="T541" s="19" t="n"/>
      <c r="U541" s="14" t="n">
        <v>46191</v>
      </c>
      <c r="V541" s="7" t="inlineStr">
        <is>
          <t>v2-cv-accuracy-13b988b18da8ea7d</t>
        </is>
      </c>
    </row>
    <row r="542" ht="28" customHeight="1">
      <c r="A542" s="12">
        <f>IF($L542="applied","Applied",IF($L542="interview","Interview",IF($L542="offer","Offer",IF($L542="rejected","Rejected",IF($L542="ignore","Ignore",IF($L542="archive","Archive",IF($L542="closed","Closed",IF($B542="","Unscored",IF(AND($B542&gt;=8,OR($H542="",$H542-TODAY()&lt;=14)),"P1 Apply",IF($B542&gt;=7,"P2 Strong",IF($B542&gt;=5,"P3 Maybe","P4 Low")))))))))))</f>
        <v/>
      </c>
      <c r="B542" s="13" t="n">
        <v>1.61</v>
      </c>
      <c r="C542" s="12" t="inlineStr">
        <is>
          <t>Senior/Lead</t>
        </is>
      </c>
      <c r="D542" s="8" t="inlineStr">
        <is>
          <t>Data Engineer</t>
        </is>
      </c>
      <c r="E542" s="7" t="inlineStr">
        <is>
          <t>Creditsafe</t>
        </is>
      </c>
      <c r="F542" s="8" t="inlineStr">
        <is>
          <t>Cardiff, Wales, UK</t>
        </is>
      </c>
      <c r="G542" s="8" t="n"/>
      <c r="H542" s="14" t="n"/>
      <c r="I542" s="15">
        <f>IF($H542="","",$H542-TODAY())</f>
        <v/>
      </c>
      <c r="J542" s="16" t="inlineStr">
        <is>
          <t>Open posting</t>
        </is>
      </c>
      <c r="K542" s="8" t="inlineStr">
        <is>
          <t>filtered by keyword pre-scan</t>
        </is>
      </c>
      <c r="L542" s="17" t="inlineStr">
        <is>
          <t>new</t>
        </is>
      </c>
      <c r="M542" s="18" t="inlineStr"/>
      <c r="N542" s="7" t="inlineStr">
        <is>
          <t>428d9f01d41c92274cc2457fc0f6f9b0677c9f1e</t>
        </is>
      </c>
      <c r="O542" s="14" t="n">
        <v>46182</v>
      </c>
      <c r="P542" s="7" t="inlineStr">
        <is>
          <t>jobspy</t>
        </is>
      </c>
      <c r="Q542" s="8" t="inlineStr">
        <is>
          <t>python, sql, mysql, c</t>
        </is>
      </c>
      <c r="R542" s="8" t="inlineStr">
        <is>
          <t>Junior Data Engineer SQL Python MySQL</t>
        </is>
      </c>
      <c r="S542" s="19" t="n"/>
      <c r="T542" s="19" t="n"/>
      <c r="U542" s="14" t="n">
        <v>46193</v>
      </c>
      <c r="V542" s="7" t="inlineStr">
        <is>
          <t>v2-cv-accuracy-13b988b18da8ea7d</t>
        </is>
      </c>
    </row>
    <row r="543" ht="28" customHeight="1">
      <c r="A543" s="12">
        <f>IF($L543="applied","Applied",IF($L543="interview","Interview",IF($L543="offer","Offer",IF($L543="rejected","Rejected",IF($L543="ignore","Ignore",IF($L543="archive","Archive",IF($L543="closed","Closed",IF($B543="","Unscored",IF(AND($B543&gt;=8,OR($H543="",$H543-TODAY()&lt;=14)),"P1 Apply",IF($B543&gt;=7,"P2 Strong",IF($B543&gt;=5,"P3 Maybe","P4 Low")))))))))))</f>
        <v/>
      </c>
      <c r="B543" s="13" t="n">
        <v>1.61</v>
      </c>
      <c r="C543" s="12" t="inlineStr">
        <is>
          <t>Unspecified</t>
        </is>
      </c>
      <c r="D543" s="8" t="inlineStr">
        <is>
          <t>Data Engineer</t>
        </is>
      </c>
      <c r="E543" s="7" t="inlineStr">
        <is>
          <t>Claranet</t>
        </is>
      </c>
      <c r="F543" s="8" t="inlineStr">
        <is>
          <t>London Area, United Kingdom</t>
        </is>
      </c>
      <c r="G543" s="8" t="n"/>
      <c r="H543" s="14" t="n"/>
      <c r="I543" s="15">
        <f>IF($H543="","",$H543-TODAY())</f>
        <v/>
      </c>
      <c r="J543" s="16" t="inlineStr">
        <is>
          <t>Open posting</t>
        </is>
      </c>
      <c r="K543" s="8" t="inlineStr">
        <is>
          <t>filtered by keyword pre-scan</t>
        </is>
      </c>
      <c r="L543" s="17" t="inlineStr">
        <is>
          <t>new</t>
        </is>
      </c>
      <c r="M543" s="18" t="inlineStr"/>
      <c r="N543" s="7" t="inlineStr">
        <is>
          <t>3b3176d49c5ed1bc6c8341d0d812bae2544a56d5</t>
        </is>
      </c>
      <c r="O543" s="14" t="n">
        <v>46178</v>
      </c>
      <c r="P543" s="7" t="inlineStr">
        <is>
          <t>jobspy</t>
        </is>
      </c>
      <c r="Q543" s="8" t="inlineStr">
        <is>
          <t>python, sql, mysql, c</t>
        </is>
      </c>
      <c r="R543" s="8" t="inlineStr">
        <is>
          <t>Junior Data Engineer SQL Python MySQL</t>
        </is>
      </c>
      <c r="S543" s="19" t="n"/>
      <c r="T543" s="19" t="n"/>
      <c r="U543" s="14" t="n">
        <v>46193</v>
      </c>
      <c r="V543" s="7" t="inlineStr">
        <is>
          <t>v2-cv-accuracy-13b988b18da8ea7d</t>
        </is>
      </c>
    </row>
    <row r="544" ht="28" customHeight="1">
      <c r="A544" s="12">
        <f>IF($L544="applied","Applied",IF($L544="interview","Interview",IF($L544="offer","Offer",IF($L544="rejected","Rejected",IF($L544="ignore","Ignore",IF($L544="archive","Archive",IF($L544="closed","Closed",IF($B544="","Unscored",IF(AND($B544&gt;=8,OR($H544="",$H544-TODAY()&lt;=14)),"P1 Apply",IF($B544&gt;=7,"P2 Strong",IF($B544&gt;=5,"P3 Maybe","P4 Low")))))))))))</f>
        <v/>
      </c>
      <c r="B544" s="13" t="n">
        <v>1.61</v>
      </c>
      <c r="C544" s="12" t="inlineStr">
        <is>
          <t>Mid-level</t>
        </is>
      </c>
      <c r="D544" s="8" t="inlineStr">
        <is>
          <t>Embedded Software Engineer</t>
        </is>
      </c>
      <c r="E544" s="7" t="inlineStr">
        <is>
          <t>Chevalier Tech Limited</t>
        </is>
      </c>
      <c r="F544" s="8" t="inlineStr">
        <is>
          <t>London Area, United Kingdom</t>
        </is>
      </c>
      <c r="G544" s="8" t="n"/>
      <c r="H544" s="14" t="n"/>
      <c r="I544" s="15">
        <f>IF($H544="","",$H544-TODAY())</f>
        <v/>
      </c>
      <c r="J544" s="16" t="inlineStr">
        <is>
          <t>Open posting</t>
        </is>
      </c>
      <c r="K544" s="8" t="inlineStr">
        <is>
          <t>filtered by keyword pre-scan</t>
        </is>
      </c>
      <c r="L544" s="17" t="inlineStr">
        <is>
          <t>new</t>
        </is>
      </c>
      <c r="M544" s="18" t="inlineStr"/>
      <c r="N544" s="7" t="inlineStr">
        <is>
          <t>8c547538b2404626036f245e1e362766d5a081d4</t>
        </is>
      </c>
      <c r="O544" s="14" t="n">
        <v>46171</v>
      </c>
      <c r="P544" s="7" t="inlineStr">
        <is>
          <t>jobspy</t>
        </is>
      </c>
      <c r="Q544" s="8" t="inlineStr">
        <is>
          <t>python, git, c, embedded systems</t>
        </is>
      </c>
      <c r="R544" s="8" t="inlineStr">
        <is>
          <t>Embedded Systems Graduate Engineer IoT</t>
        </is>
      </c>
      <c r="S544" s="19" t="n"/>
      <c r="T544" s="19" t="n"/>
      <c r="U544" s="14" t="n">
        <v>46193</v>
      </c>
      <c r="V544" s="7" t="inlineStr">
        <is>
          <t>v2-cv-accuracy-13b988b18da8ea7d</t>
        </is>
      </c>
    </row>
    <row r="545" ht="28" customHeight="1">
      <c r="A545" s="12">
        <f>IF($L545="applied","Applied",IF($L545="interview","Interview",IF($L545="offer","Offer",IF($L545="rejected","Rejected",IF($L545="ignore","Ignore",IF($L545="archive","Archive",IF($L545="closed","Closed",IF($B545="","Unscored",IF(AND($B545&gt;=8,OR($H545="",$H545-TODAY()&lt;=14)),"P1 Apply",IF($B545&gt;=7,"P2 Strong",IF($B545&gt;=5,"P3 Maybe","P4 Low")))))))))))</f>
        <v/>
      </c>
      <c r="B545" s="13" t="n">
        <v>1.61</v>
      </c>
      <c r="C545" s="12" t="inlineStr">
        <is>
          <t>Mid-level</t>
        </is>
      </c>
      <c r="D545" s="8" t="inlineStr">
        <is>
          <t>Software Engineer</t>
        </is>
      </c>
      <c r="E545" s="7" t="inlineStr">
        <is>
          <t>NeuroHarmonics</t>
        </is>
      </c>
      <c r="F545" s="8" t="inlineStr">
        <is>
          <t>London Area, United Kingdom</t>
        </is>
      </c>
      <c r="G545" s="8" t="n"/>
      <c r="H545" s="14" t="n"/>
      <c r="I545" s="15">
        <f>IF($H545="","",$H545-TODAY())</f>
        <v/>
      </c>
      <c r="J545" s="16" t="inlineStr">
        <is>
          <t>Open posting</t>
        </is>
      </c>
      <c r="K545" s="8" t="inlineStr">
        <is>
          <t>filtered by keyword pre-scan</t>
        </is>
      </c>
      <c r="L545" s="17" t="inlineStr">
        <is>
          <t>new</t>
        </is>
      </c>
      <c r="M545" s="18" t="inlineStr"/>
      <c r="N545" s="7" t="inlineStr">
        <is>
          <t>175ac577522cb30a4a4498efa3d9efed2a637edd</t>
        </is>
      </c>
      <c r="O545" s="14" t="n">
        <v>46188</v>
      </c>
      <c r="P545" s="7" t="inlineStr">
        <is>
          <t>jobspy</t>
        </is>
      </c>
      <c r="Q545" s="8" t="inlineStr">
        <is>
          <t>python, c, embedded systems, dsp</t>
        </is>
      </c>
      <c r="R545" s="8" t="inlineStr">
        <is>
          <t>Graduate Signal Processing Engineer DSP</t>
        </is>
      </c>
      <c r="S545" s="19" t="n"/>
      <c r="T545" s="19" t="n"/>
      <c r="U545" s="14" t="n">
        <v>46193</v>
      </c>
      <c r="V545" s="7" t="inlineStr">
        <is>
          <t>v2-cv-accuracy-13b988b18da8ea7d</t>
        </is>
      </c>
    </row>
    <row r="546" ht="28" customHeight="1">
      <c r="A546" s="12">
        <f>IF($L546="applied","Applied",IF($L546="interview","Interview",IF($L546="offer","Offer",IF($L546="rejected","Rejected",IF($L546="ignore","Ignore",IF($L546="archive","Archive",IF($L546="closed","Closed",IF($B546="","Unscored",IF(AND($B546&gt;=8,OR($H546="",$H546-TODAY()&lt;=14)),"P1 Apply",IF($B546&gt;=7,"P2 Strong",IF($B546&gt;=5,"P3 Maybe","P4 Low")))))))))))</f>
        <v/>
      </c>
      <c r="B546" s="13" t="n">
        <v>1.61</v>
      </c>
      <c r="C546" s="12" t="inlineStr">
        <is>
          <t>Mid-level</t>
        </is>
      </c>
      <c r="D546" s="8" t="inlineStr">
        <is>
          <t>Service Automation Engineer</t>
        </is>
      </c>
      <c r="E546" s="7" t="inlineStr">
        <is>
          <t>Moneycorp</t>
        </is>
      </c>
      <c r="F546" s="8" t="inlineStr">
        <is>
          <t>London, England, UK</t>
        </is>
      </c>
      <c r="G546" s="8" t="n"/>
      <c r="H546" s="14" t="n"/>
      <c r="I546" s="15">
        <f>IF($H546="","",$H546-TODAY())</f>
        <v/>
      </c>
      <c r="J546" s="16" t="inlineStr">
        <is>
          <t>Open posting</t>
        </is>
      </c>
      <c r="K546" s="8" t="inlineStr">
        <is>
          <t>filtered by keyword pre-scan</t>
        </is>
      </c>
      <c r="L546" s="17" t="inlineStr">
        <is>
          <t>new</t>
        </is>
      </c>
      <c r="M546" s="18" t="inlineStr"/>
      <c r="N546" s="7" t="inlineStr">
        <is>
          <t>ea5122234643554e9b3079c2830e13d3e15a7b73</t>
        </is>
      </c>
      <c r="O546" s="14" t="n">
        <v>46184</v>
      </c>
      <c r="P546" s="7" t="inlineStr">
        <is>
          <t>jobspy</t>
        </is>
      </c>
      <c r="Q546" s="8" t="inlineStr">
        <is>
          <t>python, docker, git, c</t>
        </is>
      </c>
      <c r="R546" s="8" t="inlineStr">
        <is>
          <t>Platform Engineer graduate Docker Kubernetes Python</t>
        </is>
      </c>
      <c r="S546" s="19" t="n"/>
      <c r="T546" s="19" t="n"/>
      <c r="U546" s="14" t="n">
        <v>46193</v>
      </c>
      <c r="V546" s="7" t="inlineStr">
        <is>
          <t>v2-cv-accuracy-13b988b18da8ea7d</t>
        </is>
      </c>
    </row>
    <row r="547" ht="28" customHeight="1">
      <c r="A547" s="12">
        <f>IF($L547="applied","Applied",IF($L547="interview","Interview",IF($L547="offer","Offer",IF($L547="rejected","Rejected",IF($L547="ignore","Ignore",IF($L547="archive","Archive",IF($L547="closed","Closed",IF($B547="","Unscored",IF(AND($B547&gt;=8,OR($H547="",$H547-TODAY()&lt;=14)),"P1 Apply",IF($B547&gt;=7,"P2 Strong",IF($B547&gt;=5,"P3 Maybe","P4 Low")))))))))))</f>
        <v/>
      </c>
      <c r="B547" s="13" t="n">
        <v>1.61</v>
      </c>
      <c r="C547" s="12" t="inlineStr">
        <is>
          <t>Mid-level</t>
        </is>
      </c>
      <c r="D547" s="8" t="inlineStr">
        <is>
          <t>Service Automation Engineer</t>
        </is>
      </c>
      <c r="E547" s="7" t="inlineStr">
        <is>
          <t>Moneycorp</t>
        </is>
      </c>
      <c r="F547" s="8" t="inlineStr">
        <is>
          <t>London, ENG, GB</t>
        </is>
      </c>
      <c r="G547" s="8" t="n"/>
      <c r="H547" s="14" t="n"/>
      <c r="I547" s="15">
        <f>IF($H547="","",$H547-TODAY())</f>
        <v/>
      </c>
      <c r="J547" s="16" t="inlineStr">
        <is>
          <t>Open posting</t>
        </is>
      </c>
      <c r="K547" s="8" t="inlineStr">
        <is>
          <t>filtered by keyword pre-scan</t>
        </is>
      </c>
      <c r="L547" s="17" t="inlineStr">
        <is>
          <t>new</t>
        </is>
      </c>
      <c r="M547" s="18" t="inlineStr"/>
      <c r="N547" s="7" t="inlineStr">
        <is>
          <t>653d8a719db9bd364d587bee4cd8fcb74e50d898</t>
        </is>
      </c>
      <c r="O547" s="14" t="n">
        <v>46184</v>
      </c>
      <c r="P547" s="7" t="inlineStr">
        <is>
          <t>jobspy</t>
        </is>
      </c>
      <c r="Q547" s="8" t="inlineStr">
        <is>
          <t>python, docker, git, c</t>
        </is>
      </c>
      <c r="R547" s="8" t="inlineStr">
        <is>
          <t>Graduate Software Engineer Python Docker</t>
        </is>
      </c>
      <c r="S547" s="19" t="n"/>
      <c r="T547" s="19" t="n"/>
      <c r="U547" s="14" t="n">
        <v>46193</v>
      </c>
      <c r="V547" s="7" t="inlineStr">
        <is>
          <t>v2-cv-accuracy-13b988b18da8ea7d</t>
        </is>
      </c>
    </row>
    <row r="548" ht="28" customHeight="1">
      <c r="A548" s="12">
        <f>IF($L548="applied","Applied",IF($L548="interview","Interview",IF($L548="offer","Offer",IF($L548="rejected","Rejected",IF($L548="ignore","Ignore",IF($L548="archive","Archive",IF($L548="closed","Closed",IF($B548="","Unscored",IF(AND($B548&gt;=8,OR($H548="",$H548-TODAY()&lt;=14)),"P1 Apply",IF($B548&gt;=7,"P2 Strong",IF($B548&gt;=5,"P3 Maybe","P4 Low")))))))))))</f>
        <v/>
      </c>
      <c r="B548" s="13" t="n">
        <v>1.61</v>
      </c>
      <c r="C548" s="12" t="inlineStr">
        <is>
          <t>Unspecified</t>
        </is>
      </c>
      <c r="D548" s="8" t="inlineStr">
        <is>
          <t>Embedded Software Engineer - Audio Technologies</t>
        </is>
      </c>
      <c r="E548" s="7" t="inlineStr">
        <is>
          <t>Christy Media Solutions</t>
        </is>
      </c>
      <c r="F548" s="8" t="inlineStr">
        <is>
          <t>Surrey, England, UK</t>
        </is>
      </c>
      <c r="G548" s="8" t="n"/>
      <c r="H548" s="14" t="n"/>
      <c r="I548" s="15">
        <f>IF($H548="","",$H548-TODAY())</f>
        <v/>
      </c>
      <c r="J548" s="16" t="inlineStr">
        <is>
          <t>Open posting</t>
        </is>
      </c>
      <c r="K548" s="8" t="inlineStr">
        <is>
          <t>filtered by keyword pre-scan</t>
        </is>
      </c>
      <c r="L548" s="17" t="inlineStr">
        <is>
          <t>new</t>
        </is>
      </c>
      <c r="M548" s="18" t="inlineStr"/>
      <c r="N548" s="7" t="inlineStr">
        <is>
          <t>8f61b965ec6279cb28723d1ed64b8b6811a21df5</t>
        </is>
      </c>
      <c r="O548" s="14" t="n">
        <v>46168</v>
      </c>
      <c r="P548" s="7" t="inlineStr">
        <is>
          <t>jobspy</t>
        </is>
      </c>
      <c r="Q548" s="8" t="inlineStr">
        <is>
          <t>fpga, c, embedded systems, dsp</t>
        </is>
      </c>
      <c r="R548" s="8" t="inlineStr">
        <is>
          <t>Embedded Systems Engineer FPGA DSP</t>
        </is>
      </c>
      <c r="S548" s="19" t="n"/>
      <c r="T548" s="19" t="n"/>
      <c r="U548" s="14" t="n">
        <v>46193</v>
      </c>
      <c r="V548" s="7" t="inlineStr">
        <is>
          <t>v2-cv-accuracy-13b988b18da8ea7d</t>
        </is>
      </c>
    </row>
    <row r="549" ht="28" customHeight="1">
      <c r="A549" s="12">
        <f>IF($L549="applied","Applied",IF($L549="interview","Interview",IF($L549="offer","Offer",IF($L549="rejected","Rejected",IF($L549="ignore","Ignore",IF($L549="archive","Archive",IF($L549="closed","Closed",IF($B549="","Unscored",IF(AND($B549&gt;=8,OR($H549="",$H549-TODAY()&lt;=14)),"P1 Apply",IF($B549&gt;=7,"P2 Strong",IF($B549&gt;=5,"P3 Maybe","P4 Low")))))))))))</f>
        <v/>
      </c>
      <c r="B549" s="13" t="n">
        <v>1.61</v>
      </c>
      <c r="C549" s="12" t="inlineStr">
        <is>
          <t>Unspecified</t>
        </is>
      </c>
      <c r="D549" s="8" t="inlineStr">
        <is>
          <t>Site Reliability Engineer (SRE),</t>
        </is>
      </c>
      <c r="E549" s="7" t="inlineStr">
        <is>
          <t>Apple</t>
        </is>
      </c>
      <c r="F549" s="8" t="inlineStr">
        <is>
          <t>London, ENG, GB</t>
        </is>
      </c>
      <c r="G549" s="8" t="n"/>
      <c r="H549" s="14" t="n"/>
      <c r="I549" s="15">
        <f>IF($H549="","",$H549-TODAY())</f>
        <v/>
      </c>
      <c r="J549" s="16" t="inlineStr">
        <is>
          <t>Open posting</t>
        </is>
      </c>
      <c r="K549" s="8" t="inlineStr">
        <is>
          <t>filtered by keyword pre-scan</t>
        </is>
      </c>
      <c r="L549" s="17" t="inlineStr">
        <is>
          <t>new</t>
        </is>
      </c>
      <c r="M549" s="18" t="inlineStr"/>
      <c r="N549" s="7" t="inlineStr">
        <is>
          <t>b15597043874ea2be03465c788200ff372216c5f</t>
        </is>
      </c>
      <c r="O549" s="14" t="n">
        <v>46190</v>
      </c>
      <c r="P549" s="7" t="inlineStr">
        <is>
          <t>jobspy</t>
        </is>
      </c>
      <c r="Q549" s="8" t="inlineStr">
        <is>
          <t>python, docker, kubernetes, c</t>
        </is>
      </c>
      <c r="R549" s="8" t="inlineStr">
        <is>
          <t>Platform Engineer Docker Kubernetes Python</t>
        </is>
      </c>
      <c r="S549" s="19" t="n"/>
      <c r="T549" s="19" t="n"/>
      <c r="U549" s="14" t="n">
        <v>46193</v>
      </c>
      <c r="V549" s="7" t="inlineStr">
        <is>
          <t>v2-cv-accuracy-13b988b18da8ea7d</t>
        </is>
      </c>
    </row>
    <row r="550" ht="28" customHeight="1">
      <c r="A550" s="12">
        <f>IF($L550="applied","Applied",IF($L550="interview","Interview",IF($L550="offer","Offer",IF($L550="rejected","Rejected",IF($L550="ignore","Ignore",IF($L550="archive","Archive",IF($L550="closed","Closed",IF($B550="","Unscored",IF(AND($B550&gt;=8,OR($H550="",$H550-TODAY()&lt;=14)),"P1 Apply",IF($B550&gt;=7,"P2 Strong",IF($B550&gt;=5,"P3 Maybe","P4 Low")))))))))))</f>
        <v/>
      </c>
      <c r="B550" s="13" t="n">
        <v>1.61</v>
      </c>
      <c r="C550" s="12" t="inlineStr">
        <is>
          <t>Unspecified</t>
        </is>
      </c>
      <c r="D550" s="8" t="inlineStr">
        <is>
          <t>Kubernetes Platform Engineer</t>
        </is>
      </c>
      <c r="E550" s="7" t="inlineStr">
        <is>
          <t>G-Research</t>
        </is>
      </c>
      <c r="F550" s="8" t="inlineStr">
        <is>
          <t>London Area, United Kingdom</t>
        </is>
      </c>
      <c r="G550" s="8" t="n"/>
      <c r="H550" s="14" t="n"/>
      <c r="I550" s="15">
        <f>IF($H550="","",$H550-TODAY())</f>
        <v/>
      </c>
      <c r="J550" s="16" t="inlineStr">
        <is>
          <t>Open posting</t>
        </is>
      </c>
      <c r="K550" s="8" t="inlineStr">
        <is>
          <t>filtered by keyword pre-scan</t>
        </is>
      </c>
      <c r="L550" s="17" t="inlineStr">
        <is>
          <t>new</t>
        </is>
      </c>
      <c r="M550" s="18" t="inlineStr"/>
      <c r="N550" s="7" t="inlineStr">
        <is>
          <t>5ee9c5c895762089d3350fe3d2bef86723755670</t>
        </is>
      </c>
      <c r="O550" s="14" t="n">
        <v>46187</v>
      </c>
      <c r="P550" s="7" t="inlineStr">
        <is>
          <t>jobspy</t>
        </is>
      </c>
      <c r="Q550" s="8" t="inlineStr">
        <is>
          <t>python, kubernetes, git, c</t>
        </is>
      </c>
      <c r="R550" s="8" t="inlineStr">
        <is>
          <t>Platform Engineer Docker Kubernetes Python</t>
        </is>
      </c>
      <c r="S550" s="19" t="n"/>
      <c r="T550" s="19" t="n"/>
      <c r="U550" s="14" t="n">
        <v>46193</v>
      </c>
      <c r="V550" s="7" t="inlineStr">
        <is>
          <t>v2-cv-accuracy-13b988b18da8ea7d</t>
        </is>
      </c>
    </row>
    <row r="551" ht="28" customHeight="1">
      <c r="A551" s="12">
        <f>IF($L551="applied","Applied",IF($L551="interview","Interview",IF($L551="offer","Offer",IF($L551="rejected","Rejected",IF($L551="ignore","Ignore",IF($L551="archive","Archive",IF($L551="closed","Closed",IF($B551="","Unscored",IF(AND($B551&gt;=8,OR($H551="",$H551-TODAY()&lt;=14)),"P1 Apply",IF($B551&gt;=7,"P2 Strong",IF($B551&gt;=5,"P3 Maybe","P4 Low")))))))))))</f>
        <v/>
      </c>
      <c r="B551" s="13" t="n">
        <v>1.61</v>
      </c>
      <c r="C551" s="12" t="inlineStr">
        <is>
          <t>Senior/Lead</t>
        </is>
      </c>
      <c r="D551" s="8" t="inlineStr">
        <is>
          <t>Platform Engineer</t>
        </is>
      </c>
      <c r="E551" s="7" t="inlineStr">
        <is>
          <t>dunnhumby</t>
        </is>
      </c>
      <c r="F551" s="8" t="inlineStr">
        <is>
          <t>London, England, UK</t>
        </is>
      </c>
      <c r="G551" s="8" t="n"/>
      <c r="H551" s="14" t="n"/>
      <c r="I551" s="15">
        <f>IF($H551="","",$H551-TODAY())</f>
        <v/>
      </c>
      <c r="J551" s="16" t="inlineStr">
        <is>
          <t>Open posting</t>
        </is>
      </c>
      <c r="K551" s="8" t="inlineStr">
        <is>
          <t>filtered by keyword pre-scan</t>
        </is>
      </c>
      <c r="L551" s="17" t="inlineStr">
        <is>
          <t>new</t>
        </is>
      </c>
      <c r="M551" s="18" t="inlineStr"/>
      <c r="N551" s="7" t="inlineStr">
        <is>
          <t>9dac80a928396641d7533b3d2d36299b6511b254</t>
        </is>
      </c>
      <c r="O551" s="14" t="n">
        <v>46177</v>
      </c>
      <c r="P551" s="7" t="inlineStr">
        <is>
          <t>jobspy</t>
        </is>
      </c>
      <c r="Q551" s="8" t="inlineStr">
        <is>
          <t>docker, kubernetes, git, c</t>
        </is>
      </c>
      <c r="R551" s="8" t="inlineStr">
        <is>
          <t>Platform Engineer Docker Kubernetes Python</t>
        </is>
      </c>
      <c r="S551" s="19" t="n"/>
      <c r="T551" s="19" t="n"/>
      <c r="U551" s="14" t="n">
        <v>46193</v>
      </c>
      <c r="V551" s="7" t="inlineStr">
        <is>
          <t>v2-cv-accuracy-13b988b18da8ea7d</t>
        </is>
      </c>
    </row>
    <row r="552" ht="28" customHeight="1">
      <c r="A552" s="12">
        <f>IF($L552="applied","Applied",IF($L552="interview","Interview",IF($L552="offer","Offer",IF($L552="rejected","Rejected",IF($L552="ignore","Ignore",IF($L552="archive","Archive",IF($L552="closed","Closed",IF($B552="","Unscored",IF(AND($B552&gt;=8,OR($H552="",$H552-TODAY()&lt;=14)),"P1 Apply",IF($B552&gt;=7,"P2 Strong",IF($B552&gt;=5,"P3 Maybe","P4 Low")))))))))))</f>
        <v/>
      </c>
      <c r="B552" s="13" t="n">
        <v>1.61</v>
      </c>
      <c r="C552" s="12" t="inlineStr">
        <is>
          <t>Junior</t>
        </is>
      </c>
      <c r="D552" s="8" t="inlineStr">
        <is>
          <t>Junior Software Engineer</t>
        </is>
      </c>
      <c r="E552" s="7" t="inlineStr">
        <is>
          <t>Opus 2 International</t>
        </is>
      </c>
      <c r="F552" s="8" t="inlineStr">
        <is>
          <t>Edinburgh, SCT, GB</t>
        </is>
      </c>
      <c r="G552" s="8" t="n"/>
      <c r="H552" s="14" t="n"/>
      <c r="I552" s="15">
        <f>IF($H552="","",$H552-TODAY())</f>
        <v/>
      </c>
      <c r="J552" s="16" t="inlineStr">
        <is>
          <t>Open posting</t>
        </is>
      </c>
      <c r="K552" s="8" t="inlineStr">
        <is>
          <t>filtered by keyword pre-scan</t>
        </is>
      </c>
      <c r="L552" s="17" t="inlineStr">
        <is>
          <t>new</t>
        </is>
      </c>
      <c r="M552" s="18" t="inlineStr"/>
      <c r="N552" s="7" t="inlineStr">
        <is>
          <t>33523c87fd8e4eec73b3c3004117c7560996b268</t>
        </is>
      </c>
      <c r="O552" s="14" t="n">
        <v>46178</v>
      </c>
      <c r="P552" s="7" t="inlineStr">
        <is>
          <t>jobspy</t>
        </is>
      </c>
      <c r="Q552" s="8" t="inlineStr">
        <is>
          <t>python, kubernetes, git, c</t>
        </is>
      </c>
      <c r="R552" s="8" t="inlineStr">
        <is>
          <t>Junior Software Engineer Python backend</t>
        </is>
      </c>
      <c r="S552" s="19" t="n"/>
      <c r="T552" s="19" t="n"/>
      <c r="U552" s="14" t="n">
        <v>46193</v>
      </c>
      <c r="V552" s="7" t="inlineStr">
        <is>
          <t>v2-cv-accuracy-13b988b18da8ea7d</t>
        </is>
      </c>
    </row>
    <row r="553" ht="28" customHeight="1">
      <c r="A553" s="12">
        <f>IF($L553="applied","Applied",IF($L553="interview","Interview",IF($L553="offer","Offer",IF($L553="rejected","Rejected",IF($L553="ignore","Ignore",IF($L553="archive","Archive",IF($L553="closed","Closed",IF($B553="","Unscored",IF(AND($B553&gt;=8,OR($H553="",$H553-TODAY()&lt;=14)),"P1 Apply",IF($B553&gt;=7,"P2 Strong",IF($B553&gt;=5,"P3 Maybe","P4 Low")))))))))))</f>
        <v/>
      </c>
      <c r="B553" s="13" t="n">
        <v>1.61</v>
      </c>
      <c r="C553" s="12" t="inlineStr">
        <is>
          <t>Graduate/Entry</t>
        </is>
      </c>
      <c r="D553" s="8" t="inlineStr">
        <is>
          <t>Graduate Data &amp; Digital Engineer</t>
        </is>
      </c>
      <c r="E553" s="7" t="inlineStr">
        <is>
          <t>ALTRAD</t>
        </is>
      </c>
      <c r="F553" s="8" t="inlineStr">
        <is>
          <t>Middlesbrough, ENG, GB</t>
        </is>
      </c>
      <c r="G553" s="8" t="n"/>
      <c r="H553" s="14" t="n"/>
      <c r="I553" s="15">
        <f>IF($H553="","",$H553-TODAY())</f>
        <v/>
      </c>
      <c r="J553" s="16" t="inlineStr">
        <is>
          <t>Open posting</t>
        </is>
      </c>
      <c r="K553" s="8" t="inlineStr">
        <is>
          <t>filtered by keyword pre-scan</t>
        </is>
      </c>
      <c r="L553" s="17" t="inlineStr">
        <is>
          <t>new</t>
        </is>
      </c>
      <c r="M553" s="18" t="inlineStr"/>
      <c r="N553" s="7" t="inlineStr">
        <is>
          <t>a34ceb3f923899d8b54b043b23bca4daec0f4793</t>
        </is>
      </c>
      <c r="O553" s="14" t="n">
        <v>46176</v>
      </c>
      <c r="P553" s="7" t="inlineStr">
        <is>
          <t>jobspy</t>
        </is>
      </c>
      <c r="Q553" s="8" t="inlineStr">
        <is>
          <t>python, sql, git, c</t>
        </is>
      </c>
      <c r="R553" s="8" t="inlineStr">
        <is>
          <t>Graduate Data Engineer SQL Python pipeline</t>
        </is>
      </c>
      <c r="S553" s="19" t="n"/>
      <c r="T553" s="19" t="n"/>
      <c r="U553" s="14" t="n">
        <v>46192</v>
      </c>
      <c r="V553" s="7" t="inlineStr">
        <is>
          <t>v2-cv-accuracy-13b988b18da8ea7d</t>
        </is>
      </c>
    </row>
    <row r="554" ht="28" customHeight="1">
      <c r="A554" s="12">
        <f>IF($L554="applied","Applied",IF($L554="interview","Interview",IF($L554="offer","Offer",IF($L554="rejected","Rejected",IF($L554="ignore","Ignore",IF($L554="archive","Archive",IF($L554="closed","Closed",IF($B554="","Unscored",IF(AND($B554&gt;=8,OR($H554="",$H554-TODAY()&lt;=14)),"P1 Apply",IF($B554&gt;=7,"P2 Strong",IF($B554&gt;=5,"P3 Maybe","P4 Low")))))))))))</f>
        <v/>
      </c>
      <c r="B554" s="13" t="n">
        <v>1.61</v>
      </c>
      <c r="C554" s="12" t="inlineStr">
        <is>
          <t>Junior</t>
        </is>
      </c>
      <c r="D554" s="8" t="inlineStr">
        <is>
          <t>Associate Data Platform Engineer - Cyber  Data Platform</t>
        </is>
      </c>
      <c r="E554" s="7" t="inlineStr">
        <is>
          <t>hackajob</t>
        </is>
      </c>
      <c r="F554" s="8" t="inlineStr">
        <is>
          <t>London, England, UK</t>
        </is>
      </c>
      <c r="G554" s="8" t="n"/>
      <c r="H554" s="14" t="n"/>
      <c r="I554" s="15">
        <f>IF($H554="","",$H554-TODAY())</f>
        <v/>
      </c>
      <c r="J554" s="16" t="inlineStr">
        <is>
          <t>Open posting</t>
        </is>
      </c>
      <c r="K554" s="8" t="inlineStr">
        <is>
          <t>filtered by keyword pre-scan</t>
        </is>
      </c>
      <c r="L554" s="17" t="inlineStr">
        <is>
          <t>new</t>
        </is>
      </c>
      <c r="M554" s="18" t="inlineStr"/>
      <c r="N554" s="7" t="inlineStr">
        <is>
          <t>0f3f0fdd562299e001ed01a579263e8702767021</t>
        </is>
      </c>
      <c r="O554" s="14" t="n"/>
      <c r="P554" s="7" t="inlineStr">
        <is>
          <t>jobspy</t>
        </is>
      </c>
      <c r="Q554" s="8" t="inlineStr">
        <is>
          <t>python, sql, git, c</t>
        </is>
      </c>
      <c r="R554" s="8" t="inlineStr">
        <is>
          <t>Graduate Data Engineer SQL Python pipeline</t>
        </is>
      </c>
      <c r="S554" s="19" t="n"/>
      <c r="T554" s="19" t="n"/>
      <c r="U554" s="14" t="n">
        <v>46192</v>
      </c>
      <c r="V554" s="7" t="inlineStr">
        <is>
          <t>v2-cv-accuracy-13b988b18da8ea7d</t>
        </is>
      </c>
    </row>
    <row r="555" ht="28" customHeight="1">
      <c r="A555" s="12">
        <f>IF($L555="applied","Applied",IF($L555="interview","Interview",IF($L555="offer","Offer",IF($L555="rejected","Rejected",IF($L555="ignore","Ignore",IF($L555="archive","Archive",IF($L555="closed","Closed",IF($B555="","Unscored",IF(AND($B555&gt;=8,OR($H555="",$H555-TODAY()&lt;=14)),"P1 Apply",IF($B555&gt;=7,"P2 Strong",IF($B555&gt;=5,"P3 Maybe","P4 Low")))))))))))</f>
        <v/>
      </c>
      <c r="B555" s="13" t="n">
        <v>1.61</v>
      </c>
      <c r="C555" s="12" t="inlineStr">
        <is>
          <t>Unspecified</t>
        </is>
      </c>
      <c r="D555" s="8" t="inlineStr">
        <is>
          <t>Embedded Systems Engineer - AI Trainer</t>
        </is>
      </c>
      <c r="E555" s="7" t="inlineStr">
        <is>
          <t>DataAnnotation</t>
        </is>
      </c>
      <c r="F555" s="8" t="inlineStr"/>
      <c r="G555" s="8" t="n"/>
      <c r="H555" s="14" t="n"/>
      <c r="I555" s="15">
        <f>IF($H555="","",$H555-TODAY())</f>
        <v/>
      </c>
      <c r="J555" s="16" t="inlineStr">
        <is>
          <t>Open posting</t>
        </is>
      </c>
      <c r="K555" s="8" t="inlineStr">
        <is>
          <t>filtered by keyword pre-scan</t>
        </is>
      </c>
      <c r="L555" s="17" t="inlineStr">
        <is>
          <t>new</t>
        </is>
      </c>
      <c r="M555" s="18" t="inlineStr"/>
      <c r="N555" s="7" t="inlineStr">
        <is>
          <t>20a5f0d388d0c38c08a0a72d8b867dbd073b8731</t>
        </is>
      </c>
      <c r="O555" s="14" t="n">
        <v>46180</v>
      </c>
      <c r="P555" s="7" t="inlineStr">
        <is>
          <t>jobspy</t>
        </is>
      </c>
      <c r="Q555" s="8" t="inlineStr">
        <is>
          <t>python, c, javascript, embedded systems</t>
        </is>
      </c>
      <c r="R555" s="8" t="inlineStr">
        <is>
          <t>Junior Embedded Systems Engineer Python C</t>
        </is>
      </c>
      <c r="S555" s="19" t="n"/>
      <c r="T555" s="19" t="n"/>
      <c r="U555" s="14" t="n">
        <v>46192</v>
      </c>
      <c r="V555" s="7" t="inlineStr">
        <is>
          <t>v2-cv-accuracy-13b988b18da8ea7d</t>
        </is>
      </c>
    </row>
    <row r="556" ht="28" customHeight="1">
      <c r="A556" s="12">
        <f>IF($L556="applied","Applied",IF($L556="interview","Interview",IF($L556="offer","Offer",IF($L556="rejected","Rejected",IF($L556="ignore","Ignore",IF($L556="archive","Archive",IF($L556="closed","Closed",IF($B556="","Unscored",IF(AND($B556&gt;=8,OR($H556="",$H556-TODAY()&lt;=14)),"P1 Apply",IF($B556&gt;=7,"P2 Strong",IF($B556&gt;=5,"P3 Maybe","P4 Low")))))))))))</f>
        <v/>
      </c>
      <c r="B556" s="13" t="n">
        <v>1.61</v>
      </c>
      <c r="C556" s="12" t="inlineStr">
        <is>
          <t>Junior</t>
        </is>
      </c>
      <c r="D556" s="8" t="inlineStr">
        <is>
          <t>Platform Engineer</t>
        </is>
      </c>
      <c r="E556" s="7" t="inlineStr">
        <is>
          <t>Oliver Bernard</t>
        </is>
      </c>
      <c r="F556" s="8" t="inlineStr">
        <is>
          <t>London Area, United Kingdom</t>
        </is>
      </c>
      <c r="G556" s="8" t="n"/>
      <c r="H556" s="14" t="n"/>
      <c r="I556" s="15">
        <f>IF($H556="","",$H556-TODAY())</f>
        <v/>
      </c>
      <c r="J556" s="16" t="inlineStr">
        <is>
          <t>Open posting</t>
        </is>
      </c>
      <c r="K556" s="8" t="inlineStr">
        <is>
          <t>filtered by keyword pre-scan</t>
        </is>
      </c>
      <c r="L556" s="17" t="inlineStr">
        <is>
          <t>new</t>
        </is>
      </c>
      <c r="M556" s="18" t="inlineStr"/>
      <c r="N556" s="7" t="inlineStr">
        <is>
          <t>e81aeef8b6e2e3f4bd8993e8d679701eec69eeab</t>
        </is>
      </c>
      <c r="O556" s="14" t="n">
        <v>46185</v>
      </c>
      <c r="P556" s="7" t="inlineStr">
        <is>
          <t>jobspy</t>
        </is>
      </c>
      <c r="Q556" s="8" t="inlineStr">
        <is>
          <t>docker, git, c, javascript</t>
        </is>
      </c>
      <c r="R556" s="8" t="inlineStr">
        <is>
          <t>Graduate DevOps Engineer Docker Kubernetes Python</t>
        </is>
      </c>
      <c r="S556" s="19" t="n"/>
      <c r="T556" s="19" t="n"/>
      <c r="U556" s="14" t="n">
        <v>46192</v>
      </c>
      <c r="V556" s="7" t="inlineStr">
        <is>
          <t>v2-cv-accuracy-13b988b18da8ea7d</t>
        </is>
      </c>
    </row>
    <row r="557" ht="28" customHeight="1">
      <c r="A557" s="12">
        <f>IF($L557="applied","Applied",IF($L557="interview","Interview",IF($L557="offer","Offer",IF($L557="rejected","Rejected",IF($L557="ignore","Ignore",IF($L557="archive","Archive",IF($L557="closed","Closed",IF($B557="","Unscored",IF(AND($B557&gt;=8,OR($H557="",$H557-TODAY()&lt;=14)),"P1 Apply",IF($B557&gt;=7,"P2 Strong",IF($B557&gt;=5,"P3 Maybe","P4 Low")))))))))))</f>
        <v/>
      </c>
      <c r="B557" s="13" t="n">
        <v>1.61</v>
      </c>
      <c r="C557" s="12" t="inlineStr">
        <is>
          <t>Junior</t>
        </is>
      </c>
      <c r="D557" s="8" t="inlineStr">
        <is>
          <t>Junior DevOps Engineer</t>
        </is>
      </c>
      <c r="E557" s="7" t="inlineStr">
        <is>
          <t>Netcompany</t>
        </is>
      </c>
      <c r="F557" s="8" t="inlineStr">
        <is>
          <t>Leeds, England, UK</t>
        </is>
      </c>
      <c r="G557" s="8" t="n"/>
      <c r="H557" s="14" t="n"/>
      <c r="I557" s="15">
        <f>IF($H557="","",$H557-TODAY())</f>
        <v/>
      </c>
      <c r="J557" s="16" t="inlineStr">
        <is>
          <t>Open posting</t>
        </is>
      </c>
      <c r="K557" s="8" t="inlineStr">
        <is>
          <t>filtered by keyword pre-scan</t>
        </is>
      </c>
      <c r="L557" s="17" t="inlineStr">
        <is>
          <t>new</t>
        </is>
      </c>
      <c r="M557" s="18" t="inlineStr"/>
      <c r="N557" s="7" t="inlineStr">
        <is>
          <t>9696f8546e1b99a51686822c42209988ca9df7d6</t>
        </is>
      </c>
      <c r="O557" s="14" t="n">
        <v>46183</v>
      </c>
      <c r="P557" s="7" t="inlineStr">
        <is>
          <t>jobspy</t>
        </is>
      </c>
      <c r="Q557" s="8" t="inlineStr">
        <is>
          <t>python, kubernetes, git, c</t>
        </is>
      </c>
      <c r="R557" s="8" t="inlineStr">
        <is>
          <t>Graduate DevOps Engineer Docker Kubernetes Python</t>
        </is>
      </c>
      <c r="S557" s="19" t="n"/>
      <c r="T557" s="19" t="n"/>
      <c r="U557" s="14" t="n">
        <v>46192</v>
      </c>
      <c r="V557" s="7" t="inlineStr">
        <is>
          <t>v2-cv-accuracy-13b988b18da8ea7d</t>
        </is>
      </c>
    </row>
    <row r="558" ht="28" customHeight="1">
      <c r="A558" s="12">
        <f>IF($L558="applied","Applied",IF($L558="interview","Interview",IF($L558="offer","Offer",IF($L558="rejected","Rejected",IF($L558="ignore","Ignore",IF($L558="archive","Archive",IF($L558="closed","Closed",IF($B558="","Unscored",IF(AND($B558&gt;=8,OR($H558="",$H558-TODAY()&lt;=14)),"P1 Apply",IF($B558&gt;=7,"P2 Strong",IF($B558&gt;=5,"P3 Maybe","P4 Low")))))))))))</f>
        <v/>
      </c>
      <c r="B558" s="13" t="n">
        <v>1.61</v>
      </c>
      <c r="C558" s="12" t="inlineStr">
        <is>
          <t>Junior</t>
        </is>
      </c>
      <c r="D558" s="8" t="inlineStr">
        <is>
          <t>Junior Software Engineer - Cloud Platform</t>
        </is>
      </c>
      <c r="E558" s="7" t="inlineStr">
        <is>
          <t>loveholidays</t>
        </is>
      </c>
      <c r="F558" s="8" t="inlineStr">
        <is>
          <t>London, England, UK</t>
        </is>
      </c>
      <c r="G558" s="8" t="n"/>
      <c r="H558" s="14" t="n"/>
      <c r="I558" s="15">
        <f>IF($H558="","",$H558-TODAY())</f>
        <v/>
      </c>
      <c r="J558" s="16" t="inlineStr">
        <is>
          <t>Open posting</t>
        </is>
      </c>
      <c r="K558" s="8" t="inlineStr">
        <is>
          <t>filtered by keyword pre-scan</t>
        </is>
      </c>
      <c r="L558" s="17" t="inlineStr">
        <is>
          <t>new</t>
        </is>
      </c>
      <c r="M558" s="18" t="inlineStr"/>
      <c r="N558" s="7" t="inlineStr">
        <is>
          <t>bcbf4aa2ac050472897c5f3e3f634a7a7e6e08c9</t>
        </is>
      </c>
      <c r="O558" s="14" t="n">
        <v>46176</v>
      </c>
      <c r="P558" s="7" t="inlineStr">
        <is>
          <t>jobspy</t>
        </is>
      </c>
      <c r="Q558" s="8" t="inlineStr">
        <is>
          <t>python, sql, git, c</t>
        </is>
      </c>
      <c r="R558" s="8" t="inlineStr">
        <is>
          <t>Graduate DevOps Engineer Docker Kubernetes Python</t>
        </is>
      </c>
      <c r="S558" s="19" t="n"/>
      <c r="T558" s="19" t="n"/>
      <c r="U558" s="14" t="n">
        <v>46192</v>
      </c>
      <c r="V558" s="7" t="inlineStr">
        <is>
          <t>v2-cv-accuracy-13b988b18da8ea7d</t>
        </is>
      </c>
    </row>
    <row r="559" ht="28" customHeight="1">
      <c r="A559" s="12">
        <f>IF($L559="applied","Applied",IF($L559="interview","Interview",IF($L559="offer","Offer",IF($L559="rejected","Rejected",IF($L559="ignore","Ignore",IF($L559="archive","Archive",IF($L559="closed","Closed",IF($B559="","Unscored",IF(AND($B559&gt;=8,OR($H559="",$H559-TODAY()&lt;=14)),"P1 Apply",IF($B559&gt;=7,"P2 Strong",IF($B559&gt;=5,"P3 Maybe","P4 Low")))))))))))</f>
        <v/>
      </c>
      <c r="B559" s="13" t="n">
        <v>1.61</v>
      </c>
      <c r="C559" s="12" t="inlineStr">
        <is>
          <t>Unspecified</t>
        </is>
      </c>
      <c r="D559" s="8" t="inlineStr">
        <is>
          <t>IAM - Automation Test Engineer</t>
        </is>
      </c>
      <c r="E559" s="7" t="inlineStr">
        <is>
          <t>Test Yantra</t>
        </is>
      </c>
      <c r="F559" s="8" t="inlineStr">
        <is>
          <t>Sheffield, England, UK</t>
        </is>
      </c>
      <c r="G559" s="8" t="n"/>
      <c r="H559" s="14" t="n"/>
      <c r="I559" s="15">
        <f>IF($H559="","",$H559-TODAY())</f>
        <v/>
      </c>
      <c r="J559" s="16" t="inlineStr">
        <is>
          <t>Open posting</t>
        </is>
      </c>
      <c r="K559" s="8" t="inlineStr">
        <is>
          <t>filtered by keyword pre-scan</t>
        </is>
      </c>
      <c r="L559" s="17" t="inlineStr">
        <is>
          <t>new</t>
        </is>
      </c>
      <c r="M559" s="18" t="inlineStr"/>
      <c r="N559" s="7" t="inlineStr">
        <is>
          <t>7f1bc663ae3af3415dada0e7c9173ce63a511fdd</t>
        </is>
      </c>
      <c r="O559" s="14" t="n">
        <v>46169</v>
      </c>
      <c r="P559" s="7" t="inlineStr">
        <is>
          <t>jobspy</t>
        </is>
      </c>
      <c r="Q559" s="8" t="inlineStr">
        <is>
          <t>python, sql, git, c</t>
        </is>
      </c>
      <c r="R559" s="8" t="inlineStr">
        <is>
          <t>Graduate Software Engineer Python Sheffield</t>
        </is>
      </c>
      <c r="S559" s="19" t="n"/>
      <c r="T559" s="19" t="n"/>
      <c r="U559" s="14" t="n">
        <v>46192</v>
      </c>
      <c r="V559" s="7" t="inlineStr">
        <is>
          <t>v2-cv-accuracy-13b988b18da8ea7d</t>
        </is>
      </c>
    </row>
    <row r="560" ht="28" customHeight="1">
      <c r="A560" s="12">
        <f>IF($L560="applied","Applied",IF($L560="interview","Interview",IF($L560="offer","Offer",IF($L560="rejected","Rejected",IF($L560="ignore","Ignore",IF($L560="archive","Archive",IF($L560="closed","Closed",IF($B560="","Unscored",IF(AND($B560&gt;=8,OR($H560="",$H560-TODAY()&lt;=14)),"P1 Apply",IF($B560&gt;=7,"P2 Strong",IF($B560&gt;=5,"P3 Maybe","P4 Low")))))))))))</f>
        <v/>
      </c>
      <c r="B560" s="13" t="n">
        <v>1.61</v>
      </c>
      <c r="C560" s="12" t="inlineStr">
        <is>
          <t>Internship</t>
        </is>
      </c>
      <c r="D560" s="8" t="inlineStr">
        <is>
          <t>Software Engineer Intern - 12 month Industry Placement</t>
        </is>
      </c>
      <c r="E560" s="7" t="inlineStr">
        <is>
          <t>Roku</t>
        </is>
      </c>
      <c r="F560" s="8" t="inlineStr">
        <is>
          <t>Cambridge, England, UK</t>
        </is>
      </c>
      <c r="G560" s="8" t="n"/>
      <c r="H560" s="14" t="n"/>
      <c r="I560" s="15">
        <f>IF($H560="","",$H560-TODAY())</f>
        <v/>
      </c>
      <c r="J560" s="16" t="inlineStr">
        <is>
          <t>Open posting</t>
        </is>
      </c>
      <c r="K560" s="8" t="inlineStr">
        <is>
          <t>filtered by keyword pre-scan</t>
        </is>
      </c>
      <c r="L560" s="17" t="inlineStr">
        <is>
          <t>new</t>
        </is>
      </c>
      <c r="M560" s="18" t="inlineStr"/>
      <c r="N560" s="7" t="inlineStr">
        <is>
          <t>cc4e70c20e5fb4a48e9b87c88069bc1d68ccf2fc</t>
        </is>
      </c>
      <c r="O560" s="14" t="n">
        <v>46172</v>
      </c>
      <c r="P560" s="7" t="inlineStr">
        <is>
          <t>jobspy</t>
        </is>
      </c>
      <c r="Q560" s="8" t="inlineStr">
        <is>
          <t>python, raspberry pi, c, embedded systems</t>
        </is>
      </c>
      <c r="R560" s="8" t="inlineStr">
        <is>
          <t>Firmware Engineer Raspberry Pi embedded</t>
        </is>
      </c>
      <c r="S560" s="19" t="n"/>
      <c r="T560" s="19" t="n"/>
      <c r="U560" s="14" t="n">
        <v>46192</v>
      </c>
      <c r="V560" s="7" t="inlineStr">
        <is>
          <t>v2-cv-accuracy-13b988b18da8ea7d</t>
        </is>
      </c>
    </row>
    <row r="561" ht="28" customHeight="1">
      <c r="A561" s="12">
        <f>IF($L561="applied","Applied",IF($L561="interview","Interview",IF($L561="offer","Offer",IF($L561="rejected","Rejected",IF($L561="ignore","Ignore",IF($L561="archive","Archive",IF($L561="closed","Closed",IF($B561="","Unscored",IF(AND($B561&gt;=8,OR($H561="",$H561-TODAY()&lt;=14)),"P1 Apply",IF($B561&gt;=7,"P2 Strong",IF($B561&gt;=5,"P3 Maybe","P4 Low")))))))))))</f>
        <v/>
      </c>
      <c r="B561" s="13" t="n">
        <v>1.61</v>
      </c>
      <c r="C561" s="12" t="inlineStr">
        <is>
          <t>Unspecified</t>
        </is>
      </c>
      <c r="D561" s="8" t="inlineStr">
        <is>
          <t>Software Engineer</t>
        </is>
      </c>
      <c r="E561" s="7" t="inlineStr">
        <is>
          <t>Valarian</t>
        </is>
      </c>
      <c r="F561" s="8" t="inlineStr">
        <is>
          <t>London, England, UK</t>
        </is>
      </c>
      <c r="G561" s="8" t="n"/>
      <c r="H561" s="14" t="n"/>
      <c r="I561" s="15">
        <f>IF($H561="","",$H561-TODAY())</f>
        <v/>
      </c>
      <c r="J561" s="16" t="inlineStr">
        <is>
          <t>Open posting</t>
        </is>
      </c>
      <c r="K561" s="8" t="inlineStr">
        <is>
          <t>filtered by keyword pre-scan</t>
        </is>
      </c>
      <c r="L561" s="17" t="inlineStr">
        <is>
          <t>new</t>
        </is>
      </c>
      <c r="M561" s="18" t="inlineStr"/>
      <c r="N561" s="7" t="inlineStr">
        <is>
          <t>202b1ee55c879d539492c8af50411093001372f8</t>
        </is>
      </c>
      <c r="O561" s="14" t="n">
        <v>46189</v>
      </c>
      <c r="P561" s="7" t="inlineStr">
        <is>
          <t>jobspy</t>
        </is>
      </c>
      <c r="Q561" s="8" t="inlineStr">
        <is>
          <t>docker, kubernetes, git, c</t>
        </is>
      </c>
      <c r="R561" s="8" t="inlineStr">
        <is>
          <t>Graduate Backend Developer Docker Kubernetes</t>
        </is>
      </c>
      <c r="S561" s="19" t="n"/>
      <c r="T561" s="19" t="n"/>
      <c r="U561" s="14" t="n">
        <v>46192</v>
      </c>
      <c r="V561" s="7" t="inlineStr">
        <is>
          <t>v2-cv-accuracy-13b988b18da8ea7d</t>
        </is>
      </c>
    </row>
    <row r="562" ht="28" customHeight="1">
      <c r="A562" s="12">
        <f>IF($L562="applied","Applied",IF($L562="interview","Interview",IF($L562="offer","Offer",IF($L562="rejected","Rejected",IF($L562="ignore","Ignore",IF($L562="archive","Archive",IF($L562="closed","Closed",IF($B562="","Unscored",IF(AND($B562&gt;=8,OR($H562="",$H562-TODAY()&lt;=14)),"P1 Apply",IF($B562&gt;=7,"P2 Strong",IF($B562&gt;=5,"P3 Maybe","P4 Low")))))))))))</f>
        <v/>
      </c>
      <c r="B562" s="13" t="n">
        <v>1.61</v>
      </c>
      <c r="C562" s="12" t="inlineStr">
        <is>
          <t>Senior/Lead</t>
        </is>
      </c>
      <c r="D562" s="8" t="inlineStr">
        <is>
          <t>Software Engineer</t>
        </is>
      </c>
      <c r="E562" s="7" t="inlineStr">
        <is>
          <t>Cisco</t>
        </is>
      </c>
      <c r="F562" s="8" t="inlineStr">
        <is>
          <t>London, England, UK</t>
        </is>
      </c>
      <c r="G562" s="8" t="n"/>
      <c r="H562" s="14" t="n"/>
      <c r="I562" s="15">
        <f>IF($H562="","",$H562-TODAY())</f>
        <v/>
      </c>
      <c r="J562" s="16" t="inlineStr">
        <is>
          <t>Open posting</t>
        </is>
      </c>
      <c r="K562" s="8" t="inlineStr">
        <is>
          <t>filtered by keyword pre-scan</t>
        </is>
      </c>
      <c r="L562" s="17" t="inlineStr">
        <is>
          <t>new</t>
        </is>
      </c>
      <c r="M562" s="18" t="inlineStr"/>
      <c r="N562" s="7" t="inlineStr">
        <is>
          <t>a4f9e3b9e649a4da993a19e614e7516fe87ed247</t>
        </is>
      </c>
      <c r="O562" s="14" t="n">
        <v>46175</v>
      </c>
      <c r="P562" s="7" t="inlineStr">
        <is>
          <t>jobspy</t>
        </is>
      </c>
      <c r="Q562" s="8" t="inlineStr">
        <is>
          <t>docker, kubernetes, git, c</t>
        </is>
      </c>
      <c r="R562" s="8" t="inlineStr">
        <is>
          <t>Graduate Backend Developer Docker Kubernetes</t>
        </is>
      </c>
      <c r="S562" s="19" t="n"/>
      <c r="T562" s="19" t="n"/>
      <c r="U562" s="14" t="n">
        <v>46192</v>
      </c>
      <c r="V562" s="7" t="inlineStr">
        <is>
          <t>v2-cv-accuracy-13b988b18da8ea7d</t>
        </is>
      </c>
    </row>
    <row r="563" ht="28" customHeight="1">
      <c r="A563" s="12">
        <f>IF($L563="applied","Applied",IF($L563="interview","Interview",IF($L563="offer","Offer",IF($L563="rejected","Rejected",IF($L563="ignore","Ignore",IF($L563="archive","Archive",IF($L563="closed","Closed",IF($B563="","Unscored",IF(AND($B563&gt;=8,OR($H563="",$H563-TODAY()&lt;=14)),"P1 Apply",IF($B563&gt;=7,"P2 Strong",IF($B563&gt;=5,"P3 Maybe","P4 Low")))))))))))</f>
        <v/>
      </c>
      <c r="B563" s="13" t="n">
        <v>1.61</v>
      </c>
      <c r="C563" s="12" t="inlineStr">
        <is>
          <t>Mid-level</t>
        </is>
      </c>
      <c r="D563" s="8" t="inlineStr">
        <is>
          <t>Embedded Software Engineer</t>
        </is>
      </c>
      <c r="E563" s="7" t="inlineStr">
        <is>
          <t>Analog Devices</t>
        </is>
      </c>
      <c r="F563" s="8" t="inlineStr">
        <is>
          <t>Edinburgh, Scotland, UK</t>
        </is>
      </c>
      <c r="G563" s="8" t="n"/>
      <c r="H563" s="14" t="n"/>
      <c r="I563" s="15">
        <f>IF($H563="","",$H563-TODAY())</f>
        <v/>
      </c>
      <c r="J563" s="16" t="inlineStr">
        <is>
          <t>Open posting</t>
        </is>
      </c>
      <c r="K563" s="8" t="inlineStr">
        <is>
          <t>filtered by keyword pre-scan</t>
        </is>
      </c>
      <c r="L563" s="17" t="inlineStr">
        <is>
          <t>new</t>
        </is>
      </c>
      <c r="M563" s="18" t="inlineStr"/>
      <c r="N563" s="7" t="inlineStr">
        <is>
          <t>275496c19d6ef28c898231146e0d135b582a97f1</t>
        </is>
      </c>
      <c r="O563" s="14" t="n">
        <v>46191</v>
      </c>
      <c r="P563" s="7" t="inlineStr">
        <is>
          <t>jobspy</t>
        </is>
      </c>
      <c r="Q563" s="8" t="inlineStr">
        <is>
          <t>python, git, c, embedded systems</t>
        </is>
      </c>
      <c r="R563" s="8" t="inlineStr">
        <is>
          <t>Embedded Software Engineer C Python graduate</t>
        </is>
      </c>
      <c r="S563" s="19" t="n"/>
      <c r="T563" s="19" t="n"/>
      <c r="U563" s="14" t="n">
        <v>46192</v>
      </c>
      <c r="V563" s="7" t="inlineStr">
        <is>
          <t>v2-cv-accuracy-13b988b18da8ea7d</t>
        </is>
      </c>
    </row>
    <row r="564" ht="28" customHeight="1">
      <c r="A564" s="12">
        <f>IF($L564="applied","Applied",IF($L564="interview","Interview",IF($L564="offer","Offer",IF($L564="rejected","Rejected",IF($L564="ignore","Ignore",IF($L564="archive","Archive",IF($L564="closed","Closed",IF($B564="","Unscored",IF(AND($B564&gt;=8,OR($H564="",$H564-TODAY()&lt;=14)),"P1 Apply",IF($B564&gt;=7,"P2 Strong",IF($B564&gt;=5,"P3 Maybe","P4 Low")))))))))))</f>
        <v/>
      </c>
      <c r="B564" s="13" t="n">
        <v>1.61</v>
      </c>
      <c r="C564" s="12" t="inlineStr">
        <is>
          <t>Senior/Lead</t>
        </is>
      </c>
      <c r="D564" s="8" t="inlineStr">
        <is>
          <t>Software Engineer</t>
        </is>
      </c>
      <c r="E564" s="7" t="inlineStr">
        <is>
          <t>Ensera Design</t>
        </is>
      </c>
      <c r="F564" s="8" t="inlineStr">
        <is>
          <t>City Of Bristol, England, UK</t>
        </is>
      </c>
      <c r="G564" s="8" t="n"/>
      <c r="H564" s="14" t="n"/>
      <c r="I564" s="15">
        <f>IF($H564="","",$H564-TODAY())</f>
        <v/>
      </c>
      <c r="J564" s="16" t="inlineStr">
        <is>
          <t>Open posting</t>
        </is>
      </c>
      <c r="K564" s="8" t="inlineStr">
        <is>
          <t>filtered by keyword pre-scan</t>
        </is>
      </c>
      <c r="L564" s="17" t="inlineStr">
        <is>
          <t>new</t>
        </is>
      </c>
      <c r="M564" s="18" t="inlineStr"/>
      <c r="N564" s="7" t="inlineStr">
        <is>
          <t>c43532ba59cdf6236f0054791d9080ad7012b36a</t>
        </is>
      </c>
      <c r="O564" s="14" t="n">
        <v>46183</v>
      </c>
      <c r="P564" s="7" t="inlineStr">
        <is>
          <t>jobspy</t>
        </is>
      </c>
      <c r="Q564" s="8" t="inlineStr">
        <is>
          <t>python, stm32, c, embedded systems</t>
        </is>
      </c>
      <c r="R564" s="8" t="inlineStr">
        <is>
          <t>Embedded Software Engineer C Python graduate</t>
        </is>
      </c>
      <c r="S564" s="19" t="n"/>
      <c r="T564" s="19" t="n"/>
      <c r="U564" s="14" t="n">
        <v>46192</v>
      </c>
      <c r="V564" s="7" t="inlineStr">
        <is>
          <t>v2-cv-accuracy-13b988b18da8ea7d</t>
        </is>
      </c>
    </row>
    <row r="565" ht="28" customHeight="1">
      <c r="A565" s="12">
        <f>IF($L565="applied","Applied",IF($L565="interview","Interview",IF($L565="offer","Offer",IF($L565="rejected","Rejected",IF($L565="ignore","Ignore",IF($L565="archive","Archive",IF($L565="closed","Closed",IF($B565="","Unscored",IF(AND($B565&gt;=8,OR($H565="",$H565-TODAY()&lt;=14)),"P1 Apply",IF($B565&gt;=7,"P2 Strong",IF($B565&gt;=5,"P3 Maybe","P4 Low")))))))))))</f>
        <v/>
      </c>
      <c r="B565" s="13" t="n">
        <v>1.61</v>
      </c>
      <c r="C565" s="12" t="inlineStr">
        <is>
          <t>Unspecified</t>
        </is>
      </c>
      <c r="D565" s="8" t="inlineStr">
        <is>
          <t>Embedded Software Engineer</t>
        </is>
      </c>
      <c r="E565" s="7" t="inlineStr">
        <is>
          <t>EVONA</t>
        </is>
      </c>
      <c r="F565" s="8" t="inlineStr">
        <is>
          <t>London, England, UK</t>
        </is>
      </c>
      <c r="G565" s="8" t="n"/>
      <c r="H565" s="14" t="n"/>
      <c r="I565" s="15">
        <f>IF($H565="","",$H565-TODAY())</f>
        <v/>
      </c>
      <c r="J565" s="16" t="inlineStr">
        <is>
          <t>Open posting</t>
        </is>
      </c>
      <c r="K565" s="8" t="inlineStr">
        <is>
          <t>filtered by keyword pre-scan</t>
        </is>
      </c>
      <c r="L565" s="17" t="inlineStr">
        <is>
          <t>new</t>
        </is>
      </c>
      <c r="M565" s="18" t="inlineStr"/>
      <c r="N565" s="7" t="inlineStr">
        <is>
          <t>121763b591f6302d65344ab2daa231e8de16a9f8</t>
        </is>
      </c>
      <c r="O565" s="14" t="n">
        <v>46183</v>
      </c>
      <c r="P565" s="7" t="inlineStr">
        <is>
          <t>jobspy</t>
        </is>
      </c>
      <c r="Q565" s="8" t="inlineStr">
        <is>
          <t>python, docker, kubernetes, c</t>
        </is>
      </c>
      <c r="R565" s="8" t="inlineStr">
        <is>
          <t>Embedded Software Engineer C Python graduate</t>
        </is>
      </c>
      <c r="S565" s="19" t="n"/>
      <c r="T565" s="19" t="n"/>
      <c r="U565" s="14" t="n">
        <v>46192</v>
      </c>
      <c r="V565" s="7" t="inlineStr">
        <is>
          <t>v2-cv-accuracy-13b988b18da8ea7d</t>
        </is>
      </c>
    </row>
    <row r="566" ht="28" customHeight="1">
      <c r="A566" s="12">
        <f>IF($L566="applied","Applied",IF($L566="interview","Interview",IF($L566="offer","Offer",IF($L566="rejected","Rejected",IF($L566="ignore","Ignore",IF($L566="archive","Archive",IF($L566="closed","Closed",IF($B566="","Unscored",IF(AND($B566&gt;=8,OR($H566="",$H566-TODAY()&lt;=14)),"P1 Apply",IF($B566&gt;=7,"P2 Strong",IF($B566&gt;=5,"P3 Maybe","P4 Low")))))))))))</f>
        <v/>
      </c>
      <c r="B566" s="13" t="n">
        <v>1.61</v>
      </c>
      <c r="C566" s="12" t="inlineStr">
        <is>
          <t>Mid-level</t>
        </is>
      </c>
      <c r="D566" s="8" t="inlineStr">
        <is>
          <t>Data Engineer</t>
        </is>
      </c>
      <c r="E566" s="7" t="inlineStr">
        <is>
          <t>Beavertown Brewery</t>
        </is>
      </c>
      <c r="F566" s="8" t="inlineStr">
        <is>
          <t>Enfield, England, UK</t>
        </is>
      </c>
      <c r="G566" s="8" t="n"/>
      <c r="H566" s="14" t="n"/>
      <c r="I566" s="15">
        <f>IF($H566="","",$H566-TODAY())</f>
        <v/>
      </c>
      <c r="J566" s="16" t="inlineStr">
        <is>
          <t>Open posting</t>
        </is>
      </c>
      <c r="K566" s="8" t="inlineStr">
        <is>
          <t>filtered by keyword pre-scan</t>
        </is>
      </c>
      <c r="L566" s="17" t="inlineStr">
        <is>
          <t>new</t>
        </is>
      </c>
      <c r="M566" s="18" t="inlineStr"/>
      <c r="N566" s="7" t="inlineStr">
        <is>
          <t>1486ee10be16e7442af193f122e72441e278fb99</t>
        </is>
      </c>
      <c r="O566" s="14" t="n">
        <v>46190</v>
      </c>
      <c r="P566" s="7" t="inlineStr">
        <is>
          <t>jobspy</t>
        </is>
      </c>
      <c r="Q566" s="8" t="inlineStr">
        <is>
          <t>python, sql, git, c</t>
        </is>
      </c>
      <c r="R566" s="8" t="inlineStr">
        <is>
          <t>Graduate Data Engineer SQL Python pipeline</t>
        </is>
      </c>
      <c r="S566" s="19" t="n"/>
      <c r="T566" s="19" t="n"/>
      <c r="U566" s="14" t="n">
        <v>46192</v>
      </c>
      <c r="V566" s="7" t="inlineStr">
        <is>
          <t>v2-cv-accuracy-13b988b18da8ea7d</t>
        </is>
      </c>
    </row>
    <row r="567" ht="28" customHeight="1">
      <c r="A567" s="12">
        <f>IF($L567="applied","Applied",IF($L567="interview","Interview",IF($L567="offer","Offer",IF($L567="rejected","Rejected",IF($L567="ignore","Ignore",IF($L567="archive","Archive",IF($L567="closed","Closed",IF($B567="","Unscored",IF(AND($B567&gt;=8,OR($H567="",$H567-TODAY()&lt;=14)),"P1 Apply",IF($B567&gt;=7,"P2 Strong",IF($B567&gt;=5,"P3 Maybe","P4 Low")))))))))))</f>
        <v/>
      </c>
      <c r="B567" s="13" t="n">
        <v>1.61</v>
      </c>
      <c r="C567" s="12" t="inlineStr">
        <is>
          <t>Mid-level</t>
        </is>
      </c>
      <c r="D567" s="8" t="inlineStr">
        <is>
          <t>Data Engineer</t>
        </is>
      </c>
      <c r="E567" s="7" t="inlineStr">
        <is>
          <t>Quantium</t>
        </is>
      </c>
      <c r="F567" s="8" t="inlineStr">
        <is>
          <t>Salford, England, UK</t>
        </is>
      </c>
      <c r="G567" s="8" t="n"/>
      <c r="H567" s="14" t="n"/>
      <c r="I567" s="15">
        <f>IF($H567="","",$H567-TODAY())</f>
        <v/>
      </c>
      <c r="J567" s="16" t="inlineStr">
        <is>
          <t>Open posting</t>
        </is>
      </c>
      <c r="K567" s="8" t="inlineStr">
        <is>
          <t>filtered by keyword pre-scan</t>
        </is>
      </c>
      <c r="L567" s="17" t="inlineStr">
        <is>
          <t>new</t>
        </is>
      </c>
      <c r="M567" s="18" t="inlineStr"/>
      <c r="N567" s="7" t="inlineStr">
        <is>
          <t>6bd2b355fe39b3f19ed388bf7fce8a14bfec273c</t>
        </is>
      </c>
      <c r="O567" s="14" t="n">
        <v>46189</v>
      </c>
      <c r="P567" s="7" t="inlineStr">
        <is>
          <t>jobspy</t>
        </is>
      </c>
      <c r="Q567" s="8" t="inlineStr">
        <is>
          <t>python, sql, git, c</t>
        </is>
      </c>
      <c r="R567" s="8" t="inlineStr">
        <is>
          <t>Graduate Data Engineer SQL Python pipeline</t>
        </is>
      </c>
      <c r="S567" s="19" t="n"/>
      <c r="T567" s="19" t="n"/>
      <c r="U567" s="14" t="n">
        <v>46192</v>
      </c>
      <c r="V567" s="7" t="inlineStr">
        <is>
          <t>v2-cv-accuracy-13b988b18da8ea7d</t>
        </is>
      </c>
    </row>
    <row r="568" ht="28" customHeight="1">
      <c r="A568" s="12">
        <f>IF($L568="applied","Applied",IF($L568="interview","Interview",IF($L568="offer","Offer",IF($L568="rejected","Rejected",IF($L568="ignore","Ignore",IF($L568="archive","Archive",IF($L568="closed","Closed",IF($B568="","Unscored",IF(AND($B568&gt;=8,OR($H568="",$H568-TODAY()&lt;=14)),"P1 Apply",IF($B568&gt;=7,"P2 Strong",IF($B568&gt;=5,"P3 Maybe","P4 Low")))))))))))</f>
        <v/>
      </c>
      <c r="B568" s="13" t="n">
        <v>1.61</v>
      </c>
      <c r="C568" s="12" t="inlineStr">
        <is>
          <t>Unspecified</t>
        </is>
      </c>
      <c r="D568" s="8" t="inlineStr">
        <is>
          <t>Data Engineer</t>
        </is>
      </c>
      <c r="E568" s="7" t="inlineStr">
        <is>
          <t>Curve Analytics</t>
        </is>
      </c>
      <c r="F568" s="8" t="inlineStr">
        <is>
          <t>Greater London, England, UK</t>
        </is>
      </c>
      <c r="G568" s="8" t="n"/>
      <c r="H568" s="14" t="n"/>
      <c r="I568" s="15">
        <f>IF($H568="","",$H568-TODAY())</f>
        <v/>
      </c>
      <c r="J568" s="16" t="inlineStr">
        <is>
          <t>Open posting</t>
        </is>
      </c>
      <c r="K568" s="8" t="inlineStr">
        <is>
          <t>filtered by keyword pre-scan</t>
        </is>
      </c>
      <c r="L568" s="17" t="inlineStr">
        <is>
          <t>new</t>
        </is>
      </c>
      <c r="M568" s="18" t="inlineStr"/>
      <c r="N568" s="7" t="inlineStr">
        <is>
          <t>5e378d100b9482be4afedd23d9b1fcf8b737f1d4</t>
        </is>
      </c>
      <c r="O568" s="14" t="n">
        <v>46176</v>
      </c>
      <c r="P568" s="7" t="inlineStr">
        <is>
          <t>jobspy</t>
        </is>
      </c>
      <c r="Q568" s="8" t="inlineStr">
        <is>
          <t>python, sql, git, c</t>
        </is>
      </c>
      <c r="R568" s="8" t="inlineStr">
        <is>
          <t>Graduate Data Engineer SQL Python pipeline</t>
        </is>
      </c>
      <c r="S568" s="19" t="n"/>
      <c r="T568" s="19" t="n"/>
      <c r="U568" s="14" t="n">
        <v>46192</v>
      </c>
      <c r="V568" s="7" t="inlineStr">
        <is>
          <t>v2-cv-accuracy-13b988b18da8ea7d</t>
        </is>
      </c>
    </row>
    <row r="569" ht="28" customHeight="1">
      <c r="A569" s="12">
        <f>IF($L569="applied","Applied",IF($L569="interview","Interview",IF($L569="offer","Offer",IF($L569="rejected","Rejected",IF($L569="ignore","Ignore",IF($L569="archive","Archive",IF($L569="closed","Closed",IF($B569="","Unscored",IF(AND($B569&gt;=8,OR($H569="",$H569-TODAY()&lt;=14)),"P1 Apply",IF($B569&gt;=7,"P2 Strong",IF($B569&gt;=5,"P3 Maybe","P4 Low")))))))))))</f>
        <v/>
      </c>
      <c r="B569" s="13" t="n">
        <v>1.61</v>
      </c>
      <c r="C569" s="12" t="inlineStr">
        <is>
          <t>Unspecified</t>
        </is>
      </c>
      <c r="D569" s="8" t="inlineStr">
        <is>
          <t>DevOps Engineer</t>
        </is>
      </c>
      <c r="E569" s="7" t="inlineStr">
        <is>
          <t>Sanderson</t>
        </is>
      </c>
      <c r="F569" s="8" t="inlineStr">
        <is>
          <t>Leicester, England, UK</t>
        </is>
      </c>
      <c r="G569" s="8" t="n"/>
      <c r="H569" s="14" t="n"/>
      <c r="I569" s="15">
        <f>IF($H569="","",$H569-TODAY())</f>
        <v/>
      </c>
      <c r="J569" s="16" t="inlineStr">
        <is>
          <t>Open posting</t>
        </is>
      </c>
      <c r="K569" s="8" t="inlineStr">
        <is>
          <t>filtered by keyword pre-scan</t>
        </is>
      </c>
      <c r="L569" s="17" t="inlineStr">
        <is>
          <t>new</t>
        </is>
      </c>
      <c r="M569" s="18" t="inlineStr"/>
      <c r="N569" s="7" t="inlineStr">
        <is>
          <t>3cc8fee31d6dc705140e84a51da4f5b216b9768b</t>
        </is>
      </c>
      <c r="O569" s="14" t="n">
        <v>46182</v>
      </c>
      <c r="P569" s="7" t="inlineStr">
        <is>
          <t>jobspy</t>
        </is>
      </c>
      <c r="Q569" s="8" t="inlineStr">
        <is>
          <t>docker, kubernetes, git, c</t>
        </is>
      </c>
      <c r="R569" s="8" t="inlineStr">
        <is>
          <t>Graduate DevOps Engineer Docker Kubernetes Git</t>
        </is>
      </c>
      <c r="S569" s="19" t="n"/>
      <c r="T569" s="19" t="n"/>
      <c r="U569" s="14" t="n">
        <v>46192</v>
      </c>
      <c r="V569" s="7" t="inlineStr">
        <is>
          <t>v2-cv-accuracy-13b988b18da8ea7d</t>
        </is>
      </c>
    </row>
    <row r="570" ht="28" customHeight="1">
      <c r="A570" s="12">
        <f>IF($L570="applied","Applied",IF($L570="interview","Interview",IF($L570="offer","Offer",IF($L570="rejected","Rejected",IF($L570="ignore","Ignore",IF($L570="archive","Archive",IF($L570="closed","Closed",IF($B570="","Unscored",IF(AND($B570&gt;=8,OR($H570="",$H570-TODAY()&lt;=14)),"P1 Apply",IF($B570&gt;=7,"P2 Strong",IF($B570&gt;=5,"P3 Maybe","P4 Low")))))))))))</f>
        <v/>
      </c>
      <c r="B570" s="13" t="n">
        <v>1.51</v>
      </c>
      <c r="C570" s="12" t="inlineStr">
        <is>
          <t>Unspecified</t>
        </is>
      </c>
      <c r="D570" s="8" t="inlineStr">
        <is>
          <t>Analytics Engineer</t>
        </is>
      </c>
      <c r="E570" s="7" t="inlineStr">
        <is>
          <t>Rockstar Games</t>
        </is>
      </c>
      <c r="F570" s="8" t="inlineStr">
        <is>
          <t>Leeds, England, UK</t>
        </is>
      </c>
      <c r="G570" s="8" t="n"/>
      <c r="H570" s="14" t="n"/>
      <c r="I570" s="15">
        <f>IF($H570="","",$H570-TODAY())</f>
        <v/>
      </c>
      <c r="J570" s="16" t="inlineStr">
        <is>
          <t>Open posting</t>
        </is>
      </c>
      <c r="K570" s="8" t="inlineStr">
        <is>
          <t>filtered by keyword pre-scan</t>
        </is>
      </c>
      <c r="L570" s="17" t="inlineStr">
        <is>
          <t>new</t>
        </is>
      </c>
      <c r="M570" s="18" t="inlineStr"/>
      <c r="N570" s="7" t="inlineStr">
        <is>
          <t>9e8a360403d25a2110e854c88528d9818235df3c</t>
        </is>
      </c>
      <c r="O570" s="14" t="n">
        <v>46171</v>
      </c>
      <c r="P570" s="7" t="inlineStr">
        <is>
          <t>jobspy</t>
        </is>
      </c>
      <c r="Q570" s="8" t="inlineStr">
        <is>
          <t>python, sql, git, c</t>
        </is>
      </c>
      <c r="R570" s="8" t="inlineStr">
        <is>
          <t>Junior Python Developer backend SQL Sheffield</t>
        </is>
      </c>
      <c r="S570" s="19" t="n"/>
      <c r="T570" s="19" t="n"/>
      <c r="U570" s="14" t="n">
        <v>46193</v>
      </c>
      <c r="V570" s="7" t="inlineStr">
        <is>
          <t>v2-cv-accuracy-13b988b18da8ea7d</t>
        </is>
      </c>
    </row>
    <row r="571" ht="28" customHeight="1">
      <c r="A571" s="12">
        <f>IF($L571="applied","Applied",IF($L571="interview","Interview",IF($L571="offer","Offer",IF($L571="rejected","Rejected",IF($L571="ignore","Ignore",IF($L571="archive","Archive",IF($L571="closed","Closed",IF($B571="","Unscored",IF(AND($B571&gt;=8,OR($H571="",$H571-TODAY()&lt;=14)),"P1 Apply",IF($B571&gt;=7,"P2 Strong",IF($B571&gt;=5,"P3 Maybe","P4 Low")))))))))))</f>
        <v/>
      </c>
      <c r="B571" s="13" t="n">
        <v>1.51</v>
      </c>
      <c r="C571" s="12" t="inlineStr">
        <is>
          <t>Senior/Lead</t>
        </is>
      </c>
      <c r="D571" s="8" t="inlineStr">
        <is>
          <t>Data Engineer</t>
        </is>
      </c>
      <c r="E571" s="7" t="inlineStr">
        <is>
          <t>Creditsafe</t>
        </is>
      </c>
      <c r="F571" s="8" t="inlineStr">
        <is>
          <t>Cardiff, Wales, UK</t>
        </is>
      </c>
      <c r="G571" s="8" t="n"/>
      <c r="H571" s="14" t="n"/>
      <c r="I571" s="15">
        <f>IF($H571="","",$H571-TODAY())</f>
        <v/>
      </c>
      <c r="J571" s="16" t="inlineStr">
        <is>
          <t>Open posting</t>
        </is>
      </c>
      <c r="K571" s="8" t="inlineStr">
        <is>
          <t>filtered by keyword pre-scan</t>
        </is>
      </c>
      <c r="L571" s="17" t="inlineStr">
        <is>
          <t>new</t>
        </is>
      </c>
      <c r="M571" s="18" t="inlineStr"/>
      <c r="N571" s="7" t="inlineStr">
        <is>
          <t>53659115818962c0320f2ce195386cab6ac08a59</t>
        </is>
      </c>
      <c r="O571" s="14" t="n">
        <v>46182</v>
      </c>
      <c r="P571" s="7" t="inlineStr">
        <is>
          <t>jobspy</t>
        </is>
      </c>
      <c r="Q571" s="8" t="inlineStr">
        <is>
          <t>python, sql, mysql, c</t>
        </is>
      </c>
      <c r="R571" s="8" t="inlineStr">
        <is>
          <t>Junior Data Engineer SQL Python MySQL</t>
        </is>
      </c>
      <c r="S571" s="19" t="n"/>
      <c r="T571" s="19" t="n"/>
      <c r="U571" s="14" t="n">
        <v>46193</v>
      </c>
      <c r="V571" s="7" t="inlineStr">
        <is>
          <t>v2-cv-accuracy-13b988b18da8ea7d</t>
        </is>
      </c>
    </row>
    <row r="572" ht="28" customHeight="1">
      <c r="A572" s="12">
        <f>IF($L572="applied","Applied",IF($L572="interview","Interview",IF($L572="offer","Offer",IF($L572="rejected","Rejected",IF($L572="ignore","Ignore",IF($L572="archive","Archive",IF($L572="closed","Closed",IF($B572="","Unscored",IF(AND($B572&gt;=8,OR($H572="",$H572-TODAY()&lt;=14)),"P1 Apply",IF($B572&gt;=7,"P2 Strong",IF($B572&gt;=5,"P3 Maybe","P4 Low")))))))))))</f>
        <v/>
      </c>
      <c r="B572" s="13" t="n">
        <v>1.51</v>
      </c>
      <c r="C572" s="12" t="inlineStr">
        <is>
          <t>Unspecified</t>
        </is>
      </c>
      <c r="D572" s="8" t="inlineStr">
        <is>
          <t>Data Engineer</t>
        </is>
      </c>
      <c r="E572" s="7" t="inlineStr">
        <is>
          <t>European Bioinformatics Institute | EMBL-EBI</t>
        </is>
      </c>
      <c r="F572" s="8" t="inlineStr">
        <is>
          <t>England, United Kingdom</t>
        </is>
      </c>
      <c r="G572" s="8" t="n"/>
      <c r="H572" s="14" t="n">
        <v>46201</v>
      </c>
      <c r="I572" s="15">
        <f>IF($H572="","",$H572-TODAY())</f>
        <v/>
      </c>
      <c r="J572" s="16" t="inlineStr">
        <is>
          <t>Open posting</t>
        </is>
      </c>
      <c r="K572" s="8" t="inlineStr">
        <is>
          <t>filtered by keyword pre-scan</t>
        </is>
      </c>
      <c r="L572" s="17" t="inlineStr">
        <is>
          <t>new</t>
        </is>
      </c>
      <c r="M572" s="18" t="inlineStr"/>
      <c r="N572" s="7" t="inlineStr">
        <is>
          <t>694648b1dbf21dff56781b5a8f87582556151aed</t>
        </is>
      </c>
      <c r="O572" s="14" t="n">
        <v>46182</v>
      </c>
      <c r="P572" s="7" t="inlineStr">
        <is>
          <t>jobspy</t>
        </is>
      </c>
      <c r="Q572" s="8" t="inlineStr">
        <is>
          <t>python, sql, mysql, c</t>
        </is>
      </c>
      <c r="R572" s="8" t="inlineStr">
        <is>
          <t>Junior Data Engineer SQL Python MySQL</t>
        </is>
      </c>
      <c r="S572" s="19" t="n"/>
      <c r="T572" s="19" t="n"/>
      <c r="U572" s="14" t="n">
        <v>46193</v>
      </c>
      <c r="V572" s="7" t="inlineStr">
        <is>
          <t>v2-cv-accuracy-13b988b18da8ea7d</t>
        </is>
      </c>
    </row>
    <row r="573" ht="28" customHeight="1">
      <c r="A573" s="12">
        <f>IF($L573="applied","Applied",IF($L573="interview","Interview",IF($L573="offer","Offer",IF($L573="rejected","Rejected",IF($L573="ignore","Ignore",IF($L573="archive","Archive",IF($L573="closed","Closed",IF($B573="","Unscored",IF(AND($B573&gt;=8,OR($H573="",$H573-TODAY()&lt;=14)),"P1 Apply",IF($B573&gt;=7,"P2 Strong",IF($B573&gt;=5,"P3 Maybe","P4 Low")))))))))))</f>
        <v/>
      </c>
      <c r="B573" s="13" t="n">
        <v>1.51</v>
      </c>
      <c r="C573" s="12" t="inlineStr">
        <is>
          <t>Senior/Lead</t>
        </is>
      </c>
      <c r="D573" s="8" t="inlineStr">
        <is>
          <t>Sr. Software Engineer - Data Query Platform (GBR, Hybrid)</t>
        </is>
      </c>
      <c r="E573" s="7" t="inlineStr">
        <is>
          <t>CrowdStrike</t>
        </is>
      </c>
      <c r="F573" s="8" t="inlineStr">
        <is>
          <t>London, England, UK</t>
        </is>
      </c>
      <c r="G573" s="8" t="n"/>
      <c r="H573" s="14" t="n"/>
      <c r="I573" s="15">
        <f>IF($H573="","",$H573-TODAY())</f>
        <v/>
      </c>
      <c r="J573" s="16" t="inlineStr">
        <is>
          <t>Open posting</t>
        </is>
      </c>
      <c r="K573" s="8" t="inlineStr">
        <is>
          <t>filtered by keyword pre-scan</t>
        </is>
      </c>
      <c r="L573" s="17" t="inlineStr">
        <is>
          <t>new</t>
        </is>
      </c>
      <c r="M573" s="18" t="inlineStr"/>
      <c r="N573" s="7" t="inlineStr">
        <is>
          <t>60b8d011dbdd78717ba91df1373a6c39e6ed57b4</t>
        </is>
      </c>
      <c r="O573" s="14" t="n"/>
      <c r="P573" s="7" t="inlineStr">
        <is>
          <t>jobspy</t>
        </is>
      </c>
      <c r="Q573" s="8" t="inlineStr">
        <is>
          <t>sql, mysql, kubernetes, c</t>
        </is>
      </c>
      <c r="R573" s="8" t="inlineStr">
        <is>
          <t>Junior Data Engineer SQL Python MySQL</t>
        </is>
      </c>
      <c r="S573" s="19" t="n"/>
      <c r="T573" s="19" t="n"/>
      <c r="U573" s="14" t="n">
        <v>46193</v>
      </c>
      <c r="V573" s="7" t="inlineStr">
        <is>
          <t>v2-cv-accuracy-13b988b18da8ea7d</t>
        </is>
      </c>
    </row>
    <row r="574" ht="28" customHeight="1">
      <c r="A574" s="12">
        <f>IF($L574="applied","Applied",IF($L574="interview","Interview",IF($L574="offer","Offer",IF($L574="rejected","Rejected",IF($L574="ignore","Ignore",IF($L574="archive","Archive",IF($L574="closed","Closed",IF($B574="","Unscored",IF(AND($B574&gt;=8,OR($H574="",$H574-TODAY()&lt;=14)),"P1 Apply",IF($B574&gt;=7,"P2 Strong",IF($B574&gt;=5,"P3 Maybe","P4 Low")))))))))))</f>
        <v/>
      </c>
      <c r="B574" s="13" t="n">
        <v>1.51</v>
      </c>
      <c r="C574" s="12" t="inlineStr">
        <is>
          <t>Unspecified</t>
        </is>
      </c>
      <c r="D574" s="8" t="inlineStr">
        <is>
          <t>Modem Stack Engineer</t>
        </is>
      </c>
      <c r="E574" s="7" t="inlineStr">
        <is>
          <t>MARS Recruitment</t>
        </is>
      </c>
      <c r="F574" s="8" t="inlineStr">
        <is>
          <t>Oxford, England, UK</t>
        </is>
      </c>
      <c r="G574" s="8" t="n"/>
      <c r="H574" s="14" t="n"/>
      <c r="I574" s="15">
        <f>IF($H574="","",$H574-TODAY())</f>
        <v/>
      </c>
      <c r="J574" s="16" t="inlineStr">
        <is>
          <t>Open posting</t>
        </is>
      </c>
      <c r="K574" s="8" t="inlineStr">
        <is>
          <t>filtered by keyword pre-scan</t>
        </is>
      </c>
      <c r="L574" s="17" t="inlineStr">
        <is>
          <t>new</t>
        </is>
      </c>
      <c r="M574" s="18" t="inlineStr"/>
      <c r="N574" s="7" t="inlineStr">
        <is>
          <t>227e6e0c713c55783136546863b742235681ab5a</t>
        </is>
      </c>
      <c r="O574" s="14" t="n">
        <v>46184</v>
      </c>
      <c r="P574" s="7" t="inlineStr">
        <is>
          <t>jobspy</t>
        </is>
      </c>
      <c r="Q574" s="8" t="inlineStr">
        <is>
          <t>fpga, c, embedded systems, dsp</t>
        </is>
      </c>
      <c r="R574" s="8" t="inlineStr">
        <is>
          <t>Graduate Signal Processing Engineer DSP</t>
        </is>
      </c>
      <c r="S574" s="19" t="n"/>
      <c r="T574" s="19" t="n"/>
      <c r="U574" s="14" t="n">
        <v>46193</v>
      </c>
      <c r="V574" s="7" t="inlineStr">
        <is>
          <t>v2-cv-accuracy-13b988b18da8ea7d</t>
        </is>
      </c>
    </row>
    <row r="575" ht="28" customHeight="1">
      <c r="A575" s="12">
        <f>IF($L575="applied","Applied",IF($L575="interview","Interview",IF($L575="offer","Offer",IF($L575="rejected","Rejected",IF($L575="ignore","Ignore",IF($L575="archive","Archive",IF($L575="closed","Closed",IF($B575="","Unscored",IF(AND($B575&gt;=8,OR($H575="",$H575-TODAY()&lt;=14)),"P1 Apply",IF($B575&gt;=7,"P2 Strong",IF($B575&gt;=5,"P3 Maybe","P4 Low")))))))))))</f>
        <v/>
      </c>
      <c r="B575" s="13" t="n">
        <v>1.51</v>
      </c>
      <c r="C575" s="12" t="inlineStr">
        <is>
          <t>Unspecified</t>
        </is>
      </c>
      <c r="D575" s="8" t="inlineStr">
        <is>
          <t>Software Engineer</t>
        </is>
      </c>
      <c r="E575" s="7" t="inlineStr">
        <is>
          <t>Haystack</t>
        </is>
      </c>
      <c r="F575" s="8" t="inlineStr">
        <is>
          <t>Farnborough, England, UK</t>
        </is>
      </c>
      <c r="G575" s="8" t="n"/>
      <c r="H575" s="14" t="n"/>
      <c r="I575" s="15">
        <f>IF($H575="","",$H575-TODAY())</f>
        <v/>
      </c>
      <c r="J575" s="16" t="inlineStr">
        <is>
          <t>Open posting</t>
        </is>
      </c>
      <c r="K575" s="8" t="inlineStr">
        <is>
          <t>filtered by keyword pre-scan</t>
        </is>
      </c>
      <c r="L575" s="17" t="inlineStr">
        <is>
          <t>new</t>
        </is>
      </c>
      <c r="M575" s="18" t="inlineStr"/>
      <c r="N575" s="7" t="inlineStr">
        <is>
          <t>3fac5a9537e0dc16441e4652b2ca3af3faba07d1</t>
        </is>
      </c>
      <c r="O575" s="14" t="n"/>
      <c r="P575" s="7" t="inlineStr">
        <is>
          <t>jobspy</t>
        </is>
      </c>
      <c r="Q575" s="8" t="inlineStr">
        <is>
          <t>python, docker, kubernetes, c</t>
        </is>
      </c>
      <c r="R575" s="8" t="inlineStr">
        <is>
          <t>Graduate Software Engineer Python Docker</t>
        </is>
      </c>
      <c r="S575" s="19" t="n"/>
      <c r="T575" s="19" t="n"/>
      <c r="U575" s="14" t="n">
        <v>46193</v>
      </c>
      <c r="V575" s="7" t="inlineStr">
        <is>
          <t>v2-cv-accuracy-13b988b18da8ea7d</t>
        </is>
      </c>
    </row>
    <row r="576" ht="28" customHeight="1">
      <c r="A576" s="12">
        <f>IF($L576="applied","Applied",IF($L576="interview","Interview",IF($L576="offer","Offer",IF($L576="rejected","Rejected",IF($L576="ignore","Ignore",IF($L576="archive","Archive",IF($L576="closed","Closed",IF($B576="","Unscored",IF(AND($B576&gt;=8,OR($H576="",$H576-TODAY()&lt;=14)),"P1 Apply",IF($B576&gt;=7,"P2 Strong",IF($B576&gt;=5,"P3 Maybe","P4 Low")))))))))))</f>
        <v/>
      </c>
      <c r="B576" s="13" t="n">
        <v>1.51</v>
      </c>
      <c r="C576" s="12" t="inlineStr">
        <is>
          <t>Senior/Lead</t>
        </is>
      </c>
      <c r="D576" s="8" t="inlineStr">
        <is>
          <t>Platform Engineer</t>
        </is>
      </c>
      <c r="E576" s="7" t="inlineStr">
        <is>
          <t>Macquarie Group</t>
        </is>
      </c>
      <c r="F576" s="8" t="inlineStr">
        <is>
          <t>London, England, UK</t>
        </is>
      </c>
      <c r="G576" s="8" t="n"/>
      <c r="H576" s="14" t="n"/>
      <c r="I576" s="15">
        <f>IF($H576="","",$H576-TODAY())</f>
        <v/>
      </c>
      <c r="J576" s="16" t="inlineStr">
        <is>
          <t>Open posting</t>
        </is>
      </c>
      <c r="K576" s="8" t="inlineStr">
        <is>
          <t>filtered by keyword pre-scan</t>
        </is>
      </c>
      <c r="L576" s="17" t="inlineStr">
        <is>
          <t>new</t>
        </is>
      </c>
      <c r="M576" s="18" t="inlineStr"/>
      <c r="N576" s="7" t="inlineStr">
        <is>
          <t>c0e9ab0a061e1c9c1e5f5ab28e4c3b0969e8c25f</t>
        </is>
      </c>
      <c r="O576" s="14" t="n">
        <v>46183</v>
      </c>
      <c r="P576" s="7" t="inlineStr">
        <is>
          <t>jobspy</t>
        </is>
      </c>
      <c r="Q576" s="8" t="inlineStr">
        <is>
          <t>python, kubernetes, git, c</t>
        </is>
      </c>
      <c r="R576" s="8" t="inlineStr">
        <is>
          <t>Platform Engineer Docker Kubernetes Python</t>
        </is>
      </c>
      <c r="S576" s="19" t="n"/>
      <c r="T576" s="19" t="n"/>
      <c r="U576" s="14" t="n">
        <v>46193</v>
      </c>
      <c r="V576" s="7" t="inlineStr">
        <is>
          <t>v2-cv-accuracy-13b988b18da8ea7d</t>
        </is>
      </c>
    </row>
    <row r="577" ht="28" customHeight="1">
      <c r="A577" s="12">
        <f>IF($L577="applied","Applied",IF($L577="interview","Interview",IF($L577="offer","Offer",IF($L577="rejected","Rejected",IF($L577="ignore","Ignore",IF($L577="archive","Archive",IF($L577="closed","Closed",IF($B577="","Unscored",IF(AND($B577&gt;=8,OR($H577="",$H577-TODAY()&lt;=14)),"P1 Apply",IF($B577&gt;=7,"P2 Strong",IF($B577&gt;=5,"P3 Maybe","P4 Low")))))))))))</f>
        <v/>
      </c>
      <c r="B577" s="13" t="n">
        <v>1.51</v>
      </c>
      <c r="C577" s="12" t="inlineStr">
        <is>
          <t>Mid-level</t>
        </is>
      </c>
      <c r="D577" s="8" t="inlineStr">
        <is>
          <t>Platform Engineer - Core AI</t>
        </is>
      </c>
      <c r="E577" s="7" t="inlineStr">
        <is>
          <t>Millennium</t>
        </is>
      </c>
      <c r="F577" s="8" t="inlineStr">
        <is>
          <t>London, England, UK</t>
        </is>
      </c>
      <c r="G577" s="8" t="n"/>
      <c r="H577" s="14" t="n"/>
      <c r="I577" s="15">
        <f>IF($H577="","",$H577-TODAY())</f>
        <v/>
      </c>
      <c r="J577" s="16" t="inlineStr">
        <is>
          <t>Open posting</t>
        </is>
      </c>
      <c r="K577" s="8" t="inlineStr">
        <is>
          <t>filtered by keyword pre-scan</t>
        </is>
      </c>
      <c r="L577" s="17" t="inlineStr">
        <is>
          <t>new</t>
        </is>
      </c>
      <c r="M577" s="18" t="inlineStr"/>
      <c r="N577" s="7" t="inlineStr">
        <is>
          <t>ea4d2499976f501420e1ad1399a32ed1861d9db5</t>
        </is>
      </c>
      <c r="O577" s="14" t="n">
        <v>46180</v>
      </c>
      <c r="P577" s="7" t="inlineStr">
        <is>
          <t>jobspy</t>
        </is>
      </c>
      <c r="Q577" s="8" t="inlineStr">
        <is>
          <t>python, kubernetes, git, c</t>
        </is>
      </c>
      <c r="R577" s="8" t="inlineStr">
        <is>
          <t>Platform Engineer Docker Kubernetes Python</t>
        </is>
      </c>
      <c r="S577" s="19" t="n"/>
      <c r="T577" s="19" t="n"/>
      <c r="U577" s="14" t="n">
        <v>46193</v>
      </c>
      <c r="V577" s="7" t="inlineStr">
        <is>
          <t>v2-cv-accuracy-13b988b18da8ea7d</t>
        </is>
      </c>
    </row>
    <row r="578" ht="28" customHeight="1">
      <c r="A578" s="12">
        <f>IF($L578="applied","Applied",IF($L578="interview","Interview",IF($L578="offer","Offer",IF($L578="rejected","Rejected",IF($L578="ignore","Ignore",IF($L578="archive","Archive",IF($L578="closed","Closed",IF($B578="","Unscored",IF(AND($B578&gt;=8,OR($H578="",$H578-TODAY()&lt;=14)),"P1 Apply",IF($B578&gt;=7,"P2 Strong",IF($B578&gt;=5,"P3 Maybe","P4 Low")))))))))))</f>
        <v/>
      </c>
      <c r="B578" s="13" t="n">
        <v>1.51</v>
      </c>
      <c r="C578" s="12" t="inlineStr">
        <is>
          <t>Mid-level</t>
        </is>
      </c>
      <c r="D578" s="8" t="inlineStr">
        <is>
          <t>Mid-Level Platform Engineer (Kubernetes)</t>
        </is>
      </c>
      <c r="E578" s="7" t="inlineStr">
        <is>
          <t>Darktrace</t>
        </is>
      </c>
      <c r="F578" s="8" t="inlineStr"/>
      <c r="G578" s="8" t="n"/>
      <c r="H578" s="14" t="n"/>
      <c r="I578" s="15">
        <f>IF($H578="","",$H578-TODAY())</f>
        <v/>
      </c>
      <c r="J578" s="16" t="inlineStr">
        <is>
          <t>Open posting</t>
        </is>
      </c>
      <c r="K578" s="8" t="inlineStr">
        <is>
          <t>filtered by keyword pre-scan</t>
        </is>
      </c>
      <c r="L578" s="17" t="inlineStr">
        <is>
          <t>new</t>
        </is>
      </c>
      <c r="M578" s="18" t="inlineStr"/>
      <c r="N578" s="7" t="inlineStr">
        <is>
          <t>0d5b23c56aec35671ad2bc9d014e2736fcd99f79</t>
        </is>
      </c>
      <c r="O578" s="14" t="n">
        <v>46178</v>
      </c>
      <c r="P578" s="7" t="inlineStr">
        <is>
          <t>jobspy</t>
        </is>
      </c>
      <c r="Q578" s="8" t="inlineStr">
        <is>
          <t>python, kubernetes, git, c</t>
        </is>
      </c>
      <c r="R578" s="8" t="inlineStr">
        <is>
          <t>Platform Engineer Docker Kubernetes Python</t>
        </is>
      </c>
      <c r="S578" s="19" t="n"/>
      <c r="T578" s="19" t="n"/>
      <c r="U578" s="14" t="n">
        <v>46193</v>
      </c>
      <c r="V578" s="7" t="inlineStr">
        <is>
          <t>v2-cv-accuracy-13b988b18da8ea7d</t>
        </is>
      </c>
    </row>
    <row r="579" ht="28" customHeight="1">
      <c r="A579" s="12">
        <f>IF($L579="applied","Applied",IF($L579="interview","Interview",IF($L579="offer","Offer",IF($L579="rejected","Rejected",IF($L579="ignore","Ignore",IF($L579="archive","Archive",IF($L579="closed","Closed",IF($B579="","Unscored",IF(AND($B579&gt;=8,OR($H579="",$H579-TODAY()&lt;=14)),"P1 Apply",IF($B579&gt;=7,"P2 Strong",IF($B579&gt;=5,"P3 Maybe","P4 Low")))))))))))</f>
        <v/>
      </c>
      <c r="B579" s="13" t="n">
        <v>1.51</v>
      </c>
      <c r="C579" s="12" t="inlineStr">
        <is>
          <t>Mid-level</t>
        </is>
      </c>
      <c r="D579" s="8" t="inlineStr">
        <is>
          <t>Verification Engineer</t>
        </is>
      </c>
      <c r="E579" s="7" t="inlineStr">
        <is>
          <t>Fractile</t>
        </is>
      </c>
      <c r="F579" s="8" t="inlineStr">
        <is>
          <t>Bristol, England, UK</t>
        </is>
      </c>
      <c r="G579" s="8" t="n"/>
      <c r="H579" s="14" t="n"/>
      <c r="I579" s="15">
        <f>IF($H579="","",$H579-TODAY())</f>
        <v/>
      </c>
      <c r="J579" s="16" t="inlineStr">
        <is>
          <t>Open posting</t>
        </is>
      </c>
      <c r="K579" s="8" t="inlineStr">
        <is>
          <t>filtered by keyword pre-scan</t>
        </is>
      </c>
      <c r="L579" s="17" t="inlineStr">
        <is>
          <t>new</t>
        </is>
      </c>
      <c r="M579" s="18" t="inlineStr"/>
      <c r="N579" s="7" t="inlineStr">
        <is>
          <t>49ba4eaaf7ed84a5461254d9115af0e0848decdd</t>
        </is>
      </c>
      <c r="O579" s="14" t="n">
        <v>46186</v>
      </c>
      <c r="P579" s="7" t="inlineStr">
        <is>
          <t>jobspy</t>
        </is>
      </c>
      <c r="Q579" s="8" t="inlineStr">
        <is>
          <t>python, verilog, git, c</t>
        </is>
      </c>
      <c r="R579" s="8" t="inlineStr">
        <is>
          <t>Verification Engineer FPGA Verilog digital</t>
        </is>
      </c>
      <c r="S579" s="19" t="n"/>
      <c r="T579" s="19" t="n"/>
      <c r="U579" s="14" t="n">
        <v>46193</v>
      </c>
      <c r="V579" s="7" t="inlineStr">
        <is>
          <t>v2-cv-accuracy-13b988b18da8ea7d</t>
        </is>
      </c>
    </row>
    <row r="580" ht="28" customHeight="1">
      <c r="A580" s="12">
        <f>IF($L580="applied","Applied",IF($L580="interview","Interview",IF($L580="offer","Offer",IF($L580="rejected","Rejected",IF($L580="ignore","Ignore",IF($L580="archive","Archive",IF($L580="closed","Closed",IF($B580="","Unscored",IF(AND($B580&gt;=8,OR($H580="",$H580-TODAY()&lt;=14)),"P1 Apply",IF($B580&gt;=7,"P2 Strong",IF($B580&gt;=5,"P3 Maybe","P4 Low")))))))))))</f>
        <v/>
      </c>
      <c r="B580" s="13" t="n">
        <v>1.51</v>
      </c>
      <c r="C580" s="12" t="inlineStr">
        <is>
          <t>Junior</t>
        </is>
      </c>
      <c r="D580" s="8" t="inlineStr">
        <is>
          <t>Junior Software Engineer</t>
        </is>
      </c>
      <c r="E580" s="7" t="inlineStr">
        <is>
          <t>Aria</t>
        </is>
      </c>
      <c r="F580" s="8" t="inlineStr">
        <is>
          <t>London, ENG, GB</t>
        </is>
      </c>
      <c r="G580" s="8" t="n"/>
      <c r="H580" s="14" t="n"/>
      <c r="I580" s="15">
        <f>IF($H580="","",$H580-TODAY())</f>
        <v/>
      </c>
      <c r="J580" s="16" t="inlineStr">
        <is>
          <t>Open posting</t>
        </is>
      </c>
      <c r="K580" s="8" t="inlineStr">
        <is>
          <t>filtered by keyword pre-scan</t>
        </is>
      </c>
      <c r="L580" s="17" t="inlineStr">
        <is>
          <t>new</t>
        </is>
      </c>
      <c r="M580" s="18" t="inlineStr"/>
      <c r="N580" s="7" t="inlineStr">
        <is>
          <t>58972411ec63ee5f0304d72b5e66742527c52c56</t>
        </is>
      </c>
      <c r="O580" s="14" t="n">
        <v>46178</v>
      </c>
      <c r="P580" s="7" t="inlineStr">
        <is>
          <t>jobspy</t>
        </is>
      </c>
      <c r="Q580" s="8" t="inlineStr">
        <is>
          <t>python, docker, git, c</t>
        </is>
      </c>
      <c r="R580" s="8" t="inlineStr">
        <is>
          <t>Junior Software Engineer Python backend</t>
        </is>
      </c>
      <c r="S580" s="19" t="n"/>
      <c r="T580" s="19" t="n"/>
      <c r="U580" s="14" t="n">
        <v>46193</v>
      </c>
      <c r="V580" s="7" t="inlineStr">
        <is>
          <t>v2-cv-accuracy-13b988b18da8ea7d</t>
        </is>
      </c>
    </row>
    <row r="581" ht="28" customHeight="1">
      <c r="A581" s="12">
        <f>IF($L581="applied","Applied",IF($L581="interview","Interview",IF($L581="offer","Offer",IF($L581="rejected","Rejected",IF($L581="ignore","Ignore",IF($L581="archive","Archive",IF($L581="closed","Closed",IF($B581="","Unscored",IF(AND($B581&gt;=8,OR($H581="",$H581-TODAY()&lt;=14)),"P1 Apply",IF($B581&gt;=7,"P2 Strong",IF($B581&gt;=5,"P3 Maybe","P4 Low")))))))))))</f>
        <v/>
      </c>
      <c r="B581" s="13" t="n">
        <v>1.51</v>
      </c>
      <c r="C581" s="12" t="inlineStr">
        <is>
          <t>Unspecified</t>
        </is>
      </c>
      <c r="D581" s="8" t="inlineStr">
        <is>
          <t>Embedded Software Engineer</t>
        </is>
      </c>
      <c r="E581" s="7" t="inlineStr">
        <is>
          <t>IC Resources</t>
        </is>
      </c>
      <c r="F581" s="8" t="inlineStr">
        <is>
          <t>Oxford, England, UK</t>
        </is>
      </c>
      <c r="G581" s="8" t="n"/>
      <c r="H581" s="14" t="n"/>
      <c r="I581" s="15">
        <f>IF($H581="","",$H581-TODAY())</f>
        <v/>
      </c>
      <c r="J581" s="16" t="inlineStr">
        <is>
          <t>Open posting</t>
        </is>
      </c>
      <c r="K581" s="8" t="inlineStr">
        <is>
          <t>filtered by keyword pre-scan</t>
        </is>
      </c>
      <c r="L581" s="17" t="inlineStr">
        <is>
          <t>new</t>
        </is>
      </c>
      <c r="M581" s="18" t="inlineStr"/>
      <c r="N581" s="7" t="inlineStr">
        <is>
          <t>89676c16dda7e90bff9a53583248d8083bef1e0c</t>
        </is>
      </c>
      <c r="O581" s="14" t="n">
        <v>46175</v>
      </c>
      <c r="P581" s="7" t="inlineStr">
        <is>
          <t>jobspy</t>
        </is>
      </c>
      <c r="Q581" s="8" t="inlineStr">
        <is>
          <t>python, fpga, c, embedded systems</t>
        </is>
      </c>
      <c r="R581" s="8" t="inlineStr">
        <is>
          <t>Graduate Embedded Engineer Python FPGA</t>
        </is>
      </c>
      <c r="S581" s="19" t="n"/>
      <c r="T581" s="19" t="n"/>
      <c r="U581" s="14" t="n">
        <v>46192</v>
      </c>
      <c r="V581" s="7" t="inlineStr">
        <is>
          <t>v2-cv-accuracy-13b988b18da8ea7d</t>
        </is>
      </c>
    </row>
    <row r="582" ht="28" customHeight="1">
      <c r="A582" s="12">
        <f>IF($L582="applied","Applied",IF($L582="interview","Interview",IF($L582="offer","Offer",IF($L582="rejected","Rejected",IF($L582="ignore","Ignore",IF($L582="archive","Archive",IF($L582="closed","Closed",IF($B582="","Unscored",IF(AND($B582&gt;=8,OR($H582="",$H582-TODAY()&lt;=14)),"P1 Apply",IF($B582&gt;=7,"P2 Strong",IF($B582&gt;=5,"P3 Maybe","P4 Low")))))))))))</f>
        <v/>
      </c>
      <c r="B582" s="13" t="n">
        <v>1.51</v>
      </c>
      <c r="C582" s="12" t="inlineStr">
        <is>
          <t>Junior</t>
        </is>
      </c>
      <c r="D582" s="8" t="inlineStr">
        <is>
          <t>Data Engineer</t>
        </is>
      </c>
      <c r="E582" s="7" t="inlineStr">
        <is>
          <t>Information Tech Consultants</t>
        </is>
      </c>
      <c r="F582" s="8" t="inlineStr">
        <is>
          <t>Greater London, England, UK</t>
        </is>
      </c>
      <c r="G582" s="8" t="n"/>
      <c r="H582" s="14" t="n"/>
      <c r="I582" s="15">
        <f>IF($H582="","",$H582-TODAY())</f>
        <v/>
      </c>
      <c r="J582" s="16" t="inlineStr">
        <is>
          <t>Open posting</t>
        </is>
      </c>
      <c r="K582" s="8" t="inlineStr">
        <is>
          <t>filtered by keyword pre-scan</t>
        </is>
      </c>
      <c r="L582" s="17" t="inlineStr">
        <is>
          <t>new</t>
        </is>
      </c>
      <c r="M582" s="18" t="inlineStr"/>
      <c r="N582" s="7" t="inlineStr">
        <is>
          <t>44e2cf424e0fddee5ec9b04c6c7f91a33a5a716a</t>
        </is>
      </c>
      <c r="O582" s="14" t="n">
        <v>46184</v>
      </c>
      <c r="P582" s="7" t="inlineStr">
        <is>
          <t>jobspy</t>
        </is>
      </c>
      <c r="Q582" s="8" t="inlineStr">
        <is>
          <t>python, sql, git, c</t>
        </is>
      </c>
      <c r="R582" s="8" t="inlineStr">
        <is>
          <t>Graduate Data Engineer SQL Python pipeline</t>
        </is>
      </c>
      <c r="S582" s="19" t="n"/>
      <c r="T582" s="19" t="n"/>
      <c r="U582" s="14" t="n">
        <v>46192</v>
      </c>
      <c r="V582" s="7" t="inlineStr">
        <is>
          <t>v2-cv-accuracy-13b988b18da8ea7d</t>
        </is>
      </c>
    </row>
    <row r="583" ht="28" customHeight="1">
      <c r="A583" s="12">
        <f>IF($L583="applied","Applied",IF($L583="interview","Interview",IF($L583="offer","Offer",IF($L583="rejected","Rejected",IF($L583="ignore","Ignore",IF($L583="archive","Archive",IF($L583="closed","Closed",IF($B583="","Unscored",IF(AND($B583&gt;=8,OR($H583="",$H583-TODAY()&lt;=14)),"P1 Apply",IF($B583&gt;=7,"P2 Strong",IF($B583&gt;=5,"P3 Maybe","P4 Low")))))))))))</f>
        <v/>
      </c>
      <c r="B583" s="13" t="n">
        <v>1.51</v>
      </c>
      <c r="C583" s="12" t="inlineStr">
        <is>
          <t>Unspecified</t>
        </is>
      </c>
      <c r="D583" s="8" t="inlineStr">
        <is>
          <t>Data Engineer</t>
        </is>
      </c>
      <c r="E583" s="7" t="inlineStr">
        <is>
          <t>Vintage Cash Cow</t>
        </is>
      </c>
      <c r="F583" s="8" t="inlineStr">
        <is>
          <t>Leeds, England, UK</t>
        </is>
      </c>
      <c r="G583" s="8" t="n"/>
      <c r="H583" s="14" t="n"/>
      <c r="I583" s="15">
        <f>IF($H583="","",$H583-TODAY())</f>
        <v/>
      </c>
      <c r="J583" s="16" t="inlineStr">
        <is>
          <t>Open posting</t>
        </is>
      </c>
      <c r="K583" s="8" t="inlineStr">
        <is>
          <t>filtered by keyword pre-scan</t>
        </is>
      </c>
      <c r="L583" s="17" t="inlineStr">
        <is>
          <t>new</t>
        </is>
      </c>
      <c r="M583" s="18" t="inlineStr"/>
      <c r="N583" s="7" t="inlineStr">
        <is>
          <t>fb62eb612a037a3d6d04ee7f97a501744bfa5048</t>
        </is>
      </c>
      <c r="O583" s="14" t="n">
        <v>46181</v>
      </c>
      <c r="P583" s="7" t="inlineStr">
        <is>
          <t>jobspy</t>
        </is>
      </c>
      <c r="Q583" s="8" t="inlineStr">
        <is>
          <t>python, sql, git, c</t>
        </is>
      </c>
      <c r="R583" s="8" t="inlineStr">
        <is>
          <t>Graduate Data Engineer SQL Python pipeline</t>
        </is>
      </c>
      <c r="S583" s="19" t="n"/>
      <c r="T583" s="19" t="n"/>
      <c r="U583" s="14" t="n">
        <v>46192</v>
      </c>
      <c r="V583" s="7" t="inlineStr">
        <is>
          <t>v2-cv-accuracy-13b988b18da8ea7d</t>
        </is>
      </c>
    </row>
    <row r="584" ht="28" customHeight="1">
      <c r="A584" s="12">
        <f>IF($L584="applied","Applied",IF($L584="interview","Interview",IF($L584="offer","Offer",IF($L584="rejected","Rejected",IF($L584="ignore","Ignore",IF($L584="archive","Archive",IF($L584="closed","Closed",IF($B584="","Unscored",IF(AND($B584&gt;=8,OR($H584="",$H584-TODAY()&lt;=14)),"P1 Apply",IF($B584&gt;=7,"P2 Strong",IF($B584&gt;=5,"P3 Maybe","P4 Low")))))))))))</f>
        <v/>
      </c>
      <c r="B584" s="13" t="n">
        <v>1.51</v>
      </c>
      <c r="C584" s="12" t="inlineStr">
        <is>
          <t>Graduate/Entry</t>
        </is>
      </c>
      <c r="D584" s="8" t="inlineStr">
        <is>
          <t>Graduate Embedded Software Engineer (IoT)</t>
        </is>
      </c>
      <c r="E584" s="7" t="inlineStr">
        <is>
          <t>Helvar</t>
        </is>
      </c>
      <c r="F584" s="8" t="inlineStr">
        <is>
          <t>Dartford, England, UK</t>
        </is>
      </c>
      <c r="G584" s="8" t="n"/>
      <c r="H584" s="14" t="n"/>
      <c r="I584" s="15">
        <f>IF($H584="","",$H584-TODAY())</f>
        <v/>
      </c>
      <c r="J584" s="16" t="inlineStr">
        <is>
          <t>Open posting</t>
        </is>
      </c>
      <c r="K584" s="8" t="inlineStr">
        <is>
          <t>filtered by keyword pre-scan</t>
        </is>
      </c>
      <c r="L584" s="17" t="inlineStr">
        <is>
          <t>new</t>
        </is>
      </c>
      <c r="M584" s="18" t="inlineStr"/>
      <c r="N584" s="7" t="inlineStr">
        <is>
          <t>7a90a00c2db047e01dcc7451ea8921b74a38d93b</t>
        </is>
      </c>
      <c r="O584" s="14" t="n">
        <v>46185</v>
      </c>
      <c r="P584" s="7" t="inlineStr">
        <is>
          <t>jobspy</t>
        </is>
      </c>
      <c r="Q584" s="8" t="inlineStr">
        <is>
          <t>python, stm32, c</t>
        </is>
      </c>
      <c r="R584" s="8" t="inlineStr">
        <is>
          <t>Firmware Engineer STM32 embedded graduate</t>
        </is>
      </c>
      <c r="S584" s="19" t="n"/>
      <c r="T584" s="19" t="n"/>
      <c r="U584" s="14" t="n">
        <v>46192</v>
      </c>
      <c r="V584" s="7" t="inlineStr">
        <is>
          <t>v2-cv-accuracy-13b988b18da8ea7d</t>
        </is>
      </c>
    </row>
    <row r="585" ht="28" customHeight="1">
      <c r="A585" s="12">
        <f>IF($L585="applied","Applied",IF($L585="interview","Interview",IF($L585="offer","Offer",IF($L585="rejected","Rejected",IF($L585="ignore","Ignore",IF($L585="archive","Archive",IF($L585="closed","Closed",IF($B585="","Unscored",IF(AND($B585&gt;=8,OR($H585="",$H585-TODAY()&lt;=14)),"P1 Apply",IF($B585&gt;=7,"P2 Strong",IF($B585&gt;=5,"P3 Maybe","P4 Low")))))))))))</f>
        <v/>
      </c>
      <c r="B585" s="13" t="n">
        <v>1.51</v>
      </c>
      <c r="C585" s="12" t="inlineStr">
        <is>
          <t>Senior/Lead</t>
        </is>
      </c>
      <c r="D585" s="8" t="inlineStr">
        <is>
          <t>Systems Engineer</t>
        </is>
      </c>
      <c r="E585" s="7" t="inlineStr">
        <is>
          <t>Airbus Defence and Space</t>
        </is>
      </c>
      <c r="F585" s="8" t="inlineStr">
        <is>
          <t>Portsmouth, England, UK</t>
        </is>
      </c>
      <c r="G585" s="8" t="n"/>
      <c r="H585" s="14" t="n"/>
      <c r="I585" s="15">
        <f>IF($H585="","",$H585-TODAY())</f>
        <v/>
      </c>
      <c r="J585" s="16" t="inlineStr">
        <is>
          <t>Open posting</t>
        </is>
      </c>
      <c r="K585" s="8" t="inlineStr">
        <is>
          <t>filtered by keyword pre-scan</t>
        </is>
      </c>
      <c r="L585" s="17" t="inlineStr">
        <is>
          <t>new</t>
        </is>
      </c>
      <c r="M585" s="18" t="inlineStr"/>
      <c r="N585" s="7" t="inlineStr">
        <is>
          <t>4b7f24df8ce44e2b800a4b504d36db6c98e79903</t>
        </is>
      </c>
      <c r="O585" s="14" t="n">
        <v>46177</v>
      </c>
      <c r="P585" s="7" t="inlineStr">
        <is>
          <t>jobspy</t>
        </is>
      </c>
      <c r="Q585" s="8" t="inlineStr">
        <is>
          <t>python, fpga, git, c</t>
        </is>
      </c>
      <c r="R585" s="8" t="inlineStr">
        <is>
          <t>Graduate Systems Engineer hardware software</t>
        </is>
      </c>
      <c r="S585" s="19" t="n"/>
      <c r="T585" s="19" t="n"/>
      <c r="U585" s="14" t="n">
        <v>46192</v>
      </c>
      <c r="V585" s="7" t="inlineStr">
        <is>
          <t>v2-cv-accuracy-13b988b18da8ea7d</t>
        </is>
      </c>
    </row>
    <row r="586" ht="28" customHeight="1">
      <c r="A586" s="12">
        <f>IF($L586="applied","Applied",IF($L586="interview","Interview",IF($L586="offer","Offer",IF($L586="rejected","Rejected",IF($L586="ignore","Ignore",IF($L586="archive","Archive",IF($L586="closed","Closed",IF($B586="","Unscored",IF(AND($B586&gt;=8,OR($H586="",$H586-TODAY()&lt;=14)),"P1 Apply",IF($B586&gt;=7,"P2 Strong",IF($B586&gt;=5,"P3 Maybe","P4 Low")))))))))))</f>
        <v/>
      </c>
      <c r="B586" s="13" t="n">
        <v>1.51</v>
      </c>
      <c r="C586" s="12" t="inlineStr">
        <is>
          <t>Senior/Lead</t>
        </is>
      </c>
      <c r="D586" s="8" t="inlineStr">
        <is>
          <t>Data Engineer (contract)</t>
        </is>
      </c>
      <c r="E586" s="7" t="inlineStr">
        <is>
          <t>Microsoft</t>
        </is>
      </c>
      <c r="F586" s="8" t="inlineStr">
        <is>
          <t>Atherstone, England, UK</t>
        </is>
      </c>
      <c r="G586" s="8" t="n"/>
      <c r="H586" s="14" t="n"/>
      <c r="I586" s="15">
        <f>IF($H586="","",$H586-TODAY())</f>
        <v/>
      </c>
      <c r="J586" s="16" t="inlineStr">
        <is>
          <t>Open posting</t>
        </is>
      </c>
      <c r="K586" s="8" t="inlineStr">
        <is>
          <t>filtered by keyword pre-scan</t>
        </is>
      </c>
      <c r="L586" s="17" t="inlineStr">
        <is>
          <t>new</t>
        </is>
      </c>
      <c r="M586" s="18" t="inlineStr"/>
      <c r="N586" s="7" t="inlineStr">
        <is>
          <t>c17b550e6c19c4c9b9d055c1c240eb20be269ec8</t>
        </is>
      </c>
      <c r="O586" s="14" t="n">
        <v>46188</v>
      </c>
      <c r="P586" s="7" t="inlineStr">
        <is>
          <t>jobspy</t>
        </is>
      </c>
      <c r="Q586" s="8" t="inlineStr">
        <is>
          <t>python, sql, git, c</t>
        </is>
      </c>
      <c r="R586" s="8" t="inlineStr">
        <is>
          <t>Graduate Data Engineer SQL Python pipeline</t>
        </is>
      </c>
      <c r="S586" s="19" t="n"/>
      <c r="T586" s="19" t="n"/>
      <c r="U586" s="14" t="n">
        <v>46192</v>
      </c>
      <c r="V586" s="7" t="inlineStr">
        <is>
          <t>v2-cv-accuracy-13b988b18da8ea7d</t>
        </is>
      </c>
    </row>
    <row r="587" ht="28" customHeight="1">
      <c r="A587" s="12">
        <f>IF($L587="applied","Applied",IF($L587="interview","Interview",IF($L587="offer","Offer",IF($L587="rejected","Rejected",IF($L587="ignore","Ignore",IF($L587="archive","Archive",IF($L587="closed","Closed",IF($B587="","Unscored",IF(AND($B587&gt;=8,OR($H587="",$H587-TODAY()&lt;=14)),"P1 Apply",IF($B587&gt;=7,"P2 Strong",IF($B587&gt;=5,"P3 Maybe","P4 Low")))))))))))</f>
        <v/>
      </c>
      <c r="B587" s="13" t="n">
        <v>1.51</v>
      </c>
      <c r="C587" s="12" t="inlineStr">
        <is>
          <t>Mid-level</t>
        </is>
      </c>
      <c r="D587" s="8" t="inlineStr">
        <is>
          <t>Data Engineer</t>
        </is>
      </c>
      <c r="E587" s="7" t="inlineStr">
        <is>
          <t>Athsai</t>
        </is>
      </c>
      <c r="F587" s="8" t="inlineStr"/>
      <c r="G587" s="8" t="n"/>
      <c r="H587" s="14" t="n"/>
      <c r="I587" s="15">
        <f>IF($H587="","",$H587-TODAY())</f>
        <v/>
      </c>
      <c r="J587" s="16" t="inlineStr">
        <is>
          <t>Open posting</t>
        </is>
      </c>
      <c r="K587" s="8" t="inlineStr">
        <is>
          <t>filtered by keyword pre-scan</t>
        </is>
      </c>
      <c r="L587" s="17" t="inlineStr">
        <is>
          <t>new</t>
        </is>
      </c>
      <c r="M587" s="18" t="inlineStr"/>
      <c r="N587" s="7" t="inlineStr">
        <is>
          <t>e87bf0ff8e10d2f0b76626dd87eb7e97056d7b2d</t>
        </is>
      </c>
      <c r="O587" s="14" t="n">
        <v>46176</v>
      </c>
      <c r="P587" s="7" t="inlineStr">
        <is>
          <t>jobspy</t>
        </is>
      </c>
      <c r="Q587" s="8" t="inlineStr">
        <is>
          <t>python, sql, git, c</t>
        </is>
      </c>
      <c r="R587" s="8" t="inlineStr">
        <is>
          <t>Graduate Data Engineer SQL Python pipeline</t>
        </is>
      </c>
      <c r="S587" s="19" t="n"/>
      <c r="T587" s="19" t="n"/>
      <c r="U587" s="14" t="n">
        <v>46192</v>
      </c>
      <c r="V587" s="7" t="inlineStr">
        <is>
          <t>v2-cv-accuracy-13b988b18da8ea7d</t>
        </is>
      </c>
    </row>
    <row r="588" ht="28" customHeight="1">
      <c r="A588" s="12">
        <f>IF($L588="applied","Applied",IF($L588="interview","Interview",IF($L588="offer","Offer",IF($L588="rejected","Rejected",IF($L588="ignore","Ignore",IF($L588="archive","Archive",IF($L588="closed","Closed",IF($B588="","Unscored",IF(AND($B588&gt;=8,OR($H588="",$H588-TODAY()&lt;=14)),"P1 Apply",IF($B588&gt;=7,"P2 Strong",IF($B588&gt;=5,"P3 Maybe","P4 Low")))))))))))</f>
        <v/>
      </c>
      <c r="B588" s="13" t="n">
        <v>1.51</v>
      </c>
      <c r="C588" s="12" t="inlineStr">
        <is>
          <t>Unspecified</t>
        </is>
      </c>
      <c r="D588" s="8" t="inlineStr">
        <is>
          <t>Embedded Software Engineer</t>
        </is>
      </c>
      <c r="E588" s="7" t="inlineStr">
        <is>
          <t>KO2 Embedded Recruitment Solutions Ltd</t>
        </is>
      </c>
      <c r="F588" s="8" t="inlineStr">
        <is>
          <t>Blackburn, England, UK</t>
        </is>
      </c>
      <c r="G588" s="8" t="n"/>
      <c r="H588" s="14" t="n"/>
      <c r="I588" s="15">
        <f>IF($H588="","",$H588-TODAY())</f>
        <v/>
      </c>
      <c r="J588" s="16" t="inlineStr">
        <is>
          <t>Open posting</t>
        </is>
      </c>
      <c r="K588" s="8" t="inlineStr">
        <is>
          <t>filtered by keyword pre-scan</t>
        </is>
      </c>
      <c r="L588" s="17" t="inlineStr">
        <is>
          <t>new</t>
        </is>
      </c>
      <c r="M588" s="18" t="inlineStr"/>
      <c r="N588" s="7" t="inlineStr">
        <is>
          <t>3063fb34a0c4c83e2ab5093f04a40750d30117a1</t>
        </is>
      </c>
      <c r="O588" s="14" t="n">
        <v>46191</v>
      </c>
      <c r="P588" s="7" t="inlineStr">
        <is>
          <t>jobspy</t>
        </is>
      </c>
      <c r="Q588" s="8" t="inlineStr">
        <is>
          <t>stm32, c, embedded systems, hardware design</t>
        </is>
      </c>
      <c r="R588" s="8" t="inlineStr">
        <is>
          <t>Junior Embedded Software Engineer STM32</t>
        </is>
      </c>
      <c r="S588" s="19" t="n"/>
      <c r="T588" s="19" t="n"/>
      <c r="U588" s="14" t="n">
        <v>46192</v>
      </c>
      <c r="V588" s="7" t="inlineStr">
        <is>
          <t>v2-cv-accuracy-13b988b18da8ea7d</t>
        </is>
      </c>
    </row>
    <row r="589" ht="28" customHeight="1">
      <c r="A589" s="12">
        <f>IF($L589="applied","Applied",IF($L589="interview","Interview",IF($L589="offer","Offer",IF($L589="rejected","Rejected",IF($L589="ignore","Ignore",IF($L589="archive","Archive",IF($L589="closed","Closed",IF($B589="","Unscored",IF(AND($B589&gt;=8,OR($H589="",$H589-TODAY()&lt;=14)),"P1 Apply",IF($B589&gt;=7,"P2 Strong",IF($B589&gt;=5,"P3 Maybe","P4 Low")))))))))))</f>
        <v/>
      </c>
      <c r="B589" s="13" t="n">
        <v>1.51</v>
      </c>
      <c r="C589" s="12" t="inlineStr">
        <is>
          <t>Senior/Lead</t>
        </is>
      </c>
      <c r="D589" s="8" t="inlineStr">
        <is>
          <t>Embedded Systems Engineer</t>
        </is>
      </c>
      <c r="E589" s="7" t="inlineStr">
        <is>
          <t>IC Resources</t>
        </is>
      </c>
      <c r="F589" s="8" t="inlineStr">
        <is>
          <t>Gloucestershire, England, UK</t>
        </is>
      </c>
      <c r="G589" s="8" t="n"/>
      <c r="H589" s="14" t="n"/>
      <c r="I589" s="15">
        <f>IF($H589="","",$H589-TODAY())</f>
        <v/>
      </c>
      <c r="J589" s="16" t="inlineStr">
        <is>
          <t>Open posting</t>
        </is>
      </c>
      <c r="K589" s="8" t="inlineStr">
        <is>
          <t>filtered by keyword pre-scan</t>
        </is>
      </c>
      <c r="L589" s="17" t="inlineStr">
        <is>
          <t>new</t>
        </is>
      </c>
      <c r="M589" s="18" t="inlineStr"/>
      <c r="N589" s="7" t="inlineStr">
        <is>
          <t>1045b8346254bb5a5a446c5df9bb02ae5e82d867</t>
        </is>
      </c>
      <c r="O589" s="14" t="n">
        <v>46188</v>
      </c>
      <c r="P589" s="7" t="inlineStr">
        <is>
          <t>jobspy</t>
        </is>
      </c>
      <c r="Q589" s="8" t="inlineStr">
        <is>
          <t>python, stm32, c, embedded systems</t>
        </is>
      </c>
      <c r="R589" s="8" t="inlineStr">
        <is>
          <t>Junior Embedded Software Engineer STM32</t>
        </is>
      </c>
      <c r="S589" s="19" t="n"/>
      <c r="T589" s="19" t="n"/>
      <c r="U589" s="14" t="n">
        <v>46192</v>
      </c>
      <c r="V589" s="7" t="inlineStr">
        <is>
          <t>v2-cv-accuracy-13b988b18da8ea7d</t>
        </is>
      </c>
    </row>
    <row r="590" ht="28" customHeight="1">
      <c r="A590" s="12">
        <f>IF($L590="applied","Applied",IF($L590="interview","Interview",IF($L590="offer","Offer",IF($L590="rejected","Rejected",IF($L590="ignore","Ignore",IF($L590="archive","Archive",IF($L590="closed","Closed",IF($B590="","Unscored",IF(AND($B590&gt;=8,OR($H590="",$H590-TODAY()&lt;=14)),"P1 Apply",IF($B590&gt;=7,"P2 Strong",IF($B590&gt;=5,"P3 Maybe","P4 Low")))))))))))</f>
        <v/>
      </c>
      <c r="B590" s="13" t="n">
        <v>1.51</v>
      </c>
      <c r="C590" s="12" t="inlineStr">
        <is>
          <t>Unspecified</t>
        </is>
      </c>
      <c r="D590" s="8" t="inlineStr">
        <is>
          <t>Open Source Software Developer</t>
        </is>
      </c>
      <c r="E590" s="7" t="inlineStr">
        <is>
          <t>Lorien</t>
        </is>
      </c>
      <c r="F590" s="8" t="inlineStr">
        <is>
          <t>Cheltenham, England, UK</t>
        </is>
      </c>
      <c r="G590" s="8" t="n"/>
      <c r="H590" s="14" t="n"/>
      <c r="I590" s="15">
        <f>IF($H590="","",$H590-TODAY())</f>
        <v/>
      </c>
      <c r="J590" s="16" t="inlineStr">
        <is>
          <t>Open posting</t>
        </is>
      </c>
      <c r="K590" s="8" t="inlineStr">
        <is>
          <t>filtered by keyword pre-scan</t>
        </is>
      </c>
      <c r="L590" s="17" t="inlineStr">
        <is>
          <t>new</t>
        </is>
      </c>
      <c r="M590" s="18" t="inlineStr"/>
      <c r="N590" s="7" t="inlineStr">
        <is>
          <t>dbb93c2bada6e8fd1afac05fc5cb24a83b4c4f10</t>
        </is>
      </c>
      <c r="O590" s="14" t="n">
        <v>46184</v>
      </c>
      <c r="P590" s="7" t="inlineStr">
        <is>
          <t>jobspy</t>
        </is>
      </c>
      <c r="Q590" s="8" t="inlineStr">
        <is>
          <t>python, git, c, javascript</t>
        </is>
      </c>
      <c r="R590" s="8" t="inlineStr">
        <is>
          <t>Graduate Backend Developer Docker Kubernetes</t>
        </is>
      </c>
      <c r="S590" s="19" t="n"/>
      <c r="T590" s="19" t="n"/>
      <c r="U590" s="14" t="n">
        <v>46192</v>
      </c>
      <c r="V590" s="7" t="inlineStr">
        <is>
          <t>v2-cv-accuracy-13b988b18da8ea7d</t>
        </is>
      </c>
    </row>
    <row r="591" ht="28" customHeight="1">
      <c r="A591" s="12">
        <f>IF($L591="applied","Applied",IF($L591="interview","Interview",IF($L591="offer","Offer",IF($L591="rejected","Rejected",IF($L591="ignore","Ignore",IF($L591="archive","Archive",IF($L591="closed","Closed",IF($B591="","Unscored",IF(AND($B591&gt;=8,OR($H591="",$H591-TODAY()&lt;=14)),"P1 Apply",IF($B591&gt;=7,"P2 Strong",IF($B591&gt;=5,"P3 Maybe","P4 Low")))))))))))</f>
        <v/>
      </c>
      <c r="B591" s="13" t="n">
        <v>1.51</v>
      </c>
      <c r="C591" s="12" t="inlineStr">
        <is>
          <t>Unspecified</t>
        </is>
      </c>
      <c r="D591" s="8" t="inlineStr">
        <is>
          <t>Infrastructure Software Engineer</t>
        </is>
      </c>
      <c r="E591" s="7" t="inlineStr">
        <is>
          <t>Coram AI</t>
        </is>
      </c>
      <c r="F591" s="8" t="inlineStr">
        <is>
          <t>London, England, UK</t>
        </is>
      </c>
      <c r="G591" s="8" t="n"/>
      <c r="H591" s="14" t="n"/>
      <c r="I591" s="15">
        <f>IF($H591="","",$H591-TODAY())</f>
        <v/>
      </c>
      <c r="J591" s="16" t="inlineStr">
        <is>
          <t>Open posting</t>
        </is>
      </c>
      <c r="K591" s="8" t="inlineStr">
        <is>
          <t>filtered by keyword pre-scan</t>
        </is>
      </c>
      <c r="L591" s="17" t="inlineStr">
        <is>
          <t>new</t>
        </is>
      </c>
      <c r="M591" s="18" t="inlineStr"/>
      <c r="N591" s="7" t="inlineStr">
        <is>
          <t>1731d77b73568d02e8ca522d70584dbba5625a6f</t>
        </is>
      </c>
      <c r="O591" s="14" t="n">
        <v>46180</v>
      </c>
      <c r="P591" s="7" t="inlineStr">
        <is>
          <t>jobspy</t>
        </is>
      </c>
      <c r="Q591" s="8" t="inlineStr">
        <is>
          <t>python, docker, kubernetes, c</t>
        </is>
      </c>
      <c r="R591" s="8" t="inlineStr">
        <is>
          <t>Graduate Backend Developer Docker Kubernetes</t>
        </is>
      </c>
      <c r="S591" s="19" t="n"/>
      <c r="T591" s="19" t="n"/>
      <c r="U591" s="14" t="n">
        <v>46192</v>
      </c>
      <c r="V591" s="7" t="inlineStr">
        <is>
          <t>v2-cv-accuracy-13b988b18da8ea7d</t>
        </is>
      </c>
    </row>
    <row r="592" ht="28" customHeight="1">
      <c r="A592" s="12">
        <f>IF($L592="applied","Applied",IF($L592="interview","Interview",IF($L592="offer","Offer",IF($L592="rejected","Rejected",IF($L592="ignore","Ignore",IF($L592="archive","Archive",IF($L592="closed","Closed",IF($B592="","Unscored",IF(AND($B592&gt;=8,OR($H592="",$H592-TODAY()&lt;=14)),"P1 Apply",IF($B592&gt;=7,"P2 Strong",IF($B592&gt;=5,"P3 Maybe","P4 Low")))))))))))</f>
        <v/>
      </c>
      <c r="B592" s="13" t="n">
        <v>1.51</v>
      </c>
      <c r="C592" s="12" t="inlineStr">
        <is>
          <t>Unspecified</t>
        </is>
      </c>
      <c r="D592" s="8" t="inlineStr">
        <is>
          <t>DevOps Engineer</t>
        </is>
      </c>
      <c r="E592" s="7" t="inlineStr">
        <is>
          <t>ASSA ABLOY Group</t>
        </is>
      </c>
      <c r="F592" s="8" t="inlineStr">
        <is>
          <t>Olney, England, UK</t>
        </is>
      </c>
      <c r="G592" s="8" t="n"/>
      <c r="H592" s="14" t="n"/>
      <c r="I592" s="15">
        <f>IF($H592="","",$H592-TODAY())</f>
        <v/>
      </c>
      <c r="J592" s="16" t="inlineStr">
        <is>
          <t>Open posting</t>
        </is>
      </c>
      <c r="K592" s="8" t="inlineStr">
        <is>
          <t>filtered by keyword pre-scan</t>
        </is>
      </c>
      <c r="L592" s="17" t="inlineStr">
        <is>
          <t>new</t>
        </is>
      </c>
      <c r="M592" s="18" t="inlineStr"/>
      <c r="N592" s="7" t="inlineStr">
        <is>
          <t>15836091e842ffbfe600eddc9eaba2dbfa3d4827</t>
        </is>
      </c>
      <c r="O592" s="14" t="n">
        <v>46187</v>
      </c>
      <c r="P592" s="7" t="inlineStr">
        <is>
          <t>jobspy</t>
        </is>
      </c>
      <c r="Q592" s="8" t="inlineStr">
        <is>
          <t>docker, kubernetes, git, c</t>
        </is>
      </c>
      <c r="R592" s="8" t="inlineStr">
        <is>
          <t>Graduate DevOps Engineer Docker Kubernetes Git</t>
        </is>
      </c>
      <c r="S592" s="19" t="n"/>
      <c r="T592" s="19" t="n"/>
      <c r="U592" s="14" t="n">
        <v>46192</v>
      </c>
      <c r="V592" s="7" t="inlineStr">
        <is>
          <t>v2-cv-accuracy-13b988b18da8ea7d</t>
        </is>
      </c>
    </row>
    <row r="593" ht="28" customHeight="1">
      <c r="A593" s="12">
        <f>IF($L593="applied","Applied",IF($L593="interview","Interview",IF($L593="offer","Offer",IF($L593="rejected","Rejected",IF($L593="ignore","Ignore",IF($L593="archive","Archive",IF($L593="closed","Closed",IF($B593="","Unscored",IF(AND($B593&gt;=8,OR($H593="",$H593-TODAY()&lt;=14)),"P1 Apply",IF($B593&gt;=7,"P2 Strong",IF($B593&gt;=5,"P3 Maybe","P4 Low")))))))))))</f>
        <v/>
      </c>
      <c r="B593" s="13" t="n">
        <v>1.51</v>
      </c>
      <c r="C593" s="12" t="inlineStr">
        <is>
          <t>Junior</t>
        </is>
      </c>
      <c r="D593" s="8" t="inlineStr">
        <is>
          <t>DevOps Software Engineer</t>
        </is>
      </c>
      <c r="E593" s="7" t="inlineStr">
        <is>
          <t>Deloitte</t>
        </is>
      </c>
      <c r="F593" s="8" t="inlineStr">
        <is>
          <t>City Of London, England, UK</t>
        </is>
      </c>
      <c r="G593" s="8" t="n"/>
      <c r="H593" s="14" t="n"/>
      <c r="I593" s="15">
        <f>IF($H593="","",$H593-TODAY())</f>
        <v/>
      </c>
      <c r="J593" s="16" t="inlineStr">
        <is>
          <t>Open posting</t>
        </is>
      </c>
      <c r="K593" s="8" t="inlineStr">
        <is>
          <t>filtered by keyword pre-scan</t>
        </is>
      </c>
      <c r="L593" s="17" t="inlineStr">
        <is>
          <t>new</t>
        </is>
      </c>
      <c r="M593" s="18" t="inlineStr"/>
      <c r="N593" s="7" t="inlineStr">
        <is>
          <t>ba596895ef9d78ef469c8a327dfe2f35f1f16ba3</t>
        </is>
      </c>
      <c r="O593" s="14" t="n">
        <v>46182</v>
      </c>
      <c r="P593" s="7" t="inlineStr">
        <is>
          <t>jobspy</t>
        </is>
      </c>
      <c r="Q593" s="8" t="inlineStr">
        <is>
          <t>docker, kubernetes, git, c</t>
        </is>
      </c>
      <c r="R593" s="8" t="inlineStr">
        <is>
          <t>Graduate DevOps Engineer Docker Kubernetes Git</t>
        </is>
      </c>
      <c r="S593" s="19" t="n"/>
      <c r="T593" s="19" t="n"/>
      <c r="U593" s="14" t="n">
        <v>46192</v>
      </c>
      <c r="V593" s="7" t="inlineStr">
        <is>
          <t>v2-cv-accuracy-13b988b18da8ea7d</t>
        </is>
      </c>
    </row>
    <row r="594" ht="28" customHeight="1">
      <c r="A594" s="12">
        <f>IF($L594="applied","Applied",IF($L594="interview","Interview",IF($L594="offer","Offer",IF($L594="rejected","Rejected",IF($L594="ignore","Ignore",IF($L594="archive","Archive",IF($L594="closed","Closed",IF($B594="","Unscored",IF(AND($B594&gt;=8,OR($H594="",$H594-TODAY()&lt;=14)),"P1 Apply",IF($B594&gt;=7,"P2 Strong",IF($B594&gt;=5,"P3 Maybe","P4 Low")))))))))))</f>
        <v/>
      </c>
      <c r="B594" s="13" t="n">
        <v>1.5</v>
      </c>
      <c r="C594" s="12" t="inlineStr">
        <is>
          <t>Senior/Lead</t>
        </is>
      </c>
      <c r="D594" s="8" t="inlineStr">
        <is>
          <t>Digital Design Engineer</t>
        </is>
      </c>
      <c r="E594" s="7" t="inlineStr">
        <is>
          <t>microTECH Global LTD</t>
        </is>
      </c>
      <c r="F594" s="8" t="inlineStr">
        <is>
          <t>England, United Kingdom</t>
        </is>
      </c>
      <c r="G594" s="8" t="n"/>
      <c r="H594" s="14" t="n"/>
      <c r="I594" s="15">
        <f>IF($H594="","",$H594-TODAY())</f>
        <v/>
      </c>
      <c r="J594" s="16" t="inlineStr">
        <is>
          <t>Open posting</t>
        </is>
      </c>
      <c r="K594" s="8" t="inlineStr">
        <is>
          <t>Requires 8+ years and Senior Staff seniority, both hard exclusions against graduate-level profile.</t>
        </is>
      </c>
      <c r="L594" s="17" t="inlineStr">
        <is>
          <t>new</t>
        </is>
      </c>
      <c r="M594" s="18" t="inlineStr"/>
      <c r="N594" s="7" t="inlineStr">
        <is>
          <t>6ad23fdbac6c3bd4a3379593d1a072d8f9647a64</t>
        </is>
      </c>
      <c r="O594" s="14" t="n">
        <v>46176</v>
      </c>
      <c r="P594" s="7" t="inlineStr">
        <is>
          <t>jobspy</t>
        </is>
      </c>
      <c r="Q594" s="8" t="inlineStr">
        <is>
          <t>Verilog, Python</t>
        </is>
      </c>
      <c r="R594" s="8" t="inlineStr">
        <is>
          <t>Graduate Digital Design Engineer FPGA</t>
        </is>
      </c>
      <c r="S594" s="19" t="n"/>
      <c r="T594" s="19" t="n"/>
      <c r="U594" s="14" t="n">
        <v>46193</v>
      </c>
      <c r="V594" s="7" t="inlineStr">
        <is>
          <t>v2-cv-accuracy-13b988b18da8ea7d</t>
        </is>
      </c>
    </row>
    <row r="595" ht="28" customHeight="1">
      <c r="A595" s="12">
        <f>IF($L595="applied","Applied",IF($L595="interview","Interview",IF($L595="offer","Offer",IF($L595="rejected","Rejected",IF($L595="ignore","Ignore",IF($L595="archive","Archive",IF($L595="closed","Closed",IF($B595="","Unscored",IF(AND($B595&gt;=8,OR($H595="",$H595-TODAY()&lt;=14)),"P1 Apply",IF($B595&gt;=7,"P2 Strong",IF($B595&gt;=5,"P3 Maybe","P4 Low")))))))))))</f>
        <v/>
      </c>
      <c r="B595" s="13" t="n">
        <v>1.5</v>
      </c>
      <c r="C595" s="12" t="inlineStr">
        <is>
          <t>Junior</t>
        </is>
      </c>
      <c r="D595" s="8" t="inlineStr">
        <is>
          <t>Back End Developer</t>
        </is>
      </c>
      <c r="E595" s="7" t="inlineStr">
        <is>
          <t>TESTQ Technologies</t>
        </is>
      </c>
      <c r="F595" s="8" t="inlineStr">
        <is>
          <t>Sheffield, England, UK</t>
        </is>
      </c>
      <c r="G595" s="8" t="n"/>
      <c r="H595" s="14" t="n"/>
      <c r="I595" s="15">
        <f>IF($H595="","",$H595-TODAY())</f>
        <v/>
      </c>
      <c r="J595" s="16" t="inlineStr">
        <is>
          <t>Open posting</t>
        </is>
      </c>
      <c r="K595" s="8" t="inlineStr">
        <is>
          <t>Requires 8 years experience with 3 years in a lead role; far above the candidate's 2-year profile and violates seniority negative signals.</t>
        </is>
      </c>
      <c r="L595" s="17" t="inlineStr">
        <is>
          <t>new</t>
        </is>
      </c>
      <c r="M595" s="18" t="inlineStr"/>
      <c r="N595" s="7" t="inlineStr">
        <is>
          <t>1eb609cb2e1c398ec959e5a07c43e691f42fea6b</t>
        </is>
      </c>
      <c r="O595" s="14" t="n"/>
      <c r="P595" s="7" t="inlineStr">
        <is>
          <t>jobspy</t>
        </is>
      </c>
      <c r="Q595" s="8" t="inlineStr">
        <is>
          <t>Python, JavaScript</t>
        </is>
      </c>
      <c r="R595" s="8" t="inlineStr">
        <is>
          <t>Junior Python Developer Sheffield</t>
        </is>
      </c>
      <c r="S595" s="19" t="n"/>
      <c r="T595" s="19" t="n"/>
      <c r="U595" s="14" t="n">
        <v>46192</v>
      </c>
      <c r="V595" s="7" t="inlineStr">
        <is>
          <t>v2-cv-accuracy-13b988b18da8ea7d</t>
        </is>
      </c>
    </row>
    <row r="596" ht="28" customHeight="1">
      <c r="A596" s="12">
        <f>IF($L596="applied","Applied",IF($L596="interview","Interview",IF($L596="offer","Offer",IF($L596="rejected","Rejected",IF($L596="ignore","Ignore",IF($L596="archive","Archive",IF($L596="closed","Closed",IF($B596="","Unscored",IF(AND($B596&gt;=8,OR($H596="",$H596-TODAY()&lt;=14)),"P1 Apply",IF($B596&gt;=7,"P2 Strong",IF($B596&gt;=5,"P3 Maybe","P4 Low")))))))))))</f>
        <v/>
      </c>
      <c r="B596" s="13" t="n">
        <v>1.5</v>
      </c>
      <c r="C596" s="12" t="inlineStr">
        <is>
          <t>Junior</t>
        </is>
      </c>
      <c r="D596" s="8" t="inlineStr">
        <is>
          <t>Software Engineer</t>
        </is>
      </c>
      <c r="E596" s="7" t="inlineStr">
        <is>
          <t>Gemba Advantage</t>
        </is>
      </c>
      <c r="F596" s="8" t="inlineStr">
        <is>
          <t>London Area, United Kingdom</t>
        </is>
      </c>
      <c r="G596" s="8" t="n"/>
      <c r="H596" s="14" t="n"/>
      <c r="I596" s="15">
        <f>IF($H596="","",$H596-TODAY())</f>
        <v/>
      </c>
      <c r="J596" s="16" t="inlineStr">
        <is>
          <t>Open posting</t>
        </is>
      </c>
      <c r="K596" s="8" t="inlineStr">
        <is>
          <t>SC and DV clearance required—explicit description_excludes trigger—making this role ineligible regardless of skill overlap.</t>
        </is>
      </c>
      <c r="L596" s="17" t="inlineStr">
        <is>
          <t>new</t>
        </is>
      </c>
      <c r="M596" s="18" t="inlineStr"/>
      <c r="N596" s="7" t="inlineStr">
        <is>
          <t>89b4eaaf80abc1b5734a7fbcbb6cbfe9187e3512</t>
        </is>
      </c>
      <c r="O596" s="14" t="n">
        <v>46184</v>
      </c>
      <c r="P596" s="7" t="inlineStr">
        <is>
          <t>jobspy</t>
        </is>
      </c>
      <c r="Q596" s="8" t="inlineStr">
        <is>
          <t>Python, Docker, Kubernetes</t>
        </is>
      </c>
      <c r="R596" s="8" t="inlineStr">
        <is>
          <t>Graduate Backend Developer Docker Kubernetes</t>
        </is>
      </c>
      <c r="S596" s="19" t="n"/>
      <c r="T596" s="19" t="n"/>
      <c r="U596" s="14" t="n">
        <v>46192</v>
      </c>
      <c r="V596" s="7" t="inlineStr">
        <is>
          <t>v2-cv-accuracy-13b988b18da8ea7d</t>
        </is>
      </c>
    </row>
    <row r="597" ht="28" customHeight="1">
      <c r="A597" s="12">
        <f>IF($L597="applied","Applied",IF($L597="interview","Interview",IF($L597="offer","Offer",IF($L597="rejected","Rejected",IF($L597="ignore","Ignore",IF($L597="archive","Archive",IF($L597="closed","Closed",IF($B597="","Unscored",IF(AND($B597&gt;=8,OR($H597="",$H597-TODAY()&lt;=14)),"P1 Apply",IF($B597&gt;=7,"P2 Strong",IF($B597&gt;=5,"P3 Maybe","P4 Low")))))))))))</f>
        <v/>
      </c>
      <c r="B597" s="13" t="n">
        <v>1.49</v>
      </c>
      <c r="C597" s="12" t="inlineStr">
        <is>
          <t>Senior/Lead</t>
        </is>
      </c>
      <c r="D597" s="8" t="inlineStr">
        <is>
          <t>Software Engineer</t>
        </is>
      </c>
      <c r="E597" s="7" t="inlineStr">
        <is>
          <t>Equifax</t>
        </is>
      </c>
      <c r="F597" s="8" t="inlineStr">
        <is>
          <t>Nottingham, England, UK</t>
        </is>
      </c>
      <c r="G597" s="8" t="n"/>
      <c r="H597" s="14" t="n"/>
      <c r="I597" s="15">
        <f>IF($H597="","",$H597-TODAY())</f>
        <v/>
      </c>
      <c r="J597" s="16" t="inlineStr">
        <is>
          <t>Open posting</t>
        </is>
      </c>
      <c r="K597" s="8" t="inlineStr">
        <is>
          <t>filtered by keyword pre-scan</t>
        </is>
      </c>
      <c r="L597" s="17" t="inlineStr">
        <is>
          <t>new</t>
        </is>
      </c>
      <c r="M597" s="18" t="inlineStr"/>
      <c r="N597" s="7" t="inlineStr">
        <is>
          <t>5cb88ab47cd6d45e22871f6749fbf767d444f44b</t>
        </is>
      </c>
      <c r="O597" s="14" t="n">
        <v>46178</v>
      </c>
      <c r="P597" s="7" t="inlineStr">
        <is>
          <t>jobspy</t>
        </is>
      </c>
      <c r="Q597" s="8" t="inlineStr">
        <is>
          <t>python, sql, javascript, git, software development</t>
        </is>
      </c>
      <c r="R597" s="8" t="inlineStr">
        <is>
          <t>Full Stack Developer Sheffield</t>
        </is>
      </c>
      <c r="S597" s="19" t="n"/>
      <c r="T597" s="19" t="n"/>
      <c r="U597" s="14" t="n">
        <v>46191</v>
      </c>
      <c r="V597" s="7" t="inlineStr">
        <is>
          <t>v2-cv-accuracy-13b988b18da8ea7d</t>
        </is>
      </c>
    </row>
    <row r="598" ht="28" customHeight="1">
      <c r="A598" s="12">
        <f>IF($L598="applied","Applied",IF($L598="interview","Interview",IF($L598="offer","Offer",IF($L598="rejected","Rejected",IF($L598="ignore","Ignore",IF($L598="archive","Archive",IF($L598="closed","Closed",IF($B598="","Unscored",IF(AND($B598&gt;=8,OR($H598="",$H598-TODAY()&lt;=14)),"P1 Apply",IF($B598&gt;=7,"P2 Strong",IF($B598&gt;=5,"P3 Maybe","P4 Low")))))))))))</f>
        <v/>
      </c>
      <c r="B598" s="13" t="n">
        <v>1.43</v>
      </c>
      <c r="C598" s="12" t="inlineStr">
        <is>
          <t>Graduate/Entry</t>
        </is>
      </c>
      <c r="D598" s="8" t="inlineStr">
        <is>
          <t>Graduate Software Engineer</t>
        </is>
      </c>
      <c r="E598" s="7" t="inlineStr">
        <is>
          <t>Haystack</t>
        </is>
      </c>
      <c r="F598" s="8" t="inlineStr">
        <is>
          <t>Oxford, England, UK</t>
        </is>
      </c>
      <c r="G598" s="8" t="n"/>
      <c r="H598" s="14" t="n"/>
      <c r="I598" s="15">
        <f>IF($H598="","",$H598-TODAY())</f>
        <v/>
      </c>
      <c r="J598" s="16" t="inlineStr">
        <is>
          <t>Open posting</t>
        </is>
      </c>
      <c r="K598" s="8" t="inlineStr">
        <is>
          <t>filtered by keyword pre-scan</t>
        </is>
      </c>
      <c r="L598" s="17" t="inlineStr">
        <is>
          <t>new</t>
        </is>
      </c>
      <c r="M598" s="18" t="inlineStr"/>
      <c r="N598" s="7" t="inlineStr">
        <is>
          <t>a66b1f74bc1f736867500595b0cb36115c0d85d8</t>
        </is>
      </c>
      <c r="O598" s="14" t="n"/>
      <c r="P598" s="7" t="inlineStr">
        <is>
          <t>jobspy</t>
        </is>
      </c>
      <c r="Q598" s="8" t="inlineStr">
        <is>
          <t>python, git</t>
        </is>
      </c>
      <c r="R598" s="8" t="inlineStr">
        <is>
          <t>graduate Graduate Software Developer</t>
        </is>
      </c>
      <c r="S598" s="19" t="n"/>
      <c r="T598" s="19" t="n"/>
      <c r="U598" s="14" t="n">
        <v>46192</v>
      </c>
      <c r="V598" s="7" t="inlineStr">
        <is>
          <t>v2-cv-accuracy-13b988b18da8ea7d</t>
        </is>
      </c>
    </row>
    <row r="599" ht="28" customHeight="1">
      <c r="A599" s="12">
        <f>IF($L599="applied","Applied",IF($L599="interview","Interview",IF($L599="offer","Offer",IF($L599="rejected","Rejected",IF($L599="ignore","Ignore",IF($L599="archive","Archive",IF($L599="closed","Closed",IF($B599="","Unscored",IF(AND($B599&gt;=8,OR($H599="",$H599-TODAY()&lt;=14)),"P1 Apply",IF($B599&gt;=7,"P2 Strong",IF($B599&gt;=5,"P3 Maybe","P4 Low")))))))))))</f>
        <v/>
      </c>
      <c r="B599" s="13" t="n">
        <v>1.43</v>
      </c>
      <c r="C599" s="12" t="inlineStr">
        <is>
          <t>Senior/Lead</t>
        </is>
      </c>
      <c r="D599" s="8" t="inlineStr">
        <is>
          <t>Software Engineer - Emerging Platform Infrastructure &amp; Automation</t>
        </is>
      </c>
      <c r="E599" s="7" t="inlineStr">
        <is>
          <t>Apple</t>
        </is>
      </c>
      <c r="F599" s="8" t="inlineStr">
        <is>
          <t>London, ENG, GB</t>
        </is>
      </c>
      <c r="G599" s="8" t="n"/>
      <c r="H599" s="14" t="n"/>
      <c r="I599" s="15">
        <f>IF($H599="","",$H599-TODAY())</f>
        <v/>
      </c>
      <c r="J599" s="16" t="inlineStr">
        <is>
          <t>Open posting</t>
        </is>
      </c>
      <c r="K599" s="8" t="inlineStr">
        <is>
          <t>filtered by keyword pre-scan</t>
        </is>
      </c>
      <c r="L599" s="17" t="inlineStr">
        <is>
          <t>new</t>
        </is>
      </c>
      <c r="M599" s="18" t="inlineStr"/>
      <c r="N599" s="7" t="inlineStr">
        <is>
          <t>ace9c81d56476e1b947983d3e3e1b422f631e70b</t>
        </is>
      </c>
      <c r="O599" s="14" t="n">
        <v>46190</v>
      </c>
      <c r="P599" s="7" t="inlineStr">
        <is>
          <t>jobspy</t>
        </is>
      </c>
      <c r="Q599" s="8" t="inlineStr">
        <is>
          <t>python, software development</t>
        </is>
      </c>
      <c r="R599" s="8" t="inlineStr">
        <is>
          <t>Full Stack Developer</t>
        </is>
      </c>
      <c r="S599" s="19" t="n"/>
      <c r="T599" s="19" t="n"/>
      <c r="U599" s="14" t="n">
        <v>46192</v>
      </c>
      <c r="V599" s="7" t="inlineStr">
        <is>
          <t>v2-cv-accuracy-13b988b18da8ea7d</t>
        </is>
      </c>
    </row>
    <row r="600" ht="28" customHeight="1">
      <c r="A600" s="12">
        <f>IF($L600="applied","Applied",IF($L600="interview","Interview",IF($L600="offer","Offer",IF($L600="rejected","Rejected",IF($L600="ignore","Ignore",IF($L600="archive","Archive",IF($L600="closed","Closed",IF($B600="","Unscored",IF(AND($B600&gt;=8,OR($H600="",$H600-TODAY()&lt;=14)),"P1 Apply",IF($B600&gt;=7,"P2 Strong",IF($B600&gt;=5,"P3 Maybe","P4 Low")))))))))))</f>
        <v/>
      </c>
      <c r="B600" s="13" t="n">
        <v>1.43</v>
      </c>
      <c r="C600" s="12" t="inlineStr">
        <is>
          <t>Unspecified</t>
        </is>
      </c>
      <c r="D600" s="8" t="inlineStr">
        <is>
          <t>Full Stack Software Developer</t>
        </is>
      </c>
      <c r="E600" s="7" t="inlineStr">
        <is>
          <t>Haystack</t>
        </is>
      </c>
      <c r="F600" s="8" t="inlineStr">
        <is>
          <t>Exeter, England, UK</t>
        </is>
      </c>
      <c r="G600" s="8" t="n"/>
      <c r="H600" s="14" t="n"/>
      <c r="I600" s="15">
        <f>IF($H600="","",$H600-TODAY())</f>
        <v/>
      </c>
      <c r="J600" s="16" t="inlineStr">
        <is>
          <t>Open posting</t>
        </is>
      </c>
      <c r="K600" s="8" t="inlineStr">
        <is>
          <t>filtered by keyword pre-scan</t>
        </is>
      </c>
      <c r="L600" s="17" t="inlineStr">
        <is>
          <t>new</t>
        </is>
      </c>
      <c r="M600" s="18" t="inlineStr"/>
      <c r="N600" s="7" t="inlineStr">
        <is>
          <t>3312ab57ffed4f8926b2d99b9802029b1f7fe1e6</t>
        </is>
      </c>
      <c r="O600" s="14" t="n"/>
      <c r="P600" s="7" t="inlineStr">
        <is>
          <t>jobspy</t>
        </is>
      </c>
      <c r="Q600" s="8" t="inlineStr">
        <is>
          <t>sql, javascript</t>
        </is>
      </c>
      <c r="R600" s="8" t="inlineStr">
        <is>
          <t>Full Stack Developer</t>
        </is>
      </c>
      <c r="S600" s="19" t="n"/>
      <c r="T600" s="19" t="n"/>
      <c r="U600" s="14" t="n">
        <v>46192</v>
      </c>
      <c r="V600" s="7" t="inlineStr">
        <is>
          <t>v2-cv-accuracy-13b988b18da8ea7d</t>
        </is>
      </c>
    </row>
    <row r="601" ht="28" customHeight="1">
      <c r="A601" s="12">
        <f>IF($L601="applied","Applied",IF($L601="interview","Interview",IF($L601="offer","Offer",IF($L601="rejected","Rejected",IF($L601="ignore","Ignore",IF($L601="archive","Archive",IF($L601="closed","Closed",IF($B601="","Unscored",IF(AND($B601&gt;=8,OR($H601="",$H601-TODAY()&lt;=14)),"P1 Apply",IF($B601&gt;=7,"P2 Strong",IF($B601&gt;=5,"P3 Maybe","P4 Low")))))))))))</f>
        <v/>
      </c>
      <c r="B601" s="13" t="n">
        <v>1.43</v>
      </c>
      <c r="C601" s="12" t="inlineStr">
        <is>
          <t>Mid-level</t>
        </is>
      </c>
      <c r="D601" s="8" t="inlineStr">
        <is>
          <t>Full Stack Engineer</t>
        </is>
      </c>
      <c r="E601" s="7" t="inlineStr">
        <is>
          <t>Oho Group</t>
        </is>
      </c>
      <c r="F601" s="8" t="inlineStr">
        <is>
          <t>London Area, United Kingdom</t>
        </is>
      </c>
      <c r="G601" s="8" t="n"/>
      <c r="H601" s="14" t="n"/>
      <c r="I601" s="15">
        <f>IF($H601="","",$H601-TODAY())</f>
        <v/>
      </c>
      <c r="J601" s="16" t="inlineStr">
        <is>
          <t>Open posting</t>
        </is>
      </c>
      <c r="K601" s="8" t="inlineStr">
        <is>
          <t>filtered by keyword pre-scan</t>
        </is>
      </c>
      <c r="L601" s="17" t="inlineStr">
        <is>
          <t>new</t>
        </is>
      </c>
      <c r="M601" s="18" t="inlineStr"/>
      <c r="N601" s="7" t="inlineStr">
        <is>
          <t>823f3307fb47eb40ae47c6a6e79befde8df8179b</t>
        </is>
      </c>
      <c r="O601" s="14" t="n"/>
      <c r="P601" s="7" t="inlineStr">
        <is>
          <t>jobspy</t>
        </is>
      </c>
      <c r="Q601" s="8" t="inlineStr">
        <is>
          <t>python, javascript</t>
        </is>
      </c>
      <c r="R601" s="8" t="inlineStr">
        <is>
          <t>graduate Full Stack Developer</t>
        </is>
      </c>
      <c r="S601" s="19" t="n"/>
      <c r="T601" s="19" t="n"/>
      <c r="U601" s="14" t="n">
        <v>46192</v>
      </c>
      <c r="V601" s="7" t="inlineStr">
        <is>
          <t>v2-cv-accuracy-13b988b18da8ea7d</t>
        </is>
      </c>
    </row>
    <row r="602" ht="28" customHeight="1">
      <c r="A602" s="12">
        <f>IF($L602="applied","Applied",IF($L602="interview","Interview",IF($L602="offer","Offer",IF($L602="rejected","Rejected",IF($L602="ignore","Ignore",IF($L602="archive","Archive",IF($L602="closed","Closed",IF($B602="","Unscored",IF(AND($B602&gt;=8,OR($H602="",$H602-TODAY()&lt;=14)),"P1 Apply",IF($B602&gt;=7,"P2 Strong",IF($B602&gt;=5,"P3 Maybe","P4 Low")))))))))))</f>
        <v/>
      </c>
      <c r="B602" s="13" t="n">
        <v>1.43</v>
      </c>
      <c r="C602" s="12" t="inlineStr">
        <is>
          <t>Mid-level</t>
        </is>
      </c>
      <c r="D602" s="8" t="inlineStr">
        <is>
          <t>Machine Learning Engineer</t>
        </is>
      </c>
      <c r="E602" s="7" t="inlineStr">
        <is>
          <t>Cloudflare</t>
        </is>
      </c>
      <c r="F602" s="8" t="inlineStr">
        <is>
          <t>In-Office</t>
        </is>
      </c>
      <c r="G602" s="8" t="n"/>
      <c r="H602" s="14" t="n"/>
      <c r="I602" s="15">
        <f>IF($H602="","",$H602-TODAY())</f>
        <v/>
      </c>
      <c r="J602" s="16" t="inlineStr">
        <is>
          <t>Open posting</t>
        </is>
      </c>
      <c r="K602" s="8" t="inlineStr">
        <is>
          <t>filtered by keyword pre-scan</t>
        </is>
      </c>
      <c r="L602" s="17" t="inlineStr">
        <is>
          <t>new</t>
        </is>
      </c>
      <c r="M602" s="18" t="inlineStr"/>
      <c r="N602" s="7" t="inlineStr">
        <is>
          <t>96587fd33014a3fe79e3d27196c3bb72aa7e7bbd</t>
        </is>
      </c>
      <c r="O602" s="14" t="n">
        <v>46190</v>
      </c>
      <c r="P602" s="7" t="inlineStr">
        <is>
          <t>greenhouse:cloudflare</t>
        </is>
      </c>
      <c r="Q602" s="8" t="inlineStr">
        <is>
          <t>python</t>
        </is>
      </c>
      <c r="R602" s="8" t="n"/>
      <c r="S602" s="19" t="n"/>
      <c r="T602" s="19" t="n"/>
      <c r="U602" s="14" t="n">
        <v>46191</v>
      </c>
      <c r="V602" s="7" t="inlineStr">
        <is>
          <t>v2-cv-accuracy-13b988b18da8ea7d</t>
        </is>
      </c>
    </row>
    <row r="603" ht="28" customHeight="1">
      <c r="A603" s="12">
        <f>IF($L603="applied","Applied",IF($L603="interview","Interview",IF($L603="offer","Offer",IF($L603="rejected","Rejected",IF($L603="ignore","Ignore",IF($L603="archive","Archive",IF($L603="closed","Closed",IF($B603="","Unscored",IF(AND($B603&gt;=8,OR($H603="",$H603-TODAY()&lt;=14)),"P1 Apply",IF($B603&gt;=7,"P2 Strong",IF($B603&gt;=5,"P3 Maybe","P4 Low")))))))))))</f>
        <v/>
      </c>
      <c r="B603" s="13" t="n">
        <v>1.43</v>
      </c>
      <c r="C603" s="12" t="inlineStr">
        <is>
          <t>Graduate/Entry</t>
        </is>
      </c>
      <c r="D603" s="8" t="inlineStr">
        <is>
          <t>Graduate Software Engineer</t>
        </is>
      </c>
      <c r="E603" s="7" t="inlineStr">
        <is>
          <t>Abound</t>
        </is>
      </c>
      <c r="F603" s="8" t="inlineStr">
        <is>
          <t>London, England, UK</t>
        </is>
      </c>
      <c r="G603" s="8" t="n"/>
      <c r="H603" s="14" t="n"/>
      <c r="I603" s="15">
        <f>IF($H603="","",$H603-TODAY())</f>
        <v/>
      </c>
      <c r="J603" s="16" t="inlineStr">
        <is>
          <t>Open posting</t>
        </is>
      </c>
      <c r="K603" s="8" t="inlineStr">
        <is>
          <t>filtered by keyword pre-scan</t>
        </is>
      </c>
      <c r="L603" s="17" t="inlineStr">
        <is>
          <t>new</t>
        </is>
      </c>
      <c r="M603" s="18" t="inlineStr"/>
      <c r="N603" s="7" t="inlineStr">
        <is>
          <t>b2607a65364374a2f22599c1cd7f2f725f0a9714</t>
        </is>
      </c>
      <c r="O603" s="14" t="n">
        <v>46178</v>
      </c>
      <c r="P603" s="7" t="inlineStr">
        <is>
          <t>jobspy</t>
        </is>
      </c>
      <c r="Q603" s="8" t="inlineStr">
        <is>
          <t>python, sql</t>
        </is>
      </c>
      <c r="R603" s="8" t="inlineStr">
        <is>
          <t>Graduate Software Developer</t>
        </is>
      </c>
      <c r="S603" s="19" t="n"/>
      <c r="T603" s="19" t="n"/>
      <c r="U603" s="14" t="n">
        <v>46191</v>
      </c>
      <c r="V603" s="7" t="inlineStr">
        <is>
          <t>v2-cv-accuracy-13b988b18da8ea7d</t>
        </is>
      </c>
    </row>
    <row r="604" ht="28" customHeight="1">
      <c r="A604" s="12">
        <f>IF($L604="applied","Applied",IF($L604="interview","Interview",IF($L604="offer","Offer",IF($L604="rejected","Rejected",IF($L604="ignore","Ignore",IF($L604="archive","Archive",IF($L604="closed","Closed",IF($B604="","Unscored",IF(AND($B604&gt;=8,OR($H604="",$H604-TODAY()&lt;=14)),"P1 Apply",IF($B604&gt;=7,"P2 Strong",IF($B604&gt;=5,"P3 Maybe","P4 Low")))))))))))</f>
        <v/>
      </c>
      <c r="B604" s="13" t="n">
        <v>1.43</v>
      </c>
      <c r="C604" s="12" t="inlineStr">
        <is>
          <t>Unspecified</t>
        </is>
      </c>
      <c r="D604" s="8" t="inlineStr">
        <is>
          <t>Full Stack .Net Software Engineer</t>
        </is>
      </c>
      <c r="E604" s="7" t="inlineStr">
        <is>
          <t>Fruition Group</t>
        </is>
      </c>
      <c r="F604" s="8" t="inlineStr">
        <is>
          <t>Sheffield, England, UK</t>
        </is>
      </c>
      <c r="G604" s="8" t="n"/>
      <c r="H604" s="14" t="n"/>
      <c r="I604" s="15">
        <f>IF($H604="","",$H604-TODAY())</f>
        <v/>
      </c>
      <c r="J604" s="16" t="inlineStr">
        <is>
          <t>Open posting</t>
        </is>
      </c>
      <c r="K604" s="8" t="inlineStr">
        <is>
          <t>filtered by keyword pre-scan</t>
        </is>
      </c>
      <c r="L604" s="17" t="inlineStr">
        <is>
          <t>new</t>
        </is>
      </c>
      <c r="M604" s="18" t="inlineStr"/>
      <c r="N604" s="7" t="inlineStr">
        <is>
          <t>bc282767baa5d50f9ad4062b1dc344b22018adb7</t>
        </is>
      </c>
      <c r="O604" s="14" t="n">
        <v>46177</v>
      </c>
      <c r="P604" s="7" t="inlineStr">
        <is>
          <t>jobspy</t>
        </is>
      </c>
      <c r="Q604" s="8" t="inlineStr">
        <is>
          <t>git</t>
        </is>
      </c>
      <c r="R604" s="8" t="inlineStr">
        <is>
          <t>Graduate Software Developer Sheffield</t>
        </is>
      </c>
      <c r="S604" s="19" t="n"/>
      <c r="T604" s="19" t="n"/>
      <c r="U604" s="14" t="n">
        <v>46191</v>
      </c>
      <c r="V604" s="7" t="inlineStr">
        <is>
          <t>v2-cv-accuracy-13b988b18da8ea7d</t>
        </is>
      </c>
    </row>
    <row r="605" ht="28" customHeight="1">
      <c r="A605" s="12">
        <f>IF($L605="applied","Applied",IF($L605="interview","Interview",IF($L605="offer","Offer",IF($L605="rejected","Rejected",IF($L605="ignore","Ignore",IF($L605="archive","Archive",IF($L605="closed","Closed",IF($B605="","Unscored",IF(AND($B605&gt;=8,OR($H605="",$H605-TODAY()&lt;=14)),"P1 Apply",IF($B605&gt;=7,"P2 Strong",IF($B605&gt;=5,"P3 Maybe","P4 Low")))))))))))</f>
        <v/>
      </c>
      <c r="B605" s="13" t="n">
        <v>1.43</v>
      </c>
      <c r="C605" s="12" t="inlineStr">
        <is>
          <t>Junior</t>
        </is>
      </c>
      <c r="D605" s="8" t="inlineStr">
        <is>
          <t>Design Engineer CE</t>
        </is>
      </c>
      <c r="E605" s="7" t="inlineStr">
        <is>
          <t>Robert Bird Group</t>
        </is>
      </c>
      <c r="F605" s="8" t="inlineStr">
        <is>
          <t>London, ENG, GB</t>
        </is>
      </c>
      <c r="G605" s="8" t="n"/>
      <c r="H605" s="14" t="n"/>
      <c r="I605" s="15">
        <f>IF($H605="","",$H605-TODAY())</f>
        <v/>
      </c>
      <c r="J605" s="16" t="inlineStr">
        <is>
          <t>Open posting</t>
        </is>
      </c>
      <c r="K605" s="8" t="inlineStr">
        <is>
          <t>filtered by keyword pre-scan</t>
        </is>
      </c>
      <c r="L605" s="17" t="inlineStr">
        <is>
          <t>new</t>
        </is>
      </c>
      <c r="M605" s="18" t="inlineStr"/>
      <c r="N605" s="7" t="inlineStr">
        <is>
          <t>ed24d1dd92bbad5ea5b9c5b23ccf029296aa8fe1</t>
        </is>
      </c>
      <c r="O605" s="14" t="n">
        <v>46161</v>
      </c>
      <c r="P605" s="7" t="inlineStr">
        <is>
          <t>jobspy</t>
        </is>
      </c>
      <c r="Q605" s="8" t="inlineStr">
        <is>
          <t>python, git</t>
        </is>
      </c>
      <c r="R605" s="8" t="inlineStr">
        <is>
          <t>junior Graduate Software Developer</t>
        </is>
      </c>
      <c r="S605" s="19" t="n"/>
      <c r="T605" s="19" t="n"/>
      <c r="U605" s="14" t="n">
        <v>46191</v>
      </c>
      <c r="V605" s="7" t="inlineStr">
        <is>
          <t>v2-cv-accuracy-13b988b18da8ea7d</t>
        </is>
      </c>
    </row>
    <row r="606" ht="28" customHeight="1">
      <c r="A606" s="12">
        <f>IF($L606="applied","Applied",IF($L606="interview","Interview",IF($L606="offer","Offer",IF($L606="rejected","Rejected",IF($L606="ignore","Ignore",IF($L606="archive","Archive",IF($L606="closed","Closed",IF($B606="","Unscored",IF(AND($B606&gt;=8,OR($H606="",$H606-TODAY()&lt;=14)),"P1 Apply",IF($B606&gt;=7,"P2 Strong",IF($B606&gt;=5,"P3 Maybe","P4 Low")))))))))))</f>
        <v/>
      </c>
      <c r="B606" s="13" t="n">
        <v>1.43</v>
      </c>
      <c r="C606" s="12" t="inlineStr">
        <is>
          <t>Junior</t>
        </is>
      </c>
      <c r="D606" s="8" t="inlineStr">
        <is>
          <t>Design Engineer CE</t>
        </is>
      </c>
      <c r="E606" s="7" t="inlineStr">
        <is>
          <t>Surbana Jurong Private Limited</t>
        </is>
      </c>
      <c r="F606" s="8" t="inlineStr">
        <is>
          <t>London, ENG, GB</t>
        </is>
      </c>
      <c r="G606" s="8" t="n"/>
      <c r="H606" s="14" t="n"/>
      <c r="I606" s="15">
        <f>IF($H606="","",$H606-TODAY())</f>
        <v/>
      </c>
      <c r="J606" s="16" t="inlineStr">
        <is>
          <t>Open posting</t>
        </is>
      </c>
      <c r="K606" s="8" t="inlineStr">
        <is>
          <t>filtered by keyword pre-scan</t>
        </is>
      </c>
      <c r="L606" s="17" t="inlineStr">
        <is>
          <t>new</t>
        </is>
      </c>
      <c r="M606" s="18" t="inlineStr"/>
      <c r="N606" s="7" t="inlineStr">
        <is>
          <t>622b34fe87a85ceabbeb5951b94a62f907eb9cec</t>
        </is>
      </c>
      <c r="O606" s="14" t="n">
        <v>46161</v>
      </c>
      <c r="P606" s="7" t="inlineStr">
        <is>
          <t>jobspy</t>
        </is>
      </c>
      <c r="Q606" s="8" t="inlineStr">
        <is>
          <t>python, git</t>
        </is>
      </c>
      <c r="R606" s="8" t="inlineStr">
        <is>
          <t>junior Graduate Software Developer</t>
        </is>
      </c>
      <c r="S606" s="19" t="n"/>
      <c r="T606" s="19" t="n"/>
      <c r="U606" s="14" t="n">
        <v>46191</v>
      </c>
      <c r="V606" s="7" t="inlineStr">
        <is>
          <t>v2-cv-accuracy-13b988b18da8ea7d</t>
        </is>
      </c>
    </row>
    <row r="607" ht="28" customHeight="1">
      <c r="A607" s="12">
        <f>IF($L607="applied","Applied",IF($L607="interview","Interview",IF($L607="offer","Offer",IF($L607="rejected","Rejected",IF($L607="ignore","Ignore",IF($L607="archive","Archive",IF($L607="closed","Closed",IF($B607="","Unscored",IF(AND($B607&gt;=8,OR($H607="",$H607-TODAY()&lt;=14)),"P1 Apply",IF($B607&gt;=7,"P2 Strong",IF($B607&gt;=5,"P3 Maybe","P4 Low")))))))))))</f>
        <v/>
      </c>
      <c r="B607" s="13" t="n">
        <v>1.43</v>
      </c>
      <c r="C607" s="12" t="inlineStr">
        <is>
          <t>Junior</t>
        </is>
      </c>
      <c r="D607" s="8" t="inlineStr">
        <is>
          <t>Junior Software Developer</t>
        </is>
      </c>
      <c r="E607" s="7" t="inlineStr">
        <is>
          <t>Kensa</t>
        </is>
      </c>
      <c r="F607" s="8" t="inlineStr">
        <is>
          <t>Truro, England, UK</t>
        </is>
      </c>
      <c r="G607" s="8" t="n"/>
      <c r="H607" s="14" t="n"/>
      <c r="I607" s="15">
        <f>IF($H607="","",$H607-TODAY())</f>
        <v/>
      </c>
      <c r="J607" s="16" t="inlineStr">
        <is>
          <t>Open posting</t>
        </is>
      </c>
      <c r="K607" s="8" t="inlineStr">
        <is>
          <t>filtered by keyword pre-scan</t>
        </is>
      </c>
      <c r="L607" s="17" t="inlineStr">
        <is>
          <t>new</t>
        </is>
      </c>
      <c r="M607" s="18" t="inlineStr"/>
      <c r="N607" s="7" t="inlineStr">
        <is>
          <t>75bcca5ac03356f36cec297d70a3fdc7a68869a2</t>
        </is>
      </c>
      <c r="O607" s="14" t="n">
        <v>46188</v>
      </c>
      <c r="P607" s="7" t="inlineStr">
        <is>
          <t>jobspy</t>
        </is>
      </c>
      <c r="Q607" s="8" t="inlineStr">
        <is>
          <t>git</t>
        </is>
      </c>
      <c r="R607" s="8" t="inlineStr">
        <is>
          <t>junior Graduate Software Developer</t>
        </is>
      </c>
      <c r="S607" s="19" t="n"/>
      <c r="T607" s="19" t="n"/>
      <c r="U607" s="14" t="n">
        <v>46191</v>
      </c>
      <c r="V607" s="7" t="inlineStr">
        <is>
          <t>v2-cv-accuracy-13b988b18da8ea7d</t>
        </is>
      </c>
    </row>
    <row r="608" ht="28" customHeight="1">
      <c r="A608" s="12">
        <f>IF($L608="applied","Applied",IF($L608="interview","Interview",IF($L608="offer","Offer",IF($L608="rejected","Rejected",IF($L608="ignore","Ignore",IF($L608="archive","Archive",IF($L608="closed","Closed",IF($B608="","Unscored",IF(AND($B608&gt;=8,OR($H608="",$H608-TODAY()&lt;=14)),"P1 Apply",IF($B608&gt;=7,"P2 Strong",IF($B608&gt;=5,"P3 Maybe","P4 Low")))))))))))</f>
        <v/>
      </c>
      <c r="B608" s="13" t="n">
        <v>1.43</v>
      </c>
      <c r="C608" s="12" t="inlineStr">
        <is>
          <t>Graduate/Entry</t>
        </is>
      </c>
      <c r="D608" s="8" t="inlineStr">
        <is>
          <t>Graduate Software Developer</t>
        </is>
      </c>
      <c r="E608" s="7" t="inlineStr">
        <is>
          <t>Codemakers</t>
        </is>
      </c>
      <c r="F608" s="8" t="inlineStr">
        <is>
          <t>Derby, ENG, GB</t>
        </is>
      </c>
      <c r="G608" s="8" t="n"/>
      <c r="H608" s="14" t="n"/>
      <c r="I608" s="15">
        <f>IF($H608="","",$H608-TODAY())</f>
        <v/>
      </c>
      <c r="J608" s="16" t="inlineStr">
        <is>
          <t>Open posting</t>
        </is>
      </c>
      <c r="K608" s="8" t="inlineStr">
        <is>
          <t>filtered by keyword pre-scan</t>
        </is>
      </c>
      <c r="L608" s="17" t="inlineStr">
        <is>
          <t>new</t>
        </is>
      </c>
      <c r="M608" s="18" t="inlineStr"/>
      <c r="N608" s="7" t="inlineStr">
        <is>
          <t>a3649a62f88ccd1e1718b94f07823fa6e1683d23</t>
        </is>
      </c>
      <c r="O608" s="14" t="n">
        <v>46171</v>
      </c>
      <c r="P608" s="7" t="inlineStr">
        <is>
          <t>jobspy</t>
        </is>
      </c>
      <c r="Q608" s="8" t="inlineStr">
        <is>
          <t>git, software development</t>
        </is>
      </c>
      <c r="R608" s="8" t="inlineStr">
        <is>
          <t>Graduate Software Developer remote</t>
        </is>
      </c>
      <c r="S608" s="19" t="n"/>
      <c r="T608" s="19" t="n"/>
      <c r="U608" s="14" t="n">
        <v>46191</v>
      </c>
      <c r="V608" s="7" t="inlineStr">
        <is>
          <t>v2-cv-accuracy-13b988b18da8ea7d</t>
        </is>
      </c>
    </row>
    <row r="609" ht="28" customHeight="1">
      <c r="A609" s="12">
        <f>IF($L609="applied","Applied",IF($L609="interview","Interview",IF($L609="offer","Offer",IF($L609="rejected","Rejected",IF($L609="ignore","Ignore",IF($L609="archive","Archive",IF($L609="closed","Closed",IF($B609="","Unscored",IF(AND($B609&gt;=8,OR($H609="",$H609-TODAY()&lt;=14)),"P1 Apply",IF($B609&gt;=7,"P2 Strong",IF($B609&gt;=5,"P3 Maybe","P4 Low")))))))))))</f>
        <v/>
      </c>
      <c r="B609" s="13" t="n">
        <v>1.43</v>
      </c>
      <c r="C609" s="12" t="inlineStr">
        <is>
          <t>Junior</t>
        </is>
      </c>
      <c r="D609" s="8" t="inlineStr">
        <is>
          <t>Optimisation Specialist</t>
        </is>
      </c>
      <c r="E609" s="7" t="inlineStr">
        <is>
          <t>Kinewell Energy</t>
        </is>
      </c>
      <c r="F609" s="8" t="inlineStr">
        <is>
          <t>Newcastle upon Tyne, ENG, GB</t>
        </is>
      </c>
      <c r="G609" s="8" t="n"/>
      <c r="H609" s="14" t="n"/>
      <c r="I609" s="15">
        <f>IF($H609="","",$H609-TODAY())</f>
        <v/>
      </c>
      <c r="J609" s="16" t="inlineStr">
        <is>
          <t>Open posting</t>
        </is>
      </c>
      <c r="K609" s="8" t="inlineStr">
        <is>
          <t>filtered by keyword pre-scan</t>
        </is>
      </c>
      <c r="L609" s="17" t="inlineStr">
        <is>
          <t>new</t>
        </is>
      </c>
      <c r="M609" s="18" t="inlineStr"/>
      <c r="N609" s="7" t="inlineStr">
        <is>
          <t>06f1dd15689439b03c36bfd9e4e2e03e672db116</t>
        </is>
      </c>
      <c r="O609" s="14" t="n">
        <v>46188</v>
      </c>
      <c r="P609" s="7" t="inlineStr">
        <is>
          <t>jobspy</t>
        </is>
      </c>
      <c r="Q609" s="8" t="inlineStr">
        <is>
          <t>python, data analysis</t>
        </is>
      </c>
      <c r="R609" s="8" t="inlineStr">
        <is>
          <t>Junior Python Developer</t>
        </is>
      </c>
      <c r="S609" s="19" t="n"/>
      <c r="T609" s="19" t="n"/>
      <c r="U609" s="14" t="n">
        <v>46191</v>
      </c>
      <c r="V609" s="7" t="inlineStr">
        <is>
          <t>v2-cv-accuracy-13b988b18da8ea7d</t>
        </is>
      </c>
    </row>
    <row r="610" ht="28" customHeight="1">
      <c r="A610" s="12">
        <f>IF($L610="applied","Applied",IF($L610="interview","Interview",IF($L610="offer","Offer",IF($L610="rejected","Rejected",IF($L610="ignore","Ignore",IF($L610="archive","Archive",IF($L610="closed","Closed",IF($B610="","Unscored",IF(AND($B610&gt;=8,OR($H610="",$H610-TODAY()&lt;=14)),"P1 Apply",IF($B610&gt;=7,"P2 Strong",IF($B610&gt;=5,"P3 Maybe","P4 Low")))))))))))</f>
        <v/>
      </c>
      <c r="B610" s="13" t="n">
        <v>1.43</v>
      </c>
      <c r="C610" s="12" t="inlineStr">
        <is>
          <t>Unspecified</t>
        </is>
      </c>
      <c r="D610" s="8" t="inlineStr">
        <is>
          <t>Python Developer | Remote</t>
        </is>
      </c>
      <c r="E610" s="7" t="inlineStr">
        <is>
          <t>Crossing Hurdles</t>
        </is>
      </c>
      <c r="F610" s="8" t="inlineStr"/>
      <c r="G610" s="8" t="n"/>
      <c r="H610" s="14" t="n"/>
      <c r="I610" s="15">
        <f>IF($H610="","",$H610-TODAY())</f>
        <v/>
      </c>
      <c r="J610" s="16" t="inlineStr">
        <is>
          <t>Open posting</t>
        </is>
      </c>
      <c r="K610" s="8" t="inlineStr">
        <is>
          <t>filtered by keyword pre-scan</t>
        </is>
      </c>
      <c r="L610" s="17" t="inlineStr">
        <is>
          <t>new</t>
        </is>
      </c>
      <c r="M610" s="18" t="inlineStr"/>
      <c r="N610" s="7" t="inlineStr">
        <is>
          <t>fbe8df518479bd4f1eae2e2ab5fb098a2e628ee3</t>
        </is>
      </c>
      <c r="O610" s="14" t="n">
        <v>46178</v>
      </c>
      <c r="P610" s="7" t="inlineStr">
        <is>
          <t>jobspy</t>
        </is>
      </c>
      <c r="Q610" s="8" t="inlineStr">
        <is>
          <t>python, software development</t>
        </is>
      </c>
      <c r="R610" s="8" t="inlineStr">
        <is>
          <t>Junior Python Developer</t>
        </is>
      </c>
      <c r="S610" s="19" t="n"/>
      <c r="T610" s="19" t="n"/>
      <c r="U610" s="14" t="n">
        <v>46191</v>
      </c>
      <c r="V610" s="7" t="inlineStr">
        <is>
          <t>v2-cv-accuracy-13b988b18da8ea7d</t>
        </is>
      </c>
    </row>
    <row r="611" ht="28" customHeight="1">
      <c r="A611" s="12">
        <f>IF($L611="applied","Applied",IF($L611="interview","Interview",IF($L611="offer","Offer",IF($L611="rejected","Rejected",IF($L611="ignore","Ignore",IF($L611="archive","Archive",IF($L611="closed","Closed",IF($B611="","Unscored",IF(AND($B611&gt;=8,OR($H611="",$H611-TODAY()&lt;=14)),"P1 Apply",IF($B611&gt;=7,"P2 Strong",IF($B611&gt;=5,"P3 Maybe","P4 Low")))))))))))</f>
        <v/>
      </c>
      <c r="B611" s="13" t="n">
        <v>1.43</v>
      </c>
      <c r="C611" s="12" t="inlineStr">
        <is>
          <t>Mid-level</t>
        </is>
      </c>
      <c r="D611" s="8" t="inlineStr">
        <is>
          <t>Python Automation Engineer</t>
        </is>
      </c>
      <c r="E611" s="7" t="inlineStr">
        <is>
          <t>Randstad Digital</t>
        </is>
      </c>
      <c r="F611" s="8" t="inlineStr">
        <is>
          <t>London Area, United Kingdom</t>
        </is>
      </c>
      <c r="G611" s="8" t="n"/>
      <c r="H611" s="14" t="n"/>
      <c r="I611" s="15">
        <f>IF($H611="","",$H611-TODAY())</f>
        <v/>
      </c>
      <c r="J611" s="16" t="inlineStr">
        <is>
          <t>Open posting</t>
        </is>
      </c>
      <c r="K611" s="8" t="inlineStr">
        <is>
          <t>filtered by keyword pre-scan</t>
        </is>
      </c>
      <c r="L611" s="17" t="inlineStr">
        <is>
          <t>new</t>
        </is>
      </c>
      <c r="M611" s="18" t="inlineStr"/>
      <c r="N611" s="7" t="inlineStr">
        <is>
          <t>8358f269e90f94ff79dd6cf074293b914dd6ed35</t>
        </is>
      </c>
      <c r="O611" s="14" t="n"/>
      <c r="P611" s="7" t="inlineStr">
        <is>
          <t>jobspy</t>
        </is>
      </c>
      <c r="Q611" s="8" t="inlineStr">
        <is>
          <t>python, git</t>
        </is>
      </c>
      <c r="R611" s="8" t="inlineStr">
        <is>
          <t>Junior Python Developer Sheffield</t>
        </is>
      </c>
      <c r="S611" s="19" t="n"/>
      <c r="T611" s="19" t="n"/>
      <c r="U611" s="14" t="n">
        <v>46191</v>
      </c>
      <c r="V611" s="7" t="inlineStr">
        <is>
          <t>v2-cv-accuracy-13b988b18da8ea7d</t>
        </is>
      </c>
    </row>
    <row r="612" ht="28" customHeight="1">
      <c r="A612" s="12">
        <f>IF($L612="applied","Applied",IF($L612="interview","Interview",IF($L612="offer","Offer",IF($L612="rejected","Rejected",IF($L612="ignore","Ignore",IF($L612="archive","Archive",IF($L612="closed","Closed",IF($B612="","Unscored",IF(AND($B612&gt;=8,OR($H612="",$H612-TODAY()&lt;=14)),"P1 Apply",IF($B612&gt;=7,"P2 Strong",IF($B612&gt;=5,"P3 Maybe","P4 Low")))))))))))</f>
        <v/>
      </c>
      <c r="B612" s="13" t="n">
        <v>1.43</v>
      </c>
      <c r="C612" s="12" t="inlineStr">
        <is>
          <t>Unspecified</t>
        </is>
      </c>
      <c r="D612" s="8" t="inlineStr">
        <is>
          <t>Python Developer</t>
        </is>
      </c>
      <c r="E612" s="7" t="inlineStr">
        <is>
          <t>Tata Consultancy Services</t>
        </is>
      </c>
      <c r="F612" s="8" t="inlineStr">
        <is>
          <t>Chennai, Tamil Nadu, India</t>
        </is>
      </c>
      <c r="G612" s="8" t="n"/>
      <c r="H612" s="14" t="n"/>
      <c r="I612" s="15">
        <f>IF($H612="","",$H612-TODAY())</f>
        <v/>
      </c>
      <c r="J612" s="16" t="inlineStr">
        <is>
          <t>Open posting</t>
        </is>
      </c>
      <c r="K612" s="8" t="inlineStr">
        <is>
          <t>filtered by keyword pre-scan</t>
        </is>
      </c>
      <c r="L612" s="17" t="inlineStr">
        <is>
          <t>new</t>
        </is>
      </c>
      <c r="M612" s="18" t="inlineStr"/>
      <c r="N612" s="7" t="inlineStr">
        <is>
          <t>c70b54b6e11de92545cab70ec3f17cba8dee5e89</t>
        </is>
      </c>
      <c r="O612" s="14" t="n">
        <v>46182</v>
      </c>
      <c r="P612" s="7" t="inlineStr">
        <is>
          <t>jobspy</t>
        </is>
      </c>
      <c r="Q612" s="8" t="inlineStr">
        <is>
          <t>python</t>
        </is>
      </c>
      <c r="R612" s="8" t="inlineStr">
        <is>
          <t>graduate Junior Python Developer</t>
        </is>
      </c>
      <c r="S612" s="19" t="n"/>
      <c r="T612" s="19" t="n"/>
      <c r="U612" s="14" t="n">
        <v>46191</v>
      </c>
      <c r="V612" s="7" t="inlineStr">
        <is>
          <t>v2-cv-accuracy-13b988b18da8ea7d</t>
        </is>
      </c>
    </row>
    <row r="613" ht="28" customHeight="1">
      <c r="A613" s="12">
        <f>IF($L613="applied","Applied",IF($L613="interview","Interview",IF($L613="offer","Offer",IF($L613="rejected","Rejected",IF($L613="ignore","Ignore",IF($L613="archive","Archive",IF($L613="closed","Closed",IF($B613="","Unscored",IF(AND($B613&gt;=8,OR($H613="",$H613-TODAY()&lt;=14)),"P1 Apply",IF($B613&gt;=7,"P2 Strong",IF($B613&gt;=5,"P3 Maybe","P4 Low")))))))))))</f>
        <v/>
      </c>
      <c r="B613" s="13" t="n">
        <v>1.43</v>
      </c>
      <c r="C613" s="12" t="inlineStr">
        <is>
          <t>Unspecified</t>
        </is>
      </c>
      <c r="D613" s="8" t="inlineStr">
        <is>
          <t>Python Engineer</t>
        </is>
      </c>
      <c r="E613" s="7" t="inlineStr">
        <is>
          <t>Virtusa</t>
        </is>
      </c>
      <c r="F613" s="8" t="inlineStr">
        <is>
          <t>Andhra Pradesh, India</t>
        </is>
      </c>
      <c r="G613" s="8" t="n"/>
      <c r="H613" s="14" t="n"/>
      <c r="I613" s="15">
        <f>IF($H613="","",$H613-TODAY())</f>
        <v/>
      </c>
      <c r="J613" s="16" t="inlineStr">
        <is>
          <t>Open posting</t>
        </is>
      </c>
      <c r="K613" s="8" t="inlineStr">
        <is>
          <t>filtered by keyword pre-scan</t>
        </is>
      </c>
      <c r="L613" s="17" t="inlineStr">
        <is>
          <t>new</t>
        </is>
      </c>
      <c r="M613" s="18" t="inlineStr"/>
      <c r="N613" s="7" t="inlineStr">
        <is>
          <t>58b7e84e046050bdbc127e5f7108f77a318f8c22</t>
        </is>
      </c>
      <c r="O613" s="14" t="n"/>
      <c r="P613" s="7" t="inlineStr">
        <is>
          <t>jobspy</t>
        </is>
      </c>
      <c r="Q613" s="8" t="inlineStr">
        <is>
          <t>python, sql</t>
        </is>
      </c>
      <c r="R613" s="8" t="inlineStr">
        <is>
          <t>graduate Junior Python Developer</t>
        </is>
      </c>
      <c r="S613" s="19" t="n"/>
      <c r="T613" s="19" t="n"/>
      <c r="U613" s="14" t="n">
        <v>46191</v>
      </c>
      <c r="V613" s="7" t="inlineStr">
        <is>
          <t>v2-cv-accuracy-13b988b18da8ea7d</t>
        </is>
      </c>
    </row>
    <row r="614" ht="28" customHeight="1">
      <c r="A614" s="12">
        <f>IF($L614="applied","Applied",IF($L614="interview","Interview",IF($L614="offer","Offer",IF($L614="rejected","Rejected",IF($L614="ignore","Ignore",IF($L614="archive","Archive",IF($L614="closed","Closed",IF($B614="","Unscored",IF(AND($B614&gt;=8,OR($H614="",$H614-TODAY()&lt;=14)),"P1 Apply",IF($B614&gt;=7,"P2 Strong",IF($B614&gt;=5,"P3 Maybe","P4 Low")))))))))))</f>
        <v/>
      </c>
      <c r="B614" s="13" t="n">
        <v>1.43</v>
      </c>
      <c r="C614" s="12" t="inlineStr">
        <is>
          <t>Junior</t>
        </is>
      </c>
      <c r="D614" s="8" t="inlineStr">
        <is>
          <t>Junior Python Developer – Risk Data Services (Business-Facing)</t>
        </is>
      </c>
      <c r="E614" s="7" t="inlineStr">
        <is>
          <t>Lorien</t>
        </is>
      </c>
      <c r="F614" s="8" t="inlineStr">
        <is>
          <t>London Area, United Kingdom</t>
        </is>
      </c>
      <c r="G614" s="8" t="n"/>
      <c r="H614" s="14" t="n"/>
      <c r="I614" s="15">
        <f>IF($H614="","",$H614-TODAY())</f>
        <v/>
      </c>
      <c r="J614" s="16" t="inlineStr">
        <is>
          <t>Open posting</t>
        </is>
      </c>
      <c r="K614" s="8" t="inlineStr">
        <is>
          <t>filtered by keyword pre-scan</t>
        </is>
      </c>
      <c r="L614" s="17" t="inlineStr">
        <is>
          <t>new</t>
        </is>
      </c>
      <c r="M614" s="18" t="inlineStr"/>
      <c r="N614" s="7" t="inlineStr">
        <is>
          <t>901e6fd0408af4e6b8039df16c3a05fa9e8350b4</t>
        </is>
      </c>
      <c r="O614" s="14" t="n">
        <v>46182</v>
      </c>
      <c r="P614" s="7" t="inlineStr">
        <is>
          <t>jobspy</t>
        </is>
      </c>
      <c r="Q614" s="8" t="inlineStr">
        <is>
          <t>python, sql</t>
        </is>
      </c>
      <c r="R614" s="8" t="inlineStr">
        <is>
          <t>junior/graduate Junior Python Developer</t>
        </is>
      </c>
      <c r="S614" s="19" t="n"/>
      <c r="T614" s="19" t="n"/>
      <c r="U614" s="14" t="n">
        <v>46191</v>
      </c>
      <c r="V614" s="7" t="inlineStr">
        <is>
          <t>v2-cv-accuracy-13b988b18da8ea7d</t>
        </is>
      </c>
    </row>
    <row r="615" ht="28" customHeight="1">
      <c r="A615" s="12">
        <f>IF($L615="applied","Applied",IF($L615="interview","Interview",IF($L615="offer","Offer",IF($L615="rejected","Rejected",IF($L615="ignore","Ignore",IF($L615="archive","Archive",IF($L615="closed","Closed",IF($B615="","Unscored",IF(AND($B615&gt;=8,OR($H615="",$H615-TODAY()&lt;=14)),"P1 Apply",IF($B615&gt;=7,"P2 Strong",IF($B615&gt;=5,"P3 Maybe","P4 Low")))))))))))</f>
        <v/>
      </c>
      <c r="B615" s="13" t="n">
        <v>1.43</v>
      </c>
      <c r="C615" s="12" t="inlineStr">
        <is>
          <t>Senior/Lead</t>
        </is>
      </c>
      <c r="D615" s="8" t="inlineStr">
        <is>
          <t>Python Developer - UK (Remote)</t>
        </is>
      </c>
      <c r="E615" s="7" t="inlineStr">
        <is>
          <t>Anyone AI</t>
        </is>
      </c>
      <c r="F615" s="8" t="inlineStr">
        <is>
          <t>London, England, UK</t>
        </is>
      </c>
      <c r="G615" s="8" t="n"/>
      <c r="H615" s="14" t="n"/>
      <c r="I615" s="15">
        <f>IF($H615="","",$H615-TODAY())</f>
        <v/>
      </c>
      <c r="J615" s="16" t="inlineStr">
        <is>
          <t>Open posting</t>
        </is>
      </c>
      <c r="K615" s="8" t="inlineStr">
        <is>
          <t>filtered by keyword pre-scan</t>
        </is>
      </c>
      <c r="L615" s="17" t="inlineStr">
        <is>
          <t>new</t>
        </is>
      </c>
      <c r="M615" s="18" t="inlineStr"/>
      <c r="N615" s="7" t="inlineStr">
        <is>
          <t>86d12e150b4e3fd3b1d31678a9ee89f83c1324ea</t>
        </is>
      </c>
      <c r="O615" s="14" t="n">
        <v>46171</v>
      </c>
      <c r="P615" s="7" t="inlineStr">
        <is>
          <t>jobspy</t>
        </is>
      </c>
      <c r="Q615" s="8" t="inlineStr">
        <is>
          <t>python, javascript</t>
        </is>
      </c>
      <c r="R615" s="8" t="inlineStr">
        <is>
          <t>Junior Python Developer remote</t>
        </is>
      </c>
      <c r="S615" s="19" t="n"/>
      <c r="T615" s="19" t="n"/>
      <c r="U615" s="14" t="n">
        <v>46191</v>
      </c>
      <c r="V615" s="7" t="inlineStr">
        <is>
          <t>v2-cv-accuracy-13b988b18da8ea7d</t>
        </is>
      </c>
    </row>
    <row r="616" ht="28" customHeight="1">
      <c r="A616" s="12">
        <f>IF($L616="applied","Applied",IF($L616="interview","Interview",IF($L616="offer","Offer",IF($L616="rejected","Rejected",IF($L616="ignore","Ignore",IF($L616="archive","Archive",IF($L616="closed","Closed",IF($B616="","Unscored",IF(AND($B616&gt;=8,OR($H616="",$H616-TODAY()&lt;=14)),"P1 Apply",IF($B616&gt;=7,"P2 Strong",IF($B616&gt;=5,"P3 Maybe","P4 Low")))))))))))</f>
        <v/>
      </c>
      <c r="B616" s="13" t="n">
        <v>1.43</v>
      </c>
      <c r="C616" s="12" t="inlineStr">
        <is>
          <t>Mid-level</t>
        </is>
      </c>
      <c r="D616" s="8" t="inlineStr">
        <is>
          <t>Mid-level PHP / CMS / Javascript Developer– Creative Technology / Sheffield</t>
        </is>
      </c>
      <c r="E616" s="7" t="inlineStr">
        <is>
          <t>Four Cymru</t>
        </is>
      </c>
      <c r="F616" s="8" t="inlineStr"/>
      <c r="G616" s="8" t="n"/>
      <c r="H616" s="14" t="n"/>
      <c r="I616" s="15">
        <f>IF($H616="","",$H616-TODAY())</f>
        <v/>
      </c>
      <c r="J616" s="16" t="inlineStr">
        <is>
          <t>Open posting</t>
        </is>
      </c>
      <c r="K616" s="8" t="inlineStr">
        <is>
          <t>filtered by keyword pre-scan</t>
        </is>
      </c>
      <c r="L616" s="17" t="inlineStr">
        <is>
          <t>new</t>
        </is>
      </c>
      <c r="M616" s="18" t="inlineStr"/>
      <c r="N616" s="7" t="inlineStr">
        <is>
          <t>47ae648218379b978bce77d85a58ed7976320396</t>
        </is>
      </c>
      <c r="O616" s="14" t="n">
        <v>46184</v>
      </c>
      <c r="P616" s="7" t="inlineStr">
        <is>
          <t>jobspy</t>
        </is>
      </c>
      <c r="Q616" s="8" t="inlineStr">
        <is>
          <t>javascript</t>
        </is>
      </c>
      <c r="R616" s="8" t="inlineStr">
        <is>
          <t>Full Stack Developer Sheffield</t>
        </is>
      </c>
      <c r="S616" s="19" t="n"/>
      <c r="T616" s="19" t="n"/>
      <c r="U616" s="14" t="n">
        <v>46191</v>
      </c>
      <c r="V616" s="7" t="inlineStr">
        <is>
          <t>v2-cv-accuracy-13b988b18da8ea7d</t>
        </is>
      </c>
    </row>
    <row r="617" ht="28" customHeight="1">
      <c r="A617" s="12">
        <f>IF($L617="applied","Applied",IF($L617="interview","Interview",IF($L617="offer","Offer",IF($L617="rejected","Rejected",IF($L617="ignore","Ignore",IF($L617="archive","Archive",IF($L617="closed","Closed",IF($B617="","Unscored",IF(AND($B617&gt;=8,OR($H617="",$H617-TODAY()&lt;=14)),"P1 Apply",IF($B617&gt;=7,"P2 Strong",IF($B617&gt;=5,"P3 Maybe","P4 Low")))))))))))</f>
        <v/>
      </c>
      <c r="B617" s="13" t="n">
        <v>1.43</v>
      </c>
      <c r="C617" s="12" t="inlineStr">
        <is>
          <t>Graduate/Entry</t>
        </is>
      </c>
      <c r="D617" s="8" t="inlineStr">
        <is>
          <t>Graduate Full Stack Engineer</t>
        </is>
      </c>
      <c r="E617" s="7" t="inlineStr">
        <is>
          <t>Oho Group</t>
        </is>
      </c>
      <c r="F617" s="8" t="inlineStr">
        <is>
          <t>London Area, United Kingdom</t>
        </is>
      </c>
      <c r="G617" s="8" t="n"/>
      <c r="H617" s="14" t="n"/>
      <c r="I617" s="15">
        <f>IF($H617="","",$H617-TODAY())</f>
        <v/>
      </c>
      <c r="J617" s="16" t="inlineStr">
        <is>
          <t>Open posting</t>
        </is>
      </c>
      <c r="K617" s="8" t="inlineStr">
        <is>
          <t>filtered by keyword pre-scan</t>
        </is>
      </c>
      <c r="L617" s="17" t="inlineStr">
        <is>
          <t>new</t>
        </is>
      </c>
      <c r="M617" s="18" t="inlineStr"/>
      <c r="N617" s="7" t="inlineStr">
        <is>
          <t>122c1c4933917b751ef205ccc0220b868db41c73</t>
        </is>
      </c>
      <c r="O617" s="14" t="n">
        <v>46185</v>
      </c>
      <c r="P617" s="7" t="inlineStr">
        <is>
          <t>jobspy</t>
        </is>
      </c>
      <c r="Q617" s="8" t="inlineStr">
        <is>
          <t>python, javascript</t>
        </is>
      </c>
      <c r="R617" s="8" t="inlineStr">
        <is>
          <t>graduate Full Stack Developer</t>
        </is>
      </c>
      <c r="S617" s="19" t="n"/>
      <c r="T617" s="19" t="n"/>
      <c r="U617" s="14" t="n">
        <v>46191</v>
      </c>
      <c r="V617" s="7" t="inlineStr">
        <is>
          <t>v2-cv-accuracy-13b988b18da8ea7d</t>
        </is>
      </c>
    </row>
    <row r="618" ht="28" customHeight="1">
      <c r="A618" s="12">
        <f>IF($L618="applied","Applied",IF($L618="interview","Interview",IF($L618="offer","Offer",IF($L618="rejected","Rejected",IF($L618="ignore","Ignore",IF($L618="archive","Archive",IF($L618="closed","Closed",IF($B618="","Unscored",IF(AND($B618&gt;=8,OR($H618="",$H618-TODAY()&lt;=14)),"P1 Apply",IF($B618&gt;=7,"P2 Strong",IF($B618&gt;=5,"P3 Maybe","P4 Low")))))))))))</f>
        <v/>
      </c>
      <c r="B618" s="13" t="n">
        <v>1.43</v>
      </c>
      <c r="C618" s="12" t="inlineStr">
        <is>
          <t>Junior</t>
        </is>
      </c>
      <c r="D618" s="8" t="inlineStr">
        <is>
          <t>Junior Software Developer</t>
        </is>
      </c>
      <c r="E618" s="7" t="inlineStr">
        <is>
          <t>Kensa</t>
        </is>
      </c>
      <c r="F618" s="8" t="inlineStr">
        <is>
          <t>Cornwall, England, UK</t>
        </is>
      </c>
      <c r="G618" s="8" t="n"/>
      <c r="H618" s="14" t="n"/>
      <c r="I618" s="15">
        <f>IF($H618="","",$H618-TODAY())</f>
        <v/>
      </c>
      <c r="J618" s="16" t="inlineStr">
        <is>
          <t>Open posting</t>
        </is>
      </c>
      <c r="K618" s="8" t="inlineStr">
        <is>
          <t>filtered by keyword pre-scan</t>
        </is>
      </c>
      <c r="L618" s="17" t="inlineStr">
        <is>
          <t>new</t>
        </is>
      </c>
      <c r="M618" s="18" t="inlineStr"/>
      <c r="N618" s="7" t="inlineStr">
        <is>
          <t>844235e03e99baa8582834c28f31cce416e44376</t>
        </is>
      </c>
      <c r="O618" s="14" t="n">
        <v>46188</v>
      </c>
      <c r="P618" s="7" t="inlineStr">
        <is>
          <t>jobspy</t>
        </is>
      </c>
      <c r="Q618" s="8" t="inlineStr">
        <is>
          <t>git</t>
        </is>
      </c>
      <c r="R618" s="8" t="inlineStr">
        <is>
          <t>junior/graduate Graduate Software Developer</t>
        </is>
      </c>
      <c r="S618" s="19" t="n"/>
      <c r="T618" s="19" t="n"/>
      <c r="U618" s="14" t="n">
        <v>46191</v>
      </c>
      <c r="V618" s="7" t="inlineStr">
        <is>
          <t>v2-cv-accuracy-13b988b18da8ea7d</t>
        </is>
      </c>
    </row>
    <row r="619" ht="28" customHeight="1">
      <c r="A619" s="12">
        <f>IF($L619="applied","Applied",IF($L619="interview","Interview",IF($L619="offer","Offer",IF($L619="rejected","Rejected",IF($L619="ignore","Ignore",IF($L619="archive","Archive",IF($L619="closed","Closed",IF($B619="","Unscored",IF(AND($B619&gt;=8,OR($H619="",$H619-TODAY()&lt;=14)),"P1 Apply",IF($B619&gt;=7,"P2 Strong",IF($B619&gt;=5,"P3 Maybe","P4 Low")))))))))))</f>
        <v/>
      </c>
      <c r="B619" s="13" t="n">
        <v>1.43</v>
      </c>
      <c r="C619" s="12" t="inlineStr">
        <is>
          <t>Mid-level</t>
        </is>
      </c>
      <c r="D619" s="8" t="inlineStr">
        <is>
          <t>Python Developer</t>
        </is>
      </c>
      <c r="E619" s="7" t="inlineStr">
        <is>
          <t>Thomson Keene</t>
        </is>
      </c>
      <c r="F619" s="8" t="inlineStr">
        <is>
          <t>London Area, United Kingdom</t>
        </is>
      </c>
      <c r="G619" s="8" t="n"/>
      <c r="H619" s="14" t="n"/>
      <c r="I619" s="15">
        <f>IF($H619="","",$H619-TODAY())</f>
        <v/>
      </c>
      <c r="J619" s="16" t="inlineStr">
        <is>
          <t>Open posting</t>
        </is>
      </c>
      <c r="K619" s="8" t="inlineStr">
        <is>
          <t>filtered by keyword pre-scan</t>
        </is>
      </c>
      <c r="L619" s="17" t="inlineStr">
        <is>
          <t>new</t>
        </is>
      </c>
      <c r="M619" s="18" t="inlineStr"/>
      <c r="N619" s="7" t="inlineStr">
        <is>
          <t>79c7421a98e7396e0c37a6fa0d27b72fd0be09c6</t>
        </is>
      </c>
      <c r="O619" s="14" t="n">
        <v>46188</v>
      </c>
      <c r="P619" s="7" t="inlineStr">
        <is>
          <t>jobspy</t>
        </is>
      </c>
      <c r="Q619" s="8" t="inlineStr">
        <is>
          <t>python, sql</t>
        </is>
      </c>
      <c r="R619" s="8" t="inlineStr">
        <is>
          <t>Junior Python Developer</t>
        </is>
      </c>
      <c r="S619" s="19" t="n"/>
      <c r="T619" s="19" t="n"/>
      <c r="U619" s="14" t="n">
        <v>46191</v>
      </c>
      <c r="V619" s="7" t="inlineStr">
        <is>
          <t>v2-cv-accuracy-13b988b18da8ea7d</t>
        </is>
      </c>
    </row>
    <row r="620" ht="28" customHeight="1">
      <c r="A620" s="12">
        <f>IF($L620="applied","Applied",IF($L620="interview","Interview",IF($L620="offer","Offer",IF($L620="rejected","Rejected",IF($L620="ignore","Ignore",IF($L620="archive","Archive",IF($L620="closed","Closed",IF($B620="","Unscored",IF(AND($B620&gt;=8,OR($H620="",$H620-TODAY()&lt;=14)),"P1 Apply",IF($B620&gt;=7,"P2 Strong",IF($B620&gt;=5,"P3 Maybe","P4 Low")))))))))))</f>
        <v/>
      </c>
      <c r="B620" s="13" t="n">
        <v>1.43</v>
      </c>
      <c r="C620" s="12" t="inlineStr">
        <is>
          <t>Unspecified</t>
        </is>
      </c>
      <c r="D620" s="8" t="inlineStr">
        <is>
          <t>Full Stack Software Developer</t>
        </is>
      </c>
      <c r="E620" s="7" t="inlineStr">
        <is>
          <t>Haystack</t>
        </is>
      </c>
      <c r="F620" s="8" t="inlineStr">
        <is>
          <t>Exeter, England, UK</t>
        </is>
      </c>
      <c r="G620" s="8" t="n"/>
      <c r="H620" s="14" t="n"/>
      <c r="I620" s="15">
        <f>IF($H620="","",$H620-TODAY())</f>
        <v/>
      </c>
      <c r="J620" s="16" t="inlineStr">
        <is>
          <t>Open posting</t>
        </is>
      </c>
      <c r="K620" s="8" t="inlineStr">
        <is>
          <t>filtered by keyword pre-scan</t>
        </is>
      </c>
      <c r="L620" s="17" t="inlineStr">
        <is>
          <t>new</t>
        </is>
      </c>
      <c r="M620" s="18" t="inlineStr"/>
      <c r="N620" s="7" t="inlineStr">
        <is>
          <t>a6b35c8298eb8b7167152405840015279b2959e3</t>
        </is>
      </c>
      <c r="O620" s="14" t="n"/>
      <c r="P620" s="7" t="inlineStr">
        <is>
          <t>jobspy</t>
        </is>
      </c>
      <c r="Q620" s="8" t="inlineStr">
        <is>
          <t>sql, javascript</t>
        </is>
      </c>
      <c r="R620" s="8" t="inlineStr">
        <is>
          <t>junior Full Stack Developer</t>
        </is>
      </c>
      <c r="S620" s="19" t="n"/>
      <c r="T620" s="19" t="n"/>
      <c r="U620" s="14" t="n">
        <v>46191</v>
      </c>
      <c r="V620" s="7" t="inlineStr">
        <is>
          <t>v2-cv-accuracy-13b988b18da8ea7d</t>
        </is>
      </c>
    </row>
    <row r="621" ht="28" customHeight="1">
      <c r="A621" s="12">
        <f>IF($L621="applied","Applied",IF($L621="interview","Interview",IF($L621="offer","Offer",IF($L621="rejected","Rejected",IF($L621="ignore","Ignore",IF($L621="archive","Archive",IF($L621="closed","Closed",IF($B621="","Unscored",IF(AND($B621&gt;=8,OR($H621="",$H621-TODAY()&lt;=14)),"P1 Apply",IF($B621&gt;=7,"P2 Strong",IF($B621&gt;=5,"P3 Maybe","P4 Low")))))))))))</f>
        <v/>
      </c>
      <c r="B621" s="13" t="n">
        <v>1.43</v>
      </c>
      <c r="C621" s="12" t="inlineStr">
        <is>
          <t>Mid-level</t>
        </is>
      </c>
      <c r="D621" s="8" t="inlineStr">
        <is>
          <t>Full Stack Engineer</t>
        </is>
      </c>
      <c r="E621" s="7" t="inlineStr">
        <is>
          <t>Oho Group</t>
        </is>
      </c>
      <c r="F621" s="8" t="inlineStr">
        <is>
          <t>London Area, United Kingdom</t>
        </is>
      </c>
      <c r="G621" s="8" t="n"/>
      <c r="H621" s="14" t="n"/>
      <c r="I621" s="15">
        <f>IF($H621="","",$H621-TODAY())</f>
        <v/>
      </c>
      <c r="J621" s="16" t="inlineStr">
        <is>
          <t>Open posting</t>
        </is>
      </c>
      <c r="K621" s="8" t="inlineStr">
        <is>
          <t>filtered by keyword pre-scan</t>
        </is>
      </c>
      <c r="L621" s="17" t="inlineStr">
        <is>
          <t>new</t>
        </is>
      </c>
      <c r="M621" s="18" t="inlineStr"/>
      <c r="N621" s="7" t="inlineStr">
        <is>
          <t>dd4e31efe3ad2396d8cd3e54f9d1072bc0cca585</t>
        </is>
      </c>
      <c r="O621" s="14" t="n"/>
      <c r="P621" s="7" t="inlineStr">
        <is>
          <t>jobspy</t>
        </is>
      </c>
      <c r="Q621" s="8" t="inlineStr">
        <is>
          <t>python, javascript</t>
        </is>
      </c>
      <c r="R621" s="8" t="inlineStr">
        <is>
          <t>graduate Full Stack Developer</t>
        </is>
      </c>
      <c r="S621" s="19" t="n"/>
      <c r="T621" s="19" t="n"/>
      <c r="U621" s="14" t="n">
        <v>46191</v>
      </c>
      <c r="V621" s="7" t="inlineStr">
        <is>
          <t>v2-cv-accuracy-13b988b18da8ea7d</t>
        </is>
      </c>
    </row>
    <row r="622" ht="28" customHeight="1">
      <c r="A622" s="12">
        <f>IF($L622="applied","Applied",IF($L622="interview","Interview",IF($L622="offer","Offer",IF($L622="rejected","Rejected",IF($L622="ignore","Ignore",IF($L622="archive","Archive",IF($L622="closed","Closed",IF($B622="","Unscored",IF(AND($B622&gt;=8,OR($H622="",$H622-TODAY()&lt;=14)),"P1 Apply",IF($B622&gt;=7,"P2 Strong",IF($B622&gt;=5,"P3 Maybe","P4 Low")))))))))))</f>
        <v/>
      </c>
      <c r="B622" s="13" t="n">
        <v>1.43</v>
      </c>
      <c r="C622" s="12" t="inlineStr">
        <is>
          <t>Junior</t>
        </is>
      </c>
      <c r="D622" s="8" t="inlineStr">
        <is>
          <t>Junior Software Engineer</t>
        </is>
      </c>
      <c r="E622" s="7" t="inlineStr">
        <is>
          <t>Stonebridge - Mortgage &amp; Insurance Network</t>
        </is>
      </c>
      <c r="F622" s="8" t="inlineStr">
        <is>
          <t>Basildon, England, UK</t>
        </is>
      </c>
      <c r="G622" s="8" t="n"/>
      <c r="H622" s="14" t="n"/>
      <c r="I622" s="15">
        <f>IF($H622="","",$H622-TODAY())</f>
        <v/>
      </c>
      <c r="J622" s="16" t="inlineStr">
        <is>
          <t>Open posting</t>
        </is>
      </c>
      <c r="K622" s="8" t="inlineStr">
        <is>
          <t>filtered by keyword pre-scan</t>
        </is>
      </c>
      <c r="L622" s="17" t="inlineStr">
        <is>
          <t>new</t>
        </is>
      </c>
      <c r="M622" s="18" t="inlineStr"/>
      <c r="N622" s="7" t="inlineStr">
        <is>
          <t>4256ec2d38615d52fc2b7fca46f0758e19b0ee9e</t>
        </is>
      </c>
      <c r="O622" s="14" t="n">
        <v>46168</v>
      </c>
      <c r="P622" s="7" t="inlineStr">
        <is>
          <t>jobspy</t>
        </is>
      </c>
      <c r="Q622" s="8" t="inlineStr">
        <is>
          <t>sql, git</t>
        </is>
      </c>
      <c r="R622" s="8" t="inlineStr">
        <is>
          <t>junior/graduate Graduate Software Developer</t>
        </is>
      </c>
      <c r="S622" s="19" t="n"/>
      <c r="T622" s="19" t="n"/>
      <c r="U622" s="14" t="n">
        <v>46191</v>
      </c>
      <c r="V622" s="7" t="inlineStr">
        <is>
          <t>v2-cv-accuracy-13b988b18da8ea7d</t>
        </is>
      </c>
    </row>
    <row r="623" ht="28" customHeight="1">
      <c r="A623" s="12">
        <f>IF($L623="applied","Applied",IF($L623="interview","Interview",IF($L623="offer","Offer",IF($L623="rejected","Rejected",IF($L623="ignore","Ignore",IF($L623="archive","Archive",IF($L623="closed","Closed",IF($B623="","Unscored",IF(AND($B623&gt;=8,OR($H623="",$H623-TODAY()&lt;=14)),"P1 Apply",IF($B623&gt;=7,"P2 Strong",IF($B623&gt;=5,"P3 Maybe","P4 Low")))))))))))</f>
        <v/>
      </c>
      <c r="B623" s="13" t="n">
        <v>1.43</v>
      </c>
      <c r="C623" s="12" t="inlineStr">
        <is>
          <t>Mid-level</t>
        </is>
      </c>
      <c r="D623" s="8" t="inlineStr">
        <is>
          <t>Javascript Developer</t>
        </is>
      </c>
      <c r="E623" s="7" t="inlineStr">
        <is>
          <t>Avellio</t>
        </is>
      </c>
      <c r="F623" s="8" t="inlineStr">
        <is>
          <t>England, United Kingdom</t>
        </is>
      </c>
      <c r="G623" s="8" t="n"/>
      <c r="H623" s="14" t="n"/>
      <c r="I623" s="15">
        <f>IF($H623="","",$H623-TODAY())</f>
        <v/>
      </c>
      <c r="J623" s="16" t="inlineStr">
        <is>
          <t>Open posting</t>
        </is>
      </c>
      <c r="K623" s="8" t="inlineStr">
        <is>
          <t>filtered by keyword pre-scan</t>
        </is>
      </c>
      <c r="L623" s="17" t="inlineStr">
        <is>
          <t>new</t>
        </is>
      </c>
      <c r="M623" s="18" t="inlineStr"/>
      <c r="N623" s="7" t="inlineStr">
        <is>
          <t>adf4a58090e7ab321d2b4675f12f6049b92c1484</t>
        </is>
      </c>
      <c r="O623" s="14" t="n">
        <v>46176</v>
      </c>
      <c r="P623" s="7" t="inlineStr">
        <is>
          <t>jobspy</t>
        </is>
      </c>
      <c r="Q623" s="8" t="inlineStr">
        <is>
          <t>javascript</t>
        </is>
      </c>
      <c r="R623" s="8" t="inlineStr">
        <is>
          <t>junior Full Stack Developer</t>
        </is>
      </c>
      <c r="S623" s="19" t="n"/>
      <c r="T623" s="19" t="n"/>
      <c r="U623" s="14" t="n">
        <v>46191</v>
      </c>
      <c r="V623" s="7" t="inlineStr">
        <is>
          <t>v2-cv-accuracy-13b988b18da8ea7d</t>
        </is>
      </c>
    </row>
    <row r="624" ht="28" customHeight="1">
      <c r="A624" s="12">
        <f>IF($L624="applied","Applied",IF($L624="interview","Interview",IF($L624="offer","Offer",IF($L624="rejected","Rejected",IF($L624="ignore","Ignore",IF($L624="archive","Archive",IF($L624="closed","Closed",IF($B624="","Unscored",IF(AND($B624&gt;=8,OR($H624="",$H624-TODAY()&lt;=14)),"P1 Apply",IF($B624&gt;=7,"P2 Strong",IF($B624&gt;=5,"P3 Maybe","P4 Low")))))))))))</f>
        <v/>
      </c>
      <c r="B624" s="13" t="n">
        <v>1.43</v>
      </c>
      <c r="C624" s="12" t="inlineStr">
        <is>
          <t>Junior</t>
        </is>
      </c>
      <c r="D624" s="8" t="inlineStr">
        <is>
          <t>Software Developer</t>
        </is>
      </c>
      <c r="E624" s="7" t="inlineStr">
        <is>
          <t>Spectrum IT Recruitment</t>
        </is>
      </c>
      <c r="F624" s="8" t="inlineStr">
        <is>
          <t>London Area, United Kingdom</t>
        </is>
      </c>
      <c r="G624" s="8" t="n"/>
      <c r="H624" s="14" t="n"/>
      <c r="I624" s="15">
        <f>IF($H624="","",$H624-TODAY())</f>
        <v/>
      </c>
      <c r="J624" s="16" t="inlineStr">
        <is>
          <t>Open posting</t>
        </is>
      </c>
      <c r="K624" s="8" t="inlineStr">
        <is>
          <t>filtered by keyword pre-scan</t>
        </is>
      </c>
      <c r="L624" s="17" t="inlineStr">
        <is>
          <t>new</t>
        </is>
      </c>
      <c r="M624" s="18" t="inlineStr"/>
      <c r="N624" s="7" t="inlineStr">
        <is>
          <t>6c6e0fff01bf71f3bd542b72276b2ce26993cb5f</t>
        </is>
      </c>
      <c r="O624" s="14" t="n">
        <v>46162</v>
      </c>
      <c r="P624" s="7" t="inlineStr">
        <is>
          <t>jobspy</t>
        </is>
      </c>
      <c r="Q624" s="8" t="inlineStr">
        <is>
          <t>sql, git</t>
        </is>
      </c>
      <c r="R624" s="8" t="inlineStr">
        <is>
          <t>Graduate Software Developer Sheffield</t>
        </is>
      </c>
      <c r="S624" s="19" t="n"/>
      <c r="T624" s="19" t="n"/>
      <c r="U624" s="14" t="n">
        <v>46191</v>
      </c>
      <c r="V624" s="7" t="inlineStr">
        <is>
          <t>v2-cv-accuracy-13b988b18da8ea7d</t>
        </is>
      </c>
    </row>
    <row r="625" ht="28" customHeight="1">
      <c r="A625" s="12">
        <f>IF($L625="applied","Applied",IF($L625="interview","Interview",IF($L625="offer","Offer",IF($L625="rejected","Rejected",IF($L625="ignore","Ignore",IF($L625="archive","Archive",IF($L625="closed","Closed",IF($B625="","Unscored",IF(AND($B625&gt;=8,OR($H625="",$H625-TODAY()&lt;=14)),"P1 Apply",IF($B625&gt;=7,"P2 Strong",IF($B625&gt;=5,"P3 Maybe","P4 Low")))))))))))</f>
        <v/>
      </c>
      <c r="B625" s="13" t="n">
        <v>1.43</v>
      </c>
      <c r="C625" s="12" t="inlineStr">
        <is>
          <t>Junior</t>
        </is>
      </c>
      <c r="D625" s="8" t="inlineStr">
        <is>
          <t>Software Engineer</t>
        </is>
      </c>
      <c r="E625" s="7" t="inlineStr">
        <is>
          <t>Quantcast</t>
        </is>
      </c>
      <c r="F625" s="8" t="inlineStr">
        <is>
          <t>London, England, UK</t>
        </is>
      </c>
      <c r="G625" s="8" t="n"/>
      <c r="H625" s="14" t="n"/>
      <c r="I625" s="15">
        <f>IF($H625="","",$H625-TODAY())</f>
        <v/>
      </c>
      <c r="J625" s="16" t="inlineStr">
        <is>
          <t>Open posting</t>
        </is>
      </c>
      <c r="K625" s="8" t="inlineStr">
        <is>
          <t>filtered by keyword pre-scan</t>
        </is>
      </c>
      <c r="L625" s="17" t="inlineStr">
        <is>
          <t>new</t>
        </is>
      </c>
      <c r="M625" s="18" t="inlineStr"/>
      <c r="N625" s="7" t="inlineStr">
        <is>
          <t>fc9f53e1657360cbe635c7ef66deb8fa84d067ce</t>
        </is>
      </c>
      <c r="O625" s="14" t="n">
        <v>46178</v>
      </c>
      <c r="P625" s="7" t="inlineStr">
        <is>
          <t>jobspy</t>
        </is>
      </c>
      <c r="Q625" s="8" t="inlineStr">
        <is>
          <t>python, git</t>
        </is>
      </c>
      <c r="R625" s="8" t="inlineStr">
        <is>
          <t>junior Graduate Software Developer</t>
        </is>
      </c>
      <c r="S625" s="19" t="n"/>
      <c r="T625" s="19" t="n"/>
      <c r="U625" s="14" t="n">
        <v>46191</v>
      </c>
      <c r="V625" s="7" t="inlineStr">
        <is>
          <t>v2-cv-accuracy-13b988b18da8ea7d</t>
        </is>
      </c>
    </row>
    <row r="626" ht="28" customHeight="1">
      <c r="A626" s="12">
        <f>IF($L626="applied","Applied",IF($L626="interview","Interview",IF($L626="offer","Offer",IF($L626="rejected","Rejected",IF($L626="ignore","Ignore",IF($L626="archive","Archive",IF($L626="closed","Closed",IF($B626="","Unscored",IF(AND($B626&gt;=8,OR($H626="",$H626-TODAY()&lt;=14)),"P1 Apply",IF($B626&gt;=7,"P2 Strong",IF($B626&gt;=5,"P3 Maybe","P4 Low")))))))))))</f>
        <v/>
      </c>
      <c r="B626" s="13" t="n">
        <v>1.4</v>
      </c>
      <c r="C626" s="12" t="inlineStr">
        <is>
          <t>Senior/Lead</t>
        </is>
      </c>
      <c r="D626" s="8" t="inlineStr">
        <is>
          <t>Development Engineer</t>
        </is>
      </c>
      <c r="E626" s="7" t="inlineStr">
        <is>
          <t>WIKA Group</t>
        </is>
      </c>
      <c r="F626" s="8" t="inlineStr">
        <is>
          <t>Didcot, England, UK</t>
        </is>
      </c>
      <c r="G626" s="8" t="n"/>
      <c r="H626" s="14" t="n"/>
      <c r="I626" s="15">
        <f>IF($H626="","",$H626-TODAY())</f>
        <v/>
      </c>
      <c r="J626" s="16" t="inlineStr">
        <is>
          <t>Open posting</t>
        </is>
      </c>
      <c r="K626" s="8" t="inlineStr">
        <is>
          <t>filtered by keyword pre-scan</t>
        </is>
      </c>
      <c r="L626" s="17" t="inlineStr">
        <is>
          <t>new</t>
        </is>
      </c>
      <c r="M626" s="18" t="inlineStr"/>
      <c r="N626" s="7" t="inlineStr">
        <is>
          <t>a93aa9ef287cc80d356d23938d97c2c1a0db65f8</t>
        </is>
      </c>
      <c r="O626" s="14" t="n">
        <v>46183</v>
      </c>
      <c r="P626" s="7" t="inlineStr">
        <is>
          <t>jobspy</t>
        </is>
      </c>
      <c r="Q626" s="8" t="inlineStr">
        <is>
          <t>python, git, c</t>
        </is>
      </c>
      <c r="R626" s="8" t="inlineStr">
        <is>
          <t>Graduate Embedded Engineer Python FPGA</t>
        </is>
      </c>
      <c r="S626" s="19" t="n"/>
      <c r="T626" s="19" t="n"/>
      <c r="U626" s="14" t="n">
        <v>46193</v>
      </c>
      <c r="V626" s="7" t="inlineStr">
        <is>
          <t>v2-cv-accuracy-13b988b18da8ea7d</t>
        </is>
      </c>
    </row>
    <row r="627" ht="28" customHeight="1">
      <c r="A627" s="12">
        <f>IF($L627="applied","Applied",IF($L627="interview","Interview",IF($L627="offer","Offer",IF($L627="rejected","Rejected",IF($L627="ignore","Ignore",IF($L627="archive","Archive",IF($L627="closed","Closed",IF($B627="","Unscored",IF(AND($B627&gt;=8,OR($H627="",$H627-TODAY()&lt;=14)),"P1 Apply",IF($B627&gt;=7,"P2 Strong",IF($B627&gt;=5,"P3 Maybe","P4 Low")))))))))))</f>
        <v/>
      </c>
      <c r="B627" s="13" t="n">
        <v>1.4</v>
      </c>
      <c r="C627" s="12" t="inlineStr">
        <is>
          <t>Unspecified</t>
        </is>
      </c>
      <c r="D627" s="8" t="inlineStr">
        <is>
          <t>IoT Engineer</t>
        </is>
      </c>
      <c r="E627" s="7" t="inlineStr">
        <is>
          <t>Fuse Energy</t>
        </is>
      </c>
      <c r="F627" s="8" t="inlineStr">
        <is>
          <t>London, England, UK</t>
        </is>
      </c>
      <c r="G627" s="8" t="n"/>
      <c r="H627" s="14" t="n"/>
      <c r="I627" s="15">
        <f>IF($H627="","",$H627-TODAY())</f>
        <v/>
      </c>
      <c r="J627" s="16" t="inlineStr">
        <is>
          <t>Open posting</t>
        </is>
      </c>
      <c r="K627" s="8" t="inlineStr">
        <is>
          <t>filtered by keyword pre-scan</t>
        </is>
      </c>
      <c r="L627" s="17" t="inlineStr">
        <is>
          <t>new</t>
        </is>
      </c>
      <c r="M627" s="18" t="inlineStr"/>
      <c r="N627" s="7" t="inlineStr">
        <is>
          <t>56860feadbd9e054ab3cd751a5bed4ef99c4fbbc</t>
        </is>
      </c>
      <c r="O627" s="14" t="n">
        <v>46178</v>
      </c>
      <c r="P627" s="7" t="inlineStr">
        <is>
          <t>jobspy</t>
        </is>
      </c>
      <c r="Q627" s="8" t="inlineStr">
        <is>
          <t>python, c, embedded systems</t>
        </is>
      </c>
      <c r="R627" s="8" t="inlineStr">
        <is>
          <t>Embedded Systems Engineer Raspberry Pi LoRaWAN</t>
        </is>
      </c>
      <c r="S627" s="19" t="n"/>
      <c r="T627" s="19" t="n"/>
      <c r="U627" s="14" t="n">
        <v>46193</v>
      </c>
      <c r="V627" s="7" t="inlineStr">
        <is>
          <t>v2-cv-accuracy-13b988b18da8ea7d</t>
        </is>
      </c>
    </row>
    <row r="628" ht="28" customHeight="1">
      <c r="A628" s="12">
        <f>IF($L628="applied","Applied",IF($L628="interview","Interview",IF($L628="offer","Offer",IF($L628="rejected","Rejected",IF($L628="ignore","Ignore",IF($L628="archive","Archive",IF($L628="closed","Closed",IF($B628="","Unscored",IF(AND($B628&gt;=8,OR($H628="",$H628-TODAY()&lt;=14)),"P1 Apply",IF($B628&gt;=7,"P2 Strong",IF($B628&gt;=5,"P3 Maybe","P4 Low")))))))))))</f>
        <v/>
      </c>
      <c r="B628" s="13" t="n">
        <v>1.4</v>
      </c>
      <c r="C628" s="12" t="inlineStr">
        <is>
          <t>Unspecified</t>
        </is>
      </c>
      <c r="D628" s="8" t="inlineStr">
        <is>
          <t>Data Analyst</t>
        </is>
      </c>
      <c r="E628" s="7" t="inlineStr">
        <is>
          <t>Qodea</t>
        </is>
      </c>
      <c r="F628" s="8" t="inlineStr">
        <is>
          <t>Manchester, England, UK</t>
        </is>
      </c>
      <c r="G628" s="8" t="n"/>
      <c r="H628" s="14" t="n"/>
      <c r="I628" s="15">
        <f>IF($H628="","",$H628-TODAY())</f>
        <v/>
      </c>
      <c r="J628" s="16" t="inlineStr">
        <is>
          <t>Open posting</t>
        </is>
      </c>
      <c r="K628" s="8" t="inlineStr">
        <is>
          <t>filtered by keyword pre-scan</t>
        </is>
      </c>
      <c r="L628" s="17" t="inlineStr">
        <is>
          <t>new</t>
        </is>
      </c>
      <c r="M628" s="18" t="inlineStr"/>
      <c r="N628" s="7" t="inlineStr">
        <is>
          <t>df8e8d257788dcc54a4293e2f44c6e24109f40b6</t>
        </is>
      </c>
      <c r="O628" s="14" t="n">
        <v>46171</v>
      </c>
      <c r="P628" s="7" t="inlineStr">
        <is>
          <t>jobspy</t>
        </is>
      </c>
      <c r="Q628" s="8" t="inlineStr">
        <is>
          <t>sql, mysql, c</t>
        </is>
      </c>
      <c r="R628" s="8" t="inlineStr">
        <is>
          <t>Junior Data Engineer SQL Python MySQL</t>
        </is>
      </c>
      <c r="S628" s="19" t="n"/>
      <c r="T628" s="19" t="n"/>
      <c r="U628" s="14" t="n">
        <v>46193</v>
      </c>
      <c r="V628" s="7" t="inlineStr">
        <is>
          <t>v2-cv-accuracy-13b988b18da8ea7d</t>
        </is>
      </c>
    </row>
    <row r="629" ht="28" customHeight="1">
      <c r="A629" s="12">
        <f>IF($L629="applied","Applied",IF($L629="interview","Interview",IF($L629="offer","Offer",IF($L629="rejected","Rejected",IF($L629="ignore","Ignore",IF($L629="archive","Archive",IF($L629="closed","Closed",IF($B629="","Unscored",IF(AND($B629&gt;=8,OR($H629="",$H629-TODAY()&lt;=14)),"P1 Apply",IF($B629&gt;=7,"P2 Strong",IF($B629&gt;=5,"P3 Maybe","P4 Low")))))))))))</f>
        <v/>
      </c>
      <c r="B629" s="13" t="n">
        <v>1.4</v>
      </c>
      <c r="C629" s="12" t="inlineStr">
        <is>
          <t>Unspecified</t>
        </is>
      </c>
      <c r="D629" s="8" t="inlineStr">
        <is>
          <t>Data Analyst</t>
        </is>
      </c>
      <c r="E629" s="7" t="inlineStr">
        <is>
          <t>Qodea</t>
        </is>
      </c>
      <c r="F629" s="8" t="inlineStr">
        <is>
          <t>London, England, UK</t>
        </is>
      </c>
      <c r="G629" s="8" t="n"/>
      <c r="H629" s="14" t="n"/>
      <c r="I629" s="15">
        <f>IF($H629="","",$H629-TODAY())</f>
        <v/>
      </c>
      <c r="J629" s="16" t="inlineStr">
        <is>
          <t>Open posting</t>
        </is>
      </c>
      <c r="K629" s="8" t="inlineStr">
        <is>
          <t>filtered by keyword pre-scan</t>
        </is>
      </c>
      <c r="L629" s="17" t="inlineStr">
        <is>
          <t>new</t>
        </is>
      </c>
      <c r="M629" s="18" t="inlineStr"/>
      <c r="N629" s="7" t="inlineStr">
        <is>
          <t>b08bd44c3e8ab04969a52c5f2a4234516c9aa88e</t>
        </is>
      </c>
      <c r="O629" s="14" t="n">
        <v>46168</v>
      </c>
      <c r="P629" s="7" t="inlineStr">
        <is>
          <t>jobspy</t>
        </is>
      </c>
      <c r="Q629" s="8" t="inlineStr">
        <is>
          <t>sql, mysql, c</t>
        </is>
      </c>
      <c r="R629" s="8" t="inlineStr">
        <is>
          <t>Junior Data Engineer SQL Python MySQL</t>
        </is>
      </c>
      <c r="S629" s="19" t="n"/>
      <c r="T629" s="19" t="n"/>
      <c r="U629" s="14" t="n">
        <v>46193</v>
      </c>
      <c r="V629" s="7" t="inlineStr">
        <is>
          <t>v2-cv-accuracy-13b988b18da8ea7d</t>
        </is>
      </c>
    </row>
    <row r="630" ht="28" customHeight="1">
      <c r="A630" s="12">
        <f>IF($L630="applied","Applied",IF($L630="interview","Interview",IF($L630="offer","Offer",IF($L630="rejected","Rejected",IF($L630="ignore","Ignore",IF($L630="archive","Archive",IF($L630="closed","Closed",IF($B630="","Unscored",IF(AND($B630&gt;=8,OR($H630="",$H630-TODAY()&lt;=14)),"P1 Apply",IF($B630&gt;=7,"P2 Strong",IF($B630&gt;=5,"P3 Maybe","P4 Low")))))))))))</f>
        <v/>
      </c>
      <c r="B630" s="13" t="n">
        <v>1.4</v>
      </c>
      <c r="C630" s="12" t="inlineStr">
        <is>
          <t>Mid-level</t>
        </is>
      </c>
      <c r="D630" s="8" t="inlineStr">
        <is>
          <t>DSP Engineer</t>
        </is>
      </c>
      <c r="E630" s="7" t="inlineStr">
        <is>
          <t>Technical Futures Ltd</t>
        </is>
      </c>
      <c r="F630" s="8" t="inlineStr">
        <is>
          <t>Cambridgeshire, England, UK</t>
        </is>
      </c>
      <c r="G630" s="8" t="n"/>
      <c r="H630" s="14" t="n"/>
      <c r="I630" s="15">
        <f>IF($H630="","",$H630-TODAY())</f>
        <v/>
      </c>
      <c r="J630" s="16" t="inlineStr">
        <is>
          <t>Open posting</t>
        </is>
      </c>
      <c r="K630" s="8" t="inlineStr">
        <is>
          <t>filtered by keyword pre-scan</t>
        </is>
      </c>
      <c r="L630" s="17" t="inlineStr">
        <is>
          <t>new</t>
        </is>
      </c>
      <c r="M630" s="18" t="inlineStr"/>
      <c r="N630" s="7" t="inlineStr">
        <is>
          <t>9c230d94967af263690133b25af2db13d34179eb</t>
        </is>
      </c>
      <c r="O630" s="14" t="n">
        <v>46192</v>
      </c>
      <c r="P630" s="7" t="inlineStr">
        <is>
          <t>jobspy</t>
        </is>
      </c>
      <c r="Q630" s="8" t="inlineStr">
        <is>
          <t>fpga, vivado, c, dsp</t>
        </is>
      </c>
      <c r="R630" s="8" t="inlineStr">
        <is>
          <t>Graduate Signal Processing Engineer DSP</t>
        </is>
      </c>
      <c r="S630" s="19" t="n"/>
      <c r="T630" s="19" t="n"/>
      <c r="U630" s="14" t="n">
        <v>46193</v>
      </c>
      <c r="V630" s="7" t="inlineStr">
        <is>
          <t>v2-cv-accuracy-13b988b18da8ea7d</t>
        </is>
      </c>
    </row>
    <row r="631" ht="28" customHeight="1">
      <c r="A631" s="12">
        <f>IF($L631="applied","Applied",IF($L631="interview","Interview",IF($L631="offer","Offer",IF($L631="rejected","Rejected",IF($L631="ignore","Ignore",IF($L631="archive","Archive",IF($L631="closed","Closed",IF($B631="","Unscored",IF(AND($B631&gt;=8,OR($H631="",$H631-TODAY()&lt;=14)),"P1 Apply",IF($B631&gt;=7,"P2 Strong",IF($B631&gt;=5,"P3 Maybe","P4 Low")))))))))))</f>
        <v/>
      </c>
      <c r="B631" s="13" t="n">
        <v>1.4</v>
      </c>
      <c r="C631" s="12" t="inlineStr">
        <is>
          <t>Senior/Lead</t>
        </is>
      </c>
      <c r="D631" s="8" t="inlineStr">
        <is>
          <t>Embedded Systems Engineer</t>
        </is>
      </c>
      <c r="E631" s="7" t="inlineStr">
        <is>
          <t>Spellman High Voltage Electronics Corporation</t>
        </is>
      </c>
      <c r="F631" s="8" t="inlineStr">
        <is>
          <t>Pulborough, England, UK</t>
        </is>
      </c>
      <c r="G631" s="8" t="n"/>
      <c r="H631" s="14" t="n"/>
      <c r="I631" s="15">
        <f>IF($H631="","",$H631-TODAY())</f>
        <v/>
      </c>
      <c r="J631" s="16" t="inlineStr">
        <is>
          <t>Open posting</t>
        </is>
      </c>
      <c r="K631" s="8" t="inlineStr">
        <is>
          <t>filtered by keyword pre-scan</t>
        </is>
      </c>
      <c r="L631" s="17" t="inlineStr">
        <is>
          <t>new</t>
        </is>
      </c>
      <c r="M631" s="18" t="inlineStr"/>
      <c r="N631" s="7" t="inlineStr">
        <is>
          <t>e70362fb10342117aa2cf670e1fb405f9b210c91</t>
        </is>
      </c>
      <c r="O631" s="14" t="n">
        <v>46181</v>
      </c>
      <c r="P631" s="7" t="inlineStr">
        <is>
          <t>jobspy</t>
        </is>
      </c>
      <c r="Q631" s="8" t="inlineStr">
        <is>
          <t>git, c, embedded systems, dsp</t>
        </is>
      </c>
      <c r="R631" s="8" t="inlineStr">
        <is>
          <t>Graduate Signal Processing Engineer DSP</t>
        </is>
      </c>
      <c r="S631" s="19" t="n"/>
      <c r="T631" s="19" t="n"/>
      <c r="U631" s="14" t="n">
        <v>46193</v>
      </c>
      <c r="V631" s="7" t="inlineStr">
        <is>
          <t>v2-cv-accuracy-13b988b18da8ea7d</t>
        </is>
      </c>
    </row>
    <row r="632" ht="28" customHeight="1">
      <c r="A632" s="12">
        <f>IF($L632="applied","Applied",IF($L632="interview","Interview",IF($L632="offer","Offer",IF($L632="rejected","Rejected",IF($L632="ignore","Ignore",IF($L632="archive","Archive",IF($L632="closed","Closed",IF($B632="","Unscored",IF(AND($B632&gt;=8,OR($H632="",$H632-TODAY()&lt;=14)),"P1 Apply",IF($B632&gt;=7,"P2 Strong",IF($B632&gt;=5,"P3 Maybe","P4 Low")))))))))))</f>
        <v/>
      </c>
      <c r="B632" s="13" t="n">
        <v>1.4</v>
      </c>
      <c r="C632" s="12" t="inlineStr">
        <is>
          <t>Junior</t>
        </is>
      </c>
      <c r="D632" s="8" t="inlineStr">
        <is>
          <t>External - AI Architect (m/f/*)</t>
        </is>
      </c>
      <c r="E632" s="7" t="inlineStr">
        <is>
          <t>Solventum</t>
        </is>
      </c>
      <c r="F632" s="8" t="inlineStr">
        <is>
          <t>Loughborough, ENG, GB</t>
        </is>
      </c>
      <c r="G632" s="8" t="n"/>
      <c r="H632" s="14" t="n"/>
      <c r="I632" s="15">
        <f>IF($H632="","",$H632-TODAY())</f>
        <v/>
      </c>
      <c r="J632" s="16" t="inlineStr">
        <is>
          <t>Open posting</t>
        </is>
      </c>
      <c r="K632" s="8" t="inlineStr">
        <is>
          <t>filtered by keyword pre-scan</t>
        </is>
      </c>
      <c r="L632" s="17" t="inlineStr">
        <is>
          <t>new</t>
        </is>
      </c>
      <c r="M632" s="18" t="inlineStr"/>
      <c r="N632" s="7" t="inlineStr">
        <is>
          <t>362286eb1e89fbec3346cc02a23182ea270f5140</t>
        </is>
      </c>
      <c r="O632" s="14" t="n">
        <v>46185</v>
      </c>
      <c r="P632" s="7" t="inlineStr">
        <is>
          <t>jobspy</t>
        </is>
      </c>
      <c r="Q632" s="8" t="inlineStr">
        <is>
          <t>python, sql, kubernetes, c</t>
        </is>
      </c>
      <c r="R632" s="8" t="inlineStr">
        <is>
          <t>Junior Data Engineer Python SQL pipeline</t>
        </is>
      </c>
      <c r="S632" s="19" t="n"/>
      <c r="T632" s="19" t="n"/>
      <c r="U632" s="14" t="n">
        <v>46193</v>
      </c>
      <c r="V632" s="7" t="inlineStr">
        <is>
          <t>v2-cv-accuracy-13b988b18da8ea7d</t>
        </is>
      </c>
    </row>
    <row r="633" ht="28" customHeight="1">
      <c r="A633" s="12">
        <f>IF($L633="applied","Applied",IF($L633="interview","Interview",IF($L633="offer","Offer",IF($L633="rejected","Rejected",IF($L633="ignore","Ignore",IF($L633="archive","Archive",IF($L633="closed","Closed",IF($B633="","Unscored",IF(AND($B633&gt;=8,OR($H633="",$H633-TODAY()&lt;=14)),"P1 Apply",IF($B633&gt;=7,"P2 Strong",IF($B633&gt;=5,"P3 Maybe","P4 Low")))))))))))</f>
        <v/>
      </c>
      <c r="B633" s="13" t="n">
        <v>1.4</v>
      </c>
      <c r="C633" s="12" t="inlineStr">
        <is>
          <t>Mid-level</t>
        </is>
      </c>
      <c r="D633" s="8" t="inlineStr">
        <is>
          <t>Data Engineer</t>
        </is>
      </c>
      <c r="E633" s="7" t="inlineStr">
        <is>
          <t>Feefo</t>
        </is>
      </c>
      <c r="F633" s="8" t="inlineStr">
        <is>
          <t>London, England, UK</t>
        </is>
      </c>
      <c r="G633" s="8" t="n"/>
      <c r="H633" s="14" t="n"/>
      <c r="I633" s="15">
        <f>IF($H633="","",$H633-TODAY())</f>
        <v/>
      </c>
      <c r="J633" s="16" t="inlineStr">
        <is>
          <t>Open posting</t>
        </is>
      </c>
      <c r="K633" s="8" t="inlineStr">
        <is>
          <t>filtered by keyword pre-scan</t>
        </is>
      </c>
      <c r="L633" s="17" t="inlineStr">
        <is>
          <t>new</t>
        </is>
      </c>
      <c r="M633" s="18" t="inlineStr"/>
      <c r="N633" s="7" t="inlineStr">
        <is>
          <t>c62cb75b868c2ac7e204a77eb6386239509bd15f</t>
        </is>
      </c>
      <c r="O633" s="14" t="n">
        <v>46172</v>
      </c>
      <c r="P633" s="7" t="inlineStr">
        <is>
          <t>jobspy</t>
        </is>
      </c>
      <c r="Q633" s="8" t="inlineStr">
        <is>
          <t>python, sql, kubernetes, c</t>
        </is>
      </c>
      <c r="R633" s="8" t="inlineStr">
        <is>
          <t>Junior Data Engineer Python SQL pipeline</t>
        </is>
      </c>
      <c r="S633" s="19" t="n"/>
      <c r="T633" s="19" t="n"/>
      <c r="U633" s="14" t="n">
        <v>46193</v>
      </c>
      <c r="V633" s="7" t="inlineStr">
        <is>
          <t>v2-cv-accuracy-13b988b18da8ea7d</t>
        </is>
      </c>
    </row>
    <row r="634" ht="28" customHeight="1">
      <c r="A634" s="12">
        <f>IF($L634="applied","Applied",IF($L634="interview","Interview",IF($L634="offer","Offer",IF($L634="rejected","Rejected",IF($L634="ignore","Ignore",IF($L634="archive","Archive",IF($L634="closed","Closed",IF($B634="","Unscored",IF(AND($B634&gt;=8,OR($H634="",$H634-TODAY()&lt;=14)),"P1 Apply",IF($B634&gt;=7,"P2 Strong",IF($B634&gt;=5,"P3 Maybe","P4 Low")))))))))))</f>
        <v/>
      </c>
      <c r="B634" s="13" t="n">
        <v>1.4</v>
      </c>
      <c r="C634" s="12" t="inlineStr">
        <is>
          <t>Mid-level</t>
        </is>
      </c>
      <c r="D634" s="8" t="inlineStr">
        <is>
          <t>Data Engineer</t>
        </is>
      </c>
      <c r="E634" s="7" t="inlineStr">
        <is>
          <t>Anson McCade</t>
        </is>
      </c>
      <c r="F634" s="8" t="inlineStr">
        <is>
          <t>London Area, United Kingdom</t>
        </is>
      </c>
      <c r="G634" s="8" t="n"/>
      <c r="H634" s="14" t="n"/>
      <c r="I634" s="15">
        <f>IF($H634="","",$H634-TODAY())</f>
        <v/>
      </c>
      <c r="J634" s="16" t="inlineStr">
        <is>
          <t>Open posting</t>
        </is>
      </c>
      <c r="K634" s="8" t="inlineStr">
        <is>
          <t>filtered by keyword pre-scan</t>
        </is>
      </c>
      <c r="L634" s="17" t="inlineStr">
        <is>
          <t>new</t>
        </is>
      </c>
      <c r="M634" s="18" t="inlineStr"/>
      <c r="N634" s="7" t="inlineStr">
        <is>
          <t>68e01862c1c166888eca381d05d4875bba560ba0</t>
        </is>
      </c>
      <c r="O634" s="14" t="n">
        <v>46164</v>
      </c>
      <c r="P634" s="7" t="inlineStr">
        <is>
          <t>jobspy</t>
        </is>
      </c>
      <c r="Q634" s="8" t="inlineStr">
        <is>
          <t>python, sql, git, c</t>
        </is>
      </c>
      <c r="R634" s="8" t="inlineStr">
        <is>
          <t>Junior Data Engineer Python SQL pipeline</t>
        </is>
      </c>
      <c r="S634" s="19" t="n"/>
      <c r="T634" s="19" t="n"/>
      <c r="U634" s="14" t="n">
        <v>46193</v>
      </c>
      <c r="V634" s="7" t="inlineStr">
        <is>
          <t>v2-cv-accuracy-13b988b18da8ea7d</t>
        </is>
      </c>
    </row>
    <row r="635" ht="28" customHeight="1">
      <c r="A635" s="12">
        <f>IF($L635="applied","Applied",IF($L635="interview","Interview",IF($L635="offer","Offer",IF($L635="rejected","Rejected",IF($L635="ignore","Ignore",IF($L635="archive","Archive",IF($L635="closed","Closed",IF($B635="","Unscored",IF(AND($B635&gt;=8,OR($H635="",$H635-TODAY()&lt;=14)),"P1 Apply",IF($B635&gt;=7,"P2 Strong",IF($B635&gt;=5,"P3 Maybe","P4 Low")))))))))))</f>
        <v/>
      </c>
      <c r="B635" s="13" t="n">
        <v>1.4</v>
      </c>
      <c r="C635" s="12" t="inlineStr">
        <is>
          <t>Mid-level</t>
        </is>
      </c>
      <c r="D635" s="8" t="inlineStr">
        <is>
          <t>Software Engineer (Monitoring Platform)</t>
        </is>
      </c>
      <c r="E635" s="7" t="inlineStr">
        <is>
          <t>SRT Marine Systems plc</t>
        </is>
      </c>
      <c r="F635" s="8" t="inlineStr">
        <is>
          <t>Birmingham, England, UK</t>
        </is>
      </c>
      <c r="G635" s="8" t="n"/>
      <c r="H635" s="14" t="n"/>
      <c r="I635" s="15">
        <f>IF($H635="","",$H635-TODAY())</f>
        <v/>
      </c>
      <c r="J635" s="16" t="inlineStr">
        <is>
          <t>Open posting</t>
        </is>
      </c>
      <c r="K635" s="8" t="inlineStr">
        <is>
          <t>filtered by keyword pre-scan</t>
        </is>
      </c>
      <c r="L635" s="17" t="inlineStr">
        <is>
          <t>new</t>
        </is>
      </c>
      <c r="M635" s="18" t="inlineStr"/>
      <c r="N635" s="7" t="inlineStr">
        <is>
          <t>97edcb6aa7bd7a5818d7c880d708936ae4022431</t>
        </is>
      </c>
      <c r="O635" s="14" t="n">
        <v>46177</v>
      </c>
      <c r="P635" s="7" t="inlineStr">
        <is>
          <t>jobspy</t>
        </is>
      </c>
      <c r="Q635" s="8" t="inlineStr">
        <is>
          <t>python, docker, c</t>
        </is>
      </c>
      <c r="R635" s="8" t="inlineStr">
        <is>
          <t>Platform Engineer Docker Kubernetes Python</t>
        </is>
      </c>
      <c r="S635" s="19" t="n"/>
      <c r="T635" s="19" t="n"/>
      <c r="U635" s="14" t="n">
        <v>46193</v>
      </c>
      <c r="V635" s="7" t="inlineStr">
        <is>
          <t>v2-cv-accuracy-13b988b18da8ea7d</t>
        </is>
      </c>
    </row>
    <row r="636" ht="28" customHeight="1">
      <c r="A636" s="12">
        <f>IF($L636="applied","Applied",IF($L636="interview","Interview",IF($L636="offer","Offer",IF($L636="rejected","Rejected",IF($L636="ignore","Ignore",IF($L636="archive","Archive",IF($L636="closed","Closed",IF($B636="","Unscored",IF(AND($B636&gt;=8,OR($H636="",$H636-TODAY()&lt;=14)),"P1 Apply",IF($B636&gt;=7,"P2 Strong",IF($B636&gt;=5,"P3 Maybe","P4 Low")))))))))))</f>
        <v/>
      </c>
      <c r="B636" s="13" t="n">
        <v>1.4</v>
      </c>
      <c r="C636" s="12" t="inlineStr">
        <is>
          <t>Mid-level</t>
        </is>
      </c>
      <c r="D636" s="8" t="inlineStr">
        <is>
          <t>Software Engineer (Monitoring Platform)</t>
        </is>
      </c>
      <c r="E636" s="7" t="inlineStr">
        <is>
          <t>SRT Marine Systems plc</t>
        </is>
      </c>
      <c r="F636" s="8" t="inlineStr">
        <is>
          <t>City Of Bristol, England, UK</t>
        </is>
      </c>
      <c r="G636" s="8" t="n"/>
      <c r="H636" s="14" t="n"/>
      <c r="I636" s="15">
        <f>IF($H636="","",$H636-TODAY())</f>
        <v/>
      </c>
      <c r="J636" s="16" t="inlineStr">
        <is>
          <t>Open posting</t>
        </is>
      </c>
      <c r="K636" s="8" t="inlineStr">
        <is>
          <t>filtered by keyword pre-scan</t>
        </is>
      </c>
      <c r="L636" s="17" t="inlineStr">
        <is>
          <t>new</t>
        </is>
      </c>
      <c r="M636" s="18" t="inlineStr"/>
      <c r="N636" s="7" t="inlineStr">
        <is>
          <t>d667fd6e995928ec7da16f273cea590da1d7dca0</t>
        </is>
      </c>
      <c r="O636" s="14" t="n">
        <v>46177</v>
      </c>
      <c r="P636" s="7" t="inlineStr">
        <is>
          <t>jobspy</t>
        </is>
      </c>
      <c r="Q636" s="8" t="inlineStr">
        <is>
          <t>python, docker, c</t>
        </is>
      </c>
      <c r="R636" s="8" t="inlineStr">
        <is>
          <t>Platform Engineer Docker Kubernetes Python</t>
        </is>
      </c>
      <c r="S636" s="19" t="n"/>
      <c r="T636" s="19" t="n"/>
      <c r="U636" s="14" t="n">
        <v>46193</v>
      </c>
      <c r="V636" s="7" t="inlineStr">
        <is>
          <t>v2-cv-accuracy-13b988b18da8ea7d</t>
        </is>
      </c>
    </row>
    <row r="637" ht="28" customHeight="1">
      <c r="A637" s="12">
        <f>IF($L637="applied","Applied",IF($L637="interview","Interview",IF($L637="offer","Offer",IF($L637="rejected","Rejected",IF($L637="ignore","Ignore",IF($L637="archive","Archive",IF($L637="closed","Closed",IF($B637="","Unscored",IF(AND($B637&gt;=8,OR($H637="",$H637-TODAY()&lt;=14)),"P1 Apply",IF($B637&gt;=7,"P2 Strong",IF($B637&gt;=5,"P3 Maybe","P4 Low")))))))))))</f>
        <v/>
      </c>
      <c r="B637" s="13" t="n">
        <v>1.4</v>
      </c>
      <c r="C637" s="12" t="inlineStr">
        <is>
          <t>Mid-level</t>
        </is>
      </c>
      <c r="D637" s="8" t="inlineStr">
        <is>
          <t>Verification Engineer</t>
        </is>
      </c>
      <c r="E637" s="7" t="inlineStr">
        <is>
          <t>Oriole</t>
        </is>
      </c>
      <c r="F637" s="8" t="inlineStr">
        <is>
          <t>London Area, United Kingdom</t>
        </is>
      </c>
      <c r="G637" s="8" t="n"/>
      <c r="H637" s="14" t="n"/>
      <c r="I637" s="15">
        <f>IF($H637="","",$H637-TODAY())</f>
        <v/>
      </c>
      <c r="J637" s="16" t="inlineStr">
        <is>
          <t>Open posting</t>
        </is>
      </c>
      <c r="K637" s="8" t="inlineStr">
        <is>
          <t>filtered by keyword pre-scan</t>
        </is>
      </c>
      <c r="L637" s="17" t="inlineStr">
        <is>
          <t>new</t>
        </is>
      </c>
      <c r="M637" s="18" t="inlineStr"/>
      <c r="N637" s="7" t="inlineStr">
        <is>
          <t>ec59025ee545b8b914dae6d3e1052ccba84d4fd1</t>
        </is>
      </c>
      <c r="O637" s="14" t="n">
        <v>46184</v>
      </c>
      <c r="P637" s="7" t="inlineStr">
        <is>
          <t>jobspy</t>
        </is>
      </c>
      <c r="Q637" s="8" t="inlineStr">
        <is>
          <t>python, verilog, fpga, c</t>
        </is>
      </c>
      <c r="R637" s="8" t="inlineStr">
        <is>
          <t>Verification Engineer FPGA Verilog digital</t>
        </is>
      </c>
      <c r="S637" s="19" t="n"/>
      <c r="T637" s="19" t="n"/>
      <c r="U637" s="14" t="n">
        <v>46193</v>
      </c>
      <c r="V637" s="7" t="inlineStr">
        <is>
          <t>v2-cv-accuracy-13b988b18da8ea7d</t>
        </is>
      </c>
    </row>
    <row r="638" ht="28" customHeight="1">
      <c r="A638" s="12">
        <f>IF($L638="applied","Applied",IF($L638="interview","Interview",IF($L638="offer","Offer",IF($L638="rejected","Rejected",IF($L638="ignore","Ignore",IF($L638="archive","Archive",IF($L638="closed","Closed",IF($B638="","Unscored",IF(AND($B638&gt;=8,OR($H638="",$H638-TODAY()&lt;=14)),"P1 Apply",IF($B638&gt;=7,"P2 Strong",IF($B638&gt;=5,"P3 Maybe","P4 Low")))))))))))</f>
        <v/>
      </c>
      <c r="B638" s="13" t="n">
        <v>1.4</v>
      </c>
      <c r="C638" s="12" t="inlineStr">
        <is>
          <t>Senior/Lead</t>
        </is>
      </c>
      <c r="D638" s="8" t="inlineStr">
        <is>
          <t>Forward Deployed AI Engineer</t>
        </is>
      </c>
      <c r="E638" s="7" t="inlineStr">
        <is>
          <t>C&amp;D Talent Advisory</t>
        </is>
      </c>
      <c r="F638" s="8" t="inlineStr">
        <is>
          <t>Sheffield, England, UK</t>
        </is>
      </c>
      <c r="G638" s="8" t="n"/>
      <c r="H638" s="14" t="n"/>
      <c r="I638" s="15">
        <f>IF($H638="","",$H638-TODAY())</f>
        <v/>
      </c>
      <c r="J638" s="16" t="inlineStr">
        <is>
          <t>Open posting</t>
        </is>
      </c>
      <c r="K638" s="8" t="inlineStr">
        <is>
          <t>filtered by keyword pre-scan</t>
        </is>
      </c>
      <c r="L638" s="17" t="inlineStr">
        <is>
          <t>new</t>
        </is>
      </c>
      <c r="M638" s="18" t="inlineStr"/>
      <c r="N638" s="7" t="inlineStr">
        <is>
          <t>8d91acdbcd34a619fe65ad5985fee2356bbe6a27</t>
        </is>
      </c>
      <c r="O638" s="14" t="n">
        <v>46181</v>
      </c>
      <c r="P638" s="7" t="inlineStr">
        <is>
          <t>jobspy</t>
        </is>
      </c>
      <c r="Q638" s="8" t="inlineStr">
        <is>
          <t>python, sql, c, javascript</t>
        </is>
      </c>
      <c r="R638" s="8" t="inlineStr">
        <is>
          <t>Graduate Hardware Engineer Sheffield</t>
        </is>
      </c>
      <c r="S638" s="19" t="n"/>
      <c r="T638" s="19" t="n"/>
      <c r="U638" s="14" t="n">
        <v>46192</v>
      </c>
      <c r="V638" s="7" t="inlineStr">
        <is>
          <t>v2-cv-accuracy-13b988b18da8ea7d</t>
        </is>
      </c>
    </row>
    <row r="639" ht="28" customHeight="1">
      <c r="A639" s="12">
        <f>IF($L639="applied","Applied",IF($L639="interview","Interview",IF($L639="offer","Offer",IF($L639="rejected","Rejected",IF($L639="ignore","Ignore",IF($L639="archive","Archive",IF($L639="closed","Closed",IF($B639="","Unscored",IF(AND($B639&gt;=8,OR($H639="",$H639-TODAY()&lt;=14)),"P1 Apply",IF($B639&gt;=7,"P2 Strong",IF($B639&gt;=5,"P3 Maybe","P4 Low")))))))))))</f>
        <v/>
      </c>
      <c r="B639" s="13" t="n">
        <v>1.4</v>
      </c>
      <c r="C639" s="12" t="inlineStr">
        <is>
          <t>Mid-level</t>
        </is>
      </c>
      <c r="D639" s="8" t="inlineStr">
        <is>
          <t>Research Fellow - School of Chemical Engineering - 107526 - Grade 7</t>
        </is>
      </c>
      <c r="E639" s="7" t="inlineStr">
        <is>
          <t>University of Birmingham</t>
        </is>
      </c>
      <c r="F639" s="8" t="inlineStr">
        <is>
          <t>Birmingham, ENG, GB</t>
        </is>
      </c>
      <c r="G639" s="8" t="n"/>
      <c r="H639" s="14" t="n">
        <v>46194</v>
      </c>
      <c r="I639" s="15">
        <f>IF($H639="","",$H639-TODAY())</f>
        <v/>
      </c>
      <c r="J639" s="16" t="inlineStr">
        <is>
          <t>Open posting</t>
        </is>
      </c>
      <c r="K639" s="8" t="inlineStr">
        <is>
          <t>filtered by keyword pre-scan</t>
        </is>
      </c>
      <c r="L639" s="17" t="inlineStr">
        <is>
          <t>new</t>
        </is>
      </c>
      <c r="M639" s="18" t="inlineStr"/>
      <c r="N639" s="7" t="inlineStr">
        <is>
          <t>311cb6e23a627aee7b605ec7056374c905cadbdd</t>
        </is>
      </c>
      <c r="O639" s="14" t="n">
        <v>46177</v>
      </c>
      <c r="P639" s="7" t="inlineStr">
        <is>
          <t>jobspy</t>
        </is>
      </c>
      <c r="Q639" s="8" t="inlineStr">
        <is>
          <t>python, git, c, embedded systems</t>
        </is>
      </c>
      <c r="R639" s="8" t="inlineStr">
        <is>
          <t>Junior Hardware Engineer embedded digital design UK</t>
        </is>
      </c>
      <c r="S639" s="19" t="n"/>
      <c r="T639" s="19" t="n"/>
      <c r="U639" s="14" t="n">
        <v>46192</v>
      </c>
      <c r="V639" s="7" t="inlineStr">
        <is>
          <t>v2-cv-accuracy-13b988b18da8ea7d</t>
        </is>
      </c>
    </row>
    <row r="640" ht="28" customHeight="1">
      <c r="A640" s="12">
        <f>IF($L640="applied","Applied",IF($L640="interview","Interview",IF($L640="offer","Offer",IF($L640="rejected","Rejected",IF($L640="ignore","Ignore",IF($L640="archive","Archive",IF($L640="closed","Closed",IF($B640="","Unscored",IF(AND($B640&gt;=8,OR($H640="",$H640-TODAY()&lt;=14)),"P1 Apply",IF($B640&gt;=7,"P2 Strong",IF($B640&gt;=5,"P3 Maybe","P4 Low")))))))))))</f>
        <v/>
      </c>
      <c r="B640" s="13" t="n">
        <v>1.4</v>
      </c>
      <c r="C640" s="12" t="inlineStr">
        <is>
          <t>Unspecified</t>
        </is>
      </c>
      <c r="D640" s="8" t="inlineStr">
        <is>
          <t>Design Verification Engineer (EDI)</t>
        </is>
      </c>
      <c r="E640" s="7" t="inlineStr">
        <is>
          <t>Cirrus Logic</t>
        </is>
      </c>
      <c r="F640" s="8" t="inlineStr">
        <is>
          <t>Edinburgh, Scotland, UK</t>
        </is>
      </c>
      <c r="G640" s="8" t="n"/>
      <c r="H640" s="14" t="n"/>
      <c r="I640" s="15">
        <f>IF($H640="","",$H640-TODAY())</f>
        <v/>
      </c>
      <c r="J640" s="16" t="inlineStr">
        <is>
          <t>Open posting</t>
        </is>
      </c>
      <c r="K640" s="8" t="inlineStr">
        <is>
          <t>filtered by keyword pre-scan</t>
        </is>
      </c>
      <c r="L640" s="17" t="inlineStr">
        <is>
          <t>new</t>
        </is>
      </c>
      <c r="M640" s="18" t="inlineStr"/>
      <c r="N640" s="7" t="inlineStr">
        <is>
          <t>324f84a5b6bad43faf66cf80b185272ae7307d46</t>
        </is>
      </c>
      <c r="O640" s="14" t="n">
        <v>46188</v>
      </c>
      <c r="P640" s="7" t="inlineStr">
        <is>
          <t>jobspy</t>
        </is>
      </c>
      <c r="Q640" s="8" t="inlineStr">
        <is>
          <t>verilog, git, c</t>
        </is>
      </c>
      <c r="R640" s="8" t="inlineStr">
        <is>
          <t>Graduate FPGA Engineer UK remote</t>
        </is>
      </c>
      <c r="S640" s="19" t="n"/>
      <c r="T640" s="19" t="n"/>
      <c r="U640" s="14" t="n">
        <v>46192</v>
      </c>
      <c r="V640" s="7" t="inlineStr">
        <is>
          <t>v2-cv-accuracy-13b988b18da8ea7d</t>
        </is>
      </c>
    </row>
    <row r="641" ht="28" customHeight="1">
      <c r="A641" s="12">
        <f>IF($L641="applied","Applied",IF($L641="interview","Interview",IF($L641="offer","Offer",IF($L641="rejected","Rejected",IF($L641="ignore","Ignore",IF($L641="archive","Archive",IF($L641="closed","Closed",IF($B641="","Unscored",IF(AND($B641&gt;=8,OR($H641="",$H641-TODAY()&lt;=14)),"P1 Apply",IF($B641&gt;=7,"P2 Strong",IF($B641&gt;=5,"P3 Maybe","P4 Low")))))))))))</f>
        <v/>
      </c>
      <c r="B641" s="13" t="n">
        <v>1.4</v>
      </c>
      <c r="C641" s="12" t="inlineStr">
        <is>
          <t>Unspecified</t>
        </is>
      </c>
      <c r="D641" s="8" t="inlineStr">
        <is>
          <t>Design Verification Engineer (NWB)</t>
        </is>
      </c>
      <c r="E641" s="7" t="inlineStr">
        <is>
          <t>Cirrus Logic</t>
        </is>
      </c>
      <c r="F641" s="8" t="inlineStr">
        <is>
          <t>Edinburgh, Scotland, UK</t>
        </is>
      </c>
      <c r="G641" s="8" t="n"/>
      <c r="H641" s="14" t="n"/>
      <c r="I641" s="15">
        <f>IF($H641="","",$H641-TODAY())</f>
        <v/>
      </c>
      <c r="J641" s="16" t="inlineStr">
        <is>
          <t>Open posting</t>
        </is>
      </c>
      <c r="K641" s="8" t="inlineStr">
        <is>
          <t>filtered by keyword pre-scan</t>
        </is>
      </c>
      <c r="L641" s="17" t="inlineStr">
        <is>
          <t>new</t>
        </is>
      </c>
      <c r="M641" s="18" t="inlineStr"/>
      <c r="N641" s="7" t="inlineStr">
        <is>
          <t>012b85c2be60544e5408988f91d289b04fbe6829</t>
        </is>
      </c>
      <c r="O641" s="14" t="n">
        <v>46187</v>
      </c>
      <c r="P641" s="7" t="inlineStr">
        <is>
          <t>jobspy</t>
        </is>
      </c>
      <c r="Q641" s="8" t="inlineStr">
        <is>
          <t>verilog, git, c</t>
        </is>
      </c>
      <c r="R641" s="8" t="inlineStr">
        <is>
          <t>Graduate FPGA Engineer UK remote</t>
        </is>
      </c>
      <c r="S641" s="19" t="n"/>
      <c r="T641" s="19" t="n"/>
      <c r="U641" s="14" t="n">
        <v>46192</v>
      </c>
      <c r="V641" s="7" t="inlineStr">
        <is>
          <t>v2-cv-accuracy-13b988b18da8ea7d</t>
        </is>
      </c>
    </row>
    <row r="642" ht="28" customHeight="1">
      <c r="A642" s="12">
        <f>IF($L642="applied","Applied",IF($L642="interview","Interview",IF($L642="offer","Offer",IF($L642="rejected","Rejected",IF($L642="ignore","Ignore",IF($L642="archive","Archive",IF($L642="closed","Closed",IF($B642="","Unscored",IF(AND($B642&gt;=8,OR($H642="",$H642-TODAY()&lt;=14)),"P1 Apply",IF($B642&gt;=7,"P2 Strong",IF($B642&gt;=5,"P3 Maybe","P4 Low")))))))))))</f>
        <v/>
      </c>
      <c r="B642" s="13" t="n">
        <v>1.4</v>
      </c>
      <c r="C642" s="12" t="inlineStr">
        <is>
          <t>Mid-level</t>
        </is>
      </c>
      <c r="D642" s="8" t="inlineStr">
        <is>
          <t>Systems Engineer</t>
        </is>
      </c>
      <c r="E642" s="7" t="inlineStr">
        <is>
          <t>AI Top Talents Ltd</t>
        </is>
      </c>
      <c r="F642" s="8" t="inlineStr">
        <is>
          <t>Bristol, ENG, GB</t>
        </is>
      </c>
      <c r="G642" s="8" t="n"/>
      <c r="H642" s="14" t="n"/>
      <c r="I642" s="15">
        <f>IF($H642="","",$H642-TODAY())</f>
        <v/>
      </c>
      <c r="J642" s="16" t="inlineStr">
        <is>
          <t>Open posting</t>
        </is>
      </c>
      <c r="K642" s="8" t="inlineStr">
        <is>
          <t>filtered by keyword pre-scan</t>
        </is>
      </c>
      <c r="L642" s="17" t="inlineStr">
        <is>
          <t>new</t>
        </is>
      </c>
      <c r="M642" s="18" t="inlineStr"/>
      <c r="N642" s="7" t="inlineStr">
        <is>
          <t>9b539ac8896046f85dbf6b67f6f1091a8c2cb08c</t>
        </is>
      </c>
      <c r="O642" s="14" t="n">
        <v>46188</v>
      </c>
      <c r="P642" s="7" t="inlineStr">
        <is>
          <t>jobspy</t>
        </is>
      </c>
      <c r="Q642" s="8" t="inlineStr">
        <is>
          <t>python, git, c</t>
        </is>
      </c>
      <c r="R642" s="8" t="inlineStr">
        <is>
          <t>Graduate Systems Engineer hardware software</t>
        </is>
      </c>
      <c r="S642" s="19" t="n"/>
      <c r="T642" s="19" t="n"/>
      <c r="U642" s="14" t="n">
        <v>46192</v>
      </c>
      <c r="V642" s="7" t="inlineStr">
        <is>
          <t>v2-cv-accuracy-13b988b18da8ea7d</t>
        </is>
      </c>
    </row>
    <row r="643" ht="28" customHeight="1">
      <c r="A643" s="12">
        <f>IF($L643="applied","Applied",IF($L643="interview","Interview",IF($L643="offer","Offer",IF($L643="rejected","Rejected",IF($L643="ignore","Ignore",IF($L643="archive","Archive",IF($L643="closed","Closed",IF($B643="","Unscored",IF(AND($B643&gt;=8,OR($H643="",$H643-TODAY()&lt;=14)),"P1 Apply",IF($B643&gt;=7,"P2 Strong",IF($B643&gt;=5,"P3 Maybe","P4 Low")))))))))))</f>
        <v/>
      </c>
      <c r="B643" s="13" t="n">
        <v>1.4</v>
      </c>
      <c r="C643" s="12" t="inlineStr">
        <is>
          <t>Junior</t>
        </is>
      </c>
      <c r="D643" s="8" t="inlineStr">
        <is>
          <t>Index Distribution Software Engineer</t>
        </is>
      </c>
      <c r="E643" s="7" t="inlineStr">
        <is>
          <t>LSEG</t>
        </is>
      </c>
      <c r="F643" s="8" t="inlineStr">
        <is>
          <t>City Of London, England, UK</t>
        </is>
      </c>
      <c r="G643" s="8" t="n"/>
      <c r="H643" s="14" t="n"/>
      <c r="I643" s="15">
        <f>IF($H643="","",$H643-TODAY())</f>
        <v/>
      </c>
      <c r="J643" s="16" t="inlineStr">
        <is>
          <t>Open posting</t>
        </is>
      </c>
      <c r="K643" s="8" t="inlineStr">
        <is>
          <t>filtered by keyword pre-scan</t>
        </is>
      </c>
      <c r="L643" s="17" t="inlineStr">
        <is>
          <t>new</t>
        </is>
      </c>
      <c r="M643" s="18" t="inlineStr"/>
      <c r="N643" s="7" t="inlineStr">
        <is>
          <t>092eccce87611d34c6ea77f8422d3c5b20525a6c</t>
        </is>
      </c>
      <c r="O643" s="14" t="n">
        <v>46186</v>
      </c>
      <c r="P643" s="7" t="inlineStr">
        <is>
          <t>jobspy</t>
        </is>
      </c>
      <c r="Q643" s="8" t="inlineStr">
        <is>
          <t>python, sql, c, javascript</t>
        </is>
      </c>
      <c r="R643" s="8" t="inlineStr">
        <is>
          <t>Junior Python Developer Docker Kubernetes Sheffield</t>
        </is>
      </c>
      <c r="S643" s="19" t="n"/>
      <c r="T643" s="19" t="n"/>
      <c r="U643" s="14" t="n">
        <v>46192</v>
      </c>
      <c r="V643" s="7" t="inlineStr">
        <is>
          <t>v2-cv-accuracy-13b988b18da8ea7d</t>
        </is>
      </c>
    </row>
    <row r="644" ht="28" customHeight="1">
      <c r="A644" s="12">
        <f>IF($L644="applied","Applied",IF($L644="interview","Interview",IF($L644="offer","Offer",IF($L644="rejected","Rejected",IF($L644="ignore","Ignore",IF($L644="archive","Archive",IF($L644="closed","Closed",IF($B644="","Unscored",IF(AND($B644&gt;=8,OR($H644="",$H644-TODAY()&lt;=14)),"P1 Apply",IF($B644&gt;=7,"P2 Strong",IF($B644&gt;=5,"P3 Maybe","P4 Low")))))))))))</f>
        <v/>
      </c>
      <c r="B644" s="13" t="n">
        <v>1.4</v>
      </c>
      <c r="C644" s="12" t="inlineStr">
        <is>
          <t>Unspecified</t>
        </is>
      </c>
      <c r="D644" s="8" t="inlineStr">
        <is>
          <t>Platform Software Engineer</t>
        </is>
      </c>
      <c r="E644" s="7" t="inlineStr">
        <is>
          <t>Aurora Energy Research</t>
        </is>
      </c>
      <c r="F644" s="8" t="inlineStr">
        <is>
          <t>Oxford, England, UK</t>
        </is>
      </c>
      <c r="G644" s="8" t="n"/>
      <c r="H644" s="14" t="n"/>
      <c r="I644" s="15">
        <f>IF($H644="","",$H644-TODAY())</f>
        <v/>
      </c>
      <c r="J644" s="16" t="inlineStr">
        <is>
          <t>Open posting</t>
        </is>
      </c>
      <c r="K644" s="8" t="inlineStr">
        <is>
          <t>filtered by keyword pre-scan</t>
        </is>
      </c>
      <c r="L644" s="17" t="inlineStr">
        <is>
          <t>new</t>
        </is>
      </c>
      <c r="M644" s="18" t="inlineStr"/>
      <c r="N644" s="7" t="inlineStr">
        <is>
          <t>518f835a1200937f0e1f00764dc6b2f5a2c82652</t>
        </is>
      </c>
      <c r="O644" s="14" t="n"/>
      <c r="P644" s="7" t="inlineStr">
        <is>
          <t>jobspy</t>
        </is>
      </c>
      <c r="Q644" s="8" t="inlineStr">
        <is>
          <t>python, sql, mysql, c</t>
        </is>
      </c>
      <c r="R644" s="8" t="inlineStr">
        <is>
          <t>Junior Python Developer Docker Kubernetes Sheffield</t>
        </is>
      </c>
      <c r="S644" s="19" t="n"/>
      <c r="T644" s="19" t="n"/>
      <c r="U644" s="14" t="n">
        <v>46192</v>
      </c>
      <c r="V644" s="7" t="inlineStr">
        <is>
          <t>v2-cv-accuracy-13b988b18da8ea7d</t>
        </is>
      </c>
    </row>
    <row r="645" ht="28" customHeight="1">
      <c r="A645" s="12">
        <f>IF($L645="applied","Applied",IF($L645="interview","Interview",IF($L645="offer","Offer",IF($L645="rejected","Rejected",IF($L645="ignore","Ignore",IF($L645="archive","Archive",IF($L645="closed","Closed",IF($B645="","Unscored",IF(AND($B645&gt;=8,OR($H645="",$H645-TODAY()&lt;=14)),"P1 Apply",IF($B645&gt;=7,"P2 Strong",IF($B645&gt;=5,"P3 Maybe","P4 Low")))))))))))</f>
        <v/>
      </c>
      <c r="B645" s="13" t="n">
        <v>1.4</v>
      </c>
      <c r="C645" s="12" t="inlineStr">
        <is>
          <t>Mid-level</t>
        </is>
      </c>
      <c r="D645" s="8" t="inlineStr">
        <is>
          <t>Data Engineer</t>
        </is>
      </c>
      <c r="E645" s="7" t="inlineStr">
        <is>
          <t>Pangea</t>
        </is>
      </c>
      <c r="F645" s="8" t="inlineStr">
        <is>
          <t>London Area, United Kingdom</t>
        </is>
      </c>
      <c r="G645" s="8" t="n"/>
      <c r="H645" s="14" t="n"/>
      <c r="I645" s="15">
        <f>IF($H645="","",$H645-TODAY())</f>
        <v/>
      </c>
      <c r="J645" s="16" t="inlineStr">
        <is>
          <t>Open posting</t>
        </is>
      </c>
      <c r="K645" s="8" t="inlineStr">
        <is>
          <t>filtered by keyword pre-scan</t>
        </is>
      </c>
      <c r="L645" s="17" t="inlineStr">
        <is>
          <t>new</t>
        </is>
      </c>
      <c r="M645" s="18" t="inlineStr"/>
      <c r="N645" s="7" t="inlineStr">
        <is>
          <t>c06a7bc7c484b9cdbb2f0774c248da94705037a3</t>
        </is>
      </c>
      <c r="O645" s="14" t="n">
        <v>46185</v>
      </c>
      <c r="P645" s="7" t="inlineStr">
        <is>
          <t>jobspy</t>
        </is>
      </c>
      <c r="Q645" s="8" t="inlineStr">
        <is>
          <t>python, sql, git, c</t>
        </is>
      </c>
      <c r="R645" s="8" t="inlineStr">
        <is>
          <t>Graduate Data Engineer SQL Python pipeline</t>
        </is>
      </c>
      <c r="S645" s="19" t="n"/>
      <c r="T645" s="19" t="n"/>
      <c r="U645" s="14" t="n">
        <v>46192</v>
      </c>
      <c r="V645" s="7" t="inlineStr">
        <is>
          <t>v2-cv-accuracy-13b988b18da8ea7d</t>
        </is>
      </c>
    </row>
    <row r="646" ht="28" customHeight="1">
      <c r="A646" s="12">
        <f>IF($L646="applied","Applied",IF($L646="interview","Interview",IF($L646="offer","Offer",IF($L646="rejected","Rejected",IF($L646="ignore","Ignore",IF($L646="archive","Archive",IF($L646="closed","Closed",IF($B646="","Unscored",IF(AND($B646&gt;=8,OR($H646="",$H646-TODAY()&lt;=14)),"P1 Apply",IF($B646&gt;=7,"P2 Strong",IF($B646&gt;=5,"P3 Maybe","P4 Low")))))))))))</f>
        <v/>
      </c>
      <c r="B646" s="13" t="n">
        <v>1.4</v>
      </c>
      <c r="C646" s="12" t="inlineStr">
        <is>
          <t>Unspecified</t>
        </is>
      </c>
      <c r="D646" s="8" t="inlineStr">
        <is>
          <t>Data Engineer</t>
        </is>
      </c>
      <c r="E646" s="7" t="inlineStr">
        <is>
          <t>Prima</t>
        </is>
      </c>
      <c r="F646" s="8" t="inlineStr"/>
      <c r="G646" s="8" t="n"/>
      <c r="H646" s="14" t="n"/>
      <c r="I646" s="15">
        <f>IF($H646="","",$H646-TODAY())</f>
        <v/>
      </c>
      <c r="J646" s="16" t="inlineStr">
        <is>
          <t>Open posting</t>
        </is>
      </c>
      <c r="K646" s="8" t="inlineStr">
        <is>
          <t>filtered by keyword pre-scan</t>
        </is>
      </c>
      <c r="L646" s="17" t="inlineStr">
        <is>
          <t>new</t>
        </is>
      </c>
      <c r="M646" s="18" t="inlineStr"/>
      <c r="N646" s="7" t="inlineStr">
        <is>
          <t>9aa54483290cf8ec0f8f8856d782fa98d5c558f0</t>
        </is>
      </c>
      <c r="O646" s="14" t="n">
        <v>46175</v>
      </c>
      <c r="P646" s="7" t="inlineStr">
        <is>
          <t>jobspy</t>
        </is>
      </c>
      <c r="Q646" s="8" t="inlineStr">
        <is>
          <t>python, sql, c</t>
        </is>
      </c>
      <c r="R646" s="8" t="inlineStr">
        <is>
          <t>Graduate Data Engineer SQL Python pipeline</t>
        </is>
      </c>
      <c r="S646" s="19" t="n"/>
      <c r="T646" s="19" t="n"/>
      <c r="U646" s="14" t="n">
        <v>46192</v>
      </c>
      <c r="V646" s="7" t="inlineStr">
        <is>
          <t>v2-cv-accuracy-13b988b18da8ea7d</t>
        </is>
      </c>
    </row>
    <row r="647" ht="28" customHeight="1">
      <c r="A647" s="12">
        <f>IF($L647="applied","Applied",IF($L647="interview","Interview",IF($L647="offer","Offer",IF($L647="rejected","Rejected",IF($L647="ignore","Ignore",IF($L647="archive","Archive",IF($L647="closed","Closed",IF($B647="","Unscored",IF(AND($B647&gt;=8,OR($H647="",$H647-TODAY()&lt;=14)),"P1 Apply",IF($B647&gt;=7,"P2 Strong",IF($B647&gt;=5,"P3 Maybe","P4 Low")))))))))))</f>
        <v/>
      </c>
      <c r="B647" s="13" t="n">
        <v>1.4</v>
      </c>
      <c r="C647" s="12" t="inlineStr">
        <is>
          <t>Junior</t>
        </is>
      </c>
      <c r="D647" s="8" t="inlineStr">
        <is>
          <t>Cloud Engineer</t>
        </is>
      </c>
      <c r="E647" s="7" t="inlineStr">
        <is>
          <t>Anson McCade</t>
        </is>
      </c>
      <c r="F647" s="8" t="inlineStr">
        <is>
          <t>Manchester Area, United Kingdom</t>
        </is>
      </c>
      <c r="G647" s="8" t="n"/>
      <c r="H647" s="14" t="n"/>
      <c r="I647" s="15">
        <f>IF($H647="","",$H647-TODAY())</f>
        <v/>
      </c>
      <c r="J647" s="16" t="inlineStr">
        <is>
          <t>Open posting</t>
        </is>
      </c>
      <c r="K647" s="8" t="inlineStr">
        <is>
          <t>filtered by keyword pre-scan</t>
        </is>
      </c>
      <c r="L647" s="17" t="inlineStr">
        <is>
          <t>new</t>
        </is>
      </c>
      <c r="M647" s="18" t="inlineStr"/>
      <c r="N647" s="7" t="inlineStr">
        <is>
          <t>d8fadcbac1003f3feb066ab4990d281b27555a8a</t>
        </is>
      </c>
      <c r="O647" s="14" t="n">
        <v>46189</v>
      </c>
      <c r="P647" s="7" t="inlineStr">
        <is>
          <t>jobspy</t>
        </is>
      </c>
      <c r="Q647" s="8" t="inlineStr">
        <is>
          <t>python, kubernetes, c</t>
        </is>
      </c>
      <c r="R647" s="8" t="inlineStr">
        <is>
          <t>Graduate DevOps Engineer Docker Kubernetes Python</t>
        </is>
      </c>
      <c r="S647" s="19" t="n"/>
      <c r="T647" s="19" t="n"/>
      <c r="U647" s="14" t="n">
        <v>46192</v>
      </c>
      <c r="V647" s="7" t="inlineStr">
        <is>
          <t>v2-cv-accuracy-13b988b18da8ea7d</t>
        </is>
      </c>
    </row>
    <row r="648" ht="28" customHeight="1">
      <c r="A648" s="12">
        <f>IF($L648="applied","Applied",IF($L648="interview","Interview",IF($L648="offer","Offer",IF($L648="rejected","Rejected",IF($L648="ignore","Ignore",IF($L648="archive","Archive",IF($L648="closed","Closed",IF($B648="","Unscored",IF(AND($B648&gt;=8,OR($H648="",$H648-TODAY()&lt;=14)),"P1 Apply",IF($B648&gt;=7,"P2 Strong",IF($B648&gt;=5,"P3 Maybe","P4 Low")))))))))))</f>
        <v/>
      </c>
      <c r="B648" s="13" t="n">
        <v>1.4</v>
      </c>
      <c r="C648" s="12" t="inlineStr">
        <is>
          <t>Senior/Lead</t>
        </is>
      </c>
      <c r="D648" s="8" t="inlineStr">
        <is>
          <t>GPU Design Verification Engineer - Qualcomm, Cambridge, United Kingdom</t>
        </is>
      </c>
      <c r="E648" s="7" t="inlineStr">
        <is>
          <t>Qualcomm</t>
        </is>
      </c>
      <c r="F648" s="8" t="inlineStr">
        <is>
          <t>Cambridge, England, UK</t>
        </is>
      </c>
      <c r="G648" s="8" t="n"/>
      <c r="H648" s="14" t="n"/>
      <c r="I648" s="15">
        <f>IF($H648="","",$H648-TODAY())</f>
        <v/>
      </c>
      <c r="J648" s="16" t="inlineStr">
        <is>
          <t>Open posting</t>
        </is>
      </c>
      <c r="K648" s="8" t="inlineStr">
        <is>
          <t>filtered by keyword pre-scan</t>
        </is>
      </c>
      <c r="L648" s="17" t="inlineStr">
        <is>
          <t>new</t>
        </is>
      </c>
      <c r="M648" s="18" t="inlineStr"/>
      <c r="N648" s="7" t="inlineStr">
        <is>
          <t>a64faa6656e071ef29090d47d00a8c98ef4c2964</t>
        </is>
      </c>
      <c r="O648" s="14" t="n">
        <v>46184</v>
      </c>
      <c r="P648" s="7" t="inlineStr">
        <is>
          <t>jobspy</t>
        </is>
      </c>
      <c r="Q648" s="8" t="inlineStr">
        <is>
          <t>verilog, fpga, c</t>
        </is>
      </c>
      <c r="R648" s="8" t="inlineStr">
        <is>
          <t>Graduate Digital Design Engineer FPGA</t>
        </is>
      </c>
      <c r="S648" s="19" t="n"/>
      <c r="T648" s="19" t="n"/>
      <c r="U648" s="14" t="n">
        <v>46192</v>
      </c>
      <c r="V648" s="7" t="inlineStr">
        <is>
          <t>v2-cv-accuracy-13b988b18da8ea7d</t>
        </is>
      </c>
    </row>
    <row r="649" ht="28" customHeight="1">
      <c r="A649" s="12">
        <f>IF($L649="applied","Applied",IF($L649="interview","Interview",IF($L649="offer","Offer",IF($L649="rejected","Rejected",IF($L649="ignore","Ignore",IF($L649="archive","Archive",IF($L649="closed","Closed",IF($B649="","Unscored",IF(AND($B649&gt;=8,OR($H649="",$H649-TODAY()&lt;=14)),"P1 Apply",IF($B649&gt;=7,"P2 Strong",IF($B649&gt;=5,"P3 Maybe","P4 Low")))))))))))</f>
        <v/>
      </c>
      <c r="B649" s="13" t="n">
        <v>1.4</v>
      </c>
      <c r="C649" s="12" t="inlineStr">
        <is>
          <t>Senior/Lead</t>
        </is>
      </c>
      <c r="D649" s="8" t="inlineStr">
        <is>
          <t>Platform Engineer-UK</t>
        </is>
      </c>
      <c r="E649" s="7" t="inlineStr">
        <is>
          <t>Certinia</t>
        </is>
      </c>
      <c r="F649" s="8" t="inlineStr">
        <is>
          <t>Harrogate, England, UK</t>
        </is>
      </c>
      <c r="G649" s="8" t="n"/>
      <c r="H649" s="14" t="n"/>
      <c r="I649" s="15">
        <f>IF($H649="","",$H649-TODAY())</f>
        <v/>
      </c>
      <c r="J649" s="16" t="inlineStr">
        <is>
          <t>Open posting</t>
        </is>
      </c>
      <c r="K649" s="8" t="inlineStr">
        <is>
          <t>filtered by keyword pre-scan</t>
        </is>
      </c>
      <c r="L649" s="17" t="inlineStr">
        <is>
          <t>new</t>
        </is>
      </c>
      <c r="M649" s="18" t="inlineStr"/>
      <c r="N649" s="7" t="inlineStr">
        <is>
          <t>69958230bd5405b03218ba45adeac3fb57f81666</t>
        </is>
      </c>
      <c r="O649" s="14" t="n">
        <v>46182</v>
      </c>
      <c r="P649" s="7" t="inlineStr">
        <is>
          <t>jobspy</t>
        </is>
      </c>
      <c r="Q649" s="8" t="inlineStr">
        <is>
          <t>kubernetes, git, c</t>
        </is>
      </c>
      <c r="R649" s="8" t="inlineStr">
        <is>
          <t>Graduate Backend Developer Docker Kubernetes</t>
        </is>
      </c>
      <c r="S649" s="19" t="n"/>
      <c r="T649" s="19" t="n"/>
      <c r="U649" s="14" t="n">
        <v>46192</v>
      </c>
      <c r="V649" s="7" t="inlineStr">
        <is>
          <t>v2-cv-accuracy-13b988b18da8ea7d</t>
        </is>
      </c>
    </row>
    <row r="650" ht="28" customHeight="1">
      <c r="A650" s="12">
        <f>IF($L650="applied","Applied",IF($L650="interview","Interview",IF($L650="offer","Offer",IF($L650="rejected","Rejected",IF($L650="ignore","Ignore",IF($L650="archive","Archive",IF($L650="closed","Closed",IF($B650="","Unscored",IF(AND($B650&gt;=8,OR($H650="",$H650-TODAY()&lt;=14)),"P1 Apply",IF($B650&gt;=7,"P2 Strong",IF($B650&gt;=5,"P3 Maybe","P4 Low")))))))))))</f>
        <v/>
      </c>
      <c r="B650" s="13" t="n">
        <v>1.4</v>
      </c>
      <c r="C650" s="12" t="inlineStr">
        <is>
          <t>Unspecified</t>
        </is>
      </c>
      <c r="D650" s="8" t="inlineStr">
        <is>
          <t>Data Analytics Engineer I</t>
        </is>
      </c>
      <c r="E650" s="7" t="inlineStr">
        <is>
          <t>Checkout.com</t>
        </is>
      </c>
      <c r="F650" s="8" t="inlineStr">
        <is>
          <t>London, England, UK</t>
        </is>
      </c>
      <c r="G650" s="8" t="n"/>
      <c r="H650" s="14" t="n"/>
      <c r="I650" s="15">
        <f>IF($H650="","",$H650-TODAY())</f>
        <v/>
      </c>
      <c r="J650" s="16" t="inlineStr">
        <is>
          <t>Open posting</t>
        </is>
      </c>
      <c r="K650" s="8" t="inlineStr">
        <is>
          <t>filtered by keyword pre-scan</t>
        </is>
      </c>
      <c r="L650" s="17" t="inlineStr">
        <is>
          <t>new</t>
        </is>
      </c>
      <c r="M650" s="18" t="inlineStr"/>
      <c r="N650" s="7" t="inlineStr">
        <is>
          <t>b36cb1de51d8063fb2cd08191de36669f36baaae</t>
        </is>
      </c>
      <c r="O650" s="14" t="n">
        <v>46176</v>
      </c>
      <c r="P650" s="7" t="inlineStr">
        <is>
          <t>jobspy</t>
        </is>
      </c>
      <c r="Q650" s="8" t="inlineStr">
        <is>
          <t>python, sql, git, c</t>
        </is>
      </c>
      <c r="R650" s="8" t="inlineStr">
        <is>
          <t>Graduate Data Engineer SQL Python pipeline</t>
        </is>
      </c>
      <c r="S650" s="19" t="n"/>
      <c r="T650" s="19" t="n"/>
      <c r="U650" s="14" t="n">
        <v>46192</v>
      </c>
      <c r="V650" s="7" t="inlineStr">
        <is>
          <t>v2-cv-accuracy-13b988b18da8ea7d</t>
        </is>
      </c>
    </row>
    <row r="651" ht="28" customHeight="1">
      <c r="A651" s="12">
        <f>IF($L651="applied","Applied",IF($L651="interview","Interview",IF($L651="offer","Offer",IF($L651="rejected","Rejected",IF($L651="ignore","Ignore",IF($L651="archive","Archive",IF($L651="closed","Closed",IF($B651="","Unscored",IF(AND($B651&gt;=8,OR($H651="",$H651-TODAY()&lt;=14)),"P1 Apply",IF($B651&gt;=7,"P2 Strong",IF($B651&gt;=5,"P3 Maybe","P4 Low")))))))))))</f>
        <v/>
      </c>
      <c r="B651" s="13" t="n">
        <v>1.29</v>
      </c>
      <c r="C651" s="12" t="inlineStr">
        <is>
          <t>Unspecified</t>
        </is>
      </c>
      <c r="D651" s="8" t="inlineStr">
        <is>
          <t>Engineer - Launchpad (Autonomous Driving)</t>
        </is>
      </c>
      <c r="E651" s="7" t="inlineStr">
        <is>
          <t>Oxa</t>
        </is>
      </c>
      <c r="F651" s="8" t="inlineStr">
        <is>
          <t>Oxford, England, UK</t>
        </is>
      </c>
      <c r="G651" s="8" t="n"/>
      <c r="H651" s="14" t="n"/>
      <c r="I651" s="15">
        <f>IF($H651="","",$H651-TODAY())</f>
        <v/>
      </c>
      <c r="J651" s="16" t="inlineStr">
        <is>
          <t>Open posting</t>
        </is>
      </c>
      <c r="K651" s="8" t="inlineStr">
        <is>
          <t>filtered by keyword pre-scan</t>
        </is>
      </c>
      <c r="L651" s="17" t="inlineStr">
        <is>
          <t>new</t>
        </is>
      </c>
      <c r="M651" s="18" t="inlineStr"/>
      <c r="N651" s="7" t="inlineStr">
        <is>
          <t>cda17078a7989f2ed09cda16f4b8d8a538794fec</t>
        </is>
      </c>
      <c r="O651" s="14" t="n">
        <v>46182</v>
      </c>
      <c r="P651" s="7" t="inlineStr">
        <is>
          <t>jobspy</t>
        </is>
      </c>
      <c r="Q651" s="8" t="inlineStr">
        <is>
          <t>python, git, c</t>
        </is>
      </c>
      <c r="R651" s="8" t="inlineStr">
        <is>
          <t>Graduate Embedded Engineer Python FPGA</t>
        </is>
      </c>
      <c r="S651" s="19" t="n"/>
      <c r="T651" s="19" t="n"/>
      <c r="U651" s="14" t="n">
        <v>46193</v>
      </c>
      <c r="V651" s="7" t="inlineStr">
        <is>
          <t>v2-cv-accuracy-13b988b18da8ea7d</t>
        </is>
      </c>
    </row>
    <row r="652" ht="28" customHeight="1">
      <c r="A652" s="12">
        <f>IF($L652="applied","Applied",IF($L652="interview","Interview",IF($L652="offer","Offer",IF($L652="rejected","Rejected",IF($L652="ignore","Ignore",IF($L652="archive","Archive",IF($L652="closed","Closed",IF($B652="","Unscored",IF(AND($B652&gt;=8,OR($H652="",$H652-TODAY()&lt;=14)),"P1 Apply",IF($B652&gt;=7,"P2 Strong",IF($B652&gt;=5,"P3 Maybe","P4 Low")))))))))))</f>
        <v/>
      </c>
      <c r="B652" s="13" t="n">
        <v>1.29</v>
      </c>
      <c r="C652" s="12" t="inlineStr">
        <is>
          <t>Unspecified</t>
        </is>
      </c>
      <c r="D652" s="8" t="inlineStr">
        <is>
          <t>Signal Processing Systems Engineer</t>
        </is>
      </c>
      <c r="E652" s="7" t="inlineStr">
        <is>
          <t>Leonardo</t>
        </is>
      </c>
      <c r="F652" s="8" t="inlineStr">
        <is>
          <t>Southampton, England, UK</t>
        </is>
      </c>
      <c r="G652" s="8" t="n"/>
      <c r="H652" s="14" t="n"/>
      <c r="I652" s="15">
        <f>IF($H652="","",$H652-TODAY())</f>
        <v/>
      </c>
      <c r="J652" s="16" t="inlineStr">
        <is>
          <t>Open posting</t>
        </is>
      </c>
      <c r="K652" s="8" t="inlineStr">
        <is>
          <t>filtered by keyword pre-scan</t>
        </is>
      </c>
      <c r="L652" s="17" t="inlineStr">
        <is>
          <t>new</t>
        </is>
      </c>
      <c r="M652" s="18" t="inlineStr"/>
      <c r="N652" s="7" t="inlineStr">
        <is>
          <t>6d2b04472a0279fb2d52a5a8a6fa948afa8882b1</t>
        </is>
      </c>
      <c r="O652" s="14" t="n"/>
      <c r="P652" s="7" t="inlineStr">
        <is>
          <t>jobspy</t>
        </is>
      </c>
      <c r="Q652" s="8" t="inlineStr">
        <is>
          <t>fpga, git, c</t>
        </is>
      </c>
      <c r="R652" s="8" t="inlineStr">
        <is>
          <t>Graduate DSP Engineer signal processing FPGA</t>
        </is>
      </c>
      <c r="S652" s="19" t="n"/>
      <c r="T652" s="19" t="n"/>
      <c r="U652" s="14" t="n">
        <v>46193</v>
      </c>
      <c r="V652" s="7" t="inlineStr">
        <is>
          <t>v2-cv-accuracy-13b988b18da8ea7d</t>
        </is>
      </c>
    </row>
    <row r="653" ht="28" customHeight="1">
      <c r="A653" s="12">
        <f>IF($L653="applied","Applied",IF($L653="interview","Interview",IF($L653="offer","Offer",IF($L653="rejected","Rejected",IF($L653="ignore","Ignore",IF($L653="archive","Archive",IF($L653="closed","Closed",IF($B653="","Unscored",IF(AND($B653&gt;=8,OR($H653="",$H653-TODAY()&lt;=14)),"P1 Apply",IF($B653&gt;=7,"P2 Strong",IF($B653&gt;=5,"P3 Maybe","P4 Low")))))))))))</f>
        <v/>
      </c>
      <c r="B653" s="13" t="n">
        <v>1.29</v>
      </c>
      <c r="C653" s="12" t="inlineStr">
        <is>
          <t>Unspecified</t>
        </is>
      </c>
      <c r="D653" s="8" t="inlineStr">
        <is>
          <t>DevX Build Pipeline Engineer DevOps Engineer</t>
        </is>
      </c>
      <c r="E653" s="7" t="inlineStr">
        <is>
          <t>Undisclosed</t>
        </is>
      </c>
      <c r="F653" s="8" t="inlineStr">
        <is>
          <t>Sheffield, England, UK</t>
        </is>
      </c>
      <c r="G653" s="8" t="n"/>
      <c r="H653" s="14" t="n"/>
      <c r="I653" s="15">
        <f>IF($H653="","",$H653-TODAY())</f>
        <v/>
      </c>
      <c r="J653" s="16" t="inlineStr">
        <is>
          <t>Open posting</t>
        </is>
      </c>
      <c r="K653" s="8" t="inlineStr">
        <is>
          <t>filtered by keyword pre-scan</t>
        </is>
      </c>
      <c r="L653" s="17" t="inlineStr">
        <is>
          <t>new</t>
        </is>
      </c>
      <c r="M653" s="18" t="inlineStr"/>
      <c r="N653" s="7" t="inlineStr">
        <is>
          <t>ca450d87eb958cfab7343735c38007dd12d18987</t>
        </is>
      </c>
      <c r="O653" s="14" t="n">
        <v>46171</v>
      </c>
      <c r="P653" s="7" t="inlineStr">
        <is>
          <t>jobspy</t>
        </is>
      </c>
      <c r="Q653" s="8" t="inlineStr">
        <is>
          <t>python, git, c</t>
        </is>
      </c>
      <c r="R653" s="8" t="inlineStr">
        <is>
          <t>Graduate DevOps Engineer Python CI/CD Sheffield</t>
        </is>
      </c>
      <c r="S653" s="19" t="n"/>
      <c r="T653" s="19" t="n"/>
      <c r="U653" s="14" t="n">
        <v>46193</v>
      </c>
      <c r="V653" s="7" t="inlineStr">
        <is>
          <t>v2-cv-accuracy-13b988b18da8ea7d</t>
        </is>
      </c>
    </row>
    <row r="654" ht="28" customHeight="1">
      <c r="A654" s="12">
        <f>IF($L654="applied","Applied",IF($L654="interview","Interview",IF($L654="offer","Offer",IF($L654="rejected","Rejected",IF($L654="ignore","Ignore",IF($L654="archive","Archive",IF($L654="closed","Closed",IF($B654="","Unscored",IF(AND($B654&gt;=8,OR($H654="",$H654-TODAY()&lt;=14)),"P1 Apply",IF($B654&gt;=7,"P2 Strong",IF($B654&gt;=5,"P3 Maybe","P4 Low")))))))))))</f>
        <v/>
      </c>
      <c r="B654" s="13" t="n">
        <v>1.29</v>
      </c>
      <c r="C654" s="12" t="inlineStr">
        <is>
          <t>Mid-level</t>
        </is>
      </c>
      <c r="D654" s="8" t="inlineStr">
        <is>
          <t>Embedded Software Engineer</t>
        </is>
      </c>
      <c r="E654" s="7" t="inlineStr">
        <is>
          <t>Deep Sea Electronics Ltd</t>
        </is>
      </c>
      <c r="F654" s="8" t="inlineStr">
        <is>
          <t>Hunmanby, England, UK</t>
        </is>
      </c>
      <c r="G654" s="8" t="n"/>
      <c r="H654" s="14" t="n"/>
      <c r="I654" s="15">
        <f>IF($H654="","",$H654-TODAY())</f>
        <v/>
      </c>
      <c r="J654" s="16" t="inlineStr">
        <is>
          <t>Open posting</t>
        </is>
      </c>
      <c r="K654" s="8" t="inlineStr">
        <is>
          <t>filtered by keyword pre-scan</t>
        </is>
      </c>
      <c r="L654" s="17" t="inlineStr">
        <is>
          <t>new</t>
        </is>
      </c>
      <c r="M654" s="18" t="inlineStr"/>
      <c r="N654" s="7" t="inlineStr">
        <is>
          <t>4cefe464917501bd44de325a82f01013cf2388ba</t>
        </is>
      </c>
      <c r="O654" s="14" t="n">
        <v>46170</v>
      </c>
      <c r="P654" s="7" t="inlineStr">
        <is>
          <t>jobspy</t>
        </is>
      </c>
      <c r="Q654" s="8" t="inlineStr">
        <is>
          <t>git, c, embedded systems</t>
        </is>
      </c>
      <c r="R654" s="8" t="inlineStr">
        <is>
          <t>Firmware Engineer Embedded C Microcontroller</t>
        </is>
      </c>
      <c r="S654" s="19" t="n"/>
      <c r="T654" s="19" t="n"/>
      <c r="U654" s="14" t="n">
        <v>46193</v>
      </c>
      <c r="V654" s="7" t="inlineStr">
        <is>
          <t>v2-cv-accuracy-13b988b18da8ea7d</t>
        </is>
      </c>
    </row>
    <row r="655" ht="28" customHeight="1">
      <c r="A655" s="12">
        <f>IF($L655="applied","Applied",IF($L655="interview","Interview",IF($L655="offer","Offer",IF($L655="rejected","Rejected",IF($L655="ignore","Ignore",IF($L655="archive","Archive",IF($L655="closed","Closed",IF($B655="","Unscored",IF(AND($B655&gt;=8,OR($H655="",$H655-TODAY()&lt;=14)),"P1 Apply",IF($B655&gt;=7,"P2 Strong",IF($B655&gt;=5,"P3 Maybe","P4 Low")))))))))))</f>
        <v/>
      </c>
      <c r="B655" s="13" t="n">
        <v>1.29</v>
      </c>
      <c r="C655" s="12" t="inlineStr">
        <is>
          <t>Mid-level</t>
        </is>
      </c>
      <c r="D655" s="8" t="inlineStr">
        <is>
          <t>Embedded Software Engineer</t>
        </is>
      </c>
      <c r="E655" s="7" t="inlineStr">
        <is>
          <t>Deep Sea Electronics Ltd</t>
        </is>
      </c>
      <c r="F655" s="8" t="inlineStr">
        <is>
          <t>Mansfield, England, UK</t>
        </is>
      </c>
      <c r="G655" s="8" t="n"/>
      <c r="H655" s="14" t="n"/>
      <c r="I655" s="15">
        <f>IF($H655="","",$H655-TODAY())</f>
        <v/>
      </c>
      <c r="J655" s="16" t="inlineStr">
        <is>
          <t>Open posting</t>
        </is>
      </c>
      <c r="K655" s="8" t="inlineStr">
        <is>
          <t>filtered by keyword pre-scan</t>
        </is>
      </c>
      <c r="L655" s="17" t="inlineStr">
        <is>
          <t>new</t>
        </is>
      </c>
      <c r="M655" s="18" t="inlineStr"/>
      <c r="N655" s="7" t="inlineStr">
        <is>
          <t>6736c5f7b5a6cdbf901cece924dbd656ff23d183</t>
        </is>
      </c>
      <c r="O655" s="14" t="n">
        <v>46170</v>
      </c>
      <c r="P655" s="7" t="inlineStr">
        <is>
          <t>jobspy</t>
        </is>
      </c>
      <c r="Q655" s="8" t="inlineStr">
        <is>
          <t>git, c, embedded systems</t>
        </is>
      </c>
      <c r="R655" s="8" t="inlineStr">
        <is>
          <t>Firmware Engineer Embedded C Microcontroller</t>
        </is>
      </c>
      <c r="S655" s="19" t="n"/>
      <c r="T655" s="19" t="n"/>
      <c r="U655" s="14" t="n">
        <v>46193</v>
      </c>
      <c r="V655" s="7" t="inlineStr">
        <is>
          <t>v2-cv-accuracy-13b988b18da8ea7d</t>
        </is>
      </c>
    </row>
    <row r="656" ht="28" customHeight="1">
      <c r="A656" s="12">
        <f>IF($L656="applied","Applied",IF($L656="interview","Interview",IF($L656="offer","Offer",IF($L656="rejected","Rejected",IF($L656="ignore","Ignore",IF($L656="archive","Archive",IF($L656="closed","Closed",IF($B656="","Unscored",IF(AND($B656&gt;=8,OR($H656="",$H656-TODAY()&lt;=14)),"P1 Apply",IF($B656&gt;=7,"P2 Strong",IF($B656&gt;=5,"P3 Maybe","P4 Low")))))))))))</f>
        <v/>
      </c>
      <c r="B656" s="13" t="n">
        <v>1.29</v>
      </c>
      <c r="C656" s="12" t="inlineStr">
        <is>
          <t>Junior</t>
        </is>
      </c>
      <c r="D656" s="8" t="inlineStr">
        <is>
          <t>Software Engineer</t>
        </is>
      </c>
      <c r="E656" s="7" t="inlineStr">
        <is>
          <t>Opus 2 International</t>
        </is>
      </c>
      <c r="F656" s="8" t="inlineStr">
        <is>
          <t>Edinburgh, SCT, GB</t>
        </is>
      </c>
      <c r="G656" s="8" t="n"/>
      <c r="H656" s="14" t="n"/>
      <c r="I656" s="15">
        <f>IF($H656="","",$H656-TODAY())</f>
        <v/>
      </c>
      <c r="J656" s="16" t="inlineStr">
        <is>
          <t>Open posting</t>
        </is>
      </c>
      <c r="K656" s="8" t="inlineStr">
        <is>
          <t>filtered by keyword pre-scan</t>
        </is>
      </c>
      <c r="L656" s="17" t="inlineStr">
        <is>
          <t>new</t>
        </is>
      </c>
      <c r="M656" s="18" t="inlineStr"/>
      <c r="N656" s="7" t="inlineStr">
        <is>
          <t>dca1ffc93b14d8290d24715db9f6adaaf428e147</t>
        </is>
      </c>
      <c r="O656" s="14" t="n">
        <v>46178</v>
      </c>
      <c r="P656" s="7" t="inlineStr">
        <is>
          <t>jobspy</t>
        </is>
      </c>
      <c r="Q656" s="8" t="inlineStr">
        <is>
          <t>python, kubernetes, c</t>
        </is>
      </c>
      <c r="R656" s="8" t="inlineStr">
        <is>
          <t>Junior Software Engineer Python backend</t>
        </is>
      </c>
      <c r="S656" s="19" t="n"/>
      <c r="T656" s="19" t="n"/>
      <c r="U656" s="14" t="n">
        <v>46193</v>
      </c>
      <c r="V656" s="7" t="inlineStr">
        <is>
          <t>v2-cv-accuracy-13b988b18da8ea7d</t>
        </is>
      </c>
    </row>
    <row r="657" ht="28" customHeight="1">
      <c r="A657" s="12">
        <f>IF($L657="applied","Applied",IF($L657="interview","Interview",IF($L657="offer","Offer",IF($L657="rejected","Rejected",IF($L657="ignore","Ignore",IF($L657="archive","Archive",IF($L657="closed","Closed",IF($B657="","Unscored",IF(AND($B657&gt;=8,OR($H657="",$H657-TODAY()&lt;=14)),"P1 Apply",IF($B657&gt;=7,"P2 Strong",IF($B657&gt;=5,"P3 Maybe","P4 Low")))))))))))</f>
        <v/>
      </c>
      <c r="B657" s="13" t="n">
        <v>1.29</v>
      </c>
      <c r="C657" s="12" t="inlineStr">
        <is>
          <t>Graduate/Entry</t>
        </is>
      </c>
      <c r="D657" s="8" t="inlineStr">
        <is>
          <t>Graduate Software Engineer</t>
        </is>
      </c>
      <c r="E657" s="7" t="inlineStr">
        <is>
          <t>Autodesk</t>
        </is>
      </c>
      <c r="F657" s="8" t="inlineStr">
        <is>
          <t>Birmingham, England, UK</t>
        </is>
      </c>
      <c r="G657" s="8" t="n"/>
      <c r="H657" s="14" t="n"/>
      <c r="I657" s="15">
        <f>IF($H657="","",$H657-TODAY())</f>
        <v/>
      </c>
      <c r="J657" s="16" t="inlineStr">
        <is>
          <t>Open posting</t>
        </is>
      </c>
      <c r="K657" s="8" t="inlineStr">
        <is>
          <t>filtered by keyword pre-scan</t>
        </is>
      </c>
      <c r="L657" s="17" t="inlineStr">
        <is>
          <t>new</t>
        </is>
      </c>
      <c r="M657" s="18" t="inlineStr"/>
      <c r="N657" s="7" t="inlineStr">
        <is>
          <t>2d8e829cd6100dd4f3bfbdcd8fe417910910d145</t>
        </is>
      </c>
      <c r="O657" s="14" t="n">
        <v>46177</v>
      </c>
      <c r="P657" s="7" t="inlineStr">
        <is>
          <t>jobspy</t>
        </is>
      </c>
      <c r="Q657" s="8" t="inlineStr">
        <is>
          <t>python, git, c</t>
        </is>
      </c>
      <c r="R657" s="8" t="inlineStr">
        <is>
          <t>Junior Software Engineer Python backend</t>
        </is>
      </c>
      <c r="S657" s="19" t="n"/>
      <c r="T657" s="19" t="n"/>
      <c r="U657" s="14" t="n">
        <v>46193</v>
      </c>
      <c r="V657" s="7" t="inlineStr">
        <is>
          <t>v2-cv-accuracy-13b988b18da8ea7d</t>
        </is>
      </c>
    </row>
    <row r="658" ht="28" customHeight="1">
      <c r="A658" s="12">
        <f>IF($L658="applied","Applied",IF($L658="interview","Interview",IF($L658="offer","Offer",IF($L658="rejected","Rejected",IF($L658="ignore","Ignore",IF($L658="archive","Archive",IF($L658="closed","Closed",IF($B658="","Unscored",IF(AND($B658&gt;=8,OR($H658="",$H658-TODAY()&lt;=14)),"P1 Apply",IF($B658&gt;=7,"P2 Strong",IF($B658&gt;=5,"P3 Maybe","P4 Low")))))))))))</f>
        <v/>
      </c>
      <c r="B658" s="13" t="n">
        <v>1.29</v>
      </c>
      <c r="C658" s="12" t="inlineStr">
        <is>
          <t>Unspecified</t>
        </is>
      </c>
      <c r="D658" s="8" t="inlineStr">
        <is>
          <t>Engineer</t>
        </is>
      </c>
      <c r="E658" s="7" t="inlineStr">
        <is>
          <t>TEKsystems</t>
        </is>
      </c>
      <c r="F658" s="8" t="inlineStr">
        <is>
          <t>Sheffield, England, UK</t>
        </is>
      </c>
      <c r="G658" s="8" t="n"/>
      <c r="H658" s="14" t="n"/>
      <c r="I658" s="15">
        <f>IF($H658="","",$H658-TODAY())</f>
        <v/>
      </c>
      <c r="J658" s="16" t="inlineStr">
        <is>
          <t>Open posting</t>
        </is>
      </c>
      <c r="K658" s="8" t="inlineStr">
        <is>
          <t>filtered by keyword pre-scan</t>
        </is>
      </c>
      <c r="L658" s="17" t="inlineStr">
        <is>
          <t>new</t>
        </is>
      </c>
      <c r="M658" s="18" t="inlineStr"/>
      <c r="N658" s="7" t="inlineStr">
        <is>
          <t>290f87f1fdfdd161fdb13b22753c06dae2a13b08</t>
        </is>
      </c>
      <c r="O658" s="14" t="n">
        <v>46176</v>
      </c>
      <c r="P658" s="7" t="inlineStr">
        <is>
          <t>jobspy</t>
        </is>
      </c>
      <c r="Q658" s="8" t="inlineStr">
        <is>
          <t>sql, api integration, c</t>
        </is>
      </c>
      <c r="R658" s="8" t="inlineStr">
        <is>
          <t>Graduate Hardware Engineer Sheffield</t>
        </is>
      </c>
      <c r="S658" s="19" t="n"/>
      <c r="T658" s="19" t="n"/>
      <c r="U658" s="14" t="n">
        <v>46192</v>
      </c>
      <c r="V658" s="7" t="inlineStr">
        <is>
          <t>v2-cv-accuracy-13b988b18da8ea7d</t>
        </is>
      </c>
    </row>
    <row r="659" ht="28" customHeight="1">
      <c r="A659" s="12">
        <f>IF($L659="applied","Applied",IF($L659="interview","Interview",IF($L659="offer","Offer",IF($L659="rejected","Rejected",IF($L659="ignore","Ignore",IF($L659="archive","Archive",IF($L659="closed","Closed",IF($B659="","Unscored",IF(AND($B659&gt;=8,OR($H659="",$H659-TODAY()&lt;=14)),"P1 Apply",IF($B659&gt;=7,"P2 Strong",IF($B659&gt;=5,"P3 Maybe","P4 Low")))))))))))</f>
        <v/>
      </c>
      <c r="B659" s="13" t="n">
        <v>1.29</v>
      </c>
      <c r="C659" s="12" t="inlineStr">
        <is>
          <t>Junior</t>
        </is>
      </c>
      <c r="D659" s="8" t="inlineStr">
        <is>
          <t>RF/Digital SDR Integration Engineer (KTP Associate)</t>
        </is>
      </c>
      <c r="E659" s="7" t="inlineStr">
        <is>
          <t>Heriot-Watt University</t>
        </is>
      </c>
      <c r="F659" s="8" t="inlineStr">
        <is>
          <t>Edinburgh, SCT, GB</t>
        </is>
      </c>
      <c r="G659" s="8" t="n"/>
      <c r="H659" s="14" t="n"/>
      <c r="I659" s="15">
        <f>IF($H659="","",$H659-TODAY())</f>
        <v/>
      </c>
      <c r="J659" s="16" t="inlineStr">
        <is>
          <t>Open posting</t>
        </is>
      </c>
      <c r="K659" s="8" t="inlineStr">
        <is>
          <t>filtered by keyword pre-scan</t>
        </is>
      </c>
      <c r="L659" s="17" t="inlineStr">
        <is>
          <t>new</t>
        </is>
      </c>
      <c r="M659" s="18" t="inlineStr"/>
      <c r="N659" s="7" t="inlineStr">
        <is>
          <t>15f6c6191961b5b985017dd4dc5145aab6bb21c8</t>
        </is>
      </c>
      <c r="O659" s="14" t="n">
        <v>46177</v>
      </c>
      <c r="P659" s="7" t="inlineStr">
        <is>
          <t>jobspy</t>
        </is>
      </c>
      <c r="Q659" s="8" t="inlineStr">
        <is>
          <t>fpga, git, c</t>
        </is>
      </c>
      <c r="R659" s="8" t="inlineStr">
        <is>
          <t>Graduate Embedded Engineer Python FPGA</t>
        </is>
      </c>
      <c r="S659" s="19" t="n"/>
      <c r="T659" s="19" t="n"/>
      <c r="U659" s="14" t="n">
        <v>46192</v>
      </c>
      <c r="V659" s="7" t="inlineStr">
        <is>
          <t>v2-cv-accuracy-13b988b18da8ea7d</t>
        </is>
      </c>
    </row>
    <row r="660" ht="28" customHeight="1">
      <c r="A660" s="12">
        <f>IF($L660="applied","Applied",IF($L660="interview","Interview",IF($L660="offer","Offer",IF($L660="rejected","Rejected",IF($L660="ignore","Ignore",IF($L660="archive","Archive",IF($L660="closed","Closed",IF($B660="","Unscored",IF(AND($B660&gt;=8,OR($H660="",$H660-TODAY()&lt;=14)),"P1 Apply",IF($B660&gt;=7,"P2 Strong",IF($B660&gt;=5,"P3 Maybe","P4 Low")))))))))))</f>
        <v/>
      </c>
      <c r="B660" s="13" t="n">
        <v>1.29</v>
      </c>
      <c r="C660" s="12" t="inlineStr">
        <is>
          <t>Junior</t>
        </is>
      </c>
      <c r="D660" s="8" t="inlineStr">
        <is>
          <t>Junior Data Engineer</t>
        </is>
      </c>
      <c r="E660" s="7" t="inlineStr">
        <is>
          <t>Aquis Exchange</t>
        </is>
      </c>
      <c r="F660" s="8" t="inlineStr">
        <is>
          <t>London, ENG, GB</t>
        </is>
      </c>
      <c r="G660" s="8" t="n"/>
      <c r="H660" s="14" t="n"/>
      <c r="I660" s="15">
        <f>IF($H660="","",$H660-TODAY())</f>
        <v/>
      </c>
      <c r="J660" s="16" t="inlineStr">
        <is>
          <t>Open posting</t>
        </is>
      </c>
      <c r="K660" s="8" t="inlineStr">
        <is>
          <t>filtered by keyword pre-scan</t>
        </is>
      </c>
      <c r="L660" s="17" t="inlineStr">
        <is>
          <t>new</t>
        </is>
      </c>
      <c r="M660" s="18" t="inlineStr"/>
      <c r="N660" s="7" t="inlineStr">
        <is>
          <t>900ae57bed5e297d7e4cc2c520391b798d9b43e4</t>
        </is>
      </c>
      <c r="O660" s="14" t="n">
        <v>46183</v>
      </c>
      <c r="P660" s="7" t="inlineStr">
        <is>
          <t>jobspy</t>
        </is>
      </c>
      <c r="Q660" s="8" t="inlineStr">
        <is>
          <t>python, sql, c</t>
        </is>
      </c>
      <c r="R660" s="8" t="inlineStr">
        <is>
          <t>Graduate Data Engineer SQL Python pipeline</t>
        </is>
      </c>
      <c r="S660" s="19" t="n"/>
      <c r="T660" s="19" t="n"/>
      <c r="U660" s="14" t="n">
        <v>46192</v>
      </c>
      <c r="V660" s="7" t="inlineStr">
        <is>
          <t>v2-cv-accuracy-13b988b18da8ea7d</t>
        </is>
      </c>
    </row>
    <row r="661" ht="28" customHeight="1">
      <c r="A661" s="12">
        <f>IF($L661="applied","Applied",IF($L661="interview","Interview",IF($L661="offer","Offer",IF($L661="rejected","Rejected",IF($L661="ignore","Ignore",IF($L661="archive","Archive",IF($L661="closed","Closed",IF($B661="","Unscored",IF(AND($B661&gt;=8,OR($H661="",$H661-TODAY()&lt;=14)),"P1 Apply",IF($B661&gt;=7,"P2 Strong",IF($B661&gt;=5,"P3 Maybe","P4 Low")))))))))))</f>
        <v/>
      </c>
      <c r="B661" s="13" t="n">
        <v>1.29</v>
      </c>
      <c r="C661" s="12" t="inlineStr">
        <is>
          <t>Junior</t>
        </is>
      </c>
      <c r="D661" s="8" t="inlineStr">
        <is>
          <t>Junior Data Engineer</t>
        </is>
      </c>
      <c r="E661" s="7" t="inlineStr">
        <is>
          <t>Aquis Exchange</t>
        </is>
      </c>
      <c r="F661" s="8" t="inlineStr">
        <is>
          <t>London, England, UK</t>
        </is>
      </c>
      <c r="G661" s="8" t="n"/>
      <c r="H661" s="14" t="n"/>
      <c r="I661" s="15">
        <f>IF($H661="","",$H661-TODAY())</f>
        <v/>
      </c>
      <c r="J661" s="16" t="inlineStr">
        <is>
          <t>Open posting</t>
        </is>
      </c>
      <c r="K661" s="8" t="inlineStr">
        <is>
          <t>filtered by keyword pre-scan</t>
        </is>
      </c>
      <c r="L661" s="17" t="inlineStr">
        <is>
          <t>new</t>
        </is>
      </c>
      <c r="M661" s="18" t="inlineStr"/>
      <c r="N661" s="7" t="inlineStr">
        <is>
          <t>d9a3aafa61886a37b1b973987ab8eff88a0c9c89</t>
        </is>
      </c>
      <c r="O661" s="14" t="n">
        <v>46184</v>
      </c>
      <c r="P661" s="7" t="inlineStr">
        <is>
          <t>jobspy</t>
        </is>
      </c>
      <c r="Q661" s="8" t="inlineStr">
        <is>
          <t>python, sql, c</t>
        </is>
      </c>
      <c r="R661" s="8" t="inlineStr">
        <is>
          <t>Graduate Data Engineer SQL Python pipeline</t>
        </is>
      </c>
      <c r="S661" s="19" t="n"/>
      <c r="T661" s="19" t="n"/>
      <c r="U661" s="14" t="n">
        <v>46192</v>
      </c>
      <c r="V661" s="7" t="inlineStr">
        <is>
          <t>v2-cv-accuracy-13b988b18da8ea7d</t>
        </is>
      </c>
    </row>
    <row r="662" ht="28" customHeight="1">
      <c r="A662" s="12">
        <f>IF($L662="applied","Applied",IF($L662="interview","Interview",IF($L662="offer","Offer",IF($L662="rejected","Rejected",IF($L662="ignore","Ignore",IF($L662="archive","Archive",IF($L662="closed","Closed",IF($B662="","Unscored",IF(AND($B662&gt;=8,OR($H662="",$H662-TODAY()&lt;=14)),"P1 Apply",IF($B662&gt;=7,"P2 Strong",IF($B662&gt;=5,"P3 Maybe","P4 Low")))))))))))</f>
        <v/>
      </c>
      <c r="B662" s="13" t="n">
        <v>1.29</v>
      </c>
      <c r="C662" s="12" t="inlineStr">
        <is>
          <t>Mid-level</t>
        </is>
      </c>
      <c r="D662" s="8" t="inlineStr">
        <is>
          <t>Quantitative Developer</t>
        </is>
      </c>
      <c r="E662" s="7" t="inlineStr">
        <is>
          <t>Engelhart</t>
        </is>
      </c>
      <c r="F662" s="8" t="inlineStr">
        <is>
          <t>London, England, UK</t>
        </is>
      </c>
      <c r="G662" s="8" t="n"/>
      <c r="H662" s="14" t="n"/>
      <c r="I662" s="15">
        <f>IF($H662="","",$H662-TODAY())</f>
        <v/>
      </c>
      <c r="J662" s="16" t="inlineStr">
        <is>
          <t>Open posting</t>
        </is>
      </c>
      <c r="K662" s="8" t="inlineStr">
        <is>
          <t>filtered by keyword pre-scan</t>
        </is>
      </c>
      <c r="L662" s="17" t="inlineStr">
        <is>
          <t>new</t>
        </is>
      </c>
      <c r="M662" s="18" t="inlineStr"/>
      <c r="N662" s="7" t="inlineStr">
        <is>
          <t>20eff3ea1bd30e988d58546b11a4905a87bc125d</t>
        </is>
      </c>
      <c r="O662" s="14" t="n">
        <v>46178</v>
      </c>
      <c r="P662" s="7" t="inlineStr">
        <is>
          <t>jobspy</t>
        </is>
      </c>
      <c r="Q662" s="8" t="inlineStr">
        <is>
          <t>python, sql, c</t>
        </is>
      </c>
      <c r="R662" s="8" t="inlineStr">
        <is>
          <t>Graduate Data Engineer SQL Python pipeline</t>
        </is>
      </c>
      <c r="S662" s="19" t="n"/>
      <c r="T662" s="19" t="n"/>
      <c r="U662" s="14" t="n">
        <v>46192</v>
      </c>
      <c r="V662" s="7" t="inlineStr">
        <is>
          <t>v2-cv-accuracy-13b988b18da8ea7d</t>
        </is>
      </c>
    </row>
    <row r="663" ht="28" customHeight="1">
      <c r="A663" s="12">
        <f>IF($L663="applied","Applied",IF($L663="interview","Interview",IF($L663="offer","Offer",IF($L663="rejected","Rejected",IF($L663="ignore","Ignore",IF($L663="archive","Archive",IF($L663="closed","Closed",IF($B663="","Unscored",IF(AND($B663&gt;=8,OR($H663="",$H663-TODAY()&lt;=14)),"P1 Apply",IF($B663&gt;=7,"P2 Strong",IF($B663&gt;=5,"P3 Maybe","P4 Low")))))))))))</f>
        <v/>
      </c>
      <c r="B663" s="13" t="n">
        <v>1.29</v>
      </c>
      <c r="C663" s="12" t="inlineStr">
        <is>
          <t>Senior/Lead</t>
        </is>
      </c>
      <c r="D663" s="8" t="inlineStr">
        <is>
          <t>Engineer</t>
        </is>
      </c>
      <c r="E663" s="7" t="inlineStr">
        <is>
          <t>Roke</t>
        </is>
      </c>
      <c r="F663" s="8" t="inlineStr">
        <is>
          <t>Romsey, England, UK</t>
        </is>
      </c>
      <c r="G663" s="8" t="n"/>
      <c r="H663" s="14" t="n"/>
      <c r="I663" s="15">
        <f>IF($H663="","",$H663-TODAY())</f>
        <v/>
      </c>
      <c r="J663" s="16" t="inlineStr">
        <is>
          <t>Open posting</t>
        </is>
      </c>
      <c r="K663" s="8" t="inlineStr">
        <is>
          <t>filtered by keyword pre-scan</t>
        </is>
      </c>
      <c r="L663" s="17" t="inlineStr">
        <is>
          <t>new</t>
        </is>
      </c>
      <c r="M663" s="18" t="inlineStr"/>
      <c r="N663" s="7" t="inlineStr">
        <is>
          <t>da8385da9c50d6bcabae8622d1bca173f4178029</t>
        </is>
      </c>
      <c r="O663" s="14" t="n">
        <v>46176</v>
      </c>
      <c r="P663" s="7" t="inlineStr">
        <is>
          <t>jobspy</t>
        </is>
      </c>
      <c r="Q663" s="8" t="inlineStr">
        <is>
          <t>python, fpga, c</t>
        </is>
      </c>
      <c r="R663" s="8" t="inlineStr">
        <is>
          <t>Graduate Electronics Engineer remote UK</t>
        </is>
      </c>
      <c r="S663" s="19" t="n"/>
      <c r="T663" s="19" t="n"/>
      <c r="U663" s="14" t="n">
        <v>46192</v>
      </c>
      <c r="V663" s="7" t="inlineStr">
        <is>
          <t>v2-cv-accuracy-13b988b18da8ea7d</t>
        </is>
      </c>
    </row>
    <row r="664" ht="28" customHeight="1">
      <c r="A664" s="12">
        <f>IF($L664="applied","Applied",IF($L664="interview","Interview",IF($L664="offer","Offer",IF($L664="rejected","Rejected",IF($L664="ignore","Ignore",IF($L664="archive","Archive",IF($L664="closed","Closed",IF($B664="","Unscored",IF(AND($B664&gt;=8,OR($H664="",$H664-TODAY()&lt;=14)),"P1 Apply",IF($B664&gt;=7,"P2 Strong",IF($B664&gt;=5,"P3 Maybe","P4 Low")))))))))))</f>
        <v/>
      </c>
      <c r="B664" s="13" t="n">
        <v>1.29</v>
      </c>
      <c r="C664" s="12" t="inlineStr">
        <is>
          <t>Junior</t>
        </is>
      </c>
      <c r="D664" s="8" t="inlineStr">
        <is>
          <t>Junior Embedded Software Engineer</t>
        </is>
      </c>
      <c r="E664" s="7" t="inlineStr">
        <is>
          <t>BOTZ</t>
        </is>
      </c>
      <c r="F664" s="8" t="inlineStr">
        <is>
          <t>London, ENG, GB</t>
        </is>
      </c>
      <c r="G664" s="8" t="n"/>
      <c r="H664" s="14" t="n"/>
      <c r="I664" s="15">
        <f>IF($H664="","",$H664-TODAY())</f>
        <v/>
      </c>
      <c r="J664" s="16" t="inlineStr">
        <is>
          <t>Open posting</t>
        </is>
      </c>
      <c r="K664" s="8" t="inlineStr">
        <is>
          <t>filtered by keyword pre-scan</t>
        </is>
      </c>
      <c r="L664" s="17" t="inlineStr">
        <is>
          <t>new</t>
        </is>
      </c>
      <c r="M664" s="18" t="inlineStr"/>
      <c r="N664" s="7" t="inlineStr">
        <is>
          <t>d6f22cd171d2ee07b1320138d65bd948bcc33526</t>
        </is>
      </c>
      <c r="O664" s="14" t="n">
        <v>46164</v>
      </c>
      <c r="P664" s="7" t="inlineStr">
        <is>
          <t>jobspy</t>
        </is>
      </c>
      <c r="Q664" s="8" t="inlineStr">
        <is>
          <t>python, git, c</t>
        </is>
      </c>
      <c r="R664" s="8" t="inlineStr">
        <is>
          <t>Junior Embedded Systems Engineer Python C</t>
        </is>
      </c>
      <c r="S664" s="19" t="n"/>
      <c r="T664" s="19" t="n"/>
      <c r="U664" s="14" t="n">
        <v>46192</v>
      </c>
      <c r="V664" s="7" t="inlineStr">
        <is>
          <t>v2-cv-accuracy-13b988b18da8ea7d</t>
        </is>
      </c>
    </row>
    <row r="665" ht="28" customHeight="1">
      <c r="A665" s="12">
        <f>IF($L665="applied","Applied",IF($L665="interview","Interview",IF($L665="offer","Offer",IF($L665="rejected","Rejected",IF($L665="ignore","Ignore",IF($L665="archive","Archive",IF($L665="closed","Closed",IF($B665="","Unscored",IF(AND($B665&gt;=8,OR($H665="",$H665-TODAY()&lt;=14)),"P1 Apply",IF($B665&gt;=7,"P2 Strong",IF($B665&gt;=5,"P3 Maybe","P4 Low")))))))))))</f>
        <v/>
      </c>
      <c r="B665" s="13" t="n">
        <v>1.29</v>
      </c>
      <c r="C665" s="12" t="inlineStr">
        <is>
          <t>Unspecified</t>
        </is>
      </c>
      <c r="D665" s="8" t="inlineStr">
        <is>
          <t>Embedded Software Engineer</t>
        </is>
      </c>
      <c r="E665" s="7" t="inlineStr">
        <is>
          <t>Surrey Satellite Technology Ltd (SSTL)</t>
        </is>
      </c>
      <c r="F665" s="8" t="inlineStr">
        <is>
          <t>Surrey, England, UK</t>
        </is>
      </c>
      <c r="G665" s="8" t="n"/>
      <c r="H665" s="14" t="n"/>
      <c r="I665" s="15">
        <f>IF($H665="","",$H665-TODAY())</f>
        <v/>
      </c>
      <c r="J665" s="16" t="inlineStr">
        <is>
          <t>Open posting</t>
        </is>
      </c>
      <c r="K665" s="8" t="inlineStr">
        <is>
          <t>filtered by keyword pre-scan</t>
        </is>
      </c>
      <c r="L665" s="17" t="inlineStr">
        <is>
          <t>new</t>
        </is>
      </c>
      <c r="M665" s="18" t="inlineStr"/>
      <c r="N665" s="7" t="inlineStr">
        <is>
          <t>0a1473981f0a8df1406e572804dc82239a6b4220</t>
        </is>
      </c>
      <c r="O665" s="14" t="n">
        <v>46183</v>
      </c>
      <c r="P665" s="7" t="inlineStr">
        <is>
          <t>jobspy</t>
        </is>
      </c>
      <c r="Q665" s="8" t="inlineStr">
        <is>
          <t>python, git, c</t>
        </is>
      </c>
      <c r="R665" s="8" t="inlineStr">
        <is>
          <t>Junior Embedded Systems Engineer Python C</t>
        </is>
      </c>
      <c r="S665" s="19" t="n"/>
      <c r="T665" s="19" t="n"/>
      <c r="U665" s="14" t="n">
        <v>46192</v>
      </c>
      <c r="V665" s="7" t="inlineStr">
        <is>
          <t>v2-cv-accuracy-13b988b18da8ea7d</t>
        </is>
      </c>
    </row>
    <row r="666" ht="28" customHeight="1">
      <c r="A666" s="12">
        <f>IF($L666="applied","Applied",IF($L666="interview","Interview",IF($L666="offer","Offer",IF($L666="rejected","Rejected",IF($L666="ignore","Ignore",IF($L666="archive","Archive",IF($L666="closed","Closed",IF($B666="","Unscored",IF(AND($B666&gt;=8,OR($H666="",$H666-TODAY()&lt;=14)),"P1 Apply",IF($B666&gt;=7,"P2 Strong",IF($B666&gt;=5,"P3 Maybe","P4 Low")))))))))))</f>
        <v/>
      </c>
      <c r="B666" s="13" t="n">
        <v>1.29</v>
      </c>
      <c r="C666" s="12" t="inlineStr">
        <is>
          <t>Apprentice/Trainee</t>
        </is>
      </c>
      <c r="D666" s="8" t="inlineStr">
        <is>
          <t>Trainee Support Engineer</t>
        </is>
      </c>
      <c r="E666" s="7" t="inlineStr">
        <is>
          <t>OAL</t>
        </is>
      </c>
      <c r="F666" s="8" t="inlineStr">
        <is>
          <t>Peterborough, England, UK</t>
        </is>
      </c>
      <c r="G666" s="8" t="n"/>
      <c r="H666" s="14" t="n"/>
      <c r="I666" s="15">
        <f>IF($H666="","",$H666-TODAY())</f>
        <v/>
      </c>
      <c r="J666" s="16" t="inlineStr">
        <is>
          <t>Open posting</t>
        </is>
      </c>
      <c r="K666" s="8" t="inlineStr">
        <is>
          <t>filtered by keyword pre-scan</t>
        </is>
      </c>
      <c r="L666" s="17" t="inlineStr">
        <is>
          <t>new</t>
        </is>
      </c>
      <c r="M666" s="18" t="inlineStr"/>
      <c r="N666" s="7" t="inlineStr">
        <is>
          <t>be98b3e4d697484d3555239c19921004efecc012</t>
        </is>
      </c>
      <c r="O666" s="14" t="n">
        <v>46189</v>
      </c>
      <c r="P666" s="7" t="inlineStr">
        <is>
          <t>jobspy</t>
        </is>
      </c>
      <c r="Q666" s="8" t="inlineStr">
        <is>
          <t>sql, git, c</t>
        </is>
      </c>
      <c r="R666" s="8" t="inlineStr">
        <is>
          <t>Graduate Systems Engineer hardware software</t>
        </is>
      </c>
      <c r="S666" s="19" t="n"/>
      <c r="T666" s="19" t="n"/>
      <c r="U666" s="14" t="n">
        <v>46192</v>
      </c>
      <c r="V666" s="7" t="inlineStr">
        <is>
          <t>v2-cv-accuracy-13b988b18da8ea7d</t>
        </is>
      </c>
    </row>
    <row r="667" ht="28" customHeight="1">
      <c r="A667" s="12">
        <f>IF($L667="applied","Applied",IF($L667="interview","Interview",IF($L667="offer","Offer",IF($L667="rejected","Rejected",IF($L667="ignore","Ignore",IF($L667="archive","Archive",IF($L667="closed","Closed",IF($B667="","Unscored",IF(AND($B667&gt;=8,OR($H667="",$H667-TODAY()&lt;=14)),"P1 Apply",IF($B667&gt;=7,"P2 Strong",IF($B667&gt;=5,"P3 Maybe","P4 Low")))))))))))</f>
        <v/>
      </c>
      <c r="B667" s="13" t="n">
        <v>1.29</v>
      </c>
      <c r="C667" s="12" t="inlineStr">
        <is>
          <t>Mid-level</t>
        </is>
      </c>
      <c r="D667" s="8" t="inlineStr">
        <is>
          <t>Product Definer/Systems Engineer</t>
        </is>
      </c>
      <c r="E667" s="7" t="inlineStr">
        <is>
          <t>Renesas Electronics</t>
        </is>
      </c>
      <c r="F667" s="8" t="inlineStr">
        <is>
          <t>Edinburgh, Scotland, UK</t>
        </is>
      </c>
      <c r="G667" s="8" t="n"/>
      <c r="H667" s="14" t="n"/>
      <c r="I667" s="15">
        <f>IF($H667="","",$H667-TODAY())</f>
        <v/>
      </c>
      <c r="J667" s="16" t="inlineStr">
        <is>
          <t>Open posting</t>
        </is>
      </c>
      <c r="K667" s="8" t="inlineStr">
        <is>
          <t>filtered by keyword pre-scan</t>
        </is>
      </c>
      <c r="L667" s="17" t="inlineStr">
        <is>
          <t>new</t>
        </is>
      </c>
      <c r="M667" s="18" t="inlineStr"/>
      <c r="N667" s="7" t="inlineStr">
        <is>
          <t>66652a54603e8107c7d938b9bf63b35d66b47036</t>
        </is>
      </c>
      <c r="O667" s="14" t="n">
        <v>46176</v>
      </c>
      <c r="P667" s="7" t="inlineStr">
        <is>
          <t>jobspy</t>
        </is>
      </c>
      <c r="Q667" s="8" t="inlineStr">
        <is>
          <t>fpga, git, c</t>
        </is>
      </c>
      <c r="R667" s="8" t="inlineStr">
        <is>
          <t>Graduate Systems Engineer hardware software</t>
        </is>
      </c>
      <c r="S667" s="19" t="n"/>
      <c r="T667" s="19" t="n"/>
      <c r="U667" s="14" t="n">
        <v>46192</v>
      </c>
      <c r="V667" s="7" t="inlineStr">
        <is>
          <t>v2-cv-accuracy-13b988b18da8ea7d</t>
        </is>
      </c>
    </row>
    <row r="668" ht="28" customHeight="1">
      <c r="A668" s="12">
        <f>IF($L668="applied","Applied",IF($L668="interview","Interview",IF($L668="offer","Offer",IF($L668="rejected","Rejected",IF($L668="ignore","Ignore",IF($L668="archive","Archive",IF($L668="closed","Closed",IF($B668="","Unscored",IF(AND($B668&gt;=8,OR($H668="",$H668-TODAY()&lt;=14)),"P1 Apply",IF($B668&gt;=7,"P2 Strong",IF($B668&gt;=5,"P3 Maybe","P4 Low")))))))))))</f>
        <v/>
      </c>
      <c r="B668" s="13" t="n">
        <v>1.29</v>
      </c>
      <c r="C668" s="12" t="inlineStr">
        <is>
          <t>Unspecified</t>
        </is>
      </c>
      <c r="D668" s="8" t="inlineStr">
        <is>
          <t>Python Engineer</t>
        </is>
      </c>
      <c r="E668" s="7" t="inlineStr">
        <is>
          <t>Zero Deposit</t>
        </is>
      </c>
      <c r="F668" s="8" t="inlineStr">
        <is>
          <t>Hitchin, England, UK</t>
        </is>
      </c>
      <c r="G668" s="8" t="n"/>
      <c r="H668" s="14" t="n"/>
      <c r="I668" s="15">
        <f>IF($H668="","",$H668-TODAY())</f>
        <v/>
      </c>
      <c r="J668" s="16" t="inlineStr">
        <is>
          <t>Open posting</t>
        </is>
      </c>
      <c r="K668" s="8" t="inlineStr">
        <is>
          <t>filtered by keyword pre-scan</t>
        </is>
      </c>
      <c r="L668" s="17" t="inlineStr">
        <is>
          <t>new</t>
        </is>
      </c>
      <c r="M668" s="18" t="inlineStr"/>
      <c r="N668" s="7" t="inlineStr">
        <is>
          <t>e30e2d71cce82cec12a234e62076bc7943e6986c</t>
        </is>
      </c>
      <c r="O668" s="14" t="n"/>
      <c r="P668" s="7" t="inlineStr">
        <is>
          <t>jobspy</t>
        </is>
      </c>
      <c r="Q668" s="8" t="inlineStr">
        <is>
          <t>python, sql, c</t>
        </is>
      </c>
      <c r="R668" s="8" t="inlineStr">
        <is>
          <t>Junior Python Developer Docker Kubernetes Sheffield</t>
        </is>
      </c>
      <c r="S668" s="19" t="n"/>
      <c r="T668" s="19" t="n"/>
      <c r="U668" s="14" t="n">
        <v>46192</v>
      </c>
      <c r="V668" s="7" t="inlineStr">
        <is>
          <t>v2-cv-accuracy-13b988b18da8ea7d</t>
        </is>
      </c>
    </row>
    <row r="669" ht="28" customHeight="1">
      <c r="A669" s="12">
        <f>IF($L669="applied","Applied",IF($L669="interview","Interview",IF($L669="offer","Offer",IF($L669="rejected","Rejected",IF($L669="ignore","Ignore",IF($L669="archive","Archive",IF($L669="closed","Closed",IF($B669="","Unscored",IF(AND($B669&gt;=8,OR($H669="",$H669-TODAY()&lt;=14)),"P1 Apply",IF($B669&gt;=7,"P2 Strong",IF($B669&gt;=5,"P3 Maybe","P4 Low")))))))))))</f>
        <v/>
      </c>
      <c r="B669" s="13" t="n">
        <v>1.29</v>
      </c>
      <c r="C669" s="12" t="inlineStr">
        <is>
          <t>Mid-level</t>
        </is>
      </c>
      <c r="D669" s="8" t="inlineStr">
        <is>
          <t>Data Engineer</t>
        </is>
      </c>
      <c r="E669" s="7" t="inlineStr">
        <is>
          <t>Pioneer Search</t>
        </is>
      </c>
      <c r="F669" s="8" t="inlineStr">
        <is>
          <t>City Of London, England, UK</t>
        </is>
      </c>
      <c r="G669" s="8" t="n"/>
      <c r="H669" s="14" t="n"/>
      <c r="I669" s="15">
        <f>IF($H669="","",$H669-TODAY())</f>
        <v/>
      </c>
      <c r="J669" s="16" t="inlineStr">
        <is>
          <t>Open posting</t>
        </is>
      </c>
      <c r="K669" s="8" t="inlineStr">
        <is>
          <t>filtered by keyword pre-scan</t>
        </is>
      </c>
      <c r="L669" s="17" t="inlineStr">
        <is>
          <t>new</t>
        </is>
      </c>
      <c r="M669" s="18" t="inlineStr"/>
      <c r="N669" s="7" t="inlineStr">
        <is>
          <t>1c159f38c814f3a0e3d11283c2c67410c508fe4c</t>
        </is>
      </c>
      <c r="O669" s="14" t="n"/>
      <c r="P669" s="7" t="inlineStr">
        <is>
          <t>jobspy</t>
        </is>
      </c>
      <c r="Q669" s="8" t="inlineStr">
        <is>
          <t>python, sql, c</t>
        </is>
      </c>
      <c r="R669" s="8" t="inlineStr">
        <is>
          <t>Graduate Data Engineer SQL Python pipeline</t>
        </is>
      </c>
      <c r="S669" s="19" t="n"/>
      <c r="T669" s="19" t="n"/>
      <c r="U669" s="14" t="n">
        <v>46192</v>
      </c>
      <c r="V669" s="7" t="inlineStr">
        <is>
          <t>v2-cv-accuracy-13b988b18da8ea7d</t>
        </is>
      </c>
    </row>
    <row r="670" ht="28" customHeight="1">
      <c r="A670" s="12">
        <f>IF($L670="applied","Applied",IF($L670="interview","Interview",IF($L670="offer","Offer",IF($L670="rejected","Rejected",IF($L670="ignore","Ignore",IF($L670="archive","Archive",IF($L670="closed","Closed",IF($B670="","Unscored",IF(AND($B670&gt;=8,OR($H670="",$H670-TODAY()&lt;=14)),"P1 Apply",IF($B670&gt;=7,"P2 Strong",IF($B670&gt;=5,"P3 Maybe","P4 Low")))))))))))</f>
        <v/>
      </c>
      <c r="B670" s="13" t="n">
        <v>1.29</v>
      </c>
      <c r="C670" s="12" t="inlineStr">
        <is>
          <t>Senior/Lead</t>
        </is>
      </c>
      <c r="D670" s="8" t="inlineStr">
        <is>
          <t>Embedded Software Engineer (C++17) Global Gas Sensing</t>
        </is>
      </c>
      <c r="E670" s="7" t="inlineStr">
        <is>
          <t>Servomex</t>
        </is>
      </c>
      <c r="F670" s="8" t="inlineStr">
        <is>
          <t>Crowborough, England, UK</t>
        </is>
      </c>
      <c r="G670" s="8" t="n"/>
      <c r="H670" s="14" t="n"/>
      <c r="I670" s="15">
        <f>IF($H670="","",$H670-TODAY())</f>
        <v/>
      </c>
      <c r="J670" s="16" t="inlineStr">
        <is>
          <t>Open posting</t>
        </is>
      </c>
      <c r="K670" s="8" t="inlineStr">
        <is>
          <t>filtered by keyword pre-scan</t>
        </is>
      </c>
      <c r="L670" s="17" t="inlineStr">
        <is>
          <t>new</t>
        </is>
      </c>
      <c r="M670" s="18" t="inlineStr"/>
      <c r="N670" s="7" t="inlineStr">
        <is>
          <t>859ac121d6b7a1c616831e61f25229385f3aaabd</t>
        </is>
      </c>
      <c r="O670" s="14" t="n">
        <v>46191</v>
      </c>
      <c r="P670" s="7" t="inlineStr">
        <is>
          <t>jobspy</t>
        </is>
      </c>
      <c r="Q670" s="8" t="inlineStr">
        <is>
          <t>python, stm32, c</t>
        </is>
      </c>
      <c r="R670" s="8" t="inlineStr">
        <is>
          <t>Junior Embedded Software Engineer STM32</t>
        </is>
      </c>
      <c r="S670" s="19" t="n"/>
      <c r="T670" s="19" t="n"/>
      <c r="U670" s="14" t="n">
        <v>46192</v>
      </c>
      <c r="V670" s="7" t="inlineStr">
        <is>
          <t>v2-cv-accuracy-13b988b18da8ea7d</t>
        </is>
      </c>
    </row>
    <row r="671" ht="28" customHeight="1">
      <c r="A671" s="12">
        <f>IF($L671="applied","Applied",IF($L671="interview","Interview",IF($L671="offer","Offer",IF($L671="rejected","Rejected",IF($L671="ignore","Ignore",IF($L671="archive","Archive",IF($L671="closed","Closed",IF($B671="","Unscored",IF(AND($B671&gt;=8,OR($H671="",$H671-TODAY()&lt;=14)),"P1 Apply",IF($B671&gt;=7,"P2 Strong",IF($B671&gt;=5,"P3 Maybe","P4 Low")))))))))))</f>
        <v/>
      </c>
      <c r="B671" s="13" t="n">
        <v>1.29</v>
      </c>
      <c r="C671" s="12" t="inlineStr">
        <is>
          <t>Unspecified</t>
        </is>
      </c>
      <c r="D671" s="8" t="inlineStr">
        <is>
          <t>Software Engineer</t>
        </is>
      </c>
      <c r="E671" s="7" t="inlineStr">
        <is>
          <t>Raspberry Pi</t>
        </is>
      </c>
      <c r="F671" s="8" t="inlineStr">
        <is>
          <t>Cambridge, ENG, GB</t>
        </is>
      </c>
      <c r="G671" s="8" t="n"/>
      <c r="H671" s="14" t="n"/>
      <c r="I671" s="15">
        <f>IF($H671="","",$H671-TODAY())</f>
        <v/>
      </c>
      <c r="J671" s="16" t="inlineStr">
        <is>
          <t>Open posting</t>
        </is>
      </c>
      <c r="K671" s="8" t="inlineStr">
        <is>
          <t>filtered by keyword pre-scan</t>
        </is>
      </c>
      <c r="L671" s="17" t="inlineStr">
        <is>
          <t>new</t>
        </is>
      </c>
      <c r="M671" s="18" t="inlineStr"/>
      <c r="N671" s="7" t="inlineStr">
        <is>
          <t>0ee6fecc023a0f0367ad51d8b2b6434d57f78608</t>
        </is>
      </c>
      <c r="O671" s="14" t="n">
        <v>46188</v>
      </c>
      <c r="P671" s="7" t="inlineStr">
        <is>
          <t>jobspy</t>
        </is>
      </c>
      <c r="Q671" s="8" t="inlineStr">
        <is>
          <t>raspberry pi, git, c</t>
        </is>
      </c>
      <c r="R671" s="8" t="inlineStr">
        <is>
          <t>Firmware Engineer Raspberry Pi embedded</t>
        </is>
      </c>
      <c r="S671" s="19" t="n"/>
      <c r="T671" s="19" t="n"/>
      <c r="U671" s="14" t="n">
        <v>46192</v>
      </c>
      <c r="V671" s="7" t="inlineStr">
        <is>
          <t>v2-cv-accuracy-13b988b18da8ea7d</t>
        </is>
      </c>
    </row>
    <row r="672" ht="28" customHeight="1">
      <c r="A672" s="12">
        <f>IF($L672="applied","Applied",IF($L672="interview","Interview",IF($L672="offer","Offer",IF($L672="rejected","Rejected",IF($L672="ignore","Ignore",IF($L672="archive","Archive",IF($L672="closed","Closed",IF($B672="","Unscored",IF(AND($B672&gt;=8,OR($H672="",$H672-TODAY()&lt;=14)),"P1 Apply",IF($B672&gt;=7,"P2 Strong",IF($B672&gt;=5,"P3 Maybe","P4 Low")))))))))))</f>
        <v/>
      </c>
      <c r="B672" s="13" t="n">
        <v>1.29</v>
      </c>
      <c r="C672" s="12" t="inlineStr">
        <is>
          <t>Unspecified</t>
        </is>
      </c>
      <c r="D672" s="8" t="inlineStr">
        <is>
          <t>Software Engineer</t>
        </is>
      </c>
      <c r="E672" s="7" t="inlineStr">
        <is>
          <t>Raspberry Pi</t>
        </is>
      </c>
      <c r="F672" s="8" t="inlineStr">
        <is>
          <t>Cambridge, England, UK</t>
        </is>
      </c>
      <c r="G672" s="8" t="n"/>
      <c r="H672" s="14" t="n"/>
      <c r="I672" s="15">
        <f>IF($H672="","",$H672-TODAY())</f>
        <v/>
      </c>
      <c r="J672" s="16" t="inlineStr">
        <is>
          <t>Open posting</t>
        </is>
      </c>
      <c r="K672" s="8" t="inlineStr">
        <is>
          <t>filtered by keyword pre-scan</t>
        </is>
      </c>
      <c r="L672" s="17" t="inlineStr">
        <is>
          <t>new</t>
        </is>
      </c>
      <c r="M672" s="18" t="inlineStr"/>
      <c r="N672" s="7" t="inlineStr">
        <is>
          <t>63b4e3611cf8dd55cc69fd7a3eb3d4414b2fac53</t>
        </is>
      </c>
      <c r="O672" s="14" t="n">
        <v>46188</v>
      </c>
      <c r="P672" s="7" t="inlineStr">
        <is>
          <t>jobspy</t>
        </is>
      </c>
      <c r="Q672" s="8" t="inlineStr">
        <is>
          <t>raspberry pi, git, c</t>
        </is>
      </c>
      <c r="R672" s="8" t="inlineStr">
        <is>
          <t>Firmware Engineer Raspberry Pi embedded</t>
        </is>
      </c>
      <c r="S672" s="19" t="n"/>
      <c r="T672" s="19" t="n"/>
      <c r="U672" s="14" t="n">
        <v>46192</v>
      </c>
      <c r="V672" s="7" t="inlineStr">
        <is>
          <t>v2-cv-accuracy-13b988b18da8ea7d</t>
        </is>
      </c>
    </row>
    <row r="673" ht="28" customHeight="1">
      <c r="A673" s="12">
        <f>IF($L673="applied","Applied",IF($L673="interview","Interview",IF($L673="offer","Offer",IF($L673="rejected","Rejected",IF($L673="ignore","Ignore",IF($L673="archive","Archive",IF($L673="closed","Closed",IF($B673="","Unscored",IF(AND($B673&gt;=8,OR($H673="",$H673-TODAY()&lt;=14)),"P1 Apply",IF($B673&gt;=7,"P2 Strong",IF($B673&gt;=5,"P3 Maybe","P4 Low")))))))))))</f>
        <v/>
      </c>
      <c r="B673" s="13" t="n">
        <v>1.29</v>
      </c>
      <c r="C673" s="12" t="inlineStr">
        <is>
          <t>Mid-level</t>
        </is>
      </c>
      <c r="D673" s="8" t="inlineStr">
        <is>
          <t>Embedded Software Engineer</t>
        </is>
      </c>
      <c r="E673" s="7" t="inlineStr">
        <is>
          <t>Future Talent Group</t>
        </is>
      </c>
      <c r="F673" s="8" t="inlineStr">
        <is>
          <t>Greater Bristol Area, United Kingdom</t>
        </is>
      </c>
      <c r="G673" s="8" t="n"/>
      <c r="H673" s="14" t="n"/>
      <c r="I673" s="15">
        <f>IF($H673="","",$H673-TODAY())</f>
        <v/>
      </c>
      <c r="J673" s="16" t="inlineStr">
        <is>
          <t>Open posting</t>
        </is>
      </c>
      <c r="K673" s="8" t="inlineStr">
        <is>
          <t>filtered by keyword pre-scan</t>
        </is>
      </c>
      <c r="L673" s="17" t="inlineStr">
        <is>
          <t>new</t>
        </is>
      </c>
      <c r="M673" s="18" t="inlineStr"/>
      <c r="N673" s="7" t="inlineStr">
        <is>
          <t>588bfeaaf3ec762cce84ebce212ebef095908373</t>
        </is>
      </c>
      <c r="O673" s="14" t="n">
        <v>46183</v>
      </c>
      <c r="P673" s="7" t="inlineStr">
        <is>
          <t>jobspy</t>
        </is>
      </c>
      <c r="Q673" s="8" t="inlineStr">
        <is>
          <t>raspberry pi, c, embedded systems</t>
        </is>
      </c>
      <c r="R673" s="8" t="inlineStr">
        <is>
          <t>Firmware Engineer Raspberry Pi embedded</t>
        </is>
      </c>
      <c r="S673" s="19" t="n"/>
      <c r="T673" s="19" t="n"/>
      <c r="U673" s="14" t="n">
        <v>46192</v>
      </c>
      <c r="V673" s="7" t="inlineStr">
        <is>
          <t>v2-cv-accuracy-13b988b18da8ea7d</t>
        </is>
      </c>
    </row>
    <row r="674" ht="28" customHeight="1">
      <c r="A674" s="12">
        <f>IF($L674="applied","Applied",IF($L674="interview","Interview",IF($L674="offer","Offer",IF($L674="rejected","Rejected",IF($L674="ignore","Ignore",IF($L674="archive","Archive",IF($L674="closed","Closed",IF($B674="","Unscored",IF(AND($B674&gt;=8,OR($H674="",$H674-TODAY()&lt;=14)),"P1 Apply",IF($B674&gt;=7,"P2 Strong",IF($B674&gt;=5,"P3 Maybe","P4 Low")))))))))))</f>
        <v/>
      </c>
      <c r="B674" s="13" t="n">
        <v>1.29</v>
      </c>
      <c r="C674" s="12" t="inlineStr">
        <is>
          <t>Junior</t>
        </is>
      </c>
      <c r="D674" s="8" t="inlineStr">
        <is>
          <t>Junior Embedded Software Engineer</t>
        </is>
      </c>
      <c r="E674" s="7" t="inlineStr">
        <is>
          <t>morph.</t>
        </is>
      </c>
      <c r="F674" s="8" t="inlineStr">
        <is>
          <t>London, England, UK</t>
        </is>
      </c>
      <c r="G674" s="8" t="n"/>
      <c r="H674" s="14" t="n"/>
      <c r="I674" s="15">
        <f>IF($H674="","",$H674-TODAY())</f>
        <v/>
      </c>
      <c r="J674" s="16" t="inlineStr">
        <is>
          <t>Open posting</t>
        </is>
      </c>
      <c r="K674" s="8" t="inlineStr">
        <is>
          <t>filtered by keyword pre-scan</t>
        </is>
      </c>
      <c r="L674" s="17" t="inlineStr">
        <is>
          <t>new</t>
        </is>
      </c>
      <c r="M674" s="18" t="inlineStr"/>
      <c r="N674" s="7" t="inlineStr">
        <is>
          <t>04f4bcbcef41b2f0238a356acab234fd9051eba5</t>
        </is>
      </c>
      <c r="O674" s="14" t="n">
        <v>46164</v>
      </c>
      <c r="P674" s="7" t="inlineStr">
        <is>
          <t>jobspy</t>
        </is>
      </c>
      <c r="Q674" s="8" t="inlineStr">
        <is>
          <t>python, git, c</t>
        </is>
      </c>
      <c r="R674" s="8" t="inlineStr">
        <is>
          <t>Embedded Software Engineer C Python graduate</t>
        </is>
      </c>
      <c r="S674" s="19" t="n"/>
      <c r="T674" s="19" t="n"/>
      <c r="U674" s="14" t="n">
        <v>46192</v>
      </c>
      <c r="V674" s="7" t="inlineStr">
        <is>
          <t>v2-cv-accuracy-13b988b18da8ea7d</t>
        </is>
      </c>
    </row>
    <row r="675" ht="28" customHeight="1">
      <c r="A675" s="12">
        <f>IF($L675="applied","Applied",IF($L675="interview","Interview",IF($L675="offer","Offer",IF($L675="rejected","Rejected",IF($L675="ignore","Ignore",IF($L675="archive","Archive",IF($L675="closed","Closed",IF($B675="","Unscored",IF(AND($B675&gt;=8,OR($H675="",$H675-TODAY()&lt;=14)),"P1 Apply",IF($B675&gt;=7,"P2 Strong",IF($B675&gt;=5,"P3 Maybe","P4 Low")))))))))))</f>
        <v/>
      </c>
      <c r="B675" s="13" t="n">
        <v>1.29</v>
      </c>
      <c r="C675" s="12" t="inlineStr">
        <is>
          <t>Junior</t>
        </is>
      </c>
      <c r="D675" s="8" t="inlineStr">
        <is>
          <t>Junior Data Engineer</t>
        </is>
      </c>
      <c r="E675" s="7" t="inlineStr">
        <is>
          <t>Harrington Starr</t>
        </is>
      </c>
      <c r="F675" s="8" t="inlineStr">
        <is>
          <t>London Area, United Kingdom</t>
        </is>
      </c>
      <c r="G675" s="8" t="n"/>
      <c r="H675" s="14" t="n"/>
      <c r="I675" s="15">
        <f>IF($H675="","",$H675-TODAY())</f>
        <v/>
      </c>
      <c r="J675" s="16" t="inlineStr">
        <is>
          <t>Open posting</t>
        </is>
      </c>
      <c r="K675" s="8" t="inlineStr">
        <is>
          <t>filtered by keyword pre-scan</t>
        </is>
      </c>
      <c r="L675" s="17" t="inlineStr">
        <is>
          <t>new</t>
        </is>
      </c>
      <c r="M675" s="18" t="inlineStr"/>
      <c r="N675" s="7" t="inlineStr">
        <is>
          <t>24cb3a14d33f9fc051b9d2bb9201bf345c518527</t>
        </is>
      </c>
      <c r="O675" s="14" t="n">
        <v>46188</v>
      </c>
      <c r="P675" s="7" t="inlineStr">
        <is>
          <t>jobspy</t>
        </is>
      </c>
      <c r="Q675" s="8" t="inlineStr">
        <is>
          <t>python, sql, c</t>
        </is>
      </c>
      <c r="R675" s="8" t="inlineStr">
        <is>
          <t>Graduate Data Engineer SQL Python pipeline</t>
        </is>
      </c>
      <c r="S675" s="19" t="n"/>
      <c r="T675" s="19" t="n"/>
      <c r="U675" s="14" t="n">
        <v>46192</v>
      </c>
      <c r="V675" s="7" t="inlineStr">
        <is>
          <t>v2-cv-accuracy-13b988b18da8ea7d</t>
        </is>
      </c>
    </row>
    <row r="676" ht="28" customHeight="1">
      <c r="A676" s="12">
        <f>IF($L676="applied","Applied",IF($L676="interview","Interview",IF($L676="offer","Offer",IF($L676="rejected","Rejected",IF($L676="ignore","Ignore",IF($L676="archive","Archive",IF($L676="closed","Closed",IF($B676="","Unscored",IF(AND($B676&gt;=8,OR($H676="",$H676-TODAY()&lt;=14)),"P1 Apply",IF($B676&gt;=7,"P2 Strong",IF($B676&gt;=5,"P3 Maybe","P4 Low")))))))))))</f>
        <v/>
      </c>
      <c r="B676" s="13" t="n">
        <v>1.22</v>
      </c>
      <c r="C676" s="12" t="inlineStr">
        <is>
          <t>Unspecified</t>
        </is>
      </c>
      <c r="D676" s="8" t="inlineStr">
        <is>
          <t>Software Development Engineer - Payment Intelligence team</t>
        </is>
      </c>
      <c r="E676" s="7" t="inlineStr">
        <is>
          <t>GoCardless</t>
        </is>
      </c>
      <c r="F676" s="8" t="inlineStr">
        <is>
          <t>Lisbon, Portugal</t>
        </is>
      </c>
      <c r="G676" s="8" t="n"/>
      <c r="H676" s="14" t="n"/>
      <c r="I676" s="15">
        <f>IF($H676="","",$H676-TODAY())</f>
        <v/>
      </c>
      <c r="J676" s="16" t="inlineStr">
        <is>
          <t>Open posting</t>
        </is>
      </c>
      <c r="K676" s="8" t="inlineStr">
        <is>
          <t>filtered by keyword pre-scan</t>
        </is>
      </c>
      <c r="L676" s="17" t="inlineStr">
        <is>
          <t>new</t>
        </is>
      </c>
      <c r="M676" s="18" t="inlineStr"/>
      <c r="N676" s="7" t="inlineStr">
        <is>
          <t>33f2a9379fbdf7a9c4420f4b3eecb9a90b3617ce</t>
        </is>
      </c>
      <c r="O676" s="14" t="n">
        <v>46192</v>
      </c>
      <c r="P676" s="7" t="inlineStr">
        <is>
          <t>greenhouse:gocardless</t>
        </is>
      </c>
      <c r="Q676" s="8" t="inlineStr">
        <is>
          <t>python, software development</t>
        </is>
      </c>
      <c r="R676" s="8" t="n"/>
      <c r="S676" s="19" t="n"/>
      <c r="T676" s="19" t="n"/>
      <c r="U676" s="14" t="n">
        <v>46192</v>
      </c>
      <c r="V676" s="7" t="inlineStr">
        <is>
          <t>v2-cv-accuracy-13b988b18da8ea7d</t>
        </is>
      </c>
    </row>
    <row r="677" ht="28" customHeight="1">
      <c r="A677" s="12">
        <f>IF($L677="applied","Applied",IF($L677="interview","Interview",IF($L677="offer","Offer",IF($L677="rejected","Rejected",IF($L677="ignore","Ignore",IF($L677="archive","Archive",IF($L677="closed","Closed",IF($B677="","Unscored",IF(AND($B677&gt;=8,OR($H677="",$H677-TODAY()&lt;=14)),"P1 Apply",IF($B677&gt;=7,"P2 Strong",IF($B677&gt;=5,"P3 Maybe","P4 Low")))))))))))</f>
        <v/>
      </c>
      <c r="B677" s="13" t="n">
        <v>1.22</v>
      </c>
      <c r="C677" s="12" t="inlineStr">
        <is>
          <t>Senior/Lead</t>
        </is>
      </c>
      <c r="D677" s="8" t="inlineStr">
        <is>
          <t>IFRS9 Modeller</t>
        </is>
      </c>
      <c r="E677" s="7" t="inlineStr">
        <is>
          <t>Monzo</t>
        </is>
      </c>
      <c r="F677" s="8" t="inlineStr">
        <is>
          <t>London</t>
        </is>
      </c>
      <c r="G677" s="8" t="n"/>
      <c r="H677" s="14" t="n"/>
      <c r="I677" s="15">
        <f>IF($H677="","",$H677-TODAY())</f>
        <v/>
      </c>
      <c r="J677" s="16" t="inlineStr">
        <is>
          <t>Open posting</t>
        </is>
      </c>
      <c r="K677" s="8" t="inlineStr">
        <is>
          <t>filtered by keyword pre-scan</t>
        </is>
      </c>
      <c r="L677" s="17" t="inlineStr">
        <is>
          <t>new</t>
        </is>
      </c>
      <c r="M677" s="18" t="inlineStr"/>
      <c r="N677" s="7" t="inlineStr">
        <is>
          <t>147889ad0f564109b8eff01f61ecb4f40f1aef5e</t>
        </is>
      </c>
      <c r="O677" s="14" t="n">
        <v>46170</v>
      </c>
      <c r="P677" s="7" t="inlineStr">
        <is>
          <t>greenhouse:monzo</t>
        </is>
      </c>
      <c r="Q677" s="8" t="inlineStr">
        <is>
          <t>python, sql</t>
        </is>
      </c>
      <c r="R677" s="8" t="n"/>
      <c r="S677" s="19" t="n"/>
      <c r="T677" s="19" t="n"/>
      <c r="U677" s="14" t="n">
        <v>46191</v>
      </c>
      <c r="V677" s="7" t="inlineStr">
        <is>
          <t>v2-cv-accuracy-13b988b18da8ea7d</t>
        </is>
      </c>
    </row>
    <row r="678" ht="28" customHeight="1">
      <c r="A678" s="12">
        <f>IF($L678="applied","Applied",IF($L678="interview","Interview",IF($L678="offer","Offer",IF($L678="rejected","Rejected",IF($L678="ignore","Ignore",IF($L678="archive","Archive",IF($L678="closed","Closed",IF($B678="","Unscored",IF(AND($B678&gt;=8,OR($H678="",$H678-TODAY()&lt;=14)),"P1 Apply",IF($B678&gt;=7,"P2 Strong",IF($B678&gt;=5,"P3 Maybe","P4 Low")))))))))))</f>
        <v/>
      </c>
      <c r="B678" s="13" t="n">
        <v>1.22</v>
      </c>
      <c r="C678" s="12" t="inlineStr">
        <is>
          <t>Graduate/Entry</t>
        </is>
      </c>
      <c r="D678" s="8" t="inlineStr">
        <is>
          <t>Graduate Software Engineer</t>
        </is>
      </c>
      <c r="E678" s="7" t="inlineStr">
        <is>
          <t>Spectrum IT Recruitment</t>
        </is>
      </c>
      <c r="F678" s="8" t="inlineStr">
        <is>
          <t>City Of London, England, UK</t>
        </is>
      </c>
      <c r="G678" s="8" t="n"/>
      <c r="H678" s="14" t="n"/>
      <c r="I678" s="15">
        <f>IF($H678="","",$H678-TODAY())</f>
        <v/>
      </c>
      <c r="J678" s="16" t="inlineStr">
        <is>
          <t>Open posting</t>
        </is>
      </c>
      <c r="K678" s="8" t="inlineStr">
        <is>
          <t>filtered by keyword pre-scan</t>
        </is>
      </c>
      <c r="L678" s="17" t="inlineStr">
        <is>
          <t>new</t>
        </is>
      </c>
      <c r="M678" s="18" t="inlineStr"/>
      <c r="N678" s="7" t="inlineStr">
        <is>
          <t>ba877d57beb25c1f0789fa5088595a03b7324da8</t>
        </is>
      </c>
      <c r="O678" s="14" t="n"/>
      <c r="P678" s="7" t="inlineStr">
        <is>
          <t>jobspy</t>
        </is>
      </c>
      <c r="Q678" s="8" t="inlineStr">
        <is>
          <t>python</t>
        </is>
      </c>
      <c r="R678" s="8" t="inlineStr">
        <is>
          <t>junior/graduate Graduate Software Developer</t>
        </is>
      </c>
      <c r="S678" s="19" t="n"/>
      <c r="T678" s="19" t="n"/>
      <c r="U678" s="14" t="n">
        <v>46191</v>
      </c>
      <c r="V678" s="7" t="inlineStr">
        <is>
          <t>v2-cv-accuracy-13b988b18da8ea7d</t>
        </is>
      </c>
    </row>
    <row r="679" ht="28" customHeight="1">
      <c r="A679" s="12">
        <f>IF($L679="applied","Applied",IF($L679="interview","Interview",IF($L679="offer","Offer",IF($L679="rejected","Rejected",IF($L679="ignore","Ignore",IF($L679="archive","Archive",IF($L679="closed","Closed",IF($B679="","Unscored",IF(AND($B679&gt;=8,OR($H679="",$H679-TODAY()&lt;=14)),"P1 Apply",IF($B679&gt;=7,"P2 Strong",IF($B679&gt;=5,"P3 Maybe","P4 Low")))))))))))</f>
        <v/>
      </c>
      <c r="B679" s="13" t="n">
        <v>1.22</v>
      </c>
      <c r="C679" s="12" t="inlineStr">
        <is>
          <t>Senior/Lead</t>
        </is>
      </c>
      <c r="D679" s="8" t="inlineStr">
        <is>
          <t>Full Stack Software Engineer (Python)</t>
        </is>
      </c>
      <c r="E679" s="7" t="inlineStr">
        <is>
          <t>Validus Risk Management</t>
        </is>
      </c>
      <c r="F679" s="8" t="inlineStr">
        <is>
          <t>London, England, UK</t>
        </is>
      </c>
      <c r="G679" s="8" t="n"/>
      <c r="H679" s="14" t="n"/>
      <c r="I679" s="15">
        <f>IF($H679="","",$H679-TODAY())</f>
        <v/>
      </c>
      <c r="J679" s="16" t="inlineStr">
        <is>
          <t>Open posting</t>
        </is>
      </c>
      <c r="K679" s="8" t="inlineStr">
        <is>
          <t>filtered by keyword pre-scan</t>
        </is>
      </c>
      <c r="L679" s="17" t="inlineStr">
        <is>
          <t>new</t>
        </is>
      </c>
      <c r="M679" s="18" t="inlineStr"/>
      <c r="N679" s="7" t="inlineStr">
        <is>
          <t>ce19eb055bf80f77fd2ec1f5a38f60de3671281a</t>
        </is>
      </c>
      <c r="O679" s="14" t="n">
        <v>46189</v>
      </c>
      <c r="P679" s="7" t="inlineStr">
        <is>
          <t>jobspy</t>
        </is>
      </c>
      <c r="Q679" s="8" t="inlineStr">
        <is>
          <t>python, software development</t>
        </is>
      </c>
      <c r="R679" s="8" t="inlineStr">
        <is>
          <t>Junior Python Developer</t>
        </is>
      </c>
      <c r="S679" s="19" t="n"/>
      <c r="T679" s="19" t="n"/>
      <c r="U679" s="14" t="n">
        <v>46191</v>
      </c>
      <c r="V679" s="7" t="inlineStr">
        <is>
          <t>v2-cv-accuracy-13b988b18da8ea7d</t>
        </is>
      </c>
    </row>
    <row r="680" ht="28" customHeight="1">
      <c r="A680" s="12">
        <f>IF($L680="applied","Applied",IF($L680="interview","Interview",IF($L680="offer","Offer",IF($L680="rejected","Rejected",IF($L680="ignore","Ignore",IF($L680="archive","Archive",IF($L680="closed","Closed",IF($B680="","Unscored",IF(AND($B680&gt;=8,OR($H680="",$H680-TODAY()&lt;=14)),"P1 Apply",IF($B680&gt;=7,"P2 Strong",IF($B680&gt;=5,"P3 Maybe","P4 Low")))))))))))</f>
        <v/>
      </c>
      <c r="B680" s="13" t="n">
        <v>1.22</v>
      </c>
      <c r="C680" s="12" t="inlineStr">
        <is>
          <t>Unspecified</t>
        </is>
      </c>
      <c r="D680" s="8" t="inlineStr">
        <is>
          <t>Python Developer - Hedge Fund</t>
        </is>
      </c>
      <c r="E680" s="7" t="inlineStr">
        <is>
          <t>Winston Fox</t>
        </is>
      </c>
      <c r="F680" s="8" t="inlineStr">
        <is>
          <t>London Area, United Kingdom</t>
        </is>
      </c>
      <c r="G680" s="8" t="n"/>
      <c r="H680" s="14" t="n"/>
      <c r="I680" s="15">
        <f>IF($H680="","",$H680-TODAY())</f>
        <v/>
      </c>
      <c r="J680" s="16" t="inlineStr">
        <is>
          <t>Open posting</t>
        </is>
      </c>
      <c r="K680" s="8" t="inlineStr">
        <is>
          <t>filtered by keyword pre-scan</t>
        </is>
      </c>
      <c r="L680" s="17" t="inlineStr">
        <is>
          <t>new</t>
        </is>
      </c>
      <c r="M680" s="18" t="inlineStr"/>
      <c r="N680" s="7" t="inlineStr">
        <is>
          <t>772b79281ac2b07cebd29f17798df4d7059ef8fd</t>
        </is>
      </c>
      <c r="O680" s="14" t="n">
        <v>46161</v>
      </c>
      <c r="P680" s="7" t="inlineStr">
        <is>
          <t>jobspy</t>
        </is>
      </c>
      <c r="Q680" s="8" t="inlineStr">
        <is>
          <t>python, sql</t>
        </is>
      </c>
      <c r="R680" s="8" t="inlineStr">
        <is>
          <t>Junior Python Developer</t>
        </is>
      </c>
      <c r="S680" s="19" t="n"/>
      <c r="T680" s="19" t="n"/>
      <c r="U680" s="14" t="n">
        <v>46191</v>
      </c>
      <c r="V680" s="7" t="inlineStr">
        <is>
          <t>v2-cv-accuracy-13b988b18da8ea7d</t>
        </is>
      </c>
    </row>
    <row r="681" ht="28" customHeight="1">
      <c r="A681" s="12">
        <f>IF($L681="applied","Applied",IF($L681="interview","Interview",IF($L681="offer","Offer",IF($L681="rejected","Rejected",IF($L681="ignore","Ignore",IF($L681="archive","Archive",IF($L681="closed","Closed",IF($B681="","Unscored",IF(AND($B681&gt;=8,OR($H681="",$H681-TODAY()&lt;=14)),"P1 Apply",IF($B681&gt;=7,"P2 Strong",IF($B681&gt;=5,"P3 Maybe","P4 Low")))))))))))</f>
        <v/>
      </c>
      <c r="B681" s="13" t="n">
        <v>1.22</v>
      </c>
      <c r="C681" s="12" t="inlineStr">
        <is>
          <t>Junior</t>
        </is>
      </c>
      <c r="D681" s="8" t="inlineStr">
        <is>
          <t>Junior Python Developer</t>
        </is>
      </c>
      <c r="E681" s="7" t="inlineStr">
        <is>
          <t>IBM</t>
        </is>
      </c>
      <c r="F681" s="8" t="inlineStr">
        <is>
          <t>Kochi, Kerala, India</t>
        </is>
      </c>
      <c r="G681" s="8" t="n"/>
      <c r="H681" s="14" t="n"/>
      <c r="I681" s="15">
        <f>IF($H681="","",$H681-TODAY())</f>
        <v/>
      </c>
      <c r="J681" s="16" t="inlineStr">
        <is>
          <t>Open posting</t>
        </is>
      </c>
      <c r="K681" s="8" t="inlineStr">
        <is>
          <t>filtered by keyword pre-scan</t>
        </is>
      </c>
      <c r="L681" s="17" t="inlineStr">
        <is>
          <t>new</t>
        </is>
      </c>
      <c r="M681" s="18" t="inlineStr"/>
      <c r="N681" s="7" t="inlineStr">
        <is>
          <t>02fae9691ff60dda1316fe04670e93065bdaddcf</t>
        </is>
      </c>
      <c r="O681" s="14" t="n"/>
      <c r="P681" s="7" t="inlineStr">
        <is>
          <t>jobspy</t>
        </is>
      </c>
      <c r="Q681" s="8" t="inlineStr">
        <is>
          <t>python</t>
        </is>
      </c>
      <c r="R681" s="8" t="inlineStr">
        <is>
          <t>graduate Junior Python Developer</t>
        </is>
      </c>
      <c r="S681" s="19" t="n"/>
      <c r="T681" s="19" t="n"/>
      <c r="U681" s="14" t="n">
        <v>46191</v>
      </c>
      <c r="V681" s="7" t="inlineStr">
        <is>
          <t>v2-cv-accuracy-13b988b18da8ea7d</t>
        </is>
      </c>
    </row>
    <row r="682" ht="28" customHeight="1">
      <c r="A682" s="12">
        <f>IF($L682="applied","Applied",IF($L682="interview","Interview",IF($L682="offer","Offer",IF($L682="rejected","Rejected",IF($L682="ignore","Ignore",IF($L682="archive","Archive",IF($L682="closed","Closed",IF($B682="","Unscored",IF(AND($B682&gt;=8,OR($H682="",$H682-TODAY()&lt;=14)),"P1 Apply",IF($B682&gt;=7,"P2 Strong",IF($B682&gt;=5,"P3 Maybe","P4 Low")))))))))))</f>
        <v/>
      </c>
      <c r="B682" s="13" t="n">
        <v>1.22</v>
      </c>
      <c r="C682" s="12" t="inlineStr">
        <is>
          <t>Senior/Lead</t>
        </is>
      </c>
      <c r="D682" s="8" t="inlineStr">
        <is>
          <t>Python Developer in Test</t>
        </is>
      </c>
      <c r="E682" s="7" t="inlineStr">
        <is>
          <t>AMD</t>
        </is>
      </c>
      <c r="F682" s="8" t="inlineStr">
        <is>
          <t>Cambridge, England, UK</t>
        </is>
      </c>
      <c r="G682" s="8" t="n"/>
      <c r="H682" s="14" t="n"/>
      <c r="I682" s="15">
        <f>IF($H682="","",$H682-TODAY())</f>
        <v/>
      </c>
      <c r="J682" s="16" t="inlineStr">
        <is>
          <t>Open posting</t>
        </is>
      </c>
      <c r="K682" s="8" t="inlineStr">
        <is>
          <t>filtered by keyword pre-scan</t>
        </is>
      </c>
      <c r="L682" s="17" t="inlineStr">
        <is>
          <t>new</t>
        </is>
      </c>
      <c r="M682" s="18" t="inlineStr"/>
      <c r="N682" s="7" t="inlineStr">
        <is>
          <t>f83dc32dbd05d553bd110c7f8b998e49b9b59562</t>
        </is>
      </c>
      <c r="O682" s="14" t="n">
        <v>46183</v>
      </c>
      <c r="P682" s="7" t="inlineStr">
        <is>
          <t>jobspy</t>
        </is>
      </c>
      <c r="Q682" s="8" t="inlineStr">
        <is>
          <t>python</t>
        </is>
      </c>
      <c r="R682" s="8" t="inlineStr">
        <is>
          <t>entry level Junior Python Developer</t>
        </is>
      </c>
      <c r="S682" s="19" t="n"/>
      <c r="T682" s="19" t="n"/>
      <c r="U682" s="14" t="n">
        <v>46191</v>
      </c>
      <c r="V682" s="7" t="inlineStr">
        <is>
          <t>v2-cv-accuracy-13b988b18da8ea7d</t>
        </is>
      </c>
    </row>
    <row r="683" ht="28" customHeight="1">
      <c r="A683" s="12">
        <f>IF($L683="applied","Applied",IF($L683="interview","Interview",IF($L683="offer","Offer",IF($L683="rejected","Rejected",IF($L683="ignore","Ignore",IF($L683="archive","Archive",IF($L683="closed","Closed",IF($B683="","Unscored",IF(AND($B683&gt;=8,OR($H683="",$H683-TODAY()&lt;=14)),"P1 Apply",IF($B683&gt;=7,"P2 Strong",IF($B683&gt;=5,"P3 Maybe","P4 Low")))))))))))</f>
        <v/>
      </c>
      <c r="B683" s="13" t="n">
        <v>1.22</v>
      </c>
      <c r="C683" s="12" t="inlineStr">
        <is>
          <t>Unspecified</t>
        </is>
      </c>
      <c r="D683" s="8" t="inlineStr">
        <is>
          <t>Python Simulation Developer | Remote</t>
        </is>
      </c>
      <c r="E683" s="7" t="inlineStr">
        <is>
          <t>Crossing Hurdles</t>
        </is>
      </c>
      <c r="F683" s="8" t="inlineStr"/>
      <c r="G683" s="8" t="n"/>
      <c r="H683" s="14" t="n"/>
      <c r="I683" s="15">
        <f>IF($H683="","",$H683-TODAY())</f>
        <v/>
      </c>
      <c r="J683" s="16" t="inlineStr">
        <is>
          <t>Open posting</t>
        </is>
      </c>
      <c r="K683" s="8" t="inlineStr">
        <is>
          <t>filtered by keyword pre-scan</t>
        </is>
      </c>
      <c r="L683" s="17" t="inlineStr">
        <is>
          <t>new</t>
        </is>
      </c>
      <c r="M683" s="18" t="inlineStr"/>
      <c r="N683" s="7" t="inlineStr">
        <is>
          <t>e19058b225ab1853b087e90bc8f1aa9a05c1da42</t>
        </is>
      </c>
      <c r="O683" s="14" t="n">
        <v>46178</v>
      </c>
      <c r="P683" s="7" t="inlineStr">
        <is>
          <t>jobspy</t>
        </is>
      </c>
      <c r="Q683" s="8" t="inlineStr">
        <is>
          <t>python, git</t>
        </is>
      </c>
      <c r="R683" s="8" t="inlineStr">
        <is>
          <t>Junior Python Developer remote</t>
        </is>
      </c>
      <c r="S683" s="19" t="n"/>
      <c r="T683" s="19" t="n"/>
      <c r="U683" s="14" t="n">
        <v>46191</v>
      </c>
      <c r="V683" s="7" t="inlineStr">
        <is>
          <t>v2-cv-accuracy-13b988b18da8ea7d</t>
        </is>
      </c>
    </row>
    <row r="684" ht="28" customHeight="1">
      <c r="A684" s="12">
        <f>IF($L684="applied","Applied",IF($L684="interview","Interview",IF($L684="offer","Offer",IF($L684="rejected","Rejected",IF($L684="ignore","Ignore",IF($L684="archive","Archive",IF($L684="closed","Closed",IF($B684="","Unscored",IF(AND($B684&gt;=8,OR($H684="",$H684-TODAY()&lt;=14)),"P1 Apply",IF($B684&gt;=7,"P2 Strong",IF($B684&gt;=5,"P3 Maybe","P4 Low")))))))))))</f>
        <v/>
      </c>
      <c r="B684" s="13" t="n">
        <v>1.22</v>
      </c>
      <c r="C684" s="12" t="inlineStr">
        <is>
          <t>Unspecified</t>
        </is>
      </c>
      <c r="D684" s="8" t="inlineStr">
        <is>
          <t>Python Developer</t>
        </is>
      </c>
      <c r="E684" s="7" t="inlineStr">
        <is>
          <t>Opus Recruitment Solutions</t>
        </is>
      </c>
      <c r="F684" s="8" t="inlineStr"/>
      <c r="G684" s="8" t="n"/>
      <c r="H684" s="14" t="n"/>
      <c r="I684" s="15">
        <f>IF($H684="","",$H684-TODAY())</f>
        <v/>
      </c>
      <c r="J684" s="16" t="inlineStr">
        <is>
          <t>Open posting</t>
        </is>
      </c>
      <c r="K684" s="8" t="inlineStr">
        <is>
          <t>filtered by keyword pre-scan</t>
        </is>
      </c>
      <c r="L684" s="17" t="inlineStr">
        <is>
          <t>new</t>
        </is>
      </c>
      <c r="M684" s="18" t="inlineStr"/>
      <c r="N684" s="7" t="inlineStr">
        <is>
          <t>11d055c3081896b884edaee45840543c279c69cf</t>
        </is>
      </c>
      <c r="O684" s="14" t="n">
        <v>46176</v>
      </c>
      <c r="P684" s="7" t="inlineStr">
        <is>
          <t>jobspy</t>
        </is>
      </c>
      <c r="Q684" s="8" t="inlineStr">
        <is>
          <t>python, rest apis</t>
        </is>
      </c>
      <c r="R684" s="8" t="inlineStr">
        <is>
          <t>Junior Python Developer remote</t>
        </is>
      </c>
      <c r="S684" s="19" t="n"/>
      <c r="T684" s="19" t="n"/>
      <c r="U684" s="14" t="n">
        <v>46191</v>
      </c>
      <c r="V684" s="7" t="inlineStr">
        <is>
          <t>v2-cv-accuracy-13b988b18da8ea7d</t>
        </is>
      </c>
    </row>
    <row r="685" ht="28" customHeight="1">
      <c r="A685" s="12">
        <f>IF($L685="applied","Applied",IF($L685="interview","Interview",IF($L685="offer","Offer",IF($L685="rejected","Rejected",IF($L685="ignore","Ignore",IF($L685="archive","Archive",IF($L685="closed","Closed",IF($B685="","Unscored",IF(AND($B685&gt;=8,OR($H685="",$H685-TODAY()&lt;=14)),"P1 Apply",IF($B685&gt;=7,"P2 Strong",IF($B685&gt;=5,"P3 Maybe","P4 Low")))))))))))</f>
        <v/>
      </c>
      <c r="B685" s="13" t="n">
        <v>1.22</v>
      </c>
      <c r="C685" s="12" t="inlineStr">
        <is>
          <t>Senior/Lead</t>
        </is>
      </c>
      <c r="D685" s="8" t="inlineStr">
        <is>
          <t>Full Stack Developer (Laravel &amp; React)</t>
        </is>
      </c>
      <c r="E685" s="7" t="inlineStr">
        <is>
          <t>Class Manager</t>
        </is>
      </c>
      <c r="F685" s="8" t="inlineStr">
        <is>
          <t>Exminster, England, UK</t>
        </is>
      </c>
      <c r="G685" s="8" t="n"/>
      <c r="H685" s="14" t="n"/>
      <c r="I685" s="15">
        <f>IF($H685="","",$H685-TODAY())</f>
        <v/>
      </c>
      <c r="J685" s="16" t="inlineStr">
        <is>
          <t>Open posting</t>
        </is>
      </c>
      <c r="K685" s="8" t="inlineStr">
        <is>
          <t>filtered by keyword pre-scan</t>
        </is>
      </c>
      <c r="L685" s="17" t="inlineStr">
        <is>
          <t>new</t>
        </is>
      </c>
      <c r="M685" s="18" t="inlineStr"/>
      <c r="N685" s="7" t="inlineStr">
        <is>
          <t>ccf43b03d43d408839e5d3436b9dd1b4847ca8bf</t>
        </is>
      </c>
      <c r="O685" s="14" t="n">
        <v>46178</v>
      </c>
      <c r="P685" s="7" t="inlineStr">
        <is>
          <t>jobspy</t>
        </is>
      </c>
      <c r="Q685" s="8" t="inlineStr">
        <is>
          <t>sql</t>
        </is>
      </c>
      <c r="R685" s="8" t="inlineStr">
        <is>
          <t>Full Stack Developer</t>
        </is>
      </c>
      <c r="S685" s="19" t="n"/>
      <c r="T685" s="19" t="n"/>
      <c r="U685" s="14" t="n">
        <v>46191</v>
      </c>
      <c r="V685" s="7" t="inlineStr">
        <is>
          <t>v2-cv-accuracy-13b988b18da8ea7d</t>
        </is>
      </c>
    </row>
    <row r="686" ht="28" customHeight="1">
      <c r="A686" s="12">
        <f>IF($L686="applied","Applied",IF($L686="interview","Interview",IF($L686="offer","Offer",IF($L686="rejected","Rejected",IF($L686="ignore","Ignore",IF($L686="archive","Archive",IF($L686="closed","Closed",IF($B686="","Unscored",IF(AND($B686&gt;=8,OR($H686="",$H686-TODAY()&lt;=14)),"P1 Apply",IF($B686&gt;=7,"P2 Strong",IF($B686&gt;=5,"P3 Maybe","P4 Low")))))))))))</f>
        <v/>
      </c>
      <c r="B686" s="13" t="n">
        <v>1.22</v>
      </c>
      <c r="C686" s="12" t="inlineStr">
        <is>
          <t>Junior</t>
        </is>
      </c>
      <c r="D686" s="8" t="inlineStr">
        <is>
          <t>Full Stack Engineer (£55k–£95k + Equity) at Valyu</t>
        </is>
      </c>
      <c r="E686" s="7" t="inlineStr">
        <is>
          <t>Jack &amp; Jill</t>
        </is>
      </c>
      <c r="F686" s="8" t="inlineStr">
        <is>
          <t>London, England, UK</t>
        </is>
      </c>
      <c r="G686" s="8" t="n"/>
      <c r="H686" s="14" t="n"/>
      <c r="I686" s="15">
        <f>IF($H686="","",$H686-TODAY())</f>
        <v/>
      </c>
      <c r="J686" s="16" t="inlineStr">
        <is>
          <t>Open posting</t>
        </is>
      </c>
      <c r="K686" s="8" t="inlineStr">
        <is>
          <t>filtered by keyword pre-scan</t>
        </is>
      </c>
      <c r="L686" s="17" t="inlineStr">
        <is>
          <t>new</t>
        </is>
      </c>
      <c r="M686" s="18" t="inlineStr"/>
      <c r="N686" s="7" t="inlineStr">
        <is>
          <t>e331f23fc131cb2760d26a9304e430392c00e303</t>
        </is>
      </c>
      <c r="O686" s="14" t="n"/>
      <c r="P686" s="7" t="inlineStr">
        <is>
          <t>jobspy</t>
        </is>
      </c>
      <c r="Q686" s="8" t="inlineStr">
        <is>
          <t>software development</t>
        </is>
      </c>
      <c r="R686" s="8" t="inlineStr">
        <is>
          <t>junior Full Stack Developer</t>
        </is>
      </c>
      <c r="S686" s="19" t="n"/>
      <c r="T686" s="19" t="n"/>
      <c r="U686" s="14" t="n">
        <v>46191</v>
      </c>
      <c r="V686" s="7" t="inlineStr">
        <is>
          <t>v2-cv-accuracy-13b988b18da8ea7d</t>
        </is>
      </c>
    </row>
    <row r="687" ht="28" customHeight="1">
      <c r="A687" s="12">
        <f>IF($L687="applied","Applied",IF($L687="interview","Interview",IF($L687="offer","Offer",IF($L687="rejected","Rejected",IF($L687="ignore","Ignore",IF($L687="archive","Archive",IF($L687="closed","Closed",IF($B687="","Unscored",IF(AND($B687&gt;=8,OR($H687="",$H687-TODAY()&lt;=14)),"P1 Apply",IF($B687&gt;=7,"P2 Strong",IF($B687&gt;=5,"P3 Maybe","P4 Low")))))))))))</f>
        <v/>
      </c>
      <c r="B687" s="13" t="n">
        <v>1.22</v>
      </c>
      <c r="C687" s="12" t="inlineStr">
        <is>
          <t>Senior/Lead</t>
        </is>
      </c>
      <c r="D687" s="8" t="inlineStr">
        <is>
          <t>R&amp;D Process Developer Engineer</t>
        </is>
      </c>
      <c r="E687" s="7" t="inlineStr">
        <is>
          <t>Unilever</t>
        </is>
      </c>
      <c r="F687" s="8" t="inlineStr">
        <is>
          <t>Leeds, ENG, GB</t>
        </is>
      </c>
      <c r="G687" s="8" t="n"/>
      <c r="H687" s="14" t="n"/>
      <c r="I687" s="15">
        <f>IF($H687="","",$H687-TODAY())</f>
        <v/>
      </c>
      <c r="J687" s="16" t="inlineStr">
        <is>
          <t>Open posting</t>
        </is>
      </c>
      <c r="K687" s="8" t="inlineStr">
        <is>
          <t>filtered by keyword pre-scan</t>
        </is>
      </c>
      <c r="L687" s="17" t="inlineStr">
        <is>
          <t>new</t>
        </is>
      </c>
      <c r="M687" s="18" t="inlineStr"/>
      <c r="N687" s="7" t="inlineStr">
        <is>
          <t>c8b5b95bec88cfe3a902c27b88490c81871976bf</t>
        </is>
      </c>
      <c r="O687" s="14" t="n">
        <v>46191</v>
      </c>
      <c r="P687" s="7" t="inlineStr">
        <is>
          <t>jobspy</t>
        </is>
      </c>
      <c r="Q687" s="8" t="inlineStr">
        <is>
          <t>python, git</t>
        </is>
      </c>
      <c r="R687" s="8" t="inlineStr">
        <is>
          <t>Graduate Software Developer</t>
        </is>
      </c>
      <c r="S687" s="19" t="n"/>
      <c r="T687" s="19" t="n"/>
      <c r="U687" s="14" t="n">
        <v>46191</v>
      </c>
      <c r="V687" s="7" t="inlineStr">
        <is>
          <t>v2-cv-accuracy-13b988b18da8ea7d</t>
        </is>
      </c>
    </row>
    <row r="688" ht="28" customHeight="1">
      <c r="A688" s="12">
        <f>IF($L688="applied","Applied",IF($L688="interview","Interview",IF($L688="offer","Offer",IF($L688="rejected","Rejected",IF($L688="ignore","Ignore",IF($L688="archive","Archive",IF($L688="closed","Closed",IF($B688="","Unscored",IF(AND($B688&gt;=8,OR($H688="",$H688-TODAY()&lt;=14)),"P1 Apply",IF($B688&gt;=7,"P2 Strong",IF($B688&gt;=5,"P3 Maybe","P4 Low")))))))))))</f>
        <v/>
      </c>
      <c r="B688" s="13" t="n">
        <v>1.22</v>
      </c>
      <c r="C688" s="12" t="inlineStr">
        <is>
          <t>Junior</t>
        </is>
      </c>
      <c r="D688" s="8" t="inlineStr">
        <is>
          <t>Full Stack Engineer (£55k–£95k + Equity) at Valyu</t>
        </is>
      </c>
      <c r="E688" s="7" t="inlineStr">
        <is>
          <t>Jack &amp; Jill</t>
        </is>
      </c>
      <c r="F688" s="8" t="inlineStr">
        <is>
          <t>London, England, UK</t>
        </is>
      </c>
      <c r="G688" s="8" t="n"/>
      <c r="H688" s="14" t="n"/>
      <c r="I688" s="15">
        <f>IF($H688="","",$H688-TODAY())</f>
        <v/>
      </c>
      <c r="J688" s="16" t="inlineStr">
        <is>
          <t>Open posting</t>
        </is>
      </c>
      <c r="K688" s="8" t="inlineStr">
        <is>
          <t>filtered by keyword pre-scan</t>
        </is>
      </c>
      <c r="L688" s="17" t="inlineStr">
        <is>
          <t>new</t>
        </is>
      </c>
      <c r="M688" s="18" t="inlineStr"/>
      <c r="N688" s="7" t="inlineStr">
        <is>
          <t>15a1e3b1ce3d8297b8e59f4b69fbdff3dcc51200</t>
        </is>
      </c>
      <c r="O688" s="14" t="n"/>
      <c r="P688" s="7" t="inlineStr">
        <is>
          <t>jobspy</t>
        </is>
      </c>
      <c r="Q688" s="8" t="inlineStr">
        <is>
          <t>software development</t>
        </is>
      </c>
      <c r="R688" s="8" t="inlineStr">
        <is>
          <t>junior Full Stack Developer</t>
        </is>
      </c>
      <c r="S688" s="19" t="n"/>
      <c r="T688" s="19" t="n"/>
      <c r="U688" s="14" t="n">
        <v>46191</v>
      </c>
      <c r="V688" s="7" t="inlineStr">
        <is>
          <t>v2-cv-accuracy-13b988b18da8ea7d</t>
        </is>
      </c>
    </row>
    <row r="689" ht="28" customHeight="1">
      <c r="A689" s="12">
        <f>IF($L689="applied","Applied",IF($L689="interview","Interview",IF($L689="offer","Offer",IF($L689="rejected","Rejected",IF($L689="ignore","Ignore",IF($L689="archive","Archive",IF($L689="closed","Closed",IF($B689="","Unscored",IF(AND($B689&gt;=8,OR($H689="",$H689-TODAY()&lt;=14)),"P1 Apply",IF($B689&gt;=7,"P2 Strong",IF($B689&gt;=5,"P3 Maybe","P4 Low")))))))))))</f>
        <v/>
      </c>
      <c r="B689" s="13" t="n">
        <v>1.22</v>
      </c>
      <c r="C689" s="12" t="inlineStr">
        <is>
          <t>Junior</t>
        </is>
      </c>
      <c r="D689" s="8" t="inlineStr">
        <is>
          <t>Junior Software Engineer</t>
        </is>
      </c>
      <c r="E689" s="7" t="inlineStr">
        <is>
          <t>Corecom Consulting</t>
        </is>
      </c>
      <c r="F689" s="8" t="inlineStr"/>
      <c r="G689" s="8" t="n"/>
      <c r="H689" s="14" t="n"/>
      <c r="I689" s="15">
        <f>IF($H689="","",$H689-TODAY())</f>
        <v/>
      </c>
      <c r="J689" s="16" t="inlineStr">
        <is>
          <t>Open posting</t>
        </is>
      </c>
      <c r="K689" s="8" t="inlineStr">
        <is>
          <t>filtered by keyword pre-scan</t>
        </is>
      </c>
      <c r="L689" s="17" t="inlineStr">
        <is>
          <t>new</t>
        </is>
      </c>
      <c r="M689" s="18" t="inlineStr"/>
      <c r="N689" s="7" t="inlineStr">
        <is>
          <t>dac77c73884e9ba53d348b026415f6b36236c337</t>
        </is>
      </c>
      <c r="O689" s="14" t="n">
        <v>46175</v>
      </c>
      <c r="P689" s="7" t="inlineStr">
        <is>
          <t>jobspy</t>
        </is>
      </c>
      <c r="Q689" s="8" t="inlineStr">
        <is>
          <t>sql, git</t>
        </is>
      </c>
      <c r="R689" s="8" t="inlineStr">
        <is>
          <t>entry level Graduate Software Developer</t>
        </is>
      </c>
      <c r="S689" s="19" t="n"/>
      <c r="T689" s="19" t="n"/>
      <c r="U689" s="14" t="n">
        <v>46191</v>
      </c>
      <c r="V689" s="7" t="inlineStr">
        <is>
          <t>v2-cv-accuracy-13b988b18da8ea7d</t>
        </is>
      </c>
    </row>
    <row r="690" ht="28" customHeight="1">
      <c r="A690" s="12">
        <f>IF($L690="applied","Applied",IF($L690="interview","Interview",IF($L690="offer","Offer",IF($L690="rejected","Rejected",IF($L690="ignore","Ignore",IF($L690="archive","Archive",IF($L690="closed","Closed",IF($B690="","Unscored",IF(AND($B690&gt;=8,OR($H690="",$H690-TODAY()&lt;=14)),"P1 Apply",IF($B690&gt;=7,"P2 Strong",IF($B690&gt;=5,"P3 Maybe","P4 Low")))))))))))</f>
        <v/>
      </c>
      <c r="B690" s="13" t="n">
        <v>1.22</v>
      </c>
      <c r="C690" s="12" t="inlineStr">
        <is>
          <t>Unspecified</t>
        </is>
      </c>
      <c r="D690" s="8" t="inlineStr">
        <is>
          <t>Software Engineer</t>
        </is>
      </c>
      <c r="E690" s="7" t="inlineStr">
        <is>
          <t>Tenth Revolution Group</t>
        </is>
      </c>
      <c r="F690" s="8" t="inlineStr">
        <is>
          <t>Newcastle Upon Tyne, England, UK</t>
        </is>
      </c>
      <c r="G690" s="8" t="n"/>
      <c r="H690" s="14" t="n"/>
      <c r="I690" s="15">
        <f>IF($H690="","",$H690-TODAY())</f>
        <v/>
      </c>
      <c r="J690" s="16" t="inlineStr">
        <is>
          <t>Open posting</t>
        </is>
      </c>
      <c r="K690" s="8" t="inlineStr">
        <is>
          <t>filtered by keyword pre-scan</t>
        </is>
      </c>
      <c r="L690" s="17" t="inlineStr">
        <is>
          <t>new</t>
        </is>
      </c>
      <c r="M690" s="18" t="inlineStr"/>
      <c r="N690" s="7" t="inlineStr">
        <is>
          <t>a05d62e4211622624185725489216db02d92bc54</t>
        </is>
      </c>
      <c r="O690" s="14" t="n">
        <v>46185</v>
      </c>
      <c r="P690" s="7" t="inlineStr">
        <is>
          <t>jobspy</t>
        </is>
      </c>
      <c r="Q690" s="8" t="inlineStr">
        <is>
          <t>python, software development</t>
        </is>
      </c>
      <c r="R690" s="8" t="inlineStr">
        <is>
          <t>Junior Python Developer</t>
        </is>
      </c>
      <c r="S690" s="19" t="n"/>
      <c r="T690" s="19" t="n"/>
      <c r="U690" s="14" t="n">
        <v>46191</v>
      </c>
      <c r="V690" s="7" t="inlineStr">
        <is>
          <t>v2-cv-accuracy-13b988b18da8ea7d</t>
        </is>
      </c>
    </row>
    <row r="691" ht="28" customHeight="1">
      <c r="A691" s="12">
        <f>IF($L691="applied","Applied",IF($L691="interview","Interview",IF($L691="offer","Offer",IF($L691="rejected","Rejected",IF($L691="ignore","Ignore",IF($L691="archive","Archive",IF($L691="closed","Closed",IF($B691="","Unscored",IF(AND($B691&gt;=8,OR($H691="",$H691-TODAY()&lt;=14)),"P1 Apply",IF($B691&gt;=7,"P2 Strong",IF($B691&gt;=5,"P3 Maybe","P4 Low")))))))))))</f>
        <v/>
      </c>
      <c r="B691" s="13" t="n">
        <v>1.18</v>
      </c>
      <c r="C691" s="12" t="inlineStr">
        <is>
          <t>Unspecified</t>
        </is>
      </c>
      <c r="D691" s="8" t="inlineStr">
        <is>
          <t>Software Engineer</t>
        </is>
      </c>
      <c r="E691" s="7" t="inlineStr">
        <is>
          <t>MDA Space</t>
        </is>
      </c>
      <c r="F691" s="8" t="inlineStr">
        <is>
          <t>Stevenage, England, UK</t>
        </is>
      </c>
      <c r="G691" s="8" t="n"/>
      <c r="H691" s="14" t="n"/>
      <c r="I691" s="15">
        <f>IF($H691="","",$H691-TODAY())</f>
        <v/>
      </c>
      <c r="J691" s="16" t="inlineStr">
        <is>
          <t>Open posting</t>
        </is>
      </c>
      <c r="K691" s="8" t="inlineStr">
        <is>
          <t>filtered by keyword pre-scan</t>
        </is>
      </c>
      <c r="L691" s="17" t="inlineStr">
        <is>
          <t>new</t>
        </is>
      </c>
      <c r="M691" s="18" t="inlineStr"/>
      <c r="N691" s="7" t="inlineStr">
        <is>
          <t>848f18e58d81a6a320f37c659987ccc2936e88c5</t>
        </is>
      </c>
      <c r="O691" s="14" t="n"/>
      <c r="P691" s="7" t="inlineStr">
        <is>
          <t>jobspy</t>
        </is>
      </c>
      <c r="Q691" s="8" t="inlineStr">
        <is>
          <t>python, git, c</t>
        </is>
      </c>
      <c r="R691" s="8" t="inlineStr">
        <is>
          <t>Graduate Embedded Engineer Python FPGA</t>
        </is>
      </c>
      <c r="S691" s="19" t="n"/>
      <c r="T691" s="19" t="n"/>
      <c r="U691" s="14" t="n">
        <v>46193</v>
      </c>
      <c r="V691" s="7" t="inlineStr">
        <is>
          <t>v2-cv-accuracy-13b988b18da8ea7d</t>
        </is>
      </c>
    </row>
    <row r="692" ht="28" customHeight="1">
      <c r="A692" s="12">
        <f>IF($L692="applied","Applied",IF($L692="interview","Interview",IF($L692="offer","Offer",IF($L692="rejected","Rejected",IF($L692="ignore","Ignore",IF($L692="archive","Archive",IF($L692="closed","Closed",IF($B692="","Unscored",IF(AND($B692&gt;=8,OR($H692="",$H692-TODAY()&lt;=14)),"P1 Apply",IF($B692&gt;=7,"P2 Strong",IF($B692&gt;=5,"P3 Maybe","P4 Low")))))))))))</f>
        <v/>
      </c>
      <c r="B692" s="13" t="n">
        <v>1.18</v>
      </c>
      <c r="C692" s="12" t="inlineStr">
        <is>
          <t>Mid-level</t>
        </is>
      </c>
      <c r="D692" s="8" t="inlineStr">
        <is>
          <t>Software Engineer - Leeds</t>
        </is>
      </c>
      <c r="E692" s="7" t="inlineStr">
        <is>
          <t>Accenture UK &amp; Ireland</t>
        </is>
      </c>
      <c r="F692" s="8" t="inlineStr">
        <is>
          <t>Leeds, England, UK</t>
        </is>
      </c>
      <c r="G692" s="8" t="n"/>
      <c r="H692" s="14" t="n"/>
      <c r="I692" s="15">
        <f>IF($H692="","",$H692-TODAY())</f>
        <v/>
      </c>
      <c r="J692" s="16" t="inlineStr">
        <is>
          <t>Open posting</t>
        </is>
      </c>
      <c r="K692" s="8" t="inlineStr">
        <is>
          <t>filtered by keyword pre-scan</t>
        </is>
      </c>
      <c r="L692" s="17" t="inlineStr">
        <is>
          <t>new</t>
        </is>
      </c>
      <c r="M692" s="18" t="inlineStr"/>
      <c r="N692" s="7" t="inlineStr">
        <is>
          <t>452100522462b765818fde520e4dd977f2c88218</t>
        </is>
      </c>
      <c r="O692" s="14" t="n">
        <v>46192</v>
      </c>
      <c r="P692" s="7" t="inlineStr">
        <is>
          <t>jobspy</t>
        </is>
      </c>
      <c r="Q692" s="8" t="inlineStr">
        <is>
          <t>python, git, c</t>
        </is>
      </c>
      <c r="R692" s="8" t="inlineStr">
        <is>
          <t>Junior Python Developer backend SQL Sheffield</t>
        </is>
      </c>
      <c r="S692" s="19" t="n"/>
      <c r="T692" s="19" t="n"/>
      <c r="U692" s="14" t="n">
        <v>46193</v>
      </c>
      <c r="V692" s="7" t="inlineStr">
        <is>
          <t>v2-cv-accuracy-13b988b18da8ea7d</t>
        </is>
      </c>
    </row>
    <row r="693" ht="28" customHeight="1">
      <c r="A693" s="12">
        <f>IF($L693="applied","Applied",IF($L693="interview","Interview",IF($L693="offer","Offer",IF($L693="rejected","Rejected",IF($L693="ignore","Ignore",IF($L693="archive","Archive",IF($L693="closed","Closed",IF($B693="","Unscored",IF(AND($B693&gt;=8,OR($H693="",$H693-TODAY()&lt;=14)),"P1 Apply",IF($B693&gt;=7,"P2 Strong",IF($B693&gt;=5,"P3 Maybe","P4 Low")))))))))))</f>
        <v/>
      </c>
      <c r="B693" s="13" t="n">
        <v>1.18</v>
      </c>
      <c r="C693" s="12" t="inlineStr">
        <is>
          <t>Unspecified</t>
        </is>
      </c>
      <c r="D693" s="8" t="inlineStr">
        <is>
          <t>Cloud DevOps Engineer</t>
        </is>
      </c>
      <c r="E693" s="7" t="inlineStr">
        <is>
          <t>British Business Bank</t>
        </is>
      </c>
      <c r="F693" s="8" t="inlineStr">
        <is>
          <t>Sheffield, England, UK</t>
        </is>
      </c>
      <c r="G693" s="8" t="n"/>
      <c r="H693" s="14" t="n"/>
      <c r="I693" s="15">
        <f>IF($H693="","",$H693-TODAY())</f>
        <v/>
      </c>
      <c r="J693" s="16" t="inlineStr">
        <is>
          <t>Open posting</t>
        </is>
      </c>
      <c r="K693" s="8" t="inlineStr">
        <is>
          <t>filtered by keyword pre-scan</t>
        </is>
      </c>
      <c r="L693" s="17" t="inlineStr">
        <is>
          <t>new</t>
        </is>
      </c>
      <c r="M693" s="18" t="inlineStr"/>
      <c r="N693" s="7" t="inlineStr">
        <is>
          <t>e0ca10c6390d46b5f4ff4d220cd9f6585b975d5a</t>
        </is>
      </c>
      <c r="O693" s="14" t="n">
        <v>46192</v>
      </c>
      <c r="P693" s="7" t="inlineStr">
        <is>
          <t>jobspy</t>
        </is>
      </c>
      <c r="Q693" s="8" t="inlineStr">
        <is>
          <t>python, git, c</t>
        </is>
      </c>
      <c r="R693" s="8" t="inlineStr">
        <is>
          <t>Graduate DevOps Engineer Python CI/CD Sheffield</t>
        </is>
      </c>
      <c r="S693" s="19" t="n"/>
      <c r="T693" s="19" t="n"/>
      <c r="U693" s="14" t="n">
        <v>46193</v>
      </c>
      <c r="V693" s="7" t="inlineStr">
        <is>
          <t>v2-cv-accuracy-13b988b18da8ea7d</t>
        </is>
      </c>
    </row>
    <row r="694" ht="28" customHeight="1">
      <c r="A694" s="12">
        <f>IF($L694="applied","Applied",IF($L694="interview","Interview",IF($L694="offer","Offer",IF($L694="rejected","Rejected",IF($L694="ignore","Ignore",IF($L694="archive","Archive",IF($L694="closed","Closed",IF($B694="","Unscored",IF(AND($B694&gt;=8,OR($H694="",$H694-TODAY()&lt;=14)),"P1 Apply",IF($B694&gt;=7,"P2 Strong",IF($B694&gt;=5,"P3 Maybe","P4 Low")))))))))))</f>
        <v/>
      </c>
      <c r="B694" s="13" t="n">
        <v>1.18</v>
      </c>
      <c r="C694" s="12" t="inlineStr">
        <is>
          <t>Senior/Lead</t>
        </is>
      </c>
      <c r="D694" s="8" t="inlineStr">
        <is>
          <t>Debug Validation Engineer — Multiple Levels</t>
        </is>
      </c>
      <c r="E694" s="7" t="inlineStr">
        <is>
          <t>Graphcore</t>
        </is>
      </c>
      <c r="F694" s="8" t="inlineStr">
        <is>
          <t>Bristol, UK</t>
        </is>
      </c>
      <c r="G694" s="8" t="n"/>
      <c r="H694" s="14" t="n"/>
      <c r="I694" s="15">
        <f>IF($H694="","",$H694-TODAY())</f>
        <v/>
      </c>
      <c r="J694" s="16" t="inlineStr">
        <is>
          <t>Open posting</t>
        </is>
      </c>
      <c r="K694" s="8" t="inlineStr">
        <is>
          <t>filtered by keyword pre-scan</t>
        </is>
      </c>
      <c r="L694" s="17" t="inlineStr">
        <is>
          <t>new</t>
        </is>
      </c>
      <c r="M694" s="18" t="inlineStr"/>
      <c r="N694" s="7" t="inlineStr">
        <is>
          <t>b7044108786d3a54a6621988359c3067a39d393b</t>
        </is>
      </c>
      <c r="O694" s="14" t="n">
        <v>46193</v>
      </c>
      <c r="P694" s="7" t="inlineStr">
        <is>
          <t>greenhouse:graphcore</t>
        </is>
      </c>
      <c r="Q694" s="8" t="inlineStr">
        <is>
          <t>python, git, c</t>
        </is>
      </c>
      <c r="R694" s="8" t="n"/>
      <c r="S694" s="19" t="n"/>
      <c r="T694" s="19" t="n"/>
      <c r="U694" s="14" t="n">
        <v>46193</v>
      </c>
      <c r="V694" s="7" t="inlineStr">
        <is>
          <t>v2-cv-accuracy-13b988b18da8ea7d</t>
        </is>
      </c>
    </row>
    <row r="695" ht="28" customHeight="1">
      <c r="A695" s="12">
        <f>IF($L695="applied","Applied",IF($L695="interview","Interview",IF($L695="offer","Offer",IF($L695="rejected","Rejected",IF($L695="ignore","Ignore",IF($L695="archive","Archive",IF($L695="closed","Closed",IF($B695="","Unscored",IF(AND($B695&gt;=8,OR($H695="",$H695-TODAY()&lt;=14)),"P1 Apply",IF($B695&gt;=7,"P2 Strong",IF($B695&gt;=5,"P3 Maybe","P4 Low")))))))))))</f>
        <v/>
      </c>
      <c r="B695" s="13" t="n">
        <v>1.18</v>
      </c>
      <c r="C695" s="12" t="inlineStr">
        <is>
          <t>Graduate/Entry</t>
        </is>
      </c>
      <c r="D695" s="8" t="inlineStr">
        <is>
          <t>2026 Technology Graduate Programme – Platform Engineer</t>
        </is>
      </c>
      <c r="E695" s="7" t="inlineStr">
        <is>
          <t>Man Group</t>
        </is>
      </c>
      <c r="F695" s="8" t="inlineStr">
        <is>
          <t>London, England, UK</t>
        </is>
      </c>
      <c r="G695" s="8" t="n"/>
      <c r="H695" s="14" t="n"/>
      <c r="I695" s="15">
        <f>IF($H695="","",$H695-TODAY())</f>
        <v/>
      </c>
      <c r="J695" s="16" t="inlineStr">
        <is>
          <t>Open posting</t>
        </is>
      </c>
      <c r="K695" s="8" t="inlineStr">
        <is>
          <t>filtered by keyword pre-scan</t>
        </is>
      </c>
      <c r="L695" s="17" t="inlineStr">
        <is>
          <t>new</t>
        </is>
      </c>
      <c r="M695" s="18" t="inlineStr"/>
      <c r="N695" s="7" t="inlineStr">
        <is>
          <t>5f218d77898a7eaf35df7983fe98d89e5a7ab555</t>
        </is>
      </c>
      <c r="O695" s="14" t="n">
        <v>46190</v>
      </c>
      <c r="P695" s="7" t="inlineStr">
        <is>
          <t>jobspy</t>
        </is>
      </c>
      <c r="Q695" s="8" t="inlineStr">
        <is>
          <t>python, git, c</t>
        </is>
      </c>
      <c r="R695" s="8" t="inlineStr">
        <is>
          <t>Graduate Software Engineer Python Docker</t>
        </is>
      </c>
      <c r="S695" s="19" t="n"/>
      <c r="T695" s="19" t="n"/>
      <c r="U695" s="14" t="n">
        <v>46193</v>
      </c>
      <c r="V695" s="7" t="inlineStr">
        <is>
          <t>v2-cv-accuracy-13b988b18da8ea7d</t>
        </is>
      </c>
    </row>
    <row r="696" ht="28" customHeight="1">
      <c r="A696" s="12">
        <f>IF($L696="applied","Applied",IF($L696="interview","Interview",IF($L696="offer","Offer",IF($L696="rejected","Rejected",IF($L696="ignore","Ignore",IF($L696="archive","Archive",IF($L696="closed","Closed",IF($B696="","Unscored",IF(AND($B696&gt;=8,OR($H696="",$H696-TODAY()&lt;=14)),"P1 Apply",IF($B696&gt;=7,"P2 Strong",IF($B696&gt;=5,"P3 Maybe","P4 Low")))))))))))</f>
        <v/>
      </c>
      <c r="B696" s="13" t="n">
        <v>1.18</v>
      </c>
      <c r="C696" s="12" t="inlineStr">
        <is>
          <t>Junior</t>
        </is>
      </c>
      <c r="D696" s="8" t="inlineStr">
        <is>
          <t>Python Software Engineer</t>
        </is>
      </c>
      <c r="E696" s="7" t="inlineStr">
        <is>
          <t>Cboe Global Markets</t>
        </is>
      </c>
      <c r="F696" s="8" t="inlineStr">
        <is>
          <t>London, England, UK</t>
        </is>
      </c>
      <c r="G696" s="8" t="n"/>
      <c r="H696" s="14" t="n"/>
      <c r="I696" s="15">
        <f>IF($H696="","",$H696-TODAY())</f>
        <v/>
      </c>
      <c r="J696" s="16" t="inlineStr">
        <is>
          <t>Open posting</t>
        </is>
      </c>
      <c r="K696" s="8" t="inlineStr">
        <is>
          <t>filtered by keyword pre-scan</t>
        </is>
      </c>
      <c r="L696" s="17" t="inlineStr">
        <is>
          <t>new</t>
        </is>
      </c>
      <c r="M696" s="18" t="inlineStr"/>
      <c r="N696" s="7" t="inlineStr">
        <is>
          <t>c0cf014f3d4b83ffda2decd47dd6dc52001f366a</t>
        </is>
      </c>
      <c r="O696" s="14" t="n">
        <v>46174</v>
      </c>
      <c r="P696" s="7" t="inlineStr">
        <is>
          <t>jobspy</t>
        </is>
      </c>
      <c r="Q696" s="8" t="inlineStr">
        <is>
          <t>python, sql, c</t>
        </is>
      </c>
      <c r="R696" s="8" t="inlineStr">
        <is>
          <t>Junior Python Developer SQL Docker</t>
        </is>
      </c>
      <c r="S696" s="19" t="n"/>
      <c r="T696" s="19" t="n"/>
      <c r="U696" s="14" t="n">
        <v>46193</v>
      </c>
      <c r="V696" s="7" t="inlineStr">
        <is>
          <t>v2-cv-accuracy-13b988b18da8ea7d</t>
        </is>
      </c>
    </row>
    <row r="697" ht="28" customHeight="1">
      <c r="A697" s="12">
        <f>IF($L697="applied","Applied",IF($L697="interview","Interview",IF($L697="offer","Offer",IF($L697="rejected","Rejected",IF($L697="ignore","Ignore",IF($L697="archive","Archive",IF($L697="closed","Closed",IF($B697="","Unscored",IF(AND($B697&gt;=8,OR($H697="",$H697-TODAY()&lt;=14)),"P1 Apply",IF($B697&gt;=7,"P2 Strong",IF($B697&gt;=5,"P3 Maybe","P4 Low")))))))))))</f>
        <v/>
      </c>
      <c r="B697" s="13" t="n">
        <v>1.18</v>
      </c>
      <c r="C697" s="12" t="inlineStr">
        <is>
          <t>Senior/Lead</t>
        </is>
      </c>
      <c r="D697" s="8" t="inlineStr">
        <is>
          <t>Software Development Engineer</t>
        </is>
      </c>
      <c r="E697" s="7" t="inlineStr">
        <is>
          <t>AMD</t>
        </is>
      </c>
      <c r="F697" s="8" t="inlineStr">
        <is>
          <t>Belfast, Northern Ireland, UK</t>
        </is>
      </c>
      <c r="G697" s="8" t="n"/>
      <c r="H697" s="14" t="n"/>
      <c r="I697" s="15">
        <f>IF($H697="","",$H697-TODAY())</f>
        <v/>
      </c>
      <c r="J697" s="16" t="inlineStr">
        <is>
          <t>Open posting</t>
        </is>
      </c>
      <c r="K697" s="8" t="inlineStr">
        <is>
          <t>filtered by keyword pre-scan</t>
        </is>
      </c>
      <c r="L697" s="17" t="inlineStr">
        <is>
          <t>new</t>
        </is>
      </c>
      <c r="M697" s="18" t="inlineStr"/>
      <c r="N697" s="7" t="inlineStr">
        <is>
          <t>4ebfc1a17c5cf2e46a7e54f9ef4e774b576862dc</t>
        </is>
      </c>
      <c r="O697" s="14" t="n">
        <v>46186</v>
      </c>
      <c r="P697" s="7" t="inlineStr">
        <is>
          <t>jobspy</t>
        </is>
      </c>
      <c r="Q697" s="8" t="inlineStr">
        <is>
          <t>python, c, embedded systems</t>
        </is>
      </c>
      <c r="R697" s="8" t="inlineStr">
        <is>
          <t>Embedded Systems Engineer FPGA DSP</t>
        </is>
      </c>
      <c r="S697" s="19" t="n"/>
      <c r="T697" s="19" t="n"/>
      <c r="U697" s="14" t="n">
        <v>46193</v>
      </c>
      <c r="V697" s="7" t="inlineStr">
        <is>
          <t>v2-cv-accuracy-13b988b18da8ea7d</t>
        </is>
      </c>
    </row>
    <row r="698" ht="28" customHeight="1">
      <c r="A698" s="12">
        <f>IF($L698="applied","Applied",IF($L698="interview","Interview",IF($L698="offer","Offer",IF($L698="rejected","Rejected",IF($L698="ignore","Ignore",IF($L698="archive","Archive",IF($L698="closed","Closed",IF($B698="","Unscored",IF(AND($B698&gt;=8,OR($H698="",$H698-TODAY()&lt;=14)),"P1 Apply",IF($B698&gt;=7,"P2 Strong",IF($B698&gt;=5,"P3 Maybe","P4 Low")))))))))))</f>
        <v/>
      </c>
      <c r="B698" s="13" t="n">
        <v>1.18</v>
      </c>
      <c r="C698" s="12" t="inlineStr">
        <is>
          <t>Junior</t>
        </is>
      </c>
      <c r="D698" s="8" t="inlineStr">
        <is>
          <t>AI Solutions Architect</t>
        </is>
      </c>
      <c r="E698" s="7" t="inlineStr">
        <is>
          <t>PHINIA</t>
        </is>
      </c>
      <c r="F698" s="8" t="inlineStr">
        <is>
          <t>Gillingham, ENG, GB</t>
        </is>
      </c>
      <c r="G698" s="8" t="n"/>
      <c r="H698" s="14" t="n"/>
      <c r="I698" s="15">
        <f>IF($H698="","",$H698-TODAY())</f>
        <v/>
      </c>
      <c r="J698" s="16" t="inlineStr">
        <is>
          <t>Open posting</t>
        </is>
      </c>
      <c r="K698" s="8" t="inlineStr">
        <is>
          <t>filtered by keyword pre-scan</t>
        </is>
      </c>
      <c r="L698" s="17" t="inlineStr">
        <is>
          <t>new</t>
        </is>
      </c>
      <c r="M698" s="18" t="inlineStr"/>
      <c r="N698" s="7" t="inlineStr">
        <is>
          <t>73801859da83ee360c3747866cb30af8ecc76aa1</t>
        </is>
      </c>
      <c r="O698" s="14" t="n">
        <v>46191</v>
      </c>
      <c r="P698" s="7" t="inlineStr">
        <is>
          <t>jobspy</t>
        </is>
      </c>
      <c r="Q698" s="8" t="inlineStr">
        <is>
          <t>docker, kubernetes, c</t>
        </is>
      </c>
      <c r="R698" s="8" t="inlineStr">
        <is>
          <t>Platform Engineer Docker Kubernetes Python</t>
        </is>
      </c>
      <c r="S698" s="19" t="n"/>
      <c r="T698" s="19" t="n"/>
      <c r="U698" s="14" t="n">
        <v>46193</v>
      </c>
      <c r="V698" s="7" t="inlineStr">
        <is>
          <t>v2-cv-accuracy-13b988b18da8ea7d</t>
        </is>
      </c>
    </row>
    <row r="699" ht="28" customHeight="1">
      <c r="A699" s="12">
        <f>IF($L699="applied","Applied",IF($L699="interview","Interview",IF($L699="offer","Offer",IF($L699="rejected","Rejected",IF($L699="ignore","Ignore",IF($L699="archive","Archive",IF($L699="closed","Closed",IF($B699="","Unscored",IF(AND($B699&gt;=8,OR($H699="",$H699-TODAY()&lt;=14)),"P1 Apply",IF($B699&gt;=7,"P2 Strong",IF($B699&gt;=5,"P3 Maybe","P4 Low")))))))))))</f>
        <v/>
      </c>
      <c r="B699" s="13" t="n">
        <v>1.18</v>
      </c>
      <c r="C699" s="12" t="inlineStr">
        <is>
          <t>Graduate/Entry</t>
        </is>
      </c>
      <c r="D699" s="8" t="inlineStr">
        <is>
          <t>Graduate Digital Analyst</t>
        </is>
      </c>
      <c r="E699" s="7" t="inlineStr">
        <is>
          <t>Progeny</t>
        </is>
      </c>
      <c r="F699" s="8" t="inlineStr">
        <is>
          <t>Leeds, England, UK</t>
        </is>
      </c>
      <c r="G699" s="8" t="n"/>
      <c r="H699" s="14" t="n"/>
      <c r="I699" s="15">
        <f>IF($H699="","",$H699-TODAY())</f>
        <v/>
      </c>
      <c r="J699" s="16" t="inlineStr">
        <is>
          <t>Open posting</t>
        </is>
      </c>
      <c r="K699" s="8" t="inlineStr">
        <is>
          <t>filtered by keyword pre-scan</t>
        </is>
      </c>
      <c r="L699" s="17" t="inlineStr">
        <is>
          <t>new</t>
        </is>
      </c>
      <c r="M699" s="18" t="inlineStr"/>
      <c r="N699" s="7" t="inlineStr">
        <is>
          <t>1f446b46c83442b35b71185773a82e8b8d462a65</t>
        </is>
      </c>
      <c r="O699" s="14" t="n">
        <v>46188</v>
      </c>
      <c r="P699" s="7" t="inlineStr">
        <is>
          <t>jobspy</t>
        </is>
      </c>
      <c r="Q699" s="8" t="inlineStr">
        <is>
          <t>api integration, git, c</t>
        </is>
      </c>
      <c r="R699" s="8" t="inlineStr">
        <is>
          <t>Graduate Computer Engineer Sheffield</t>
        </is>
      </c>
      <c r="S699" s="19" t="n"/>
      <c r="T699" s="19" t="n"/>
      <c r="U699" s="14" t="n">
        <v>46193</v>
      </c>
      <c r="V699" s="7" t="inlineStr">
        <is>
          <t>v2-cv-accuracy-13b988b18da8ea7d</t>
        </is>
      </c>
    </row>
    <row r="700" ht="28" customHeight="1">
      <c r="A700" s="12">
        <f>IF($L700="applied","Applied",IF($L700="interview","Interview",IF($L700="offer","Offer",IF($L700="rejected","Rejected",IF($L700="ignore","Ignore",IF($L700="archive","Archive",IF($L700="closed","Closed",IF($B700="","Unscored",IF(AND($B700&gt;=8,OR($H700="",$H700-TODAY()&lt;=14)),"P1 Apply",IF($B700&gt;=7,"P2 Strong",IF($B700&gt;=5,"P3 Maybe","P4 Low")))))))))))</f>
        <v/>
      </c>
      <c r="B700" s="13" t="n">
        <v>1.18</v>
      </c>
      <c r="C700" s="12" t="inlineStr">
        <is>
          <t>Unspecified</t>
        </is>
      </c>
      <c r="D700" s="8" t="inlineStr">
        <is>
          <t>Algorithms Engineer</t>
        </is>
      </c>
      <c r="E700" s="7" t="inlineStr">
        <is>
          <t>Expleo Group</t>
        </is>
      </c>
      <c r="F700" s="8" t="inlineStr">
        <is>
          <t>Greater Manchester, England, UK</t>
        </is>
      </c>
      <c r="G700" s="8" t="n"/>
      <c r="H700" s="14" t="n"/>
      <c r="I700" s="15">
        <f>IF($H700="","",$H700-TODAY())</f>
        <v/>
      </c>
      <c r="J700" s="16" t="inlineStr">
        <is>
          <t>Open posting</t>
        </is>
      </c>
      <c r="K700" s="8" t="inlineStr">
        <is>
          <t>filtered by keyword pre-scan</t>
        </is>
      </c>
      <c r="L700" s="17" t="inlineStr">
        <is>
          <t>new</t>
        </is>
      </c>
      <c r="M700" s="18" t="inlineStr"/>
      <c r="N700" s="7" t="inlineStr">
        <is>
          <t>71170b243de109d043ab69fd7b4c7f90cc3e549f</t>
        </is>
      </c>
      <c r="O700" s="14" t="n">
        <v>46191</v>
      </c>
      <c r="P700" s="7" t="inlineStr">
        <is>
          <t>jobspy</t>
        </is>
      </c>
      <c r="Q700" s="8" t="inlineStr">
        <is>
          <t>c, embedded systems</t>
        </is>
      </c>
      <c r="R700" s="8" t="inlineStr">
        <is>
          <t>Signal Processing Engineer DSP FPGA</t>
        </is>
      </c>
      <c r="S700" s="19" t="n"/>
      <c r="T700" s="19" t="n"/>
      <c r="U700" s="14" t="n">
        <v>46193</v>
      </c>
      <c r="V700" s="7" t="inlineStr">
        <is>
          <t>v2-cv-accuracy-13b988b18da8ea7d</t>
        </is>
      </c>
    </row>
    <row r="701" ht="28" customHeight="1">
      <c r="A701" s="12">
        <f>IF($L701="applied","Applied",IF($L701="interview","Interview",IF($L701="offer","Offer",IF($L701="rejected","Rejected",IF($L701="ignore","Ignore",IF($L701="archive","Archive",IF($L701="closed","Closed",IF($B701="","Unscored",IF(AND($B701&gt;=8,OR($H701="",$H701-TODAY()&lt;=14)),"P1 Apply",IF($B701&gt;=7,"P2 Strong",IF($B701&gt;=5,"P3 Maybe","P4 Low")))))))))))</f>
        <v/>
      </c>
      <c r="B701" s="13" t="n">
        <v>1.18</v>
      </c>
      <c r="C701" s="12" t="inlineStr">
        <is>
          <t>Graduate/Entry</t>
        </is>
      </c>
      <c r="D701" s="8" t="inlineStr">
        <is>
          <t>Graduate Software Engineer</t>
        </is>
      </c>
      <c r="E701" s="7" t="inlineStr">
        <is>
          <t>Advanced Resource Managers</t>
        </is>
      </c>
      <c r="F701" s="8" t="inlineStr">
        <is>
          <t>Guildford, England, UK</t>
        </is>
      </c>
      <c r="G701" s="8" t="n"/>
      <c r="H701" s="14" t="n"/>
      <c r="I701" s="15">
        <f>IF($H701="","",$H701-TODAY())</f>
        <v/>
      </c>
      <c r="J701" s="16" t="inlineStr">
        <is>
          <t>Open posting</t>
        </is>
      </c>
      <c r="K701" s="8" t="inlineStr">
        <is>
          <t>filtered by keyword pre-scan</t>
        </is>
      </c>
      <c r="L701" s="17" t="inlineStr">
        <is>
          <t>new</t>
        </is>
      </c>
      <c r="M701" s="18" t="inlineStr"/>
      <c r="N701" s="7" t="inlineStr">
        <is>
          <t>c03792c48642cb7d6b081c322b6d17c3fff34e91</t>
        </is>
      </c>
      <c r="O701" s="14" t="n">
        <v>46188</v>
      </c>
      <c r="P701" s="7" t="inlineStr">
        <is>
          <t>jobspy</t>
        </is>
      </c>
      <c r="Q701" s="8" t="inlineStr">
        <is>
          <t>python, c, javascript</t>
        </is>
      </c>
      <c r="R701" s="8" t="inlineStr">
        <is>
          <t>Junior Software Engineer Python backend</t>
        </is>
      </c>
      <c r="S701" s="19" t="n"/>
      <c r="T701" s="19" t="n"/>
      <c r="U701" s="14" t="n">
        <v>46193</v>
      </c>
      <c r="V701" s="7" t="inlineStr">
        <is>
          <t>v2-cv-accuracy-13b988b18da8ea7d</t>
        </is>
      </c>
    </row>
    <row r="702" ht="28" customHeight="1">
      <c r="A702" s="12">
        <f>IF($L702="applied","Applied",IF($L702="interview","Interview",IF($L702="offer","Offer",IF($L702="rejected","Rejected",IF($L702="ignore","Ignore",IF($L702="archive","Archive",IF($L702="closed","Closed",IF($B702="","Unscored",IF(AND($B702&gt;=8,OR($H702="",$H702-TODAY()&lt;=14)),"P1 Apply",IF($B702&gt;=7,"P2 Strong",IF($B702&gt;=5,"P3 Maybe","P4 Low")))))))))))</f>
        <v/>
      </c>
      <c r="B702" s="13" t="n">
        <v>1.18</v>
      </c>
      <c r="C702" s="12" t="inlineStr">
        <is>
          <t>Graduate/Entry</t>
        </is>
      </c>
      <c r="D702" s="8" t="inlineStr">
        <is>
          <t>Graduate Embedded Software Engineer</t>
        </is>
      </c>
      <c r="E702" s="7" t="inlineStr">
        <is>
          <t>Racelogic Limited</t>
        </is>
      </c>
      <c r="F702" s="8" t="inlineStr">
        <is>
          <t>Buckingham, ENG, GB</t>
        </is>
      </c>
      <c r="G702" s="8" t="n"/>
      <c r="H702" s="14" t="n"/>
      <c r="I702" s="15">
        <f>IF($H702="","",$H702-TODAY())</f>
        <v/>
      </c>
      <c r="J702" s="16" t="inlineStr">
        <is>
          <t>Open posting</t>
        </is>
      </c>
      <c r="K702" s="8" t="inlineStr">
        <is>
          <t>filtered by keyword pre-scan</t>
        </is>
      </c>
      <c r="L702" s="17" t="inlineStr">
        <is>
          <t>new</t>
        </is>
      </c>
      <c r="M702" s="18" t="inlineStr"/>
      <c r="N702" s="7" t="inlineStr">
        <is>
          <t>e749e7473869dad0299ab6fe635c1c1584e2cd03</t>
        </is>
      </c>
      <c r="O702" s="14" t="n">
        <v>46186</v>
      </c>
      <c r="P702" s="7" t="inlineStr">
        <is>
          <t>jobspy</t>
        </is>
      </c>
      <c r="Q702" s="8" t="inlineStr">
        <is>
          <t>python, c, embedded systems</t>
        </is>
      </c>
      <c r="R702" s="8" t="inlineStr">
        <is>
          <t>Graduate Systems Engineer embedded hardware software</t>
        </is>
      </c>
      <c r="S702" s="19" t="n"/>
      <c r="T702" s="19" t="n"/>
      <c r="U702" s="14" t="n">
        <v>46192</v>
      </c>
      <c r="V702" s="7" t="inlineStr">
        <is>
          <t>v2-cv-accuracy-13b988b18da8ea7d</t>
        </is>
      </c>
    </row>
    <row r="703" ht="28" customHeight="1">
      <c r="A703" s="12">
        <f>IF($L703="applied","Applied",IF($L703="interview","Interview",IF($L703="offer","Offer",IF($L703="rejected","Rejected",IF($L703="ignore","Ignore",IF($L703="archive","Archive",IF($L703="closed","Closed",IF($B703="","Unscored",IF(AND($B703&gt;=8,OR($H703="",$H703-TODAY()&lt;=14)),"P1 Apply",IF($B703&gt;=7,"P2 Strong",IF($B703&gt;=5,"P3 Maybe","P4 Low")))))))))))</f>
        <v/>
      </c>
      <c r="B703" s="13" t="n">
        <v>1.18</v>
      </c>
      <c r="C703" s="12" t="inlineStr">
        <is>
          <t>Unspecified</t>
        </is>
      </c>
      <c r="D703" s="8" t="inlineStr">
        <is>
          <t>System Engineer</t>
        </is>
      </c>
      <c r="E703" s="7" t="inlineStr">
        <is>
          <t>Applied Intuition</t>
        </is>
      </c>
      <c r="F703" s="8" t="inlineStr">
        <is>
          <t>London Area, United Kingdom</t>
        </is>
      </c>
      <c r="G703" s="8" t="n"/>
      <c r="H703" s="14" t="n"/>
      <c r="I703" s="15">
        <f>IF($H703="","",$H703-TODAY())</f>
        <v/>
      </c>
      <c r="J703" s="16" t="inlineStr">
        <is>
          <t>Open posting</t>
        </is>
      </c>
      <c r="K703" s="8" t="inlineStr">
        <is>
          <t>filtered by keyword pre-scan</t>
        </is>
      </c>
      <c r="L703" s="17" t="inlineStr">
        <is>
          <t>new</t>
        </is>
      </c>
      <c r="M703" s="18" t="inlineStr"/>
      <c r="N703" s="7" t="inlineStr">
        <is>
          <t>6f46c6c7404693aa5d3cec6616fb18cb3c5edcd1</t>
        </is>
      </c>
      <c r="O703" s="14" t="n">
        <v>46163</v>
      </c>
      <c r="P703" s="7" t="inlineStr">
        <is>
          <t>jobspy</t>
        </is>
      </c>
      <c r="Q703" s="8" t="inlineStr">
        <is>
          <t>python, c, embedded systems</t>
        </is>
      </c>
      <c r="R703" s="8" t="inlineStr">
        <is>
          <t>Graduate Systems Engineer embedded hardware software</t>
        </is>
      </c>
      <c r="S703" s="19" t="n"/>
      <c r="T703" s="19" t="n"/>
      <c r="U703" s="14" t="n">
        <v>46192</v>
      </c>
      <c r="V703" s="7" t="inlineStr">
        <is>
          <t>v2-cv-accuracy-13b988b18da8ea7d</t>
        </is>
      </c>
    </row>
    <row r="704" ht="28" customHeight="1">
      <c r="A704" s="12">
        <f>IF($L704="applied","Applied",IF($L704="interview","Interview",IF($L704="offer","Offer",IF($L704="rejected","Rejected",IF($L704="ignore","Ignore",IF($L704="archive","Archive",IF($L704="closed","Closed",IF($B704="","Unscored",IF(AND($B704&gt;=8,OR($H704="",$H704-TODAY()&lt;=14)),"P1 Apply",IF($B704&gt;=7,"P2 Strong",IF($B704&gt;=5,"P3 Maybe","P4 Low")))))))))))</f>
        <v/>
      </c>
      <c r="B704" s="13" t="n">
        <v>1.18</v>
      </c>
      <c r="C704" s="12" t="inlineStr">
        <is>
          <t>Unspecified</t>
        </is>
      </c>
      <c r="D704" s="8" t="inlineStr">
        <is>
          <t>AI Engineer</t>
        </is>
      </c>
      <c r="E704" s="7" t="inlineStr">
        <is>
          <t>Atwell Solutions</t>
        </is>
      </c>
      <c r="F704" s="8" t="inlineStr">
        <is>
          <t>West London, ENG, GB</t>
        </is>
      </c>
      <c r="G704" s="8" t="n"/>
      <c r="H704" s="14" t="n"/>
      <c r="I704" s="15">
        <f>IF($H704="","",$H704-TODAY())</f>
        <v/>
      </c>
      <c r="J704" s="16" t="inlineStr">
        <is>
          <t>Open posting</t>
        </is>
      </c>
      <c r="K704" s="8" t="inlineStr">
        <is>
          <t>filtered by keyword pre-scan</t>
        </is>
      </c>
      <c r="L704" s="17" t="inlineStr">
        <is>
          <t>new</t>
        </is>
      </c>
      <c r="M704" s="18" t="inlineStr"/>
      <c r="N704" s="7" t="inlineStr">
        <is>
          <t>4c3a2e0d5e15c3e2eb742e1b35d5cf9448235a5d</t>
        </is>
      </c>
      <c r="O704" s="14" t="n">
        <v>46177</v>
      </c>
      <c r="P704" s="7" t="inlineStr">
        <is>
          <t>jobspy</t>
        </is>
      </c>
      <c r="Q704" s="8" t="inlineStr">
        <is>
          <t>python, sql, c</t>
        </is>
      </c>
      <c r="R704" s="8" t="inlineStr">
        <is>
          <t>Graduate Data Engineer SQL Python pipeline</t>
        </is>
      </c>
      <c r="S704" s="19" t="n"/>
      <c r="T704" s="19" t="n"/>
      <c r="U704" s="14" t="n">
        <v>46192</v>
      </c>
      <c r="V704" s="7" t="inlineStr">
        <is>
          <t>v2-cv-accuracy-13b988b18da8ea7d</t>
        </is>
      </c>
    </row>
    <row r="705" ht="28" customHeight="1">
      <c r="A705" s="12">
        <f>IF($L705="applied","Applied",IF($L705="interview","Interview",IF($L705="offer","Offer",IF($L705="rejected","Rejected",IF($L705="ignore","Ignore",IF($L705="archive","Archive",IF($L705="closed","Closed",IF($B705="","Unscored",IF(AND($B705&gt;=8,OR($H705="",$H705-TODAY()&lt;=14)),"P1 Apply",IF($B705&gt;=7,"P2 Strong",IF($B705&gt;=5,"P3 Maybe","P4 Low")))))))))))</f>
        <v/>
      </c>
      <c r="B705" s="13" t="n">
        <v>1.18</v>
      </c>
      <c r="C705" s="12" t="inlineStr">
        <is>
          <t>Unspecified</t>
        </is>
      </c>
      <c r="D705" s="8" t="inlineStr">
        <is>
          <t>Data Engineer</t>
        </is>
      </c>
      <c r="E705" s="7" t="inlineStr">
        <is>
          <t>RocketFin</t>
        </is>
      </c>
      <c r="F705" s="8" t="inlineStr">
        <is>
          <t>London, England, UK</t>
        </is>
      </c>
      <c r="G705" s="8" t="n"/>
      <c r="H705" s="14" t="n"/>
      <c r="I705" s="15">
        <f>IF($H705="","",$H705-TODAY())</f>
        <v/>
      </c>
      <c r="J705" s="16" t="inlineStr">
        <is>
          <t>Open posting</t>
        </is>
      </c>
      <c r="K705" s="8" t="inlineStr">
        <is>
          <t>filtered by keyword pre-scan</t>
        </is>
      </c>
      <c r="L705" s="17" t="inlineStr">
        <is>
          <t>new</t>
        </is>
      </c>
      <c r="M705" s="18" t="inlineStr"/>
      <c r="N705" s="7" t="inlineStr">
        <is>
          <t>d340a44d10913d122f98608de01b7691c2d67011</t>
        </is>
      </c>
      <c r="O705" s="14" t="n">
        <v>46189</v>
      </c>
      <c r="P705" s="7" t="inlineStr">
        <is>
          <t>jobspy</t>
        </is>
      </c>
      <c r="Q705" s="8" t="inlineStr">
        <is>
          <t>python, sql, c</t>
        </is>
      </c>
      <c r="R705" s="8" t="inlineStr">
        <is>
          <t>Graduate Data Engineer SQL Python pipeline</t>
        </is>
      </c>
      <c r="S705" s="19" t="n"/>
      <c r="T705" s="19" t="n"/>
      <c r="U705" s="14" t="n">
        <v>46192</v>
      </c>
      <c r="V705" s="7" t="inlineStr">
        <is>
          <t>v2-cv-accuracy-13b988b18da8ea7d</t>
        </is>
      </c>
    </row>
    <row r="706" ht="28" customHeight="1">
      <c r="A706" s="12">
        <f>IF($L706="applied","Applied",IF($L706="interview","Interview",IF($L706="offer","Offer",IF($L706="rejected","Rejected",IF($L706="ignore","Ignore",IF($L706="archive","Archive",IF($L706="closed","Closed",IF($B706="","Unscored",IF(AND($B706&gt;=8,OR($H706="",$H706-TODAY()&lt;=14)),"P1 Apply",IF($B706&gt;=7,"P2 Strong",IF($B706&gt;=5,"P3 Maybe","P4 Low")))))))))))</f>
        <v/>
      </c>
      <c r="B706" s="13" t="n">
        <v>1.18</v>
      </c>
      <c r="C706" s="12" t="inlineStr">
        <is>
          <t>Unspecified</t>
        </is>
      </c>
      <c r="D706" s="8" t="inlineStr">
        <is>
          <t>Data Analytics Engineer</t>
        </is>
      </c>
      <c r="E706" s="7" t="inlineStr">
        <is>
          <t>Reassured</t>
        </is>
      </c>
      <c r="F706" s="8" t="inlineStr">
        <is>
          <t>Basingstoke, England, UK</t>
        </is>
      </c>
      <c r="G706" s="8" t="n"/>
      <c r="H706" s="14" t="n"/>
      <c r="I706" s="15">
        <f>IF($H706="","",$H706-TODAY())</f>
        <v/>
      </c>
      <c r="J706" s="16" t="inlineStr">
        <is>
          <t>Open posting</t>
        </is>
      </c>
      <c r="K706" s="8" t="inlineStr">
        <is>
          <t>filtered by keyword pre-scan</t>
        </is>
      </c>
      <c r="L706" s="17" t="inlineStr">
        <is>
          <t>new</t>
        </is>
      </c>
      <c r="M706" s="18" t="inlineStr"/>
      <c r="N706" s="7" t="inlineStr">
        <is>
          <t>56f44d154c0c2d28895ae5e9f33eb73c5e6448d8</t>
        </is>
      </c>
      <c r="O706" s="14" t="n">
        <v>46176</v>
      </c>
      <c r="P706" s="7" t="inlineStr">
        <is>
          <t>jobspy</t>
        </is>
      </c>
      <c r="Q706" s="8" t="inlineStr">
        <is>
          <t>python, sql, c</t>
        </is>
      </c>
      <c r="R706" s="8" t="inlineStr">
        <is>
          <t>Graduate Data Engineer SQL Python pipeline</t>
        </is>
      </c>
      <c r="S706" s="19" t="n"/>
      <c r="T706" s="19" t="n"/>
      <c r="U706" s="14" t="n">
        <v>46192</v>
      </c>
      <c r="V706" s="7" t="inlineStr">
        <is>
          <t>v2-cv-accuracy-13b988b18da8ea7d</t>
        </is>
      </c>
    </row>
    <row r="707" ht="28" customHeight="1">
      <c r="A707" s="12">
        <f>IF($L707="applied","Applied",IF($L707="interview","Interview",IF($L707="offer","Offer",IF($L707="rejected","Rejected",IF($L707="ignore","Ignore",IF($L707="archive","Archive",IF($L707="closed","Closed",IF($B707="","Unscored",IF(AND($B707&gt;=8,OR($H707="",$H707-TODAY()&lt;=14)),"P1 Apply",IF($B707&gt;=7,"P2 Strong",IF($B707&gt;=5,"P3 Maybe","P4 Low")))))))))))</f>
        <v/>
      </c>
      <c r="B707" s="13" t="n">
        <v>1.18</v>
      </c>
      <c r="C707" s="12" t="inlineStr">
        <is>
          <t>Junior</t>
        </is>
      </c>
      <c r="D707" s="8" t="inlineStr">
        <is>
          <t>Data Engineer (AI / LLM Exposure) | Macro Hedge Fund</t>
        </is>
      </c>
      <c r="E707" s="7" t="inlineStr">
        <is>
          <t>Selby Jennings</t>
        </is>
      </c>
      <c r="F707" s="8" t="inlineStr">
        <is>
          <t>City Of London, England, UK</t>
        </is>
      </c>
      <c r="G707" s="8" t="n"/>
      <c r="H707" s="14" t="n"/>
      <c r="I707" s="15">
        <f>IF($H707="","",$H707-TODAY())</f>
        <v/>
      </c>
      <c r="J707" s="16" t="inlineStr">
        <is>
          <t>Open posting</t>
        </is>
      </c>
      <c r="K707" s="8" t="inlineStr">
        <is>
          <t>filtered by keyword pre-scan</t>
        </is>
      </c>
      <c r="L707" s="17" t="inlineStr">
        <is>
          <t>new</t>
        </is>
      </c>
      <c r="M707" s="18" t="inlineStr"/>
      <c r="N707" s="7" t="inlineStr">
        <is>
          <t>41ac254687b6311d56c984058568275f13a7cf4e</t>
        </is>
      </c>
      <c r="O707" s="14" t="n">
        <v>46174</v>
      </c>
      <c r="P707" s="7" t="inlineStr">
        <is>
          <t>jobspy</t>
        </is>
      </c>
      <c r="Q707" s="8" t="inlineStr">
        <is>
          <t>python, sql, c</t>
        </is>
      </c>
      <c r="R707" s="8" t="inlineStr">
        <is>
          <t>Graduate Data Engineer SQL Python pipeline</t>
        </is>
      </c>
      <c r="S707" s="19" t="n"/>
      <c r="T707" s="19" t="n"/>
      <c r="U707" s="14" t="n">
        <v>46192</v>
      </c>
      <c r="V707" s="7" t="inlineStr">
        <is>
          <t>v2-cv-accuracy-13b988b18da8ea7d</t>
        </is>
      </c>
    </row>
    <row r="708" ht="28" customHeight="1">
      <c r="A708" s="12">
        <f>IF($L708="applied","Applied",IF($L708="interview","Interview",IF($L708="offer","Offer",IF($L708="rejected","Rejected",IF($L708="ignore","Ignore",IF($L708="archive","Archive",IF($L708="closed","Closed",IF($B708="","Unscored",IF(AND($B708&gt;=8,OR($H708="",$H708-TODAY()&lt;=14)),"P1 Apply",IF($B708&gt;=7,"P2 Strong",IF($B708&gt;=5,"P3 Maybe","P4 Low")))))))))))</f>
        <v/>
      </c>
      <c r="B708" s="13" t="n">
        <v>1.18</v>
      </c>
      <c r="C708" s="12" t="inlineStr">
        <is>
          <t>Unspecified</t>
        </is>
      </c>
      <c r="D708" s="8" t="inlineStr">
        <is>
          <t>Digital Buildings System Engineer</t>
        </is>
      </c>
      <c r="E708" s="7" t="inlineStr">
        <is>
          <t>FPC Global</t>
        </is>
      </c>
      <c r="F708" s="8" t="inlineStr">
        <is>
          <t>London, England, UK</t>
        </is>
      </c>
      <c r="G708" s="8" t="n"/>
      <c r="H708" s="14" t="n"/>
      <c r="I708" s="15">
        <f>IF($H708="","",$H708-TODAY())</f>
        <v/>
      </c>
      <c r="J708" s="16" t="inlineStr">
        <is>
          <t>Open posting</t>
        </is>
      </c>
      <c r="K708" s="8" t="inlineStr">
        <is>
          <t>filtered by keyword pre-scan</t>
        </is>
      </c>
      <c r="L708" s="17" t="inlineStr">
        <is>
          <t>new</t>
        </is>
      </c>
      <c r="M708" s="18" t="inlineStr"/>
      <c r="N708" s="7" t="inlineStr">
        <is>
          <t>64bd690d84236253fe46a172d04edeee972f177a</t>
        </is>
      </c>
      <c r="O708" s="14" t="n">
        <v>46174</v>
      </c>
      <c r="P708" s="7" t="inlineStr">
        <is>
          <t>jobspy</t>
        </is>
      </c>
      <c r="Q708" s="8" t="inlineStr">
        <is>
          <t>lorawan, git, c</t>
        </is>
      </c>
      <c r="R708" s="8" t="inlineStr">
        <is>
          <t>Graduate Systems Engineer hardware software</t>
        </is>
      </c>
      <c r="S708" s="19" t="n"/>
      <c r="T708" s="19" t="n"/>
      <c r="U708" s="14" t="n">
        <v>46192</v>
      </c>
      <c r="V708" s="7" t="inlineStr">
        <is>
          <t>v2-cv-accuracy-13b988b18da8ea7d</t>
        </is>
      </c>
    </row>
    <row r="709" ht="28" customHeight="1">
      <c r="A709" s="12">
        <f>IF($L709="applied","Applied",IF($L709="interview","Interview",IF($L709="offer","Offer",IF($L709="rejected","Rejected",IF($L709="ignore","Ignore",IF($L709="archive","Archive",IF($L709="closed","Closed",IF($B709="","Unscored",IF(AND($B709&gt;=8,OR($H709="",$H709-TODAY()&lt;=14)),"P1 Apply",IF($B709&gt;=7,"P2 Strong",IF($B709&gt;=5,"P3 Maybe","P4 Low")))))))))))</f>
        <v/>
      </c>
      <c r="B709" s="13" t="n">
        <v>1.18</v>
      </c>
      <c r="C709" s="12" t="inlineStr">
        <is>
          <t>Senior/Lead</t>
        </is>
      </c>
      <c r="D709" s="8" t="inlineStr">
        <is>
          <t>Data Engineer _ London_ Permanent</t>
        </is>
      </c>
      <c r="E709" s="7" t="inlineStr">
        <is>
          <t>Accion Labs</t>
        </is>
      </c>
      <c r="F709" s="8" t="inlineStr">
        <is>
          <t>London Area, United Kingdom</t>
        </is>
      </c>
      <c r="G709" s="8" t="n"/>
      <c r="H709" s="14" t="n"/>
      <c r="I709" s="15">
        <f>IF($H709="","",$H709-TODAY())</f>
        <v/>
      </c>
      <c r="J709" s="16" t="inlineStr">
        <is>
          <t>Open posting</t>
        </is>
      </c>
      <c r="K709" s="8" t="inlineStr">
        <is>
          <t>filtered by keyword pre-scan</t>
        </is>
      </c>
      <c r="L709" s="17" t="inlineStr">
        <is>
          <t>new</t>
        </is>
      </c>
      <c r="M709" s="18" t="inlineStr"/>
      <c r="N709" s="7" t="inlineStr">
        <is>
          <t>114b6260fee13842fdc15cb679edfed3d8ace2eb</t>
        </is>
      </c>
      <c r="O709" s="14" t="n">
        <v>46190</v>
      </c>
      <c r="P709" s="7" t="inlineStr">
        <is>
          <t>jobspy</t>
        </is>
      </c>
      <c r="Q709" s="8" t="inlineStr">
        <is>
          <t>python, sql, c</t>
        </is>
      </c>
      <c r="R709" s="8" t="inlineStr">
        <is>
          <t>Graduate Data Engineer SQL Python pipeline</t>
        </is>
      </c>
      <c r="S709" s="19" t="n"/>
      <c r="T709" s="19" t="n"/>
      <c r="U709" s="14" t="n">
        <v>46192</v>
      </c>
      <c r="V709" s="7" t="inlineStr">
        <is>
          <t>v2-cv-accuracy-13b988b18da8ea7d</t>
        </is>
      </c>
    </row>
    <row r="710" ht="28" customHeight="1">
      <c r="A710" s="12">
        <f>IF($L710="applied","Applied",IF($L710="interview","Interview",IF($L710="offer","Offer",IF($L710="rejected","Rejected",IF($L710="ignore","Ignore",IF($L710="archive","Archive",IF($L710="closed","Closed",IF($B710="","Unscored",IF(AND($B710&gt;=8,OR($H710="",$H710-TODAY()&lt;=14)),"P1 Apply",IF($B710&gt;=7,"P2 Strong",IF($B710&gt;=5,"P3 Maybe","P4 Low")))))))))))</f>
        <v/>
      </c>
      <c r="B710" s="13" t="n">
        <v>1.18</v>
      </c>
      <c r="C710" s="12" t="inlineStr">
        <is>
          <t>Senior/Lead</t>
        </is>
      </c>
      <c r="D710" s="8" t="inlineStr">
        <is>
          <t>Cloud Platform Engineer</t>
        </is>
      </c>
      <c r="E710" s="7" t="inlineStr">
        <is>
          <t>Checkout.com</t>
        </is>
      </c>
      <c r="F710" s="8" t="inlineStr">
        <is>
          <t>London, England, UK</t>
        </is>
      </c>
      <c r="G710" s="8" t="n"/>
      <c r="H710" s="14" t="n"/>
      <c r="I710" s="15">
        <f>IF($H710="","",$H710-TODAY())</f>
        <v/>
      </c>
      <c r="J710" s="16" t="inlineStr">
        <is>
          <t>Open posting</t>
        </is>
      </c>
      <c r="K710" s="8" t="inlineStr">
        <is>
          <t>filtered by keyword pre-scan</t>
        </is>
      </c>
      <c r="L710" s="17" t="inlineStr">
        <is>
          <t>new</t>
        </is>
      </c>
      <c r="M710" s="18" t="inlineStr"/>
      <c r="N710" s="7" t="inlineStr">
        <is>
          <t>0f8807b062e10632369f04a5f6395d34e50a33e4</t>
        </is>
      </c>
      <c r="O710" s="14" t="n"/>
      <c r="P710" s="7" t="inlineStr">
        <is>
          <t>jobspy</t>
        </is>
      </c>
      <c r="Q710" s="8" t="inlineStr">
        <is>
          <t>kubernetes, git, c</t>
        </is>
      </c>
      <c r="R710" s="8" t="inlineStr">
        <is>
          <t>Graduate DevOps Engineer Docker Kubernetes Python</t>
        </is>
      </c>
      <c r="S710" s="19" t="n"/>
      <c r="T710" s="19" t="n"/>
      <c r="U710" s="14" t="n">
        <v>46192</v>
      </c>
      <c r="V710" s="7" t="inlineStr">
        <is>
          <t>v2-cv-accuracy-13b988b18da8ea7d</t>
        </is>
      </c>
    </row>
    <row r="711" ht="28" customHeight="1">
      <c r="A711" s="12">
        <f>IF($L711="applied","Applied",IF($L711="interview","Interview",IF($L711="offer","Offer",IF($L711="rejected","Rejected",IF($L711="ignore","Ignore",IF($L711="archive","Archive",IF($L711="closed","Closed",IF($B711="","Unscored",IF(AND($B711&gt;=8,OR($H711="",$H711-TODAY()&lt;=14)),"P1 Apply",IF($B711&gt;=7,"P2 Strong",IF($B711&gt;=5,"P3 Maybe","P4 Low")))))))))))</f>
        <v/>
      </c>
      <c r="B711" s="13" t="n">
        <v>1.18</v>
      </c>
      <c r="C711" s="12" t="inlineStr">
        <is>
          <t>Senior/Lead</t>
        </is>
      </c>
      <c r="D711" s="8" t="inlineStr">
        <is>
          <t>Modelling &amp; Simulation Engineer – Training Provided</t>
        </is>
      </c>
      <c r="E711" s="7" t="inlineStr">
        <is>
          <t>Stirling Dynamics</t>
        </is>
      </c>
      <c r="F711" s="8" t="inlineStr">
        <is>
          <t>Bristol, ENG, GB</t>
        </is>
      </c>
      <c r="G711" s="8" t="n"/>
      <c r="H711" s="14" t="n"/>
      <c r="I711" s="15">
        <f>IF($H711="","",$H711-TODAY())</f>
        <v/>
      </c>
      <c r="J711" s="16" t="inlineStr">
        <is>
          <t>Open posting</t>
        </is>
      </c>
      <c r="K711" s="8" t="inlineStr">
        <is>
          <t>filtered by keyword pre-scan</t>
        </is>
      </c>
      <c r="L711" s="17" t="inlineStr">
        <is>
          <t>new</t>
        </is>
      </c>
      <c r="M711" s="18" t="inlineStr"/>
      <c r="N711" s="7" t="inlineStr">
        <is>
          <t>e54d34a02c3cf6a901b898dd467571e8072f9878</t>
        </is>
      </c>
      <c r="O711" s="14" t="n">
        <v>46163</v>
      </c>
      <c r="P711" s="7" t="inlineStr">
        <is>
          <t>jobspy</t>
        </is>
      </c>
      <c r="Q711" s="8" t="inlineStr">
        <is>
          <t>python, c, embedded systems</t>
        </is>
      </c>
      <c r="R711" s="8" t="inlineStr">
        <is>
          <t>Graduate Aerospace Engineer embedded systems UK</t>
        </is>
      </c>
      <c r="S711" s="19" t="n"/>
      <c r="T711" s="19" t="n"/>
      <c r="U711" s="14" t="n">
        <v>46192</v>
      </c>
      <c r="V711" s="7" t="inlineStr">
        <is>
          <t>v2-cv-accuracy-13b988b18da8ea7d</t>
        </is>
      </c>
    </row>
    <row r="712" ht="28" customHeight="1">
      <c r="A712" s="12">
        <f>IF($L712="applied","Applied",IF($L712="interview","Interview",IF($L712="offer","Offer",IF($L712="rejected","Rejected",IF($L712="ignore","Ignore",IF($L712="archive","Archive",IF($L712="closed","Closed",IF($B712="","Unscored",IF(AND($B712&gt;=8,OR($H712="",$H712-TODAY()&lt;=14)),"P1 Apply",IF($B712&gt;=7,"P2 Strong",IF($B712&gt;=5,"P3 Maybe","P4 Low")))))))))))</f>
        <v/>
      </c>
      <c r="B712" s="13" t="n">
        <v>1.18</v>
      </c>
      <c r="C712" s="12" t="inlineStr">
        <is>
          <t>Graduate/Entry</t>
        </is>
      </c>
      <c r="D712" s="8" t="inlineStr">
        <is>
          <t>Graduate Engineer</t>
        </is>
      </c>
      <c r="E712" s="7" t="inlineStr">
        <is>
          <t>Fyous</t>
        </is>
      </c>
      <c r="F712" s="8" t="inlineStr">
        <is>
          <t>Sheffield, England, UK</t>
        </is>
      </c>
      <c r="G712" s="8" t="n"/>
      <c r="H712" s="14" t="n"/>
      <c r="I712" s="15">
        <f>IF($H712="","",$H712-TODAY())</f>
        <v/>
      </c>
      <c r="J712" s="16" t="inlineStr">
        <is>
          <t>Open posting</t>
        </is>
      </c>
      <c r="K712" s="8" t="inlineStr">
        <is>
          <t>filtered by keyword pre-scan</t>
        </is>
      </c>
      <c r="L712" s="17" t="inlineStr">
        <is>
          <t>new</t>
        </is>
      </c>
      <c r="M712" s="18" t="inlineStr"/>
      <c r="N712" s="7" t="inlineStr">
        <is>
          <t>bb551044dd07562df937e92cb0ad7c7cd65cf6c3</t>
        </is>
      </c>
      <c r="O712" s="14" t="n">
        <v>46185</v>
      </c>
      <c r="P712" s="7" t="inlineStr">
        <is>
          <t>jobspy</t>
        </is>
      </c>
      <c r="Q712" s="8" t="inlineStr">
        <is>
          <t>git, solidworks, c</t>
        </is>
      </c>
      <c r="R712" s="8" t="inlineStr">
        <is>
          <t>Graduate Electronics Engineer Sheffield</t>
        </is>
      </c>
      <c r="S712" s="19" t="n"/>
      <c r="T712" s="19" t="n"/>
      <c r="U712" s="14" t="n">
        <v>46192</v>
      </c>
      <c r="V712" s="7" t="inlineStr">
        <is>
          <t>v2-cv-accuracy-13b988b18da8ea7d</t>
        </is>
      </c>
    </row>
    <row r="713" ht="28" customHeight="1">
      <c r="A713" s="12">
        <f>IF($L713="applied","Applied",IF($L713="interview","Interview",IF($L713="offer","Offer",IF($L713="rejected","Rejected",IF($L713="ignore","Ignore",IF($L713="archive","Archive",IF($L713="closed","Closed",IF($B713="","Unscored",IF(AND($B713&gt;=8,OR($H713="",$H713-TODAY()&lt;=14)),"P1 Apply",IF($B713&gt;=7,"P2 Strong",IF($B713&gt;=5,"P3 Maybe","P4 Low")))))))))))</f>
        <v/>
      </c>
      <c r="B713" s="13" t="n">
        <v>1.18</v>
      </c>
      <c r="C713" s="12" t="inlineStr">
        <is>
          <t>Unspecified</t>
        </is>
      </c>
      <c r="D713" s="8" t="inlineStr">
        <is>
          <t>Embedded Software Engineer</t>
        </is>
      </c>
      <c r="E713" s="7" t="inlineStr">
        <is>
          <t>IC Resources</t>
        </is>
      </c>
      <c r="F713" s="8" t="inlineStr">
        <is>
          <t>West Berkshire, England, UK</t>
        </is>
      </c>
      <c r="G713" s="8" t="n"/>
      <c r="H713" s="14" t="n"/>
      <c r="I713" s="15">
        <f>IF($H713="","",$H713-TODAY())</f>
        <v/>
      </c>
      <c r="J713" s="16" t="inlineStr">
        <is>
          <t>Open posting</t>
        </is>
      </c>
      <c r="K713" s="8" t="inlineStr">
        <is>
          <t>filtered by keyword pre-scan</t>
        </is>
      </c>
      <c r="L713" s="17" t="inlineStr">
        <is>
          <t>new</t>
        </is>
      </c>
      <c r="M713" s="18" t="inlineStr"/>
      <c r="N713" s="7" t="inlineStr">
        <is>
          <t>4e53bd874bef7f9c36ddb2e36767497bc45f421a</t>
        </is>
      </c>
      <c r="O713" s="14" t="n"/>
      <c r="P713" s="7" t="inlineStr">
        <is>
          <t>jobspy</t>
        </is>
      </c>
      <c r="Q713" s="8" t="inlineStr">
        <is>
          <t>stm32, c, embedded systems</t>
        </is>
      </c>
      <c r="R713" s="8" t="inlineStr">
        <is>
          <t>Junior Embedded Software Engineer STM32</t>
        </is>
      </c>
      <c r="S713" s="19" t="n"/>
      <c r="T713" s="19" t="n"/>
      <c r="U713" s="14" t="n">
        <v>46192</v>
      </c>
      <c r="V713" s="7" t="inlineStr">
        <is>
          <t>v2-cv-accuracy-13b988b18da8ea7d</t>
        </is>
      </c>
    </row>
    <row r="714" ht="28" customHeight="1">
      <c r="A714" s="12">
        <f>IF($L714="applied","Applied",IF($L714="interview","Interview",IF($L714="offer","Offer",IF($L714="rejected","Rejected",IF($L714="ignore","Ignore",IF($L714="archive","Archive",IF($L714="closed","Closed",IF($B714="","Unscored",IF(AND($B714&gt;=8,OR($H714="",$H714-TODAY()&lt;=14)),"P1 Apply",IF($B714&gt;=7,"P2 Strong",IF($B714&gt;=5,"P3 Maybe","P4 Low")))))))))))</f>
        <v/>
      </c>
      <c r="B714" s="13" t="n">
        <v>1.18</v>
      </c>
      <c r="C714" s="12" t="inlineStr">
        <is>
          <t>Junior</t>
        </is>
      </c>
      <c r="D714" s="8" t="inlineStr">
        <is>
          <t>Junior Software Engineer</t>
        </is>
      </c>
      <c r="E714" s="7" t="inlineStr">
        <is>
          <t>FundApps</t>
        </is>
      </c>
      <c r="F714" s="8" t="inlineStr">
        <is>
          <t>London Area, United Kingdom</t>
        </is>
      </c>
      <c r="G714" s="8" t="n"/>
      <c r="H714" s="14" t="n"/>
      <c r="I714" s="15">
        <f>IF($H714="","",$H714-TODAY())</f>
        <v/>
      </c>
      <c r="J714" s="16" t="inlineStr">
        <is>
          <t>Open posting</t>
        </is>
      </c>
      <c r="K714" s="8" t="inlineStr">
        <is>
          <t>filtered by keyword pre-scan</t>
        </is>
      </c>
      <c r="L714" s="17" t="inlineStr">
        <is>
          <t>new</t>
        </is>
      </c>
      <c r="M714" s="18" t="inlineStr"/>
      <c r="N714" s="7" t="inlineStr">
        <is>
          <t>dceaeacee35e21976f68e4bd856565f82c3cd7ad</t>
        </is>
      </c>
      <c r="O714" s="14" t="n">
        <v>46185</v>
      </c>
      <c r="P714" s="7" t="inlineStr">
        <is>
          <t>jobspy</t>
        </is>
      </c>
      <c r="Q714" s="8" t="inlineStr">
        <is>
          <t>sql, git, c</t>
        </is>
      </c>
      <c r="R714" s="8" t="inlineStr">
        <is>
          <t>Graduate Backend Developer Docker Kubernetes</t>
        </is>
      </c>
      <c r="S714" s="19" t="n"/>
      <c r="T714" s="19" t="n"/>
      <c r="U714" s="14" t="n">
        <v>46192</v>
      </c>
      <c r="V714" s="7" t="inlineStr">
        <is>
          <t>v2-cv-accuracy-13b988b18da8ea7d</t>
        </is>
      </c>
    </row>
    <row r="715" ht="28" customHeight="1">
      <c r="A715" s="12">
        <f>IF($L715="applied","Applied",IF($L715="interview","Interview",IF($L715="offer","Offer",IF($L715="rejected","Rejected",IF($L715="ignore","Ignore",IF($L715="archive","Archive",IF($L715="closed","Closed",IF($B715="","Unscored",IF(AND($B715&gt;=8,OR($H715="",$H715-TODAY()&lt;=14)),"P1 Apply",IF($B715&gt;=7,"P2 Strong",IF($B715&gt;=5,"P3 Maybe","P4 Low")))))))))))</f>
        <v/>
      </c>
      <c r="B715" s="13" t="n">
        <v>1.18</v>
      </c>
      <c r="C715" s="12" t="inlineStr">
        <is>
          <t>Junior</t>
        </is>
      </c>
      <c r="D715" s="8" t="inlineStr">
        <is>
          <t>Software Engineer</t>
        </is>
      </c>
      <c r="E715" s="7" t="inlineStr">
        <is>
          <t>Indra Group UK &amp; Ireland</t>
        </is>
      </c>
      <c r="F715" s="8" t="inlineStr">
        <is>
          <t>Market Deeping, England, UK</t>
        </is>
      </c>
      <c r="G715" s="8" t="n"/>
      <c r="H715" s="14" t="n"/>
      <c r="I715" s="15">
        <f>IF($H715="","",$H715-TODAY())</f>
        <v/>
      </c>
      <c r="J715" s="16" t="inlineStr">
        <is>
          <t>Open posting</t>
        </is>
      </c>
      <c r="K715" s="8" t="inlineStr">
        <is>
          <t>filtered by keyword pre-scan</t>
        </is>
      </c>
      <c r="L715" s="17" t="inlineStr">
        <is>
          <t>new</t>
        </is>
      </c>
      <c r="M715" s="18" t="inlineStr"/>
      <c r="N715" s="7" t="inlineStr">
        <is>
          <t>c161124eb49e571c726927660c8afee21a9ca158</t>
        </is>
      </c>
      <c r="O715" s="14" t="n">
        <v>46191</v>
      </c>
      <c r="P715" s="7" t="inlineStr">
        <is>
          <t>jobspy</t>
        </is>
      </c>
      <c r="Q715" s="8" t="inlineStr">
        <is>
          <t>fpga, c, dsp</t>
        </is>
      </c>
      <c r="R715" s="8" t="inlineStr">
        <is>
          <t>Embedded Software Engineer C Python graduate</t>
        </is>
      </c>
      <c r="S715" s="19" t="n"/>
      <c r="T715" s="19" t="n"/>
      <c r="U715" s="14" t="n">
        <v>46192</v>
      </c>
      <c r="V715" s="7" t="inlineStr">
        <is>
          <t>v2-cv-accuracy-13b988b18da8ea7d</t>
        </is>
      </c>
    </row>
    <row r="716" ht="28" customHeight="1">
      <c r="A716" s="12">
        <f>IF($L716="applied","Applied",IF($L716="interview","Interview",IF($L716="offer","Offer",IF($L716="rejected","Rejected",IF($L716="ignore","Ignore",IF($L716="archive","Archive",IF($L716="closed","Closed",IF($B716="","Unscored",IF(AND($B716&gt;=8,OR($H716="",$H716-TODAY()&lt;=14)),"P1 Apply",IF($B716&gt;=7,"P2 Strong",IF($B716&gt;=5,"P3 Maybe","P4 Low")))))))))))</f>
        <v/>
      </c>
      <c r="B716" s="13" t="n">
        <v>1.18</v>
      </c>
      <c r="C716" s="12" t="inlineStr">
        <is>
          <t>Unspecified</t>
        </is>
      </c>
      <c r="D716" s="8" t="inlineStr">
        <is>
          <t>Software Engineer</t>
        </is>
      </c>
      <c r="E716" s="7" t="inlineStr">
        <is>
          <t>CMR Surgical</t>
        </is>
      </c>
      <c r="F716" s="8" t="inlineStr">
        <is>
          <t>Cambridge, England, UK</t>
        </is>
      </c>
      <c r="G716" s="8" t="n"/>
      <c r="H716" s="14" t="n"/>
      <c r="I716" s="15">
        <f>IF($H716="","",$H716-TODAY())</f>
        <v/>
      </c>
      <c r="J716" s="16" t="inlineStr">
        <is>
          <t>Open posting</t>
        </is>
      </c>
      <c r="K716" s="8" t="inlineStr">
        <is>
          <t>filtered by keyword pre-scan</t>
        </is>
      </c>
      <c r="L716" s="17" t="inlineStr">
        <is>
          <t>new</t>
        </is>
      </c>
      <c r="M716" s="18" t="inlineStr"/>
      <c r="N716" s="7" t="inlineStr">
        <is>
          <t>e706b3b58a78873783004fc7901ffe1f5f6d688a</t>
        </is>
      </c>
      <c r="O716" s="14" t="n">
        <v>46188</v>
      </c>
      <c r="P716" s="7" t="inlineStr">
        <is>
          <t>jobspy</t>
        </is>
      </c>
      <c r="Q716" s="8" t="inlineStr">
        <is>
          <t>python, c</t>
        </is>
      </c>
      <c r="R716" s="8" t="inlineStr">
        <is>
          <t>Embedded Software Engineer C Python graduate</t>
        </is>
      </c>
      <c r="S716" s="19" t="n"/>
      <c r="T716" s="19" t="n"/>
      <c r="U716" s="14" t="n">
        <v>46192</v>
      </c>
      <c r="V716" s="7" t="inlineStr">
        <is>
          <t>v2-cv-accuracy-13b988b18da8ea7d</t>
        </is>
      </c>
    </row>
    <row r="717" ht="28" customHeight="1">
      <c r="A717" s="12">
        <f>IF($L717="applied","Applied",IF($L717="interview","Interview",IF($L717="offer","Offer",IF($L717="rejected","Rejected",IF($L717="ignore","Ignore",IF($L717="archive","Archive",IF($L717="closed","Closed",IF($B717="","Unscored",IF(AND($B717&gt;=8,OR($H717="",$H717-TODAY()&lt;=14)),"P1 Apply",IF($B717&gt;=7,"P2 Strong",IF($B717&gt;=5,"P3 Maybe","P4 Low")))))))))))</f>
        <v/>
      </c>
      <c r="B717" s="13" t="n">
        <v>1.18</v>
      </c>
      <c r="C717" s="12" t="inlineStr">
        <is>
          <t>Unspecified</t>
        </is>
      </c>
      <c r="D717" s="8" t="inlineStr">
        <is>
          <t>Software Applications Engineer</t>
        </is>
      </c>
      <c r="E717" s="7" t="inlineStr">
        <is>
          <t>Mode Labs</t>
        </is>
      </c>
      <c r="F717" s="8" t="inlineStr">
        <is>
          <t>Oxford, England, UK</t>
        </is>
      </c>
      <c r="G717" s="8" t="n"/>
      <c r="H717" s="14" t="n"/>
      <c r="I717" s="15">
        <f>IF($H717="","",$H717-TODAY())</f>
        <v/>
      </c>
      <c r="J717" s="16" t="inlineStr">
        <is>
          <t>Open posting</t>
        </is>
      </c>
      <c r="K717" s="8" t="inlineStr">
        <is>
          <t>filtered by keyword pre-scan</t>
        </is>
      </c>
      <c r="L717" s="17" t="inlineStr">
        <is>
          <t>new</t>
        </is>
      </c>
      <c r="M717" s="18" t="inlineStr"/>
      <c r="N717" s="7" t="inlineStr">
        <is>
          <t>2575c225f856bca6bf1423ad6fc2fe39b0996c95</t>
        </is>
      </c>
      <c r="O717" s="14" t="n">
        <v>46176</v>
      </c>
      <c r="P717" s="7" t="inlineStr">
        <is>
          <t>jobspy</t>
        </is>
      </c>
      <c r="Q717" s="8" t="inlineStr">
        <is>
          <t>python, sql, c</t>
        </is>
      </c>
      <c r="R717" s="8" t="inlineStr">
        <is>
          <t>Embedded Software Engineer C Python graduate</t>
        </is>
      </c>
      <c r="S717" s="19" t="n"/>
      <c r="T717" s="19" t="n"/>
      <c r="U717" s="14" t="n">
        <v>46192</v>
      </c>
      <c r="V717" s="7" t="inlineStr">
        <is>
          <t>v2-cv-accuracy-13b988b18da8ea7d</t>
        </is>
      </c>
    </row>
    <row r="718" ht="28" customHeight="1">
      <c r="A718" s="12">
        <f>IF($L718="applied","Applied",IF($L718="interview","Interview",IF($L718="offer","Offer",IF($L718="rejected","Rejected",IF($L718="ignore","Ignore",IF($L718="archive","Archive",IF($L718="closed","Closed",IF($B718="","Unscored",IF(AND($B718&gt;=8,OR($H718="",$H718-TODAY()&lt;=14)),"P1 Apply",IF($B718&gt;=7,"P2 Strong",IF($B718&gt;=5,"P3 Maybe","P4 Low")))))))))))</f>
        <v/>
      </c>
      <c r="B718" s="13" t="n">
        <v>1.18</v>
      </c>
      <c r="C718" s="12" t="inlineStr">
        <is>
          <t>Unspecified</t>
        </is>
      </c>
      <c r="D718" s="8" t="inlineStr">
        <is>
          <t>Software Engineer</t>
        </is>
      </c>
      <c r="E718" s="7" t="inlineStr">
        <is>
          <t>MDA Space</t>
        </is>
      </c>
      <c r="F718" s="8" t="inlineStr">
        <is>
          <t>Didcot, England, UK</t>
        </is>
      </c>
      <c r="G718" s="8" t="n"/>
      <c r="H718" s="14" t="n"/>
      <c r="I718" s="15">
        <f>IF($H718="","",$H718-TODAY())</f>
        <v/>
      </c>
      <c r="J718" s="16" t="inlineStr">
        <is>
          <t>Open posting</t>
        </is>
      </c>
      <c r="K718" s="8" t="inlineStr">
        <is>
          <t>filtered by keyword pre-scan</t>
        </is>
      </c>
      <c r="L718" s="17" t="inlineStr">
        <is>
          <t>new</t>
        </is>
      </c>
      <c r="M718" s="18" t="inlineStr"/>
      <c r="N718" s="7" t="inlineStr">
        <is>
          <t>e8e9c307d594430b683bdd3ef82271f502f8481d</t>
        </is>
      </c>
      <c r="O718" s="14" t="n"/>
      <c r="P718" s="7" t="inlineStr">
        <is>
          <t>jobspy</t>
        </is>
      </c>
      <c r="Q718" s="8" t="inlineStr">
        <is>
          <t>python, git, c</t>
        </is>
      </c>
      <c r="R718" s="8" t="inlineStr">
        <is>
          <t>Embedded Software Engineer C Python graduate</t>
        </is>
      </c>
      <c r="S718" s="19" t="n"/>
      <c r="T718" s="19" t="n"/>
      <c r="U718" s="14" t="n">
        <v>46192</v>
      </c>
      <c r="V718" s="7" t="inlineStr">
        <is>
          <t>v2-cv-accuracy-13b988b18da8ea7d</t>
        </is>
      </c>
    </row>
    <row r="719" ht="28" customHeight="1">
      <c r="A719" s="12">
        <f>IF($L719="applied","Applied",IF($L719="interview","Interview",IF($L719="offer","Offer",IF($L719="rejected","Rejected",IF($L719="ignore","Ignore",IF($L719="archive","Archive",IF($L719="closed","Closed",IF($B719="","Unscored",IF(AND($B719&gt;=8,OR($H719="",$H719-TODAY()&lt;=14)),"P1 Apply",IF($B719&gt;=7,"P2 Strong",IF($B719&gt;=5,"P3 Maybe","P4 Low")))))))))))</f>
        <v/>
      </c>
      <c r="B719" s="13" t="n">
        <v>1.18</v>
      </c>
      <c r="C719" s="12" t="inlineStr">
        <is>
          <t>Mid-level</t>
        </is>
      </c>
      <c r="D719" s="8" t="inlineStr">
        <is>
          <t>Data Engineer</t>
        </is>
      </c>
      <c r="E719" s="7" t="inlineStr">
        <is>
          <t>Tech4</t>
        </is>
      </c>
      <c r="F719" s="8" t="inlineStr">
        <is>
          <t>Newcastle Upon Tyne, England, UK</t>
        </is>
      </c>
      <c r="G719" s="8" t="n"/>
      <c r="H719" s="14" t="n"/>
      <c r="I719" s="15">
        <f>IF($H719="","",$H719-TODAY())</f>
        <v/>
      </c>
      <c r="J719" s="16" t="inlineStr">
        <is>
          <t>Open posting</t>
        </is>
      </c>
      <c r="K719" s="8" t="inlineStr">
        <is>
          <t>filtered by keyword pre-scan</t>
        </is>
      </c>
      <c r="L719" s="17" t="inlineStr">
        <is>
          <t>new</t>
        </is>
      </c>
      <c r="M719" s="18" t="inlineStr"/>
      <c r="N719" s="7" t="inlineStr">
        <is>
          <t>ce0e396bcdc7d23a9f5f65a8c278ad85edea95b5</t>
        </is>
      </c>
      <c r="O719" s="14" t="n">
        <v>46168</v>
      </c>
      <c r="P719" s="7" t="inlineStr">
        <is>
          <t>jobspy</t>
        </is>
      </c>
      <c r="Q719" s="8" t="inlineStr">
        <is>
          <t>python, sql, c</t>
        </is>
      </c>
      <c r="R719" s="8" t="inlineStr">
        <is>
          <t>Graduate Data Engineer SQL Python pipeline</t>
        </is>
      </c>
      <c r="S719" s="19" t="n"/>
      <c r="T719" s="19" t="n"/>
      <c r="U719" s="14" t="n">
        <v>46192</v>
      </c>
      <c r="V719" s="7" t="inlineStr">
        <is>
          <t>v2-cv-accuracy-13b988b18da8ea7d</t>
        </is>
      </c>
    </row>
    <row r="720" ht="28" customHeight="1">
      <c r="A720" s="12">
        <f>IF($L720="applied","Applied",IF($L720="interview","Interview",IF($L720="offer","Offer",IF($L720="rejected","Rejected",IF($L720="ignore","Ignore",IF($L720="archive","Archive",IF($L720="closed","Closed",IF($B720="","Unscored",IF(AND($B720&gt;=8,OR($H720="",$H720-TODAY()&lt;=14)),"P1 Apply",IF($B720&gt;=7,"P2 Strong",IF($B720&gt;=5,"P3 Maybe","P4 Low")))))))))))</f>
        <v/>
      </c>
      <c r="B720" s="13" t="n">
        <v>1.08</v>
      </c>
      <c r="C720" s="12" t="inlineStr">
        <is>
          <t>Graduate/Entry</t>
        </is>
      </c>
      <c r="D720" s="8" t="inlineStr">
        <is>
          <t>Graduate Software Engineer – Virtual Platforms - Qualcomm - Cambridge, UK</t>
        </is>
      </c>
      <c r="E720" s="7" t="inlineStr">
        <is>
          <t>Qualcomm</t>
        </is>
      </c>
      <c r="F720" s="8" t="inlineStr">
        <is>
          <t>Cambridge, England, UK</t>
        </is>
      </c>
      <c r="G720" s="8" t="n"/>
      <c r="H720" s="14" t="n"/>
      <c r="I720" s="15">
        <f>IF($H720="","",$H720-TODAY())</f>
        <v/>
      </c>
      <c r="J720" s="16" t="inlineStr">
        <is>
          <t>Open posting</t>
        </is>
      </c>
      <c r="K720" s="8" t="inlineStr">
        <is>
          <t>filtered by keyword pre-scan</t>
        </is>
      </c>
      <c r="L720" s="17" t="inlineStr">
        <is>
          <t>new</t>
        </is>
      </c>
      <c r="M720" s="18" t="inlineStr"/>
      <c r="N720" s="7" t="inlineStr">
        <is>
          <t>d79e0143d7e36c20a8a6a27118c9007892f076f2</t>
        </is>
      </c>
      <c r="O720" s="14" t="n">
        <v>46180</v>
      </c>
      <c r="P720" s="7" t="inlineStr">
        <is>
          <t>jobspy</t>
        </is>
      </c>
      <c r="Q720" s="8" t="inlineStr">
        <is>
          <t>git, c, hardware design</t>
        </is>
      </c>
      <c r="R720" s="8" t="inlineStr">
        <is>
          <t>Graduate Embedded Engineer Python FPGA</t>
        </is>
      </c>
      <c r="S720" s="19" t="n"/>
      <c r="T720" s="19" t="n"/>
      <c r="U720" s="14" t="n">
        <v>46193</v>
      </c>
      <c r="V720" s="7" t="inlineStr">
        <is>
          <t>v2-cv-accuracy-13b988b18da8ea7d</t>
        </is>
      </c>
    </row>
    <row r="721" ht="28" customHeight="1">
      <c r="A721" s="12">
        <f>IF($L721="applied","Applied",IF($L721="interview","Interview",IF($L721="offer","Offer",IF($L721="rejected","Rejected",IF($L721="ignore","Ignore",IF($L721="archive","Archive",IF($L721="closed","Closed",IF($B721="","Unscored",IF(AND($B721&gt;=8,OR($H721="",$H721-TODAY()&lt;=14)),"P1 Apply",IF($B721&gt;=7,"P2 Strong",IF($B721&gt;=5,"P3 Maybe","P4 Low")))))))))))</f>
        <v/>
      </c>
      <c r="B721" s="13" t="n">
        <v>1.08</v>
      </c>
      <c r="C721" s="12" t="inlineStr">
        <is>
          <t>Unspecified</t>
        </is>
      </c>
      <c r="D721" s="8" t="inlineStr">
        <is>
          <t>Embedded Software Engineer</t>
        </is>
      </c>
      <c r="E721" s="7" t="inlineStr">
        <is>
          <t>Haystack</t>
        </is>
      </c>
      <c r="F721" s="8" t="inlineStr">
        <is>
          <t>London, England, UK</t>
        </is>
      </c>
      <c r="G721" s="8" t="n"/>
      <c r="H721" s="14" t="n"/>
      <c r="I721" s="15">
        <f>IF($H721="","",$H721-TODAY())</f>
        <v/>
      </c>
      <c r="J721" s="16" t="inlineStr">
        <is>
          <t>Open posting</t>
        </is>
      </c>
      <c r="K721" s="8" t="inlineStr">
        <is>
          <t>filtered by keyword pre-scan</t>
        </is>
      </c>
      <c r="L721" s="17" t="inlineStr">
        <is>
          <t>new</t>
        </is>
      </c>
      <c r="M721" s="18" t="inlineStr"/>
      <c r="N721" s="7" t="inlineStr">
        <is>
          <t>6d1a129b1f80d3998aa5ed945e4707ef56cb5e0a</t>
        </is>
      </c>
      <c r="O721" s="14" t="n"/>
      <c r="P721" s="7" t="inlineStr">
        <is>
          <t>jobspy</t>
        </is>
      </c>
      <c r="Q721" s="8" t="inlineStr">
        <is>
          <t>stm32, c, embedded systems</t>
        </is>
      </c>
      <c r="R721" s="8" t="inlineStr">
        <is>
          <t>Junior Embedded Software Engineer STM32</t>
        </is>
      </c>
      <c r="S721" s="19" t="n"/>
      <c r="T721" s="19" t="n"/>
      <c r="U721" s="14" t="n">
        <v>46193</v>
      </c>
      <c r="V721" s="7" t="inlineStr">
        <is>
          <t>v2-cv-accuracy-13b988b18da8ea7d</t>
        </is>
      </c>
    </row>
    <row r="722" ht="28" customHeight="1">
      <c r="A722" s="12">
        <f>IF($L722="applied","Applied",IF($L722="interview","Interview",IF($L722="offer","Offer",IF($L722="rejected","Rejected",IF($L722="ignore","Ignore",IF($L722="archive","Archive",IF($L722="closed","Closed",IF($B722="","Unscored",IF(AND($B722&gt;=8,OR($H722="",$H722-TODAY()&lt;=14)),"P1 Apply",IF($B722&gt;=7,"P2 Strong",IF($B722&gt;=5,"P3 Maybe","P4 Low")))))))))))</f>
        <v/>
      </c>
      <c r="B722" s="13" t="n">
        <v>1.08</v>
      </c>
      <c r="C722" s="12" t="inlineStr">
        <is>
          <t>Unspecified</t>
        </is>
      </c>
      <c r="D722" s="8" t="inlineStr">
        <is>
          <t>Data Engineer</t>
        </is>
      </c>
      <c r="E722" s="7" t="inlineStr">
        <is>
          <t>MLM SEARCH</t>
        </is>
      </c>
      <c r="F722" s="8" t="inlineStr">
        <is>
          <t>London Area, United Kingdom</t>
        </is>
      </c>
      <c r="G722" s="8" t="n"/>
      <c r="H722" s="14" t="n"/>
      <c r="I722" s="15">
        <f>IF($H722="","",$H722-TODAY())</f>
        <v/>
      </c>
      <c r="J722" s="16" t="inlineStr">
        <is>
          <t>Open posting</t>
        </is>
      </c>
      <c r="K722" s="8" t="inlineStr">
        <is>
          <t>filtered by keyword pre-scan</t>
        </is>
      </c>
      <c r="L722" s="17" t="inlineStr">
        <is>
          <t>new</t>
        </is>
      </c>
      <c r="M722" s="18" t="inlineStr"/>
      <c r="N722" s="7" t="inlineStr">
        <is>
          <t>9b339aabc6e1d9eb3b3f143d2b4938e657342007</t>
        </is>
      </c>
      <c r="O722" s="14" t="n">
        <v>46190</v>
      </c>
      <c r="P722" s="7" t="inlineStr">
        <is>
          <t>jobspy</t>
        </is>
      </c>
      <c r="Q722" s="8" t="inlineStr">
        <is>
          <t>python, sql, c</t>
        </is>
      </c>
      <c r="R722" s="8" t="inlineStr">
        <is>
          <t>Junior Data Engineer Python SQL pipeline</t>
        </is>
      </c>
      <c r="S722" s="19" t="n"/>
      <c r="T722" s="19" t="n"/>
      <c r="U722" s="14" t="n">
        <v>46193</v>
      </c>
      <c r="V722" s="7" t="inlineStr">
        <is>
          <t>v2-cv-accuracy-13b988b18da8ea7d</t>
        </is>
      </c>
    </row>
    <row r="723" ht="28" customHeight="1">
      <c r="A723" s="12">
        <f>IF($L723="applied","Applied",IF($L723="interview","Interview",IF($L723="offer","Offer",IF($L723="rejected","Rejected",IF($L723="ignore","Ignore",IF($L723="archive","Archive",IF($L723="closed","Closed",IF($B723="","Unscored",IF(AND($B723&gt;=8,OR($H723="",$H723-TODAY()&lt;=14)),"P1 Apply",IF($B723&gt;=7,"P2 Strong",IF($B723&gt;=5,"P3 Maybe","P4 Low")))))))))))</f>
        <v/>
      </c>
      <c r="B723" s="13" t="n">
        <v>1.08</v>
      </c>
      <c r="C723" s="12" t="inlineStr">
        <is>
          <t>Junior</t>
        </is>
      </c>
      <c r="D723" s="8" t="inlineStr">
        <is>
          <t>Junior Embedded Software Engineer</t>
        </is>
      </c>
      <c r="E723" s="7" t="inlineStr">
        <is>
          <t>IC Resources</t>
        </is>
      </c>
      <c r="F723" s="8" t="inlineStr">
        <is>
          <t>Oxfordshire, England, UK</t>
        </is>
      </c>
      <c r="G723" s="8" t="n"/>
      <c r="H723" s="14" t="n"/>
      <c r="I723" s="15">
        <f>IF($H723="","",$H723-TODAY())</f>
        <v/>
      </c>
      <c r="J723" s="16" t="inlineStr">
        <is>
          <t>Open posting</t>
        </is>
      </c>
      <c r="K723" s="8" t="inlineStr">
        <is>
          <t>filtered by keyword pre-scan</t>
        </is>
      </c>
      <c r="L723" s="17" t="inlineStr">
        <is>
          <t>new</t>
        </is>
      </c>
      <c r="M723" s="18" t="inlineStr"/>
      <c r="N723" s="7" t="inlineStr">
        <is>
          <t>7e68aa6e6739a9f199ed25675b0bd8355d649897</t>
        </is>
      </c>
      <c r="O723" s="14" t="n">
        <v>46191</v>
      </c>
      <c r="P723" s="7" t="inlineStr">
        <is>
          <t>jobspy</t>
        </is>
      </c>
      <c r="Q723" s="8" t="inlineStr">
        <is>
          <t>c, embedded systems</t>
        </is>
      </c>
      <c r="R723" s="8" t="inlineStr">
        <is>
          <t>Junior Embedded Software Engineer STM32</t>
        </is>
      </c>
      <c r="S723" s="19" t="n"/>
      <c r="T723" s="19" t="n"/>
      <c r="U723" s="14" t="n">
        <v>46193</v>
      </c>
      <c r="V723" s="7" t="inlineStr">
        <is>
          <t>v2-cv-accuracy-13b988b18da8ea7d</t>
        </is>
      </c>
    </row>
    <row r="724" ht="28" customHeight="1">
      <c r="A724" s="12">
        <f>IF($L724="applied","Applied",IF($L724="interview","Interview",IF($L724="offer","Offer",IF($L724="rejected","Rejected",IF($L724="ignore","Ignore",IF($L724="archive","Archive",IF($L724="closed","Closed",IF($B724="","Unscored",IF(AND($B724&gt;=8,OR($H724="",$H724-TODAY()&lt;=14)),"P1 Apply",IF($B724&gt;=7,"P2 Strong",IF($B724&gt;=5,"P3 Maybe","P4 Low")))))))))))</f>
        <v/>
      </c>
      <c r="B724" s="13" t="n">
        <v>1.08</v>
      </c>
      <c r="C724" s="12" t="inlineStr">
        <is>
          <t>Unspecified</t>
        </is>
      </c>
      <c r="D724" s="8" t="inlineStr">
        <is>
          <t>Software Engineer</t>
        </is>
      </c>
      <c r="E724" s="7" t="inlineStr">
        <is>
          <t>Axle Energy</t>
        </is>
      </c>
      <c r="F724" s="8" t="inlineStr">
        <is>
          <t>London Area, United Kingdom</t>
        </is>
      </c>
      <c r="G724" s="8" t="n"/>
      <c r="H724" s="14" t="n"/>
      <c r="I724" s="15">
        <f>IF($H724="","",$H724-TODAY())</f>
        <v/>
      </c>
      <c r="J724" s="16" t="inlineStr">
        <is>
          <t>Open posting</t>
        </is>
      </c>
      <c r="K724" s="8" t="inlineStr">
        <is>
          <t>filtered by keyword pre-scan</t>
        </is>
      </c>
      <c r="L724" s="17" t="inlineStr">
        <is>
          <t>new</t>
        </is>
      </c>
      <c r="M724" s="18" t="inlineStr"/>
      <c r="N724" s="7" t="inlineStr">
        <is>
          <t>a6b214cb6695fde53b3f35cd625afcc8331caa11</t>
        </is>
      </c>
      <c r="O724" s="14" t="n">
        <v>46190</v>
      </c>
      <c r="P724" s="7" t="inlineStr">
        <is>
          <t>jobspy</t>
        </is>
      </c>
      <c r="Q724" s="8" t="inlineStr">
        <is>
          <t>python, docker, c</t>
        </is>
      </c>
      <c r="R724" s="8" t="inlineStr">
        <is>
          <t>Graduate Software Engineer Python Docker</t>
        </is>
      </c>
      <c r="S724" s="19" t="n"/>
      <c r="T724" s="19" t="n"/>
      <c r="U724" s="14" t="n">
        <v>46193</v>
      </c>
      <c r="V724" s="7" t="inlineStr">
        <is>
          <t>v2-cv-accuracy-13b988b18da8ea7d</t>
        </is>
      </c>
    </row>
    <row r="725" ht="28" customHeight="1">
      <c r="A725" s="12">
        <f>IF($L725="applied","Applied",IF($L725="interview","Interview",IF($L725="offer","Offer",IF($L725="rejected","Rejected",IF($L725="ignore","Ignore",IF($L725="archive","Archive",IF($L725="closed","Closed",IF($B725="","Unscored",IF(AND($B725&gt;=8,OR($H725="",$H725-TODAY()&lt;=14)),"P1 Apply",IF($B725&gt;=7,"P2 Strong",IF($B725&gt;=5,"P3 Maybe","P4 Low")))))))))))</f>
        <v/>
      </c>
      <c r="B725" s="13" t="n">
        <v>1.08</v>
      </c>
      <c r="C725" s="12" t="inlineStr">
        <is>
          <t>Graduate/Entry</t>
        </is>
      </c>
      <c r="D725" s="8" t="inlineStr">
        <is>
          <t>Graduate Technical Engineer</t>
        </is>
      </c>
      <c r="E725" s="7" t="inlineStr">
        <is>
          <t>TPP</t>
        </is>
      </c>
      <c r="F725" s="8" t="inlineStr">
        <is>
          <t>Horsforth, England, UK</t>
        </is>
      </c>
      <c r="G725" s="8" t="n"/>
      <c r="H725" s="14" t="n"/>
      <c r="I725" s="15">
        <f>IF($H725="","",$H725-TODAY())</f>
        <v/>
      </c>
      <c r="J725" s="16" t="inlineStr">
        <is>
          <t>Open posting</t>
        </is>
      </c>
      <c r="K725" s="8" t="inlineStr">
        <is>
          <t>filtered by keyword pre-scan</t>
        </is>
      </c>
      <c r="L725" s="17" t="inlineStr">
        <is>
          <t>new</t>
        </is>
      </c>
      <c r="M725" s="18" t="inlineStr"/>
      <c r="N725" s="7" t="inlineStr">
        <is>
          <t>653d608664e80de0676c41ffc40927901d82dc17</t>
        </is>
      </c>
      <c r="O725" s="14" t="n">
        <v>46191</v>
      </c>
      <c r="P725" s="7" t="inlineStr">
        <is>
          <t>jobspy</t>
        </is>
      </c>
      <c r="Q725" s="8" t="inlineStr">
        <is>
          <t>sql, git, c</t>
        </is>
      </c>
      <c r="R725" s="8" t="inlineStr">
        <is>
          <t>Graduate Computer Engineer Sheffield</t>
        </is>
      </c>
      <c r="S725" s="19" t="n"/>
      <c r="T725" s="19" t="n"/>
      <c r="U725" s="14" t="n">
        <v>46193</v>
      </c>
      <c r="V725" s="7" t="inlineStr">
        <is>
          <t>v2-cv-accuracy-13b988b18da8ea7d</t>
        </is>
      </c>
    </row>
    <row r="726" ht="28" customHeight="1">
      <c r="A726" s="12">
        <f>IF($L726="applied","Applied",IF($L726="interview","Interview",IF($L726="offer","Offer",IF($L726="rejected","Rejected",IF($L726="ignore","Ignore",IF($L726="archive","Archive",IF($L726="closed","Closed",IF($B726="","Unscored",IF(AND($B726&gt;=8,OR($H726="",$H726-TODAY()&lt;=14)),"P1 Apply",IF($B726&gt;=7,"P2 Strong",IF($B726&gt;=5,"P3 Maybe","P4 Low")))))))))))</f>
        <v/>
      </c>
      <c r="B726" s="13" t="n">
        <v>1.08</v>
      </c>
      <c r="C726" s="12" t="inlineStr">
        <is>
          <t>Junior</t>
        </is>
      </c>
      <c r="D726" s="8" t="inlineStr">
        <is>
          <t>Sr. Software Engineer, Cloud (Hybrid, London)</t>
        </is>
      </c>
      <c r="E726" s="7" t="inlineStr">
        <is>
          <t>CrowdStrike</t>
        </is>
      </c>
      <c r="F726" s="8" t="inlineStr">
        <is>
          <t>London, ENG, GB</t>
        </is>
      </c>
      <c r="G726" s="8" t="n"/>
      <c r="H726" s="14" t="n"/>
      <c r="I726" s="15">
        <f>IF($H726="","",$H726-TODAY())</f>
        <v/>
      </c>
      <c r="J726" s="16" t="inlineStr">
        <is>
          <t>Open posting</t>
        </is>
      </c>
      <c r="K726" s="8" t="inlineStr">
        <is>
          <t>filtered by keyword pre-scan</t>
        </is>
      </c>
      <c r="L726" s="17" t="inlineStr">
        <is>
          <t>new</t>
        </is>
      </c>
      <c r="M726" s="18" t="inlineStr"/>
      <c r="N726" s="7" t="inlineStr">
        <is>
          <t>4f226f5497a03ed161de073b2f6c2e8ec968672b</t>
        </is>
      </c>
      <c r="O726" s="14" t="n">
        <v>46185</v>
      </c>
      <c r="P726" s="7" t="inlineStr">
        <is>
          <t>jobspy</t>
        </is>
      </c>
      <c r="Q726" s="8" t="inlineStr">
        <is>
          <t>docker, kubernetes, c</t>
        </is>
      </c>
      <c r="R726" s="8" t="inlineStr">
        <is>
          <t>Junior Software Engineer Python backend</t>
        </is>
      </c>
      <c r="S726" s="19" t="n"/>
      <c r="T726" s="19" t="n"/>
      <c r="U726" s="14" t="n">
        <v>46193</v>
      </c>
      <c r="V726" s="7" t="inlineStr">
        <is>
          <t>v2-cv-accuracy-13b988b18da8ea7d</t>
        </is>
      </c>
    </row>
    <row r="727" ht="28" customHeight="1">
      <c r="A727" s="12">
        <f>IF($L727="applied","Applied",IF($L727="interview","Interview",IF($L727="offer","Offer",IF($L727="rejected","Rejected",IF($L727="ignore","Ignore",IF($L727="archive","Archive",IF($L727="closed","Closed",IF($B727="","Unscored",IF(AND($B727&gt;=8,OR($H727="",$H727-TODAY()&lt;=14)),"P1 Apply",IF($B727&gt;=7,"P2 Strong",IF($B727&gt;=5,"P3 Maybe","P4 Low")))))))))))</f>
        <v/>
      </c>
      <c r="B727" s="13" t="n">
        <v>1.08</v>
      </c>
      <c r="C727" s="12" t="inlineStr">
        <is>
          <t>Graduate/Entry</t>
        </is>
      </c>
      <c r="D727" s="8" t="inlineStr">
        <is>
          <t>Junior Web Developer – Remote – £30,000 + Training Provided (Entry Level)</t>
        </is>
      </c>
      <c r="E727" s="7" t="inlineStr">
        <is>
          <t>Apply4U | Apply4U | Human-Assisted AI Job &amp; Recruitment Platform</t>
        </is>
      </c>
      <c r="F727" s="8" t="inlineStr"/>
      <c r="G727" s="8" t="n"/>
      <c r="H727" s="14" t="n"/>
      <c r="I727" s="15">
        <f>IF($H727="","",$H727-TODAY())</f>
        <v/>
      </c>
      <c r="J727" s="16" t="inlineStr">
        <is>
          <t>Open posting</t>
        </is>
      </c>
      <c r="K727" s="8" t="inlineStr">
        <is>
          <t>filtered by keyword pre-scan</t>
        </is>
      </c>
      <c r="L727" s="17" t="inlineStr">
        <is>
          <t>new</t>
        </is>
      </c>
      <c r="M727" s="18" t="inlineStr"/>
      <c r="N727" s="7" t="inlineStr">
        <is>
          <t>04cd61fe2f8879078a436924cebe02a45697a568</t>
        </is>
      </c>
      <c r="O727" s="14" t="n">
        <v>46168</v>
      </c>
      <c r="P727" s="7" t="inlineStr">
        <is>
          <t>jobspy</t>
        </is>
      </c>
      <c r="Q727" s="8" t="inlineStr">
        <is>
          <t>git, c, javascript</t>
        </is>
      </c>
      <c r="R727" s="8" t="inlineStr">
        <is>
          <t>Junior Software Engineer Python backend</t>
        </is>
      </c>
      <c r="S727" s="19" t="n"/>
      <c r="T727" s="19" t="n"/>
      <c r="U727" s="14" t="n">
        <v>46193</v>
      </c>
      <c r="V727" s="7" t="inlineStr">
        <is>
          <t>v2-cv-accuracy-13b988b18da8ea7d</t>
        </is>
      </c>
    </row>
    <row r="728" ht="28" customHeight="1">
      <c r="A728" s="12">
        <f>IF($L728="applied","Applied",IF($L728="interview","Interview",IF($L728="offer","Offer",IF($L728="rejected","Rejected",IF($L728="ignore","Ignore",IF($L728="archive","Archive",IF($L728="closed","Closed",IF($B728="","Unscored",IF(AND($B728&gt;=8,OR($H728="",$H728-TODAY()&lt;=14)),"P1 Apply",IF($B728&gt;=7,"P2 Strong",IF($B728&gt;=5,"P3 Maybe","P4 Low")))))))))))</f>
        <v/>
      </c>
      <c r="B728" s="13" t="n">
        <v>1.08</v>
      </c>
      <c r="C728" s="12" t="inlineStr">
        <is>
          <t>Graduate/Entry</t>
        </is>
      </c>
      <c r="D728" s="8" t="inlineStr">
        <is>
          <t>Graduate Embedded Software Engineer</t>
        </is>
      </c>
      <c r="E728" s="7" t="inlineStr">
        <is>
          <t>Innovative Technology Ltd</t>
        </is>
      </c>
      <c r="F728" s="8" t="inlineStr">
        <is>
          <t>Oldham, ENG, GB</t>
        </is>
      </c>
      <c r="G728" s="8" t="n"/>
      <c r="H728" s="14" t="n"/>
      <c r="I728" s="15">
        <f>IF($H728="","",$H728-TODAY())</f>
        <v/>
      </c>
      <c r="J728" s="16" t="inlineStr">
        <is>
          <t>Open posting</t>
        </is>
      </c>
      <c r="K728" s="8" t="inlineStr">
        <is>
          <t>filtered by keyword pre-scan</t>
        </is>
      </c>
      <c r="L728" s="17" t="inlineStr">
        <is>
          <t>new</t>
        </is>
      </c>
      <c r="M728" s="18" t="inlineStr"/>
      <c r="N728" s="7" t="inlineStr">
        <is>
          <t>2754df94b5ddbec7dabafae21967b6192458d961</t>
        </is>
      </c>
      <c r="O728" s="14" t="n">
        <v>46189</v>
      </c>
      <c r="P728" s="7" t="inlineStr">
        <is>
          <t>jobspy</t>
        </is>
      </c>
      <c r="Q728" s="8" t="inlineStr">
        <is>
          <t>c, embedded systems</t>
        </is>
      </c>
      <c r="R728" s="8" t="inlineStr">
        <is>
          <t>Graduate Systems Engineer embedded hardware software</t>
        </is>
      </c>
      <c r="S728" s="19" t="n"/>
      <c r="T728" s="19" t="n"/>
      <c r="U728" s="14" t="n">
        <v>46192</v>
      </c>
      <c r="V728" s="7" t="inlineStr">
        <is>
          <t>v2-cv-accuracy-13b988b18da8ea7d</t>
        </is>
      </c>
    </row>
    <row r="729" ht="28" customHeight="1">
      <c r="A729" s="12">
        <f>IF($L729="applied","Applied",IF($L729="interview","Interview",IF($L729="offer","Offer",IF($L729="rejected","Rejected",IF($L729="ignore","Ignore",IF($L729="archive","Archive",IF($L729="closed","Closed",IF($B729="","Unscored",IF(AND($B729&gt;=8,OR($H729="",$H729-TODAY()&lt;=14)),"P1 Apply",IF($B729&gt;=7,"P2 Strong",IF($B729&gt;=5,"P3 Maybe","P4 Low")))))))))))</f>
        <v/>
      </c>
      <c r="B729" s="13" t="n">
        <v>1.08</v>
      </c>
      <c r="C729" s="12" t="inlineStr">
        <is>
          <t>Unspecified</t>
        </is>
      </c>
      <c r="D729" s="8" t="inlineStr">
        <is>
          <t>Data Scientist</t>
        </is>
      </c>
      <c r="E729" s="7" t="inlineStr">
        <is>
          <t>Sainsbury’s</t>
        </is>
      </c>
      <c r="F729" s="8" t="inlineStr">
        <is>
          <t>London, ENG, GB</t>
        </is>
      </c>
      <c r="G729" s="8" t="n"/>
      <c r="H729" s="14" t="n"/>
      <c r="I729" s="15">
        <f>IF($H729="","",$H729-TODAY())</f>
        <v/>
      </c>
      <c r="J729" s="16" t="inlineStr">
        <is>
          <t>Open posting</t>
        </is>
      </c>
      <c r="K729" s="8" t="inlineStr">
        <is>
          <t>filtered by keyword pre-scan</t>
        </is>
      </c>
      <c r="L729" s="17" t="inlineStr">
        <is>
          <t>new</t>
        </is>
      </c>
      <c r="M729" s="18" t="inlineStr"/>
      <c r="N729" s="7" t="inlineStr">
        <is>
          <t>ceedc106c7eabee06a9b7c8784671734cd744915</t>
        </is>
      </c>
      <c r="O729" s="14" t="n">
        <v>46181</v>
      </c>
      <c r="P729" s="7" t="inlineStr">
        <is>
          <t>jobspy</t>
        </is>
      </c>
      <c r="Q729" s="8" t="inlineStr">
        <is>
          <t>python, sql, c</t>
        </is>
      </c>
      <c r="R729" s="8" t="inlineStr">
        <is>
          <t>Graduate Data Engineer SQL Python pipeline</t>
        </is>
      </c>
      <c r="S729" s="19" t="n"/>
      <c r="T729" s="19" t="n"/>
      <c r="U729" s="14" t="n">
        <v>46192</v>
      </c>
      <c r="V729" s="7" t="inlineStr">
        <is>
          <t>v2-cv-accuracy-13b988b18da8ea7d</t>
        </is>
      </c>
    </row>
    <row r="730" ht="28" customHeight="1">
      <c r="A730" s="12">
        <f>IF($L730="applied","Applied",IF($L730="interview","Interview",IF($L730="offer","Offer",IF($L730="rejected","Rejected",IF($L730="ignore","Ignore",IF($L730="archive","Archive",IF($L730="closed","Closed",IF($B730="","Unscored",IF(AND($B730&gt;=8,OR($H730="",$H730-TODAY()&lt;=14)),"P1 Apply",IF($B730&gt;=7,"P2 Strong",IF($B730&gt;=5,"P3 Maybe","P4 Low")))))))))))</f>
        <v/>
      </c>
      <c r="B730" s="13" t="n">
        <v>1.08</v>
      </c>
      <c r="C730" s="12" t="inlineStr">
        <is>
          <t>Unspecified</t>
        </is>
      </c>
      <c r="D730" s="8" t="inlineStr">
        <is>
          <t>Data Engineer</t>
        </is>
      </c>
      <c r="E730" s="7" t="inlineStr">
        <is>
          <t>Cititec</t>
        </is>
      </c>
      <c r="F730" s="8" t="inlineStr">
        <is>
          <t>London Area, United Kingdom</t>
        </is>
      </c>
      <c r="G730" s="8" t="n"/>
      <c r="H730" s="14" t="n"/>
      <c r="I730" s="15">
        <f>IF($H730="","",$H730-TODAY())</f>
        <v/>
      </c>
      <c r="J730" s="16" t="inlineStr">
        <is>
          <t>Open posting</t>
        </is>
      </c>
      <c r="K730" s="8" t="inlineStr">
        <is>
          <t>filtered by keyword pre-scan</t>
        </is>
      </c>
      <c r="L730" s="17" t="inlineStr">
        <is>
          <t>new</t>
        </is>
      </c>
      <c r="M730" s="18" t="inlineStr"/>
      <c r="N730" s="7" t="inlineStr">
        <is>
          <t>ff65c9a46858acca546732256593c12aa050e1d8</t>
        </is>
      </c>
      <c r="O730" s="14" t="n">
        <v>46181</v>
      </c>
      <c r="P730" s="7" t="inlineStr">
        <is>
          <t>jobspy</t>
        </is>
      </c>
      <c r="Q730" s="8" t="inlineStr">
        <is>
          <t>python, sql, c</t>
        </is>
      </c>
      <c r="R730" s="8" t="inlineStr">
        <is>
          <t>Graduate Data Engineer SQL Python pipeline</t>
        </is>
      </c>
      <c r="S730" s="19" t="n"/>
      <c r="T730" s="19" t="n"/>
      <c r="U730" s="14" t="n">
        <v>46192</v>
      </c>
      <c r="V730" s="7" t="inlineStr">
        <is>
          <t>v2-cv-accuracy-13b988b18da8ea7d</t>
        </is>
      </c>
    </row>
    <row r="731" ht="28" customHeight="1">
      <c r="A731" s="12">
        <f>IF($L731="applied","Applied",IF($L731="interview","Interview",IF($L731="offer","Offer",IF($L731="rejected","Rejected",IF($L731="ignore","Ignore",IF($L731="archive","Archive",IF($L731="closed","Closed",IF($B731="","Unscored",IF(AND($B731&gt;=8,OR($H731="",$H731-TODAY()&lt;=14)),"P1 Apply",IF($B731&gt;=7,"P2 Strong",IF($B731&gt;=5,"P3 Maybe","P4 Low")))))))))))</f>
        <v/>
      </c>
      <c r="B731" s="13" t="n">
        <v>1.08</v>
      </c>
      <c r="C731" s="12" t="inlineStr">
        <is>
          <t>Graduate/Entry</t>
        </is>
      </c>
      <c r="D731" s="8" t="inlineStr">
        <is>
          <t>Graduate Data Engineer</t>
        </is>
      </c>
      <c r="E731" s="7" t="inlineStr">
        <is>
          <t>Netcompany</t>
        </is>
      </c>
      <c r="F731" s="8" t="inlineStr">
        <is>
          <t>Leeds, England, UK</t>
        </is>
      </c>
      <c r="G731" s="8" t="n"/>
      <c r="H731" s="14" t="n"/>
      <c r="I731" s="15">
        <f>IF($H731="","",$H731-TODAY())</f>
        <v/>
      </c>
      <c r="J731" s="16" t="inlineStr">
        <is>
          <t>Open posting</t>
        </is>
      </c>
      <c r="K731" s="8" t="inlineStr">
        <is>
          <t>filtered by keyword pre-scan</t>
        </is>
      </c>
      <c r="L731" s="17" t="inlineStr">
        <is>
          <t>new</t>
        </is>
      </c>
      <c r="M731" s="18" t="inlineStr"/>
      <c r="N731" s="7" t="inlineStr">
        <is>
          <t>95c4dc3f6903fb8e0e6ab998687feb34b33ec065</t>
        </is>
      </c>
      <c r="O731" s="14" t="n"/>
      <c r="P731" s="7" t="inlineStr">
        <is>
          <t>jobspy</t>
        </is>
      </c>
      <c r="Q731" s="8" t="inlineStr">
        <is>
          <t>sql, git, c</t>
        </is>
      </c>
      <c r="R731" s="8" t="inlineStr">
        <is>
          <t>Graduate Data Engineer SQL Python pipeline</t>
        </is>
      </c>
      <c r="S731" s="19" t="n"/>
      <c r="T731" s="19" t="n"/>
      <c r="U731" s="14" t="n">
        <v>46192</v>
      </c>
      <c r="V731" s="7" t="inlineStr">
        <is>
          <t>v2-cv-accuracy-13b988b18da8ea7d</t>
        </is>
      </c>
    </row>
    <row r="732" ht="28" customHeight="1">
      <c r="A732" s="12">
        <f>IF($L732="applied","Applied",IF($L732="interview","Interview",IF($L732="offer","Offer",IF($L732="rejected","Rejected",IF($L732="ignore","Ignore",IF($L732="archive","Archive",IF($L732="closed","Closed",IF($B732="","Unscored",IF(AND($B732&gt;=8,OR($H732="",$H732-TODAY()&lt;=14)),"P1 Apply",IF($B732&gt;=7,"P2 Strong",IF($B732&gt;=5,"P3 Maybe","P4 Low")))))))))))</f>
        <v/>
      </c>
      <c r="B732" s="13" t="n">
        <v>1.08</v>
      </c>
      <c r="C732" s="12" t="inlineStr">
        <is>
          <t>Graduate/Entry</t>
        </is>
      </c>
      <c r="D732" s="8" t="inlineStr">
        <is>
          <t>Graduate / Entry Level Mixed Signal IC Layout Designer</t>
        </is>
      </c>
      <c r="E732" s="7" t="inlineStr">
        <is>
          <t>Cirrus Logic</t>
        </is>
      </c>
      <c r="F732" s="8" t="inlineStr">
        <is>
          <t>Edinburgh, SCT, GB</t>
        </is>
      </c>
      <c r="G732" s="8" t="n"/>
      <c r="H732" s="14" t="n"/>
      <c r="I732" s="15">
        <f>IF($H732="","",$H732-TODAY())</f>
        <v/>
      </c>
      <c r="J732" s="16" t="inlineStr">
        <is>
          <t>Open posting</t>
        </is>
      </c>
      <c r="K732" s="8" t="inlineStr">
        <is>
          <t>filtered by keyword pre-scan</t>
        </is>
      </c>
      <c r="L732" s="17" t="inlineStr">
        <is>
          <t>new</t>
        </is>
      </c>
      <c r="M732" s="18" t="inlineStr"/>
      <c r="N732" s="7" t="inlineStr">
        <is>
          <t>f1025731068c73321c4453492ffd1af2854d1cc5</t>
        </is>
      </c>
      <c r="O732" s="14" t="n">
        <v>46167</v>
      </c>
      <c r="P732" s="7" t="inlineStr">
        <is>
          <t>jobspy</t>
        </is>
      </c>
      <c r="Q732" s="8" t="inlineStr">
        <is>
          <t>git, c</t>
        </is>
      </c>
      <c r="R732" s="8" t="inlineStr">
        <is>
          <t>Graduate Electronics Engineer remote UK</t>
        </is>
      </c>
      <c r="S732" s="19" t="n"/>
      <c r="T732" s="19" t="n"/>
      <c r="U732" s="14" t="n">
        <v>46192</v>
      </c>
      <c r="V732" s="7" t="inlineStr">
        <is>
          <t>v2-cv-accuracy-13b988b18da8ea7d</t>
        </is>
      </c>
    </row>
    <row r="733" ht="28" customHeight="1">
      <c r="A733" s="12">
        <f>IF($L733="applied","Applied",IF($L733="interview","Interview",IF($L733="offer","Offer",IF($L733="rejected","Rejected",IF($L733="ignore","Ignore",IF($L733="archive","Archive",IF($L733="closed","Closed",IF($B733="","Unscored",IF(AND($B733&gt;=8,OR($H733="",$H733-TODAY()&lt;=14)),"P1 Apply",IF($B733&gt;=7,"P2 Strong",IF($B733&gt;=5,"P3 Maybe","P4 Low")))))))))))</f>
        <v/>
      </c>
      <c r="B733" s="13" t="n">
        <v>1.08</v>
      </c>
      <c r="C733" s="12" t="inlineStr">
        <is>
          <t>Graduate/Entry</t>
        </is>
      </c>
      <c r="D733" s="8" t="inlineStr">
        <is>
          <t>Graduate Embedded Software Engineer</t>
        </is>
      </c>
      <c r="E733" s="7" t="inlineStr">
        <is>
          <t>RACELOGIC</t>
        </is>
      </c>
      <c r="F733" s="8" t="inlineStr">
        <is>
          <t>Buckingham, England, UK</t>
        </is>
      </c>
      <c r="G733" s="8" t="n"/>
      <c r="H733" s="14" t="n"/>
      <c r="I733" s="15">
        <f>IF($H733="","",$H733-TODAY())</f>
        <v/>
      </c>
      <c r="J733" s="16" t="inlineStr">
        <is>
          <t>Open posting</t>
        </is>
      </c>
      <c r="K733" s="8" t="inlineStr">
        <is>
          <t>filtered by keyword pre-scan</t>
        </is>
      </c>
      <c r="L733" s="17" t="inlineStr">
        <is>
          <t>new</t>
        </is>
      </c>
      <c r="M733" s="18" t="inlineStr"/>
      <c r="N733" s="7" t="inlineStr">
        <is>
          <t>b9b83ad0882f60f4366e6957bf607ec58935095f</t>
        </is>
      </c>
      <c r="O733" s="14" t="n">
        <v>46191</v>
      </c>
      <c r="P733" s="7" t="inlineStr">
        <is>
          <t>jobspy</t>
        </is>
      </c>
      <c r="Q733" s="8" t="inlineStr">
        <is>
          <t>python, c, embedded systems</t>
        </is>
      </c>
      <c r="R733" s="8" t="inlineStr">
        <is>
          <t>Embedded Software Engineer C Python graduate UK</t>
        </is>
      </c>
      <c r="S733" s="19" t="n"/>
      <c r="T733" s="19" t="n"/>
      <c r="U733" s="14" t="n">
        <v>46192</v>
      </c>
      <c r="V733" s="7" t="inlineStr">
        <is>
          <t>v2-cv-accuracy-13b988b18da8ea7d</t>
        </is>
      </c>
    </row>
    <row r="734" ht="28" customHeight="1">
      <c r="A734" s="12">
        <f>IF($L734="applied","Applied",IF($L734="interview","Interview",IF($L734="offer","Offer",IF($L734="rejected","Rejected",IF($L734="ignore","Ignore",IF($L734="archive","Archive",IF($L734="closed","Closed",IF($B734="","Unscored",IF(AND($B734&gt;=8,OR($H734="",$H734-TODAY()&lt;=14)),"P1 Apply",IF($B734&gt;=7,"P2 Strong",IF($B734&gt;=5,"P3 Maybe","P4 Low")))))))))))</f>
        <v/>
      </c>
      <c r="B734" s="13" t="n">
        <v>1.08</v>
      </c>
      <c r="C734" s="12" t="inlineStr">
        <is>
          <t>Unspecified</t>
        </is>
      </c>
      <c r="D734" s="8" t="inlineStr">
        <is>
          <t>Data Engineer</t>
        </is>
      </c>
      <c r="E734" s="7" t="inlineStr">
        <is>
          <t>The Adecco Group</t>
        </is>
      </c>
      <c r="F734" s="8" t="inlineStr">
        <is>
          <t>Lincolnshire, England, UK</t>
        </is>
      </c>
      <c r="G734" s="8" t="n"/>
      <c r="H734" s="14" t="n"/>
      <c r="I734" s="15">
        <f>IF($H734="","",$H734-TODAY())</f>
        <v/>
      </c>
      <c r="J734" s="16" t="inlineStr">
        <is>
          <t>Open posting</t>
        </is>
      </c>
      <c r="K734" s="8" t="inlineStr">
        <is>
          <t>filtered by keyword pre-scan</t>
        </is>
      </c>
      <c r="L734" s="17" t="inlineStr">
        <is>
          <t>new</t>
        </is>
      </c>
      <c r="M734" s="18" t="inlineStr"/>
      <c r="N734" s="7" t="inlineStr">
        <is>
          <t>a00d89cbe385500ca94c205e643fa2e075bd6098</t>
        </is>
      </c>
      <c r="O734" s="14" t="n">
        <v>46190</v>
      </c>
      <c r="P734" s="7" t="inlineStr">
        <is>
          <t>jobspy</t>
        </is>
      </c>
      <c r="Q734" s="8" t="inlineStr">
        <is>
          <t>python, sql, c</t>
        </is>
      </c>
      <c r="R734" s="8" t="inlineStr">
        <is>
          <t>Graduate Data Engineer SQL Python pipeline</t>
        </is>
      </c>
      <c r="S734" s="19" t="n"/>
      <c r="T734" s="19" t="n"/>
      <c r="U734" s="14" t="n">
        <v>46192</v>
      </c>
      <c r="V734" s="7" t="inlineStr">
        <is>
          <t>v2-cv-accuracy-13b988b18da8ea7d</t>
        </is>
      </c>
    </row>
    <row r="735" ht="28" customHeight="1">
      <c r="A735" s="12">
        <f>IF($L735="applied","Applied",IF($L735="interview","Interview",IF($L735="offer","Offer",IF($L735="rejected","Rejected",IF($L735="ignore","Ignore",IF($L735="archive","Archive",IF($L735="closed","Closed",IF($B735="","Unscored",IF(AND($B735&gt;=8,OR($H735="",$H735-TODAY()&lt;=14)),"P1 Apply",IF($B735&gt;=7,"P2 Strong",IF($B735&gt;=5,"P3 Maybe","P4 Low")))))))))))</f>
        <v/>
      </c>
      <c r="B735" s="13" t="n">
        <v>1.08</v>
      </c>
      <c r="C735" s="12" t="inlineStr">
        <is>
          <t>Mid-level</t>
        </is>
      </c>
      <c r="D735" s="8" t="inlineStr">
        <is>
          <t>Dev Ops / Platform Engineer</t>
        </is>
      </c>
      <c r="E735" s="7" t="inlineStr">
        <is>
          <t>Neat</t>
        </is>
      </c>
      <c r="F735" s="8" t="inlineStr">
        <is>
          <t>Cambridge, England, UK</t>
        </is>
      </c>
      <c r="G735" s="8" t="n"/>
      <c r="H735" s="14" t="n"/>
      <c r="I735" s="15">
        <f>IF($H735="","",$H735-TODAY())</f>
        <v/>
      </c>
      <c r="J735" s="16" t="inlineStr">
        <is>
          <t>Open posting</t>
        </is>
      </c>
      <c r="K735" s="8" t="inlineStr">
        <is>
          <t>filtered by keyword pre-scan</t>
        </is>
      </c>
      <c r="L735" s="17" t="inlineStr">
        <is>
          <t>new</t>
        </is>
      </c>
      <c r="M735" s="18" t="inlineStr"/>
      <c r="N735" s="7" t="inlineStr">
        <is>
          <t>58f64f5a05081734446e6f99c02f8d9064976acb</t>
        </is>
      </c>
      <c r="O735" s="14" t="n"/>
      <c r="P735" s="7" t="inlineStr">
        <is>
          <t>jobspy</t>
        </is>
      </c>
      <c r="Q735" s="8" t="inlineStr">
        <is>
          <t>docker, kubernetes, c</t>
        </is>
      </c>
      <c r="R735" s="8" t="inlineStr">
        <is>
          <t>Graduate DevOps Engineer Docker Kubernetes Python</t>
        </is>
      </c>
      <c r="S735" s="19" t="n"/>
      <c r="T735" s="19" t="n"/>
      <c r="U735" s="14" t="n">
        <v>46192</v>
      </c>
      <c r="V735" s="7" t="inlineStr">
        <is>
          <t>v2-cv-accuracy-13b988b18da8ea7d</t>
        </is>
      </c>
    </row>
    <row r="736" ht="28" customHeight="1">
      <c r="A736" s="12">
        <f>IF($L736="applied","Applied",IF($L736="interview","Interview",IF($L736="offer","Offer",IF($L736="rejected","Rejected",IF($L736="ignore","Ignore",IF($L736="archive","Archive",IF($L736="closed","Closed",IF($B736="","Unscored",IF(AND($B736&gt;=8,OR($H736="",$H736-TODAY()&lt;=14)),"P1 Apply",IF($B736&gt;=7,"P2 Strong",IF($B736&gt;=5,"P3 Maybe","P4 Low")))))))))))</f>
        <v/>
      </c>
      <c r="B736" s="13" t="n">
        <v>1.08</v>
      </c>
      <c r="C736" s="12" t="inlineStr">
        <is>
          <t>Graduate/Entry</t>
        </is>
      </c>
      <c r="D736" s="8" t="inlineStr">
        <is>
          <t>Graduate Applications Engineer (full time)</t>
        </is>
      </c>
      <c r="E736" s="7" t="inlineStr">
        <is>
          <t>XJTAG</t>
        </is>
      </c>
      <c r="F736" s="8" t="inlineStr">
        <is>
          <t>Cambridge, ENG, GB</t>
        </is>
      </c>
      <c r="G736" s="8" t="n"/>
      <c r="H736" s="14" t="n"/>
      <c r="I736" s="15">
        <f>IF($H736="","",$H736-TODAY())</f>
        <v/>
      </c>
      <c r="J736" s="16" t="inlineStr">
        <is>
          <t>Open posting</t>
        </is>
      </c>
      <c r="K736" s="8" t="inlineStr">
        <is>
          <t>filtered by keyword pre-scan</t>
        </is>
      </c>
      <c r="L736" s="17" t="inlineStr">
        <is>
          <t>new</t>
        </is>
      </c>
      <c r="M736" s="18" t="inlineStr"/>
      <c r="N736" s="7" t="inlineStr">
        <is>
          <t>565bf5c43020bef7435a8f132d6a16aa78bce113</t>
        </is>
      </c>
      <c r="O736" s="14" t="n">
        <v>46178</v>
      </c>
      <c r="P736" s="7" t="inlineStr">
        <is>
          <t>jobspy</t>
        </is>
      </c>
      <c r="Q736" s="8" t="inlineStr">
        <is>
          <t>fpga, git, c</t>
        </is>
      </c>
      <c r="R736" s="8" t="inlineStr">
        <is>
          <t>Graduate Digital Design Engineer FPGA</t>
        </is>
      </c>
      <c r="S736" s="19" t="n"/>
      <c r="T736" s="19" t="n"/>
      <c r="U736" s="14" t="n">
        <v>46192</v>
      </c>
      <c r="V736" s="7" t="inlineStr">
        <is>
          <t>v2-cv-accuracy-13b988b18da8ea7d</t>
        </is>
      </c>
    </row>
    <row r="737" ht="28" customHeight="1">
      <c r="A737" s="12">
        <f>IF($L737="applied","Applied",IF($L737="interview","Interview",IF($L737="offer","Offer",IF($L737="rejected","Rejected",IF($L737="ignore","Ignore",IF($L737="archive","Archive",IF($L737="closed","Closed",IF($B737="","Unscored",IF(AND($B737&gt;=8,OR($H737="",$H737-TODAY()&lt;=14)),"P1 Apply",IF($B737&gt;=7,"P2 Strong",IF($B737&gt;=5,"P3 Maybe","P4 Low")))))))))))</f>
        <v/>
      </c>
      <c r="B737" s="13" t="n">
        <v>1.08</v>
      </c>
      <c r="C737" s="12" t="inlineStr">
        <is>
          <t>Unspecified</t>
        </is>
      </c>
      <c r="D737" s="8" t="inlineStr">
        <is>
          <t>Production Engineer</t>
        </is>
      </c>
      <c r="E737" s="7" t="inlineStr">
        <is>
          <t>Meta</t>
        </is>
      </c>
      <c r="F737" s="8" t="inlineStr">
        <is>
          <t>London, England, UK</t>
        </is>
      </c>
      <c r="G737" s="8" t="n"/>
      <c r="H737" s="14" t="n"/>
      <c r="I737" s="15">
        <f>IF($H737="","",$H737-TODAY())</f>
        <v/>
      </c>
      <c r="J737" s="16" t="inlineStr">
        <is>
          <t>Open posting</t>
        </is>
      </c>
      <c r="K737" s="8" t="inlineStr">
        <is>
          <t>filtered by keyword pre-scan</t>
        </is>
      </c>
      <c r="L737" s="17" t="inlineStr">
        <is>
          <t>new</t>
        </is>
      </c>
      <c r="M737" s="18" t="inlineStr"/>
      <c r="N737" s="7" t="inlineStr">
        <is>
          <t>7d90f1a7908649643f4856659ffb6bb1511000cc</t>
        </is>
      </c>
      <c r="O737" s="14" t="n">
        <v>46191</v>
      </c>
      <c r="P737" s="7" t="inlineStr">
        <is>
          <t>jobspy</t>
        </is>
      </c>
      <c r="Q737" s="8" t="inlineStr">
        <is>
          <t>python, git, c</t>
        </is>
      </c>
      <c r="R737" s="8" t="inlineStr">
        <is>
          <t>Graduate Backend Developer Docker Kubernetes</t>
        </is>
      </c>
      <c r="S737" s="19" t="n"/>
      <c r="T737" s="19" t="n"/>
      <c r="U737" s="14" t="n">
        <v>46192</v>
      </c>
      <c r="V737" s="7" t="inlineStr">
        <is>
          <t>v2-cv-accuracy-13b988b18da8ea7d</t>
        </is>
      </c>
    </row>
    <row r="738" ht="28" customHeight="1">
      <c r="A738" s="12">
        <f>IF($L738="applied","Applied",IF($L738="interview","Interview",IF($L738="offer","Offer",IF($L738="rejected","Rejected",IF($L738="ignore","Ignore",IF($L738="archive","Archive",IF($L738="closed","Closed",IF($B738="","Unscored",IF(AND($B738&gt;=8,OR($H738="",$H738-TODAY()&lt;=14)),"P1 Apply",IF($B738&gt;=7,"P2 Strong",IF($B738&gt;=5,"P3 Maybe","P4 Low")))))))))))</f>
        <v/>
      </c>
      <c r="B738" s="13" t="n">
        <v>1.08</v>
      </c>
      <c r="C738" s="12" t="inlineStr">
        <is>
          <t>Mid-level</t>
        </is>
      </c>
      <c r="D738" s="8" t="inlineStr">
        <is>
          <t>Software Engineer - Infrastructure,SWE Developer Foundations</t>
        </is>
      </c>
      <c r="E738" s="7" t="inlineStr">
        <is>
          <t>Apple</t>
        </is>
      </c>
      <c r="F738" s="8" t="inlineStr">
        <is>
          <t>London, England, UK</t>
        </is>
      </c>
      <c r="G738" s="8" t="n"/>
      <c r="H738" s="14" t="n"/>
      <c r="I738" s="15">
        <f>IF($H738="","",$H738-TODAY())</f>
        <v/>
      </c>
      <c r="J738" s="16" t="inlineStr">
        <is>
          <t>Open posting</t>
        </is>
      </c>
      <c r="K738" s="8" t="inlineStr">
        <is>
          <t>filtered by keyword pre-scan</t>
        </is>
      </c>
      <c r="L738" s="17" t="inlineStr">
        <is>
          <t>new</t>
        </is>
      </c>
      <c r="M738" s="18" t="inlineStr"/>
      <c r="N738" s="7" t="inlineStr">
        <is>
          <t>337ca626f04b981d326e83068568360bba8eb564</t>
        </is>
      </c>
      <c r="O738" s="14" t="n">
        <v>46191</v>
      </c>
      <c r="P738" s="7" t="inlineStr">
        <is>
          <t>jobspy</t>
        </is>
      </c>
      <c r="Q738" s="8" t="inlineStr">
        <is>
          <t>kubernetes, git, c</t>
        </is>
      </c>
      <c r="R738" s="8" t="inlineStr">
        <is>
          <t>Graduate Backend Developer Docker Kubernetes</t>
        </is>
      </c>
      <c r="S738" s="19" t="n"/>
      <c r="T738" s="19" t="n"/>
      <c r="U738" s="14" t="n">
        <v>46192</v>
      </c>
      <c r="V738" s="7" t="inlineStr">
        <is>
          <t>v2-cv-accuracy-13b988b18da8ea7d</t>
        </is>
      </c>
    </row>
    <row r="739" ht="28" customHeight="1">
      <c r="A739" s="12">
        <f>IF($L739="applied","Applied",IF($L739="interview","Interview",IF($L739="offer","Offer",IF($L739="rejected","Rejected",IF($L739="ignore","Ignore",IF($L739="archive","Archive",IF($L739="closed","Closed",IF($B739="","Unscored",IF(AND($B739&gt;=8,OR($H739="",$H739-TODAY()&lt;=14)),"P1 Apply",IF($B739&gt;=7,"P2 Strong",IF($B739&gt;=5,"P3 Maybe","P4 Low")))))))))))</f>
        <v/>
      </c>
      <c r="B739" s="13" t="n">
        <v>1.08</v>
      </c>
      <c r="C739" s="12" t="inlineStr">
        <is>
          <t>Senior/Lead</t>
        </is>
      </c>
      <c r="D739" s="8" t="inlineStr">
        <is>
          <t>Software Engineer - Orchestration</t>
        </is>
      </c>
      <c r="E739" s="7" t="inlineStr">
        <is>
          <t>Neo4j</t>
        </is>
      </c>
      <c r="F739" s="8" t="inlineStr">
        <is>
          <t>London Area, United Kingdom</t>
        </is>
      </c>
      <c r="G739" s="8" t="n"/>
      <c r="H739" s="14" t="n"/>
      <c r="I739" s="15">
        <f>IF($H739="","",$H739-TODAY())</f>
        <v/>
      </c>
      <c r="J739" s="16" t="inlineStr">
        <is>
          <t>Open posting</t>
        </is>
      </c>
      <c r="K739" s="8" t="inlineStr">
        <is>
          <t>filtered by keyword pre-scan</t>
        </is>
      </c>
      <c r="L739" s="17" t="inlineStr">
        <is>
          <t>new</t>
        </is>
      </c>
      <c r="M739" s="18" t="inlineStr"/>
      <c r="N739" s="7" t="inlineStr">
        <is>
          <t>3e7978563e626f7e94e0e11122f4240d8cf74c79</t>
        </is>
      </c>
      <c r="O739" s="14" t="n">
        <v>46169</v>
      </c>
      <c r="P739" s="7" t="inlineStr">
        <is>
          <t>jobspy</t>
        </is>
      </c>
      <c r="Q739" s="8" t="inlineStr">
        <is>
          <t>kubernetes, git, c</t>
        </is>
      </c>
      <c r="R739" s="8" t="inlineStr">
        <is>
          <t>Graduate Backend Developer Docker Kubernetes</t>
        </is>
      </c>
      <c r="S739" s="19" t="n"/>
      <c r="T739" s="19" t="n"/>
      <c r="U739" s="14" t="n">
        <v>46192</v>
      </c>
      <c r="V739" s="7" t="inlineStr">
        <is>
          <t>v2-cv-accuracy-13b988b18da8ea7d</t>
        </is>
      </c>
    </row>
    <row r="740" ht="28" customHeight="1">
      <c r="A740" s="12">
        <f>IF($L740="applied","Applied",IF($L740="interview","Interview",IF($L740="offer","Offer",IF($L740="rejected","Rejected",IF($L740="ignore","Ignore",IF($L740="archive","Archive",IF($L740="closed","Closed",IF($B740="","Unscored",IF(AND($B740&gt;=8,OR($H740="",$H740-TODAY()&lt;=14)),"P1 Apply",IF($B740&gt;=7,"P2 Strong",IF($B740&gt;=5,"P3 Maybe","P4 Low")))))))))))</f>
        <v/>
      </c>
      <c r="B740" s="13" t="n">
        <v>1.08</v>
      </c>
      <c r="C740" s="12" t="inlineStr">
        <is>
          <t>Unspecified</t>
        </is>
      </c>
      <c r="D740" s="8" t="inlineStr">
        <is>
          <t>Data Flow Engineer</t>
        </is>
      </c>
      <c r="E740" s="7" t="inlineStr">
        <is>
          <t>Clearwater Analytics</t>
        </is>
      </c>
      <c r="F740" s="8" t="inlineStr">
        <is>
          <t>Edinburgh, Scotland, UK</t>
        </is>
      </c>
      <c r="G740" s="8" t="n"/>
      <c r="H740" s="14" t="n"/>
      <c r="I740" s="15">
        <f>IF($H740="","",$H740-TODAY())</f>
        <v/>
      </c>
      <c r="J740" s="16" t="inlineStr">
        <is>
          <t>Open posting</t>
        </is>
      </c>
      <c r="K740" s="8" t="inlineStr">
        <is>
          <t>filtered by keyword pre-scan</t>
        </is>
      </c>
      <c r="L740" s="17" t="inlineStr">
        <is>
          <t>new</t>
        </is>
      </c>
      <c r="M740" s="18" t="inlineStr"/>
      <c r="N740" s="7" t="inlineStr">
        <is>
          <t>bb5af8634ba2c18d816cd49b1a137c8b5ba8d498</t>
        </is>
      </c>
      <c r="O740" s="14" t="n">
        <v>46190</v>
      </c>
      <c r="P740" s="7" t="inlineStr">
        <is>
          <t>jobspy</t>
        </is>
      </c>
      <c r="Q740" s="8" t="inlineStr">
        <is>
          <t>python, sql, c</t>
        </is>
      </c>
      <c r="R740" s="8" t="inlineStr">
        <is>
          <t>Graduate Data Engineer SQL Python pipeline</t>
        </is>
      </c>
      <c r="S740" s="19" t="n"/>
      <c r="T740" s="19" t="n"/>
      <c r="U740" s="14" t="n">
        <v>46192</v>
      </c>
      <c r="V740" s="7" t="inlineStr">
        <is>
          <t>v2-cv-accuracy-13b988b18da8ea7d</t>
        </is>
      </c>
    </row>
    <row r="741" ht="28" customHeight="1">
      <c r="A741" s="12">
        <f>IF($L741="applied","Applied",IF($L741="interview","Interview",IF($L741="offer","Offer",IF($L741="rejected","Rejected",IF($L741="ignore","Ignore",IF($L741="archive","Archive",IF($L741="closed","Closed",IF($B741="","Unscored",IF(AND($B741&gt;=8,OR($H741="",$H741-TODAY()&lt;=14)),"P1 Apply",IF($B741&gt;=7,"P2 Strong",IF($B741&gt;=5,"P3 Maybe","P4 Low")))))))))))</f>
        <v/>
      </c>
      <c r="B741" s="13" t="n">
        <v>1.08</v>
      </c>
      <c r="C741" s="12" t="inlineStr">
        <is>
          <t>Apprentice/Trainee</t>
        </is>
      </c>
      <c r="D741" s="8" t="inlineStr">
        <is>
          <t>Software Developer Apprentice</t>
        </is>
      </c>
      <c r="E741" s="7" t="inlineStr">
        <is>
          <t>QA</t>
        </is>
      </c>
      <c r="F741" s="8" t="inlineStr">
        <is>
          <t>London, ENG, GB</t>
        </is>
      </c>
      <c r="G741" s="8" t="n"/>
      <c r="H741" s="14" t="n"/>
      <c r="I741" s="15">
        <f>IF($H741="","",$H741-TODAY())</f>
        <v/>
      </c>
      <c r="J741" s="16" t="inlineStr">
        <is>
          <t>Open posting</t>
        </is>
      </c>
      <c r="K741" s="8" t="inlineStr">
        <is>
          <t>filtered by keyword pre-scan</t>
        </is>
      </c>
      <c r="L741" s="17" t="inlineStr">
        <is>
          <t>new</t>
        </is>
      </c>
      <c r="M741" s="18" t="inlineStr"/>
      <c r="N741" s="7" t="inlineStr">
        <is>
          <t>0112350fdd221490a7a6bf45ea3dfdd441f3185b</t>
        </is>
      </c>
      <c r="O741" s="14" t="n">
        <v>46173</v>
      </c>
      <c r="P741" s="7" t="inlineStr">
        <is>
          <t>jobspy</t>
        </is>
      </c>
      <c r="Q741" s="8" t="inlineStr">
        <is>
          <t>python, sql, javascript, git, software development</t>
        </is>
      </c>
      <c r="R741" s="8" t="inlineStr">
        <is>
          <t>junior Graduate Software Developer</t>
        </is>
      </c>
      <c r="S741" s="19" t="n"/>
      <c r="T741" s="19" t="n"/>
      <c r="U741" s="14" t="n">
        <v>46191</v>
      </c>
      <c r="V741" s="7" t="inlineStr">
        <is>
          <t>v2-cv-accuracy-13b988b18da8ea7d</t>
        </is>
      </c>
    </row>
    <row r="742" ht="28" customHeight="1">
      <c r="A742" s="12">
        <f>IF($L742="applied","Applied",IF($L742="interview","Interview",IF($L742="offer","Offer",IF($L742="rejected","Rejected",IF($L742="ignore","Ignore",IF($L742="archive","Archive",IF($L742="closed","Closed",IF($B742="","Unscored",IF(AND($B742&gt;=8,OR($H742="",$H742-TODAY()&lt;=14)),"P1 Apply",IF($B742&gt;=7,"P2 Strong",IF($B742&gt;=5,"P3 Maybe","P4 Low")))))))))))</f>
        <v/>
      </c>
      <c r="B742" s="13" t="n">
        <v>1.08</v>
      </c>
      <c r="C742" s="12" t="inlineStr">
        <is>
          <t>Junior</t>
        </is>
      </c>
      <c r="D742" s="8" t="inlineStr">
        <is>
          <t>Junior / Mid-Level Full Stack Developer</t>
        </is>
      </c>
      <c r="E742" s="7" t="inlineStr">
        <is>
          <t>NEC Software Solutions</t>
        </is>
      </c>
      <c r="F742" s="8" t="inlineStr">
        <is>
          <t>London, England, UK</t>
        </is>
      </c>
      <c r="G742" s="8" t="n"/>
      <c r="H742" s="14" t="n"/>
      <c r="I742" s="15">
        <f>IF($H742="","",$H742-TODAY())</f>
        <v/>
      </c>
      <c r="J742" s="16" t="inlineStr">
        <is>
          <t>Open posting</t>
        </is>
      </c>
      <c r="K742" s="8" t="inlineStr">
        <is>
          <t>filtered by keyword pre-scan</t>
        </is>
      </c>
      <c r="L742" s="17" t="inlineStr">
        <is>
          <t>new</t>
        </is>
      </c>
      <c r="M742" s="18" t="inlineStr"/>
      <c r="N742" s="7" t="inlineStr">
        <is>
          <t>57ebcca5f2e663d40fb4eb2263a7c22afc108848</t>
        </is>
      </c>
      <c r="O742" s="14" t="n"/>
      <c r="P742" s="7" t="inlineStr">
        <is>
          <t>jobspy</t>
        </is>
      </c>
      <c r="Q742" s="8" t="inlineStr">
        <is>
          <t>sql, javascript, rest apis, git, software development</t>
        </is>
      </c>
      <c r="R742" s="8" t="inlineStr">
        <is>
          <t>junior Graduate Software Developer</t>
        </is>
      </c>
      <c r="S742" s="19" t="n"/>
      <c r="T742" s="19" t="n"/>
      <c r="U742" s="14" t="n">
        <v>46191</v>
      </c>
      <c r="V742" s="7" t="inlineStr">
        <is>
          <t>v2-cv-accuracy-13b988b18da8ea7d</t>
        </is>
      </c>
    </row>
    <row r="743" ht="28" customHeight="1">
      <c r="A743" s="12">
        <f>IF($L743="applied","Applied",IF($L743="interview","Interview",IF($L743="offer","Offer",IF($L743="rejected","Rejected",IF($L743="ignore","Ignore",IF($L743="archive","Archive",IF($L743="closed","Closed",IF($B743="","Unscored",IF(AND($B743&gt;=8,OR($H743="",$H743-TODAY()&lt;=14)),"P1 Apply",IF($B743&gt;=7,"P2 Strong",IF($B743&gt;=5,"P3 Maybe","P4 Low")))))))))))</f>
        <v/>
      </c>
      <c r="B743" s="13" t="n">
        <v>1.08</v>
      </c>
      <c r="C743" s="12" t="inlineStr">
        <is>
          <t>Junior</t>
        </is>
      </c>
      <c r="D743" s="8" t="inlineStr">
        <is>
          <t>Junior / Mid-Level Full Stack Developer</t>
        </is>
      </c>
      <c r="E743" s="7" t="inlineStr">
        <is>
          <t>NEC Corporation</t>
        </is>
      </c>
      <c r="F743" s="8" t="inlineStr">
        <is>
          <t>London, ENG, GB</t>
        </is>
      </c>
      <c r="G743" s="8" t="n"/>
      <c r="H743" s="14" t="n"/>
      <c r="I743" s="15">
        <f>IF($H743="","",$H743-TODAY())</f>
        <v/>
      </c>
      <c r="J743" s="16" t="inlineStr">
        <is>
          <t>Open posting</t>
        </is>
      </c>
      <c r="K743" s="8" t="inlineStr">
        <is>
          <t>filtered by keyword pre-scan</t>
        </is>
      </c>
      <c r="L743" s="17" t="inlineStr">
        <is>
          <t>new</t>
        </is>
      </c>
      <c r="M743" s="18" t="inlineStr"/>
      <c r="N743" s="7" t="inlineStr">
        <is>
          <t>fb32d45795258eca737334020647a87debc15679</t>
        </is>
      </c>
      <c r="O743" s="14" t="n">
        <v>46191</v>
      </c>
      <c r="P743" s="7" t="inlineStr">
        <is>
          <t>jobspy</t>
        </is>
      </c>
      <c r="Q743" s="8" t="inlineStr">
        <is>
          <t>sql, javascript, rest apis, git, software development</t>
        </is>
      </c>
      <c r="R743" s="8" t="inlineStr">
        <is>
          <t>Full Stack Developer</t>
        </is>
      </c>
      <c r="S743" s="19" t="n"/>
      <c r="T743" s="19" t="n"/>
      <c r="U743" s="14" t="n">
        <v>46191</v>
      </c>
      <c r="V743" s="7" t="inlineStr">
        <is>
          <t>v2-cv-accuracy-13b988b18da8ea7d</t>
        </is>
      </c>
    </row>
    <row r="744" ht="28" customHeight="1">
      <c r="A744" s="12">
        <f>IF($L744="applied","Applied",IF($L744="interview","Interview",IF($L744="offer","Offer",IF($L744="rejected","Rejected",IF($L744="ignore","Ignore",IF($L744="archive","Archive",IF($L744="closed","Closed",IF($B744="","Unscored",IF(AND($B744&gt;=8,OR($H744="",$H744-TODAY()&lt;=14)),"P1 Apply",IF($B744&gt;=7,"P2 Strong",IF($B744&gt;=5,"P3 Maybe","P4 Low")))))))))))</f>
        <v/>
      </c>
      <c r="B744" s="13" t="n">
        <v>1.08</v>
      </c>
      <c r="C744" s="12" t="inlineStr">
        <is>
          <t>Junior</t>
        </is>
      </c>
      <c r="D744" s="8" t="inlineStr">
        <is>
          <t>Junior / Mid-Level Full Stack Developer</t>
        </is>
      </c>
      <c r="E744" s="7" t="inlineStr">
        <is>
          <t>NEC Software Solutions</t>
        </is>
      </c>
      <c r="F744" s="8" t="inlineStr">
        <is>
          <t>London, England, UK</t>
        </is>
      </c>
      <c r="G744" s="8" t="n"/>
      <c r="H744" s="14" t="n"/>
      <c r="I744" s="15">
        <f>IF($H744="","",$H744-TODAY())</f>
        <v/>
      </c>
      <c r="J744" s="16" t="inlineStr">
        <is>
          <t>Open posting</t>
        </is>
      </c>
      <c r="K744" s="8" t="inlineStr">
        <is>
          <t>filtered by keyword pre-scan</t>
        </is>
      </c>
      <c r="L744" s="17" t="inlineStr">
        <is>
          <t>new</t>
        </is>
      </c>
      <c r="M744" s="18" t="inlineStr"/>
      <c r="N744" s="7" t="inlineStr">
        <is>
          <t>b9b3a031eeb2c0137af6bfc74818962df5fc74bd</t>
        </is>
      </c>
      <c r="O744" s="14" t="n"/>
      <c r="P744" s="7" t="inlineStr">
        <is>
          <t>jobspy</t>
        </is>
      </c>
      <c r="Q744" s="8" t="inlineStr">
        <is>
          <t>sql, javascript, rest apis, git, software development</t>
        </is>
      </c>
      <c r="R744" s="8" t="inlineStr">
        <is>
          <t>junior Full Stack Developer</t>
        </is>
      </c>
      <c r="S744" s="19" t="n"/>
      <c r="T744" s="19" t="n"/>
      <c r="U744" s="14" t="n">
        <v>46191</v>
      </c>
      <c r="V744" s="7" t="inlineStr">
        <is>
          <t>v2-cv-accuracy-13b988b18da8ea7d</t>
        </is>
      </c>
    </row>
    <row r="745" ht="28" customHeight="1">
      <c r="A745" s="12">
        <f>IF($L745="applied","Applied",IF($L745="interview","Interview",IF($L745="offer","Offer",IF($L745="rejected","Rejected",IF($L745="ignore","Ignore",IF($L745="archive","Archive",IF($L745="closed","Closed",IF($B745="","Unscored",IF(AND($B745&gt;=8,OR($H745="",$H745-TODAY()&lt;=14)),"P1 Apply",IF($B745&gt;=7,"P2 Strong",IF($B745&gt;=5,"P3 Maybe","P4 Low")))))))))))</f>
        <v/>
      </c>
      <c r="B745" s="13" t="n">
        <v>1.08</v>
      </c>
      <c r="C745" s="12" t="inlineStr">
        <is>
          <t>Junior</t>
        </is>
      </c>
      <c r="D745" s="8" t="inlineStr">
        <is>
          <t>Junior / Mid-Level Full Stack Developer</t>
        </is>
      </c>
      <c r="E745" s="7" t="inlineStr">
        <is>
          <t>NEC Software Solutions (India)</t>
        </is>
      </c>
      <c r="F745" s="8" t="inlineStr">
        <is>
          <t>London, England, UK</t>
        </is>
      </c>
      <c r="G745" s="8" t="n"/>
      <c r="H745" s="14" t="n"/>
      <c r="I745" s="15">
        <f>IF($H745="","",$H745-TODAY())</f>
        <v/>
      </c>
      <c r="J745" s="16" t="inlineStr">
        <is>
          <t>Open posting</t>
        </is>
      </c>
      <c r="K745" s="8" t="inlineStr">
        <is>
          <t>filtered by keyword pre-scan</t>
        </is>
      </c>
      <c r="L745" s="17" t="inlineStr">
        <is>
          <t>new</t>
        </is>
      </c>
      <c r="M745" s="18" t="inlineStr"/>
      <c r="N745" s="7" t="inlineStr">
        <is>
          <t>06b41dc7eed1f728716bbc89355ef0a717ac2002</t>
        </is>
      </c>
      <c r="O745" s="14" t="n"/>
      <c r="P745" s="7" t="inlineStr">
        <is>
          <t>jobspy</t>
        </is>
      </c>
      <c r="Q745" s="8" t="inlineStr">
        <is>
          <t>sql, javascript, rest apis, git, software development</t>
        </is>
      </c>
      <c r="R745" s="8" t="inlineStr">
        <is>
          <t>junior Full Stack Developer</t>
        </is>
      </c>
      <c r="S745" s="19" t="n"/>
      <c r="T745" s="19" t="n"/>
      <c r="U745" s="14" t="n">
        <v>46191</v>
      </c>
      <c r="V745" s="7" t="inlineStr">
        <is>
          <t>v2-cv-accuracy-13b988b18da8ea7d</t>
        </is>
      </c>
    </row>
    <row r="746" ht="28" customHeight="1">
      <c r="A746" s="12">
        <f>IF($L746="applied","Applied",IF($L746="interview","Interview",IF($L746="offer","Offer",IF($L746="rejected","Rejected",IF($L746="ignore","Ignore",IF($L746="archive","Archive",IF($L746="closed","Closed",IF($B746="","Unscored",IF(AND($B746&gt;=8,OR($H746="",$H746-TODAY()&lt;=14)),"P1 Apply",IF($B746&gt;=7,"P2 Strong",IF($B746&gt;=5,"P3 Maybe","P4 Low")))))))))))</f>
        <v/>
      </c>
      <c r="B746" s="13" t="n">
        <v>1.02</v>
      </c>
      <c r="C746" s="12" t="inlineStr">
        <is>
          <t>Senior/Lead</t>
        </is>
      </c>
      <c r="D746" s="8" t="inlineStr">
        <is>
          <t>Software Engineer II</t>
        </is>
      </c>
      <c r="E746" s="7" t="inlineStr">
        <is>
          <t>Monzo</t>
        </is>
      </c>
      <c r="F746" s="8" t="inlineStr">
        <is>
          <t>Barcelona</t>
        </is>
      </c>
      <c r="G746" s="8" t="n"/>
      <c r="H746" s="14" t="n"/>
      <c r="I746" s="15">
        <f>IF($H746="","",$H746-TODAY())</f>
        <v/>
      </c>
      <c r="J746" s="16" t="inlineStr">
        <is>
          <t>Open posting</t>
        </is>
      </c>
      <c r="K746" s="8" t="inlineStr">
        <is>
          <t>filtered by keyword pre-scan</t>
        </is>
      </c>
      <c r="L746" s="17" t="inlineStr">
        <is>
          <t>new</t>
        </is>
      </c>
      <c r="M746" s="18" t="inlineStr"/>
      <c r="N746" s="7" t="inlineStr">
        <is>
          <t>09cbb54df145d99ae556902b14290200fb302fa2</t>
        </is>
      </c>
      <c r="O746" s="14" t="n">
        <v>46170</v>
      </c>
      <c r="P746" s="7" t="inlineStr">
        <is>
          <t>greenhouse:monzo</t>
        </is>
      </c>
      <c r="Q746" s="8" t="inlineStr">
        <is>
          <t>git</t>
        </is>
      </c>
      <c r="R746" s="8" t="n"/>
      <c r="S746" s="19" t="n"/>
      <c r="T746" s="19" t="n"/>
      <c r="U746" s="14" t="n">
        <v>46191</v>
      </c>
      <c r="V746" s="7" t="inlineStr">
        <is>
          <t>v2-cv-accuracy-13b988b18da8ea7d</t>
        </is>
      </c>
    </row>
    <row r="747" ht="28" customHeight="1">
      <c r="A747" s="12">
        <f>IF($L747="applied","Applied",IF($L747="interview","Interview",IF($L747="offer","Offer",IF($L747="rejected","Rejected",IF($L747="ignore","Ignore",IF($L747="archive","Archive",IF($L747="closed","Closed",IF($B747="","Unscored",IF(AND($B747&gt;=8,OR($H747="",$H747-TODAY()&lt;=14)),"P1 Apply",IF($B747&gt;=7,"P2 Strong",IF($B747&gt;=5,"P3 Maybe","P4 Low")))))))))))</f>
        <v/>
      </c>
      <c r="B747" s="13" t="n">
        <v>1.02</v>
      </c>
      <c r="C747" s="12" t="inlineStr">
        <is>
          <t>Senior/Lead</t>
        </is>
      </c>
      <c r="D747" s="8" t="inlineStr">
        <is>
          <t>Software Engineer III</t>
        </is>
      </c>
      <c r="E747" s="7" t="inlineStr">
        <is>
          <t>Monzo</t>
        </is>
      </c>
      <c r="F747" s="8" t="inlineStr">
        <is>
          <t>Barcelona</t>
        </is>
      </c>
      <c r="G747" s="8" t="n"/>
      <c r="H747" s="14" t="n"/>
      <c r="I747" s="15">
        <f>IF($H747="","",$H747-TODAY())</f>
        <v/>
      </c>
      <c r="J747" s="16" t="inlineStr">
        <is>
          <t>Open posting</t>
        </is>
      </c>
      <c r="K747" s="8" t="inlineStr">
        <is>
          <t>filtered by keyword pre-scan</t>
        </is>
      </c>
      <c r="L747" s="17" t="inlineStr">
        <is>
          <t>new</t>
        </is>
      </c>
      <c r="M747" s="18" t="inlineStr"/>
      <c r="N747" s="7" t="inlineStr">
        <is>
          <t>7b2a595da3c434072c0616db1fc3190cbe207b01</t>
        </is>
      </c>
      <c r="O747" s="14" t="n">
        <v>46170</v>
      </c>
      <c r="P747" s="7" t="inlineStr">
        <is>
          <t>greenhouse:monzo</t>
        </is>
      </c>
      <c r="Q747" s="8" t="inlineStr">
        <is>
          <t>git</t>
        </is>
      </c>
      <c r="R747" s="8" t="n"/>
      <c r="S747" s="19" t="n"/>
      <c r="T747" s="19" t="n"/>
      <c r="U747" s="14" t="n">
        <v>46191</v>
      </c>
      <c r="V747" s="7" t="inlineStr">
        <is>
          <t>v2-cv-accuracy-13b988b18da8ea7d</t>
        </is>
      </c>
    </row>
    <row r="748" ht="28" customHeight="1">
      <c r="A748" s="12">
        <f>IF($L748="applied","Applied",IF($L748="interview","Interview",IF($L748="offer","Offer",IF($L748="rejected","Rejected",IF($L748="ignore","Ignore",IF($L748="archive","Archive",IF($L748="closed","Closed",IF($B748="","Unscored",IF(AND($B748&gt;=8,OR($H748="",$H748-TODAY()&lt;=14)),"P1 Apply",IF($B748&gt;=7,"P2 Strong",IF($B748&gt;=5,"P3 Maybe","P4 Low")))))))))))</f>
        <v/>
      </c>
      <c r="B748" s="13" t="n">
        <v>1.02</v>
      </c>
      <c r="C748" s="12" t="inlineStr">
        <is>
          <t>Mid-level</t>
        </is>
      </c>
      <c r="D748" s="8" t="inlineStr">
        <is>
          <t>Software Developer (Connected Service and Diagnostics)</t>
        </is>
      </c>
      <c r="E748" s="7" t="inlineStr">
        <is>
          <t>Actia (UK) Ltd</t>
        </is>
      </c>
      <c r="F748" s="8" t="inlineStr">
        <is>
          <t>Newtown, WLS, GB</t>
        </is>
      </c>
      <c r="G748" s="8" t="n"/>
      <c r="H748" s="14" t="n"/>
      <c r="I748" s="15">
        <f>IF($H748="","",$H748-TODAY())</f>
        <v/>
      </c>
      <c r="J748" s="16" t="inlineStr">
        <is>
          <t>Open posting</t>
        </is>
      </c>
      <c r="K748" s="8" t="inlineStr">
        <is>
          <t>filtered by keyword pre-scan</t>
        </is>
      </c>
      <c r="L748" s="17" t="inlineStr">
        <is>
          <t>new</t>
        </is>
      </c>
      <c r="M748" s="18" t="inlineStr"/>
      <c r="N748" s="7" t="inlineStr">
        <is>
          <t>c9e3c7a19bbe8825923a8da3a659e9a0b45493d7</t>
        </is>
      </c>
      <c r="O748" s="14" t="n">
        <v>46190</v>
      </c>
      <c r="P748" s="7" t="inlineStr">
        <is>
          <t>jobspy</t>
        </is>
      </c>
      <c r="Q748" s="8" t="inlineStr">
        <is>
          <t>software development</t>
        </is>
      </c>
      <c r="R748" s="8" t="inlineStr">
        <is>
          <t>Graduate Software Developer</t>
        </is>
      </c>
      <c r="S748" s="19" t="n"/>
      <c r="T748" s="19" t="n"/>
      <c r="U748" s="14" t="n">
        <v>46191</v>
      </c>
      <c r="V748" s="7" t="inlineStr">
        <is>
          <t>v2-cv-accuracy-13b988b18da8ea7d</t>
        </is>
      </c>
    </row>
    <row r="749" ht="28" customHeight="1">
      <c r="A749" s="12">
        <f>IF($L749="applied","Applied",IF($L749="interview","Interview",IF($L749="offer","Offer",IF($L749="rejected","Rejected",IF($L749="ignore","Ignore",IF($L749="archive","Archive",IF($L749="closed","Closed",IF($B749="","Unscored",IF(AND($B749&gt;=8,OR($H749="",$H749-TODAY()&lt;=14)),"P1 Apply",IF($B749&gt;=7,"P2 Strong",IF($B749&gt;=5,"P3 Maybe","P4 Low")))))))))))</f>
        <v/>
      </c>
      <c r="B749" s="13" t="n">
        <v>1.02</v>
      </c>
      <c r="C749" s="12" t="inlineStr">
        <is>
          <t>Unspecified</t>
        </is>
      </c>
      <c r="D749" s="8" t="inlineStr">
        <is>
          <t>Software Engineer</t>
        </is>
      </c>
      <c r="E749" s="7" t="inlineStr">
        <is>
          <t>Cura Terrae Water</t>
        </is>
      </c>
      <c r="F749" s="8" t="inlineStr">
        <is>
          <t>Sheffield, England, UK</t>
        </is>
      </c>
      <c r="G749" s="8" t="n"/>
      <c r="H749" s="14" t="n"/>
      <c r="I749" s="15">
        <f>IF($H749="","",$H749-TODAY())</f>
        <v/>
      </c>
      <c r="J749" s="16" t="inlineStr">
        <is>
          <t>Open posting</t>
        </is>
      </c>
      <c r="K749" s="8" t="inlineStr">
        <is>
          <t>filtered by keyword pre-scan</t>
        </is>
      </c>
      <c r="L749" s="17" t="inlineStr">
        <is>
          <t>new</t>
        </is>
      </c>
      <c r="M749" s="18" t="inlineStr"/>
      <c r="N749" s="7" t="inlineStr">
        <is>
          <t>30aca3a299dd278a532372053645af4afbcb4509</t>
        </is>
      </c>
      <c r="O749" s="14" t="n">
        <v>46182</v>
      </c>
      <c r="P749" s="7" t="inlineStr">
        <is>
          <t>jobspy</t>
        </is>
      </c>
      <c r="Q749" s="8" t="inlineStr"/>
      <c r="R749" s="8" t="inlineStr">
        <is>
          <t>Graduate Software Developer Sheffield</t>
        </is>
      </c>
      <c r="S749" s="19" t="n"/>
      <c r="T749" s="19" t="n"/>
      <c r="U749" s="14" t="n">
        <v>46191</v>
      </c>
      <c r="V749" s="7" t="inlineStr">
        <is>
          <t>v2-cv-accuracy-13b988b18da8ea7d</t>
        </is>
      </c>
    </row>
    <row r="750" ht="28" customHeight="1">
      <c r="A750" s="12">
        <f>IF($L750="applied","Applied",IF($L750="interview","Interview",IF($L750="offer","Offer",IF($L750="rejected","Rejected",IF($L750="ignore","Ignore",IF($L750="archive","Archive",IF($L750="closed","Closed",IF($B750="","Unscored",IF(AND($B750&gt;=8,OR($H750="",$H750-TODAY()&lt;=14)),"P1 Apply",IF($B750&gt;=7,"P2 Strong",IF($B750&gt;=5,"P3 Maybe","P4 Low")))))))))))</f>
        <v/>
      </c>
      <c r="B750" s="13" t="n">
        <v>1.02</v>
      </c>
      <c r="C750" s="12" t="inlineStr">
        <is>
          <t>Senior/Lead</t>
        </is>
      </c>
      <c r="D750" s="8" t="inlineStr">
        <is>
          <t>Overseas Contractor</t>
        </is>
      </c>
      <c r="E750" s="7" t="inlineStr">
        <is>
          <t>LTM</t>
        </is>
      </c>
      <c r="F750" s="8" t="inlineStr">
        <is>
          <t>Sheffield, England, UK</t>
        </is>
      </c>
      <c r="G750" s="8" t="n"/>
      <c r="H750" s="14" t="n"/>
      <c r="I750" s="15">
        <f>IF($H750="","",$H750-TODAY())</f>
        <v/>
      </c>
      <c r="J750" s="16" t="inlineStr">
        <is>
          <t>Open posting</t>
        </is>
      </c>
      <c r="K750" s="8" t="inlineStr">
        <is>
          <t>filtered by keyword pre-scan</t>
        </is>
      </c>
      <c r="L750" s="17" t="inlineStr">
        <is>
          <t>new</t>
        </is>
      </c>
      <c r="M750" s="18" t="inlineStr"/>
      <c r="N750" s="7" t="inlineStr">
        <is>
          <t>94504d5952946de0e3a38821a549fcc37bcf9a02</t>
        </is>
      </c>
      <c r="O750" s="14" t="n">
        <v>46182</v>
      </c>
      <c r="P750" s="7" t="inlineStr">
        <is>
          <t>jobspy</t>
        </is>
      </c>
      <c r="Q750" s="8" t="inlineStr">
        <is>
          <t>javascript</t>
        </is>
      </c>
      <c r="R750" s="8" t="inlineStr">
        <is>
          <t>Graduate Software Developer Sheffield</t>
        </is>
      </c>
      <c r="S750" s="19" t="n"/>
      <c r="T750" s="19" t="n"/>
      <c r="U750" s="14" t="n">
        <v>46191</v>
      </c>
      <c r="V750" s="7" t="inlineStr">
        <is>
          <t>v2-cv-accuracy-13b988b18da8ea7d</t>
        </is>
      </c>
    </row>
    <row r="751" ht="28" customHeight="1">
      <c r="A751" s="12">
        <f>IF($L751="applied","Applied",IF($L751="interview","Interview",IF($L751="offer","Offer",IF($L751="rejected","Rejected",IF($L751="ignore","Ignore",IF($L751="archive","Archive",IF($L751="closed","Closed",IF($B751="","Unscored",IF(AND($B751&gt;=8,OR($H751="",$H751-TODAY()&lt;=14)),"P1 Apply",IF($B751&gt;=7,"P2 Strong",IF($B751&gt;=5,"P3 Maybe","P4 Low")))))))))))</f>
        <v/>
      </c>
      <c r="B751" s="13" t="n">
        <v>1.02</v>
      </c>
      <c r="C751" s="12" t="inlineStr">
        <is>
          <t>Unspecified</t>
        </is>
      </c>
      <c r="D751" s="8" t="inlineStr">
        <is>
          <t>Python Developer</t>
        </is>
      </c>
      <c r="E751" s="7" t="inlineStr">
        <is>
          <t>Virtusa</t>
        </is>
      </c>
      <c r="F751" s="8" t="inlineStr">
        <is>
          <t>Andhra Pradesh, India</t>
        </is>
      </c>
      <c r="G751" s="8" t="n"/>
      <c r="H751" s="14" t="n"/>
      <c r="I751" s="15">
        <f>IF($H751="","",$H751-TODAY())</f>
        <v/>
      </c>
      <c r="J751" s="16" t="inlineStr">
        <is>
          <t>Open posting</t>
        </is>
      </c>
      <c r="K751" s="8" t="inlineStr">
        <is>
          <t>filtered by keyword pre-scan</t>
        </is>
      </c>
      <c r="L751" s="17" t="inlineStr">
        <is>
          <t>new</t>
        </is>
      </c>
      <c r="M751" s="18" t="inlineStr"/>
      <c r="N751" s="7" t="inlineStr">
        <is>
          <t>74eb836d5703e26ce3bd2488b9c6fe0f397a82a0</t>
        </is>
      </c>
      <c r="O751" s="14" t="n">
        <v>46184</v>
      </c>
      <c r="P751" s="7" t="inlineStr">
        <is>
          <t>jobspy</t>
        </is>
      </c>
      <c r="Q751" s="8" t="inlineStr">
        <is>
          <t>python</t>
        </is>
      </c>
      <c r="R751" s="8" t="inlineStr">
        <is>
          <t>graduate Junior Python Developer</t>
        </is>
      </c>
      <c r="S751" s="19" t="n"/>
      <c r="T751" s="19" t="n"/>
      <c r="U751" s="14" t="n">
        <v>46191</v>
      </c>
      <c r="V751" s="7" t="inlineStr">
        <is>
          <t>v2-cv-accuracy-13b988b18da8ea7d</t>
        </is>
      </c>
    </row>
    <row r="752" ht="28" customHeight="1">
      <c r="A752" s="12">
        <f>IF($L752="applied","Applied",IF($L752="interview","Interview",IF($L752="offer","Offer",IF($L752="rejected","Rejected",IF($L752="ignore","Ignore",IF($L752="archive","Archive",IF($L752="closed","Closed",IF($B752="","Unscored",IF(AND($B752&gt;=8,OR($H752="",$H752-TODAY()&lt;=14)),"P1 Apply",IF($B752&gt;=7,"P2 Strong",IF($B752&gt;=5,"P3 Maybe","P4 Low")))))))))))</f>
        <v/>
      </c>
      <c r="B752" s="13" t="n">
        <v>1.02</v>
      </c>
      <c r="C752" s="12" t="inlineStr">
        <is>
          <t>Unspecified</t>
        </is>
      </c>
      <c r="D752" s="8" t="inlineStr">
        <is>
          <t>Full Stack Software Engineer (Cloud &amp; Integrations)</t>
        </is>
      </c>
      <c r="E752" s="7" t="inlineStr">
        <is>
          <t>BabelQuest</t>
        </is>
      </c>
      <c r="F752" s="8" t="inlineStr">
        <is>
          <t>Oxford, ENG, GB</t>
        </is>
      </c>
      <c r="G752" s="8" t="n"/>
      <c r="H752" s="14" t="n"/>
      <c r="I752" s="15">
        <f>IF($H752="","",$H752-TODAY())</f>
        <v/>
      </c>
      <c r="J752" s="16" t="inlineStr">
        <is>
          <t>Open posting</t>
        </is>
      </c>
      <c r="K752" s="8" t="inlineStr">
        <is>
          <t>filtered by keyword pre-scan</t>
        </is>
      </c>
      <c r="L752" s="17" t="inlineStr">
        <is>
          <t>new</t>
        </is>
      </c>
      <c r="M752" s="18" t="inlineStr"/>
      <c r="N752" s="7" t="inlineStr">
        <is>
          <t>436e331627297919c341d1b91df84d1587f5caf6</t>
        </is>
      </c>
      <c r="O752" s="14" t="n">
        <v>46189</v>
      </c>
      <c r="P752" s="7" t="inlineStr">
        <is>
          <t>jobspy</t>
        </is>
      </c>
      <c r="Q752" s="8" t="inlineStr">
        <is>
          <t>python</t>
        </is>
      </c>
      <c r="R752" s="8" t="inlineStr">
        <is>
          <t>Full Stack Developer</t>
        </is>
      </c>
      <c r="S752" s="19" t="n"/>
      <c r="T752" s="19" t="n"/>
      <c r="U752" s="14" t="n">
        <v>46191</v>
      </c>
      <c r="V752" s="7" t="inlineStr">
        <is>
          <t>v2-cv-accuracy-13b988b18da8ea7d</t>
        </is>
      </c>
    </row>
    <row r="753" ht="28" customHeight="1">
      <c r="A753" s="12">
        <f>IF($L753="applied","Applied",IF($L753="interview","Interview",IF($L753="offer","Offer",IF($L753="rejected","Rejected",IF($L753="ignore","Ignore",IF($L753="archive","Archive",IF($L753="closed","Closed",IF($B753="","Unscored",IF(AND($B753&gt;=8,OR($H753="",$H753-TODAY()&lt;=14)),"P1 Apply",IF($B753&gt;=7,"P2 Strong",IF($B753&gt;=5,"P3 Maybe","P4 Low")))))))))))</f>
        <v/>
      </c>
      <c r="B753" s="13" t="n">
        <v>1.02</v>
      </c>
      <c r="C753" s="12" t="inlineStr">
        <is>
          <t>Junior</t>
        </is>
      </c>
      <c r="D753" s="8" t="inlineStr">
        <is>
          <t>Junior Software Engineer</t>
        </is>
      </c>
      <c r="E753" s="7" t="inlineStr">
        <is>
          <t>EMCS</t>
        </is>
      </c>
      <c r="F753" s="8" t="inlineStr">
        <is>
          <t>Nottingham, ENG, GB</t>
        </is>
      </c>
      <c r="G753" s="8" t="n"/>
      <c r="H753" s="14" t="n"/>
      <c r="I753" s="15">
        <f>IF($H753="","",$H753-TODAY())</f>
        <v/>
      </c>
      <c r="J753" s="16" t="inlineStr">
        <is>
          <t>Open posting</t>
        </is>
      </c>
      <c r="K753" s="8" t="inlineStr">
        <is>
          <t>filtered by keyword pre-scan</t>
        </is>
      </c>
      <c r="L753" s="17" t="inlineStr">
        <is>
          <t>new</t>
        </is>
      </c>
      <c r="M753" s="18" t="inlineStr"/>
      <c r="N753" s="7" t="inlineStr">
        <is>
          <t>fa2fa28e00139138480444a29d34ccd7051a0a40</t>
        </is>
      </c>
      <c r="O753" s="14" t="n">
        <v>46178</v>
      </c>
      <c r="P753" s="7" t="inlineStr">
        <is>
          <t>jobspy</t>
        </is>
      </c>
      <c r="Q753" s="8" t="inlineStr">
        <is>
          <t>javascript</t>
        </is>
      </c>
      <c r="R753" s="8" t="inlineStr">
        <is>
          <t>junior Full Stack Developer</t>
        </is>
      </c>
      <c r="S753" s="19" t="n"/>
      <c r="T753" s="19" t="n"/>
      <c r="U753" s="14" t="n">
        <v>46191</v>
      </c>
      <c r="V753" s="7" t="inlineStr">
        <is>
          <t>v2-cv-accuracy-13b988b18da8ea7d</t>
        </is>
      </c>
    </row>
    <row r="754" ht="28" customHeight="1">
      <c r="A754" s="12">
        <f>IF($L754="applied","Applied",IF($L754="interview","Interview",IF($L754="offer","Offer",IF($L754="rejected","Rejected",IF($L754="ignore","Ignore",IF($L754="archive","Archive",IF($L754="closed","Closed",IF($B754="","Unscored",IF(AND($B754&gt;=8,OR($H754="",$H754-TODAY()&lt;=14)),"P1 Apply",IF($B754&gt;=7,"P2 Strong",IF($B754&gt;=5,"P3 Maybe","P4 Low")))))))))))</f>
        <v/>
      </c>
      <c r="B754" s="13" t="n">
        <v>1.02</v>
      </c>
      <c r="C754" s="12" t="inlineStr">
        <is>
          <t>Unspecified</t>
        </is>
      </c>
      <c r="D754" s="8" t="inlineStr">
        <is>
          <t>Python Developer</t>
        </is>
      </c>
      <c r="E754" s="7" t="inlineStr">
        <is>
          <t>RJC Group</t>
        </is>
      </c>
      <c r="F754" s="8" t="inlineStr">
        <is>
          <t>London Area, United Kingdom</t>
        </is>
      </c>
      <c r="G754" s="8" t="n"/>
      <c r="H754" s="14" t="n"/>
      <c r="I754" s="15">
        <f>IF($H754="","",$H754-TODAY())</f>
        <v/>
      </c>
      <c r="J754" s="16" t="inlineStr">
        <is>
          <t>Open posting</t>
        </is>
      </c>
      <c r="K754" s="8" t="inlineStr">
        <is>
          <t>filtered by keyword pre-scan</t>
        </is>
      </c>
      <c r="L754" s="17" t="inlineStr">
        <is>
          <t>new</t>
        </is>
      </c>
      <c r="M754" s="18" t="inlineStr"/>
      <c r="N754" s="7" t="inlineStr">
        <is>
          <t>6ebb835d593150cbfffed60abdfb6509ec512302</t>
        </is>
      </c>
      <c r="O754" s="14" t="n">
        <v>46164</v>
      </c>
      <c r="P754" s="7" t="inlineStr">
        <is>
          <t>jobspy</t>
        </is>
      </c>
      <c r="Q754" s="8" t="inlineStr">
        <is>
          <t>python</t>
        </is>
      </c>
      <c r="R754" s="8" t="inlineStr">
        <is>
          <t>junior/graduate Junior Python Developer</t>
        </is>
      </c>
      <c r="S754" s="19" t="n"/>
      <c r="T754" s="19" t="n"/>
      <c r="U754" s="14" t="n">
        <v>46191</v>
      </c>
      <c r="V754" s="7" t="inlineStr">
        <is>
          <t>v2-cv-accuracy-13b988b18da8ea7d</t>
        </is>
      </c>
    </row>
    <row r="755" ht="28" customHeight="1">
      <c r="A755" s="12">
        <f>IF($L755="applied","Applied",IF($L755="interview","Interview",IF($L755="offer","Offer",IF($L755="rejected","Rejected",IF($L755="ignore","Ignore",IF($L755="archive","Archive",IF($L755="closed","Closed",IF($B755="","Unscored",IF(AND($B755&gt;=8,OR($H755="",$H755-TODAY()&lt;=14)),"P1 Apply",IF($B755&gt;=7,"P2 Strong",IF($B755&gt;=5,"P3 Maybe","P4 Low")))))))))))</f>
        <v/>
      </c>
      <c r="B755" s="13" t="n">
        <v>1.02</v>
      </c>
      <c r="C755" s="12" t="inlineStr">
        <is>
          <t>Unspecified</t>
        </is>
      </c>
      <c r="D755" s="8" t="inlineStr">
        <is>
          <t>Software Engineer</t>
        </is>
      </c>
      <c r="E755" s="7" t="inlineStr">
        <is>
          <t>Hays</t>
        </is>
      </c>
      <c r="F755" s="8" t="inlineStr">
        <is>
          <t>Sheffield, England, UK</t>
        </is>
      </c>
      <c r="G755" s="8" t="n"/>
      <c r="H755" s="14" t="n"/>
      <c r="I755" s="15">
        <f>IF($H755="","",$H755-TODAY())</f>
        <v/>
      </c>
      <c r="J755" s="16" t="inlineStr">
        <is>
          <t>Open posting</t>
        </is>
      </c>
      <c r="K755" s="8" t="inlineStr">
        <is>
          <t>filtered by keyword pre-scan</t>
        </is>
      </c>
      <c r="L755" s="17" t="inlineStr">
        <is>
          <t>new</t>
        </is>
      </c>
      <c r="M755" s="18" t="inlineStr"/>
      <c r="N755" s="7" t="inlineStr">
        <is>
          <t>22a7c4f3139727c53095d5cbe3d19f374cc13adf</t>
        </is>
      </c>
      <c r="O755" s="14" t="n"/>
      <c r="P755" s="7" t="inlineStr">
        <is>
          <t>jobspy</t>
        </is>
      </c>
      <c r="Q755" s="8" t="inlineStr"/>
      <c r="R755" s="8" t="inlineStr">
        <is>
          <t>Graduate Software Developer Sheffield</t>
        </is>
      </c>
      <c r="S755" s="19" t="n"/>
      <c r="T755" s="19" t="n"/>
      <c r="U755" s="14" t="n">
        <v>46191</v>
      </c>
      <c r="V755" s="7" t="inlineStr">
        <is>
          <t>v2-cv-accuracy-13b988b18da8ea7d</t>
        </is>
      </c>
    </row>
    <row r="756" ht="28" customHeight="1">
      <c r="A756" s="12">
        <f>IF($L756="applied","Applied",IF($L756="interview","Interview",IF($L756="offer","Offer",IF($L756="rejected","Rejected",IF($L756="ignore","Ignore",IF($L756="archive","Archive",IF($L756="closed","Closed",IF($B756="","Unscored",IF(AND($B756&gt;=8,OR($H756="",$H756-TODAY()&lt;=14)),"P1 Apply",IF($B756&gt;=7,"P2 Strong",IF($B756&gt;=5,"P3 Maybe","P4 Low")))))))))))</f>
        <v/>
      </c>
      <c r="B756" s="13" t="n">
        <v>1.02</v>
      </c>
      <c r="C756" s="12" t="inlineStr">
        <is>
          <t>Unspecified</t>
        </is>
      </c>
      <c r="D756" s="8" t="inlineStr">
        <is>
          <t>Python开发工程师</t>
        </is>
      </c>
      <c r="E756" s="7" t="inlineStr">
        <is>
          <t>紫光云数科技有限公司</t>
        </is>
      </c>
      <c r="F756" s="8" t="inlineStr">
        <is>
          <t>Hangzhou, Zhejiang, China</t>
        </is>
      </c>
      <c r="G756" s="8" t="n"/>
      <c r="H756" s="14" t="n"/>
      <c r="I756" s="15">
        <f>IF($H756="","",$H756-TODAY())</f>
        <v/>
      </c>
      <c r="J756" s="16" t="inlineStr">
        <is>
          <t>Open posting</t>
        </is>
      </c>
      <c r="K756" s="8" t="inlineStr">
        <is>
          <t>filtered by keyword pre-scan</t>
        </is>
      </c>
      <c r="L756" s="17" t="inlineStr">
        <is>
          <t>new</t>
        </is>
      </c>
      <c r="M756" s="18" t="inlineStr"/>
      <c r="N756" s="7" t="inlineStr">
        <is>
          <t>5ef511d995b23cf86db6480496aa5004e367e98a</t>
        </is>
      </c>
      <c r="O756" s="14" t="n">
        <v>46171</v>
      </c>
      <c r="P756" s="7" t="inlineStr">
        <is>
          <t>jobspy</t>
        </is>
      </c>
      <c r="Q756" s="8" t="inlineStr">
        <is>
          <t>python</t>
        </is>
      </c>
      <c r="R756" s="8" t="inlineStr">
        <is>
          <t>junior/graduate Junior Python Developer</t>
        </is>
      </c>
      <c r="S756" s="19" t="n"/>
      <c r="T756" s="19" t="n"/>
      <c r="U756" s="14" t="n">
        <v>46191</v>
      </c>
      <c r="V756" s="7" t="inlineStr">
        <is>
          <t>v2-cv-accuracy-13b988b18da8ea7d</t>
        </is>
      </c>
    </row>
    <row r="757" ht="28" customHeight="1">
      <c r="A757" s="12">
        <f>IF($L757="applied","Applied",IF($L757="interview","Interview",IF($L757="offer","Offer",IF($L757="rejected","Rejected",IF($L757="ignore","Ignore",IF($L757="archive","Archive",IF($L757="closed","Closed",IF($B757="","Unscored",IF(AND($B757&gt;=8,OR($H757="",$H757-TODAY()&lt;=14)),"P1 Apply",IF($B757&gt;=7,"P2 Strong",IF($B757&gt;=5,"P3 Maybe","P4 Low")))))))))))</f>
        <v/>
      </c>
      <c r="B757" s="13" t="n">
        <v>1.02</v>
      </c>
      <c r="C757" s="12" t="inlineStr">
        <is>
          <t>Senior/Lead</t>
        </is>
      </c>
      <c r="D757" s="8" t="inlineStr">
        <is>
          <t>Python Engineer - B2B SaaS Fintech</t>
        </is>
      </c>
      <c r="E757" s="7" t="inlineStr">
        <is>
          <t>Landytech</t>
        </is>
      </c>
      <c r="F757" s="8" t="inlineStr">
        <is>
          <t>London, England, UK</t>
        </is>
      </c>
      <c r="G757" s="8" t="n"/>
      <c r="H757" s="14" t="n"/>
      <c r="I757" s="15">
        <f>IF($H757="","",$H757-TODAY())</f>
        <v/>
      </c>
      <c r="J757" s="16" t="inlineStr">
        <is>
          <t>Open posting</t>
        </is>
      </c>
      <c r="K757" s="8" t="inlineStr">
        <is>
          <t>filtered by keyword pre-scan</t>
        </is>
      </c>
      <c r="L757" s="17" t="inlineStr">
        <is>
          <t>new</t>
        </is>
      </c>
      <c r="M757" s="18" t="inlineStr"/>
      <c r="N757" s="7" t="inlineStr">
        <is>
          <t>d90b9afc4654aa4b647e6cbf5b7f92937e9223ff</t>
        </is>
      </c>
      <c r="O757" s="14" t="n"/>
      <c r="P757" s="7" t="inlineStr">
        <is>
          <t>jobspy</t>
        </is>
      </c>
      <c r="Q757" s="8" t="inlineStr">
        <is>
          <t>python</t>
        </is>
      </c>
      <c r="R757" s="8" t="inlineStr">
        <is>
          <t>junior/graduate Junior Python Developer</t>
        </is>
      </c>
      <c r="S757" s="19" t="n"/>
      <c r="T757" s="19" t="n"/>
      <c r="U757" s="14" t="n">
        <v>46191</v>
      </c>
      <c r="V757" s="7" t="inlineStr">
        <is>
          <t>v2-cv-accuracy-13b988b18da8ea7d</t>
        </is>
      </c>
    </row>
    <row r="758" ht="28" customHeight="1">
      <c r="A758" s="12">
        <f>IF($L758="applied","Applied",IF($L758="interview","Interview",IF($L758="offer","Offer",IF($L758="rejected","Rejected",IF($L758="ignore","Ignore",IF($L758="archive","Archive",IF($L758="closed","Closed",IF($B758="","Unscored",IF(AND($B758&gt;=8,OR($H758="",$H758-TODAY()&lt;=14)),"P1 Apply",IF($B758&gt;=7,"P2 Strong",IF($B758&gt;=5,"P3 Maybe","P4 Low")))))))))))</f>
        <v/>
      </c>
      <c r="B758" s="13" t="n">
        <v>1.02</v>
      </c>
      <c r="C758" s="12" t="inlineStr">
        <is>
          <t>Unspecified</t>
        </is>
      </c>
      <c r="D758" s="8" t="inlineStr">
        <is>
          <t>Full Stack Developer</t>
        </is>
      </c>
      <c r="E758" s="7" t="inlineStr">
        <is>
          <t>Insignis</t>
        </is>
      </c>
      <c r="F758" s="8" t="inlineStr">
        <is>
          <t>London, England, UK</t>
        </is>
      </c>
      <c r="G758" s="8" t="n"/>
      <c r="H758" s="14" t="n"/>
      <c r="I758" s="15">
        <f>IF($H758="","",$H758-TODAY())</f>
        <v/>
      </c>
      <c r="J758" s="16" t="inlineStr">
        <is>
          <t>Open posting</t>
        </is>
      </c>
      <c r="K758" s="8" t="inlineStr">
        <is>
          <t>filtered by keyword pre-scan</t>
        </is>
      </c>
      <c r="L758" s="17" t="inlineStr">
        <is>
          <t>new</t>
        </is>
      </c>
      <c r="M758" s="18" t="inlineStr"/>
      <c r="N758" s="7" t="inlineStr">
        <is>
          <t>0ed153622bd6ac3f3ba257ec74c37c52cd3b54fd</t>
        </is>
      </c>
      <c r="O758" s="14" t="n">
        <v>46164</v>
      </c>
      <c r="P758" s="7" t="inlineStr">
        <is>
          <t>jobspy</t>
        </is>
      </c>
      <c r="Q758" s="8" t="inlineStr">
        <is>
          <t>sql</t>
        </is>
      </c>
      <c r="R758" s="8" t="inlineStr">
        <is>
          <t>Junior Python Developer remote</t>
        </is>
      </c>
      <c r="S758" s="19" t="n"/>
      <c r="T758" s="19" t="n"/>
      <c r="U758" s="14" t="n">
        <v>46191</v>
      </c>
      <c r="V758" s="7" t="inlineStr">
        <is>
          <t>v2-cv-accuracy-13b988b18da8ea7d</t>
        </is>
      </c>
    </row>
    <row r="759" ht="28" customHeight="1">
      <c r="A759" s="12">
        <f>IF($L759="applied","Applied",IF($L759="interview","Interview",IF($L759="offer","Offer",IF($L759="rejected","Rejected",IF($L759="ignore","Ignore",IF($L759="archive","Archive",IF($L759="closed","Closed",IF($B759="","Unscored",IF(AND($B759&gt;=8,OR($H759="",$H759-TODAY()&lt;=14)),"P1 Apply",IF($B759&gt;=7,"P2 Strong",IF($B759&gt;=5,"P3 Maybe","P4 Low")))))))))))</f>
        <v/>
      </c>
      <c r="B759" s="13" t="n">
        <v>1.02</v>
      </c>
      <c r="C759" s="12" t="inlineStr">
        <is>
          <t>Junior</t>
        </is>
      </c>
      <c r="D759" s="8" t="inlineStr">
        <is>
          <t>JavaScript Developer</t>
        </is>
      </c>
      <c r="E759" s="7" t="inlineStr">
        <is>
          <t>Cambridge Intelligence</t>
        </is>
      </c>
      <c r="F759" s="8" t="inlineStr">
        <is>
          <t>Cambridge, England, UK</t>
        </is>
      </c>
      <c r="G759" s="8" t="n"/>
      <c r="H759" s="14" t="n"/>
      <c r="I759" s="15">
        <f>IF($H759="","",$H759-TODAY())</f>
        <v/>
      </c>
      <c r="J759" s="16" t="inlineStr">
        <is>
          <t>Open posting</t>
        </is>
      </c>
      <c r="K759" s="8" t="inlineStr">
        <is>
          <t>filtered by keyword pre-scan</t>
        </is>
      </c>
      <c r="L759" s="17" t="inlineStr">
        <is>
          <t>new</t>
        </is>
      </c>
      <c r="M759" s="18" t="inlineStr"/>
      <c r="N759" s="7" t="inlineStr">
        <is>
          <t>2281730072d915bb135c68127607708d270bf507</t>
        </is>
      </c>
      <c r="O759" s="14" t="n"/>
      <c r="P759" s="7" t="inlineStr">
        <is>
          <t>jobspy</t>
        </is>
      </c>
      <c r="Q759" s="8" t="inlineStr">
        <is>
          <t>javascript</t>
        </is>
      </c>
      <c r="R759" s="8" t="inlineStr">
        <is>
          <t>junior Full Stack Developer</t>
        </is>
      </c>
      <c r="S759" s="19" t="n"/>
      <c r="T759" s="19" t="n"/>
      <c r="U759" s="14" t="n">
        <v>46191</v>
      </c>
      <c r="V759" s="7" t="inlineStr">
        <is>
          <t>v2-cv-accuracy-13b988b18da8ea7d</t>
        </is>
      </c>
    </row>
    <row r="760" ht="28" customHeight="1">
      <c r="A760" s="12">
        <f>IF($L760="applied","Applied",IF($L760="interview","Interview",IF($L760="offer","Offer",IF($L760="rejected","Rejected",IF($L760="ignore","Ignore",IF($L760="archive","Archive",IF($L760="closed","Closed",IF($B760="","Unscored",IF(AND($B760&gt;=8,OR($H760="",$H760-TODAY()&lt;=14)),"P1 Apply",IF($B760&gt;=7,"P2 Strong",IF($B760&gt;=5,"P3 Maybe","P4 Low")))))))))))</f>
        <v/>
      </c>
      <c r="B760" s="13" t="n">
        <v>1.02</v>
      </c>
      <c r="C760" s="12" t="inlineStr">
        <is>
          <t>Graduate/Entry</t>
        </is>
      </c>
      <c r="D760" s="8" t="inlineStr">
        <is>
          <t>Graduate Software Developer</t>
        </is>
      </c>
      <c r="E760" s="7" t="inlineStr">
        <is>
          <t>TPP</t>
        </is>
      </c>
      <c r="F760" s="8" t="inlineStr">
        <is>
          <t>Horsforth, England, UK</t>
        </is>
      </c>
      <c r="G760" s="8" t="n"/>
      <c r="H760" s="14" t="n"/>
      <c r="I760" s="15">
        <f>IF($H760="","",$H760-TODAY())</f>
        <v/>
      </c>
      <c r="J760" s="16" t="inlineStr">
        <is>
          <t>Open posting</t>
        </is>
      </c>
      <c r="K760" s="8" t="inlineStr">
        <is>
          <t>filtered by keyword pre-scan</t>
        </is>
      </c>
      <c r="L760" s="17" t="inlineStr">
        <is>
          <t>new</t>
        </is>
      </c>
      <c r="M760" s="18" t="inlineStr"/>
      <c r="N760" s="7" t="inlineStr">
        <is>
          <t>b26cd29c7f01175d29933228f6185e8aa0980ab9</t>
        </is>
      </c>
      <c r="O760" s="14" t="n"/>
      <c r="P760" s="7" t="inlineStr">
        <is>
          <t>jobspy</t>
        </is>
      </c>
      <c r="Q760" s="8" t="inlineStr">
        <is>
          <t>git</t>
        </is>
      </c>
      <c r="R760" s="8" t="inlineStr">
        <is>
          <t>graduate Graduate Software Developer</t>
        </is>
      </c>
      <c r="S760" s="19" t="n"/>
      <c r="T760" s="19" t="n"/>
      <c r="U760" s="14" t="n">
        <v>46191</v>
      </c>
      <c r="V760" s="7" t="inlineStr">
        <is>
          <t>v2-cv-accuracy-13b988b18da8ea7d</t>
        </is>
      </c>
    </row>
    <row r="761" ht="28" customHeight="1">
      <c r="A761" s="12">
        <f>IF($L761="applied","Applied",IF($L761="interview","Interview",IF($L761="offer","Offer",IF($L761="rejected","Rejected",IF($L761="ignore","Ignore",IF($L761="archive","Archive",IF($L761="closed","Closed",IF($B761="","Unscored",IF(AND($B761&gt;=8,OR($H761="",$H761-TODAY()&lt;=14)),"P1 Apply",IF($B761&gt;=7,"P2 Strong",IF($B761&gt;=5,"P3 Maybe","P4 Low")))))))))))</f>
        <v/>
      </c>
      <c r="B761" s="13" t="n">
        <v>1</v>
      </c>
      <c r="C761" s="12" t="inlineStr">
        <is>
          <t>Junior</t>
        </is>
      </c>
      <c r="D761" s="8" t="inlineStr">
        <is>
          <t>DevOps Engineer</t>
        </is>
      </c>
      <c r="E761" s="7" t="inlineStr">
        <is>
          <t>Gemba Advantage</t>
        </is>
      </c>
      <c r="F761" s="8" t="inlineStr">
        <is>
          <t>Cheltenham, England, UK</t>
        </is>
      </c>
      <c r="G761" s="8" t="n"/>
      <c r="H761" s="14" t="n"/>
      <c r="I761" s="15">
        <f>IF($H761="","",$H761-TODAY())</f>
        <v/>
      </c>
      <c r="J761" s="16" t="inlineStr">
        <is>
          <t>Open posting</t>
        </is>
      </c>
      <c r="K761" s="8" t="inlineStr">
        <is>
          <t>JD explicitly requires active SC or DV clearance, a hard description_excludes trigger; candidate has no clearance.</t>
        </is>
      </c>
      <c r="L761" s="17" t="inlineStr">
        <is>
          <t>new</t>
        </is>
      </c>
      <c r="M761" s="18" t="inlineStr"/>
      <c r="N761" s="7" t="inlineStr">
        <is>
          <t>a01acb4addceeeb6dcb3734eb2378d95aaeb39ff</t>
        </is>
      </c>
      <c r="O761" s="14" t="n">
        <v>46191</v>
      </c>
      <c r="P761" s="7" t="inlineStr">
        <is>
          <t>jobspy</t>
        </is>
      </c>
      <c r="Q761" s="8" t="inlineStr">
        <is>
          <t>Docker, Kubernetes, Git, Python, CI/CD</t>
        </is>
      </c>
      <c r="R761" s="8" t="inlineStr">
        <is>
          <t>Graduate DevOps Engineer Docker Kubernetes Python</t>
        </is>
      </c>
      <c r="S761" s="19" t="n"/>
      <c r="T761" s="19" t="n"/>
      <c r="U761" s="14" t="n">
        <v>46192</v>
      </c>
      <c r="V761" s="7" t="inlineStr">
        <is>
          <t>v2-cv-accuracy-13b988b18da8ea7d</t>
        </is>
      </c>
    </row>
    <row r="762" ht="28" customHeight="1">
      <c r="A762" s="12">
        <f>IF($L762="applied","Applied",IF($L762="interview","Interview",IF($L762="offer","Offer",IF($L762="rejected","Rejected",IF($L762="ignore","Ignore",IF($L762="archive","Archive",IF($L762="closed","Closed",IF($B762="","Unscored",IF(AND($B762&gt;=8,OR($H762="",$H762-TODAY()&lt;=14)),"P1 Apply",IF($B762&gt;=7,"P2 Strong",IF($B762&gt;=5,"P3 Maybe","P4 Low")))))))))))</f>
        <v/>
      </c>
      <c r="B762" s="13" t="n">
        <v>1</v>
      </c>
      <c r="C762" s="12" t="inlineStr">
        <is>
          <t>Junior</t>
        </is>
      </c>
      <c r="D762" s="8" t="inlineStr">
        <is>
          <t>DevOps Engineer</t>
        </is>
      </c>
      <c r="E762" s="7" t="inlineStr">
        <is>
          <t>Gemba Advantage</t>
        </is>
      </c>
      <c r="F762" s="8" t="inlineStr">
        <is>
          <t>Manchester, England, UK</t>
        </is>
      </c>
      <c r="G762" s="8" t="n"/>
      <c r="H762" s="14" t="n"/>
      <c r="I762" s="15">
        <f>IF($H762="","",$H762-TODAY())</f>
        <v/>
      </c>
      <c r="J762" s="16" t="inlineStr">
        <is>
          <t>Open posting</t>
        </is>
      </c>
      <c r="K762" s="8" t="inlineStr">
        <is>
          <t>JD explicitly requires active SC or DV clearance, a hard description_excludes trigger; candidate has no clearance.</t>
        </is>
      </c>
      <c r="L762" s="17" t="inlineStr">
        <is>
          <t>new</t>
        </is>
      </c>
      <c r="M762" s="18" t="inlineStr"/>
      <c r="N762" s="7" t="inlineStr">
        <is>
          <t>501a914e9057757dc924f68bf215ba8e0366fc41</t>
        </is>
      </c>
      <c r="O762" s="14" t="n">
        <v>46164</v>
      </c>
      <c r="P762" s="7" t="inlineStr">
        <is>
          <t>jobspy</t>
        </is>
      </c>
      <c r="Q762" s="8" t="inlineStr">
        <is>
          <t>Docker, Kubernetes, Git, Python, CI/CD</t>
        </is>
      </c>
      <c r="R762" s="8" t="inlineStr">
        <is>
          <t>Graduate DevOps Engineer Docker Kubernetes Python</t>
        </is>
      </c>
      <c r="S762" s="19" t="n"/>
      <c r="T762" s="19" t="n"/>
      <c r="U762" s="14" t="n">
        <v>46192</v>
      </c>
      <c r="V762" s="7" t="inlineStr">
        <is>
          <t>v2-cv-accuracy-13b988b18da8ea7d</t>
        </is>
      </c>
    </row>
    <row r="763" ht="28" customHeight="1">
      <c r="A763" s="12">
        <f>IF($L763="applied","Applied",IF($L763="interview","Interview",IF($L763="offer","Offer",IF($L763="rejected","Rejected",IF($L763="ignore","Ignore",IF($L763="archive","Archive",IF($L763="closed","Closed",IF($B763="","Unscored",IF(AND($B763&gt;=8,OR($H763="",$H763-TODAY()&lt;=14)),"P1 Apply",IF($B763&gt;=7,"P2 Strong",IF($B763&gt;=5,"P3 Maybe","P4 Low")))))))))))</f>
        <v/>
      </c>
      <c r="B763" s="13" t="n">
        <v>1</v>
      </c>
      <c r="C763" s="12" t="inlineStr">
        <is>
          <t>Junior</t>
        </is>
      </c>
      <c r="D763" s="8" t="inlineStr">
        <is>
          <t>DevOps Engineer</t>
        </is>
      </c>
      <c r="E763" s="7" t="inlineStr">
        <is>
          <t>Capgemini</t>
        </is>
      </c>
      <c r="F763" s="8" t="inlineStr">
        <is>
          <t>Manchester Area, United Kingdom</t>
        </is>
      </c>
      <c r="G763" s="8" t="n"/>
      <c r="H763" s="14" t="n"/>
      <c r="I763" s="15">
        <f>IF($H763="","",$H763-TODAY())</f>
        <v/>
      </c>
      <c r="J763" s="16" t="inlineStr">
        <is>
          <t>Open posting</t>
        </is>
      </c>
      <c r="K763" s="8" t="inlineStr">
        <is>
          <t>Role explicitly requires 8+ years and senior/lead responsibilities, both hard disqualifications against the candidate's profile.</t>
        </is>
      </c>
      <c r="L763" s="17" t="inlineStr">
        <is>
          <t>new</t>
        </is>
      </c>
      <c r="M763" s="18" t="inlineStr"/>
      <c r="N763" s="7" t="inlineStr">
        <is>
          <t>96db199b0d246831e1b8c067a4462e62ae46b1b0</t>
        </is>
      </c>
      <c r="O763" s="14" t="n">
        <v>46175</v>
      </c>
      <c r="P763" s="7" t="inlineStr">
        <is>
          <t>jobspy</t>
        </is>
      </c>
      <c r="Q763" s="8" t="inlineStr">
        <is>
          <t>Docker, Kubernetes, Python</t>
        </is>
      </c>
      <c r="R763" s="8" t="inlineStr">
        <is>
          <t>Graduate DevOps Engineer Docker Kubernetes Git</t>
        </is>
      </c>
      <c r="S763" s="19" t="n"/>
      <c r="T763" s="19" t="n"/>
      <c r="U763" s="14" t="n">
        <v>46192</v>
      </c>
      <c r="V763" s="7" t="inlineStr">
        <is>
          <t>v2-cv-accuracy-13b988b18da8ea7d</t>
        </is>
      </c>
    </row>
    <row r="764" ht="28" customHeight="1">
      <c r="A764" s="12">
        <f>IF($L764="applied","Applied",IF($L764="interview","Interview",IF($L764="offer","Offer",IF($L764="rejected","Rejected",IF($L764="ignore","Ignore",IF($L764="archive","Archive",IF($L764="closed","Closed",IF($B764="","Unscored",IF(AND($B764&gt;=8,OR($H764="",$H764-TODAY()&lt;=14)),"P1 Apply",IF($B764&gt;=7,"P2 Strong",IF($B764&gt;=5,"P3 Maybe","P4 Low")))))))))))</f>
        <v/>
      </c>
      <c r="B764" s="13" t="n">
        <v>1</v>
      </c>
      <c r="C764" s="12" t="inlineStr">
        <is>
          <t>Senior/Lead</t>
        </is>
      </c>
      <c r="D764" s="8" t="inlineStr">
        <is>
          <t>Senior DDR &amp; Execution Validation Engineer</t>
        </is>
      </c>
      <c r="E764" s="7" t="inlineStr">
        <is>
          <t>Graphcore</t>
        </is>
      </c>
      <c r="F764" s="8" t="inlineStr">
        <is>
          <t>Bengaluru, India</t>
        </is>
      </c>
      <c r="G764" s="8" t="n"/>
      <c r="H764" s="14" t="n"/>
      <c r="I764" s="15">
        <f>IF($H764="","",$H764-TODAY())</f>
        <v/>
      </c>
      <c r="J764" s="16" t="inlineStr">
        <is>
          <t>Open posting</t>
        </is>
      </c>
      <c r="K764" s="8" t="inlineStr">
        <is>
          <t>filtered by keyword pre-scan</t>
        </is>
      </c>
      <c r="L764" s="17" t="inlineStr">
        <is>
          <t>new</t>
        </is>
      </c>
      <c r="M764" s="18" t="inlineStr"/>
      <c r="N764" s="7" t="inlineStr">
        <is>
          <t>3d0d2023ba1e7ab40ba9dfe7fca42e356e173a85</t>
        </is>
      </c>
      <c r="O764" s="14" t="n">
        <v>46190</v>
      </c>
      <c r="P764" s="7" t="inlineStr">
        <is>
          <t>greenhouse:graphcore</t>
        </is>
      </c>
      <c r="Q764" s="8" t="inlineStr"/>
      <c r="R764" s="8" t="n"/>
      <c r="S764" s="19" t="n"/>
      <c r="T764" s="19" t="n"/>
      <c r="U764" s="14" t="n">
        <v>46190</v>
      </c>
      <c r="V764" s="7" t="inlineStr">
        <is>
          <t>v1-db41edab064373dd</t>
        </is>
      </c>
    </row>
    <row r="765" ht="28" customHeight="1">
      <c r="A765" s="12">
        <f>IF($L765="applied","Applied",IF($L765="interview","Interview",IF($L765="offer","Offer",IF($L765="rejected","Rejected",IF($L765="ignore","Ignore",IF($L765="archive","Archive",IF($L765="closed","Closed",IF($B765="","Unscored",IF(AND($B765&gt;=8,OR($H765="",$H765-TODAY()&lt;=14)),"P1 Apply",IF($B765&gt;=7,"P2 Strong",IF($B765&gt;=5,"P3 Maybe","P4 Low")))))))))))</f>
        <v/>
      </c>
      <c r="B765" s="13" t="n">
        <v>1</v>
      </c>
      <c r="C765" s="12" t="inlineStr">
        <is>
          <t>Senior/Lead</t>
        </is>
      </c>
      <c r="D765" s="8" t="inlineStr">
        <is>
          <t>Senior Debug Validation Engineer</t>
        </is>
      </c>
      <c r="E765" s="7" t="inlineStr">
        <is>
          <t>Graphcore</t>
        </is>
      </c>
      <c r="F765" s="8" t="inlineStr">
        <is>
          <t>Bengaluru, India</t>
        </is>
      </c>
      <c r="G765" s="8" t="n"/>
      <c r="H765" s="14" t="n"/>
      <c r="I765" s="15">
        <f>IF($H765="","",$H765-TODAY())</f>
        <v/>
      </c>
      <c r="J765" s="16" t="inlineStr">
        <is>
          <t>Open posting</t>
        </is>
      </c>
      <c r="K765" s="8" t="inlineStr">
        <is>
          <t>filtered by keyword pre-scan</t>
        </is>
      </c>
      <c r="L765" s="17" t="inlineStr">
        <is>
          <t>new</t>
        </is>
      </c>
      <c r="M765" s="18" t="inlineStr"/>
      <c r="N765" s="7" t="inlineStr">
        <is>
          <t>72252c1c6c1b45a1093528cb941f5309d3c88fb0</t>
        </is>
      </c>
      <c r="O765" s="14" t="n">
        <v>46190</v>
      </c>
      <c r="P765" s="7" t="inlineStr">
        <is>
          <t>greenhouse:graphcore</t>
        </is>
      </c>
      <c r="Q765" s="8" t="inlineStr"/>
      <c r="R765" s="8" t="n"/>
      <c r="S765" s="19" t="n"/>
      <c r="T765" s="19" t="n"/>
      <c r="U765" s="14" t="n">
        <v>46190</v>
      </c>
      <c r="V765" s="7" t="inlineStr">
        <is>
          <t>v1-db41edab064373dd</t>
        </is>
      </c>
    </row>
    <row r="766" ht="28" customHeight="1">
      <c r="A766" s="12">
        <f>IF($L766="applied","Applied",IF($L766="interview","Interview",IF($L766="offer","Offer",IF($L766="rejected","Rejected",IF($L766="ignore","Ignore",IF($L766="archive","Archive",IF($L766="closed","Closed",IF($B766="","Unscored",IF(AND($B766&gt;=8,OR($H766="",$H766-TODAY()&lt;=14)),"P1 Apply",IF($B766&gt;=7,"P2 Strong",IF($B766&gt;=5,"P3 Maybe","P4 Low")))))))))))</f>
        <v/>
      </c>
      <c r="B766" s="13" t="n">
        <v>1</v>
      </c>
      <c r="C766" s="12" t="inlineStr">
        <is>
          <t>Senior/Lead</t>
        </is>
      </c>
      <c r="D766" s="8" t="inlineStr">
        <is>
          <t>Senior ALU Design Engineer</t>
        </is>
      </c>
      <c r="E766" s="7" t="inlineStr">
        <is>
          <t>SiFive</t>
        </is>
      </c>
      <c r="F766" s="8" t="inlineStr">
        <is>
          <t>Cambridge, England, United Kingdom</t>
        </is>
      </c>
      <c r="G766" s="8" t="n"/>
      <c r="H766" s="14" t="n"/>
      <c r="I766" s="15">
        <f>IF($H766="","",$H766-TODAY())</f>
        <v/>
      </c>
      <c r="J766" s="16" t="inlineStr">
        <is>
          <t>Open posting</t>
        </is>
      </c>
      <c r="K766" s="8" t="inlineStr">
        <is>
          <t>filtered by keyword pre-scan</t>
        </is>
      </c>
      <c r="L766" s="17" t="inlineStr">
        <is>
          <t>new</t>
        </is>
      </c>
      <c r="M766" s="18" t="inlineStr"/>
      <c r="N766" s="7" t="inlineStr">
        <is>
          <t>30e4b7aa43f91a55a2eb2a46591193cbfc2aa587</t>
        </is>
      </c>
      <c r="O766" s="14" t="n"/>
      <c r="P766" s="7" t="inlineStr">
        <is>
          <t>workday</t>
        </is>
      </c>
      <c r="Q766" s="8" t="inlineStr"/>
      <c r="R766" s="8" t="n"/>
      <c r="S766" s="19" t="n"/>
      <c r="T766" s="19" t="n"/>
      <c r="U766" s="14" t="n">
        <v>46190</v>
      </c>
      <c r="V766" s="7" t="inlineStr">
        <is>
          <t>v1-db41edab064373dd</t>
        </is>
      </c>
    </row>
    <row r="767" ht="28" customHeight="1">
      <c r="A767" s="12">
        <f>IF($L767="applied","Applied",IF($L767="interview","Interview",IF($L767="offer","Offer",IF($L767="rejected","Rejected",IF($L767="ignore","Ignore",IF($L767="archive","Archive",IF($L767="closed","Closed",IF($B767="","Unscored",IF(AND($B767&gt;=8,OR($H767="",$H767-TODAY()&lt;=14)),"P1 Apply",IF($B767&gt;=7,"P2 Strong",IF($B767&gt;=5,"P3 Maybe","P4 Low")))))))))))</f>
        <v/>
      </c>
      <c r="B767" s="13" t="n">
        <v>1</v>
      </c>
      <c r="C767" s="12" t="inlineStr">
        <is>
          <t>Unspecified</t>
        </is>
      </c>
      <c r="D767" s="8" t="inlineStr">
        <is>
          <t>Store Leader</t>
        </is>
      </c>
      <c r="E767" s="7" t="inlineStr">
        <is>
          <t>Dyson</t>
        </is>
      </c>
      <c r="F767" s="8" t="inlineStr">
        <is>
          <t>Germany - Hamburg Mönckeberg Strasse Demo Store</t>
        </is>
      </c>
      <c r="G767" s="8" t="n"/>
      <c r="H767" s="14" t="n"/>
      <c r="I767" s="15">
        <f>IF($H767="","",$H767-TODAY())</f>
        <v/>
      </c>
      <c r="J767" s="16" t="inlineStr">
        <is>
          <t>Open posting</t>
        </is>
      </c>
      <c r="K767" s="8" t="inlineStr">
        <is>
          <t>filtered by keyword pre-scan</t>
        </is>
      </c>
      <c r="L767" s="17" t="inlineStr">
        <is>
          <t>new</t>
        </is>
      </c>
      <c r="M767" s="18" t="inlineStr"/>
      <c r="N767" s="7" t="inlineStr">
        <is>
          <t>0387c793a4d955a949287bebaa107f3829044652</t>
        </is>
      </c>
      <c r="O767" s="14" t="n"/>
      <c r="P767" s="7" t="inlineStr">
        <is>
          <t>workday</t>
        </is>
      </c>
      <c r="Q767" s="8" t="inlineStr"/>
      <c r="R767" s="8" t="n"/>
      <c r="S767" s="19" t="n"/>
      <c r="T767" s="19" t="n"/>
      <c r="U767" s="14" t="n">
        <v>46190</v>
      </c>
      <c r="V767" s="7" t="inlineStr">
        <is>
          <t>v1-db41edab064373dd</t>
        </is>
      </c>
    </row>
    <row r="768" ht="28" customHeight="1">
      <c r="A768" s="12">
        <f>IF($L768="applied","Applied",IF($L768="interview","Interview",IF($L768="offer","Offer",IF($L768="rejected","Rejected",IF($L768="ignore","Ignore",IF($L768="archive","Archive",IF($L768="closed","Closed",IF($B768="","Unscored",IF(AND($B768&gt;=8,OR($H768="",$H768-TODAY()&lt;=14)),"P1 Apply",IF($B768&gt;=7,"P2 Strong",IF($B768&gt;=5,"P3 Maybe","P4 Low")))))))))))</f>
        <v/>
      </c>
      <c r="B768" s="13" t="n">
        <v>1</v>
      </c>
      <c r="C768" s="12" t="inlineStr">
        <is>
          <t>Senior/Lead</t>
        </is>
      </c>
      <c r="D768" s="8" t="inlineStr">
        <is>
          <t>Head of HR , Philippines</t>
        </is>
      </c>
      <c r="E768" s="7" t="inlineStr">
        <is>
          <t>Dyson</t>
        </is>
      </c>
      <c r="F768" s="8" t="inlineStr">
        <is>
          <t>Philippines - Advanced Manufacturing Office</t>
        </is>
      </c>
      <c r="G768" s="8" t="n"/>
      <c r="H768" s="14" t="n"/>
      <c r="I768" s="15">
        <f>IF($H768="","",$H768-TODAY())</f>
        <v/>
      </c>
      <c r="J768" s="16" t="inlineStr">
        <is>
          <t>Open posting</t>
        </is>
      </c>
      <c r="K768" s="8" t="inlineStr">
        <is>
          <t>filtered by keyword pre-scan</t>
        </is>
      </c>
      <c r="L768" s="17" t="inlineStr">
        <is>
          <t>new</t>
        </is>
      </c>
      <c r="M768" s="18" t="inlineStr"/>
      <c r="N768" s="7" t="inlineStr">
        <is>
          <t>f4a55f5296fe46bc5b94c14b03938f7e7118a47a</t>
        </is>
      </c>
      <c r="O768" s="14" t="n"/>
      <c r="P768" s="7" t="inlineStr">
        <is>
          <t>workday</t>
        </is>
      </c>
      <c r="Q768" s="8" t="inlineStr"/>
      <c r="R768" s="8" t="n"/>
      <c r="S768" s="19" t="n"/>
      <c r="T768" s="19" t="n"/>
      <c r="U768" s="14" t="n">
        <v>46190</v>
      </c>
      <c r="V768" s="7" t="inlineStr">
        <is>
          <t>v1-db41edab064373dd</t>
        </is>
      </c>
    </row>
    <row r="769" ht="28" customHeight="1">
      <c r="A769" s="12">
        <f>IF($L769="applied","Applied",IF($L769="interview","Interview",IF($L769="offer","Offer",IF($L769="rejected","Rejected",IF($L769="ignore","Ignore",IF($L769="archive","Archive",IF($L769="closed","Closed",IF($B769="","Unscored",IF(AND($B769&gt;=8,OR($H769="",$H769-TODAY()&lt;=14)),"P1 Apply",IF($B769&gt;=7,"P2 Strong",IF($B769&gt;=5,"P3 Maybe","P4 Low")))))))))))</f>
        <v/>
      </c>
      <c r="B769" s="13" t="n">
        <v>1</v>
      </c>
      <c r="C769" s="12" t="inlineStr">
        <is>
          <t>Senior/Lead</t>
        </is>
      </c>
      <c r="D769" s="8" t="inlineStr">
        <is>
          <t>Senior Security Officer-2</t>
        </is>
      </c>
      <c r="E769" s="7" t="inlineStr">
        <is>
          <t>Dyson</t>
        </is>
      </c>
      <c r="F769" s="8" t="inlineStr">
        <is>
          <t>Singapore - St James Power Station Headquarters</t>
        </is>
      </c>
      <c r="G769" s="8" t="n"/>
      <c r="H769" s="14" t="n"/>
      <c r="I769" s="15">
        <f>IF($H769="","",$H769-TODAY())</f>
        <v/>
      </c>
      <c r="J769" s="16" t="inlineStr">
        <is>
          <t>Open posting</t>
        </is>
      </c>
      <c r="K769" s="8" t="inlineStr">
        <is>
          <t>filtered by keyword pre-scan</t>
        </is>
      </c>
      <c r="L769" s="17" t="inlineStr">
        <is>
          <t>new</t>
        </is>
      </c>
      <c r="M769" s="18" t="inlineStr"/>
      <c r="N769" s="7" t="inlineStr">
        <is>
          <t>d6ed2165278b68d5ecd771adb6ba67179cde127b</t>
        </is>
      </c>
      <c r="O769" s="14" t="n"/>
      <c r="P769" s="7" t="inlineStr">
        <is>
          <t>workday</t>
        </is>
      </c>
      <c r="Q769" s="8" t="inlineStr"/>
      <c r="R769" s="8" t="n"/>
      <c r="S769" s="19" t="n"/>
      <c r="T769" s="19" t="n"/>
      <c r="U769" s="14" t="n">
        <v>46190</v>
      </c>
      <c r="V769" s="7" t="inlineStr">
        <is>
          <t>v1-db41edab064373dd</t>
        </is>
      </c>
    </row>
    <row r="770" ht="28" customHeight="1">
      <c r="A770" s="12">
        <f>IF($L770="applied","Applied",IF($L770="interview","Interview",IF($L770="offer","Offer",IF($L770="rejected","Rejected",IF($L770="ignore","Ignore",IF($L770="archive","Archive",IF($L770="closed","Closed",IF($B770="","Unscored",IF(AND($B770&gt;=8,OR($H770="",$H770-TODAY()&lt;=14)),"P1 Apply",IF($B770&gt;=7,"P2 Strong",IF($B770&gt;=5,"P3 Maybe","P4 Low")))))))))))</f>
        <v/>
      </c>
      <c r="B770" s="13" t="n">
        <v>1</v>
      </c>
      <c r="C770" s="12" t="inlineStr">
        <is>
          <t>Senior/Lead</t>
        </is>
      </c>
      <c r="D770" s="8" t="inlineStr">
        <is>
          <t>Senior Amazon Manager</t>
        </is>
      </c>
      <c r="E770" s="7" t="inlineStr">
        <is>
          <t>Dyson</t>
        </is>
      </c>
      <c r="F770" s="8" t="inlineStr">
        <is>
          <t>Netherlands - Amsterdam Office</t>
        </is>
      </c>
      <c r="G770" s="8" t="n"/>
      <c r="H770" s="14" t="n"/>
      <c r="I770" s="15">
        <f>IF($H770="","",$H770-TODAY())</f>
        <v/>
      </c>
      <c r="J770" s="16" t="inlineStr">
        <is>
          <t>Open posting</t>
        </is>
      </c>
      <c r="K770" s="8" t="inlineStr">
        <is>
          <t>filtered by keyword pre-scan</t>
        </is>
      </c>
      <c r="L770" s="17" t="inlineStr">
        <is>
          <t>new</t>
        </is>
      </c>
      <c r="M770" s="18" t="inlineStr"/>
      <c r="N770" s="7" t="inlineStr">
        <is>
          <t>c6acfeae28b0c20188d011643f88baef913d5023</t>
        </is>
      </c>
      <c r="O770" s="14" t="n"/>
      <c r="P770" s="7" t="inlineStr">
        <is>
          <t>workday</t>
        </is>
      </c>
      <c r="Q770" s="8" t="inlineStr"/>
      <c r="R770" s="8" t="n"/>
      <c r="S770" s="19" t="n"/>
      <c r="T770" s="19" t="n"/>
      <c r="U770" s="14" t="n">
        <v>46190</v>
      </c>
      <c r="V770" s="7" t="inlineStr">
        <is>
          <t>v1-db41edab064373dd</t>
        </is>
      </c>
    </row>
    <row r="771" ht="28" customHeight="1">
      <c r="A771" s="12">
        <f>IF($L771="applied","Applied",IF($L771="interview","Interview",IF($L771="offer","Offer",IF($L771="rejected","Rejected",IF($L771="ignore","Ignore",IF($L771="archive","Archive",IF($L771="closed","Closed",IF($B771="","Unscored",IF(AND($B771&gt;=8,OR($H771="",$H771-TODAY()&lt;=14)),"P1 Apply",IF($B771&gt;=7,"P2 Strong",IF($B771&gt;=5,"P3 Maybe","P4 Low")))))))))))</f>
        <v/>
      </c>
      <c r="B771" s="13" t="n">
        <v>1</v>
      </c>
      <c r="C771" s="12" t="inlineStr">
        <is>
          <t>Senior/Lead</t>
        </is>
      </c>
      <c r="D771" s="8" t="inlineStr">
        <is>
          <t>AI SoC Validation / Bring-up Lead</t>
        </is>
      </c>
      <c r="E771" s="7" t="inlineStr">
        <is>
          <t>Graphcore</t>
        </is>
      </c>
      <c r="F771" s="8" t="inlineStr">
        <is>
          <t>Bristol, UK; Cambridge, UK</t>
        </is>
      </c>
      <c r="G771" s="8" t="n"/>
      <c r="H771" s="14" t="n"/>
      <c r="I771" s="15">
        <f>IF($H771="","",$H771-TODAY())</f>
        <v/>
      </c>
      <c r="J771" s="16" t="inlineStr">
        <is>
          <t>Open posting</t>
        </is>
      </c>
      <c r="K771" s="8" t="inlineStr">
        <is>
          <t>filtered by keyword pre-scan</t>
        </is>
      </c>
      <c r="L771" s="17" t="inlineStr">
        <is>
          <t>new</t>
        </is>
      </c>
      <c r="M771" s="18" t="inlineStr"/>
      <c r="N771" s="7" t="inlineStr">
        <is>
          <t>3f1b171f43b8b6487545873fed0d5fb06ea329b7</t>
        </is>
      </c>
      <c r="O771" s="14" t="n">
        <v>46189</v>
      </c>
      <c r="P771" s="7" t="inlineStr">
        <is>
          <t>greenhouse:graphcore</t>
        </is>
      </c>
      <c r="Q771" s="8" t="inlineStr"/>
      <c r="R771" s="8" t="n"/>
      <c r="S771" s="19" t="n"/>
      <c r="T771" s="19" t="n"/>
      <c r="U771" s="14" t="n">
        <v>46189</v>
      </c>
      <c r="V771" s="7" t="inlineStr">
        <is>
          <t>v1-db41edab064373dd</t>
        </is>
      </c>
    </row>
    <row r="772" ht="28" customHeight="1">
      <c r="A772" s="12">
        <f>IF($L772="applied","Applied",IF($L772="interview","Interview",IF($L772="offer","Offer",IF($L772="rejected","Rejected",IF($L772="ignore","Ignore",IF($L772="archive","Archive",IF($L772="closed","Closed",IF($B772="","Unscored",IF(AND($B772&gt;=8,OR($H772="",$H772-TODAY()&lt;=14)),"P1 Apply",IF($B772&gt;=7,"P2 Strong",IF($B772&gt;=5,"P3 Maybe","P4 Low")))))))))))</f>
        <v/>
      </c>
      <c r="B772" s="13" t="n">
        <v>1</v>
      </c>
      <c r="C772" s="12" t="inlineStr">
        <is>
          <t>Senior/Lead</t>
        </is>
      </c>
      <c r="D772" s="8" t="inlineStr">
        <is>
          <t>Business Transformation Lead</t>
        </is>
      </c>
      <c r="E772" s="7" t="inlineStr">
        <is>
          <t>Graphcore</t>
        </is>
      </c>
      <c r="F772" s="8" t="inlineStr">
        <is>
          <t>Bristol, UK; Cambridge, UK; London, UK</t>
        </is>
      </c>
      <c r="G772" s="8" t="n"/>
      <c r="H772" s="14" t="n"/>
      <c r="I772" s="15">
        <f>IF($H772="","",$H772-TODAY())</f>
        <v/>
      </c>
      <c r="J772" s="16" t="inlineStr">
        <is>
          <t>Open posting</t>
        </is>
      </c>
      <c r="K772" s="8" t="inlineStr">
        <is>
          <t>filtered by keyword pre-scan</t>
        </is>
      </c>
      <c r="L772" s="17" t="inlineStr">
        <is>
          <t>new</t>
        </is>
      </c>
      <c r="M772" s="18" t="inlineStr"/>
      <c r="N772" s="7" t="inlineStr">
        <is>
          <t>01da1481d0b7692074d45202fed09c98279560e1</t>
        </is>
      </c>
      <c r="O772" s="14" t="n">
        <v>46189</v>
      </c>
      <c r="P772" s="7" t="inlineStr">
        <is>
          <t>greenhouse:graphcore</t>
        </is>
      </c>
      <c r="Q772" s="8" t="inlineStr"/>
      <c r="R772" s="8" t="n"/>
      <c r="S772" s="19" t="n"/>
      <c r="T772" s="19" t="n"/>
      <c r="U772" s="14" t="n">
        <v>46189</v>
      </c>
      <c r="V772" s="7" t="inlineStr">
        <is>
          <t>v1-db41edab064373dd</t>
        </is>
      </c>
    </row>
    <row r="773" ht="28" customHeight="1">
      <c r="A773" s="12">
        <f>IF($L773="applied","Applied",IF($L773="interview","Interview",IF($L773="offer","Offer",IF($L773="rejected","Rejected",IF($L773="ignore","Ignore",IF($L773="archive","Archive",IF($L773="closed","Closed",IF($B773="","Unscored",IF(AND($B773&gt;=8,OR($H773="",$H773-TODAY()&lt;=14)),"P1 Apply",IF($B773&gt;=7,"P2 Strong",IF($B773&gt;=5,"P3 Maybe","P4 Low")))))))))))</f>
        <v/>
      </c>
      <c r="B773" s="13" t="n">
        <v>1</v>
      </c>
      <c r="C773" s="12" t="inlineStr">
        <is>
          <t>Senior/Lead</t>
        </is>
      </c>
      <c r="D773" s="8" t="inlineStr">
        <is>
          <t>Director Of Product Engineering</t>
        </is>
      </c>
      <c r="E773" s="7" t="inlineStr">
        <is>
          <t>Graphcore</t>
        </is>
      </c>
      <c r="F773" s="8" t="inlineStr">
        <is>
          <t>Bristol, UK</t>
        </is>
      </c>
      <c r="G773" s="8" t="n"/>
      <c r="H773" s="14" t="n"/>
      <c r="I773" s="15">
        <f>IF($H773="","",$H773-TODAY())</f>
        <v/>
      </c>
      <c r="J773" s="16" t="inlineStr">
        <is>
          <t>Open posting</t>
        </is>
      </c>
      <c r="K773" s="8" t="inlineStr">
        <is>
          <t>filtered by keyword pre-scan</t>
        </is>
      </c>
      <c r="L773" s="17" t="inlineStr">
        <is>
          <t>new</t>
        </is>
      </c>
      <c r="M773" s="18" t="inlineStr"/>
      <c r="N773" s="7" t="inlineStr">
        <is>
          <t>fd1a6370c022a08063d71655ce5f726ba87d40ea</t>
        </is>
      </c>
      <c r="O773" s="14" t="n">
        <v>46189</v>
      </c>
      <c r="P773" s="7" t="inlineStr">
        <is>
          <t>greenhouse:graphcore</t>
        </is>
      </c>
      <c r="Q773" s="8" t="inlineStr"/>
      <c r="R773" s="8" t="n"/>
      <c r="S773" s="19" t="n"/>
      <c r="T773" s="19" t="n"/>
      <c r="U773" s="14" t="n">
        <v>46189</v>
      </c>
      <c r="V773" s="7" t="inlineStr">
        <is>
          <t>v1-db41edab064373dd</t>
        </is>
      </c>
    </row>
    <row r="774" ht="28" customHeight="1">
      <c r="A774" s="12">
        <f>IF($L774="applied","Applied",IF($L774="interview","Interview",IF($L774="offer","Offer",IF($L774="rejected","Rejected",IF($L774="ignore","Ignore",IF($L774="archive","Archive",IF($L774="closed","Closed",IF($B774="","Unscored",IF(AND($B774&gt;=8,OR($H774="",$H774-TODAY()&lt;=14)),"P1 Apply",IF($B774&gt;=7,"P2 Strong",IF($B774&gt;=5,"P3 Maybe","P4 Low")))))))))))</f>
        <v/>
      </c>
      <c r="B774" s="13" t="n">
        <v>1</v>
      </c>
      <c r="C774" s="12" t="inlineStr">
        <is>
          <t>Senior/Lead</t>
        </is>
      </c>
      <c r="D774" s="8" t="inlineStr">
        <is>
          <t>Director of Software Architecture</t>
        </is>
      </c>
      <c r="E774" s="7" t="inlineStr">
        <is>
          <t>Graphcore</t>
        </is>
      </c>
      <c r="F774" s="8" t="inlineStr">
        <is>
          <t>Bristol, UK</t>
        </is>
      </c>
      <c r="G774" s="8" t="n"/>
      <c r="H774" s="14" t="n"/>
      <c r="I774" s="15">
        <f>IF($H774="","",$H774-TODAY())</f>
        <v/>
      </c>
      <c r="J774" s="16" t="inlineStr">
        <is>
          <t>Open posting</t>
        </is>
      </c>
      <c r="K774" s="8" t="inlineStr">
        <is>
          <t>filtered by keyword pre-scan</t>
        </is>
      </c>
      <c r="L774" s="17" t="inlineStr">
        <is>
          <t>new</t>
        </is>
      </c>
      <c r="M774" s="18" t="inlineStr"/>
      <c r="N774" s="7" t="inlineStr">
        <is>
          <t>59ae0b25c4eb1edab5588e7170ea788b2d19cfd7</t>
        </is>
      </c>
      <c r="O774" s="14" t="n">
        <v>46189</v>
      </c>
      <c r="P774" s="7" t="inlineStr">
        <is>
          <t>greenhouse:graphcore</t>
        </is>
      </c>
      <c r="Q774" s="8" t="inlineStr"/>
      <c r="R774" s="8" t="n"/>
      <c r="S774" s="19" t="n"/>
      <c r="T774" s="19" t="n"/>
      <c r="U774" s="14" t="n">
        <v>46189</v>
      </c>
      <c r="V774" s="7" t="inlineStr">
        <is>
          <t>v1-db41edab064373dd</t>
        </is>
      </c>
    </row>
    <row r="775" ht="28" customHeight="1">
      <c r="A775" s="12">
        <f>IF($L775="applied","Applied",IF($L775="interview","Interview",IF($L775="offer","Offer",IF($L775="rejected","Rejected",IF($L775="ignore","Ignore",IF($L775="archive","Archive",IF($L775="closed","Closed",IF($B775="","Unscored",IF(AND($B775&gt;=8,OR($H775="",$H775-TODAY()&lt;=14)),"P1 Apply",IF($B775&gt;=7,"P2 Strong",IF($B775&gt;=5,"P3 Maybe","P4 Low")))))))))))</f>
        <v/>
      </c>
      <c r="B775" s="13" t="n">
        <v>1</v>
      </c>
      <c r="C775" s="12" t="inlineStr">
        <is>
          <t>Senior/Lead</t>
        </is>
      </c>
      <c r="D775" s="8" t="inlineStr">
        <is>
          <t>Director / Senior Principal AI SoC Validation (Bring-up lead)</t>
        </is>
      </c>
      <c r="E775" s="7" t="inlineStr">
        <is>
          <t>Graphcore</t>
        </is>
      </c>
      <c r="F775" s="8" t="inlineStr">
        <is>
          <t>Bengaluru, India</t>
        </is>
      </c>
      <c r="G775" s="8" t="n"/>
      <c r="H775" s="14" t="n"/>
      <c r="I775" s="15">
        <f>IF($H775="","",$H775-TODAY())</f>
        <v/>
      </c>
      <c r="J775" s="16" t="inlineStr">
        <is>
          <t>Open posting</t>
        </is>
      </c>
      <c r="K775" s="8" t="inlineStr">
        <is>
          <t>filtered by keyword pre-scan</t>
        </is>
      </c>
      <c r="L775" s="17" t="inlineStr">
        <is>
          <t>new</t>
        </is>
      </c>
      <c r="M775" s="18" t="inlineStr"/>
      <c r="N775" s="7" t="inlineStr">
        <is>
          <t>8e94644ca96c983e6b1c28b5c9d2457eaf9181bb</t>
        </is>
      </c>
      <c r="O775" s="14" t="n">
        <v>46189</v>
      </c>
      <c r="P775" s="7" t="inlineStr">
        <is>
          <t>greenhouse:graphcore</t>
        </is>
      </c>
      <c r="Q775" s="8" t="inlineStr"/>
      <c r="R775" s="8" t="n"/>
      <c r="S775" s="19" t="n"/>
      <c r="T775" s="19" t="n"/>
      <c r="U775" s="14" t="n">
        <v>46189</v>
      </c>
      <c r="V775" s="7" t="inlineStr">
        <is>
          <t>v1-db41edab064373dd</t>
        </is>
      </c>
    </row>
    <row r="776" ht="28" customHeight="1">
      <c r="A776" s="12">
        <f>IF($L776="applied","Applied",IF($L776="interview","Interview",IF($L776="offer","Offer",IF($L776="rejected","Rejected",IF($L776="ignore","Ignore",IF($L776="archive","Archive",IF($L776="closed","Closed",IF($B776="","Unscored",IF(AND($B776&gt;=8,OR($H776="",$H776-TODAY()&lt;=14)),"P1 Apply",IF($B776&gt;=7,"P2 Strong",IF($B776&gt;=5,"P3 Maybe","P4 Low")))))))))))</f>
        <v/>
      </c>
      <c r="B776" s="13" t="n">
        <v>1</v>
      </c>
      <c r="C776" s="12" t="inlineStr">
        <is>
          <t>Senior/Lead</t>
        </is>
      </c>
      <c r="D776" s="8" t="inlineStr">
        <is>
          <t>Director, Silicon Logical Design</t>
        </is>
      </c>
      <c r="E776" s="7" t="inlineStr">
        <is>
          <t>Graphcore</t>
        </is>
      </c>
      <c r="F776" s="8" t="inlineStr">
        <is>
          <t>Bristol, UK; Cambridge, UK</t>
        </is>
      </c>
      <c r="G776" s="8" t="n"/>
      <c r="H776" s="14" t="n"/>
      <c r="I776" s="15">
        <f>IF($H776="","",$H776-TODAY())</f>
        <v/>
      </c>
      <c r="J776" s="16" t="inlineStr">
        <is>
          <t>Open posting</t>
        </is>
      </c>
      <c r="K776" s="8" t="inlineStr">
        <is>
          <t>filtered by keyword pre-scan</t>
        </is>
      </c>
      <c r="L776" s="17" t="inlineStr">
        <is>
          <t>new</t>
        </is>
      </c>
      <c r="M776" s="18" t="inlineStr"/>
      <c r="N776" s="7" t="inlineStr">
        <is>
          <t>c340f555c1ecb1077fd43471622eee84cdf7162d</t>
        </is>
      </c>
      <c r="O776" s="14" t="n">
        <v>46189</v>
      </c>
      <c r="P776" s="7" t="inlineStr">
        <is>
          <t>greenhouse:graphcore</t>
        </is>
      </c>
      <c r="Q776" s="8" t="inlineStr"/>
      <c r="R776" s="8" t="n"/>
      <c r="S776" s="19" t="n"/>
      <c r="T776" s="19" t="n"/>
      <c r="U776" s="14" t="n">
        <v>46189</v>
      </c>
      <c r="V776" s="7" t="inlineStr">
        <is>
          <t>v1-db41edab064373dd</t>
        </is>
      </c>
    </row>
    <row r="777" ht="28" customHeight="1">
      <c r="A777" s="12">
        <f>IF($L777="applied","Applied",IF($L777="interview","Interview",IF($L777="offer","Offer",IF($L777="rejected","Rejected",IF($L777="ignore","Ignore",IF($L777="archive","Archive",IF($L777="closed","Closed",IF($B777="","Unscored",IF(AND($B777&gt;=8,OR($H777="",$H777-TODAY()&lt;=14)),"P1 Apply",IF($B777&gt;=7,"P2 Strong",IF($B777&gt;=5,"P3 Maybe","P4 Low")))))))))))</f>
        <v/>
      </c>
      <c r="B777" s="13" t="n">
        <v>1</v>
      </c>
      <c r="C777" s="12" t="inlineStr">
        <is>
          <t>Senior/Lead</t>
        </is>
      </c>
      <c r="D777" s="8" t="inlineStr">
        <is>
          <t>Director, Silicon Verification</t>
        </is>
      </c>
      <c r="E777" s="7" t="inlineStr">
        <is>
          <t>Graphcore</t>
        </is>
      </c>
      <c r="F777" s="8" t="inlineStr">
        <is>
          <t>Bristol, UK</t>
        </is>
      </c>
      <c r="G777" s="8" t="n"/>
      <c r="H777" s="14" t="n"/>
      <c r="I777" s="15">
        <f>IF($H777="","",$H777-TODAY())</f>
        <v/>
      </c>
      <c r="J777" s="16" t="inlineStr">
        <is>
          <t>Open posting</t>
        </is>
      </c>
      <c r="K777" s="8" t="inlineStr">
        <is>
          <t>filtered by keyword pre-scan</t>
        </is>
      </c>
      <c r="L777" s="17" t="inlineStr">
        <is>
          <t>new</t>
        </is>
      </c>
      <c r="M777" s="18" t="inlineStr"/>
      <c r="N777" s="7" t="inlineStr">
        <is>
          <t>b2846fa7f571c6fd8baa7d5876264294bb61a452</t>
        </is>
      </c>
      <c r="O777" s="14" t="n">
        <v>46189</v>
      </c>
      <c r="P777" s="7" t="inlineStr">
        <is>
          <t>greenhouse:graphcore</t>
        </is>
      </c>
      <c r="Q777" s="8" t="inlineStr"/>
      <c r="R777" s="8" t="n"/>
      <c r="S777" s="19" t="n"/>
      <c r="T777" s="19" t="n"/>
      <c r="U777" s="14" t="n">
        <v>46189</v>
      </c>
      <c r="V777" s="7" t="inlineStr">
        <is>
          <t>v1-db41edab064373dd</t>
        </is>
      </c>
    </row>
    <row r="778" ht="28" customHeight="1">
      <c r="A778" s="12">
        <f>IF($L778="applied","Applied",IF($L778="interview","Interview",IF($L778="offer","Offer",IF($L778="rejected","Rejected",IF($L778="ignore","Ignore",IF($L778="archive","Archive",IF($L778="closed","Closed",IF($B778="","Unscored",IF(AND($B778&gt;=8,OR($H778="",$H778-TODAY()&lt;=14)),"P1 Apply",IF($B778&gt;=7,"P2 Strong",IF($B778&gt;=5,"P3 Maybe","P4 Low")))))))))))</f>
        <v/>
      </c>
      <c r="B778" s="13" t="n">
        <v>1</v>
      </c>
      <c r="C778" s="12" t="inlineStr">
        <is>
          <t>Senior/Lead</t>
        </is>
      </c>
      <c r="D778" s="8" t="inlineStr">
        <is>
          <t>Electronics Laboratory Lead</t>
        </is>
      </c>
      <c r="E778" s="7" t="inlineStr">
        <is>
          <t>Graphcore</t>
        </is>
      </c>
      <c r="F778" s="8" t="inlineStr">
        <is>
          <t>Bristol, UK</t>
        </is>
      </c>
      <c r="G778" s="8" t="n"/>
      <c r="H778" s="14" t="n"/>
      <c r="I778" s="15">
        <f>IF($H778="","",$H778-TODAY())</f>
        <v/>
      </c>
      <c r="J778" s="16" t="inlineStr">
        <is>
          <t>Open posting</t>
        </is>
      </c>
      <c r="K778" s="8" t="inlineStr">
        <is>
          <t>filtered by keyword pre-scan</t>
        </is>
      </c>
      <c r="L778" s="17" t="inlineStr">
        <is>
          <t>new</t>
        </is>
      </c>
      <c r="M778" s="18" t="inlineStr"/>
      <c r="N778" s="7" t="inlineStr">
        <is>
          <t>40810c0afd39edbbb8c3111271a903b5101ff7b5</t>
        </is>
      </c>
      <c r="O778" s="14" t="n">
        <v>46189</v>
      </c>
      <c r="P778" s="7" t="inlineStr">
        <is>
          <t>greenhouse:graphcore</t>
        </is>
      </c>
      <c r="Q778" s="8" t="inlineStr"/>
      <c r="R778" s="8" t="n"/>
      <c r="S778" s="19" t="n"/>
      <c r="T778" s="19" t="n"/>
      <c r="U778" s="14" t="n">
        <v>46189</v>
      </c>
      <c r="V778" s="7" t="inlineStr">
        <is>
          <t>v1-db41edab064373dd</t>
        </is>
      </c>
    </row>
    <row r="779" ht="28" customHeight="1">
      <c r="A779" s="12">
        <f>IF($L779="applied","Applied",IF($L779="interview","Interview",IF($L779="offer","Offer",IF($L779="rejected","Rejected",IF($L779="ignore","Ignore",IF($L779="archive","Archive",IF($L779="closed","Closed",IF($B779="","Unscored",IF(AND($B779&gt;=8,OR($H779="",$H779-TODAY()&lt;=14)),"P1 Apply",IF($B779&gt;=7,"P2 Strong",IF($B779&gt;=5,"P3 Maybe","P4 Low")))))))))))</f>
        <v/>
      </c>
      <c r="B779" s="13" t="n">
        <v>1</v>
      </c>
      <c r="C779" s="12" t="inlineStr">
        <is>
          <t>Senior/Lead</t>
        </is>
      </c>
      <c r="D779" s="8" t="inlineStr">
        <is>
          <t>Electronics Laboratory Lead</t>
        </is>
      </c>
      <c r="E779" s="7" t="inlineStr">
        <is>
          <t>Graphcore</t>
        </is>
      </c>
      <c r="F779" s="8" t="inlineStr">
        <is>
          <t>Hsinchu City, Hsinchu City, Taiwan</t>
        </is>
      </c>
      <c r="G779" s="8" t="n"/>
      <c r="H779" s="14" t="n"/>
      <c r="I779" s="15">
        <f>IF($H779="","",$H779-TODAY())</f>
        <v/>
      </c>
      <c r="J779" s="16" t="inlineStr">
        <is>
          <t>Open posting</t>
        </is>
      </c>
      <c r="K779" s="8" t="inlineStr">
        <is>
          <t>filtered by keyword pre-scan</t>
        </is>
      </c>
      <c r="L779" s="17" t="inlineStr">
        <is>
          <t>new</t>
        </is>
      </c>
      <c r="M779" s="18" t="inlineStr"/>
      <c r="N779" s="7" t="inlineStr">
        <is>
          <t>bd4086a72de45df82eb5528d2c501e59b3cd43c2</t>
        </is>
      </c>
      <c r="O779" s="14" t="n">
        <v>46189</v>
      </c>
      <c r="P779" s="7" t="inlineStr">
        <is>
          <t>greenhouse:graphcore</t>
        </is>
      </c>
      <c r="Q779" s="8" t="inlineStr"/>
      <c r="R779" s="8" t="n"/>
      <c r="S779" s="19" t="n"/>
      <c r="T779" s="19" t="n"/>
      <c r="U779" s="14" t="n">
        <v>46189</v>
      </c>
      <c r="V779" s="7" t="inlineStr">
        <is>
          <t>v1-db41edab064373dd</t>
        </is>
      </c>
    </row>
    <row r="780" ht="28" customHeight="1">
      <c r="A780" s="12">
        <f>IF($L780="applied","Applied",IF($L780="interview","Interview",IF($L780="offer","Offer",IF($L780="rejected","Rejected",IF($L780="ignore","Ignore",IF($L780="archive","Archive",IF($L780="closed","Closed",IF($B780="","Unscored",IF(AND($B780&gt;=8,OR($H780="",$H780-TODAY()&lt;=14)),"P1 Apply",IF($B780&gt;=7,"P2 Strong",IF($B780&gt;=5,"P3 Maybe","P4 Low")))))))))))</f>
        <v/>
      </c>
      <c r="B780" s="13" t="n">
        <v>1</v>
      </c>
      <c r="C780" s="12" t="inlineStr">
        <is>
          <t>Senior/Lead</t>
        </is>
      </c>
      <c r="D780" s="8" t="inlineStr">
        <is>
          <t>Head of Accounting Operations</t>
        </is>
      </c>
      <c r="E780" s="7" t="inlineStr">
        <is>
          <t>Graphcore</t>
        </is>
      </c>
      <c r="F780" s="8" t="inlineStr">
        <is>
          <t>Bristol, UK</t>
        </is>
      </c>
      <c r="G780" s="8" t="n"/>
      <c r="H780" s="14" t="n"/>
      <c r="I780" s="15">
        <f>IF($H780="","",$H780-TODAY())</f>
        <v/>
      </c>
      <c r="J780" s="16" t="inlineStr">
        <is>
          <t>Open posting</t>
        </is>
      </c>
      <c r="K780" s="8" t="inlineStr">
        <is>
          <t>filtered by keyword pre-scan</t>
        </is>
      </c>
      <c r="L780" s="17" t="inlineStr">
        <is>
          <t>new</t>
        </is>
      </c>
      <c r="M780" s="18" t="inlineStr"/>
      <c r="N780" s="7" t="inlineStr">
        <is>
          <t>ccc2255a37cc987490090ec2ea85b5f19c23fae0</t>
        </is>
      </c>
      <c r="O780" s="14" t="n">
        <v>46189</v>
      </c>
      <c r="P780" s="7" t="inlineStr">
        <is>
          <t>greenhouse:graphcore</t>
        </is>
      </c>
      <c r="Q780" s="8" t="inlineStr"/>
      <c r="R780" s="8" t="n"/>
      <c r="S780" s="19" t="n"/>
      <c r="T780" s="19" t="n"/>
      <c r="U780" s="14" t="n">
        <v>46189</v>
      </c>
      <c r="V780" s="7" t="inlineStr">
        <is>
          <t>v1-db41edab064373dd</t>
        </is>
      </c>
    </row>
    <row r="781" ht="28" customHeight="1">
      <c r="A781" s="12">
        <f>IF($L781="applied","Applied",IF($L781="interview","Interview",IF($L781="offer","Offer",IF($L781="rejected","Rejected",IF($L781="ignore","Ignore",IF($L781="archive","Archive",IF($L781="closed","Closed",IF($B781="","Unscored",IF(AND($B781&gt;=8,OR($H781="",$H781-TODAY()&lt;=14)),"P1 Apply",IF($B781&gt;=7,"P2 Strong",IF($B781&gt;=5,"P3 Maybe","P4 Low")))))))))))</f>
        <v/>
      </c>
      <c r="B781" s="13" t="n">
        <v>1</v>
      </c>
      <c r="C781" s="12" t="inlineStr">
        <is>
          <t>Senior/Lead</t>
        </is>
      </c>
      <c r="D781" s="8" t="inlineStr">
        <is>
          <t>Head of Financial Planning &amp; Analysis (FP&amp;A)</t>
        </is>
      </c>
      <c r="E781" s="7" t="inlineStr">
        <is>
          <t>Graphcore</t>
        </is>
      </c>
      <c r="F781" s="8" t="inlineStr">
        <is>
          <t>Austin, Texas, United States</t>
        </is>
      </c>
      <c r="G781" s="8" t="n"/>
      <c r="H781" s="14" t="n"/>
      <c r="I781" s="15">
        <f>IF($H781="","",$H781-TODAY())</f>
        <v/>
      </c>
      <c r="J781" s="16" t="inlineStr">
        <is>
          <t>Open posting</t>
        </is>
      </c>
      <c r="K781" s="8" t="inlineStr">
        <is>
          <t>filtered by keyword pre-scan</t>
        </is>
      </c>
      <c r="L781" s="17" t="inlineStr">
        <is>
          <t>new</t>
        </is>
      </c>
      <c r="M781" s="18" t="inlineStr"/>
      <c r="N781" s="7" t="inlineStr">
        <is>
          <t>8dde59e3c75042141ce313aa8abad63c545e62aa</t>
        </is>
      </c>
      <c r="O781" s="14" t="n">
        <v>46189</v>
      </c>
      <c r="P781" s="7" t="inlineStr">
        <is>
          <t>greenhouse:graphcore</t>
        </is>
      </c>
      <c r="Q781" s="8" t="inlineStr"/>
      <c r="R781" s="8" t="n"/>
      <c r="S781" s="19" t="n"/>
      <c r="T781" s="19" t="n"/>
      <c r="U781" s="14" t="n">
        <v>46189</v>
      </c>
      <c r="V781" s="7" t="inlineStr">
        <is>
          <t>v1-db41edab064373dd</t>
        </is>
      </c>
    </row>
    <row r="782" ht="28" customHeight="1">
      <c r="A782" s="12">
        <f>IF($L782="applied","Applied",IF($L782="interview","Interview",IF($L782="offer","Offer",IF($L782="rejected","Rejected",IF($L782="ignore","Ignore",IF($L782="archive","Archive",IF($L782="closed","Closed",IF($B782="","Unscored",IF(AND($B782&gt;=8,OR($H782="",$H782-TODAY()&lt;=14)),"P1 Apply",IF($B782&gt;=7,"P2 Strong",IF($B782&gt;=5,"P3 Maybe","P4 Low")))))))))))</f>
        <v/>
      </c>
      <c r="B782" s="13" t="n">
        <v>1</v>
      </c>
      <c r="C782" s="12" t="inlineStr">
        <is>
          <t>Senior/Lead</t>
        </is>
      </c>
      <c r="D782" s="8" t="inlineStr">
        <is>
          <t>IT Director</t>
        </is>
      </c>
      <c r="E782" s="7" t="inlineStr">
        <is>
          <t>Graphcore</t>
        </is>
      </c>
      <c r="F782" s="8" t="inlineStr">
        <is>
          <t>Austin, Texas, United States</t>
        </is>
      </c>
      <c r="G782" s="8" t="n"/>
      <c r="H782" s="14" t="n"/>
      <c r="I782" s="15">
        <f>IF($H782="","",$H782-TODAY())</f>
        <v/>
      </c>
      <c r="J782" s="16" t="inlineStr">
        <is>
          <t>Open posting</t>
        </is>
      </c>
      <c r="K782" s="8" t="inlineStr">
        <is>
          <t>filtered by keyword pre-scan</t>
        </is>
      </c>
      <c r="L782" s="17" t="inlineStr">
        <is>
          <t>new</t>
        </is>
      </c>
      <c r="M782" s="18" t="inlineStr"/>
      <c r="N782" s="7" t="inlineStr">
        <is>
          <t>887eb9ffe9b8c9e0ac34c0cabc0014bdf67408f8</t>
        </is>
      </c>
      <c r="O782" s="14" t="n">
        <v>46189</v>
      </c>
      <c r="P782" s="7" t="inlineStr">
        <is>
          <t>greenhouse:graphcore</t>
        </is>
      </c>
      <c r="Q782" s="8" t="inlineStr"/>
      <c r="R782" s="8" t="n"/>
      <c r="S782" s="19" t="n"/>
      <c r="T782" s="19" t="n"/>
      <c r="U782" s="14" t="n">
        <v>46189</v>
      </c>
      <c r="V782" s="7" t="inlineStr">
        <is>
          <t>v1-db41edab064373dd</t>
        </is>
      </c>
    </row>
    <row r="783" ht="28" customHeight="1">
      <c r="A783" s="12">
        <f>IF($L783="applied","Applied",IF($L783="interview","Interview",IF($L783="offer","Offer",IF($L783="rejected","Rejected",IF($L783="ignore","Ignore",IF($L783="archive","Archive",IF($L783="closed","Closed",IF($B783="","Unscored",IF(AND($B783&gt;=8,OR($H783="",$H783-TODAY()&lt;=14)),"P1 Apply",IF($B783&gt;=7,"P2 Strong",IF($B783&gt;=5,"P3 Maybe","P4 Low")))))))))))</f>
        <v/>
      </c>
      <c r="B783" s="13" t="n">
        <v>1</v>
      </c>
      <c r="C783" s="12" t="inlineStr">
        <is>
          <t>Senior/Lead</t>
        </is>
      </c>
      <c r="D783" s="8" t="inlineStr">
        <is>
          <t>Lead Analytics Engineer</t>
        </is>
      </c>
      <c r="E783" s="7" t="inlineStr">
        <is>
          <t>Graphcore</t>
        </is>
      </c>
      <c r="F783" s="8" t="inlineStr">
        <is>
          <t>Bristol, UK; Cambridge, UK; London, UK</t>
        </is>
      </c>
      <c r="G783" s="8" t="n"/>
      <c r="H783" s="14" t="n"/>
      <c r="I783" s="15">
        <f>IF($H783="","",$H783-TODAY())</f>
        <v/>
      </c>
      <c r="J783" s="16" t="inlineStr">
        <is>
          <t>Open posting</t>
        </is>
      </c>
      <c r="K783" s="8" t="inlineStr">
        <is>
          <t>filtered by keyword pre-scan</t>
        </is>
      </c>
      <c r="L783" s="17" t="inlineStr">
        <is>
          <t>new</t>
        </is>
      </c>
      <c r="M783" s="18" t="inlineStr"/>
      <c r="N783" s="7" t="inlineStr">
        <is>
          <t>5f1f0018305ecff4959f813ef3867b338e8d5ef6</t>
        </is>
      </c>
      <c r="O783" s="14" t="n">
        <v>46189</v>
      </c>
      <c r="P783" s="7" t="inlineStr">
        <is>
          <t>greenhouse:graphcore</t>
        </is>
      </c>
      <c r="Q783" s="8" t="inlineStr"/>
      <c r="R783" s="8" t="n"/>
      <c r="S783" s="19" t="n"/>
      <c r="T783" s="19" t="n"/>
      <c r="U783" s="14" t="n">
        <v>46189</v>
      </c>
      <c r="V783" s="7" t="inlineStr">
        <is>
          <t>v1-db41edab064373dd</t>
        </is>
      </c>
    </row>
    <row r="784" ht="28" customHeight="1">
      <c r="A784" s="12">
        <f>IF($L784="applied","Applied",IF($L784="interview","Interview",IF($L784="offer","Offer",IF($L784="rejected","Rejected",IF($L784="ignore","Ignore",IF($L784="archive","Archive",IF($L784="closed","Closed",IF($B784="","Unscored",IF(AND($B784&gt;=8,OR($H784="",$H784-TODAY()&lt;=14)),"P1 Apply",IF($B784&gt;=7,"P2 Strong",IF($B784&gt;=5,"P3 Maybe","P4 Low")))))))))))</f>
        <v/>
      </c>
      <c r="B784" s="13" t="n">
        <v>1</v>
      </c>
      <c r="C784" s="12" t="inlineStr">
        <is>
          <t>Senior/Lead</t>
        </is>
      </c>
      <c r="D784" s="8" t="inlineStr">
        <is>
          <t>Lead Atlassian Cloud Platform Engineer</t>
        </is>
      </c>
      <c r="E784" s="7" t="inlineStr">
        <is>
          <t>Graphcore</t>
        </is>
      </c>
      <c r="F784" s="8" t="inlineStr">
        <is>
          <t>Bristol, UK</t>
        </is>
      </c>
      <c r="G784" s="8" t="n"/>
      <c r="H784" s="14" t="n"/>
      <c r="I784" s="15">
        <f>IF($H784="","",$H784-TODAY())</f>
        <v/>
      </c>
      <c r="J784" s="16" t="inlineStr">
        <is>
          <t>Open posting</t>
        </is>
      </c>
      <c r="K784" s="8" t="inlineStr">
        <is>
          <t>filtered by keyword pre-scan</t>
        </is>
      </c>
      <c r="L784" s="17" t="inlineStr">
        <is>
          <t>new</t>
        </is>
      </c>
      <c r="M784" s="18" t="inlineStr"/>
      <c r="N784" s="7" t="inlineStr">
        <is>
          <t>6bbad0d62c26b0a913e89d99aaa07c02c769c192</t>
        </is>
      </c>
      <c r="O784" s="14" t="n">
        <v>46189</v>
      </c>
      <c r="P784" s="7" t="inlineStr">
        <is>
          <t>greenhouse:graphcore</t>
        </is>
      </c>
      <c r="Q784" s="8" t="inlineStr"/>
      <c r="R784" s="8" t="n"/>
      <c r="S784" s="19" t="n"/>
      <c r="T784" s="19" t="n"/>
      <c r="U784" s="14" t="n">
        <v>46189</v>
      </c>
      <c r="V784" s="7" t="inlineStr">
        <is>
          <t>v1-db41edab064373dd</t>
        </is>
      </c>
    </row>
    <row r="785" ht="28" customHeight="1">
      <c r="A785" s="12">
        <f>IF($L785="applied","Applied",IF($L785="interview","Interview",IF($L785="offer","Offer",IF($L785="rejected","Rejected",IF($L785="ignore","Ignore",IF($L785="archive","Archive",IF($L785="closed","Closed",IF($B785="","Unscored",IF(AND($B785&gt;=8,OR($H785="",$H785-TODAY()&lt;=14)),"P1 Apply",IF($B785&gt;=7,"P2 Strong",IF($B785&gt;=5,"P3 Maybe","P4 Low")))))))))))</f>
        <v/>
      </c>
      <c r="B785" s="13" t="n">
        <v>1</v>
      </c>
      <c r="C785" s="12" t="inlineStr">
        <is>
          <t>Senior/Lead</t>
        </is>
      </c>
      <c r="D785" s="8" t="inlineStr">
        <is>
          <t>Lead Business Analyst</t>
        </is>
      </c>
      <c r="E785" s="7" t="inlineStr">
        <is>
          <t>Graphcore</t>
        </is>
      </c>
      <c r="F785" s="8" t="inlineStr">
        <is>
          <t>Bristol, UK; Cambridge, UK; London, UK</t>
        </is>
      </c>
      <c r="G785" s="8" t="n"/>
      <c r="H785" s="14" t="n"/>
      <c r="I785" s="15">
        <f>IF($H785="","",$H785-TODAY())</f>
        <v/>
      </c>
      <c r="J785" s="16" t="inlineStr">
        <is>
          <t>Open posting</t>
        </is>
      </c>
      <c r="K785" s="8" t="inlineStr">
        <is>
          <t>filtered by keyword pre-scan</t>
        </is>
      </c>
      <c r="L785" s="17" t="inlineStr">
        <is>
          <t>new</t>
        </is>
      </c>
      <c r="M785" s="18" t="inlineStr"/>
      <c r="N785" s="7" t="inlineStr">
        <is>
          <t>c811a226f61ed408b369da9d114db6680b1d7599</t>
        </is>
      </c>
      <c r="O785" s="14" t="n">
        <v>46189</v>
      </c>
      <c r="P785" s="7" t="inlineStr">
        <is>
          <t>greenhouse:graphcore</t>
        </is>
      </c>
      <c r="Q785" s="8" t="inlineStr"/>
      <c r="R785" s="8" t="n"/>
      <c r="S785" s="19" t="n"/>
      <c r="T785" s="19" t="n"/>
      <c r="U785" s="14" t="n">
        <v>46189</v>
      </c>
      <c r="V785" s="7" t="inlineStr">
        <is>
          <t>v1-db41edab064373dd</t>
        </is>
      </c>
    </row>
    <row r="786" ht="28" customHeight="1">
      <c r="A786" s="12">
        <f>IF($L786="applied","Applied",IF($L786="interview","Interview",IF($L786="offer","Offer",IF($L786="rejected","Rejected",IF($L786="ignore","Ignore",IF($L786="archive","Archive",IF($L786="closed","Closed",IF($B786="","Unscored",IF(AND($B786&gt;=8,OR($H786="",$H786-TODAY()&lt;=14)),"P1 Apply",IF($B786&gt;=7,"P2 Strong",IF($B786&gt;=5,"P3 Maybe","P4 Low")))))))))))</f>
        <v/>
      </c>
      <c r="B786" s="13" t="n">
        <v>1</v>
      </c>
      <c r="C786" s="12" t="inlineStr">
        <is>
          <t>Senior/Lead</t>
        </is>
      </c>
      <c r="D786" s="8" t="inlineStr">
        <is>
          <t>Lead Engineering Support Linux Engineer - Bengaluru</t>
        </is>
      </c>
      <c r="E786" s="7" t="inlineStr">
        <is>
          <t>Graphcore</t>
        </is>
      </c>
      <c r="F786" s="8" t="inlineStr">
        <is>
          <t>Bengaluru, India</t>
        </is>
      </c>
      <c r="G786" s="8" t="n"/>
      <c r="H786" s="14" t="n"/>
      <c r="I786" s="15">
        <f>IF($H786="","",$H786-TODAY())</f>
        <v/>
      </c>
      <c r="J786" s="16" t="inlineStr">
        <is>
          <t>Open posting</t>
        </is>
      </c>
      <c r="K786" s="8" t="inlineStr">
        <is>
          <t>filtered by keyword pre-scan</t>
        </is>
      </c>
      <c r="L786" s="17" t="inlineStr">
        <is>
          <t>new</t>
        </is>
      </c>
      <c r="M786" s="18" t="inlineStr"/>
      <c r="N786" s="7" t="inlineStr">
        <is>
          <t>979b937db3fa13d5d51986840f7bc43b87929dea</t>
        </is>
      </c>
      <c r="O786" s="14" t="n">
        <v>46189</v>
      </c>
      <c r="P786" s="7" t="inlineStr">
        <is>
          <t>greenhouse:graphcore</t>
        </is>
      </c>
      <c r="Q786" s="8" t="inlineStr"/>
      <c r="R786" s="8" t="n"/>
      <c r="S786" s="19" t="n"/>
      <c r="T786" s="19" t="n"/>
      <c r="U786" s="14" t="n">
        <v>46189</v>
      </c>
      <c r="V786" s="7" t="inlineStr">
        <is>
          <t>v1-db41edab064373dd</t>
        </is>
      </c>
    </row>
    <row r="787" ht="28" customHeight="1">
      <c r="A787" s="12">
        <f>IF($L787="applied","Applied",IF($L787="interview","Interview",IF($L787="offer","Offer",IF($L787="rejected","Rejected",IF($L787="ignore","Ignore",IF($L787="archive","Archive",IF($L787="closed","Closed",IF($B787="","Unscored",IF(AND($B787&gt;=8,OR($H787="",$H787-TODAY()&lt;=14)),"P1 Apply",IF($B787&gt;=7,"P2 Strong",IF($B787&gt;=5,"P3 Maybe","P4 Low")))))))))))</f>
        <v/>
      </c>
      <c r="B787" s="13" t="n">
        <v>1</v>
      </c>
      <c r="C787" s="12" t="inlineStr">
        <is>
          <t>Senior/Lead</t>
        </is>
      </c>
      <c r="D787" s="8" t="inlineStr">
        <is>
          <t>Lead Engineer Support Linux Engineer</t>
        </is>
      </c>
      <c r="E787" s="7" t="inlineStr">
        <is>
          <t>Graphcore</t>
        </is>
      </c>
      <c r="F787" s="8" t="inlineStr">
        <is>
          <t>Bristol, UK</t>
        </is>
      </c>
      <c r="G787" s="8" t="n"/>
      <c r="H787" s="14" t="n"/>
      <c r="I787" s="15">
        <f>IF($H787="","",$H787-TODAY())</f>
        <v/>
      </c>
      <c r="J787" s="16" t="inlineStr">
        <is>
          <t>Open posting</t>
        </is>
      </c>
      <c r="K787" s="8" t="inlineStr">
        <is>
          <t>filtered by keyword pre-scan</t>
        </is>
      </c>
      <c r="L787" s="17" t="inlineStr">
        <is>
          <t>new</t>
        </is>
      </c>
      <c r="M787" s="18" t="inlineStr"/>
      <c r="N787" s="7" t="inlineStr">
        <is>
          <t>3ab598fec61d05df24c5c5ff70e68ee19c91ea4a</t>
        </is>
      </c>
      <c r="O787" s="14" t="n">
        <v>46189</v>
      </c>
      <c r="P787" s="7" t="inlineStr">
        <is>
          <t>greenhouse:graphcore</t>
        </is>
      </c>
      <c r="Q787" s="8" t="inlineStr"/>
      <c r="R787" s="8" t="n"/>
      <c r="S787" s="19" t="n"/>
      <c r="T787" s="19" t="n"/>
      <c r="U787" s="14" t="n">
        <v>46189</v>
      </c>
      <c r="V787" s="7" t="inlineStr">
        <is>
          <t>v1-db41edab064373dd</t>
        </is>
      </c>
    </row>
    <row r="788" ht="28" customHeight="1">
      <c r="A788" s="12">
        <f>IF($L788="applied","Applied",IF($L788="interview","Interview",IF($L788="offer","Offer",IF($L788="rejected","Rejected",IF($L788="ignore","Ignore",IF($L788="archive","Archive",IF($L788="closed","Closed",IF($B788="","Unscored",IF(AND($B788&gt;=8,OR($H788="",$H788-TODAY()&lt;=14)),"P1 Apply",IF($B788&gt;=7,"P2 Strong",IF($B788&gt;=5,"P3 Maybe","P4 Low")))))))))))</f>
        <v/>
      </c>
      <c r="B788" s="13" t="n">
        <v>1</v>
      </c>
      <c r="C788" s="12" t="inlineStr">
        <is>
          <t>Senior/Lead</t>
        </is>
      </c>
      <c r="D788" s="8" t="inlineStr">
        <is>
          <t>Lead Lab Support Engineer</t>
        </is>
      </c>
      <c r="E788" s="7" t="inlineStr">
        <is>
          <t>Graphcore</t>
        </is>
      </c>
      <c r="F788" s="8" t="inlineStr">
        <is>
          <t>Bristol, UK</t>
        </is>
      </c>
      <c r="G788" s="8" t="n"/>
      <c r="H788" s="14" t="n"/>
      <c r="I788" s="15">
        <f>IF($H788="","",$H788-TODAY())</f>
        <v/>
      </c>
      <c r="J788" s="16" t="inlineStr">
        <is>
          <t>Open posting</t>
        </is>
      </c>
      <c r="K788" s="8" t="inlineStr">
        <is>
          <t>filtered by keyword pre-scan</t>
        </is>
      </c>
      <c r="L788" s="17" t="inlineStr">
        <is>
          <t>new</t>
        </is>
      </c>
      <c r="M788" s="18" t="inlineStr"/>
      <c r="N788" s="7" t="inlineStr">
        <is>
          <t>20fa31488611dad7fcbacd13621926277a66f292</t>
        </is>
      </c>
      <c r="O788" s="14" t="n">
        <v>46189</v>
      </c>
      <c r="P788" s="7" t="inlineStr">
        <is>
          <t>greenhouse:graphcore</t>
        </is>
      </c>
      <c r="Q788" s="8" t="inlineStr"/>
      <c r="R788" s="8" t="n"/>
      <c r="S788" s="19" t="n"/>
      <c r="T788" s="19" t="n"/>
      <c r="U788" s="14" t="n">
        <v>46189</v>
      </c>
      <c r="V788" s="7" t="inlineStr">
        <is>
          <t>v1-db41edab064373dd</t>
        </is>
      </c>
    </row>
    <row r="789" ht="28" customHeight="1">
      <c r="A789" s="12">
        <f>IF($L789="applied","Applied",IF($L789="interview","Interview",IF($L789="offer","Offer",IF($L789="rejected","Rejected",IF($L789="ignore","Ignore",IF($L789="archive","Archive",IF($L789="closed","Closed",IF($B789="","Unscored",IF(AND($B789&gt;=8,OR($H789="",$H789-TODAY()&lt;=14)),"P1 Apply",IF($B789&gt;=7,"P2 Strong",IF($B789&gt;=5,"P3 Maybe","P4 Low")))))))))))</f>
        <v/>
      </c>
      <c r="B789" s="13" t="n">
        <v>1</v>
      </c>
      <c r="C789" s="12" t="inlineStr">
        <is>
          <t>Senior/Lead</t>
        </is>
      </c>
      <c r="D789" s="8" t="inlineStr">
        <is>
          <t>Observability, Staff  Infrastructure Engineer</t>
        </is>
      </c>
      <c r="E789" s="7" t="inlineStr">
        <is>
          <t>Graphcore</t>
        </is>
      </c>
      <c r="F789" s="8" t="inlineStr">
        <is>
          <t>Gdańsk, Pomeranian Voivodeship, Poland</t>
        </is>
      </c>
      <c r="G789" s="8" t="n"/>
      <c r="H789" s="14" t="n"/>
      <c r="I789" s="15">
        <f>IF($H789="","",$H789-TODAY())</f>
        <v/>
      </c>
      <c r="J789" s="16" t="inlineStr">
        <is>
          <t>Open posting</t>
        </is>
      </c>
      <c r="K789" s="8" t="inlineStr">
        <is>
          <t>filtered by keyword pre-scan</t>
        </is>
      </c>
      <c r="L789" s="17" t="inlineStr">
        <is>
          <t>new</t>
        </is>
      </c>
      <c r="M789" s="18" t="inlineStr"/>
      <c r="N789" s="7" t="inlineStr">
        <is>
          <t>d6d863c131327aaeb762941caf5d0c24994a70c0</t>
        </is>
      </c>
      <c r="O789" s="14" t="n">
        <v>46189</v>
      </c>
      <c r="P789" s="7" t="inlineStr">
        <is>
          <t>greenhouse:graphcore</t>
        </is>
      </c>
      <c r="Q789" s="8" t="inlineStr"/>
      <c r="R789" s="8" t="n"/>
      <c r="S789" s="19" t="n"/>
      <c r="T789" s="19" t="n"/>
      <c r="U789" s="14" t="n">
        <v>46189</v>
      </c>
      <c r="V789" s="7" t="inlineStr">
        <is>
          <t>v1-db41edab064373dd</t>
        </is>
      </c>
    </row>
    <row r="790" ht="28" customHeight="1">
      <c r="A790" s="12">
        <f>IF($L790="applied","Applied",IF($L790="interview","Interview",IF($L790="offer","Offer",IF($L790="rejected","Rejected",IF($L790="ignore","Ignore",IF($L790="archive","Archive",IF($L790="closed","Closed",IF($B790="","Unscored",IF(AND($B790&gt;=8,OR($H790="",$H790-TODAY()&lt;=14)),"P1 Apply",IF($B790&gt;=7,"P2 Strong",IF($B790&gt;=5,"P3 Maybe","P4 Low")))))))))))</f>
        <v/>
      </c>
      <c r="B790" s="13" t="n">
        <v>1</v>
      </c>
      <c r="C790" s="12" t="inlineStr">
        <is>
          <t>Senior/Lead</t>
        </is>
      </c>
      <c r="D790" s="8" t="inlineStr">
        <is>
          <t>Observability, Staff Telemetry Engineer</t>
        </is>
      </c>
      <c r="E790" s="7" t="inlineStr">
        <is>
          <t>Graphcore</t>
        </is>
      </c>
      <c r="F790" s="8" t="inlineStr">
        <is>
          <t>Gdańsk, Pomeranian Voivodeship, Poland</t>
        </is>
      </c>
      <c r="G790" s="8" t="n"/>
      <c r="H790" s="14" t="n"/>
      <c r="I790" s="15">
        <f>IF($H790="","",$H790-TODAY())</f>
        <v/>
      </c>
      <c r="J790" s="16" t="inlineStr">
        <is>
          <t>Open posting</t>
        </is>
      </c>
      <c r="K790" s="8" t="inlineStr">
        <is>
          <t>filtered by keyword pre-scan</t>
        </is>
      </c>
      <c r="L790" s="17" t="inlineStr">
        <is>
          <t>new</t>
        </is>
      </c>
      <c r="M790" s="18" t="inlineStr"/>
      <c r="N790" s="7" t="inlineStr">
        <is>
          <t>dce394e2e94a732d92c3e8f1ad7411409ec0fd27</t>
        </is>
      </c>
      <c r="O790" s="14" t="n">
        <v>46189</v>
      </c>
      <c r="P790" s="7" t="inlineStr">
        <is>
          <t>greenhouse:graphcore</t>
        </is>
      </c>
      <c r="Q790" s="8" t="inlineStr"/>
      <c r="R790" s="8" t="n"/>
      <c r="S790" s="19" t="n"/>
      <c r="T790" s="19" t="n"/>
      <c r="U790" s="14" t="n">
        <v>46189</v>
      </c>
      <c r="V790" s="7" t="inlineStr">
        <is>
          <t>v1-db41edab064373dd</t>
        </is>
      </c>
    </row>
    <row r="791" ht="28" customHeight="1">
      <c r="A791" s="12">
        <f>IF($L791="applied","Applied",IF($L791="interview","Interview",IF($L791="offer","Offer",IF($L791="rejected","Rejected",IF($L791="ignore","Ignore",IF($L791="archive","Archive",IF($L791="closed","Closed",IF($B791="","Unscored",IF(AND($B791&gt;=8,OR($H791="",$H791-TODAY()&lt;=14)),"P1 Apply",IF($B791&gt;=7,"P2 Strong",IF($B791&gt;=5,"P3 Maybe","P4 Low")))))))))))</f>
        <v/>
      </c>
      <c r="B791" s="13" t="n">
        <v>1</v>
      </c>
      <c r="C791" s="12" t="inlineStr">
        <is>
          <t>Senior/Lead</t>
        </is>
      </c>
      <c r="D791" s="8" t="inlineStr">
        <is>
          <t>Principal BMC Firmware Design Engineer</t>
        </is>
      </c>
      <c r="E791" s="7" t="inlineStr">
        <is>
          <t>Graphcore</t>
        </is>
      </c>
      <c r="F791" s="8" t="inlineStr">
        <is>
          <t>Austin, Texas, United States</t>
        </is>
      </c>
      <c r="G791" s="8" t="n"/>
      <c r="H791" s="14" t="n"/>
      <c r="I791" s="15">
        <f>IF($H791="","",$H791-TODAY())</f>
        <v/>
      </c>
      <c r="J791" s="16" t="inlineStr">
        <is>
          <t>Open posting</t>
        </is>
      </c>
      <c r="K791" s="8" t="inlineStr">
        <is>
          <t>filtered by keyword pre-scan</t>
        </is>
      </c>
      <c r="L791" s="17" t="inlineStr">
        <is>
          <t>new</t>
        </is>
      </c>
      <c r="M791" s="18" t="inlineStr"/>
      <c r="N791" s="7" t="inlineStr">
        <is>
          <t>0b92e5903845ea35ac30143fdd7665a3b4ce2f54</t>
        </is>
      </c>
      <c r="O791" s="14" t="n">
        <v>46189</v>
      </c>
      <c r="P791" s="7" t="inlineStr">
        <is>
          <t>greenhouse:graphcore</t>
        </is>
      </c>
      <c r="Q791" s="8" t="inlineStr"/>
      <c r="R791" s="8" t="n"/>
      <c r="S791" s="19" t="n"/>
      <c r="T791" s="19" t="n"/>
      <c r="U791" s="14" t="n">
        <v>46189</v>
      </c>
      <c r="V791" s="7" t="inlineStr">
        <is>
          <t>v1-db41edab064373dd</t>
        </is>
      </c>
    </row>
    <row r="792" ht="28" customHeight="1">
      <c r="A792" s="12">
        <f>IF($L792="applied","Applied",IF($L792="interview","Interview",IF($L792="offer","Offer",IF($L792="rejected","Rejected",IF($L792="ignore","Ignore",IF($L792="archive","Archive",IF($L792="closed","Closed",IF($B792="","Unscored",IF(AND($B792&gt;=8,OR($H792="",$H792-TODAY()&lt;=14)),"P1 Apply",IF($B792&gt;=7,"P2 Strong",IF($B792&gt;=5,"P3 Maybe","P4 Low")))))))))))</f>
        <v/>
      </c>
      <c r="B792" s="13" t="n">
        <v>1</v>
      </c>
      <c r="C792" s="12" t="inlineStr">
        <is>
          <t>Senior/Lead</t>
        </is>
      </c>
      <c r="D792" s="8" t="inlineStr">
        <is>
          <t>Principal BMC Firmware Developer</t>
        </is>
      </c>
      <c r="E792" s="7" t="inlineStr">
        <is>
          <t>Graphcore</t>
        </is>
      </c>
      <c r="F792" s="8" t="inlineStr">
        <is>
          <t>Austin, Texas, United States</t>
        </is>
      </c>
      <c r="G792" s="8" t="n"/>
      <c r="H792" s="14" t="n"/>
      <c r="I792" s="15">
        <f>IF($H792="","",$H792-TODAY())</f>
        <v/>
      </c>
      <c r="J792" s="16" t="inlineStr">
        <is>
          <t>Open posting</t>
        </is>
      </c>
      <c r="K792" s="8" t="inlineStr">
        <is>
          <t>filtered by keyword pre-scan</t>
        </is>
      </c>
      <c r="L792" s="17" t="inlineStr">
        <is>
          <t>new</t>
        </is>
      </c>
      <c r="M792" s="18" t="inlineStr"/>
      <c r="N792" s="7" t="inlineStr">
        <is>
          <t>1841fb7e36d727dc9e31bbd826faba917b049ec1</t>
        </is>
      </c>
      <c r="O792" s="14" t="n">
        <v>46189</v>
      </c>
      <c r="P792" s="7" t="inlineStr">
        <is>
          <t>greenhouse:graphcore</t>
        </is>
      </c>
      <c r="Q792" s="8" t="inlineStr"/>
      <c r="R792" s="8" t="n"/>
      <c r="S792" s="19" t="n"/>
      <c r="T792" s="19" t="n"/>
      <c r="U792" s="14" t="n">
        <v>46189</v>
      </c>
      <c r="V792" s="7" t="inlineStr">
        <is>
          <t>v1-db41edab064373dd</t>
        </is>
      </c>
    </row>
    <row r="793" ht="28" customHeight="1">
      <c r="A793" s="12">
        <f>IF($L793="applied","Applied",IF($L793="interview","Interview",IF($L793="offer","Offer",IF($L793="rejected","Rejected",IF($L793="ignore","Ignore",IF($L793="archive","Archive",IF($L793="closed","Closed",IF($B793="","Unscored",IF(AND($B793&gt;=8,OR($H793="",$H793-TODAY()&lt;=14)),"P1 Apply",IF($B793&gt;=7,"P2 Strong",IF($B793&gt;=5,"P3 Maybe","P4 Low")))))))))))</f>
        <v/>
      </c>
      <c r="B793" s="13" t="n">
        <v>1</v>
      </c>
      <c r="C793" s="12" t="inlineStr">
        <is>
          <t>Senior/Lead</t>
        </is>
      </c>
      <c r="D793" s="8" t="inlineStr">
        <is>
          <t>Principal Data Engineer</t>
        </is>
      </c>
      <c r="E793" s="7" t="inlineStr">
        <is>
          <t>Graphcore</t>
        </is>
      </c>
      <c r="F793" s="8" t="inlineStr">
        <is>
          <t>Bristol, UK; Cambridge, UK; London, UK</t>
        </is>
      </c>
      <c r="G793" s="8" t="n"/>
      <c r="H793" s="14" t="n"/>
      <c r="I793" s="15">
        <f>IF($H793="","",$H793-TODAY())</f>
        <v/>
      </c>
      <c r="J793" s="16" t="inlineStr">
        <is>
          <t>Open posting</t>
        </is>
      </c>
      <c r="K793" s="8" t="inlineStr">
        <is>
          <t>filtered by keyword pre-scan</t>
        </is>
      </c>
      <c r="L793" s="17" t="inlineStr">
        <is>
          <t>new</t>
        </is>
      </c>
      <c r="M793" s="18" t="inlineStr"/>
      <c r="N793" s="7" t="inlineStr">
        <is>
          <t>a4d358c540a2dba19c3ec36937bec4d0185cc4b0</t>
        </is>
      </c>
      <c r="O793" s="14" t="n">
        <v>46189</v>
      </c>
      <c r="P793" s="7" t="inlineStr">
        <is>
          <t>greenhouse:graphcore</t>
        </is>
      </c>
      <c r="Q793" s="8" t="inlineStr"/>
      <c r="R793" s="8" t="n"/>
      <c r="S793" s="19" t="n"/>
      <c r="T793" s="19" t="n"/>
      <c r="U793" s="14" t="n">
        <v>46189</v>
      </c>
      <c r="V793" s="7" t="inlineStr">
        <is>
          <t>v1-db41edab064373dd</t>
        </is>
      </c>
    </row>
    <row r="794" ht="28" customHeight="1">
      <c r="A794" s="12">
        <f>IF($L794="applied","Applied",IF($L794="interview","Interview",IF($L794="offer","Offer",IF($L794="rejected","Rejected",IF($L794="ignore","Ignore",IF($L794="archive","Archive",IF($L794="closed","Closed",IF($B794="","Unscored",IF(AND($B794&gt;=8,OR($H794="",$H794-TODAY()&lt;=14)),"P1 Apply",IF($B794&gt;=7,"P2 Strong",IF($B794&gt;=5,"P3 Maybe","P4 Low")))))))))))</f>
        <v/>
      </c>
      <c r="B794" s="13" t="n">
        <v>1</v>
      </c>
      <c r="C794" s="12" t="inlineStr">
        <is>
          <t>Senior/Lead</t>
        </is>
      </c>
      <c r="D794" s="8" t="inlineStr">
        <is>
          <t>Principal Debug Validation Engineer</t>
        </is>
      </c>
      <c r="E794" s="7" t="inlineStr">
        <is>
          <t>Graphcore</t>
        </is>
      </c>
      <c r="F794" s="8" t="inlineStr">
        <is>
          <t>Bengaluru, India</t>
        </is>
      </c>
      <c r="G794" s="8" t="n"/>
      <c r="H794" s="14" t="n"/>
      <c r="I794" s="15">
        <f>IF($H794="","",$H794-TODAY())</f>
        <v/>
      </c>
      <c r="J794" s="16" t="inlineStr">
        <is>
          <t>Open posting</t>
        </is>
      </c>
      <c r="K794" s="8" t="inlineStr">
        <is>
          <t>filtered by keyword pre-scan</t>
        </is>
      </c>
      <c r="L794" s="17" t="inlineStr">
        <is>
          <t>new</t>
        </is>
      </c>
      <c r="M794" s="18" t="inlineStr"/>
      <c r="N794" s="7" t="inlineStr">
        <is>
          <t>0f44b82f099b3c6fd84f99af428891de6e31f8d8</t>
        </is>
      </c>
      <c r="O794" s="14" t="n">
        <v>46189</v>
      </c>
      <c r="P794" s="7" t="inlineStr">
        <is>
          <t>greenhouse:graphcore</t>
        </is>
      </c>
      <c r="Q794" s="8" t="inlineStr"/>
      <c r="R794" s="8" t="n"/>
      <c r="S794" s="19" t="n"/>
      <c r="T794" s="19" t="n"/>
      <c r="U794" s="14" t="n">
        <v>46189</v>
      </c>
      <c r="V794" s="7" t="inlineStr">
        <is>
          <t>v1-db41edab064373dd</t>
        </is>
      </c>
    </row>
    <row r="795" ht="28" customHeight="1">
      <c r="A795" s="12">
        <f>IF($L795="applied","Applied",IF($L795="interview","Interview",IF($L795="offer","Offer",IF($L795="rejected","Rejected",IF($L795="ignore","Ignore",IF($L795="archive","Archive",IF($L795="closed","Closed",IF($B795="","Unscored",IF(AND($B795&gt;=8,OR($H795="",$H795-TODAY()&lt;=14)),"P1 Apply",IF($B795&gt;=7,"P2 Strong",IF($B795&gt;=5,"P3 Maybe","P4 Low")))))))))))</f>
        <v/>
      </c>
      <c r="B795" s="13" t="n">
        <v>1</v>
      </c>
      <c r="C795" s="12" t="inlineStr">
        <is>
          <t>Senior/Lead</t>
        </is>
      </c>
      <c r="D795" s="8" t="inlineStr">
        <is>
          <t>Principal Embedded SW/FW Engineer (Bringup) - Bengaluru, multiple vacancies</t>
        </is>
      </c>
      <c r="E795" s="7" t="inlineStr">
        <is>
          <t>Graphcore</t>
        </is>
      </c>
      <c r="F795" s="8" t="inlineStr">
        <is>
          <t>Bengaluru, India</t>
        </is>
      </c>
      <c r="G795" s="8" t="n"/>
      <c r="H795" s="14" t="n"/>
      <c r="I795" s="15">
        <f>IF($H795="","",$H795-TODAY())</f>
        <v/>
      </c>
      <c r="J795" s="16" t="inlineStr">
        <is>
          <t>Open posting</t>
        </is>
      </c>
      <c r="K795" s="8" t="inlineStr">
        <is>
          <t>filtered by keyword pre-scan</t>
        </is>
      </c>
      <c r="L795" s="17" t="inlineStr">
        <is>
          <t>new</t>
        </is>
      </c>
      <c r="M795" s="18" t="inlineStr"/>
      <c r="N795" s="7" t="inlineStr">
        <is>
          <t>635309ec2d8f96c5981ba7887174257015ba7abe</t>
        </is>
      </c>
      <c r="O795" s="14" t="n">
        <v>46189</v>
      </c>
      <c r="P795" s="7" t="inlineStr">
        <is>
          <t>greenhouse:graphcore</t>
        </is>
      </c>
      <c r="Q795" s="8" t="inlineStr"/>
      <c r="R795" s="8" t="n"/>
      <c r="S795" s="19" t="n"/>
      <c r="T795" s="19" t="n"/>
      <c r="U795" s="14" t="n">
        <v>46189</v>
      </c>
      <c r="V795" s="7" t="inlineStr">
        <is>
          <t>v1-db41edab064373dd</t>
        </is>
      </c>
    </row>
    <row r="796" ht="28" customHeight="1">
      <c r="A796" s="12">
        <f>IF($L796="applied","Applied",IF($L796="interview","Interview",IF($L796="offer","Offer",IF($L796="rejected","Rejected",IF($L796="ignore","Ignore",IF($L796="archive","Archive",IF($L796="closed","Closed",IF($B796="","Unscored",IF(AND($B796&gt;=8,OR($H796="",$H796-TODAY()&lt;=14)),"P1 Apply",IF($B796&gt;=7,"P2 Strong",IF($B796&gt;=5,"P3 Maybe","P4 Low")))))))))))</f>
        <v/>
      </c>
      <c r="B796" s="13" t="n">
        <v>1</v>
      </c>
      <c r="C796" s="12" t="inlineStr">
        <is>
          <t>Senior/Lead</t>
        </is>
      </c>
      <c r="D796" s="8" t="inlineStr">
        <is>
          <t>Principal Engineer, Power Electronics</t>
        </is>
      </c>
      <c r="E796" s="7" t="inlineStr">
        <is>
          <t>Graphcore</t>
        </is>
      </c>
      <c r="F796" s="8" t="inlineStr">
        <is>
          <t>US - Milpitas</t>
        </is>
      </c>
      <c r="G796" s="8" t="n"/>
      <c r="H796" s="14" t="n"/>
      <c r="I796" s="15">
        <f>IF($H796="","",$H796-TODAY())</f>
        <v/>
      </c>
      <c r="J796" s="16" t="inlineStr">
        <is>
          <t>Open posting</t>
        </is>
      </c>
      <c r="K796" s="8" t="inlineStr">
        <is>
          <t>filtered by keyword pre-scan</t>
        </is>
      </c>
      <c r="L796" s="17" t="inlineStr">
        <is>
          <t>new</t>
        </is>
      </c>
      <c r="M796" s="18" t="inlineStr"/>
      <c r="N796" s="7" t="inlineStr">
        <is>
          <t>8985f9c10b61345715ff178f8b2ff289ce57ea96</t>
        </is>
      </c>
      <c r="O796" s="14" t="n">
        <v>46189</v>
      </c>
      <c r="P796" s="7" t="inlineStr">
        <is>
          <t>greenhouse:graphcore</t>
        </is>
      </c>
      <c r="Q796" s="8" t="inlineStr"/>
      <c r="R796" s="8" t="n"/>
      <c r="S796" s="19" t="n"/>
      <c r="T796" s="19" t="n"/>
      <c r="U796" s="14" t="n">
        <v>46189</v>
      </c>
      <c r="V796" s="7" t="inlineStr">
        <is>
          <t>v1-db41edab064373dd</t>
        </is>
      </c>
    </row>
    <row r="797" ht="28" customHeight="1">
      <c r="A797" s="12">
        <f>IF($L797="applied","Applied",IF($L797="interview","Interview",IF($L797="offer","Offer",IF($L797="rejected","Rejected",IF($L797="ignore","Ignore",IF($L797="archive","Archive",IF($L797="closed","Closed",IF($B797="","Unscored",IF(AND($B797&gt;=8,OR($H797="",$H797-TODAY()&lt;=14)),"P1 Apply",IF($B797&gt;=7,"P2 Strong",IF($B797&gt;=5,"P3 Maybe","P4 Low")))))))))))</f>
        <v/>
      </c>
      <c r="B797" s="13" t="n">
        <v>1</v>
      </c>
      <c r="C797" s="12" t="inlineStr">
        <is>
          <t>Senior/Lead</t>
        </is>
      </c>
      <c r="D797" s="8" t="inlineStr">
        <is>
          <t>Principal Execution &amp; QA Validation Engineer</t>
        </is>
      </c>
      <c r="E797" s="7" t="inlineStr">
        <is>
          <t>Graphcore</t>
        </is>
      </c>
      <c r="F797" s="8" t="inlineStr">
        <is>
          <t>Bengaluru, India</t>
        </is>
      </c>
      <c r="G797" s="8" t="n"/>
      <c r="H797" s="14" t="n"/>
      <c r="I797" s="15">
        <f>IF($H797="","",$H797-TODAY())</f>
        <v/>
      </c>
      <c r="J797" s="16" t="inlineStr">
        <is>
          <t>Open posting</t>
        </is>
      </c>
      <c r="K797" s="8" t="inlineStr">
        <is>
          <t>filtered by keyword pre-scan</t>
        </is>
      </c>
      <c r="L797" s="17" t="inlineStr">
        <is>
          <t>new</t>
        </is>
      </c>
      <c r="M797" s="18" t="inlineStr"/>
      <c r="N797" s="7" t="inlineStr">
        <is>
          <t>d56f7c6fafe922f0a7fcab564381cd31d687cde6</t>
        </is>
      </c>
      <c r="O797" s="14" t="n">
        <v>46189</v>
      </c>
      <c r="P797" s="7" t="inlineStr">
        <is>
          <t>greenhouse:graphcore</t>
        </is>
      </c>
      <c r="Q797" s="8" t="inlineStr"/>
      <c r="R797" s="8" t="n"/>
      <c r="S797" s="19" t="n"/>
      <c r="T797" s="19" t="n"/>
      <c r="U797" s="14" t="n">
        <v>46189</v>
      </c>
      <c r="V797" s="7" t="inlineStr">
        <is>
          <t>v1-db41edab064373dd</t>
        </is>
      </c>
    </row>
    <row r="798" ht="28" customHeight="1">
      <c r="A798" s="12">
        <f>IF($L798="applied","Applied",IF($L798="interview","Interview",IF($L798="offer","Offer",IF($L798="rejected","Rejected",IF($L798="ignore","Ignore",IF($L798="archive","Archive",IF($L798="closed","Closed",IF($B798="","Unscored",IF(AND($B798&gt;=8,OR($H798="",$H798-TODAY()&lt;=14)),"P1 Apply",IF($B798&gt;=7,"P2 Strong",IF($B798&gt;=5,"P3 Maybe","P4 Low")))))))))))</f>
        <v/>
      </c>
      <c r="B798" s="13" t="n">
        <v>1</v>
      </c>
      <c r="C798" s="12" t="inlineStr">
        <is>
          <t>Senior/Lead</t>
        </is>
      </c>
      <c r="D798" s="8" t="inlineStr">
        <is>
          <t>Principal Firmware Design Engineer</t>
        </is>
      </c>
      <c r="E798" s="7" t="inlineStr">
        <is>
          <t>Graphcore</t>
        </is>
      </c>
      <c r="F798" s="8" t="inlineStr">
        <is>
          <t>Austin, Texas, United States</t>
        </is>
      </c>
      <c r="G798" s="8" t="n"/>
      <c r="H798" s="14" t="n"/>
      <c r="I798" s="15">
        <f>IF($H798="","",$H798-TODAY())</f>
        <v/>
      </c>
      <c r="J798" s="16" t="inlineStr">
        <is>
          <t>Open posting</t>
        </is>
      </c>
      <c r="K798" s="8" t="inlineStr">
        <is>
          <t>filtered by keyword pre-scan</t>
        </is>
      </c>
      <c r="L798" s="17" t="inlineStr">
        <is>
          <t>new</t>
        </is>
      </c>
      <c r="M798" s="18" t="inlineStr"/>
      <c r="N798" s="7" t="inlineStr">
        <is>
          <t>b1189d0005ad17a86a1a1271279eee0f86580a1a</t>
        </is>
      </c>
      <c r="O798" s="14" t="n">
        <v>46189</v>
      </c>
      <c r="P798" s="7" t="inlineStr">
        <is>
          <t>greenhouse:graphcore</t>
        </is>
      </c>
      <c r="Q798" s="8" t="inlineStr"/>
      <c r="R798" s="8" t="n"/>
      <c r="S798" s="19" t="n"/>
      <c r="T798" s="19" t="n"/>
      <c r="U798" s="14" t="n">
        <v>46189</v>
      </c>
      <c r="V798" s="7" t="inlineStr">
        <is>
          <t>v1-db41edab064373dd</t>
        </is>
      </c>
    </row>
    <row r="799" ht="28" customHeight="1">
      <c r="A799" s="12">
        <f>IF($L799="applied","Applied",IF($L799="interview","Interview",IF($L799="offer","Offer",IF($L799="rejected","Rejected",IF($L799="ignore","Ignore",IF($L799="archive","Archive",IF($L799="closed","Closed",IF($B799="","Unscored",IF(AND($B799&gt;=8,OR($H799="",$H799-TODAY()&lt;=14)),"P1 Apply",IF($B799&gt;=7,"P2 Strong",IF($B799&gt;=5,"P3 Maybe","P4 Low")))))))))))</f>
        <v/>
      </c>
      <c r="B799" s="13" t="n">
        <v>1</v>
      </c>
      <c r="C799" s="12" t="inlineStr">
        <is>
          <t>Senior/Lead</t>
        </is>
      </c>
      <c r="D799" s="8" t="inlineStr">
        <is>
          <t>Principal Hardware Diagnostics Engineer</t>
        </is>
      </c>
      <c r="E799" s="7" t="inlineStr">
        <is>
          <t>Graphcore</t>
        </is>
      </c>
      <c r="F799" s="8" t="inlineStr">
        <is>
          <t>Austin, Texas, United States; US - Milpitas</t>
        </is>
      </c>
      <c r="G799" s="8" t="n"/>
      <c r="H799" s="14" t="n"/>
      <c r="I799" s="15">
        <f>IF($H799="","",$H799-TODAY())</f>
        <v/>
      </c>
      <c r="J799" s="16" t="inlineStr">
        <is>
          <t>Open posting</t>
        </is>
      </c>
      <c r="K799" s="8" t="inlineStr">
        <is>
          <t>filtered by keyword pre-scan</t>
        </is>
      </c>
      <c r="L799" s="17" t="inlineStr">
        <is>
          <t>new</t>
        </is>
      </c>
      <c r="M799" s="18" t="inlineStr"/>
      <c r="N799" s="7" t="inlineStr">
        <is>
          <t>23603bef6b9fdbb7af07a804032c99c50c549dfe</t>
        </is>
      </c>
      <c r="O799" s="14" t="n">
        <v>46189</v>
      </c>
      <c r="P799" s="7" t="inlineStr">
        <is>
          <t>greenhouse:graphcore</t>
        </is>
      </c>
      <c r="Q799" s="8" t="inlineStr"/>
      <c r="R799" s="8" t="n"/>
      <c r="S799" s="19" t="n"/>
      <c r="T799" s="19" t="n"/>
      <c r="U799" s="14" t="n">
        <v>46189</v>
      </c>
      <c r="V799" s="7" t="inlineStr">
        <is>
          <t>v1-db41edab064373dd</t>
        </is>
      </c>
    </row>
    <row r="800" ht="28" customHeight="1">
      <c r="A800" s="12">
        <f>IF($L800="applied","Applied",IF($L800="interview","Interview",IF($L800="offer","Offer",IF($L800="rejected","Rejected",IF($L800="ignore","Ignore",IF($L800="archive","Archive",IF($L800="closed","Closed",IF($B800="","Unscored",IF(AND($B800&gt;=8,OR($H800="",$H800-TODAY()&lt;=14)),"P1 Apply",IF($B800&gt;=7,"P2 Strong",IF($B800&gt;=5,"P3 Maybe","P4 Low")))))))))))</f>
        <v/>
      </c>
      <c r="B800" s="13" t="n">
        <v>1</v>
      </c>
      <c r="C800" s="12" t="inlineStr">
        <is>
          <t>Senior/Lead</t>
        </is>
      </c>
      <c r="D800" s="8" t="inlineStr">
        <is>
          <t>Principal Hardware Diagnostics Engineer</t>
        </is>
      </c>
      <c r="E800" s="7" t="inlineStr">
        <is>
          <t>Graphcore</t>
        </is>
      </c>
      <c r="F800" s="8" t="inlineStr">
        <is>
          <t>Austin, Texas, United States; US - Milpitas</t>
        </is>
      </c>
      <c r="G800" s="8" t="n"/>
      <c r="H800" s="14" t="n"/>
      <c r="I800" s="15">
        <f>IF($H800="","",$H800-TODAY())</f>
        <v/>
      </c>
      <c r="J800" s="16" t="inlineStr">
        <is>
          <t>Open posting</t>
        </is>
      </c>
      <c r="K800" s="8" t="inlineStr">
        <is>
          <t>filtered by keyword pre-scan</t>
        </is>
      </c>
      <c r="L800" s="17" t="inlineStr">
        <is>
          <t>new</t>
        </is>
      </c>
      <c r="M800" s="18" t="inlineStr"/>
      <c r="N800" s="7" t="inlineStr">
        <is>
          <t>e6bb72b40c05ce731e74f1f7ba0211031c9db4f2</t>
        </is>
      </c>
      <c r="O800" s="14" t="n">
        <v>46189</v>
      </c>
      <c r="P800" s="7" t="inlineStr">
        <is>
          <t>greenhouse:graphcore</t>
        </is>
      </c>
      <c r="Q800" s="8" t="inlineStr"/>
      <c r="R800" s="8" t="n"/>
      <c r="S800" s="19" t="n"/>
      <c r="T800" s="19" t="n"/>
      <c r="U800" s="14" t="n">
        <v>46189</v>
      </c>
      <c r="V800" s="7" t="inlineStr">
        <is>
          <t>v1-db41edab064373dd</t>
        </is>
      </c>
    </row>
    <row r="801" ht="28" customHeight="1">
      <c r="A801" s="12">
        <f>IF($L801="applied","Applied",IF($L801="interview","Interview",IF($L801="offer","Offer",IF($L801="rejected","Rejected",IF($L801="ignore","Ignore",IF($L801="archive","Archive",IF($L801="closed","Closed",IF($B801="","Unscored",IF(AND($B801&gt;=8,OR($H801="",$H801-TODAY()&lt;=14)),"P1 Apply",IF($B801&gt;=7,"P2 Strong",IF($B801&gt;=5,"P3 Maybe","P4 Low")))))))))))</f>
        <v/>
      </c>
      <c r="B801" s="13" t="n">
        <v>1</v>
      </c>
      <c r="C801" s="12" t="inlineStr">
        <is>
          <t>Senior/Lead</t>
        </is>
      </c>
      <c r="D801" s="8" t="inlineStr">
        <is>
          <t>Principal Network Engineer</t>
        </is>
      </c>
      <c r="E801" s="7" t="inlineStr">
        <is>
          <t>Graphcore</t>
        </is>
      </c>
      <c r="F801" s="8" t="inlineStr">
        <is>
          <t>US - Milpitas</t>
        </is>
      </c>
      <c r="G801" s="8" t="n"/>
      <c r="H801" s="14" t="n"/>
      <c r="I801" s="15">
        <f>IF($H801="","",$H801-TODAY())</f>
        <v/>
      </c>
      <c r="J801" s="16" t="inlineStr">
        <is>
          <t>Open posting</t>
        </is>
      </c>
      <c r="K801" s="8" t="inlineStr">
        <is>
          <t>filtered by keyword pre-scan</t>
        </is>
      </c>
      <c r="L801" s="17" t="inlineStr">
        <is>
          <t>new</t>
        </is>
      </c>
      <c r="M801" s="18" t="inlineStr"/>
      <c r="N801" s="7" t="inlineStr">
        <is>
          <t>f2b2e6d096747c4d91fc50af0a35727b1bc675f8</t>
        </is>
      </c>
      <c r="O801" s="14" t="n">
        <v>46189</v>
      </c>
      <c r="P801" s="7" t="inlineStr">
        <is>
          <t>greenhouse:graphcore</t>
        </is>
      </c>
      <c r="Q801" s="8" t="inlineStr"/>
      <c r="R801" s="8" t="n"/>
      <c r="S801" s="19" t="n"/>
      <c r="T801" s="19" t="n"/>
      <c r="U801" s="14" t="n">
        <v>46189</v>
      </c>
      <c r="V801" s="7" t="inlineStr">
        <is>
          <t>v1-db41edab064373dd</t>
        </is>
      </c>
    </row>
    <row r="802" ht="28" customHeight="1">
      <c r="A802" s="12">
        <f>IF($L802="applied","Applied",IF($L802="interview","Interview",IF($L802="offer","Offer",IF($L802="rejected","Rejected",IF($L802="ignore","Ignore",IF($L802="archive","Archive",IF($L802="closed","Closed",IF($B802="","Unscored",IF(AND($B802&gt;=8,OR($H802="",$H802-TODAY()&lt;=14)),"P1 Apply",IF($B802&gt;=7,"P2 Strong",IF($B802&gt;=5,"P3 Maybe","P4 Low")))))))))))</f>
        <v/>
      </c>
      <c r="B802" s="13" t="n">
        <v>1</v>
      </c>
      <c r="C802" s="12" t="inlineStr">
        <is>
          <t>Senior/Lead</t>
        </is>
      </c>
      <c r="D802" s="8" t="inlineStr">
        <is>
          <t>Principal Post Silicon Validation Engineer (Bringup)</t>
        </is>
      </c>
      <c r="E802" s="7" t="inlineStr">
        <is>
          <t>Graphcore</t>
        </is>
      </c>
      <c r="F802" s="8" t="inlineStr">
        <is>
          <t>Austin, Texas, United States</t>
        </is>
      </c>
      <c r="G802" s="8" t="n"/>
      <c r="H802" s="14" t="n"/>
      <c r="I802" s="15">
        <f>IF($H802="","",$H802-TODAY())</f>
        <v/>
      </c>
      <c r="J802" s="16" t="inlineStr">
        <is>
          <t>Open posting</t>
        </is>
      </c>
      <c r="K802" s="8" t="inlineStr">
        <is>
          <t>filtered by keyword pre-scan</t>
        </is>
      </c>
      <c r="L802" s="17" t="inlineStr">
        <is>
          <t>new</t>
        </is>
      </c>
      <c r="M802" s="18" t="inlineStr"/>
      <c r="N802" s="7" t="inlineStr">
        <is>
          <t>28cf882c4e6b2399a2b2bffe6e62accc4e11bd83</t>
        </is>
      </c>
      <c r="O802" s="14" t="n">
        <v>46189</v>
      </c>
      <c r="P802" s="7" t="inlineStr">
        <is>
          <t>greenhouse:graphcore</t>
        </is>
      </c>
      <c r="Q802" s="8" t="inlineStr"/>
      <c r="R802" s="8" t="n"/>
      <c r="S802" s="19" t="n"/>
      <c r="T802" s="19" t="n"/>
      <c r="U802" s="14" t="n">
        <v>46189</v>
      </c>
      <c r="V802" s="7" t="inlineStr">
        <is>
          <t>v1-db41edab064373dd</t>
        </is>
      </c>
    </row>
    <row r="803" ht="28" customHeight="1">
      <c r="A803" s="12">
        <f>IF($L803="applied","Applied",IF($L803="interview","Interview",IF($L803="offer","Offer",IF($L803="rejected","Rejected",IF($L803="ignore","Ignore",IF($L803="archive","Archive",IF($L803="closed","Closed",IF($B803="","Unscored",IF(AND($B803&gt;=8,OR($H803="",$H803-TODAY()&lt;=14)),"P1 Apply",IF($B803&gt;=7,"P2 Strong",IF($B803&gt;=5,"P3 Maybe","P4 Low")))))))))))</f>
        <v/>
      </c>
      <c r="B803" s="13" t="n">
        <v>1</v>
      </c>
      <c r="C803" s="12" t="inlineStr">
        <is>
          <t>Senior/Lead</t>
        </is>
      </c>
      <c r="D803" s="8" t="inlineStr">
        <is>
          <t>Principal Post Silicon Validation Engineer (Bringup)</t>
        </is>
      </c>
      <c r="E803" s="7" t="inlineStr">
        <is>
          <t>Graphcore</t>
        </is>
      </c>
      <c r="F803" s="8" t="inlineStr">
        <is>
          <t>Austin, Texas, United States</t>
        </is>
      </c>
      <c r="G803" s="8" t="n"/>
      <c r="H803" s="14" t="n"/>
      <c r="I803" s="15">
        <f>IF($H803="","",$H803-TODAY())</f>
        <v/>
      </c>
      <c r="J803" s="16" t="inlineStr">
        <is>
          <t>Open posting</t>
        </is>
      </c>
      <c r="K803" s="8" t="inlineStr">
        <is>
          <t>filtered by keyword pre-scan</t>
        </is>
      </c>
      <c r="L803" s="17" t="inlineStr">
        <is>
          <t>new</t>
        </is>
      </c>
      <c r="M803" s="18" t="inlineStr"/>
      <c r="N803" s="7" t="inlineStr">
        <is>
          <t>2e82852cf4dc7ad7e0c2e54f186aa595cd3d7dda</t>
        </is>
      </c>
      <c r="O803" s="14" t="n">
        <v>46189</v>
      </c>
      <c r="P803" s="7" t="inlineStr">
        <is>
          <t>greenhouse:graphcore</t>
        </is>
      </c>
      <c r="Q803" s="8" t="inlineStr"/>
      <c r="R803" s="8" t="n"/>
      <c r="S803" s="19" t="n"/>
      <c r="T803" s="19" t="n"/>
      <c r="U803" s="14" t="n">
        <v>46189</v>
      </c>
      <c r="V803" s="7" t="inlineStr">
        <is>
          <t>v1-db41edab064373dd</t>
        </is>
      </c>
    </row>
    <row r="804" ht="28" customHeight="1">
      <c r="A804" s="12">
        <f>IF($L804="applied","Applied",IF($L804="interview","Interview",IF($L804="offer","Offer",IF($L804="rejected","Rejected",IF($L804="ignore","Ignore",IF($L804="archive","Archive",IF($L804="closed","Closed",IF($B804="","Unscored",IF(AND($B804&gt;=8,OR($H804="",$H804-TODAY()&lt;=14)),"P1 Apply",IF($B804&gt;=7,"P2 Strong",IF($B804&gt;=5,"P3 Maybe","P4 Low")))))))))))</f>
        <v/>
      </c>
      <c r="B804" s="13" t="n">
        <v>1</v>
      </c>
      <c r="C804" s="12" t="inlineStr">
        <is>
          <t>Senior/Lead</t>
        </is>
      </c>
      <c r="D804" s="8" t="inlineStr">
        <is>
          <t>Principal Power &amp; Performance Validation Engineer</t>
        </is>
      </c>
      <c r="E804" s="7" t="inlineStr">
        <is>
          <t>Graphcore</t>
        </is>
      </c>
      <c r="F804" s="8" t="inlineStr">
        <is>
          <t>Bengaluru, India</t>
        </is>
      </c>
      <c r="G804" s="8" t="n"/>
      <c r="H804" s="14" t="n"/>
      <c r="I804" s="15">
        <f>IF($H804="","",$H804-TODAY())</f>
        <v/>
      </c>
      <c r="J804" s="16" t="inlineStr">
        <is>
          <t>Open posting</t>
        </is>
      </c>
      <c r="K804" s="8" t="inlineStr">
        <is>
          <t>filtered by keyword pre-scan</t>
        </is>
      </c>
      <c r="L804" s="17" t="inlineStr">
        <is>
          <t>new</t>
        </is>
      </c>
      <c r="M804" s="18" t="inlineStr"/>
      <c r="N804" s="7" t="inlineStr">
        <is>
          <t>a19a0a1fd705d424e738a20452c7cbeab0b7f3c1</t>
        </is>
      </c>
      <c r="O804" s="14" t="n">
        <v>46189</v>
      </c>
      <c r="P804" s="7" t="inlineStr">
        <is>
          <t>greenhouse:graphcore</t>
        </is>
      </c>
      <c r="Q804" s="8" t="inlineStr"/>
      <c r="R804" s="8" t="n"/>
      <c r="S804" s="19" t="n"/>
      <c r="T804" s="19" t="n"/>
      <c r="U804" s="14" t="n">
        <v>46189</v>
      </c>
      <c r="V804" s="7" t="inlineStr">
        <is>
          <t>v1-db41edab064373dd</t>
        </is>
      </c>
    </row>
    <row r="805" ht="28" customHeight="1">
      <c r="A805" s="12">
        <f>IF($L805="applied","Applied",IF($L805="interview","Interview",IF($L805="offer","Offer",IF($L805="rejected","Rejected",IF($L805="ignore","Ignore",IF($L805="archive","Archive",IF($L805="closed","Closed",IF($B805="","Unscored",IF(AND($B805&gt;=8,OR($H805="",$H805-TODAY()&lt;=14)),"P1 Apply",IF($B805&gt;=7,"P2 Strong",IF($B805&gt;=5,"P3 Maybe","P4 Low")))))))))))</f>
        <v/>
      </c>
      <c r="B805" s="13" t="n">
        <v>1</v>
      </c>
      <c r="C805" s="12" t="inlineStr">
        <is>
          <t>Senior/Lead</t>
        </is>
      </c>
      <c r="D805" s="8" t="inlineStr">
        <is>
          <t>Principal Product Engineer</t>
        </is>
      </c>
      <c r="E805" s="7" t="inlineStr">
        <is>
          <t>Graphcore</t>
        </is>
      </c>
      <c r="F805" s="8" t="inlineStr">
        <is>
          <t>Bristol, UK</t>
        </is>
      </c>
      <c r="G805" s="8" t="n"/>
      <c r="H805" s="14" t="n"/>
      <c r="I805" s="15">
        <f>IF($H805="","",$H805-TODAY())</f>
        <v/>
      </c>
      <c r="J805" s="16" t="inlineStr">
        <is>
          <t>Open posting</t>
        </is>
      </c>
      <c r="K805" s="8" t="inlineStr">
        <is>
          <t>filtered by keyword pre-scan</t>
        </is>
      </c>
      <c r="L805" s="17" t="inlineStr">
        <is>
          <t>new</t>
        </is>
      </c>
      <c r="M805" s="18" t="inlineStr"/>
      <c r="N805" s="7" t="inlineStr">
        <is>
          <t>1f540b1ea32d4a8e2cb256b06448bb185c8894f1</t>
        </is>
      </c>
      <c r="O805" s="14" t="n">
        <v>46189</v>
      </c>
      <c r="P805" s="7" t="inlineStr">
        <is>
          <t>greenhouse:graphcore</t>
        </is>
      </c>
      <c r="Q805" s="8" t="inlineStr"/>
      <c r="R805" s="8" t="n"/>
      <c r="S805" s="19" t="n"/>
      <c r="T805" s="19" t="n"/>
      <c r="U805" s="14" t="n">
        <v>46189</v>
      </c>
      <c r="V805" s="7" t="inlineStr">
        <is>
          <t>v1-db41edab064373dd</t>
        </is>
      </c>
    </row>
    <row r="806" ht="28" customHeight="1">
      <c r="A806" s="12">
        <f>IF($L806="applied","Applied",IF($L806="interview","Interview",IF($L806="offer","Offer",IF($L806="rejected","Rejected",IF($L806="ignore","Ignore",IF($L806="archive","Archive",IF($L806="closed","Closed",IF($B806="","Unscored",IF(AND($B806&gt;=8,OR($H806="",$H806-TODAY()&lt;=14)),"P1 Apply",IF($B806&gt;=7,"P2 Strong",IF($B806&gt;=5,"P3 Maybe","P4 Low")))))))))))</f>
        <v/>
      </c>
      <c r="B806" s="13" t="n">
        <v>1</v>
      </c>
      <c r="C806" s="12" t="inlineStr">
        <is>
          <t>Senior/Lead</t>
        </is>
      </c>
      <c r="D806" s="8" t="inlineStr">
        <is>
          <t>Principal Reliability Scientist</t>
        </is>
      </c>
      <c r="E806" s="7" t="inlineStr">
        <is>
          <t>Graphcore</t>
        </is>
      </c>
      <c r="F806" s="8" t="inlineStr">
        <is>
          <t>Austin, Texas, United States; Hsinchu City, Hsinchu City, Taiwan; US - Milpitas; 臺北市, Taipei, Taiwan</t>
        </is>
      </c>
      <c r="G806" s="8" t="n"/>
      <c r="H806" s="14" t="n"/>
      <c r="I806" s="15">
        <f>IF($H806="","",$H806-TODAY())</f>
        <v/>
      </c>
      <c r="J806" s="16" t="inlineStr">
        <is>
          <t>Open posting</t>
        </is>
      </c>
      <c r="K806" s="8" t="inlineStr">
        <is>
          <t>filtered by keyword pre-scan</t>
        </is>
      </c>
      <c r="L806" s="17" t="inlineStr">
        <is>
          <t>new</t>
        </is>
      </c>
      <c r="M806" s="18" t="inlineStr"/>
      <c r="N806" s="7" t="inlineStr">
        <is>
          <t>6efa645031225a73938e33e5f4248f479e8879bb</t>
        </is>
      </c>
      <c r="O806" s="14" t="n">
        <v>46189</v>
      </c>
      <c r="P806" s="7" t="inlineStr">
        <is>
          <t>greenhouse:graphcore</t>
        </is>
      </c>
      <c r="Q806" s="8" t="inlineStr"/>
      <c r="R806" s="8" t="n"/>
      <c r="S806" s="19" t="n"/>
      <c r="T806" s="19" t="n"/>
      <c r="U806" s="14" t="n">
        <v>46189</v>
      </c>
      <c r="V806" s="7" t="inlineStr">
        <is>
          <t>v1-db41edab064373dd</t>
        </is>
      </c>
    </row>
    <row r="807" ht="28" customHeight="1">
      <c r="A807" s="12">
        <f>IF($L807="applied","Applied",IF($L807="interview","Interview",IF($L807="offer","Offer",IF($L807="rejected","Rejected",IF($L807="ignore","Ignore",IF($L807="archive","Archive",IF($L807="closed","Closed",IF($B807="","Unscored",IF(AND($B807&gt;=8,OR($H807="",$H807-TODAY()&lt;=14)),"P1 Apply",IF($B807&gt;=7,"P2 Strong",IF($B807&gt;=5,"P3 Maybe","P4 Low")))))))))))</f>
        <v/>
      </c>
      <c r="B807" s="13" t="n">
        <v>1</v>
      </c>
      <c r="C807" s="12" t="inlineStr">
        <is>
          <t>Senior/Lead</t>
        </is>
      </c>
      <c r="D807" s="8" t="inlineStr">
        <is>
          <t>Principal Silicon Verification Engineer - Bengaluru</t>
        </is>
      </c>
      <c r="E807" s="7" t="inlineStr">
        <is>
          <t>Graphcore</t>
        </is>
      </c>
      <c r="F807" s="8" t="inlineStr">
        <is>
          <t>Bengaluru, India</t>
        </is>
      </c>
      <c r="G807" s="8" t="n"/>
      <c r="H807" s="14" t="n"/>
      <c r="I807" s="15">
        <f>IF($H807="","",$H807-TODAY())</f>
        <v/>
      </c>
      <c r="J807" s="16" t="inlineStr">
        <is>
          <t>Open posting</t>
        </is>
      </c>
      <c r="K807" s="8" t="inlineStr">
        <is>
          <t>filtered by keyword pre-scan</t>
        </is>
      </c>
      <c r="L807" s="17" t="inlineStr">
        <is>
          <t>new</t>
        </is>
      </c>
      <c r="M807" s="18" t="inlineStr"/>
      <c r="N807" s="7" t="inlineStr">
        <is>
          <t>417bdef1fab014824603c2533b9737628f43ad85</t>
        </is>
      </c>
      <c r="O807" s="14" t="n">
        <v>46189</v>
      </c>
      <c r="P807" s="7" t="inlineStr">
        <is>
          <t>greenhouse:graphcore</t>
        </is>
      </c>
      <c r="Q807" s="8" t="inlineStr"/>
      <c r="R807" s="8" t="n"/>
      <c r="S807" s="19" t="n"/>
      <c r="T807" s="19" t="n"/>
      <c r="U807" s="14" t="n">
        <v>46189</v>
      </c>
      <c r="V807" s="7" t="inlineStr">
        <is>
          <t>v1-db41edab064373dd</t>
        </is>
      </c>
    </row>
    <row r="808" ht="28" customHeight="1">
      <c r="A808" s="12">
        <f>IF($L808="applied","Applied",IF($L808="interview","Interview",IF($L808="offer","Offer",IF($L808="rejected","Rejected",IF($L808="ignore","Ignore",IF($L808="archive","Archive",IF($L808="closed","Closed",IF($B808="","Unscored",IF(AND($B808&gt;=8,OR($H808="",$H808-TODAY()&lt;=14)),"P1 Apply",IF($B808&gt;=7,"P2 Strong",IF($B808&gt;=5,"P3 Maybe","P4 Low")))))))))))</f>
        <v/>
      </c>
      <c r="B808" s="13" t="n">
        <v>1</v>
      </c>
      <c r="C808" s="12" t="inlineStr">
        <is>
          <t>Senior/Lead</t>
        </is>
      </c>
      <c r="D808" s="8" t="inlineStr">
        <is>
          <t>Principal SoC Architect</t>
        </is>
      </c>
      <c r="E808" s="7" t="inlineStr">
        <is>
          <t>Graphcore</t>
        </is>
      </c>
      <c r="F808" s="8" t="inlineStr">
        <is>
          <t>Bristol, UK</t>
        </is>
      </c>
      <c r="G808" s="8" t="n"/>
      <c r="H808" s="14" t="n"/>
      <c r="I808" s="15">
        <f>IF($H808="","",$H808-TODAY())</f>
        <v/>
      </c>
      <c r="J808" s="16" t="inlineStr">
        <is>
          <t>Open posting</t>
        </is>
      </c>
      <c r="K808" s="8" t="inlineStr">
        <is>
          <t>filtered by keyword pre-scan</t>
        </is>
      </c>
      <c r="L808" s="17" t="inlineStr">
        <is>
          <t>new</t>
        </is>
      </c>
      <c r="M808" s="18" t="inlineStr"/>
      <c r="N808" s="7" t="inlineStr">
        <is>
          <t>ff97823dace49f48a54c2a84624c97dff0c8bbea</t>
        </is>
      </c>
      <c r="O808" s="14" t="n">
        <v>46189</v>
      </c>
      <c r="P808" s="7" t="inlineStr">
        <is>
          <t>greenhouse:graphcore</t>
        </is>
      </c>
      <c r="Q808" s="8" t="inlineStr"/>
      <c r="R808" s="8" t="n"/>
      <c r="S808" s="19" t="n"/>
      <c r="T808" s="19" t="n"/>
      <c r="U808" s="14" t="n">
        <v>46189</v>
      </c>
      <c r="V808" s="7" t="inlineStr">
        <is>
          <t>v1-db41edab064373dd</t>
        </is>
      </c>
    </row>
    <row r="809" ht="28" customHeight="1">
      <c r="A809" s="12">
        <f>IF($L809="applied","Applied",IF($L809="interview","Interview",IF($L809="offer","Offer",IF($L809="rejected","Rejected",IF($L809="ignore","Ignore",IF($L809="archive","Archive",IF($L809="closed","Closed",IF($B809="","Unscored",IF(AND($B809&gt;=8,OR($H809="",$H809-TODAY()&lt;=14)),"P1 Apply",IF($B809&gt;=7,"P2 Strong",IF($B809&gt;=5,"P3 Maybe","P4 Low")))))))))))</f>
        <v/>
      </c>
      <c r="B809" s="13" t="n">
        <v>1</v>
      </c>
      <c r="C809" s="12" t="inlineStr">
        <is>
          <t>Senior/Lead</t>
        </is>
      </c>
      <c r="D809" s="8" t="inlineStr">
        <is>
          <t>Principal Software Architect</t>
        </is>
      </c>
      <c r="E809" s="7" t="inlineStr">
        <is>
          <t>Graphcore</t>
        </is>
      </c>
      <c r="F809" s="8" t="inlineStr">
        <is>
          <t>Bristol, UK; Cambridge, UK</t>
        </is>
      </c>
      <c r="G809" s="8" t="n"/>
      <c r="H809" s="14" t="n"/>
      <c r="I809" s="15">
        <f>IF($H809="","",$H809-TODAY())</f>
        <v/>
      </c>
      <c r="J809" s="16" t="inlineStr">
        <is>
          <t>Open posting</t>
        </is>
      </c>
      <c r="K809" s="8" t="inlineStr">
        <is>
          <t>filtered by keyword pre-scan</t>
        </is>
      </c>
      <c r="L809" s="17" t="inlineStr">
        <is>
          <t>new</t>
        </is>
      </c>
      <c r="M809" s="18" t="inlineStr"/>
      <c r="N809" s="7" t="inlineStr">
        <is>
          <t>c73859207541dd9e25135dc69930e5babd17e8ee</t>
        </is>
      </c>
      <c r="O809" s="14" t="n">
        <v>46189</v>
      </c>
      <c r="P809" s="7" t="inlineStr">
        <is>
          <t>greenhouse:graphcore</t>
        </is>
      </c>
      <c r="Q809" s="8" t="inlineStr"/>
      <c r="R809" s="8" t="n"/>
      <c r="S809" s="19" t="n"/>
      <c r="T809" s="19" t="n"/>
      <c r="U809" s="14" t="n">
        <v>46189</v>
      </c>
      <c r="V809" s="7" t="inlineStr">
        <is>
          <t>v1-db41edab064373dd</t>
        </is>
      </c>
    </row>
    <row r="810" ht="28" customHeight="1">
      <c r="A810" s="12">
        <f>IF($L810="applied","Applied",IF($L810="interview","Interview",IF($L810="offer","Offer",IF($L810="rejected","Rejected",IF($L810="ignore","Ignore",IF($L810="archive","Archive",IF($L810="closed","Closed",IF($B810="","Unscored",IF(AND($B810&gt;=8,OR($H810="",$H810-TODAY()&lt;=14)),"P1 Apply",IF($B810&gt;=7,"P2 Strong",IF($B810&gt;=5,"P3 Maybe","P4 Low")))))))))))</f>
        <v/>
      </c>
      <c r="B810" s="13" t="n">
        <v>1</v>
      </c>
      <c r="C810" s="12" t="inlineStr">
        <is>
          <t>Senior/Lead</t>
        </is>
      </c>
      <c r="D810" s="8" t="inlineStr">
        <is>
          <t>Principal System Debug Engineer</t>
        </is>
      </c>
      <c r="E810" s="7" t="inlineStr">
        <is>
          <t>Graphcore</t>
        </is>
      </c>
      <c r="F810" s="8" t="inlineStr">
        <is>
          <t>Austin, Texas, United States; US - Milpitas</t>
        </is>
      </c>
      <c r="G810" s="8" t="n"/>
      <c r="H810" s="14" t="n"/>
      <c r="I810" s="15">
        <f>IF($H810="","",$H810-TODAY())</f>
        <v/>
      </c>
      <c r="J810" s="16" t="inlineStr">
        <is>
          <t>Open posting</t>
        </is>
      </c>
      <c r="K810" s="8" t="inlineStr">
        <is>
          <t>filtered by keyword pre-scan</t>
        </is>
      </c>
      <c r="L810" s="17" t="inlineStr">
        <is>
          <t>new</t>
        </is>
      </c>
      <c r="M810" s="18" t="inlineStr"/>
      <c r="N810" s="7" t="inlineStr">
        <is>
          <t>06c3142ac6cf3abd0032e1b5b6d6af97b2052be3</t>
        </is>
      </c>
      <c r="O810" s="14" t="n">
        <v>46189</v>
      </c>
      <c r="P810" s="7" t="inlineStr">
        <is>
          <t>greenhouse:graphcore</t>
        </is>
      </c>
      <c r="Q810" s="8" t="inlineStr"/>
      <c r="R810" s="8" t="n"/>
      <c r="S810" s="19" t="n"/>
      <c r="T810" s="19" t="n"/>
      <c r="U810" s="14" t="n">
        <v>46189</v>
      </c>
      <c r="V810" s="7" t="inlineStr">
        <is>
          <t>v1-db41edab064373dd</t>
        </is>
      </c>
    </row>
    <row r="811" ht="28" customHeight="1">
      <c r="A811" s="12">
        <f>IF($L811="applied","Applied",IF($L811="interview","Interview",IF($L811="offer","Offer",IF($L811="rejected","Rejected",IF($L811="ignore","Ignore",IF($L811="archive","Archive",IF($L811="closed","Closed",IF($B811="","Unscored",IF(AND($B811&gt;=8,OR($H811="",$H811-TODAY()&lt;=14)),"P1 Apply",IF($B811&gt;=7,"P2 Strong",IF($B811&gt;=5,"P3 Maybe","P4 Low")))))))))))</f>
        <v/>
      </c>
      <c r="B811" s="13" t="n">
        <v>1</v>
      </c>
      <c r="C811" s="12" t="inlineStr">
        <is>
          <t>Senior/Lead</t>
        </is>
      </c>
      <c r="D811" s="8" t="inlineStr">
        <is>
          <t>Principal Test Framework Software Engineer</t>
        </is>
      </c>
      <c r="E811" s="7" t="inlineStr">
        <is>
          <t>Graphcore</t>
        </is>
      </c>
      <c r="F811" s="8" t="inlineStr">
        <is>
          <t>Austin, Texas, United States; US - Milpitas</t>
        </is>
      </c>
      <c r="G811" s="8" t="n"/>
      <c r="H811" s="14" t="n"/>
      <c r="I811" s="15">
        <f>IF($H811="","",$H811-TODAY())</f>
        <v/>
      </c>
      <c r="J811" s="16" t="inlineStr">
        <is>
          <t>Open posting</t>
        </is>
      </c>
      <c r="K811" s="8" t="inlineStr">
        <is>
          <t>filtered by keyword pre-scan</t>
        </is>
      </c>
      <c r="L811" s="17" t="inlineStr">
        <is>
          <t>new</t>
        </is>
      </c>
      <c r="M811" s="18" t="inlineStr"/>
      <c r="N811" s="7" t="inlineStr">
        <is>
          <t>489e07a0e5e5f00ea1b952a53d804eb637755fe2</t>
        </is>
      </c>
      <c r="O811" s="14" t="n">
        <v>46189</v>
      </c>
      <c r="P811" s="7" t="inlineStr">
        <is>
          <t>greenhouse:graphcore</t>
        </is>
      </c>
      <c r="Q811" s="8" t="inlineStr"/>
      <c r="R811" s="8" t="n"/>
      <c r="S811" s="19" t="n"/>
      <c r="T811" s="19" t="n"/>
      <c r="U811" s="14" t="n">
        <v>46189</v>
      </c>
      <c r="V811" s="7" t="inlineStr">
        <is>
          <t>v1-db41edab064373dd</t>
        </is>
      </c>
    </row>
    <row r="812" ht="28" customHeight="1">
      <c r="A812" s="12">
        <f>IF($L812="applied","Applied",IF($L812="interview","Interview",IF($L812="offer","Offer",IF($L812="rejected","Rejected",IF($L812="ignore","Ignore",IF($L812="archive","Archive",IF($L812="closed","Closed",IF($B812="","Unscored",IF(AND($B812&gt;=8,OR($H812="",$H812-TODAY()&lt;=14)),"P1 Apply",IF($B812&gt;=7,"P2 Strong",IF($B812&gt;=5,"P3 Maybe","P4 Low")))))))))))</f>
        <v/>
      </c>
      <c r="B812" s="13" t="n">
        <v>1</v>
      </c>
      <c r="C812" s="12" t="inlineStr">
        <is>
          <t>Senior/Lead</t>
        </is>
      </c>
      <c r="D812" s="8" t="inlineStr">
        <is>
          <t>Principal Thermal Engineer</t>
        </is>
      </c>
      <c r="E812" s="7" t="inlineStr">
        <is>
          <t>Graphcore</t>
        </is>
      </c>
      <c r="F812" s="8" t="inlineStr">
        <is>
          <t>Austin, Texas, United States</t>
        </is>
      </c>
      <c r="G812" s="8" t="n"/>
      <c r="H812" s="14" t="n"/>
      <c r="I812" s="15">
        <f>IF($H812="","",$H812-TODAY())</f>
        <v/>
      </c>
      <c r="J812" s="16" t="inlineStr">
        <is>
          <t>Open posting</t>
        </is>
      </c>
      <c r="K812" s="8" t="inlineStr">
        <is>
          <t>filtered by keyword pre-scan</t>
        </is>
      </c>
      <c r="L812" s="17" t="inlineStr">
        <is>
          <t>new</t>
        </is>
      </c>
      <c r="M812" s="18" t="inlineStr"/>
      <c r="N812" s="7" t="inlineStr">
        <is>
          <t>ded6fb88235b2c6c3f66ecbd6d2c6eba506ead65</t>
        </is>
      </c>
      <c r="O812" s="14" t="n">
        <v>46189</v>
      </c>
      <c r="P812" s="7" t="inlineStr">
        <is>
          <t>greenhouse:graphcore</t>
        </is>
      </c>
      <c r="Q812" s="8" t="inlineStr"/>
      <c r="R812" s="8" t="n"/>
      <c r="S812" s="19" t="n"/>
      <c r="T812" s="19" t="n"/>
      <c r="U812" s="14" t="n">
        <v>46189</v>
      </c>
      <c r="V812" s="7" t="inlineStr">
        <is>
          <t>v1-db41edab064373dd</t>
        </is>
      </c>
    </row>
    <row r="813" ht="28" customHeight="1">
      <c r="A813" s="12">
        <f>IF($L813="applied","Applied",IF($L813="interview","Interview",IF($L813="offer","Offer",IF($L813="rejected","Rejected",IF($L813="ignore","Ignore",IF($L813="archive","Archive",IF($L813="closed","Closed",IF($B813="","Unscored",IF(AND($B813&gt;=8,OR($H813="",$H813-TODAY()&lt;=14)),"P1 Apply",IF($B813&gt;=7,"P2 Strong",IF($B813&gt;=5,"P3 Maybe","P4 Low")))))))))))</f>
        <v/>
      </c>
      <c r="B813" s="13" t="n">
        <v>1</v>
      </c>
      <c r="C813" s="12" t="inlineStr">
        <is>
          <t>Senior/Lead</t>
        </is>
      </c>
      <c r="D813" s="8" t="inlineStr">
        <is>
          <t>Senior BMC Engineer</t>
        </is>
      </c>
      <c r="E813" s="7" t="inlineStr">
        <is>
          <t>Graphcore</t>
        </is>
      </c>
      <c r="F813" s="8" t="inlineStr">
        <is>
          <t>Gdańsk, Pomeranian Voivodeship, Poland</t>
        </is>
      </c>
      <c r="G813" s="8" t="n"/>
      <c r="H813" s="14" t="n"/>
      <c r="I813" s="15">
        <f>IF($H813="","",$H813-TODAY())</f>
        <v/>
      </c>
      <c r="J813" s="16" t="inlineStr">
        <is>
          <t>Open posting</t>
        </is>
      </c>
      <c r="K813" s="8" t="inlineStr">
        <is>
          <t>filtered by keyword pre-scan</t>
        </is>
      </c>
      <c r="L813" s="17" t="inlineStr">
        <is>
          <t>new</t>
        </is>
      </c>
      <c r="M813" s="18" t="inlineStr"/>
      <c r="N813" s="7" t="inlineStr">
        <is>
          <t>d64f887b67835444dd29f22c1c31c00094b4d8b6</t>
        </is>
      </c>
      <c r="O813" s="14" t="n">
        <v>46189</v>
      </c>
      <c r="P813" s="7" t="inlineStr">
        <is>
          <t>greenhouse:graphcore</t>
        </is>
      </c>
      <c r="Q813" s="8" t="inlineStr"/>
      <c r="R813" s="8" t="n"/>
      <c r="S813" s="19" t="n"/>
      <c r="T813" s="19" t="n"/>
      <c r="U813" s="14" t="n">
        <v>46189</v>
      </c>
      <c r="V813" s="7" t="inlineStr">
        <is>
          <t>v1-db41edab064373dd</t>
        </is>
      </c>
    </row>
    <row r="814" ht="28" customHeight="1">
      <c r="A814" s="12">
        <f>IF($L814="applied","Applied",IF($L814="interview","Interview",IF($L814="offer","Offer",IF($L814="rejected","Rejected",IF($L814="ignore","Ignore",IF($L814="archive","Archive",IF($L814="closed","Closed",IF($B814="","Unscored",IF(AND($B814&gt;=8,OR($H814="",$H814-TODAY()&lt;=14)),"P1 Apply",IF($B814&gt;=7,"P2 Strong",IF($B814&gt;=5,"P3 Maybe","P4 Low")))))))))))</f>
        <v/>
      </c>
      <c r="B814" s="13" t="n">
        <v>1</v>
      </c>
      <c r="C814" s="12" t="inlineStr">
        <is>
          <t>Senior/Lead</t>
        </is>
      </c>
      <c r="D814" s="8" t="inlineStr">
        <is>
          <t>Senior Bring-Up and Characterisation Engineer</t>
        </is>
      </c>
      <c r="E814" s="7" t="inlineStr">
        <is>
          <t>Graphcore</t>
        </is>
      </c>
      <c r="F814" s="8" t="inlineStr">
        <is>
          <t>Austin, Texas, United States</t>
        </is>
      </c>
      <c r="G814" s="8" t="n"/>
      <c r="H814" s="14" t="n"/>
      <c r="I814" s="15">
        <f>IF($H814="","",$H814-TODAY())</f>
        <v/>
      </c>
      <c r="J814" s="16" t="inlineStr">
        <is>
          <t>Open posting</t>
        </is>
      </c>
      <c r="K814" s="8" t="inlineStr">
        <is>
          <t>filtered by keyword pre-scan</t>
        </is>
      </c>
      <c r="L814" s="17" t="inlineStr">
        <is>
          <t>new</t>
        </is>
      </c>
      <c r="M814" s="18" t="inlineStr"/>
      <c r="N814" s="7" t="inlineStr">
        <is>
          <t>eb22638648f7d76224be8463345f9299444163a6</t>
        </is>
      </c>
      <c r="O814" s="14" t="n">
        <v>46189</v>
      </c>
      <c r="P814" s="7" t="inlineStr">
        <is>
          <t>greenhouse:graphcore</t>
        </is>
      </c>
      <c r="Q814" s="8" t="inlineStr"/>
      <c r="R814" s="8" t="n"/>
      <c r="S814" s="19" t="n"/>
      <c r="T814" s="19" t="n"/>
      <c r="U814" s="14" t="n">
        <v>46189</v>
      </c>
      <c r="V814" s="7" t="inlineStr">
        <is>
          <t>v1-db41edab064373dd</t>
        </is>
      </c>
    </row>
    <row r="815" ht="28" customHeight="1">
      <c r="A815" s="12">
        <f>IF($L815="applied","Applied",IF($L815="interview","Interview",IF($L815="offer","Offer",IF($L815="rejected","Rejected",IF($L815="ignore","Ignore",IF($L815="archive","Archive",IF($L815="closed","Closed",IF($B815="","Unscored",IF(AND($B815&gt;=8,OR($H815="",$H815-TODAY()&lt;=14)),"P1 Apply",IF($B815&gt;=7,"P2 Strong",IF($B815&gt;=5,"P3 Maybe","P4 Low")))))))))))</f>
        <v/>
      </c>
      <c r="B815" s="13" t="n">
        <v>1</v>
      </c>
      <c r="C815" s="12" t="inlineStr">
        <is>
          <t>Senior/Lead</t>
        </is>
      </c>
      <c r="D815" s="8" t="inlineStr">
        <is>
          <t>Senior Bring-Up and Characterisation Engineer</t>
        </is>
      </c>
      <c r="E815" s="7" t="inlineStr">
        <is>
          <t>Graphcore</t>
        </is>
      </c>
      <c r="F815" s="8" t="inlineStr">
        <is>
          <t>Austin, Texas, United States</t>
        </is>
      </c>
      <c r="G815" s="8" t="n"/>
      <c r="H815" s="14" t="n"/>
      <c r="I815" s="15">
        <f>IF($H815="","",$H815-TODAY())</f>
        <v/>
      </c>
      <c r="J815" s="16" t="inlineStr">
        <is>
          <t>Open posting</t>
        </is>
      </c>
      <c r="K815" s="8" t="inlineStr">
        <is>
          <t>filtered by keyword pre-scan</t>
        </is>
      </c>
      <c r="L815" s="17" t="inlineStr">
        <is>
          <t>new</t>
        </is>
      </c>
      <c r="M815" s="18" t="inlineStr"/>
      <c r="N815" s="7" t="inlineStr">
        <is>
          <t>730e34b038d33fa76c72ea28dc58eb86f86b007c</t>
        </is>
      </c>
      <c r="O815" s="14" t="n">
        <v>46189</v>
      </c>
      <c r="P815" s="7" t="inlineStr">
        <is>
          <t>greenhouse:graphcore</t>
        </is>
      </c>
      <c r="Q815" s="8" t="inlineStr"/>
      <c r="R815" s="8" t="n"/>
      <c r="S815" s="19" t="n"/>
      <c r="T815" s="19" t="n"/>
      <c r="U815" s="14" t="n">
        <v>46189</v>
      </c>
      <c r="V815" s="7" t="inlineStr">
        <is>
          <t>v1-db41edab064373dd</t>
        </is>
      </c>
    </row>
    <row r="816" ht="28" customHeight="1">
      <c r="A816" s="12">
        <f>IF($L816="applied","Applied",IF($L816="interview","Interview",IF($L816="offer","Offer",IF($L816="rejected","Rejected",IF($L816="ignore","Ignore",IF($L816="archive","Archive",IF($L816="closed","Closed",IF($B816="","Unscored",IF(AND($B816&gt;=8,OR($H816="",$H816-TODAY()&lt;=14)),"P1 Apply",IF($B816&gt;=7,"P2 Strong",IF($B816&gt;=5,"P3 Maybe","P4 Low")))))))))))</f>
        <v/>
      </c>
      <c r="B816" s="13" t="n">
        <v>1</v>
      </c>
      <c r="C816" s="12" t="inlineStr">
        <is>
          <t>Senior/Lead</t>
        </is>
      </c>
      <c r="D816" s="8" t="inlineStr">
        <is>
          <t>Senior Cloud Engineer (K8S)</t>
        </is>
      </c>
      <c r="E816" s="7" t="inlineStr">
        <is>
          <t>Graphcore</t>
        </is>
      </c>
      <c r="F816" s="8" t="inlineStr">
        <is>
          <t>Bristol, UK</t>
        </is>
      </c>
      <c r="G816" s="8" t="n"/>
      <c r="H816" s="14" t="n"/>
      <c r="I816" s="15">
        <f>IF($H816="","",$H816-TODAY())</f>
        <v/>
      </c>
      <c r="J816" s="16" t="inlineStr">
        <is>
          <t>Open posting</t>
        </is>
      </c>
      <c r="K816" s="8" t="inlineStr">
        <is>
          <t>filtered by keyword pre-scan</t>
        </is>
      </c>
      <c r="L816" s="17" t="inlineStr">
        <is>
          <t>new</t>
        </is>
      </c>
      <c r="M816" s="18" t="inlineStr"/>
      <c r="N816" s="7" t="inlineStr">
        <is>
          <t>27ce00e9f3a4098bc063774dedd17541737c25c6</t>
        </is>
      </c>
      <c r="O816" s="14" t="n">
        <v>46189</v>
      </c>
      <c r="P816" s="7" t="inlineStr">
        <is>
          <t>greenhouse:graphcore</t>
        </is>
      </c>
      <c r="Q816" s="8" t="inlineStr"/>
      <c r="R816" s="8" t="n"/>
      <c r="S816" s="19" t="n"/>
      <c r="T816" s="19" t="n"/>
      <c r="U816" s="14" t="n">
        <v>46189</v>
      </c>
      <c r="V816" s="7" t="inlineStr">
        <is>
          <t>v1-db41edab064373dd</t>
        </is>
      </c>
    </row>
    <row r="817" ht="28" customHeight="1">
      <c r="A817" s="12">
        <f>IF($L817="applied","Applied",IF($L817="interview","Interview",IF($L817="offer","Offer",IF($L817="rejected","Rejected",IF($L817="ignore","Ignore",IF($L817="archive","Archive",IF($L817="closed","Closed",IF($B817="","Unscored",IF(AND($B817&gt;=8,OR($H817="",$H817-TODAY()&lt;=14)),"P1 Apply",IF($B817&gt;=7,"P2 Strong",IF($B817&gt;=5,"P3 Maybe","P4 Low")))))))))))</f>
        <v/>
      </c>
      <c r="B817" s="13" t="n">
        <v>1</v>
      </c>
      <c r="C817" s="12" t="inlineStr">
        <is>
          <t>Senior/Lead</t>
        </is>
      </c>
      <c r="D817" s="8" t="inlineStr">
        <is>
          <t>Senior Cloud Engineer (K8S)</t>
        </is>
      </c>
      <c r="E817" s="7" t="inlineStr">
        <is>
          <t>Graphcore</t>
        </is>
      </c>
      <c r="F817" s="8" t="inlineStr">
        <is>
          <t>London, UK</t>
        </is>
      </c>
      <c r="G817" s="8" t="n"/>
      <c r="H817" s="14" t="n"/>
      <c r="I817" s="15">
        <f>IF($H817="","",$H817-TODAY())</f>
        <v/>
      </c>
      <c r="J817" s="16" t="inlineStr">
        <is>
          <t>Open posting</t>
        </is>
      </c>
      <c r="K817" s="8" t="inlineStr">
        <is>
          <t>filtered by keyword pre-scan</t>
        </is>
      </c>
      <c r="L817" s="17" t="inlineStr">
        <is>
          <t>new</t>
        </is>
      </c>
      <c r="M817" s="18" t="inlineStr"/>
      <c r="N817" s="7" t="inlineStr">
        <is>
          <t>1f67f824bf0743e1d67c86ccb72121a5f0fd8052</t>
        </is>
      </c>
      <c r="O817" s="14" t="n">
        <v>46189</v>
      </c>
      <c r="P817" s="7" t="inlineStr">
        <is>
          <t>greenhouse:graphcore</t>
        </is>
      </c>
      <c r="Q817" s="8" t="inlineStr"/>
      <c r="R817" s="8" t="n"/>
      <c r="S817" s="19" t="n"/>
      <c r="T817" s="19" t="n"/>
      <c r="U817" s="14" t="n">
        <v>46189</v>
      </c>
      <c r="V817" s="7" t="inlineStr">
        <is>
          <t>v1-db41edab064373dd</t>
        </is>
      </c>
    </row>
    <row r="818" ht="28" customHeight="1">
      <c r="A818" s="12">
        <f>IF($L818="applied","Applied",IF($L818="interview","Interview",IF($L818="offer","Offer",IF($L818="rejected","Rejected",IF($L818="ignore","Ignore",IF($L818="archive","Archive",IF($L818="closed","Closed",IF($B818="","Unscored",IF(AND($B818&gt;=8,OR($H818="",$H818-TODAY()&lt;=14)),"P1 Apply",IF($B818&gt;=7,"P2 Strong",IF($B818&gt;=5,"P3 Maybe","P4 Low")))))))))))</f>
        <v/>
      </c>
      <c r="B818" s="13" t="n">
        <v>1</v>
      </c>
      <c r="C818" s="12" t="inlineStr">
        <is>
          <t>Senior/Lead</t>
        </is>
      </c>
      <c r="D818" s="8" t="inlineStr">
        <is>
          <t>Senior Cloud Engineer (K8S)</t>
        </is>
      </c>
      <c r="E818" s="7" t="inlineStr">
        <is>
          <t>Graphcore</t>
        </is>
      </c>
      <c r="F818" s="8" t="inlineStr">
        <is>
          <t>Bristol, UK</t>
        </is>
      </c>
      <c r="G818" s="8" t="n"/>
      <c r="H818" s="14" t="n"/>
      <c r="I818" s="15">
        <f>IF($H818="","",$H818-TODAY())</f>
        <v/>
      </c>
      <c r="J818" s="16" t="inlineStr">
        <is>
          <t>Open posting</t>
        </is>
      </c>
      <c r="K818" s="8" t="inlineStr">
        <is>
          <t>filtered by keyword pre-scan</t>
        </is>
      </c>
      <c r="L818" s="17" t="inlineStr">
        <is>
          <t>new</t>
        </is>
      </c>
      <c r="M818" s="18" t="inlineStr"/>
      <c r="N818" s="7" t="inlineStr">
        <is>
          <t>141df0ce33b14b0098d921a46aa8d0ded1a68e0d</t>
        </is>
      </c>
      <c r="O818" s="14" t="n">
        <v>46189</v>
      </c>
      <c r="P818" s="7" t="inlineStr">
        <is>
          <t>greenhouse:graphcore</t>
        </is>
      </c>
      <c r="Q818" s="8" t="inlineStr"/>
      <c r="R818" s="8" t="n"/>
      <c r="S818" s="19" t="n"/>
      <c r="T818" s="19" t="n"/>
      <c r="U818" s="14" t="n">
        <v>46189</v>
      </c>
      <c r="V818" s="7" t="inlineStr">
        <is>
          <t>v1-db41edab064373dd</t>
        </is>
      </c>
    </row>
    <row r="819" ht="28" customHeight="1">
      <c r="A819" s="12">
        <f>IF($L819="applied","Applied",IF($L819="interview","Interview",IF($L819="offer","Offer",IF($L819="rejected","Rejected",IF($L819="ignore","Ignore",IF($L819="archive","Archive",IF($L819="closed","Closed",IF($B819="","Unscored",IF(AND($B819&gt;=8,OR($H819="",$H819-TODAY()&lt;=14)),"P1 Apply",IF($B819&gt;=7,"P2 Strong",IF($B819&gt;=5,"P3 Maybe","P4 Low")))))))))))</f>
        <v/>
      </c>
      <c r="B819" s="13" t="n">
        <v>1</v>
      </c>
      <c r="C819" s="12" t="inlineStr">
        <is>
          <t>Senior/Lead</t>
        </is>
      </c>
      <c r="D819" s="8" t="inlineStr">
        <is>
          <t>Senior Cloud Network Engineer</t>
        </is>
      </c>
      <c r="E819" s="7" t="inlineStr">
        <is>
          <t>Graphcore</t>
        </is>
      </c>
      <c r="F819" s="8" t="inlineStr">
        <is>
          <t>Bristol, UK</t>
        </is>
      </c>
      <c r="G819" s="8" t="n"/>
      <c r="H819" s="14" t="n"/>
      <c r="I819" s="15">
        <f>IF($H819="","",$H819-TODAY())</f>
        <v/>
      </c>
      <c r="J819" s="16" t="inlineStr">
        <is>
          <t>Open posting</t>
        </is>
      </c>
      <c r="K819" s="8" t="inlineStr">
        <is>
          <t>filtered by keyword pre-scan</t>
        </is>
      </c>
      <c r="L819" s="17" t="inlineStr">
        <is>
          <t>new</t>
        </is>
      </c>
      <c r="M819" s="18" t="inlineStr"/>
      <c r="N819" s="7" t="inlineStr">
        <is>
          <t>de6e3b268438c40e365c4f9989a118c39bd8a4a6</t>
        </is>
      </c>
      <c r="O819" s="14" t="n">
        <v>46189</v>
      </c>
      <c r="P819" s="7" t="inlineStr">
        <is>
          <t>greenhouse:graphcore</t>
        </is>
      </c>
      <c r="Q819" s="8" t="inlineStr"/>
      <c r="R819" s="8" t="n"/>
      <c r="S819" s="19" t="n"/>
      <c r="T819" s="19" t="n"/>
      <c r="U819" s="14" t="n">
        <v>46189</v>
      </c>
      <c r="V819" s="7" t="inlineStr">
        <is>
          <t>v1-db41edab064373dd</t>
        </is>
      </c>
    </row>
    <row r="820" ht="28" customHeight="1">
      <c r="A820" s="12">
        <f>IF($L820="applied","Applied",IF($L820="interview","Interview",IF($L820="offer","Offer",IF($L820="rejected","Rejected",IF($L820="ignore","Ignore",IF($L820="archive","Archive",IF($L820="closed","Closed",IF($B820="","Unscored",IF(AND($B820&gt;=8,OR($H820="",$H820-TODAY()&lt;=14)),"P1 Apply",IF($B820&gt;=7,"P2 Strong",IF($B820&gt;=5,"P3 Maybe","P4 Low")))))))))))</f>
        <v/>
      </c>
      <c r="B820" s="13" t="n">
        <v>1</v>
      </c>
      <c r="C820" s="12" t="inlineStr">
        <is>
          <t>Senior/Lead</t>
        </is>
      </c>
      <c r="D820" s="8" t="inlineStr">
        <is>
          <t>Senior Cloud Network Engineer</t>
        </is>
      </c>
      <c r="E820" s="7" t="inlineStr">
        <is>
          <t>Graphcore</t>
        </is>
      </c>
      <c r="F820" s="8" t="inlineStr">
        <is>
          <t>Bristol, UK</t>
        </is>
      </c>
      <c r="G820" s="8" t="n"/>
      <c r="H820" s="14" t="n"/>
      <c r="I820" s="15">
        <f>IF($H820="","",$H820-TODAY())</f>
        <v/>
      </c>
      <c r="J820" s="16" t="inlineStr">
        <is>
          <t>Open posting</t>
        </is>
      </c>
      <c r="K820" s="8" t="inlineStr">
        <is>
          <t>filtered by keyword pre-scan</t>
        </is>
      </c>
      <c r="L820" s="17" t="inlineStr">
        <is>
          <t>new</t>
        </is>
      </c>
      <c r="M820" s="18" t="inlineStr"/>
      <c r="N820" s="7" t="inlineStr">
        <is>
          <t>3879465bf3993b8c9621390b5ccf8f5881a10a52</t>
        </is>
      </c>
      <c r="O820" s="14" t="n">
        <v>46189</v>
      </c>
      <c r="P820" s="7" t="inlineStr">
        <is>
          <t>greenhouse:graphcore</t>
        </is>
      </c>
      <c r="Q820" s="8" t="inlineStr"/>
      <c r="R820" s="8" t="n"/>
      <c r="S820" s="19" t="n"/>
      <c r="T820" s="19" t="n"/>
      <c r="U820" s="14" t="n">
        <v>46189</v>
      </c>
      <c r="V820" s="7" t="inlineStr">
        <is>
          <t>v1-db41edab064373dd</t>
        </is>
      </c>
    </row>
    <row r="821" ht="28" customHeight="1">
      <c r="A821" s="12">
        <f>IF($L821="applied","Applied",IF($L821="interview","Interview",IF($L821="offer","Offer",IF($L821="rejected","Rejected",IF($L821="ignore","Ignore",IF($L821="archive","Archive",IF($L821="closed","Closed",IF($B821="","Unscored",IF(AND($B821&gt;=8,OR($H821="",$H821-TODAY()&lt;=14)),"P1 Apply",IF($B821&gt;=7,"P2 Strong",IF($B821&gt;=5,"P3 Maybe","P4 Low")))))))))))</f>
        <v/>
      </c>
      <c r="B821" s="13" t="n">
        <v>1</v>
      </c>
      <c r="C821" s="12" t="inlineStr">
        <is>
          <t>Senior/Lead</t>
        </is>
      </c>
      <c r="D821" s="8" t="inlineStr">
        <is>
          <t>Senior Cloud Network Engineer</t>
        </is>
      </c>
      <c r="E821" s="7" t="inlineStr">
        <is>
          <t>Graphcore</t>
        </is>
      </c>
      <c r="F821" s="8" t="inlineStr">
        <is>
          <t>London, UK</t>
        </is>
      </c>
      <c r="G821" s="8" t="n"/>
      <c r="H821" s="14" t="n"/>
      <c r="I821" s="15">
        <f>IF($H821="","",$H821-TODAY())</f>
        <v/>
      </c>
      <c r="J821" s="16" t="inlineStr">
        <is>
          <t>Open posting</t>
        </is>
      </c>
      <c r="K821" s="8" t="inlineStr">
        <is>
          <t>filtered by keyword pre-scan</t>
        </is>
      </c>
      <c r="L821" s="17" t="inlineStr">
        <is>
          <t>new</t>
        </is>
      </c>
      <c r="M821" s="18" t="inlineStr"/>
      <c r="N821" s="7" t="inlineStr">
        <is>
          <t>1b9a05cf169f3d55a20a621e766913d0a08c7e38</t>
        </is>
      </c>
      <c r="O821" s="14" t="n">
        <v>46189</v>
      </c>
      <c r="P821" s="7" t="inlineStr">
        <is>
          <t>greenhouse:graphcore</t>
        </is>
      </c>
      <c r="Q821" s="8" t="inlineStr"/>
      <c r="R821" s="8" t="n"/>
      <c r="S821" s="19" t="n"/>
      <c r="T821" s="19" t="n"/>
      <c r="U821" s="14" t="n">
        <v>46189</v>
      </c>
      <c r="V821" s="7" t="inlineStr">
        <is>
          <t>v1-db41edab064373dd</t>
        </is>
      </c>
    </row>
    <row r="822" ht="28" customHeight="1">
      <c r="A822" s="12">
        <f>IF($L822="applied","Applied",IF($L822="interview","Interview",IF($L822="offer","Offer",IF($L822="rejected","Rejected",IF($L822="ignore","Ignore",IF($L822="archive","Archive",IF($L822="closed","Closed",IF($B822="","Unscored",IF(AND($B822&gt;=8,OR($H822="",$H822-TODAY()&lt;=14)),"P1 Apply",IF($B822&gt;=7,"P2 Strong",IF($B822&gt;=5,"P3 Maybe","P4 Low")))))))))))</f>
        <v/>
      </c>
      <c r="B822" s="13" t="n">
        <v>1</v>
      </c>
      <c r="C822" s="12" t="inlineStr">
        <is>
          <t>Senior/Lead</t>
        </is>
      </c>
      <c r="D822" s="8" t="inlineStr">
        <is>
          <t>Senior Cloud Platform Engineer</t>
        </is>
      </c>
      <c r="E822" s="7" t="inlineStr">
        <is>
          <t>Graphcore</t>
        </is>
      </c>
      <c r="F822" s="8" t="inlineStr">
        <is>
          <t>Bristol, UK</t>
        </is>
      </c>
      <c r="G822" s="8" t="n"/>
      <c r="H822" s="14" t="n"/>
      <c r="I822" s="15">
        <f>IF($H822="","",$H822-TODAY())</f>
        <v/>
      </c>
      <c r="J822" s="16" t="inlineStr">
        <is>
          <t>Open posting</t>
        </is>
      </c>
      <c r="K822" s="8" t="inlineStr">
        <is>
          <t>filtered by keyword pre-scan</t>
        </is>
      </c>
      <c r="L822" s="17" t="inlineStr">
        <is>
          <t>new</t>
        </is>
      </c>
      <c r="M822" s="18" t="inlineStr"/>
      <c r="N822" s="7" t="inlineStr">
        <is>
          <t>3e64eead35f5b361f1335bc0a0d975bab87661e5</t>
        </is>
      </c>
      <c r="O822" s="14" t="n">
        <v>46189</v>
      </c>
      <c r="P822" s="7" t="inlineStr">
        <is>
          <t>greenhouse:graphcore</t>
        </is>
      </c>
      <c r="Q822" s="8" t="inlineStr"/>
      <c r="R822" s="8" t="n"/>
      <c r="S822" s="19" t="n"/>
      <c r="T822" s="19" t="n"/>
      <c r="U822" s="14" t="n">
        <v>46189</v>
      </c>
      <c r="V822" s="7" t="inlineStr">
        <is>
          <t>v1-db41edab064373dd</t>
        </is>
      </c>
    </row>
    <row r="823" ht="28" customHeight="1">
      <c r="A823" s="12">
        <f>IF($L823="applied","Applied",IF($L823="interview","Interview",IF($L823="offer","Offer",IF($L823="rejected","Rejected",IF($L823="ignore","Ignore",IF($L823="archive","Archive",IF($L823="closed","Closed",IF($B823="","Unscored",IF(AND($B823&gt;=8,OR($H823="",$H823-TODAY()&lt;=14)),"P1 Apply",IF($B823&gt;=7,"P2 Strong",IF($B823&gt;=5,"P3 Maybe","P4 Low")))))))))))</f>
        <v/>
      </c>
      <c r="B823" s="13" t="n">
        <v>1</v>
      </c>
      <c r="C823" s="12" t="inlineStr">
        <is>
          <t>Senior/Lead</t>
        </is>
      </c>
      <c r="D823" s="8" t="inlineStr">
        <is>
          <t>Senior Cloud Platform Engineer</t>
        </is>
      </c>
      <c r="E823" s="7" t="inlineStr">
        <is>
          <t>Graphcore</t>
        </is>
      </c>
      <c r="F823" s="8" t="inlineStr">
        <is>
          <t>Bristol, UK</t>
        </is>
      </c>
      <c r="G823" s="8" t="n"/>
      <c r="H823" s="14" t="n"/>
      <c r="I823" s="15">
        <f>IF($H823="","",$H823-TODAY())</f>
        <v/>
      </c>
      <c r="J823" s="16" t="inlineStr">
        <is>
          <t>Open posting</t>
        </is>
      </c>
      <c r="K823" s="8" t="inlineStr">
        <is>
          <t>filtered by keyword pre-scan</t>
        </is>
      </c>
      <c r="L823" s="17" t="inlineStr">
        <is>
          <t>new</t>
        </is>
      </c>
      <c r="M823" s="18" t="inlineStr"/>
      <c r="N823" s="7" t="inlineStr">
        <is>
          <t>9fdb4bdb11b5f9ca99eeee30a2bfe8078a99df52</t>
        </is>
      </c>
      <c r="O823" s="14" t="n">
        <v>46189</v>
      </c>
      <c r="P823" s="7" t="inlineStr">
        <is>
          <t>greenhouse:graphcore</t>
        </is>
      </c>
      <c r="Q823" s="8" t="inlineStr"/>
      <c r="R823" s="8" t="n"/>
      <c r="S823" s="19" t="n"/>
      <c r="T823" s="19" t="n"/>
      <c r="U823" s="14" t="n">
        <v>46189</v>
      </c>
      <c r="V823" s="7" t="inlineStr">
        <is>
          <t>v1-db41edab064373dd</t>
        </is>
      </c>
    </row>
    <row r="824" ht="28" customHeight="1">
      <c r="A824" s="12">
        <f>IF($L824="applied","Applied",IF($L824="interview","Interview",IF($L824="offer","Offer",IF($L824="rejected","Rejected",IF($L824="ignore","Ignore",IF($L824="archive","Archive",IF($L824="closed","Closed",IF($B824="","Unscored",IF(AND($B824&gt;=8,OR($H824="",$H824-TODAY()&lt;=14)),"P1 Apply",IF($B824&gt;=7,"P2 Strong",IF($B824&gt;=5,"P3 Maybe","P4 Low")))))))))))</f>
        <v/>
      </c>
      <c r="B824" s="13" t="n">
        <v>1</v>
      </c>
      <c r="C824" s="12" t="inlineStr">
        <is>
          <t>Senior/Lead</t>
        </is>
      </c>
      <c r="D824" s="8" t="inlineStr">
        <is>
          <t>Senior Cloud Platform Engineer</t>
        </is>
      </c>
      <c r="E824" s="7" t="inlineStr">
        <is>
          <t>Graphcore</t>
        </is>
      </c>
      <c r="F824" s="8" t="inlineStr">
        <is>
          <t>London, UK</t>
        </is>
      </c>
      <c r="G824" s="8" t="n"/>
      <c r="H824" s="14" t="n"/>
      <c r="I824" s="15">
        <f>IF($H824="","",$H824-TODAY())</f>
        <v/>
      </c>
      <c r="J824" s="16" t="inlineStr">
        <is>
          <t>Open posting</t>
        </is>
      </c>
      <c r="K824" s="8" t="inlineStr">
        <is>
          <t>filtered by keyword pre-scan</t>
        </is>
      </c>
      <c r="L824" s="17" t="inlineStr">
        <is>
          <t>new</t>
        </is>
      </c>
      <c r="M824" s="18" t="inlineStr"/>
      <c r="N824" s="7" t="inlineStr">
        <is>
          <t>55ea3d84d69a9660283cfc90a729ad52067fc667</t>
        </is>
      </c>
      <c r="O824" s="14" t="n">
        <v>46189</v>
      </c>
      <c r="P824" s="7" t="inlineStr">
        <is>
          <t>greenhouse:graphcore</t>
        </is>
      </c>
      <c r="Q824" s="8" t="inlineStr"/>
      <c r="R824" s="8" t="n"/>
      <c r="S824" s="19" t="n"/>
      <c r="T824" s="19" t="n"/>
      <c r="U824" s="14" t="n">
        <v>46189</v>
      </c>
      <c r="V824" s="7" t="inlineStr">
        <is>
          <t>v1-db41edab064373dd</t>
        </is>
      </c>
    </row>
    <row r="825" ht="28" customHeight="1">
      <c r="A825" s="12">
        <f>IF($L825="applied","Applied",IF($L825="interview","Interview",IF($L825="offer","Offer",IF($L825="rejected","Rejected",IF($L825="ignore","Ignore",IF($L825="archive","Archive",IF($L825="closed","Closed",IF($B825="","Unscored",IF(AND($B825&gt;=8,OR($H825="",$H825-TODAY()&lt;=14)),"P1 Apply",IF($B825&gt;=7,"P2 Strong",IF($B825&gt;=5,"P3 Maybe","P4 Low")))))))))))</f>
        <v/>
      </c>
      <c r="B825" s="13" t="n">
        <v>1</v>
      </c>
      <c r="C825" s="12" t="inlineStr">
        <is>
          <t>Senior/Lead</t>
        </is>
      </c>
      <c r="D825" s="8" t="inlineStr">
        <is>
          <t>Senior Cloud Software Engineer</t>
        </is>
      </c>
      <c r="E825" s="7" t="inlineStr">
        <is>
          <t>Graphcore</t>
        </is>
      </c>
      <c r="F825" s="8" t="inlineStr">
        <is>
          <t>Gdańsk, Pomeranian Voivodeship, Poland</t>
        </is>
      </c>
      <c r="G825" s="8" t="n"/>
      <c r="H825" s="14" t="n"/>
      <c r="I825" s="15">
        <f>IF($H825="","",$H825-TODAY())</f>
        <v/>
      </c>
      <c r="J825" s="16" t="inlineStr">
        <is>
          <t>Open posting</t>
        </is>
      </c>
      <c r="K825" s="8" t="inlineStr">
        <is>
          <t>filtered by keyword pre-scan</t>
        </is>
      </c>
      <c r="L825" s="17" t="inlineStr">
        <is>
          <t>new</t>
        </is>
      </c>
      <c r="M825" s="18" t="inlineStr"/>
      <c r="N825" s="7" t="inlineStr">
        <is>
          <t>2361e91536d7ee00e548eac01b211d6272886f45</t>
        </is>
      </c>
      <c r="O825" s="14" t="n">
        <v>46189</v>
      </c>
      <c r="P825" s="7" t="inlineStr">
        <is>
          <t>greenhouse:graphcore</t>
        </is>
      </c>
      <c r="Q825" s="8" t="inlineStr"/>
      <c r="R825" s="8" t="n"/>
      <c r="S825" s="19" t="n"/>
      <c r="T825" s="19" t="n"/>
      <c r="U825" s="14" t="n">
        <v>46189</v>
      </c>
      <c r="V825" s="7" t="inlineStr">
        <is>
          <t>v1-db41edab064373dd</t>
        </is>
      </c>
    </row>
    <row r="826" ht="28" customHeight="1">
      <c r="A826" s="12">
        <f>IF($L826="applied","Applied",IF($L826="interview","Interview",IF($L826="offer","Offer",IF($L826="rejected","Rejected",IF($L826="ignore","Ignore",IF($L826="archive","Archive",IF($L826="closed","Closed",IF($B826="","Unscored",IF(AND($B826&gt;=8,OR($H826="",$H826-TODAY()&lt;=14)),"P1 Apply",IF($B826&gt;=7,"P2 Strong",IF($B826&gt;=5,"P3 Maybe","P4 Low")))))))))))</f>
        <v/>
      </c>
      <c r="B826" s="13" t="n">
        <v>1</v>
      </c>
      <c r="C826" s="12" t="inlineStr">
        <is>
          <t>Senior/Lead</t>
        </is>
      </c>
      <c r="D826" s="8" t="inlineStr">
        <is>
          <t>Senior Component Engineer</t>
        </is>
      </c>
      <c r="E826" s="7" t="inlineStr">
        <is>
          <t>Graphcore</t>
        </is>
      </c>
      <c r="F826" s="8" t="inlineStr">
        <is>
          <t>Bristol, UK</t>
        </is>
      </c>
      <c r="G826" s="8" t="n"/>
      <c r="H826" s="14" t="n"/>
      <c r="I826" s="15">
        <f>IF($H826="","",$H826-TODAY())</f>
        <v/>
      </c>
      <c r="J826" s="16" t="inlineStr">
        <is>
          <t>Open posting</t>
        </is>
      </c>
      <c r="K826" s="8" t="inlineStr">
        <is>
          <t>filtered by keyword pre-scan</t>
        </is>
      </c>
      <c r="L826" s="17" t="inlineStr">
        <is>
          <t>new</t>
        </is>
      </c>
      <c r="M826" s="18" t="inlineStr"/>
      <c r="N826" s="7" t="inlineStr">
        <is>
          <t>3e9a1dc0ccce7f92b617c64cbf302bb712bef2b3</t>
        </is>
      </c>
      <c r="O826" s="14" t="n">
        <v>46189</v>
      </c>
      <c r="P826" s="7" t="inlineStr">
        <is>
          <t>greenhouse:graphcore</t>
        </is>
      </c>
      <c r="Q826" s="8" t="inlineStr"/>
      <c r="R826" s="8" t="n"/>
      <c r="S826" s="19" t="n"/>
      <c r="T826" s="19" t="n"/>
      <c r="U826" s="14" t="n">
        <v>46189</v>
      </c>
      <c r="V826" s="7" t="inlineStr">
        <is>
          <t>v1-db41edab064373dd</t>
        </is>
      </c>
    </row>
    <row r="827" ht="28" customHeight="1">
      <c r="A827" s="12">
        <f>IF($L827="applied","Applied",IF($L827="interview","Interview",IF($L827="offer","Offer",IF($L827="rejected","Rejected",IF($L827="ignore","Ignore",IF($L827="archive","Archive",IF($L827="closed","Closed",IF($B827="","Unscored",IF(AND($B827&gt;=8,OR($H827="",$H827-TODAY()&lt;=14)),"P1 Apply",IF($B827&gt;=7,"P2 Strong",IF($B827&gt;=5,"P3 Maybe","P4 Low")))))))))))</f>
        <v/>
      </c>
      <c r="B827" s="13" t="n">
        <v>1</v>
      </c>
      <c r="C827" s="12" t="inlineStr">
        <is>
          <t>Senior/Lead</t>
        </is>
      </c>
      <c r="D827" s="8" t="inlineStr">
        <is>
          <t>Senior Engineer (ML Engineer)</t>
        </is>
      </c>
      <c r="E827" s="7" t="inlineStr">
        <is>
          <t>Graphcore</t>
        </is>
      </c>
      <c r="F827" s="8" t="inlineStr">
        <is>
          <t>London, UK</t>
        </is>
      </c>
      <c r="G827" s="8" t="n"/>
      <c r="H827" s="14" t="n"/>
      <c r="I827" s="15">
        <f>IF($H827="","",$H827-TODAY())</f>
        <v/>
      </c>
      <c r="J827" s="16" t="inlineStr">
        <is>
          <t>Open posting</t>
        </is>
      </c>
      <c r="K827" s="8" t="inlineStr">
        <is>
          <t>filtered by keyword pre-scan</t>
        </is>
      </c>
      <c r="L827" s="17" t="inlineStr">
        <is>
          <t>new</t>
        </is>
      </c>
      <c r="M827" s="18" t="inlineStr"/>
      <c r="N827" s="7" t="inlineStr">
        <is>
          <t>c1a5f8d5e9aa49f06dcfb77932f861fc590eabf4</t>
        </is>
      </c>
      <c r="O827" s="14" t="n">
        <v>46189</v>
      </c>
      <c r="P827" s="7" t="inlineStr">
        <is>
          <t>greenhouse:graphcore</t>
        </is>
      </c>
      <c r="Q827" s="8" t="inlineStr"/>
      <c r="R827" s="8" t="n"/>
      <c r="S827" s="19" t="n"/>
      <c r="T827" s="19" t="n"/>
      <c r="U827" s="14" t="n">
        <v>46189</v>
      </c>
      <c r="V827" s="7" t="inlineStr">
        <is>
          <t>v1-db41edab064373dd</t>
        </is>
      </c>
    </row>
    <row r="828" ht="28" customHeight="1">
      <c r="A828" s="12">
        <f>IF($L828="applied","Applied",IF($L828="interview","Interview",IF($L828="offer","Offer",IF($L828="rejected","Rejected",IF($L828="ignore","Ignore",IF($L828="archive","Archive",IF($L828="closed","Closed",IF($B828="","Unscored",IF(AND($B828&gt;=8,OR($H828="",$H828-TODAY()&lt;=14)),"P1 Apply",IF($B828&gt;=7,"P2 Strong",IF($B828&gt;=5,"P3 Maybe","P4 Low")))))))))))</f>
        <v/>
      </c>
      <c r="B828" s="13" t="n">
        <v>1</v>
      </c>
      <c r="C828" s="12" t="inlineStr">
        <is>
          <t>Senior/Lead</t>
        </is>
      </c>
      <c r="D828" s="8" t="inlineStr">
        <is>
          <t>Senior Engineer (ML Engineer)</t>
        </is>
      </c>
      <c r="E828" s="7" t="inlineStr">
        <is>
          <t>Graphcore</t>
        </is>
      </c>
      <c r="F828" s="8" t="inlineStr">
        <is>
          <t>Cambridge, UK</t>
        </is>
      </c>
      <c r="G828" s="8" t="n"/>
      <c r="H828" s="14" t="n"/>
      <c r="I828" s="15">
        <f>IF($H828="","",$H828-TODAY())</f>
        <v/>
      </c>
      <c r="J828" s="16" t="inlineStr">
        <is>
          <t>Open posting</t>
        </is>
      </c>
      <c r="K828" s="8" t="inlineStr">
        <is>
          <t>filtered by keyword pre-scan</t>
        </is>
      </c>
      <c r="L828" s="17" t="inlineStr">
        <is>
          <t>new</t>
        </is>
      </c>
      <c r="M828" s="18" t="inlineStr"/>
      <c r="N828" s="7" t="inlineStr">
        <is>
          <t>b0e442308f93faede470106045ec678ef598bd17</t>
        </is>
      </c>
      <c r="O828" s="14" t="n">
        <v>46189</v>
      </c>
      <c r="P828" s="7" t="inlineStr">
        <is>
          <t>greenhouse:graphcore</t>
        </is>
      </c>
      <c r="Q828" s="8" t="inlineStr"/>
      <c r="R828" s="8" t="n"/>
      <c r="S828" s="19" t="n"/>
      <c r="T828" s="19" t="n"/>
      <c r="U828" s="14" t="n">
        <v>46189</v>
      </c>
      <c r="V828" s="7" t="inlineStr">
        <is>
          <t>v1-db41edab064373dd</t>
        </is>
      </c>
    </row>
    <row r="829" ht="28" customHeight="1">
      <c r="A829" s="12">
        <f>IF($L829="applied","Applied",IF($L829="interview","Interview",IF($L829="offer","Offer",IF($L829="rejected","Rejected",IF($L829="ignore","Ignore",IF($L829="archive","Archive",IF($L829="closed","Closed",IF($B829="","Unscored",IF(AND($B829&gt;=8,OR($H829="",$H829-TODAY()&lt;=14)),"P1 Apply",IF($B829&gt;=7,"P2 Strong",IF($B829&gt;=5,"P3 Maybe","P4 Low")))))))))))</f>
        <v/>
      </c>
      <c r="B829" s="13" t="n">
        <v>1</v>
      </c>
      <c r="C829" s="12" t="inlineStr">
        <is>
          <t>Senior/Lead</t>
        </is>
      </c>
      <c r="D829" s="8" t="inlineStr">
        <is>
          <t>Senior Engineer (ML Engineer)</t>
        </is>
      </c>
      <c r="E829" s="7" t="inlineStr">
        <is>
          <t>Graphcore</t>
        </is>
      </c>
      <c r="F829" s="8" t="inlineStr">
        <is>
          <t>Bristol, UK</t>
        </is>
      </c>
      <c r="G829" s="8" t="n"/>
      <c r="H829" s="14" t="n"/>
      <c r="I829" s="15">
        <f>IF($H829="","",$H829-TODAY())</f>
        <v/>
      </c>
      <c r="J829" s="16" t="inlineStr">
        <is>
          <t>Open posting</t>
        </is>
      </c>
      <c r="K829" s="8" t="inlineStr">
        <is>
          <t>filtered by keyword pre-scan</t>
        </is>
      </c>
      <c r="L829" s="17" t="inlineStr">
        <is>
          <t>new</t>
        </is>
      </c>
      <c r="M829" s="18" t="inlineStr"/>
      <c r="N829" s="7" t="inlineStr">
        <is>
          <t>5ecde877e4e189f75c9638b578dfadea8d81517e</t>
        </is>
      </c>
      <c r="O829" s="14" t="n">
        <v>46189</v>
      </c>
      <c r="P829" s="7" t="inlineStr">
        <is>
          <t>greenhouse:graphcore</t>
        </is>
      </c>
      <c r="Q829" s="8" t="inlineStr"/>
      <c r="R829" s="8" t="n"/>
      <c r="S829" s="19" t="n"/>
      <c r="T829" s="19" t="n"/>
      <c r="U829" s="14" t="n">
        <v>46189</v>
      </c>
      <c r="V829" s="7" t="inlineStr">
        <is>
          <t>v1-db41edab064373dd</t>
        </is>
      </c>
    </row>
    <row r="830" ht="28" customHeight="1">
      <c r="A830" s="12">
        <f>IF($L830="applied","Applied",IF($L830="interview","Interview",IF($L830="offer","Offer",IF($L830="rejected","Rejected",IF($L830="ignore","Ignore",IF($L830="archive","Archive",IF($L830="closed","Closed",IF($B830="","Unscored",IF(AND($B830&gt;=8,OR($H830="",$H830-TODAY()&lt;=14)),"P1 Apply",IF($B830&gt;=7,"P2 Strong",IF($B830&gt;=5,"P3 Maybe","P4 Low")))))))))))</f>
        <v/>
      </c>
      <c r="B830" s="13" t="n">
        <v>1</v>
      </c>
      <c r="C830" s="12" t="inlineStr">
        <is>
          <t>Senior/Lead</t>
        </is>
      </c>
      <c r="D830" s="8" t="inlineStr">
        <is>
          <t>Senior Firmware Validation Engineer</t>
        </is>
      </c>
      <c r="E830" s="7" t="inlineStr">
        <is>
          <t>Graphcore</t>
        </is>
      </c>
      <c r="F830" s="8" t="inlineStr">
        <is>
          <t>Austin, Texas, United States</t>
        </is>
      </c>
      <c r="G830" s="8" t="n"/>
      <c r="H830" s="14" t="n"/>
      <c r="I830" s="15">
        <f>IF($H830="","",$H830-TODAY())</f>
        <v/>
      </c>
      <c r="J830" s="16" t="inlineStr">
        <is>
          <t>Open posting</t>
        </is>
      </c>
      <c r="K830" s="8" t="inlineStr">
        <is>
          <t>filtered by keyword pre-scan</t>
        </is>
      </c>
      <c r="L830" s="17" t="inlineStr">
        <is>
          <t>new</t>
        </is>
      </c>
      <c r="M830" s="18" t="inlineStr"/>
      <c r="N830" s="7" t="inlineStr">
        <is>
          <t>282a16aac0a71e67cc63676ab73b9ec7b9a49b73</t>
        </is>
      </c>
      <c r="O830" s="14" t="n">
        <v>46189</v>
      </c>
      <c r="P830" s="7" t="inlineStr">
        <is>
          <t>greenhouse:graphcore</t>
        </is>
      </c>
      <c r="Q830" s="8" t="inlineStr"/>
      <c r="R830" s="8" t="n"/>
      <c r="S830" s="19" t="n"/>
      <c r="T830" s="19" t="n"/>
      <c r="U830" s="14" t="n">
        <v>46189</v>
      </c>
      <c r="V830" s="7" t="inlineStr">
        <is>
          <t>v1-db41edab064373dd</t>
        </is>
      </c>
    </row>
    <row r="831" ht="28" customHeight="1">
      <c r="A831" s="12">
        <f>IF($L831="applied","Applied",IF($L831="interview","Interview",IF($L831="offer","Offer",IF($L831="rejected","Rejected",IF($L831="ignore","Ignore",IF($L831="archive","Archive",IF($L831="closed","Closed",IF($B831="","Unscored",IF(AND($B831&gt;=8,OR($H831="",$H831-TODAY()&lt;=14)),"P1 Apply",IF($B831&gt;=7,"P2 Strong",IF($B831&gt;=5,"P3 Maybe","P4 Low")))))))))))</f>
        <v/>
      </c>
      <c r="B831" s="13" t="n">
        <v>1</v>
      </c>
      <c r="C831" s="12" t="inlineStr">
        <is>
          <t>Senior/Lead</t>
        </is>
      </c>
      <c r="D831" s="8" t="inlineStr">
        <is>
          <t>Senior ISO Auditor</t>
        </is>
      </c>
      <c r="E831" s="7" t="inlineStr">
        <is>
          <t>Graphcore</t>
        </is>
      </c>
      <c r="F831" s="8" t="inlineStr">
        <is>
          <t>Bristol, UK</t>
        </is>
      </c>
      <c r="G831" s="8" t="n"/>
      <c r="H831" s="14" t="n"/>
      <c r="I831" s="15">
        <f>IF($H831="","",$H831-TODAY())</f>
        <v/>
      </c>
      <c r="J831" s="16" t="inlineStr">
        <is>
          <t>Open posting</t>
        </is>
      </c>
      <c r="K831" s="8" t="inlineStr">
        <is>
          <t>filtered by keyword pre-scan</t>
        </is>
      </c>
      <c r="L831" s="17" t="inlineStr">
        <is>
          <t>new</t>
        </is>
      </c>
      <c r="M831" s="18" t="inlineStr"/>
      <c r="N831" s="7" t="inlineStr">
        <is>
          <t>248f85b29b2e626f71ef201ff7d689b6410cda9f</t>
        </is>
      </c>
      <c r="O831" s="14" t="n">
        <v>46189</v>
      </c>
      <c r="P831" s="7" t="inlineStr">
        <is>
          <t>greenhouse:graphcore</t>
        </is>
      </c>
      <c r="Q831" s="8" t="inlineStr"/>
      <c r="R831" s="8" t="n"/>
      <c r="S831" s="19" t="n"/>
      <c r="T831" s="19" t="n"/>
      <c r="U831" s="14" t="n">
        <v>46189</v>
      </c>
      <c r="V831" s="7" t="inlineStr">
        <is>
          <t>v1-db41edab064373dd</t>
        </is>
      </c>
    </row>
    <row r="832" ht="28" customHeight="1">
      <c r="A832" s="12">
        <f>IF($L832="applied","Applied",IF($L832="interview","Interview",IF($L832="offer","Offer",IF($L832="rejected","Rejected",IF($L832="ignore","Ignore",IF($L832="archive","Archive",IF($L832="closed","Closed",IF($B832="","Unscored",IF(AND($B832&gt;=8,OR($H832="",$H832-TODAY()&lt;=14)),"P1 Apply",IF($B832&gt;=7,"P2 Strong",IF($B832&gt;=5,"P3 Maybe","P4 Low")))))))))))</f>
        <v/>
      </c>
      <c r="B832" s="13" t="n">
        <v>1</v>
      </c>
      <c r="C832" s="12" t="inlineStr">
        <is>
          <t>Senior/Lead</t>
        </is>
      </c>
      <c r="D832" s="8" t="inlineStr">
        <is>
          <t>Senior Kubernetes Software Engineer (Go)</t>
        </is>
      </c>
      <c r="E832" s="7" t="inlineStr">
        <is>
          <t>Graphcore</t>
        </is>
      </c>
      <c r="F832" s="8" t="inlineStr">
        <is>
          <t>Gdańsk, Pomeranian Voivodeship, Poland</t>
        </is>
      </c>
      <c r="G832" s="8" t="n"/>
      <c r="H832" s="14" t="n"/>
      <c r="I832" s="15">
        <f>IF($H832="","",$H832-TODAY())</f>
        <v/>
      </c>
      <c r="J832" s="16" t="inlineStr">
        <is>
          <t>Open posting</t>
        </is>
      </c>
      <c r="K832" s="8" t="inlineStr">
        <is>
          <t>filtered by keyword pre-scan</t>
        </is>
      </c>
      <c r="L832" s="17" t="inlineStr">
        <is>
          <t>new</t>
        </is>
      </c>
      <c r="M832" s="18" t="inlineStr"/>
      <c r="N832" s="7" t="inlineStr">
        <is>
          <t>00493adf31bea59bd419144d4d81f03952898cf4</t>
        </is>
      </c>
      <c r="O832" s="14" t="n">
        <v>46189</v>
      </c>
      <c r="P832" s="7" t="inlineStr">
        <is>
          <t>greenhouse:graphcore</t>
        </is>
      </c>
      <c r="Q832" s="8" t="inlineStr"/>
      <c r="R832" s="8" t="n"/>
      <c r="S832" s="19" t="n"/>
      <c r="T832" s="19" t="n"/>
      <c r="U832" s="14" t="n">
        <v>46189</v>
      </c>
      <c r="V832" s="7" t="inlineStr">
        <is>
          <t>v1-db41edab064373dd</t>
        </is>
      </c>
    </row>
    <row r="833" ht="28" customHeight="1">
      <c r="A833" s="12">
        <f>IF($L833="applied","Applied",IF($L833="interview","Interview",IF($L833="offer","Offer",IF($L833="rejected","Rejected",IF($L833="ignore","Ignore",IF($L833="archive","Archive",IF($L833="closed","Closed",IF($B833="","Unscored",IF(AND($B833&gt;=8,OR($H833="",$H833-TODAY()&lt;=14)),"P1 Apply",IF($B833&gt;=7,"P2 Strong",IF($B833&gt;=5,"P3 Maybe","P4 Low")))))))))))</f>
        <v/>
      </c>
      <c r="B833" s="13" t="n">
        <v>1</v>
      </c>
      <c r="C833" s="12" t="inlineStr">
        <is>
          <t>Senior/Lead</t>
        </is>
      </c>
      <c r="D833" s="8" t="inlineStr">
        <is>
          <t>Senior Lab Technician</t>
        </is>
      </c>
      <c r="E833" s="7" t="inlineStr">
        <is>
          <t>Graphcore</t>
        </is>
      </c>
      <c r="F833" s="8" t="inlineStr">
        <is>
          <t>Austin, Texas, United States</t>
        </is>
      </c>
      <c r="G833" s="8" t="n"/>
      <c r="H833" s="14" t="n"/>
      <c r="I833" s="15">
        <f>IF($H833="","",$H833-TODAY())</f>
        <v/>
      </c>
      <c r="J833" s="16" t="inlineStr">
        <is>
          <t>Open posting</t>
        </is>
      </c>
      <c r="K833" s="8" t="inlineStr">
        <is>
          <t>filtered by keyword pre-scan</t>
        </is>
      </c>
      <c r="L833" s="17" t="inlineStr">
        <is>
          <t>new</t>
        </is>
      </c>
      <c r="M833" s="18" t="inlineStr"/>
      <c r="N833" s="7" t="inlineStr">
        <is>
          <t>44efcecdf292bf3c6278e5efd7599abafb1e59e0</t>
        </is>
      </c>
      <c r="O833" s="14" t="n">
        <v>46189</v>
      </c>
      <c r="P833" s="7" t="inlineStr">
        <is>
          <t>greenhouse:graphcore</t>
        </is>
      </c>
      <c r="Q833" s="8" t="inlineStr"/>
      <c r="R833" s="8" t="n"/>
      <c r="S833" s="19" t="n"/>
      <c r="T833" s="19" t="n"/>
      <c r="U833" s="14" t="n">
        <v>46189</v>
      </c>
      <c r="V833" s="7" t="inlineStr">
        <is>
          <t>v1-db41edab064373dd</t>
        </is>
      </c>
    </row>
    <row r="834" ht="28" customHeight="1">
      <c r="A834" s="12">
        <f>IF($L834="applied","Applied",IF($L834="interview","Interview",IF($L834="offer","Offer",IF($L834="rejected","Rejected",IF($L834="ignore","Ignore",IF($L834="archive","Archive",IF($L834="closed","Closed",IF($B834="","Unscored",IF(AND($B834&gt;=8,OR($H834="",$H834-TODAY()&lt;=14)),"P1 Apply",IF($B834&gt;=7,"P2 Strong",IF($B834&gt;=5,"P3 Maybe","P4 Low")))))))))))</f>
        <v/>
      </c>
      <c r="B834" s="13" t="n">
        <v>1</v>
      </c>
      <c r="C834" s="12" t="inlineStr">
        <is>
          <t>Senior/Lead</t>
        </is>
      </c>
      <c r="D834" s="8" t="inlineStr">
        <is>
          <t>Senior Machine Learning Engineer (Large Systems)</t>
        </is>
      </c>
      <c r="E834" s="7" t="inlineStr">
        <is>
          <t>Graphcore</t>
        </is>
      </c>
      <c r="F834" s="8" t="inlineStr">
        <is>
          <t>Gdańsk, Pomeranian Voivodeship, Poland</t>
        </is>
      </c>
      <c r="G834" s="8" t="n"/>
      <c r="H834" s="14" t="n"/>
      <c r="I834" s="15">
        <f>IF($H834="","",$H834-TODAY())</f>
        <v/>
      </c>
      <c r="J834" s="16" t="inlineStr">
        <is>
          <t>Open posting</t>
        </is>
      </c>
      <c r="K834" s="8" t="inlineStr">
        <is>
          <t>filtered by keyword pre-scan</t>
        </is>
      </c>
      <c r="L834" s="17" t="inlineStr">
        <is>
          <t>new</t>
        </is>
      </c>
      <c r="M834" s="18" t="inlineStr"/>
      <c r="N834" s="7" t="inlineStr">
        <is>
          <t>a9d80956c8e96541cde433f4bda9f990bd4728ce</t>
        </is>
      </c>
      <c r="O834" s="14" t="n">
        <v>46189</v>
      </c>
      <c r="P834" s="7" t="inlineStr">
        <is>
          <t>greenhouse:graphcore</t>
        </is>
      </c>
      <c r="Q834" s="8" t="inlineStr"/>
      <c r="R834" s="8" t="n"/>
      <c r="S834" s="19" t="n"/>
      <c r="T834" s="19" t="n"/>
      <c r="U834" s="14" t="n">
        <v>46189</v>
      </c>
      <c r="V834" s="7" t="inlineStr">
        <is>
          <t>v1-db41edab064373dd</t>
        </is>
      </c>
    </row>
    <row r="835" ht="28" customHeight="1">
      <c r="A835" s="12">
        <f>IF($L835="applied","Applied",IF($L835="interview","Interview",IF($L835="offer","Offer",IF($L835="rejected","Rejected",IF($L835="ignore","Ignore",IF($L835="archive","Archive",IF($L835="closed","Closed",IF($B835="","Unscored",IF(AND($B835&gt;=8,OR($H835="",$H835-TODAY()&lt;=14)),"P1 Apply",IF($B835&gt;=7,"P2 Strong",IF($B835&gt;=5,"P3 Maybe","P4 Low")))))))))))</f>
        <v/>
      </c>
      <c r="B835" s="13" t="n">
        <v>1</v>
      </c>
      <c r="C835" s="12" t="inlineStr">
        <is>
          <t>Senior/Lead</t>
        </is>
      </c>
      <c r="D835" s="8" t="inlineStr">
        <is>
          <t>Senior Machine Learning Engineer (Large Systems)</t>
        </is>
      </c>
      <c r="E835" s="7" t="inlineStr">
        <is>
          <t>Graphcore</t>
        </is>
      </c>
      <c r="F835" s="8" t="inlineStr">
        <is>
          <t>Bristol, UK; Cambridge, UK; London, UK</t>
        </is>
      </c>
      <c r="G835" s="8" t="n"/>
      <c r="H835" s="14" t="n"/>
      <c r="I835" s="15">
        <f>IF($H835="","",$H835-TODAY())</f>
        <v/>
      </c>
      <c r="J835" s="16" t="inlineStr">
        <is>
          <t>Open posting</t>
        </is>
      </c>
      <c r="K835" s="8" t="inlineStr">
        <is>
          <t>filtered by keyword pre-scan</t>
        </is>
      </c>
      <c r="L835" s="17" t="inlineStr">
        <is>
          <t>new</t>
        </is>
      </c>
      <c r="M835" s="18" t="inlineStr"/>
      <c r="N835" s="7" t="inlineStr">
        <is>
          <t>15eb1af4841d1ed0a49d48cc7f13a9dc363a3675</t>
        </is>
      </c>
      <c r="O835" s="14" t="n">
        <v>46189</v>
      </c>
      <c r="P835" s="7" t="inlineStr">
        <is>
          <t>greenhouse:graphcore</t>
        </is>
      </c>
      <c r="Q835" s="8" t="inlineStr"/>
      <c r="R835" s="8" t="n"/>
      <c r="S835" s="19" t="n"/>
      <c r="T835" s="19" t="n"/>
      <c r="U835" s="14" t="n">
        <v>46189</v>
      </c>
      <c r="V835" s="7" t="inlineStr">
        <is>
          <t>v1-db41edab064373dd</t>
        </is>
      </c>
    </row>
    <row r="836" ht="28" customHeight="1">
      <c r="A836" s="12">
        <f>IF($L836="applied","Applied",IF($L836="interview","Interview",IF($L836="offer","Offer",IF($L836="rejected","Rejected",IF($L836="ignore","Ignore",IF($L836="archive","Archive",IF($L836="closed","Closed",IF($B836="","Unscored",IF(AND($B836&gt;=8,OR($H836="",$H836-TODAY()&lt;=14)),"P1 Apply",IF($B836&gt;=7,"P2 Strong",IF($B836&gt;=5,"P3 Maybe","P4 Low")))))))))))</f>
        <v/>
      </c>
      <c r="B836" s="13" t="n">
        <v>1</v>
      </c>
      <c r="C836" s="12" t="inlineStr">
        <is>
          <t>Senior/Lead</t>
        </is>
      </c>
      <c r="D836" s="8" t="inlineStr">
        <is>
          <t>Senior Machine Learning Engineer (Large Systems)</t>
        </is>
      </c>
      <c r="E836" s="7" t="inlineStr">
        <is>
          <t>Graphcore</t>
        </is>
      </c>
      <c r="F836" s="8" t="inlineStr">
        <is>
          <t>Bristol, UK; Cambridge, UK; London, UK</t>
        </is>
      </c>
      <c r="G836" s="8" t="n"/>
      <c r="H836" s="14" t="n"/>
      <c r="I836" s="15">
        <f>IF($H836="","",$H836-TODAY())</f>
        <v/>
      </c>
      <c r="J836" s="16" t="inlineStr">
        <is>
          <t>Open posting</t>
        </is>
      </c>
      <c r="K836" s="8" t="inlineStr">
        <is>
          <t>filtered by keyword pre-scan</t>
        </is>
      </c>
      <c r="L836" s="17" t="inlineStr">
        <is>
          <t>new</t>
        </is>
      </c>
      <c r="M836" s="18" t="inlineStr"/>
      <c r="N836" s="7" t="inlineStr">
        <is>
          <t>d33343027d9ef19e587554898ecfef942ea94627</t>
        </is>
      </c>
      <c r="O836" s="14" t="n">
        <v>46189</v>
      </c>
      <c r="P836" s="7" t="inlineStr">
        <is>
          <t>greenhouse:graphcore</t>
        </is>
      </c>
      <c r="Q836" s="8" t="inlineStr"/>
      <c r="R836" s="8" t="n"/>
      <c r="S836" s="19" t="n"/>
      <c r="T836" s="19" t="n"/>
      <c r="U836" s="14" t="n">
        <v>46189</v>
      </c>
      <c r="V836" s="7" t="inlineStr">
        <is>
          <t>v1-db41edab064373dd</t>
        </is>
      </c>
    </row>
    <row r="837" ht="28" customHeight="1">
      <c r="A837" s="12">
        <f>IF($L837="applied","Applied",IF($L837="interview","Interview",IF($L837="offer","Offer",IF($L837="rejected","Rejected",IF($L837="ignore","Ignore",IF($L837="archive","Archive",IF($L837="closed","Closed",IF($B837="","Unscored",IF(AND($B837&gt;=8,OR($H837="",$H837-TODAY()&lt;=14)),"P1 Apply",IF($B837&gt;=7,"P2 Strong",IF($B837&gt;=5,"P3 Maybe","P4 Low")))))))))))</f>
        <v/>
      </c>
      <c r="B837" s="13" t="n">
        <v>1</v>
      </c>
      <c r="C837" s="12" t="inlineStr">
        <is>
          <t>Senior/Lead</t>
        </is>
      </c>
      <c r="D837" s="8" t="inlineStr">
        <is>
          <t>Senior Post Silicon Validation Engineer (Bringup)</t>
        </is>
      </c>
      <c r="E837" s="7" t="inlineStr">
        <is>
          <t>Graphcore</t>
        </is>
      </c>
      <c r="F837" s="8" t="inlineStr">
        <is>
          <t>Austin, Texas, United States</t>
        </is>
      </c>
      <c r="G837" s="8" t="n"/>
      <c r="H837" s="14" t="n"/>
      <c r="I837" s="15">
        <f>IF($H837="","",$H837-TODAY())</f>
        <v/>
      </c>
      <c r="J837" s="16" t="inlineStr">
        <is>
          <t>Open posting</t>
        </is>
      </c>
      <c r="K837" s="8" t="inlineStr">
        <is>
          <t>filtered by keyword pre-scan</t>
        </is>
      </c>
      <c r="L837" s="17" t="inlineStr">
        <is>
          <t>new</t>
        </is>
      </c>
      <c r="M837" s="18" t="inlineStr"/>
      <c r="N837" s="7" t="inlineStr">
        <is>
          <t>e15eaf75c513388b223321cefca822a41eb9a2e6</t>
        </is>
      </c>
      <c r="O837" s="14" t="n">
        <v>46189</v>
      </c>
      <c r="P837" s="7" t="inlineStr">
        <is>
          <t>greenhouse:graphcore</t>
        </is>
      </c>
      <c r="Q837" s="8" t="inlineStr"/>
      <c r="R837" s="8" t="n"/>
      <c r="S837" s="19" t="n"/>
      <c r="T837" s="19" t="n"/>
      <c r="U837" s="14" t="n">
        <v>46189</v>
      </c>
      <c r="V837" s="7" t="inlineStr">
        <is>
          <t>v1-db41edab064373dd</t>
        </is>
      </c>
    </row>
    <row r="838" ht="28" customHeight="1">
      <c r="A838" s="12">
        <f>IF($L838="applied","Applied",IF($L838="interview","Interview",IF($L838="offer","Offer",IF($L838="rejected","Rejected",IF($L838="ignore","Ignore",IF($L838="archive","Archive",IF($L838="closed","Closed",IF($B838="","Unscored",IF(AND($B838&gt;=8,OR($H838="",$H838-TODAY()&lt;=14)),"P1 Apply",IF($B838&gt;=7,"P2 Strong",IF($B838&gt;=5,"P3 Maybe","P4 Low")))))))))))</f>
        <v/>
      </c>
      <c r="B838" s="13" t="n">
        <v>1</v>
      </c>
      <c r="C838" s="12" t="inlineStr">
        <is>
          <t>Senior/Lead</t>
        </is>
      </c>
      <c r="D838" s="8" t="inlineStr">
        <is>
          <t>Senior Post Silicon Validation Engineer (Bringup)</t>
        </is>
      </c>
      <c r="E838" s="7" t="inlineStr">
        <is>
          <t>Graphcore</t>
        </is>
      </c>
      <c r="F838" s="8" t="inlineStr">
        <is>
          <t>Austin, Texas, United States</t>
        </is>
      </c>
      <c r="G838" s="8" t="n"/>
      <c r="H838" s="14" t="n"/>
      <c r="I838" s="15">
        <f>IF($H838="","",$H838-TODAY())</f>
        <v/>
      </c>
      <c r="J838" s="16" t="inlineStr">
        <is>
          <t>Open posting</t>
        </is>
      </c>
      <c r="K838" s="8" t="inlineStr">
        <is>
          <t>filtered by keyword pre-scan</t>
        </is>
      </c>
      <c r="L838" s="17" t="inlineStr">
        <is>
          <t>new</t>
        </is>
      </c>
      <c r="M838" s="18" t="inlineStr"/>
      <c r="N838" s="7" t="inlineStr">
        <is>
          <t>ede2f8482d20293c77f15eea70b2ec3106c8c928</t>
        </is>
      </c>
      <c r="O838" s="14" t="n">
        <v>46189</v>
      </c>
      <c r="P838" s="7" t="inlineStr">
        <is>
          <t>greenhouse:graphcore</t>
        </is>
      </c>
      <c r="Q838" s="8" t="inlineStr"/>
      <c r="R838" s="8" t="n"/>
      <c r="S838" s="19" t="n"/>
      <c r="T838" s="19" t="n"/>
      <c r="U838" s="14" t="n">
        <v>46189</v>
      </c>
      <c r="V838" s="7" t="inlineStr">
        <is>
          <t>v1-db41edab064373dd</t>
        </is>
      </c>
    </row>
    <row r="839" ht="28" customHeight="1">
      <c r="A839" s="12">
        <f>IF($L839="applied","Applied",IF($L839="interview","Interview",IF($L839="offer","Offer",IF($L839="rejected","Rejected",IF($L839="ignore","Ignore",IF($L839="archive","Archive",IF($L839="closed","Closed",IF($B839="","Unscored",IF(AND($B839&gt;=8,OR($H839="",$H839-TODAY()&lt;=14)),"P1 Apply",IF($B839&gt;=7,"P2 Strong",IF($B839&gt;=5,"P3 Maybe","P4 Low")))))))))))</f>
        <v/>
      </c>
      <c r="B839" s="13" t="n">
        <v>1</v>
      </c>
      <c r="C839" s="12" t="inlineStr">
        <is>
          <t>Senior/Lead</t>
        </is>
      </c>
      <c r="D839" s="8" t="inlineStr">
        <is>
          <t>Senior Power &amp; Performance Validation Engineer</t>
        </is>
      </c>
      <c r="E839" s="7" t="inlineStr">
        <is>
          <t>Graphcore</t>
        </is>
      </c>
      <c r="F839" s="8" t="inlineStr">
        <is>
          <t>Bengaluru, India</t>
        </is>
      </c>
      <c r="G839" s="8" t="n"/>
      <c r="H839" s="14" t="n"/>
      <c r="I839" s="15">
        <f>IF($H839="","",$H839-TODAY())</f>
        <v/>
      </c>
      <c r="J839" s="16" t="inlineStr">
        <is>
          <t>Open posting</t>
        </is>
      </c>
      <c r="K839" s="8" t="inlineStr">
        <is>
          <t>filtered by keyword pre-scan</t>
        </is>
      </c>
      <c r="L839" s="17" t="inlineStr">
        <is>
          <t>new</t>
        </is>
      </c>
      <c r="M839" s="18" t="inlineStr"/>
      <c r="N839" s="7" t="inlineStr">
        <is>
          <t>e3b5e2e6e0d423b6bdac49d5df635b79f64d7dd3</t>
        </is>
      </c>
      <c r="O839" s="14" t="n">
        <v>46189</v>
      </c>
      <c r="P839" s="7" t="inlineStr">
        <is>
          <t>greenhouse:graphcore</t>
        </is>
      </c>
      <c r="Q839" s="8" t="inlineStr"/>
      <c r="R839" s="8" t="n"/>
      <c r="S839" s="19" t="n"/>
      <c r="T839" s="19" t="n"/>
      <c r="U839" s="14" t="n">
        <v>46189</v>
      </c>
      <c r="V839" s="7" t="inlineStr">
        <is>
          <t>v1-db41edab064373dd</t>
        </is>
      </c>
    </row>
    <row r="840" ht="28" customHeight="1">
      <c r="A840" s="12">
        <f>IF($L840="applied","Applied",IF($L840="interview","Interview",IF($L840="offer","Offer",IF($L840="rejected","Rejected",IF($L840="ignore","Ignore",IF($L840="archive","Archive",IF($L840="closed","Closed",IF($B840="","Unscored",IF(AND($B840&gt;=8,OR($H840="",$H840-TODAY()&lt;=14)),"P1 Apply",IF($B840&gt;=7,"P2 Strong",IF($B840&gt;=5,"P3 Maybe","P4 Low")))))))))))</f>
        <v/>
      </c>
      <c r="B840" s="13" t="n">
        <v>1</v>
      </c>
      <c r="C840" s="12" t="inlineStr">
        <is>
          <t>Senior/Lead</t>
        </is>
      </c>
      <c r="D840" s="8" t="inlineStr">
        <is>
          <t>Senior Principal Network Engineer</t>
        </is>
      </c>
      <c r="E840" s="7" t="inlineStr">
        <is>
          <t>Graphcore</t>
        </is>
      </c>
      <c r="F840" s="8" t="inlineStr">
        <is>
          <t>Austin, Texas, United States</t>
        </is>
      </c>
      <c r="G840" s="8" t="n"/>
      <c r="H840" s="14" t="n"/>
      <c r="I840" s="15">
        <f>IF($H840="","",$H840-TODAY())</f>
        <v/>
      </c>
      <c r="J840" s="16" t="inlineStr">
        <is>
          <t>Open posting</t>
        </is>
      </c>
      <c r="K840" s="8" t="inlineStr">
        <is>
          <t>filtered by keyword pre-scan</t>
        </is>
      </c>
      <c r="L840" s="17" t="inlineStr">
        <is>
          <t>new</t>
        </is>
      </c>
      <c r="M840" s="18" t="inlineStr"/>
      <c r="N840" s="7" t="inlineStr">
        <is>
          <t>3f46cc53b85ccea4d42ced87be34419f50054630</t>
        </is>
      </c>
      <c r="O840" s="14" t="n">
        <v>46189</v>
      </c>
      <c r="P840" s="7" t="inlineStr">
        <is>
          <t>greenhouse:graphcore</t>
        </is>
      </c>
      <c r="Q840" s="8" t="inlineStr"/>
      <c r="R840" s="8" t="n"/>
      <c r="S840" s="19" t="n"/>
      <c r="T840" s="19" t="n"/>
      <c r="U840" s="14" t="n">
        <v>46189</v>
      </c>
      <c r="V840" s="7" t="inlineStr">
        <is>
          <t>v1-db41edab064373dd</t>
        </is>
      </c>
    </row>
    <row r="841" ht="28" customHeight="1">
      <c r="A841" s="12">
        <f>IF($L841="applied","Applied",IF($L841="interview","Interview",IF($L841="offer","Offer",IF($L841="rejected","Rejected",IF($L841="ignore","Ignore",IF($L841="archive","Archive",IF($L841="closed","Closed",IF($B841="","Unscored",IF(AND($B841&gt;=8,OR($H841="",$H841-TODAY()&lt;=14)),"P1 Apply",IF($B841&gt;=7,"P2 Strong",IF($B841&gt;=5,"P3 Maybe","P4 Low")))))))))))</f>
        <v/>
      </c>
      <c r="B841" s="13" t="n">
        <v>1</v>
      </c>
      <c r="C841" s="12" t="inlineStr">
        <is>
          <t>Senior/Lead</t>
        </is>
      </c>
      <c r="D841" s="8" t="inlineStr">
        <is>
          <t>Senior/Principal Silicon Verification Engineer</t>
        </is>
      </c>
      <c r="E841" s="7" t="inlineStr">
        <is>
          <t>Graphcore</t>
        </is>
      </c>
      <c r="F841" s="8" t="inlineStr">
        <is>
          <t>Bristol, UK; Cambridge, UK</t>
        </is>
      </c>
      <c r="G841" s="8" t="n"/>
      <c r="H841" s="14" t="n"/>
      <c r="I841" s="15">
        <f>IF($H841="","",$H841-TODAY())</f>
        <v/>
      </c>
      <c r="J841" s="16" t="inlineStr">
        <is>
          <t>Open posting</t>
        </is>
      </c>
      <c r="K841" s="8" t="inlineStr">
        <is>
          <t>filtered by keyword pre-scan</t>
        </is>
      </c>
      <c r="L841" s="17" t="inlineStr">
        <is>
          <t>new</t>
        </is>
      </c>
      <c r="M841" s="18" t="inlineStr"/>
      <c r="N841" s="7" t="inlineStr">
        <is>
          <t>be3bfccf0507aa2011ce3661b6a6d82363f7fa78</t>
        </is>
      </c>
      <c r="O841" s="14" t="n">
        <v>46189</v>
      </c>
      <c r="P841" s="7" t="inlineStr">
        <is>
          <t>greenhouse:graphcore</t>
        </is>
      </c>
      <c r="Q841" s="8" t="inlineStr"/>
      <c r="R841" s="8" t="n"/>
      <c r="S841" s="19" t="n"/>
      <c r="T841" s="19" t="n"/>
      <c r="U841" s="14" t="n">
        <v>46189</v>
      </c>
      <c r="V841" s="7" t="inlineStr">
        <is>
          <t>v1-db41edab064373dd</t>
        </is>
      </c>
    </row>
    <row r="842" ht="28" customHeight="1">
      <c r="A842" s="12">
        <f>IF($L842="applied","Applied",IF($L842="interview","Interview",IF($L842="offer","Offer",IF($L842="rejected","Rejected",IF($L842="ignore","Ignore",IF($L842="archive","Archive",IF($L842="closed","Closed",IF($B842="","Unscored",IF(AND($B842&gt;=8,OR($H842="",$H842-TODAY()&lt;=14)),"P1 Apply",IF($B842&gt;=7,"P2 Strong",IF($B842&gt;=5,"P3 Maybe","P4 Low")))))))))))</f>
        <v/>
      </c>
      <c r="B842" s="13" t="n">
        <v>1</v>
      </c>
      <c r="C842" s="12" t="inlineStr">
        <is>
          <t>Senior/Lead</t>
        </is>
      </c>
      <c r="D842" s="8" t="inlineStr">
        <is>
          <t>Senior Principal Test Framework Software Engineer</t>
        </is>
      </c>
      <c r="E842" s="7" t="inlineStr">
        <is>
          <t>Graphcore</t>
        </is>
      </c>
      <c r="F842" s="8" t="inlineStr">
        <is>
          <t>Austin, Texas, United States</t>
        </is>
      </c>
      <c r="G842" s="8" t="n"/>
      <c r="H842" s="14" t="n"/>
      <c r="I842" s="15">
        <f>IF($H842="","",$H842-TODAY())</f>
        <v/>
      </c>
      <c r="J842" s="16" t="inlineStr">
        <is>
          <t>Open posting</t>
        </is>
      </c>
      <c r="K842" s="8" t="inlineStr">
        <is>
          <t>filtered by keyword pre-scan</t>
        </is>
      </c>
      <c r="L842" s="17" t="inlineStr">
        <is>
          <t>new</t>
        </is>
      </c>
      <c r="M842" s="18" t="inlineStr"/>
      <c r="N842" s="7" t="inlineStr">
        <is>
          <t>f695cfd2f444a1c5b9d31f4fcdfaf49efac24cd0</t>
        </is>
      </c>
      <c r="O842" s="14" t="n">
        <v>46189</v>
      </c>
      <c r="P842" s="7" t="inlineStr">
        <is>
          <t>greenhouse:graphcore</t>
        </is>
      </c>
      <c r="Q842" s="8" t="inlineStr"/>
      <c r="R842" s="8" t="n"/>
      <c r="S842" s="19" t="n"/>
      <c r="T842" s="19" t="n"/>
      <c r="U842" s="14" t="n">
        <v>46189</v>
      </c>
      <c r="V842" s="7" t="inlineStr">
        <is>
          <t>v1-db41edab064373dd</t>
        </is>
      </c>
    </row>
    <row r="843" ht="28" customHeight="1">
      <c r="A843" s="12">
        <f>IF($L843="applied","Applied",IF($L843="interview","Interview",IF($L843="offer","Offer",IF($L843="rejected","Rejected",IF($L843="ignore","Ignore",IF($L843="archive","Archive",IF($L843="closed","Closed",IF($B843="","Unscored",IF(AND($B843&gt;=8,OR($H843="",$H843-TODAY()&lt;=14)),"P1 Apply",IF($B843&gt;=7,"P2 Strong",IF($B843&gt;=5,"P3 Maybe","P4 Low")))))))))))</f>
        <v/>
      </c>
      <c r="B843" s="13" t="n">
        <v>1</v>
      </c>
      <c r="C843" s="12" t="inlineStr">
        <is>
          <t>Senior/Lead</t>
        </is>
      </c>
      <c r="D843" s="8" t="inlineStr">
        <is>
          <t>Senior QA Engineer - Workload Management</t>
        </is>
      </c>
      <c r="E843" s="7" t="inlineStr">
        <is>
          <t>Graphcore</t>
        </is>
      </c>
      <c r="F843" s="8" t="inlineStr">
        <is>
          <t>Gdańsk, Pomeranian Voivodeship, Poland</t>
        </is>
      </c>
      <c r="G843" s="8" t="n"/>
      <c r="H843" s="14" t="n"/>
      <c r="I843" s="15">
        <f>IF($H843="","",$H843-TODAY())</f>
        <v/>
      </c>
      <c r="J843" s="16" t="inlineStr">
        <is>
          <t>Open posting</t>
        </is>
      </c>
      <c r="K843" s="8" t="inlineStr">
        <is>
          <t>filtered by keyword pre-scan</t>
        </is>
      </c>
      <c r="L843" s="17" t="inlineStr">
        <is>
          <t>new</t>
        </is>
      </c>
      <c r="M843" s="18" t="inlineStr"/>
      <c r="N843" s="7" t="inlineStr">
        <is>
          <t>3346906f151a53104d470de6fb15aed39a53fc55</t>
        </is>
      </c>
      <c r="O843" s="14" t="n">
        <v>46189</v>
      </c>
      <c r="P843" s="7" t="inlineStr">
        <is>
          <t>greenhouse:graphcore</t>
        </is>
      </c>
      <c r="Q843" s="8" t="inlineStr"/>
      <c r="R843" s="8" t="n"/>
      <c r="S843" s="19" t="n"/>
      <c r="T843" s="19" t="n"/>
      <c r="U843" s="14" t="n">
        <v>46189</v>
      </c>
      <c r="V843" s="7" t="inlineStr">
        <is>
          <t>v1-db41edab064373dd</t>
        </is>
      </c>
    </row>
    <row r="844" ht="28" customHeight="1">
      <c r="A844" s="12">
        <f>IF($L844="applied","Applied",IF($L844="interview","Interview",IF($L844="offer","Offer",IF($L844="rejected","Rejected",IF($L844="ignore","Ignore",IF($L844="archive","Archive",IF($L844="closed","Closed",IF($B844="","Unscored",IF(AND($B844&gt;=8,OR($H844="",$H844-TODAY()&lt;=14)),"P1 Apply",IF($B844&gt;=7,"P2 Strong",IF($B844&gt;=5,"P3 Maybe","P4 Low")))))))))))</f>
        <v/>
      </c>
      <c r="B844" s="13" t="n">
        <v>1</v>
      </c>
      <c r="C844" s="12" t="inlineStr">
        <is>
          <t>Senior/Lead</t>
        </is>
      </c>
      <c r="D844" s="8" t="inlineStr">
        <is>
          <t>Senior Scrum Master</t>
        </is>
      </c>
      <c r="E844" s="7" t="inlineStr">
        <is>
          <t>Graphcore</t>
        </is>
      </c>
      <c r="F844" s="8" t="inlineStr">
        <is>
          <t>Bristol, UK</t>
        </is>
      </c>
      <c r="G844" s="8" t="n"/>
      <c r="H844" s="14" t="n"/>
      <c r="I844" s="15">
        <f>IF($H844="","",$H844-TODAY())</f>
        <v/>
      </c>
      <c r="J844" s="16" t="inlineStr">
        <is>
          <t>Open posting</t>
        </is>
      </c>
      <c r="K844" s="8" t="inlineStr">
        <is>
          <t>filtered by keyword pre-scan</t>
        </is>
      </c>
      <c r="L844" s="17" t="inlineStr">
        <is>
          <t>new</t>
        </is>
      </c>
      <c r="M844" s="18" t="inlineStr"/>
      <c r="N844" s="7" t="inlineStr">
        <is>
          <t>e87844a0d370a7e1242f8ba85f386cfc26be75c6</t>
        </is>
      </c>
      <c r="O844" s="14" t="n">
        <v>46189</v>
      </c>
      <c r="P844" s="7" t="inlineStr">
        <is>
          <t>greenhouse:graphcore</t>
        </is>
      </c>
      <c r="Q844" s="8" t="inlineStr"/>
      <c r="R844" s="8" t="n"/>
      <c r="S844" s="19" t="n"/>
      <c r="T844" s="19" t="n"/>
      <c r="U844" s="14" t="n">
        <v>46189</v>
      </c>
      <c r="V844" s="7" t="inlineStr">
        <is>
          <t>v1-db41edab064373dd</t>
        </is>
      </c>
    </row>
    <row r="845" ht="28" customHeight="1">
      <c r="A845" s="12">
        <f>IF($L845="applied","Applied",IF($L845="interview","Interview",IF($L845="offer","Offer",IF($L845="rejected","Rejected",IF($L845="ignore","Ignore",IF($L845="archive","Archive",IF($L845="closed","Closed",IF($B845="","Unscored",IF(AND($B845&gt;=8,OR($H845="",$H845-TODAY()&lt;=14)),"P1 Apply",IF($B845&gt;=7,"P2 Strong",IF($B845&gt;=5,"P3 Maybe","P4 Low")))))))))))</f>
        <v/>
      </c>
      <c r="B845" s="13" t="n">
        <v>1</v>
      </c>
      <c r="C845" s="12" t="inlineStr">
        <is>
          <t>Senior/Lead</t>
        </is>
      </c>
      <c r="D845" s="8" t="inlineStr">
        <is>
          <t>Senior Semiconductor Reliability Engineer – Advanced Silicon &amp; Packaging</t>
        </is>
      </c>
      <c r="E845" s="7" t="inlineStr">
        <is>
          <t>Graphcore</t>
        </is>
      </c>
      <c r="F845" s="8" t="inlineStr">
        <is>
          <t>Bristol, UK</t>
        </is>
      </c>
      <c r="G845" s="8" t="n"/>
      <c r="H845" s="14" t="n"/>
      <c r="I845" s="15">
        <f>IF($H845="","",$H845-TODAY())</f>
        <v/>
      </c>
      <c r="J845" s="16" t="inlineStr">
        <is>
          <t>Open posting</t>
        </is>
      </c>
      <c r="K845" s="8" t="inlineStr">
        <is>
          <t>filtered by keyword pre-scan</t>
        </is>
      </c>
      <c r="L845" s="17" t="inlineStr">
        <is>
          <t>new</t>
        </is>
      </c>
      <c r="M845" s="18" t="inlineStr"/>
      <c r="N845" s="7" t="inlineStr">
        <is>
          <t>29b0288df45a3217a2688aa2988b7e045f114555</t>
        </is>
      </c>
      <c r="O845" s="14" t="n">
        <v>46189</v>
      </c>
      <c r="P845" s="7" t="inlineStr">
        <is>
          <t>greenhouse:graphcore</t>
        </is>
      </c>
      <c r="Q845" s="8" t="inlineStr"/>
      <c r="R845" s="8" t="n"/>
      <c r="S845" s="19" t="n"/>
      <c r="T845" s="19" t="n"/>
      <c r="U845" s="14" t="n">
        <v>46189</v>
      </c>
      <c r="V845" s="7" t="inlineStr">
        <is>
          <t>v1-db41edab064373dd</t>
        </is>
      </c>
    </row>
    <row r="846" ht="28" customHeight="1">
      <c r="A846" s="12">
        <f>IF($L846="applied","Applied",IF($L846="interview","Interview",IF($L846="offer","Offer",IF($L846="rejected","Rejected",IF($L846="ignore","Ignore",IF($L846="archive","Archive",IF($L846="closed","Closed",IF($B846="","Unscored",IF(AND($B846&gt;=8,OR($H846="",$H846-TODAY()&lt;=14)),"P1 Apply",IF($B846&gt;=7,"P2 Strong",IF($B846&gt;=5,"P3 Maybe","P4 Low")))))))))))</f>
        <v/>
      </c>
      <c r="B846" s="13" t="n">
        <v>1</v>
      </c>
      <c r="C846" s="12" t="inlineStr">
        <is>
          <t>Senior/Lead</t>
        </is>
      </c>
      <c r="D846" s="8" t="inlineStr">
        <is>
          <t>Senior Signal Integrity Engineer</t>
        </is>
      </c>
      <c r="E846" s="7" t="inlineStr">
        <is>
          <t>Graphcore</t>
        </is>
      </c>
      <c r="F846" s="8" t="inlineStr">
        <is>
          <t>Austin, Texas, United States</t>
        </is>
      </c>
      <c r="G846" s="8" t="n"/>
      <c r="H846" s="14" t="n"/>
      <c r="I846" s="15">
        <f>IF($H846="","",$H846-TODAY())</f>
        <v/>
      </c>
      <c r="J846" s="16" t="inlineStr">
        <is>
          <t>Open posting</t>
        </is>
      </c>
      <c r="K846" s="8" t="inlineStr">
        <is>
          <t>filtered by keyword pre-scan</t>
        </is>
      </c>
      <c r="L846" s="17" t="inlineStr">
        <is>
          <t>new</t>
        </is>
      </c>
      <c r="M846" s="18" t="inlineStr"/>
      <c r="N846" s="7" t="inlineStr">
        <is>
          <t>7e0faeed54a474a734319df84907590a1385ca2e</t>
        </is>
      </c>
      <c r="O846" s="14" t="n">
        <v>46189</v>
      </c>
      <c r="P846" s="7" t="inlineStr">
        <is>
          <t>greenhouse:graphcore</t>
        </is>
      </c>
      <c r="Q846" s="8" t="inlineStr"/>
      <c r="R846" s="8" t="n"/>
      <c r="S846" s="19" t="n"/>
      <c r="T846" s="19" t="n"/>
      <c r="U846" s="14" t="n">
        <v>46189</v>
      </c>
      <c r="V846" s="7" t="inlineStr">
        <is>
          <t>v1-db41edab064373dd</t>
        </is>
      </c>
    </row>
    <row r="847" ht="28" customHeight="1">
      <c r="A847" s="12">
        <f>IF($L847="applied","Applied",IF($L847="interview","Interview",IF($L847="offer","Offer",IF($L847="rejected","Rejected",IF($L847="ignore","Ignore",IF($L847="archive","Archive",IF($L847="closed","Closed",IF($B847="","Unscored",IF(AND($B847&gt;=8,OR($H847="",$H847-TODAY()&lt;=14)),"P1 Apply",IF($B847&gt;=7,"P2 Strong",IF($B847&gt;=5,"P3 Maybe","P4 Low")))))))))))</f>
        <v/>
      </c>
      <c r="B847" s="13" t="n">
        <v>1</v>
      </c>
      <c r="C847" s="12" t="inlineStr">
        <is>
          <t>Senior/Lead</t>
        </is>
      </c>
      <c r="D847" s="8" t="inlineStr">
        <is>
          <t>Senior Silicon Logical Design Engineer - Bengaluru</t>
        </is>
      </c>
      <c r="E847" s="7" t="inlineStr">
        <is>
          <t>Graphcore</t>
        </is>
      </c>
      <c r="F847" s="8" t="inlineStr">
        <is>
          <t>Bengaluru, India</t>
        </is>
      </c>
      <c r="G847" s="8" t="n"/>
      <c r="H847" s="14" t="n"/>
      <c r="I847" s="15">
        <f>IF($H847="","",$H847-TODAY())</f>
        <v/>
      </c>
      <c r="J847" s="16" t="inlineStr">
        <is>
          <t>Open posting</t>
        </is>
      </c>
      <c r="K847" s="8" t="inlineStr">
        <is>
          <t>filtered by keyword pre-scan</t>
        </is>
      </c>
      <c r="L847" s="17" t="inlineStr">
        <is>
          <t>new</t>
        </is>
      </c>
      <c r="M847" s="18" t="inlineStr"/>
      <c r="N847" s="7" t="inlineStr">
        <is>
          <t>0fabdf41290ecd10a48201812fd2cbe31ae8c78a</t>
        </is>
      </c>
      <c r="O847" s="14" t="n">
        <v>46189</v>
      </c>
      <c r="P847" s="7" t="inlineStr">
        <is>
          <t>greenhouse:graphcore</t>
        </is>
      </c>
      <c r="Q847" s="8" t="inlineStr"/>
      <c r="R847" s="8" t="n"/>
      <c r="S847" s="19" t="n"/>
      <c r="T847" s="19" t="n"/>
      <c r="U847" s="14" t="n">
        <v>46189</v>
      </c>
      <c r="V847" s="7" t="inlineStr">
        <is>
          <t>v1-db41edab064373dd</t>
        </is>
      </c>
    </row>
    <row r="848" ht="28" customHeight="1">
      <c r="A848" s="12">
        <f>IF($L848="applied","Applied",IF($L848="interview","Interview",IF($L848="offer","Offer",IF($L848="rejected","Rejected",IF($L848="ignore","Ignore",IF($L848="archive","Archive",IF($L848="closed","Closed",IF($B848="","Unscored",IF(AND($B848&gt;=8,OR($H848="",$H848-TODAY()&lt;=14)),"P1 Apply",IF($B848&gt;=7,"P2 Strong",IF($B848&gt;=5,"P3 Maybe","P4 Low")))))))))))</f>
        <v/>
      </c>
      <c r="B848" s="13" t="n">
        <v>1</v>
      </c>
      <c r="C848" s="12" t="inlineStr">
        <is>
          <t>Senior/Lead</t>
        </is>
      </c>
      <c r="D848" s="8" t="inlineStr">
        <is>
          <t>Senior SoC Architect</t>
        </is>
      </c>
      <c r="E848" s="7" t="inlineStr">
        <is>
          <t>Graphcore</t>
        </is>
      </c>
      <c r="F848" s="8" t="inlineStr">
        <is>
          <t>Bristol, UK</t>
        </is>
      </c>
      <c r="G848" s="8" t="n"/>
      <c r="H848" s="14" t="n"/>
      <c r="I848" s="15">
        <f>IF($H848="","",$H848-TODAY())</f>
        <v/>
      </c>
      <c r="J848" s="16" t="inlineStr">
        <is>
          <t>Open posting</t>
        </is>
      </c>
      <c r="K848" s="8" t="inlineStr">
        <is>
          <t>filtered by keyword pre-scan</t>
        </is>
      </c>
      <c r="L848" s="17" t="inlineStr">
        <is>
          <t>new</t>
        </is>
      </c>
      <c r="M848" s="18" t="inlineStr"/>
      <c r="N848" s="7" t="inlineStr">
        <is>
          <t>d43344ea34d453b91fe2197dff7544c5eb927d53</t>
        </is>
      </c>
      <c r="O848" s="14" t="n">
        <v>46189</v>
      </c>
      <c r="P848" s="7" t="inlineStr">
        <is>
          <t>greenhouse:graphcore</t>
        </is>
      </c>
      <c r="Q848" s="8" t="inlineStr"/>
      <c r="R848" s="8" t="n"/>
      <c r="S848" s="19" t="n"/>
      <c r="T848" s="19" t="n"/>
      <c r="U848" s="14" t="n">
        <v>46189</v>
      </c>
      <c r="V848" s="7" t="inlineStr">
        <is>
          <t>v1-db41edab064373dd</t>
        </is>
      </c>
    </row>
    <row r="849" ht="28" customHeight="1">
      <c r="A849" s="12">
        <f>IF($L849="applied","Applied",IF($L849="interview","Interview",IF($L849="offer","Offer",IF($L849="rejected","Rejected",IF($L849="ignore","Ignore",IF($L849="archive","Archive",IF($L849="closed","Closed",IF($B849="","Unscored",IF(AND($B849&gt;=8,OR($H849="",$H849-TODAY()&lt;=14)),"P1 Apply",IF($B849&gt;=7,"P2 Strong",IF($B849&gt;=5,"P3 Maybe","P4 Low")))))))))))</f>
        <v/>
      </c>
      <c r="B849" s="13" t="n">
        <v>1</v>
      </c>
      <c r="C849" s="12" t="inlineStr">
        <is>
          <t>Senior/Lead</t>
        </is>
      </c>
      <c r="D849" s="8" t="inlineStr">
        <is>
          <t>Senior Software Engineer</t>
        </is>
      </c>
      <c r="E849" s="7" t="inlineStr">
        <is>
          <t>Graphcore</t>
        </is>
      </c>
      <c r="F849" s="8" t="inlineStr">
        <is>
          <t>Gdańsk, Pomeranian Voivodeship, Poland</t>
        </is>
      </c>
      <c r="G849" s="8" t="n"/>
      <c r="H849" s="14" t="n"/>
      <c r="I849" s="15">
        <f>IF($H849="","",$H849-TODAY())</f>
        <v/>
      </c>
      <c r="J849" s="16" t="inlineStr">
        <is>
          <t>Open posting</t>
        </is>
      </c>
      <c r="K849" s="8" t="inlineStr">
        <is>
          <t>filtered by keyword pre-scan</t>
        </is>
      </c>
      <c r="L849" s="17" t="inlineStr">
        <is>
          <t>new</t>
        </is>
      </c>
      <c r="M849" s="18" t="inlineStr"/>
      <c r="N849" s="7" t="inlineStr">
        <is>
          <t>b1f396efcf9d74d7c0102067084d748142cf2bd8</t>
        </is>
      </c>
      <c r="O849" s="14" t="n">
        <v>46189</v>
      </c>
      <c r="P849" s="7" t="inlineStr">
        <is>
          <t>greenhouse:graphcore</t>
        </is>
      </c>
      <c r="Q849" s="8" t="inlineStr"/>
      <c r="R849" s="8" t="n"/>
      <c r="S849" s="19" t="n"/>
      <c r="T849" s="19" t="n"/>
      <c r="U849" s="14" t="n">
        <v>46189</v>
      </c>
      <c r="V849" s="7" t="inlineStr">
        <is>
          <t>v1-db41edab064373dd</t>
        </is>
      </c>
    </row>
    <row r="850" ht="28" customHeight="1">
      <c r="A850" s="12">
        <f>IF($L850="applied","Applied",IF($L850="interview","Interview",IF($L850="offer","Offer",IF($L850="rejected","Rejected",IF($L850="ignore","Ignore",IF($L850="archive","Archive",IF($L850="closed","Closed",IF($B850="","Unscored",IF(AND($B850&gt;=8,OR($H850="",$H850-TODAY()&lt;=14)),"P1 Apply",IF($B850&gt;=7,"P2 Strong",IF($B850&gt;=5,"P3 Maybe","P4 Low")))))))))))</f>
        <v/>
      </c>
      <c r="B850" s="13" t="n">
        <v>1</v>
      </c>
      <c r="C850" s="12" t="inlineStr">
        <is>
          <t>Senior/Lead</t>
        </is>
      </c>
      <c r="D850" s="8" t="inlineStr">
        <is>
          <t>Senior Software Engineer</t>
        </is>
      </c>
      <c r="E850" s="7" t="inlineStr">
        <is>
          <t>Graphcore</t>
        </is>
      </c>
      <c r="F850" s="8" t="inlineStr">
        <is>
          <t>Gdańsk, Pomeranian Voivodeship, Poland</t>
        </is>
      </c>
      <c r="G850" s="8" t="n"/>
      <c r="H850" s="14" t="n"/>
      <c r="I850" s="15">
        <f>IF($H850="","",$H850-TODAY())</f>
        <v/>
      </c>
      <c r="J850" s="16" t="inlineStr">
        <is>
          <t>Open posting</t>
        </is>
      </c>
      <c r="K850" s="8" t="inlineStr">
        <is>
          <t>filtered by keyword pre-scan</t>
        </is>
      </c>
      <c r="L850" s="17" t="inlineStr">
        <is>
          <t>new</t>
        </is>
      </c>
      <c r="M850" s="18" t="inlineStr"/>
      <c r="N850" s="7" t="inlineStr">
        <is>
          <t>eb117188b95693fa013be8366eaf98933174913e</t>
        </is>
      </c>
      <c r="O850" s="14" t="n">
        <v>46189</v>
      </c>
      <c r="P850" s="7" t="inlineStr">
        <is>
          <t>greenhouse:graphcore</t>
        </is>
      </c>
      <c r="Q850" s="8" t="inlineStr"/>
      <c r="R850" s="8" t="n"/>
      <c r="S850" s="19" t="n"/>
      <c r="T850" s="19" t="n"/>
      <c r="U850" s="14" t="n">
        <v>46189</v>
      </c>
      <c r="V850" s="7" t="inlineStr">
        <is>
          <t>v1-db41edab064373dd</t>
        </is>
      </c>
    </row>
    <row r="851" ht="28" customHeight="1">
      <c r="A851" s="12">
        <f>IF($L851="applied","Applied",IF($L851="interview","Interview",IF($L851="offer","Offer",IF($L851="rejected","Rejected",IF($L851="ignore","Ignore",IF($L851="archive","Archive",IF($L851="closed","Closed",IF($B851="","Unscored",IF(AND($B851&gt;=8,OR($H851="",$H851-TODAY()&lt;=14)),"P1 Apply",IF($B851&gt;=7,"P2 Strong",IF($B851&gt;=5,"P3 Maybe","P4 Low")))))))))))</f>
        <v/>
      </c>
      <c r="B851" s="13" t="n">
        <v>1</v>
      </c>
      <c r="C851" s="12" t="inlineStr">
        <is>
          <t>Senior/Lead</t>
        </is>
      </c>
      <c r="D851" s="8" t="inlineStr">
        <is>
          <t>Senior Software Engineer</t>
        </is>
      </c>
      <c r="E851" s="7" t="inlineStr">
        <is>
          <t>Graphcore</t>
        </is>
      </c>
      <c r="F851" s="8" t="inlineStr">
        <is>
          <t>Gdańsk, Pomeranian Voivodeship, Poland</t>
        </is>
      </c>
      <c r="G851" s="8" t="n"/>
      <c r="H851" s="14" t="n"/>
      <c r="I851" s="15">
        <f>IF($H851="","",$H851-TODAY())</f>
        <v/>
      </c>
      <c r="J851" s="16" t="inlineStr">
        <is>
          <t>Open posting</t>
        </is>
      </c>
      <c r="K851" s="8" t="inlineStr">
        <is>
          <t>filtered by keyword pre-scan</t>
        </is>
      </c>
      <c r="L851" s="17" t="inlineStr">
        <is>
          <t>new</t>
        </is>
      </c>
      <c r="M851" s="18" t="inlineStr"/>
      <c r="N851" s="7" t="inlineStr">
        <is>
          <t>495d9cc423f7bc3240182e3bcaf9c940b3464ca0</t>
        </is>
      </c>
      <c r="O851" s="14" t="n">
        <v>46189</v>
      </c>
      <c r="P851" s="7" t="inlineStr">
        <is>
          <t>greenhouse:graphcore</t>
        </is>
      </c>
      <c r="Q851" s="8" t="inlineStr"/>
      <c r="R851" s="8" t="n"/>
      <c r="S851" s="19" t="n"/>
      <c r="T851" s="19" t="n"/>
      <c r="U851" s="14" t="n">
        <v>46189</v>
      </c>
      <c r="V851" s="7" t="inlineStr">
        <is>
          <t>v1-db41edab064373dd</t>
        </is>
      </c>
    </row>
    <row r="852" ht="28" customHeight="1">
      <c r="A852" s="12">
        <f>IF($L852="applied","Applied",IF($L852="interview","Interview",IF($L852="offer","Offer",IF($L852="rejected","Rejected",IF($L852="ignore","Ignore",IF($L852="archive","Archive",IF($L852="closed","Closed",IF($B852="","Unscored",IF(AND($B852&gt;=8,OR($H852="",$H852-TODAY()&lt;=14)),"P1 Apply",IF($B852&gt;=7,"P2 Strong",IF($B852&gt;=5,"P3 Maybe","P4 Low")))))))))))</f>
        <v/>
      </c>
      <c r="B852" s="13" t="n">
        <v>1</v>
      </c>
      <c r="C852" s="12" t="inlineStr">
        <is>
          <t>Senior/Lead</t>
        </is>
      </c>
      <c r="D852" s="8" t="inlineStr">
        <is>
          <t>Senior Software Engineer</t>
        </is>
      </c>
      <c r="E852" s="7" t="inlineStr">
        <is>
          <t>Graphcore</t>
        </is>
      </c>
      <c r="F852" s="8" t="inlineStr">
        <is>
          <t>Bristol, UK; Cambridge, UK</t>
        </is>
      </c>
      <c r="G852" s="8" t="n"/>
      <c r="H852" s="14" t="n"/>
      <c r="I852" s="15">
        <f>IF($H852="","",$H852-TODAY())</f>
        <v/>
      </c>
      <c r="J852" s="16" t="inlineStr">
        <is>
          <t>Open posting</t>
        </is>
      </c>
      <c r="K852" s="8" t="inlineStr">
        <is>
          <t>filtered by keyword pre-scan</t>
        </is>
      </c>
      <c r="L852" s="17" t="inlineStr">
        <is>
          <t>new</t>
        </is>
      </c>
      <c r="M852" s="18" t="inlineStr"/>
      <c r="N852" s="7" t="inlineStr">
        <is>
          <t>065517f65bd166cd8e09436dbc76a6f900ef88d2</t>
        </is>
      </c>
      <c r="O852" s="14" t="n">
        <v>46189</v>
      </c>
      <c r="P852" s="7" t="inlineStr">
        <is>
          <t>greenhouse:graphcore</t>
        </is>
      </c>
      <c r="Q852" s="8" t="inlineStr"/>
      <c r="R852" s="8" t="n"/>
      <c r="S852" s="19" t="n"/>
      <c r="T852" s="19" t="n"/>
      <c r="U852" s="14" t="n">
        <v>46189</v>
      </c>
      <c r="V852" s="7" t="inlineStr">
        <is>
          <t>v1-db41edab064373dd</t>
        </is>
      </c>
    </row>
    <row r="853" ht="28" customHeight="1">
      <c r="A853" s="12">
        <f>IF($L853="applied","Applied",IF($L853="interview","Interview",IF($L853="offer","Offer",IF($L853="rejected","Rejected",IF($L853="ignore","Ignore",IF($L853="archive","Archive",IF($L853="closed","Closed",IF($B853="","Unscored",IF(AND($B853&gt;=8,OR($H853="",$H853-TODAY()&lt;=14)),"P1 Apply",IF($B853&gt;=7,"P2 Strong",IF($B853&gt;=5,"P3 Maybe","P4 Low")))))))))))</f>
        <v/>
      </c>
      <c r="B853" s="13" t="n">
        <v>1</v>
      </c>
      <c r="C853" s="12" t="inlineStr">
        <is>
          <t>Senior/Lead</t>
        </is>
      </c>
      <c r="D853" s="8" t="inlineStr">
        <is>
          <t>Senior Software Engineer</t>
        </is>
      </c>
      <c r="E853" s="7" t="inlineStr">
        <is>
          <t>Graphcore</t>
        </is>
      </c>
      <c r="F853" s="8" t="inlineStr">
        <is>
          <t>Bristol, UK</t>
        </is>
      </c>
      <c r="G853" s="8" t="n"/>
      <c r="H853" s="14" t="n"/>
      <c r="I853" s="15">
        <f>IF($H853="","",$H853-TODAY())</f>
        <v/>
      </c>
      <c r="J853" s="16" t="inlineStr">
        <is>
          <t>Open posting</t>
        </is>
      </c>
      <c r="K853" s="8" t="inlineStr">
        <is>
          <t>filtered by keyword pre-scan</t>
        </is>
      </c>
      <c r="L853" s="17" t="inlineStr">
        <is>
          <t>new</t>
        </is>
      </c>
      <c r="M853" s="18" t="inlineStr"/>
      <c r="N853" s="7" t="inlineStr">
        <is>
          <t>a7f01afe887b776c935321d554f56b26a8b013d0</t>
        </is>
      </c>
      <c r="O853" s="14" t="n">
        <v>46189</v>
      </c>
      <c r="P853" s="7" t="inlineStr">
        <is>
          <t>greenhouse:graphcore</t>
        </is>
      </c>
      <c r="Q853" s="8" t="inlineStr"/>
      <c r="R853" s="8" t="n"/>
      <c r="S853" s="19" t="n"/>
      <c r="T853" s="19" t="n"/>
      <c r="U853" s="14" t="n">
        <v>46189</v>
      </c>
      <c r="V853" s="7" t="inlineStr">
        <is>
          <t>v1-db41edab064373dd</t>
        </is>
      </c>
    </row>
    <row r="854" ht="28" customHeight="1">
      <c r="A854" s="12">
        <f>IF($L854="applied","Applied",IF($L854="interview","Interview",IF($L854="offer","Offer",IF($L854="rejected","Rejected",IF($L854="ignore","Ignore",IF($L854="archive","Archive",IF($L854="closed","Closed",IF($B854="","Unscored",IF(AND($B854&gt;=8,OR($H854="",$H854-TODAY()&lt;=14)),"P1 Apply",IF($B854&gt;=7,"P2 Strong",IF($B854&gt;=5,"P3 Maybe","P4 Low")))))))))))</f>
        <v/>
      </c>
      <c r="B854" s="13" t="n">
        <v>1</v>
      </c>
      <c r="C854" s="12" t="inlineStr">
        <is>
          <t>Senior/Lead</t>
        </is>
      </c>
      <c r="D854" s="8" t="inlineStr">
        <is>
          <t>Senior Software Engineer - ML Kernels &amp; Runtime</t>
        </is>
      </c>
      <c r="E854" s="7" t="inlineStr">
        <is>
          <t>Graphcore</t>
        </is>
      </c>
      <c r="F854" s="8" t="inlineStr">
        <is>
          <t>Gdańsk, Pomeranian Voivodeship, Poland</t>
        </is>
      </c>
      <c r="G854" s="8" t="n"/>
      <c r="H854" s="14" t="n"/>
      <c r="I854" s="15">
        <f>IF($H854="","",$H854-TODAY())</f>
        <v/>
      </c>
      <c r="J854" s="16" t="inlineStr">
        <is>
          <t>Open posting</t>
        </is>
      </c>
      <c r="K854" s="8" t="inlineStr">
        <is>
          <t>filtered by keyword pre-scan</t>
        </is>
      </c>
      <c r="L854" s="17" t="inlineStr">
        <is>
          <t>new</t>
        </is>
      </c>
      <c r="M854" s="18" t="inlineStr"/>
      <c r="N854" s="7" t="inlineStr">
        <is>
          <t>d7a669c55e32af51547564039425e06d9e5c0b5c</t>
        </is>
      </c>
      <c r="O854" s="14" t="n">
        <v>46189</v>
      </c>
      <c r="P854" s="7" t="inlineStr">
        <is>
          <t>greenhouse:graphcore</t>
        </is>
      </c>
      <c r="Q854" s="8" t="inlineStr"/>
      <c r="R854" s="8" t="n"/>
      <c r="S854" s="19" t="n"/>
      <c r="T854" s="19" t="n"/>
      <c r="U854" s="14" t="n">
        <v>46189</v>
      </c>
      <c r="V854" s="7" t="inlineStr">
        <is>
          <t>v1-db41edab064373dd</t>
        </is>
      </c>
    </row>
    <row r="855" ht="28" customHeight="1">
      <c r="A855" s="12">
        <f>IF($L855="applied","Applied",IF($L855="interview","Interview",IF($L855="offer","Offer",IF($L855="rejected","Rejected",IF($L855="ignore","Ignore",IF($L855="archive","Archive",IF($L855="closed","Closed",IF($B855="","Unscored",IF(AND($B855&gt;=8,OR($H855="",$H855-TODAY()&lt;=14)),"P1 Apply",IF($B855&gt;=7,"P2 Strong",IF($B855&gt;=5,"P3 Maybe","P4 Low")))))))))))</f>
        <v/>
      </c>
      <c r="B855" s="13" t="n">
        <v>1</v>
      </c>
      <c r="C855" s="12" t="inlineStr">
        <is>
          <t>Senior/Lead</t>
        </is>
      </c>
      <c r="D855" s="8" t="inlineStr">
        <is>
          <t>Senior Software Engineer (ML QA)</t>
        </is>
      </c>
      <c r="E855" s="7" t="inlineStr">
        <is>
          <t>Graphcore</t>
        </is>
      </c>
      <c r="F855" s="8" t="inlineStr">
        <is>
          <t>Bristol, UK</t>
        </is>
      </c>
      <c r="G855" s="8" t="n"/>
      <c r="H855" s="14" t="n"/>
      <c r="I855" s="15">
        <f>IF($H855="","",$H855-TODAY())</f>
        <v/>
      </c>
      <c r="J855" s="16" t="inlineStr">
        <is>
          <t>Open posting</t>
        </is>
      </c>
      <c r="K855" s="8" t="inlineStr">
        <is>
          <t>filtered by keyword pre-scan</t>
        </is>
      </c>
      <c r="L855" s="17" t="inlineStr">
        <is>
          <t>new</t>
        </is>
      </c>
      <c r="M855" s="18" t="inlineStr"/>
      <c r="N855" s="7" t="inlineStr">
        <is>
          <t>b92c65b85d6e47bd1dad1ee636b5d273a3ca16cd</t>
        </is>
      </c>
      <c r="O855" s="14" t="n">
        <v>46189</v>
      </c>
      <c r="P855" s="7" t="inlineStr">
        <is>
          <t>greenhouse:graphcore</t>
        </is>
      </c>
      <c r="Q855" s="8" t="inlineStr"/>
      <c r="R855" s="8" t="n"/>
      <c r="S855" s="19" t="n"/>
      <c r="T855" s="19" t="n"/>
      <c r="U855" s="14" t="n">
        <v>46189</v>
      </c>
      <c r="V855" s="7" t="inlineStr">
        <is>
          <t>v1-db41edab064373dd</t>
        </is>
      </c>
    </row>
    <row r="856" ht="28" customHeight="1">
      <c r="A856" s="12">
        <f>IF($L856="applied","Applied",IF($L856="interview","Interview",IF($L856="offer","Offer",IF($L856="rejected","Rejected",IF($L856="ignore","Ignore",IF($L856="archive","Archive",IF($L856="closed","Closed",IF($B856="","Unscored",IF(AND($B856&gt;=8,OR($H856="",$H856-TODAY()&lt;=14)),"P1 Apply",IF($B856&gt;=7,"P2 Strong",IF($B856&gt;=5,"P3 Maybe","P4 Low")))))))))))</f>
        <v/>
      </c>
      <c r="B856" s="13" t="n">
        <v>1</v>
      </c>
      <c r="C856" s="12" t="inlineStr">
        <is>
          <t>Senior/Lead</t>
        </is>
      </c>
      <c r="D856" s="8" t="inlineStr">
        <is>
          <t>Senior Software Engineer (ML QA)</t>
        </is>
      </c>
      <c r="E856" s="7" t="inlineStr">
        <is>
          <t>Graphcore</t>
        </is>
      </c>
      <c r="F856" s="8" t="inlineStr">
        <is>
          <t>London, UK</t>
        </is>
      </c>
      <c r="G856" s="8" t="n"/>
      <c r="H856" s="14" t="n"/>
      <c r="I856" s="15">
        <f>IF($H856="","",$H856-TODAY())</f>
        <v/>
      </c>
      <c r="J856" s="16" t="inlineStr">
        <is>
          <t>Open posting</t>
        </is>
      </c>
      <c r="K856" s="8" t="inlineStr">
        <is>
          <t>filtered by keyword pre-scan</t>
        </is>
      </c>
      <c r="L856" s="17" t="inlineStr">
        <is>
          <t>new</t>
        </is>
      </c>
      <c r="M856" s="18" t="inlineStr"/>
      <c r="N856" s="7" t="inlineStr">
        <is>
          <t>1712477829f6b282fe0b0dbc3d61d7ef5dbab889</t>
        </is>
      </c>
      <c r="O856" s="14" t="n">
        <v>46189</v>
      </c>
      <c r="P856" s="7" t="inlineStr">
        <is>
          <t>greenhouse:graphcore</t>
        </is>
      </c>
      <c r="Q856" s="8" t="inlineStr"/>
      <c r="R856" s="8" t="n"/>
      <c r="S856" s="19" t="n"/>
      <c r="T856" s="19" t="n"/>
      <c r="U856" s="14" t="n">
        <v>46189</v>
      </c>
      <c r="V856" s="7" t="inlineStr">
        <is>
          <t>v1-db41edab064373dd</t>
        </is>
      </c>
    </row>
    <row r="857" ht="28" customHeight="1">
      <c r="A857" s="12">
        <f>IF($L857="applied","Applied",IF($L857="interview","Interview",IF($L857="offer","Offer",IF($L857="rejected","Rejected",IF($L857="ignore","Ignore",IF($L857="archive","Archive",IF($L857="closed","Closed",IF($B857="","Unscored",IF(AND($B857&gt;=8,OR($H857="",$H857-TODAY()&lt;=14)),"P1 Apply",IF($B857&gt;=7,"P2 Strong",IF($B857&gt;=5,"P3 Maybe","P4 Low")))))))))))</f>
        <v/>
      </c>
      <c r="B857" s="13" t="n">
        <v>1</v>
      </c>
      <c r="C857" s="12" t="inlineStr">
        <is>
          <t>Senior/Lead</t>
        </is>
      </c>
      <c r="D857" s="8" t="inlineStr">
        <is>
          <t>Senior Software Engineer (ML QA)</t>
        </is>
      </c>
      <c r="E857" s="7" t="inlineStr">
        <is>
          <t>Graphcore</t>
        </is>
      </c>
      <c r="F857" s="8" t="inlineStr">
        <is>
          <t>Cambridge, UK</t>
        </is>
      </c>
      <c r="G857" s="8" t="n"/>
      <c r="H857" s="14" t="n"/>
      <c r="I857" s="15">
        <f>IF($H857="","",$H857-TODAY())</f>
        <v/>
      </c>
      <c r="J857" s="16" t="inlineStr">
        <is>
          <t>Open posting</t>
        </is>
      </c>
      <c r="K857" s="8" t="inlineStr">
        <is>
          <t>filtered by keyword pre-scan</t>
        </is>
      </c>
      <c r="L857" s="17" t="inlineStr">
        <is>
          <t>new</t>
        </is>
      </c>
      <c r="M857" s="18" t="inlineStr"/>
      <c r="N857" s="7" t="inlineStr">
        <is>
          <t>caee4f2820a50e0bc91f3c40ec323d93bb8b0d01</t>
        </is>
      </c>
      <c r="O857" s="14" t="n">
        <v>46189</v>
      </c>
      <c r="P857" s="7" t="inlineStr">
        <is>
          <t>greenhouse:graphcore</t>
        </is>
      </c>
      <c r="Q857" s="8" t="inlineStr"/>
      <c r="R857" s="8" t="n"/>
      <c r="S857" s="19" t="n"/>
      <c r="T857" s="19" t="n"/>
      <c r="U857" s="14" t="n">
        <v>46189</v>
      </c>
      <c r="V857" s="7" t="inlineStr">
        <is>
          <t>v1-db41edab064373dd</t>
        </is>
      </c>
    </row>
    <row r="858" ht="28" customHeight="1">
      <c r="A858" s="12">
        <f>IF($L858="applied","Applied",IF($L858="interview","Interview",IF($L858="offer","Offer",IF($L858="rejected","Rejected",IF($L858="ignore","Ignore",IF($L858="archive","Archive",IF($L858="closed","Closed",IF($B858="","Unscored",IF(AND($B858&gt;=8,OR($H858="",$H858-TODAY()&lt;=14)),"P1 Apply",IF($B858&gt;=7,"P2 Strong",IF($B858&gt;=5,"P3 Maybe","P4 Low")))))))))))</f>
        <v/>
      </c>
      <c r="B858" s="13" t="n">
        <v>1</v>
      </c>
      <c r="C858" s="12" t="inlineStr">
        <is>
          <t>Senior/Lead</t>
        </is>
      </c>
      <c r="D858" s="8" t="inlineStr">
        <is>
          <t>Senior Software Infrastructure Engineer</t>
        </is>
      </c>
      <c r="E858" s="7" t="inlineStr">
        <is>
          <t>Graphcore</t>
        </is>
      </c>
      <c r="F858" s="8" t="inlineStr">
        <is>
          <t>Bristol, UK; Cambridge, UK; Gdańsk, Pomeranian Voivodeship, Poland</t>
        </is>
      </c>
      <c r="G858" s="8" t="n"/>
      <c r="H858" s="14" t="n"/>
      <c r="I858" s="15">
        <f>IF($H858="","",$H858-TODAY())</f>
        <v/>
      </c>
      <c r="J858" s="16" t="inlineStr">
        <is>
          <t>Open posting</t>
        </is>
      </c>
      <c r="K858" s="8" t="inlineStr">
        <is>
          <t>filtered by keyword pre-scan</t>
        </is>
      </c>
      <c r="L858" s="17" t="inlineStr">
        <is>
          <t>new</t>
        </is>
      </c>
      <c r="M858" s="18" t="inlineStr"/>
      <c r="N858" s="7" t="inlineStr">
        <is>
          <t>15364b57d57eb97831b52ebeb01347c1d050fe8f</t>
        </is>
      </c>
      <c r="O858" s="14" t="n">
        <v>46189</v>
      </c>
      <c r="P858" s="7" t="inlineStr">
        <is>
          <t>greenhouse:graphcore</t>
        </is>
      </c>
      <c r="Q858" s="8" t="inlineStr"/>
      <c r="R858" s="8" t="n"/>
      <c r="S858" s="19" t="n"/>
      <c r="T858" s="19" t="n"/>
      <c r="U858" s="14" t="n">
        <v>46189</v>
      </c>
      <c r="V858" s="7" t="inlineStr">
        <is>
          <t>v1-db41edab064373dd</t>
        </is>
      </c>
    </row>
    <row r="859" ht="28" customHeight="1">
      <c r="A859" s="12">
        <f>IF($L859="applied","Applied",IF($L859="interview","Interview",IF($L859="offer","Offer",IF($L859="rejected","Rejected",IF($L859="ignore","Ignore",IF($L859="archive","Archive",IF($L859="closed","Closed",IF($B859="","Unscored",IF(AND($B859&gt;=8,OR($H859="",$H859-TODAY()&lt;=14)),"P1 Apply",IF($B859&gt;=7,"P2 Strong",IF($B859&gt;=5,"P3 Maybe","P4 Low")))))))))))</f>
        <v/>
      </c>
      <c r="B859" s="13" t="n">
        <v>1</v>
      </c>
      <c r="C859" s="12" t="inlineStr">
        <is>
          <t>Senior/Lead</t>
        </is>
      </c>
      <c r="D859" s="8" t="inlineStr">
        <is>
          <t>Senior Systems Engineer</t>
        </is>
      </c>
      <c r="E859" s="7" t="inlineStr">
        <is>
          <t>Graphcore</t>
        </is>
      </c>
      <c r="F859" s="8" t="inlineStr">
        <is>
          <t>US - Milpitas</t>
        </is>
      </c>
      <c r="G859" s="8" t="n"/>
      <c r="H859" s="14" t="n"/>
      <c r="I859" s="15">
        <f>IF($H859="","",$H859-TODAY())</f>
        <v/>
      </c>
      <c r="J859" s="16" t="inlineStr">
        <is>
          <t>Open posting</t>
        </is>
      </c>
      <c r="K859" s="8" t="inlineStr">
        <is>
          <t>filtered by keyword pre-scan</t>
        </is>
      </c>
      <c r="L859" s="17" t="inlineStr">
        <is>
          <t>new</t>
        </is>
      </c>
      <c r="M859" s="18" t="inlineStr"/>
      <c r="N859" s="7" t="inlineStr">
        <is>
          <t>92676bd6c67720493a62e15b7c179c5d4b5040ef</t>
        </is>
      </c>
      <c r="O859" s="14" t="n">
        <v>46189</v>
      </c>
      <c r="P859" s="7" t="inlineStr">
        <is>
          <t>greenhouse:graphcore</t>
        </is>
      </c>
      <c r="Q859" s="8" t="inlineStr"/>
      <c r="R859" s="8" t="n"/>
      <c r="S859" s="19" t="n"/>
      <c r="T859" s="19" t="n"/>
      <c r="U859" s="14" t="n">
        <v>46189</v>
      </c>
      <c r="V859" s="7" t="inlineStr">
        <is>
          <t>v1-db41edab064373dd</t>
        </is>
      </c>
    </row>
    <row r="860" ht="28" customHeight="1">
      <c r="A860" s="12">
        <f>IF($L860="applied","Applied",IF($L860="interview","Interview",IF($L860="offer","Offer",IF($L860="rejected","Rejected",IF($L860="ignore","Ignore",IF($L860="archive","Archive",IF($L860="closed","Closed",IF($B860="","Unscored",IF(AND($B860&gt;=8,OR($H860="",$H860-TODAY()&lt;=14)),"P1 Apply",IF($B860&gt;=7,"P2 Strong",IF($B860&gt;=5,"P3 Maybe","P4 Low")))))))))))</f>
        <v/>
      </c>
      <c r="B860" s="13" t="n">
        <v>1</v>
      </c>
      <c r="C860" s="12" t="inlineStr">
        <is>
          <t>Senior/Lead</t>
        </is>
      </c>
      <c r="D860" s="8" t="inlineStr">
        <is>
          <t>Senior Systems Engineer – Performance &amp; Reliability</t>
        </is>
      </c>
      <c r="E860" s="7" t="inlineStr">
        <is>
          <t>Graphcore</t>
        </is>
      </c>
      <c r="F860" s="8" t="inlineStr">
        <is>
          <t>Bristol, UK</t>
        </is>
      </c>
      <c r="G860" s="8" t="n"/>
      <c r="H860" s="14" t="n"/>
      <c r="I860" s="15">
        <f>IF($H860="","",$H860-TODAY())</f>
        <v/>
      </c>
      <c r="J860" s="16" t="inlineStr">
        <is>
          <t>Open posting</t>
        </is>
      </c>
      <c r="K860" s="8" t="inlineStr">
        <is>
          <t>filtered by keyword pre-scan</t>
        </is>
      </c>
      <c r="L860" s="17" t="inlineStr">
        <is>
          <t>new</t>
        </is>
      </c>
      <c r="M860" s="18" t="inlineStr"/>
      <c r="N860" s="7" t="inlineStr">
        <is>
          <t>b3be0299d08f3adf7bb8b1e0463b7df08c9ee0f8</t>
        </is>
      </c>
      <c r="O860" s="14" t="n">
        <v>46189</v>
      </c>
      <c r="P860" s="7" t="inlineStr">
        <is>
          <t>greenhouse:graphcore</t>
        </is>
      </c>
      <c r="Q860" s="8" t="inlineStr"/>
      <c r="R860" s="8" t="n"/>
      <c r="S860" s="19" t="n"/>
      <c r="T860" s="19" t="n"/>
      <c r="U860" s="14" t="n">
        <v>46189</v>
      </c>
      <c r="V860" s="7" t="inlineStr">
        <is>
          <t>v1-db41edab064373dd</t>
        </is>
      </c>
    </row>
    <row r="861" ht="28" customHeight="1">
      <c r="A861" s="12">
        <f>IF($L861="applied","Applied",IF($L861="interview","Interview",IF($L861="offer","Offer",IF($L861="rejected","Rejected",IF($L861="ignore","Ignore",IF($L861="archive","Archive",IF($L861="closed","Closed",IF($B861="","Unscored",IF(AND($B861&gt;=8,OR($H861="",$H861-TODAY()&lt;=14)),"P1 Apply",IF($B861&gt;=7,"P2 Strong",IF($B861&gt;=5,"P3 Maybe","P4 Low")))))))))))</f>
        <v/>
      </c>
      <c r="B861" s="13" t="n">
        <v>1</v>
      </c>
      <c r="C861" s="12" t="inlineStr">
        <is>
          <t>Senior/Lead</t>
        </is>
      </c>
      <c r="D861" s="8" t="inlineStr">
        <is>
          <t>Senior Systems Engineer – Performance &amp; Reliability</t>
        </is>
      </c>
      <c r="E861" s="7" t="inlineStr">
        <is>
          <t>Graphcore</t>
        </is>
      </c>
      <c r="F861" s="8" t="inlineStr">
        <is>
          <t>London, UK</t>
        </is>
      </c>
      <c r="G861" s="8" t="n"/>
      <c r="H861" s="14" t="n"/>
      <c r="I861" s="15">
        <f>IF($H861="","",$H861-TODAY())</f>
        <v/>
      </c>
      <c r="J861" s="16" t="inlineStr">
        <is>
          <t>Open posting</t>
        </is>
      </c>
      <c r="K861" s="8" t="inlineStr">
        <is>
          <t>filtered by keyword pre-scan</t>
        </is>
      </c>
      <c r="L861" s="17" t="inlineStr">
        <is>
          <t>new</t>
        </is>
      </c>
      <c r="M861" s="18" t="inlineStr"/>
      <c r="N861" s="7" t="inlineStr">
        <is>
          <t>42dfaa8161758886c37a0e2fab39a65b2c7167d7</t>
        </is>
      </c>
      <c r="O861" s="14" t="n">
        <v>46189</v>
      </c>
      <c r="P861" s="7" t="inlineStr">
        <is>
          <t>greenhouse:graphcore</t>
        </is>
      </c>
      <c r="Q861" s="8" t="inlineStr"/>
      <c r="R861" s="8" t="n"/>
      <c r="S861" s="19" t="n"/>
      <c r="T861" s="19" t="n"/>
      <c r="U861" s="14" t="n">
        <v>46189</v>
      </c>
      <c r="V861" s="7" t="inlineStr">
        <is>
          <t>v1-db41edab064373dd</t>
        </is>
      </c>
    </row>
    <row r="862" ht="28" customHeight="1">
      <c r="A862" s="12">
        <f>IF($L862="applied","Applied",IF($L862="interview","Interview",IF($L862="offer","Offer",IF($L862="rejected","Rejected",IF($L862="ignore","Ignore",IF($L862="archive","Archive",IF($L862="closed","Closed",IF($B862="","Unscored",IF(AND($B862&gt;=8,OR($H862="",$H862-TODAY()&lt;=14)),"P1 Apply",IF($B862&gt;=7,"P2 Strong",IF($B862&gt;=5,"P3 Maybe","P4 Low")))))))))))</f>
        <v/>
      </c>
      <c r="B862" s="13" t="n">
        <v>1</v>
      </c>
      <c r="C862" s="12" t="inlineStr">
        <is>
          <t>Senior/Lead</t>
        </is>
      </c>
      <c r="D862" s="8" t="inlineStr">
        <is>
          <t>Senior Systems Engineer – Performance &amp; Reliability</t>
        </is>
      </c>
      <c r="E862" s="7" t="inlineStr">
        <is>
          <t>Graphcore</t>
        </is>
      </c>
      <c r="F862" s="8" t="inlineStr">
        <is>
          <t>Gdańsk, Pomeranian Voivodeship, Poland</t>
        </is>
      </c>
      <c r="G862" s="8" t="n"/>
      <c r="H862" s="14" t="n"/>
      <c r="I862" s="15">
        <f>IF($H862="","",$H862-TODAY())</f>
        <v/>
      </c>
      <c r="J862" s="16" t="inlineStr">
        <is>
          <t>Open posting</t>
        </is>
      </c>
      <c r="K862" s="8" t="inlineStr">
        <is>
          <t>filtered by keyword pre-scan</t>
        </is>
      </c>
      <c r="L862" s="17" t="inlineStr">
        <is>
          <t>new</t>
        </is>
      </c>
      <c r="M862" s="18" t="inlineStr"/>
      <c r="N862" s="7" t="inlineStr">
        <is>
          <t>3a557e888a7406851ef6d9bcf686f41ef8e059fe</t>
        </is>
      </c>
      <c r="O862" s="14" t="n">
        <v>46189</v>
      </c>
      <c r="P862" s="7" t="inlineStr">
        <is>
          <t>greenhouse:graphcore</t>
        </is>
      </c>
      <c r="Q862" s="8" t="inlineStr"/>
      <c r="R862" s="8" t="n"/>
      <c r="S862" s="19" t="n"/>
      <c r="T862" s="19" t="n"/>
      <c r="U862" s="14" t="n">
        <v>46189</v>
      </c>
      <c r="V862" s="7" t="inlineStr">
        <is>
          <t>v1-db41edab064373dd</t>
        </is>
      </c>
    </row>
    <row r="863" ht="28" customHeight="1">
      <c r="A863" s="12">
        <f>IF($L863="applied","Applied",IF($L863="interview","Interview",IF($L863="offer","Offer",IF($L863="rejected","Rejected",IF($L863="ignore","Ignore",IF($L863="archive","Archive",IF($L863="closed","Closed",IF($B863="","Unscored",IF(AND($B863&gt;=8,OR($H863="",$H863-TODAY()&lt;=14)),"P1 Apply",IF($B863&gt;=7,"P2 Strong",IF($B863&gt;=5,"P3 Maybe","P4 Low")))))))))))</f>
        <v/>
      </c>
      <c r="B863" s="13" t="n">
        <v>1</v>
      </c>
      <c r="C863" s="12" t="inlineStr">
        <is>
          <t>Senior/Lead</t>
        </is>
      </c>
      <c r="D863" s="8" t="inlineStr">
        <is>
          <t>Senior Systems Engineer – Performance &amp; Reliability (Analysis)</t>
        </is>
      </c>
      <c r="E863" s="7" t="inlineStr">
        <is>
          <t>Graphcore</t>
        </is>
      </c>
      <c r="F863" s="8" t="inlineStr">
        <is>
          <t>Gdańsk, Pomeranian Voivodeship, Poland</t>
        </is>
      </c>
      <c r="G863" s="8" t="n"/>
      <c r="H863" s="14" t="n"/>
      <c r="I863" s="15">
        <f>IF($H863="","",$H863-TODAY())</f>
        <v/>
      </c>
      <c r="J863" s="16" t="inlineStr">
        <is>
          <t>Open posting</t>
        </is>
      </c>
      <c r="K863" s="8" t="inlineStr">
        <is>
          <t>filtered by keyword pre-scan</t>
        </is>
      </c>
      <c r="L863" s="17" t="inlineStr">
        <is>
          <t>new</t>
        </is>
      </c>
      <c r="M863" s="18" t="inlineStr"/>
      <c r="N863" s="7" t="inlineStr">
        <is>
          <t>5629bc40c9e3d1023263602215919416483b23bc</t>
        </is>
      </c>
      <c r="O863" s="14" t="n">
        <v>46189</v>
      </c>
      <c r="P863" s="7" t="inlineStr">
        <is>
          <t>greenhouse:graphcore</t>
        </is>
      </c>
      <c r="Q863" s="8" t="inlineStr"/>
      <c r="R863" s="8" t="n"/>
      <c r="S863" s="19" t="n"/>
      <c r="T863" s="19" t="n"/>
      <c r="U863" s="14" t="n">
        <v>46189</v>
      </c>
      <c r="V863" s="7" t="inlineStr">
        <is>
          <t>v1-db41edab064373dd</t>
        </is>
      </c>
    </row>
    <row r="864" ht="28" customHeight="1">
      <c r="A864" s="12">
        <f>IF($L864="applied","Applied",IF($L864="interview","Interview",IF($L864="offer","Offer",IF($L864="rejected","Rejected",IF($L864="ignore","Ignore",IF($L864="archive","Archive",IF($L864="closed","Closed",IF($B864="","Unscored",IF(AND($B864&gt;=8,OR($H864="",$H864-TODAY()&lt;=14)),"P1 Apply",IF($B864&gt;=7,"P2 Strong",IF($B864&gt;=5,"P3 Maybe","P4 Low")))))))))))</f>
        <v/>
      </c>
      <c r="B864" s="13" t="n">
        <v>1</v>
      </c>
      <c r="C864" s="12" t="inlineStr">
        <is>
          <t>Senior/Lead</t>
        </is>
      </c>
      <c r="D864" s="8" t="inlineStr">
        <is>
          <t>Senior Systems Engineer – Performance &amp; Reliability (Analysis)</t>
        </is>
      </c>
      <c r="E864" s="7" t="inlineStr">
        <is>
          <t>Graphcore</t>
        </is>
      </c>
      <c r="F864" s="8" t="inlineStr">
        <is>
          <t>London, UK</t>
        </is>
      </c>
      <c r="G864" s="8" t="n"/>
      <c r="H864" s="14" t="n"/>
      <c r="I864" s="15">
        <f>IF($H864="","",$H864-TODAY())</f>
        <v/>
      </c>
      <c r="J864" s="16" t="inlineStr">
        <is>
          <t>Open posting</t>
        </is>
      </c>
      <c r="K864" s="8" t="inlineStr">
        <is>
          <t>filtered by keyword pre-scan</t>
        </is>
      </c>
      <c r="L864" s="17" t="inlineStr">
        <is>
          <t>new</t>
        </is>
      </c>
      <c r="M864" s="18" t="inlineStr"/>
      <c r="N864" s="7" t="inlineStr">
        <is>
          <t>2a40d29fcf73737e2d0ec1a1bf0336adfd5778f8</t>
        </is>
      </c>
      <c r="O864" s="14" t="n">
        <v>46189</v>
      </c>
      <c r="P864" s="7" t="inlineStr">
        <is>
          <t>greenhouse:graphcore</t>
        </is>
      </c>
      <c r="Q864" s="8" t="inlineStr"/>
      <c r="R864" s="8" t="n"/>
      <c r="S864" s="19" t="n"/>
      <c r="T864" s="19" t="n"/>
      <c r="U864" s="14" t="n">
        <v>46189</v>
      </c>
      <c r="V864" s="7" t="inlineStr">
        <is>
          <t>v1-db41edab064373dd</t>
        </is>
      </c>
    </row>
    <row r="865" ht="28" customHeight="1">
      <c r="A865" s="12">
        <f>IF($L865="applied","Applied",IF($L865="interview","Interview",IF($L865="offer","Offer",IF($L865="rejected","Rejected",IF($L865="ignore","Ignore",IF($L865="archive","Archive",IF($L865="closed","Closed",IF($B865="","Unscored",IF(AND($B865&gt;=8,OR($H865="",$H865-TODAY()&lt;=14)),"P1 Apply",IF($B865&gt;=7,"P2 Strong",IF($B865&gt;=5,"P3 Maybe","P4 Low")))))))))))</f>
        <v/>
      </c>
      <c r="B865" s="13" t="n">
        <v>1</v>
      </c>
      <c r="C865" s="12" t="inlineStr">
        <is>
          <t>Senior/Lead</t>
        </is>
      </c>
      <c r="D865" s="8" t="inlineStr">
        <is>
          <t>Senior Systems Engineer – Performance &amp; Reliability (Analysis)</t>
        </is>
      </c>
      <c r="E865" s="7" t="inlineStr">
        <is>
          <t>Graphcore</t>
        </is>
      </c>
      <c r="F865" s="8" t="inlineStr">
        <is>
          <t>Bristol, UK</t>
        </is>
      </c>
      <c r="G865" s="8" t="n"/>
      <c r="H865" s="14" t="n"/>
      <c r="I865" s="15">
        <f>IF($H865="","",$H865-TODAY())</f>
        <v/>
      </c>
      <c r="J865" s="16" t="inlineStr">
        <is>
          <t>Open posting</t>
        </is>
      </c>
      <c r="K865" s="8" t="inlineStr">
        <is>
          <t>filtered by keyword pre-scan</t>
        </is>
      </c>
      <c r="L865" s="17" t="inlineStr">
        <is>
          <t>new</t>
        </is>
      </c>
      <c r="M865" s="18" t="inlineStr"/>
      <c r="N865" s="7" t="inlineStr">
        <is>
          <t>d78dc08e0103b83d078e236eba07327a6abe6c0d</t>
        </is>
      </c>
      <c r="O865" s="14" t="n">
        <v>46189</v>
      </c>
      <c r="P865" s="7" t="inlineStr">
        <is>
          <t>greenhouse:graphcore</t>
        </is>
      </c>
      <c r="Q865" s="8" t="inlineStr"/>
      <c r="R865" s="8" t="n"/>
      <c r="S865" s="19" t="n"/>
      <c r="T865" s="19" t="n"/>
      <c r="U865" s="14" t="n">
        <v>46189</v>
      </c>
      <c r="V865" s="7" t="inlineStr">
        <is>
          <t>v1-db41edab064373dd</t>
        </is>
      </c>
    </row>
    <row r="866" ht="28" customHeight="1">
      <c r="A866" s="12">
        <f>IF($L866="applied","Applied",IF($L866="interview","Interview",IF($L866="offer","Offer",IF($L866="rejected","Rejected",IF($L866="ignore","Ignore",IF($L866="archive","Archive",IF($L866="closed","Closed",IF($B866="","Unscored",IF(AND($B866&gt;=8,OR($H866="",$H866-TODAY()&lt;=14)),"P1 Apply",IF($B866&gt;=7,"P2 Strong",IF($B866&gt;=5,"P3 Maybe","P4 Low")))))))))))</f>
        <v/>
      </c>
      <c r="B866" s="13" t="n">
        <v>1</v>
      </c>
      <c r="C866" s="12" t="inlineStr">
        <is>
          <t>Senior/Lead</t>
        </is>
      </c>
      <c r="D866" s="8" t="inlineStr">
        <is>
          <t>Senior System Validation Engineer</t>
        </is>
      </c>
      <c r="E866" s="7" t="inlineStr">
        <is>
          <t>Graphcore</t>
        </is>
      </c>
      <c r="F866" s="8" t="inlineStr">
        <is>
          <t>Austin, Texas, United States</t>
        </is>
      </c>
      <c r="G866" s="8" t="n"/>
      <c r="H866" s="14" t="n"/>
      <c r="I866" s="15">
        <f>IF($H866="","",$H866-TODAY())</f>
        <v/>
      </c>
      <c r="J866" s="16" t="inlineStr">
        <is>
          <t>Open posting</t>
        </is>
      </c>
      <c r="K866" s="8" t="inlineStr">
        <is>
          <t>filtered by keyword pre-scan</t>
        </is>
      </c>
      <c r="L866" s="17" t="inlineStr">
        <is>
          <t>new</t>
        </is>
      </c>
      <c r="M866" s="18" t="inlineStr"/>
      <c r="N866" s="7" t="inlineStr">
        <is>
          <t>fde045d8d11b49750c7c03c0330f3a0b8ef3aa0c</t>
        </is>
      </c>
      <c r="O866" s="14" t="n">
        <v>46189</v>
      </c>
      <c r="P866" s="7" t="inlineStr">
        <is>
          <t>greenhouse:graphcore</t>
        </is>
      </c>
      <c r="Q866" s="8" t="inlineStr"/>
      <c r="R866" s="8" t="n"/>
      <c r="S866" s="19" t="n"/>
      <c r="T866" s="19" t="n"/>
      <c r="U866" s="14" t="n">
        <v>46189</v>
      </c>
      <c r="V866" s="7" t="inlineStr">
        <is>
          <t>v1-db41edab064373dd</t>
        </is>
      </c>
    </row>
    <row r="867" ht="28" customHeight="1">
      <c r="A867" s="12">
        <f>IF($L867="applied","Applied",IF($L867="interview","Interview",IF($L867="offer","Offer",IF($L867="rejected","Rejected",IF($L867="ignore","Ignore",IF($L867="archive","Archive",IF($L867="closed","Closed",IF($B867="","Unscored",IF(AND($B867&gt;=8,OR($H867="",$H867-TODAY()&lt;=14)),"P1 Apply",IF($B867&gt;=7,"P2 Strong",IF($B867&gt;=5,"P3 Maybe","P4 Low")))))))))))</f>
        <v/>
      </c>
      <c r="B867" s="13" t="n">
        <v>1</v>
      </c>
      <c r="C867" s="12" t="inlineStr">
        <is>
          <t>Senior/Lead</t>
        </is>
      </c>
      <c r="D867" s="8" t="inlineStr">
        <is>
          <t>Senior Technical Program Manager</t>
        </is>
      </c>
      <c r="E867" s="7" t="inlineStr">
        <is>
          <t>Graphcore</t>
        </is>
      </c>
      <c r="F867" s="8" t="inlineStr">
        <is>
          <t>Bristol, UK; Cambridge, UK; London, UK</t>
        </is>
      </c>
      <c r="G867" s="8" t="n"/>
      <c r="H867" s="14" t="n"/>
      <c r="I867" s="15">
        <f>IF($H867="","",$H867-TODAY())</f>
        <v/>
      </c>
      <c r="J867" s="16" t="inlineStr">
        <is>
          <t>Open posting</t>
        </is>
      </c>
      <c r="K867" s="8" t="inlineStr">
        <is>
          <t>filtered by keyword pre-scan</t>
        </is>
      </c>
      <c r="L867" s="17" t="inlineStr">
        <is>
          <t>new</t>
        </is>
      </c>
      <c r="M867" s="18" t="inlineStr"/>
      <c r="N867" s="7" t="inlineStr">
        <is>
          <t>2edd1e2b5d24bccbefd30765d4c8731fde56f429</t>
        </is>
      </c>
      <c r="O867" s="14" t="n">
        <v>46189</v>
      </c>
      <c r="P867" s="7" t="inlineStr">
        <is>
          <t>greenhouse:graphcore</t>
        </is>
      </c>
      <c r="Q867" s="8" t="inlineStr"/>
      <c r="R867" s="8" t="n"/>
      <c r="S867" s="19" t="n"/>
      <c r="T867" s="19" t="n"/>
      <c r="U867" s="14" t="n">
        <v>46189</v>
      </c>
      <c r="V867" s="7" t="inlineStr">
        <is>
          <t>v1-db41edab064373dd</t>
        </is>
      </c>
    </row>
    <row r="868" ht="28" customHeight="1">
      <c r="A868" s="12">
        <f>IF($L868="applied","Applied",IF($L868="interview","Interview",IF($L868="offer","Offer",IF($L868="rejected","Rejected",IF($L868="ignore","Ignore",IF($L868="archive","Archive",IF($L868="closed","Closed",IF($B868="","Unscored",IF(AND($B868&gt;=8,OR($H868="",$H868-TODAY()&lt;=14)),"P1 Apply",IF($B868&gt;=7,"P2 Strong",IF($B868&gt;=5,"P3 Maybe","P4 Low")))))))))))</f>
        <v/>
      </c>
      <c r="B868" s="13" t="n">
        <v>1</v>
      </c>
      <c r="C868" s="12" t="inlineStr">
        <is>
          <t>Senior/Lead</t>
        </is>
      </c>
      <c r="D868" s="8" t="inlineStr">
        <is>
          <t>Senior UEFI Firmware Engineer</t>
        </is>
      </c>
      <c r="E868" s="7" t="inlineStr">
        <is>
          <t>Graphcore</t>
        </is>
      </c>
      <c r="F868" s="8" t="inlineStr">
        <is>
          <t>Austin, Texas, United States</t>
        </is>
      </c>
      <c r="G868" s="8" t="n"/>
      <c r="H868" s="14" t="n"/>
      <c r="I868" s="15">
        <f>IF($H868="","",$H868-TODAY())</f>
        <v/>
      </c>
      <c r="J868" s="16" t="inlineStr">
        <is>
          <t>Open posting</t>
        </is>
      </c>
      <c r="K868" s="8" t="inlineStr">
        <is>
          <t>filtered by keyword pre-scan</t>
        </is>
      </c>
      <c r="L868" s="17" t="inlineStr">
        <is>
          <t>new</t>
        </is>
      </c>
      <c r="M868" s="18" t="inlineStr"/>
      <c r="N868" s="7" t="inlineStr">
        <is>
          <t>d055d3853399088e150c1ea73f4cde0d33138ff3</t>
        </is>
      </c>
      <c r="O868" s="14" t="n">
        <v>46189</v>
      </c>
      <c r="P868" s="7" t="inlineStr">
        <is>
          <t>greenhouse:graphcore</t>
        </is>
      </c>
      <c r="Q868" s="8" t="inlineStr"/>
      <c r="R868" s="8" t="n"/>
      <c r="S868" s="19" t="n"/>
      <c r="T868" s="19" t="n"/>
      <c r="U868" s="14" t="n">
        <v>46189</v>
      </c>
      <c r="V868" s="7" t="inlineStr">
        <is>
          <t>v1-db41edab064373dd</t>
        </is>
      </c>
    </row>
    <row r="869" ht="28" customHeight="1">
      <c r="A869" s="12">
        <f>IF($L869="applied","Applied",IF($L869="interview","Interview",IF($L869="offer","Offer",IF($L869="rejected","Rejected",IF($L869="ignore","Ignore",IF($L869="archive","Archive",IF($L869="closed","Closed",IF($B869="","Unscored",IF(AND($B869&gt;=8,OR($H869="",$H869-TODAY()&lt;=14)),"P1 Apply",IF($B869&gt;=7,"P2 Strong",IF($B869&gt;=5,"P3 Maybe","P4 Low")))))))))))</f>
        <v/>
      </c>
      <c r="B869" s="13" t="n">
        <v>1</v>
      </c>
      <c r="C869" s="12" t="inlineStr">
        <is>
          <t>Senior/Lead</t>
        </is>
      </c>
      <c r="D869" s="8" t="inlineStr">
        <is>
          <t>Silicon Verification Lead</t>
        </is>
      </c>
      <c r="E869" s="7" t="inlineStr">
        <is>
          <t>Graphcore</t>
        </is>
      </c>
      <c r="F869" s="8" t="inlineStr">
        <is>
          <t>Bristol, UK; Cambridge, UK</t>
        </is>
      </c>
      <c r="G869" s="8" t="n"/>
      <c r="H869" s="14" t="n"/>
      <c r="I869" s="15">
        <f>IF($H869="","",$H869-TODAY())</f>
        <v/>
      </c>
      <c r="J869" s="16" t="inlineStr">
        <is>
          <t>Open posting</t>
        </is>
      </c>
      <c r="K869" s="8" t="inlineStr">
        <is>
          <t>filtered by keyword pre-scan</t>
        </is>
      </c>
      <c r="L869" s="17" t="inlineStr">
        <is>
          <t>new</t>
        </is>
      </c>
      <c r="M869" s="18" t="inlineStr"/>
      <c r="N869" s="7" t="inlineStr">
        <is>
          <t>b5c323f4eb49bc9763e218ab0773f2421190a551</t>
        </is>
      </c>
      <c r="O869" s="14" t="n">
        <v>46189</v>
      </c>
      <c r="P869" s="7" t="inlineStr">
        <is>
          <t>greenhouse:graphcore</t>
        </is>
      </c>
      <c r="Q869" s="8" t="inlineStr"/>
      <c r="R869" s="8" t="n"/>
      <c r="S869" s="19" t="n"/>
      <c r="T869" s="19" t="n"/>
      <c r="U869" s="14" t="n">
        <v>46189</v>
      </c>
      <c r="V869" s="7" t="inlineStr">
        <is>
          <t>v1-db41edab064373dd</t>
        </is>
      </c>
    </row>
    <row r="870" ht="28" customHeight="1">
      <c r="A870" s="12">
        <f>IF($L870="applied","Applied",IF($L870="interview","Interview",IF($L870="offer","Offer",IF($L870="rejected","Rejected",IF($L870="ignore","Ignore",IF($L870="archive","Archive",IF($L870="closed","Closed",IF($B870="","Unscored",IF(AND($B870&gt;=8,OR($H870="",$H870-TODAY()&lt;=14)),"P1 Apply",IF($B870&gt;=7,"P2 Strong",IF($B870&gt;=5,"P3 Maybe","P4 Low")))))))))))</f>
        <v/>
      </c>
      <c r="B870" s="13" t="n">
        <v>1</v>
      </c>
      <c r="C870" s="12" t="inlineStr">
        <is>
          <t>Senior/Lead</t>
        </is>
      </c>
      <c r="D870" s="8" t="inlineStr">
        <is>
          <t>Staff AI Performance Engineer</t>
        </is>
      </c>
      <c r="E870" s="7" t="inlineStr">
        <is>
          <t>Graphcore</t>
        </is>
      </c>
      <c r="F870" s="8" t="inlineStr">
        <is>
          <t>Austin, Texas, United States</t>
        </is>
      </c>
      <c r="G870" s="8" t="n"/>
      <c r="H870" s="14" t="n"/>
      <c r="I870" s="15">
        <f>IF($H870="","",$H870-TODAY())</f>
        <v/>
      </c>
      <c r="J870" s="16" t="inlineStr">
        <is>
          <t>Open posting</t>
        </is>
      </c>
      <c r="K870" s="8" t="inlineStr">
        <is>
          <t>filtered by keyword pre-scan</t>
        </is>
      </c>
      <c r="L870" s="17" t="inlineStr">
        <is>
          <t>new</t>
        </is>
      </c>
      <c r="M870" s="18" t="inlineStr"/>
      <c r="N870" s="7" t="inlineStr">
        <is>
          <t>bcff13cbae67adda5b43b94fc275c58f7a635f08</t>
        </is>
      </c>
      <c r="O870" s="14" t="n">
        <v>46189</v>
      </c>
      <c r="P870" s="7" t="inlineStr">
        <is>
          <t>greenhouse:graphcore</t>
        </is>
      </c>
      <c r="Q870" s="8" t="inlineStr"/>
      <c r="R870" s="8" t="n"/>
      <c r="S870" s="19" t="n"/>
      <c r="T870" s="19" t="n"/>
      <c r="U870" s="14" t="n">
        <v>46189</v>
      </c>
      <c r="V870" s="7" t="inlineStr">
        <is>
          <t>v1-db41edab064373dd</t>
        </is>
      </c>
    </row>
    <row r="871" ht="28" customHeight="1">
      <c r="A871" s="12">
        <f>IF($L871="applied","Applied",IF($L871="interview","Interview",IF($L871="offer","Offer",IF($L871="rejected","Rejected",IF($L871="ignore","Ignore",IF($L871="archive","Archive",IF($L871="closed","Closed",IF($B871="","Unscored",IF(AND($B871&gt;=8,OR($H871="",$H871-TODAY()&lt;=14)),"P1 Apply",IF($B871&gt;=7,"P2 Strong",IF($B871&gt;=5,"P3 Maybe","P4 Low")))))))))))</f>
        <v/>
      </c>
      <c r="B871" s="13" t="n">
        <v>1</v>
      </c>
      <c r="C871" s="12" t="inlineStr">
        <is>
          <t>Senior/Lead</t>
        </is>
      </c>
      <c r="D871" s="8" t="inlineStr">
        <is>
          <t>Staff BMC Engineer</t>
        </is>
      </c>
      <c r="E871" s="7" t="inlineStr">
        <is>
          <t>Graphcore</t>
        </is>
      </c>
      <c r="F871" s="8" t="inlineStr">
        <is>
          <t>Gdańsk, Pomeranian Voivodeship, Poland</t>
        </is>
      </c>
      <c r="G871" s="8" t="n"/>
      <c r="H871" s="14" t="n"/>
      <c r="I871" s="15">
        <f>IF($H871="","",$H871-TODAY())</f>
        <v/>
      </c>
      <c r="J871" s="16" t="inlineStr">
        <is>
          <t>Open posting</t>
        </is>
      </c>
      <c r="K871" s="8" t="inlineStr">
        <is>
          <t>filtered by keyword pre-scan</t>
        </is>
      </c>
      <c r="L871" s="17" t="inlineStr">
        <is>
          <t>new</t>
        </is>
      </c>
      <c r="M871" s="18" t="inlineStr"/>
      <c r="N871" s="7" t="inlineStr">
        <is>
          <t>d818d10fe1c31e54ea27dd293a54329289e33db8</t>
        </is>
      </c>
      <c r="O871" s="14" t="n">
        <v>46189</v>
      </c>
      <c r="P871" s="7" t="inlineStr">
        <is>
          <t>greenhouse:graphcore</t>
        </is>
      </c>
      <c r="Q871" s="8" t="inlineStr"/>
      <c r="R871" s="8" t="n"/>
      <c r="S871" s="19" t="n"/>
      <c r="T871" s="19" t="n"/>
      <c r="U871" s="14" t="n">
        <v>46189</v>
      </c>
      <c r="V871" s="7" t="inlineStr">
        <is>
          <t>v1-db41edab064373dd</t>
        </is>
      </c>
    </row>
    <row r="872" ht="28" customHeight="1">
      <c r="A872" s="12">
        <f>IF($L872="applied","Applied",IF($L872="interview","Interview",IF($L872="offer","Offer",IF($L872="rejected","Rejected",IF($L872="ignore","Ignore",IF($L872="archive","Archive",IF($L872="closed","Closed",IF($B872="","Unscored",IF(AND($B872&gt;=8,OR($H872="",$H872-TODAY()&lt;=14)),"P1 Apply",IF($B872&gt;=7,"P2 Strong",IF($B872&gt;=5,"P3 Maybe","P4 Low")))))))))))</f>
        <v/>
      </c>
      <c r="B872" s="13" t="n">
        <v>1</v>
      </c>
      <c r="C872" s="12" t="inlineStr">
        <is>
          <t>Senior/Lead</t>
        </is>
      </c>
      <c r="D872" s="8" t="inlineStr">
        <is>
          <t>Staff Bring-Up and Characterisation Engineer</t>
        </is>
      </c>
      <c r="E872" s="7" t="inlineStr">
        <is>
          <t>Graphcore</t>
        </is>
      </c>
      <c r="F872" s="8" t="inlineStr">
        <is>
          <t>Austin, Texas, United States</t>
        </is>
      </c>
      <c r="G872" s="8" t="n"/>
      <c r="H872" s="14" t="n"/>
      <c r="I872" s="15">
        <f>IF($H872="","",$H872-TODAY())</f>
        <v/>
      </c>
      <c r="J872" s="16" t="inlineStr">
        <is>
          <t>Open posting</t>
        </is>
      </c>
      <c r="K872" s="8" t="inlineStr">
        <is>
          <t>filtered by keyword pre-scan</t>
        </is>
      </c>
      <c r="L872" s="17" t="inlineStr">
        <is>
          <t>new</t>
        </is>
      </c>
      <c r="M872" s="18" t="inlineStr"/>
      <c r="N872" s="7" t="inlineStr">
        <is>
          <t>3920606f52476634acce53e0b6a573092f44428c</t>
        </is>
      </c>
      <c r="O872" s="14" t="n">
        <v>46189</v>
      </c>
      <c r="P872" s="7" t="inlineStr">
        <is>
          <t>greenhouse:graphcore</t>
        </is>
      </c>
      <c r="Q872" s="8" t="inlineStr"/>
      <c r="R872" s="8" t="n"/>
      <c r="S872" s="19" t="n"/>
      <c r="T872" s="19" t="n"/>
      <c r="U872" s="14" t="n">
        <v>46189</v>
      </c>
      <c r="V872" s="7" t="inlineStr">
        <is>
          <t>v1-db41edab064373dd</t>
        </is>
      </c>
    </row>
    <row r="873" ht="28" customHeight="1">
      <c r="A873" s="12">
        <f>IF($L873="applied","Applied",IF($L873="interview","Interview",IF($L873="offer","Offer",IF($L873="rejected","Rejected",IF($L873="ignore","Ignore",IF($L873="archive","Archive",IF($L873="closed","Closed",IF($B873="","Unscored",IF(AND($B873&gt;=8,OR($H873="",$H873-TODAY()&lt;=14)),"P1 Apply",IF($B873&gt;=7,"P2 Strong",IF($B873&gt;=5,"P3 Maybe","P4 Low")))))))))))</f>
        <v/>
      </c>
      <c r="B873" s="13" t="n">
        <v>1</v>
      </c>
      <c r="C873" s="12" t="inlineStr">
        <is>
          <t>Senior/Lead</t>
        </is>
      </c>
      <c r="D873" s="8" t="inlineStr">
        <is>
          <t>Staff Bring-Up and Characterisation Engineer</t>
        </is>
      </c>
      <c r="E873" s="7" t="inlineStr">
        <is>
          <t>Graphcore</t>
        </is>
      </c>
      <c r="F873" s="8" t="inlineStr">
        <is>
          <t>Austin, Texas, United States</t>
        </is>
      </c>
      <c r="G873" s="8" t="n"/>
      <c r="H873" s="14" t="n"/>
      <c r="I873" s="15">
        <f>IF($H873="","",$H873-TODAY())</f>
        <v/>
      </c>
      <c r="J873" s="16" t="inlineStr">
        <is>
          <t>Open posting</t>
        </is>
      </c>
      <c r="K873" s="8" t="inlineStr">
        <is>
          <t>filtered by keyword pre-scan</t>
        </is>
      </c>
      <c r="L873" s="17" t="inlineStr">
        <is>
          <t>new</t>
        </is>
      </c>
      <c r="M873" s="18" t="inlineStr"/>
      <c r="N873" s="7" t="inlineStr">
        <is>
          <t>11b7f5a6baa967b383edf6e83bdb85f4ee8c821b</t>
        </is>
      </c>
      <c r="O873" s="14" t="n">
        <v>46189</v>
      </c>
      <c r="P873" s="7" t="inlineStr">
        <is>
          <t>greenhouse:graphcore</t>
        </is>
      </c>
      <c r="Q873" s="8" t="inlineStr"/>
      <c r="R873" s="8" t="n"/>
      <c r="S873" s="19" t="n"/>
      <c r="T873" s="19" t="n"/>
      <c r="U873" s="14" t="n">
        <v>46189</v>
      </c>
      <c r="V873" s="7" t="inlineStr">
        <is>
          <t>v1-db41edab064373dd</t>
        </is>
      </c>
    </row>
    <row r="874" ht="28" customHeight="1">
      <c r="A874" s="12">
        <f>IF($L874="applied","Applied",IF($L874="interview","Interview",IF($L874="offer","Offer",IF($L874="rejected","Rejected",IF($L874="ignore","Ignore",IF($L874="archive","Archive",IF($L874="closed","Closed",IF($B874="","Unscored",IF(AND($B874&gt;=8,OR($H874="",$H874-TODAY()&lt;=14)),"P1 Apply",IF($B874&gt;=7,"P2 Strong",IF($B874&gt;=5,"P3 Maybe","P4 Low")))))))))))</f>
        <v/>
      </c>
      <c r="B874" s="13" t="n">
        <v>1</v>
      </c>
      <c r="C874" s="12" t="inlineStr">
        <is>
          <t>Senior/Lead</t>
        </is>
      </c>
      <c r="D874" s="8" t="inlineStr">
        <is>
          <t>Staff Cloud Engineer</t>
        </is>
      </c>
      <c r="E874" s="7" t="inlineStr">
        <is>
          <t>Graphcore</t>
        </is>
      </c>
      <c r="F874" s="8" t="inlineStr">
        <is>
          <t>Bristol, UK</t>
        </is>
      </c>
      <c r="G874" s="8" t="n"/>
      <c r="H874" s="14" t="n"/>
      <c r="I874" s="15">
        <f>IF($H874="","",$H874-TODAY())</f>
        <v/>
      </c>
      <c r="J874" s="16" t="inlineStr">
        <is>
          <t>Open posting</t>
        </is>
      </c>
      <c r="K874" s="8" t="inlineStr">
        <is>
          <t>filtered by keyword pre-scan</t>
        </is>
      </c>
      <c r="L874" s="17" t="inlineStr">
        <is>
          <t>new</t>
        </is>
      </c>
      <c r="M874" s="18" t="inlineStr"/>
      <c r="N874" s="7" t="inlineStr">
        <is>
          <t>c69189b5dff74e1990381ac3bee1a62247f071ec</t>
        </is>
      </c>
      <c r="O874" s="14" t="n">
        <v>46189</v>
      </c>
      <c r="P874" s="7" t="inlineStr">
        <is>
          <t>greenhouse:graphcore</t>
        </is>
      </c>
      <c r="Q874" s="8" t="inlineStr"/>
      <c r="R874" s="8" t="n"/>
      <c r="S874" s="19" t="n"/>
      <c r="T874" s="19" t="n"/>
      <c r="U874" s="14" t="n">
        <v>46189</v>
      </c>
      <c r="V874" s="7" t="inlineStr">
        <is>
          <t>v1-db41edab064373dd</t>
        </is>
      </c>
    </row>
    <row r="875" ht="28" customHeight="1">
      <c r="A875" s="12">
        <f>IF($L875="applied","Applied",IF($L875="interview","Interview",IF($L875="offer","Offer",IF($L875="rejected","Rejected",IF($L875="ignore","Ignore",IF($L875="archive","Archive",IF($L875="closed","Closed",IF($B875="","Unscored",IF(AND($B875&gt;=8,OR($H875="",$H875-TODAY()&lt;=14)),"P1 Apply",IF($B875&gt;=7,"P2 Strong",IF($B875&gt;=5,"P3 Maybe","P4 Low")))))))))))</f>
        <v/>
      </c>
      <c r="B875" s="13" t="n">
        <v>1</v>
      </c>
      <c r="C875" s="12" t="inlineStr">
        <is>
          <t>Senior/Lead</t>
        </is>
      </c>
      <c r="D875" s="8" t="inlineStr">
        <is>
          <t>Staff Cloud Engineer</t>
        </is>
      </c>
      <c r="E875" s="7" t="inlineStr">
        <is>
          <t>Graphcore</t>
        </is>
      </c>
      <c r="F875" s="8" t="inlineStr">
        <is>
          <t>London, UK</t>
        </is>
      </c>
      <c r="G875" s="8" t="n"/>
      <c r="H875" s="14" t="n"/>
      <c r="I875" s="15">
        <f>IF($H875="","",$H875-TODAY())</f>
        <v/>
      </c>
      <c r="J875" s="16" t="inlineStr">
        <is>
          <t>Open posting</t>
        </is>
      </c>
      <c r="K875" s="8" t="inlineStr">
        <is>
          <t>filtered by keyword pre-scan</t>
        </is>
      </c>
      <c r="L875" s="17" t="inlineStr">
        <is>
          <t>new</t>
        </is>
      </c>
      <c r="M875" s="18" t="inlineStr"/>
      <c r="N875" s="7" t="inlineStr">
        <is>
          <t>6afbbd31e93490c4d702722a229f3f06e56ea5fe</t>
        </is>
      </c>
      <c r="O875" s="14" t="n">
        <v>46189</v>
      </c>
      <c r="P875" s="7" t="inlineStr">
        <is>
          <t>greenhouse:graphcore</t>
        </is>
      </c>
      <c r="Q875" s="8" t="inlineStr"/>
      <c r="R875" s="8" t="n"/>
      <c r="S875" s="19" t="n"/>
      <c r="T875" s="19" t="n"/>
      <c r="U875" s="14" t="n">
        <v>46189</v>
      </c>
      <c r="V875" s="7" t="inlineStr">
        <is>
          <t>v1-db41edab064373dd</t>
        </is>
      </c>
    </row>
    <row r="876" ht="28" customHeight="1">
      <c r="A876" s="12">
        <f>IF($L876="applied","Applied",IF($L876="interview","Interview",IF($L876="offer","Offer",IF($L876="rejected","Rejected",IF($L876="ignore","Ignore",IF($L876="archive","Archive",IF($L876="closed","Closed",IF($B876="","Unscored",IF(AND($B876&gt;=8,OR($H876="",$H876-TODAY()&lt;=14)),"P1 Apply",IF($B876&gt;=7,"P2 Strong",IF($B876&gt;=5,"P3 Maybe","P4 Low")))))))))))</f>
        <v/>
      </c>
      <c r="B876" s="13" t="n">
        <v>1</v>
      </c>
      <c r="C876" s="12" t="inlineStr">
        <is>
          <t>Senior/Lead</t>
        </is>
      </c>
      <c r="D876" s="8" t="inlineStr">
        <is>
          <t>Staff Digital Twin Engineer</t>
        </is>
      </c>
      <c r="E876" s="7" t="inlineStr">
        <is>
          <t>Graphcore</t>
        </is>
      </c>
      <c r="F876" s="8" t="inlineStr">
        <is>
          <t>Austin, Texas, United States</t>
        </is>
      </c>
      <c r="G876" s="8" t="n"/>
      <c r="H876" s="14" t="n"/>
      <c r="I876" s="15">
        <f>IF($H876="","",$H876-TODAY())</f>
        <v/>
      </c>
      <c r="J876" s="16" t="inlineStr">
        <is>
          <t>Open posting</t>
        </is>
      </c>
      <c r="K876" s="8" t="inlineStr">
        <is>
          <t>filtered by keyword pre-scan</t>
        </is>
      </c>
      <c r="L876" s="17" t="inlineStr">
        <is>
          <t>new</t>
        </is>
      </c>
      <c r="M876" s="18" t="inlineStr"/>
      <c r="N876" s="7" t="inlineStr">
        <is>
          <t>f915ffea26a323c9d47a642dc1436a65e9b5dd13</t>
        </is>
      </c>
      <c r="O876" s="14" t="n">
        <v>46189</v>
      </c>
      <c r="P876" s="7" t="inlineStr">
        <is>
          <t>greenhouse:graphcore</t>
        </is>
      </c>
      <c r="Q876" s="8" t="inlineStr"/>
      <c r="R876" s="8" t="n"/>
      <c r="S876" s="19" t="n"/>
      <c r="T876" s="19" t="n"/>
      <c r="U876" s="14" t="n">
        <v>46189</v>
      </c>
      <c r="V876" s="7" t="inlineStr">
        <is>
          <t>v1-db41edab064373dd</t>
        </is>
      </c>
    </row>
    <row r="877" ht="28" customHeight="1">
      <c r="A877" s="12">
        <f>IF($L877="applied","Applied",IF($L877="interview","Interview",IF($L877="offer","Offer",IF($L877="rejected","Rejected",IF($L877="ignore","Ignore",IF($L877="archive","Archive",IF($L877="closed","Closed",IF($B877="","Unscored",IF(AND($B877&gt;=8,OR($H877="",$H877-TODAY()&lt;=14)),"P1 Apply",IF($B877&gt;=7,"P2 Strong",IF($B877&gt;=5,"P3 Maybe","P4 Low")))))))))))</f>
        <v/>
      </c>
      <c r="B877" s="13" t="n">
        <v>1</v>
      </c>
      <c r="C877" s="12" t="inlineStr">
        <is>
          <t>Senior/Lead</t>
        </is>
      </c>
      <c r="D877" s="8" t="inlineStr">
        <is>
          <t>Staff Embedded SW/FW Engineer (Bringup) - Bengaluru</t>
        </is>
      </c>
      <c r="E877" s="7" t="inlineStr">
        <is>
          <t>Graphcore</t>
        </is>
      </c>
      <c r="F877" s="8" t="inlineStr">
        <is>
          <t>Bengaluru, India</t>
        </is>
      </c>
      <c r="G877" s="8" t="n"/>
      <c r="H877" s="14" t="n"/>
      <c r="I877" s="15">
        <f>IF($H877="","",$H877-TODAY())</f>
        <v/>
      </c>
      <c r="J877" s="16" t="inlineStr">
        <is>
          <t>Open posting</t>
        </is>
      </c>
      <c r="K877" s="8" t="inlineStr">
        <is>
          <t>filtered by keyword pre-scan</t>
        </is>
      </c>
      <c r="L877" s="17" t="inlineStr">
        <is>
          <t>new</t>
        </is>
      </c>
      <c r="M877" s="18" t="inlineStr"/>
      <c r="N877" s="7" t="inlineStr">
        <is>
          <t>e8570c1f71e95d38412391de4a9fa5824bc058ee</t>
        </is>
      </c>
      <c r="O877" s="14" t="n">
        <v>46189</v>
      </c>
      <c r="P877" s="7" t="inlineStr">
        <is>
          <t>greenhouse:graphcore</t>
        </is>
      </c>
      <c r="Q877" s="8" t="inlineStr"/>
      <c r="R877" s="8" t="n"/>
      <c r="S877" s="19" t="n"/>
      <c r="T877" s="19" t="n"/>
      <c r="U877" s="14" t="n">
        <v>46189</v>
      </c>
      <c r="V877" s="7" t="inlineStr">
        <is>
          <t>v1-db41edab064373dd</t>
        </is>
      </c>
    </row>
    <row r="878" ht="28" customHeight="1">
      <c r="A878" s="12">
        <f>IF($L878="applied","Applied",IF($L878="interview","Interview",IF($L878="offer","Offer",IF($L878="rejected","Rejected",IF($L878="ignore","Ignore",IF($L878="archive","Archive",IF($L878="closed","Closed",IF($B878="","Unscored",IF(AND($B878&gt;=8,OR($H878="",$H878-TODAY()&lt;=14)),"P1 Apply",IF($B878&gt;=7,"P2 Strong",IF($B878&gt;=5,"P3 Maybe","P4 Low")))))))))))</f>
        <v/>
      </c>
      <c r="B878" s="13" t="n">
        <v>1</v>
      </c>
      <c r="C878" s="12" t="inlineStr">
        <is>
          <t>Senior/Lead</t>
        </is>
      </c>
      <c r="D878" s="8" t="inlineStr">
        <is>
          <t>Staff Engineer</t>
        </is>
      </c>
      <c r="E878" s="7" t="inlineStr">
        <is>
          <t>Graphcore</t>
        </is>
      </c>
      <c r="F878" s="8" t="inlineStr">
        <is>
          <t>Austin, Texas, United States; US - Milpitas</t>
        </is>
      </c>
      <c r="G878" s="8" t="n"/>
      <c r="H878" s="14" t="n"/>
      <c r="I878" s="15">
        <f>IF($H878="","",$H878-TODAY())</f>
        <v/>
      </c>
      <c r="J878" s="16" t="inlineStr">
        <is>
          <t>Open posting</t>
        </is>
      </c>
      <c r="K878" s="8" t="inlineStr">
        <is>
          <t>filtered by keyword pre-scan</t>
        </is>
      </c>
      <c r="L878" s="17" t="inlineStr">
        <is>
          <t>new</t>
        </is>
      </c>
      <c r="M878" s="18" t="inlineStr"/>
      <c r="N878" s="7" t="inlineStr">
        <is>
          <t>0b03fb2727fed9b90170b6216fe705d65e8798ce</t>
        </is>
      </c>
      <c r="O878" s="14" t="n">
        <v>46189</v>
      </c>
      <c r="P878" s="7" t="inlineStr">
        <is>
          <t>greenhouse:graphcore</t>
        </is>
      </c>
      <c r="Q878" s="8" t="inlineStr"/>
      <c r="R878" s="8" t="n"/>
      <c r="S878" s="19" t="n"/>
      <c r="T878" s="19" t="n"/>
      <c r="U878" s="14" t="n">
        <v>46189</v>
      </c>
      <c r="V878" s="7" t="inlineStr">
        <is>
          <t>v1-db41edab064373dd</t>
        </is>
      </c>
    </row>
    <row r="879" ht="28" customHeight="1">
      <c r="A879" s="12">
        <f>IF($L879="applied","Applied",IF($L879="interview","Interview",IF($L879="offer","Offer",IF($L879="rejected","Rejected",IF($L879="ignore","Ignore",IF($L879="archive","Archive",IF($L879="closed","Closed",IF($B879="","Unscored",IF(AND($B879&gt;=8,OR($H879="",$H879-TODAY()&lt;=14)),"P1 Apply",IF($B879&gt;=7,"P2 Strong",IF($B879&gt;=5,"P3 Maybe","P4 Low")))))))))))</f>
        <v/>
      </c>
      <c r="B879" s="13" t="n">
        <v>1</v>
      </c>
      <c r="C879" s="12" t="inlineStr">
        <is>
          <t>Senior/Lead</t>
        </is>
      </c>
      <c r="D879" s="8" t="inlineStr">
        <is>
          <t>Staff Engineer</t>
        </is>
      </c>
      <c r="E879" s="7" t="inlineStr">
        <is>
          <t>Graphcore</t>
        </is>
      </c>
      <c r="F879" s="8" t="inlineStr">
        <is>
          <t>Austin, Texas, United States; US - Milpitas</t>
        </is>
      </c>
      <c r="G879" s="8" t="n"/>
      <c r="H879" s="14" t="n"/>
      <c r="I879" s="15">
        <f>IF($H879="","",$H879-TODAY())</f>
        <v/>
      </c>
      <c r="J879" s="16" t="inlineStr">
        <is>
          <t>Open posting</t>
        </is>
      </c>
      <c r="K879" s="8" t="inlineStr">
        <is>
          <t>filtered by keyword pre-scan</t>
        </is>
      </c>
      <c r="L879" s="17" t="inlineStr">
        <is>
          <t>new</t>
        </is>
      </c>
      <c r="M879" s="18" t="inlineStr"/>
      <c r="N879" s="7" t="inlineStr">
        <is>
          <t>248b44341a08df26f65ad33cba401319107a8358</t>
        </is>
      </c>
      <c r="O879" s="14" t="n">
        <v>46189</v>
      </c>
      <c r="P879" s="7" t="inlineStr">
        <is>
          <t>greenhouse:graphcore</t>
        </is>
      </c>
      <c r="Q879" s="8" t="inlineStr"/>
      <c r="R879" s="8" t="n"/>
      <c r="S879" s="19" t="n"/>
      <c r="T879" s="19" t="n"/>
      <c r="U879" s="14" t="n">
        <v>46189</v>
      </c>
      <c r="V879" s="7" t="inlineStr">
        <is>
          <t>v1-db41edab064373dd</t>
        </is>
      </c>
    </row>
    <row r="880" ht="28" customHeight="1">
      <c r="A880" s="12">
        <f>IF($L880="applied","Applied",IF($L880="interview","Interview",IF($L880="offer","Offer",IF($L880="rejected","Rejected",IF($L880="ignore","Ignore",IF($L880="archive","Archive",IF($L880="closed","Closed",IF($B880="","Unscored",IF(AND($B880&gt;=8,OR($H880="",$H880-TODAY()&lt;=14)),"P1 Apply",IF($B880&gt;=7,"P2 Strong",IF($B880&gt;=5,"P3 Maybe","P4 Low")))))))))))</f>
        <v/>
      </c>
      <c r="B880" s="13" t="n">
        <v>1</v>
      </c>
      <c r="C880" s="12" t="inlineStr">
        <is>
          <t>Senior/Lead</t>
        </is>
      </c>
      <c r="D880" s="8" t="inlineStr">
        <is>
          <t>Staff Engineer (ML Engineer)</t>
        </is>
      </c>
      <c r="E880" s="7" t="inlineStr">
        <is>
          <t>Graphcore</t>
        </is>
      </c>
      <c r="F880" s="8" t="inlineStr">
        <is>
          <t>London, UK</t>
        </is>
      </c>
      <c r="G880" s="8" t="n"/>
      <c r="H880" s="14" t="n"/>
      <c r="I880" s="15">
        <f>IF($H880="","",$H880-TODAY())</f>
        <v/>
      </c>
      <c r="J880" s="16" t="inlineStr">
        <is>
          <t>Open posting</t>
        </is>
      </c>
      <c r="K880" s="8" t="inlineStr">
        <is>
          <t>filtered by keyword pre-scan</t>
        </is>
      </c>
      <c r="L880" s="17" t="inlineStr">
        <is>
          <t>new</t>
        </is>
      </c>
      <c r="M880" s="18" t="inlineStr"/>
      <c r="N880" s="7" t="inlineStr">
        <is>
          <t>0db9a7054119521da644251c1ff4303006fdb418</t>
        </is>
      </c>
      <c r="O880" s="14" t="n">
        <v>46189</v>
      </c>
      <c r="P880" s="7" t="inlineStr">
        <is>
          <t>greenhouse:graphcore</t>
        </is>
      </c>
      <c r="Q880" s="8" t="inlineStr"/>
      <c r="R880" s="8" t="n"/>
      <c r="S880" s="19" t="n"/>
      <c r="T880" s="19" t="n"/>
      <c r="U880" s="14" t="n">
        <v>46189</v>
      </c>
      <c r="V880" s="7" t="inlineStr">
        <is>
          <t>v1-db41edab064373dd</t>
        </is>
      </c>
    </row>
    <row r="881" ht="28" customHeight="1">
      <c r="A881" s="12">
        <f>IF($L881="applied","Applied",IF($L881="interview","Interview",IF($L881="offer","Offer",IF($L881="rejected","Rejected",IF($L881="ignore","Ignore",IF($L881="archive","Archive",IF($L881="closed","Closed",IF($B881="","Unscored",IF(AND($B881&gt;=8,OR($H881="",$H881-TODAY()&lt;=14)),"P1 Apply",IF($B881&gt;=7,"P2 Strong",IF($B881&gt;=5,"P3 Maybe","P4 Low")))))))))))</f>
        <v/>
      </c>
      <c r="B881" s="13" t="n">
        <v>1</v>
      </c>
      <c r="C881" s="12" t="inlineStr">
        <is>
          <t>Senior/Lead</t>
        </is>
      </c>
      <c r="D881" s="8" t="inlineStr">
        <is>
          <t>Staff Engineer (ML Engineer)</t>
        </is>
      </c>
      <c r="E881" s="7" t="inlineStr">
        <is>
          <t>Graphcore</t>
        </is>
      </c>
      <c r="F881" s="8" t="inlineStr">
        <is>
          <t>Bristol, UK</t>
        </is>
      </c>
      <c r="G881" s="8" t="n"/>
      <c r="H881" s="14" t="n"/>
      <c r="I881" s="15">
        <f>IF($H881="","",$H881-TODAY())</f>
        <v/>
      </c>
      <c r="J881" s="16" t="inlineStr">
        <is>
          <t>Open posting</t>
        </is>
      </c>
      <c r="K881" s="8" t="inlineStr">
        <is>
          <t>filtered by keyword pre-scan</t>
        </is>
      </c>
      <c r="L881" s="17" t="inlineStr">
        <is>
          <t>new</t>
        </is>
      </c>
      <c r="M881" s="18" t="inlineStr"/>
      <c r="N881" s="7" t="inlineStr">
        <is>
          <t>ac73aa436aff8a80a3f33ddff9e18537b5d1ddf2</t>
        </is>
      </c>
      <c r="O881" s="14" t="n">
        <v>46189</v>
      </c>
      <c r="P881" s="7" t="inlineStr">
        <is>
          <t>greenhouse:graphcore</t>
        </is>
      </c>
      <c r="Q881" s="8" t="inlineStr"/>
      <c r="R881" s="8" t="n"/>
      <c r="S881" s="19" t="n"/>
      <c r="T881" s="19" t="n"/>
      <c r="U881" s="14" t="n">
        <v>46189</v>
      </c>
      <c r="V881" s="7" t="inlineStr">
        <is>
          <t>v1-db41edab064373dd</t>
        </is>
      </c>
    </row>
    <row r="882" ht="28" customHeight="1">
      <c r="A882" s="12">
        <f>IF($L882="applied","Applied",IF($L882="interview","Interview",IF($L882="offer","Offer",IF($L882="rejected","Rejected",IF($L882="ignore","Ignore",IF($L882="archive","Archive",IF($L882="closed","Closed",IF($B882="","Unscored",IF(AND($B882&gt;=8,OR($H882="",$H882-TODAY()&lt;=14)),"P1 Apply",IF($B882&gt;=7,"P2 Strong",IF($B882&gt;=5,"P3 Maybe","P4 Low")))))))))))</f>
        <v/>
      </c>
      <c r="B882" s="13" t="n">
        <v>1</v>
      </c>
      <c r="C882" s="12" t="inlineStr">
        <is>
          <t>Senior/Lead</t>
        </is>
      </c>
      <c r="D882" s="8" t="inlineStr">
        <is>
          <t>Staff Engineer (ML Engineer)</t>
        </is>
      </c>
      <c r="E882" s="7" t="inlineStr">
        <is>
          <t>Graphcore</t>
        </is>
      </c>
      <c r="F882" s="8" t="inlineStr">
        <is>
          <t>Cambridge, UK</t>
        </is>
      </c>
      <c r="G882" s="8" t="n"/>
      <c r="H882" s="14" t="n"/>
      <c r="I882" s="15">
        <f>IF($H882="","",$H882-TODAY())</f>
        <v/>
      </c>
      <c r="J882" s="16" t="inlineStr">
        <is>
          <t>Open posting</t>
        </is>
      </c>
      <c r="K882" s="8" t="inlineStr">
        <is>
          <t>filtered by keyword pre-scan</t>
        </is>
      </c>
      <c r="L882" s="17" t="inlineStr">
        <is>
          <t>new</t>
        </is>
      </c>
      <c r="M882" s="18" t="inlineStr"/>
      <c r="N882" s="7" t="inlineStr">
        <is>
          <t>70c6feb609703b24c0165509dc2e94e50b892d28</t>
        </is>
      </c>
      <c r="O882" s="14" t="n">
        <v>46189</v>
      </c>
      <c r="P882" s="7" t="inlineStr">
        <is>
          <t>greenhouse:graphcore</t>
        </is>
      </c>
      <c r="Q882" s="8" t="inlineStr"/>
      <c r="R882" s="8" t="n"/>
      <c r="S882" s="19" t="n"/>
      <c r="T882" s="19" t="n"/>
      <c r="U882" s="14" t="n">
        <v>46189</v>
      </c>
      <c r="V882" s="7" t="inlineStr">
        <is>
          <t>v1-db41edab064373dd</t>
        </is>
      </c>
    </row>
    <row r="883" ht="28" customHeight="1">
      <c r="A883" s="12">
        <f>IF($L883="applied","Applied",IF($L883="interview","Interview",IF($L883="offer","Offer",IF($L883="rejected","Rejected",IF($L883="ignore","Ignore",IF($L883="archive","Archive",IF($L883="closed","Closed",IF($B883="","Unscored",IF(AND($B883&gt;=8,OR($H883="",$H883-TODAY()&lt;=14)),"P1 Apply",IF($B883&gt;=7,"P2 Strong",IF($B883&gt;=5,"P3 Maybe","P4 Low")))))))))))</f>
        <v/>
      </c>
      <c r="B883" s="13" t="n">
        <v>1</v>
      </c>
      <c r="C883" s="12" t="inlineStr">
        <is>
          <t>Senior/Lead</t>
        </is>
      </c>
      <c r="D883" s="8" t="inlineStr">
        <is>
          <t>Staff Engineer - Platform Bring-up and Validation</t>
        </is>
      </c>
      <c r="E883" s="7" t="inlineStr">
        <is>
          <t>Graphcore</t>
        </is>
      </c>
      <c r="F883" s="8" t="inlineStr">
        <is>
          <t>Austin, Texas, United States</t>
        </is>
      </c>
      <c r="G883" s="8" t="n"/>
      <c r="H883" s="14" t="n"/>
      <c r="I883" s="15">
        <f>IF($H883="","",$H883-TODAY())</f>
        <v/>
      </c>
      <c r="J883" s="16" t="inlineStr">
        <is>
          <t>Open posting</t>
        </is>
      </c>
      <c r="K883" s="8" t="inlineStr">
        <is>
          <t>filtered by keyword pre-scan</t>
        </is>
      </c>
      <c r="L883" s="17" t="inlineStr">
        <is>
          <t>new</t>
        </is>
      </c>
      <c r="M883" s="18" t="inlineStr"/>
      <c r="N883" s="7" t="inlineStr">
        <is>
          <t>eca3b5f0a781ff208f865fb5c0c2c6ec30b4465b</t>
        </is>
      </c>
      <c r="O883" s="14" t="n">
        <v>46189</v>
      </c>
      <c r="P883" s="7" t="inlineStr">
        <is>
          <t>greenhouse:graphcore</t>
        </is>
      </c>
      <c r="Q883" s="8" t="inlineStr"/>
      <c r="R883" s="8" t="n"/>
      <c r="S883" s="19" t="n"/>
      <c r="T883" s="19" t="n"/>
      <c r="U883" s="14" t="n">
        <v>46189</v>
      </c>
      <c r="V883" s="7" t="inlineStr">
        <is>
          <t>v1-db41edab064373dd</t>
        </is>
      </c>
    </row>
    <row r="884" ht="28" customHeight="1">
      <c r="A884" s="12">
        <f>IF($L884="applied","Applied",IF($L884="interview","Interview",IF($L884="offer","Offer",IF($L884="rejected","Rejected",IF($L884="ignore","Ignore",IF($L884="archive","Archive",IF($L884="closed","Closed",IF($B884="","Unscored",IF(AND($B884&gt;=8,OR($H884="",$H884-TODAY()&lt;=14)),"P1 Apply",IF($B884&gt;=7,"P2 Strong",IF($B884&gt;=5,"P3 Maybe","P4 Low")))))))))))</f>
        <v/>
      </c>
      <c r="B884" s="13" t="n">
        <v>1</v>
      </c>
      <c r="C884" s="12" t="inlineStr">
        <is>
          <t>Senior/Lead</t>
        </is>
      </c>
      <c r="D884" s="8" t="inlineStr">
        <is>
          <t>Staff Engineer, Power Electronics</t>
        </is>
      </c>
      <c r="E884" s="7" t="inlineStr">
        <is>
          <t>Graphcore</t>
        </is>
      </c>
      <c r="F884" s="8" t="inlineStr">
        <is>
          <t>US - Milpitas</t>
        </is>
      </c>
      <c r="G884" s="8" t="n"/>
      <c r="H884" s="14" t="n"/>
      <c r="I884" s="15">
        <f>IF($H884="","",$H884-TODAY())</f>
        <v/>
      </c>
      <c r="J884" s="16" t="inlineStr">
        <is>
          <t>Open posting</t>
        </is>
      </c>
      <c r="K884" s="8" t="inlineStr">
        <is>
          <t>filtered by keyword pre-scan</t>
        </is>
      </c>
      <c r="L884" s="17" t="inlineStr">
        <is>
          <t>new</t>
        </is>
      </c>
      <c r="M884" s="18" t="inlineStr"/>
      <c r="N884" s="7" t="inlineStr">
        <is>
          <t>1dc65ab598c63cc28efeb3746f1993aa66a1a691</t>
        </is>
      </c>
      <c r="O884" s="14" t="n">
        <v>46189</v>
      </c>
      <c r="P884" s="7" t="inlineStr">
        <is>
          <t>greenhouse:graphcore</t>
        </is>
      </c>
      <c r="Q884" s="8" t="inlineStr"/>
      <c r="R884" s="8" t="n"/>
      <c r="S884" s="19" t="n"/>
      <c r="T884" s="19" t="n"/>
      <c r="U884" s="14" t="n">
        <v>46189</v>
      </c>
      <c r="V884" s="7" t="inlineStr">
        <is>
          <t>v1-db41edab064373dd</t>
        </is>
      </c>
    </row>
    <row r="885" ht="28" customHeight="1">
      <c r="A885" s="12">
        <f>IF($L885="applied","Applied",IF($L885="interview","Interview",IF($L885="offer","Offer",IF($L885="rejected","Rejected",IF($L885="ignore","Ignore",IF($L885="archive","Archive",IF($L885="closed","Closed",IF($B885="","Unscored",IF(AND($B885&gt;=8,OR($H885="",$H885-TODAY()&lt;=14)),"P1 Apply",IF($B885&gt;=7,"P2 Strong",IF($B885&gt;=5,"P3 Maybe","P4 Low")))))))))))</f>
        <v/>
      </c>
      <c r="B885" s="13" t="n">
        <v>1</v>
      </c>
      <c r="C885" s="12" t="inlineStr">
        <is>
          <t>Senior/Lead</t>
        </is>
      </c>
      <c r="D885" s="8" t="inlineStr">
        <is>
          <t>Staff Engineer - Server Hardware Compute Blade and Rack Validation Lead</t>
        </is>
      </c>
      <c r="E885" s="7" t="inlineStr">
        <is>
          <t>Graphcore</t>
        </is>
      </c>
      <c r="F885" s="8" t="inlineStr">
        <is>
          <t>Austin, Texas, United States</t>
        </is>
      </c>
      <c r="G885" s="8" t="n"/>
      <c r="H885" s="14" t="n"/>
      <c r="I885" s="15">
        <f>IF($H885="","",$H885-TODAY())</f>
        <v/>
      </c>
      <c r="J885" s="16" t="inlineStr">
        <is>
          <t>Open posting</t>
        </is>
      </c>
      <c r="K885" s="8" t="inlineStr">
        <is>
          <t>filtered by keyword pre-scan</t>
        </is>
      </c>
      <c r="L885" s="17" t="inlineStr">
        <is>
          <t>new</t>
        </is>
      </c>
      <c r="M885" s="18" t="inlineStr"/>
      <c r="N885" s="7" t="inlineStr">
        <is>
          <t>a0fa617fb4ca247cc061c3f669d9bcd31c85df70</t>
        </is>
      </c>
      <c r="O885" s="14" t="n">
        <v>46189</v>
      </c>
      <c r="P885" s="7" t="inlineStr">
        <is>
          <t>greenhouse:graphcore</t>
        </is>
      </c>
      <c r="Q885" s="8" t="inlineStr"/>
      <c r="R885" s="8" t="n"/>
      <c r="S885" s="19" t="n"/>
      <c r="T885" s="19" t="n"/>
      <c r="U885" s="14" t="n">
        <v>46189</v>
      </c>
      <c r="V885" s="7" t="inlineStr">
        <is>
          <t>v1-db41edab064373dd</t>
        </is>
      </c>
    </row>
    <row r="886" ht="28" customHeight="1">
      <c r="A886" s="12">
        <f>IF($L886="applied","Applied",IF($L886="interview","Interview",IF($L886="offer","Offer",IF($L886="rejected","Rejected",IF($L886="ignore","Ignore",IF($L886="archive","Archive",IF($L886="closed","Closed",IF($B886="","Unscored",IF(AND($B886&gt;=8,OR($H886="",$H886-TODAY()&lt;=14)),"P1 Apply",IF($B886&gt;=7,"P2 Strong",IF($B886&gt;=5,"P3 Maybe","P4 Low")))))))))))</f>
        <v/>
      </c>
      <c r="B886" s="13" t="n">
        <v>1</v>
      </c>
      <c r="C886" s="12" t="inlineStr">
        <is>
          <t>Senior/Lead</t>
        </is>
      </c>
      <c r="D886" s="8" t="inlineStr">
        <is>
          <t>Staff Firmware Engineer</t>
        </is>
      </c>
      <c r="E886" s="7" t="inlineStr">
        <is>
          <t>Graphcore</t>
        </is>
      </c>
      <c r="F886" s="8" t="inlineStr">
        <is>
          <t>Bristol, UK</t>
        </is>
      </c>
      <c r="G886" s="8" t="n"/>
      <c r="H886" s="14" t="n"/>
      <c r="I886" s="15">
        <f>IF($H886="","",$H886-TODAY())</f>
        <v/>
      </c>
      <c r="J886" s="16" t="inlineStr">
        <is>
          <t>Open posting</t>
        </is>
      </c>
      <c r="K886" s="8" t="inlineStr">
        <is>
          <t>filtered by keyword pre-scan</t>
        </is>
      </c>
      <c r="L886" s="17" t="inlineStr">
        <is>
          <t>new</t>
        </is>
      </c>
      <c r="M886" s="18" t="inlineStr"/>
      <c r="N886" s="7" t="inlineStr">
        <is>
          <t>ea1f48e7b2c9aed5fb33c0b7bac51aea14fd099b</t>
        </is>
      </c>
      <c r="O886" s="14" t="n">
        <v>46189</v>
      </c>
      <c r="P886" s="7" t="inlineStr">
        <is>
          <t>greenhouse:graphcore</t>
        </is>
      </c>
      <c r="Q886" s="8" t="inlineStr"/>
      <c r="R886" s="8" t="n"/>
      <c r="S886" s="19" t="n"/>
      <c r="T886" s="19" t="n"/>
      <c r="U886" s="14" t="n">
        <v>46189</v>
      </c>
      <c r="V886" s="7" t="inlineStr">
        <is>
          <t>v1-db41edab064373dd</t>
        </is>
      </c>
    </row>
    <row r="887" ht="28" customHeight="1">
      <c r="A887" s="12">
        <f>IF($L887="applied","Applied",IF($L887="interview","Interview",IF($L887="offer","Offer",IF($L887="rejected","Rejected",IF($L887="ignore","Ignore",IF($L887="archive","Archive",IF($L887="closed","Closed",IF($B887="","Unscored",IF(AND($B887&gt;=8,OR($H887="",$H887-TODAY()&lt;=14)),"P1 Apply",IF($B887&gt;=7,"P2 Strong",IF($B887&gt;=5,"P3 Maybe","P4 Low")))))))))))</f>
        <v/>
      </c>
      <c r="B887" s="13" t="n">
        <v>1</v>
      </c>
      <c r="C887" s="12" t="inlineStr">
        <is>
          <t>Senior/Lead</t>
        </is>
      </c>
      <c r="D887" s="8" t="inlineStr">
        <is>
          <t>Staff Manufacturing Product Engineer</t>
        </is>
      </c>
      <c r="E887" s="7" t="inlineStr">
        <is>
          <t>Graphcore</t>
        </is>
      </c>
      <c r="F887" s="8" t="inlineStr">
        <is>
          <t>Bristol, UK</t>
        </is>
      </c>
      <c r="G887" s="8" t="n"/>
      <c r="H887" s="14" t="n"/>
      <c r="I887" s="15">
        <f>IF($H887="","",$H887-TODAY())</f>
        <v/>
      </c>
      <c r="J887" s="16" t="inlineStr">
        <is>
          <t>Open posting</t>
        </is>
      </c>
      <c r="K887" s="8" t="inlineStr">
        <is>
          <t>filtered by keyword pre-scan</t>
        </is>
      </c>
      <c r="L887" s="17" t="inlineStr">
        <is>
          <t>new</t>
        </is>
      </c>
      <c r="M887" s="18" t="inlineStr"/>
      <c r="N887" s="7" t="inlineStr">
        <is>
          <t>c206a6df38cdd414fb95a878d3112f0210d78819</t>
        </is>
      </c>
      <c r="O887" s="14" t="n">
        <v>46189</v>
      </c>
      <c r="P887" s="7" t="inlineStr">
        <is>
          <t>greenhouse:graphcore</t>
        </is>
      </c>
      <c r="Q887" s="8" t="inlineStr"/>
      <c r="R887" s="8" t="n"/>
      <c r="S887" s="19" t="n"/>
      <c r="T887" s="19" t="n"/>
      <c r="U887" s="14" t="n">
        <v>46189</v>
      </c>
      <c r="V887" s="7" t="inlineStr">
        <is>
          <t>v1-db41edab064373dd</t>
        </is>
      </c>
    </row>
    <row r="888" ht="28" customHeight="1">
      <c r="A888" s="12">
        <f>IF($L888="applied","Applied",IF($L888="interview","Interview",IF($L888="offer","Offer",IF($L888="rejected","Rejected",IF($L888="ignore","Ignore",IF($L888="archive","Archive",IF($L888="closed","Closed",IF($B888="","Unscored",IF(AND($B888&gt;=8,OR($H888="",$H888-TODAY()&lt;=14)),"P1 Apply",IF($B888&gt;=7,"P2 Strong",IF($B888&gt;=5,"P3 Maybe","P4 Low")))))))))))</f>
        <v/>
      </c>
      <c r="B888" s="13" t="n">
        <v>1</v>
      </c>
      <c r="C888" s="12" t="inlineStr">
        <is>
          <t>Senior/Lead</t>
        </is>
      </c>
      <c r="D888" s="8" t="inlineStr">
        <is>
          <t>Staff Manufacturing Test Engineer</t>
        </is>
      </c>
      <c r="E888" s="7" t="inlineStr">
        <is>
          <t>Graphcore</t>
        </is>
      </c>
      <c r="F888" s="8" t="inlineStr">
        <is>
          <t>Austin, Texas, United States</t>
        </is>
      </c>
      <c r="G888" s="8" t="n"/>
      <c r="H888" s="14" t="n"/>
      <c r="I888" s="15">
        <f>IF($H888="","",$H888-TODAY())</f>
        <v/>
      </c>
      <c r="J888" s="16" t="inlineStr">
        <is>
          <t>Open posting</t>
        </is>
      </c>
      <c r="K888" s="8" t="inlineStr">
        <is>
          <t>filtered by keyword pre-scan</t>
        </is>
      </c>
      <c r="L888" s="17" t="inlineStr">
        <is>
          <t>new</t>
        </is>
      </c>
      <c r="M888" s="18" t="inlineStr"/>
      <c r="N888" s="7" t="inlineStr">
        <is>
          <t>47b452b25d29e2490bc3d8173beaff0b014ee0e8</t>
        </is>
      </c>
      <c r="O888" s="14" t="n">
        <v>46189</v>
      </c>
      <c r="P888" s="7" t="inlineStr">
        <is>
          <t>greenhouse:graphcore</t>
        </is>
      </c>
      <c r="Q888" s="8" t="inlineStr"/>
      <c r="R888" s="8" t="n"/>
      <c r="S888" s="19" t="n"/>
      <c r="T888" s="19" t="n"/>
      <c r="U888" s="14" t="n">
        <v>46189</v>
      </c>
      <c r="V888" s="7" t="inlineStr">
        <is>
          <t>v1-db41edab064373dd</t>
        </is>
      </c>
    </row>
    <row r="889" ht="28" customHeight="1">
      <c r="A889" s="12">
        <f>IF($L889="applied","Applied",IF($L889="interview","Interview",IF($L889="offer","Offer",IF($L889="rejected","Rejected",IF($L889="ignore","Ignore",IF($L889="archive","Archive",IF($L889="closed","Closed",IF($B889="","Unscored",IF(AND($B889&gt;=8,OR($H889="",$H889-TODAY()&lt;=14)),"P1 Apply",IF($B889&gt;=7,"P2 Strong",IF($B889&gt;=5,"P3 Maybe","P4 Low")))))))))))</f>
        <v/>
      </c>
      <c r="B889" s="13" t="n">
        <v>1</v>
      </c>
      <c r="C889" s="12" t="inlineStr">
        <is>
          <t>Senior/Lead</t>
        </is>
      </c>
      <c r="D889" s="8" t="inlineStr">
        <is>
          <t>Staff Mechanical HVAC Engineer</t>
        </is>
      </c>
      <c r="E889" s="7" t="inlineStr">
        <is>
          <t>Graphcore</t>
        </is>
      </c>
      <c r="F889" s="8" t="inlineStr">
        <is>
          <t>America, United States; Austin, Texas, United States</t>
        </is>
      </c>
      <c r="G889" s="8" t="n"/>
      <c r="H889" s="14" t="n"/>
      <c r="I889" s="15">
        <f>IF($H889="","",$H889-TODAY())</f>
        <v/>
      </c>
      <c r="J889" s="16" t="inlineStr">
        <is>
          <t>Open posting</t>
        </is>
      </c>
      <c r="K889" s="8" t="inlineStr">
        <is>
          <t>filtered by keyword pre-scan</t>
        </is>
      </c>
      <c r="L889" s="17" t="inlineStr">
        <is>
          <t>new</t>
        </is>
      </c>
      <c r="M889" s="18" t="inlineStr"/>
      <c r="N889" s="7" t="inlineStr">
        <is>
          <t>84dce29c409d7a7403aba565e7049a197753f5e1</t>
        </is>
      </c>
      <c r="O889" s="14" t="n">
        <v>46189</v>
      </c>
      <c r="P889" s="7" t="inlineStr">
        <is>
          <t>greenhouse:graphcore</t>
        </is>
      </c>
      <c r="Q889" s="8" t="inlineStr"/>
      <c r="R889" s="8" t="n"/>
      <c r="S889" s="19" t="n"/>
      <c r="T889" s="19" t="n"/>
      <c r="U889" s="14" t="n">
        <v>46189</v>
      </c>
      <c r="V889" s="7" t="inlineStr">
        <is>
          <t>v1-db41edab064373dd</t>
        </is>
      </c>
    </row>
    <row r="890" ht="28" customHeight="1">
      <c r="A890" s="12">
        <f>IF($L890="applied","Applied",IF($L890="interview","Interview",IF($L890="offer","Offer",IF($L890="rejected","Rejected",IF($L890="ignore","Ignore",IF($L890="archive","Archive",IF($L890="closed","Closed",IF($B890="","Unscored",IF(AND($B890&gt;=8,OR($H890="",$H890-TODAY()&lt;=14)),"P1 Apply",IF($B890&gt;=7,"P2 Strong",IF($B890&gt;=5,"P3 Maybe","P4 Low")))))))))))</f>
        <v/>
      </c>
      <c r="B890" s="13" t="n">
        <v>1</v>
      </c>
      <c r="C890" s="12" t="inlineStr">
        <is>
          <t>Senior/Lead</t>
        </is>
      </c>
      <c r="D890" s="8" t="inlineStr">
        <is>
          <t>Staff -Power and Performance Validation Engineer</t>
        </is>
      </c>
      <c r="E890" s="7" t="inlineStr">
        <is>
          <t>Graphcore</t>
        </is>
      </c>
      <c r="F890" s="8" t="inlineStr">
        <is>
          <t>Bengaluru, India</t>
        </is>
      </c>
      <c r="G890" s="8" t="n"/>
      <c r="H890" s="14" t="n"/>
      <c r="I890" s="15">
        <f>IF($H890="","",$H890-TODAY())</f>
        <v/>
      </c>
      <c r="J890" s="16" t="inlineStr">
        <is>
          <t>Open posting</t>
        </is>
      </c>
      <c r="K890" s="8" t="inlineStr">
        <is>
          <t>filtered by keyword pre-scan</t>
        </is>
      </c>
      <c r="L890" s="17" t="inlineStr">
        <is>
          <t>new</t>
        </is>
      </c>
      <c r="M890" s="18" t="inlineStr"/>
      <c r="N890" s="7" t="inlineStr">
        <is>
          <t>040ebd420c5b1d9d971e8410979531916e0f791a</t>
        </is>
      </c>
      <c r="O890" s="14" t="n">
        <v>46189</v>
      </c>
      <c r="P890" s="7" t="inlineStr">
        <is>
          <t>greenhouse:graphcore</t>
        </is>
      </c>
      <c r="Q890" s="8" t="inlineStr"/>
      <c r="R890" s="8" t="n"/>
      <c r="S890" s="19" t="n"/>
      <c r="T890" s="19" t="n"/>
      <c r="U890" s="14" t="n">
        <v>46189</v>
      </c>
      <c r="V890" s="7" t="inlineStr">
        <is>
          <t>v1-db41edab064373dd</t>
        </is>
      </c>
    </row>
    <row r="891" ht="28" customHeight="1">
      <c r="A891" s="12">
        <f>IF($L891="applied","Applied",IF($L891="interview","Interview",IF($L891="offer","Offer",IF($L891="rejected","Rejected",IF($L891="ignore","Ignore",IF($L891="archive","Archive",IF($L891="closed","Closed",IF($B891="","Unscored",IF(AND($B891&gt;=8,OR($H891="",$H891-TODAY()&lt;=14)),"P1 Apply",IF($B891&gt;=7,"P2 Strong",IF($B891&gt;=5,"P3 Maybe","P4 Low")))))))))))</f>
        <v/>
      </c>
      <c r="B891" s="13" t="n">
        <v>1</v>
      </c>
      <c r="C891" s="12" t="inlineStr">
        <is>
          <t>Senior/Lead</t>
        </is>
      </c>
      <c r="D891" s="8" t="inlineStr">
        <is>
          <t>Staff Programme Manager</t>
        </is>
      </c>
      <c r="E891" s="7" t="inlineStr">
        <is>
          <t>Graphcore</t>
        </is>
      </c>
      <c r="F891" s="8" t="inlineStr">
        <is>
          <t>Bristol, UK</t>
        </is>
      </c>
      <c r="G891" s="8" t="n"/>
      <c r="H891" s="14" t="n"/>
      <c r="I891" s="15">
        <f>IF($H891="","",$H891-TODAY())</f>
        <v/>
      </c>
      <c r="J891" s="16" t="inlineStr">
        <is>
          <t>Open posting</t>
        </is>
      </c>
      <c r="K891" s="8" t="inlineStr">
        <is>
          <t>filtered by keyword pre-scan</t>
        </is>
      </c>
      <c r="L891" s="17" t="inlineStr">
        <is>
          <t>new</t>
        </is>
      </c>
      <c r="M891" s="18" t="inlineStr"/>
      <c r="N891" s="7" t="inlineStr">
        <is>
          <t>e68c8746ad383288e758b4219a525a583102083d</t>
        </is>
      </c>
      <c r="O891" s="14" t="n">
        <v>46189</v>
      </c>
      <c r="P891" s="7" t="inlineStr">
        <is>
          <t>greenhouse:graphcore</t>
        </is>
      </c>
      <c r="Q891" s="8" t="inlineStr"/>
      <c r="R891" s="8" t="n"/>
      <c r="S891" s="19" t="n"/>
      <c r="T891" s="19" t="n"/>
      <c r="U891" s="14" t="n">
        <v>46189</v>
      </c>
      <c r="V891" s="7" t="inlineStr">
        <is>
          <t>v1-db41edab064373dd</t>
        </is>
      </c>
    </row>
    <row r="892" ht="28" customHeight="1">
      <c r="A892" s="12">
        <f>IF($L892="applied","Applied",IF($L892="interview","Interview",IF($L892="offer","Offer",IF($L892="rejected","Rejected",IF($L892="ignore","Ignore",IF($L892="archive","Archive",IF($L892="closed","Closed",IF($B892="","Unscored",IF(AND($B892&gt;=8,OR($H892="",$H892-TODAY()&lt;=14)),"P1 Apply",IF($B892&gt;=7,"P2 Strong",IF($B892&gt;=5,"P3 Maybe","P4 Low")))))))))))</f>
        <v/>
      </c>
      <c r="B892" s="13" t="n">
        <v>1</v>
      </c>
      <c r="C892" s="12" t="inlineStr">
        <is>
          <t>Senior/Lead</t>
        </is>
      </c>
      <c r="D892" s="8" t="inlineStr">
        <is>
          <t>Staff QA Engineer - Workload Management</t>
        </is>
      </c>
      <c r="E892" s="7" t="inlineStr">
        <is>
          <t>Graphcore</t>
        </is>
      </c>
      <c r="F892" s="8" t="inlineStr">
        <is>
          <t>Gdańsk, Pomeranian Voivodeship, Poland</t>
        </is>
      </c>
      <c r="G892" s="8" t="n"/>
      <c r="H892" s="14" t="n"/>
      <c r="I892" s="15">
        <f>IF($H892="","",$H892-TODAY())</f>
        <v/>
      </c>
      <c r="J892" s="16" t="inlineStr">
        <is>
          <t>Open posting</t>
        </is>
      </c>
      <c r="K892" s="8" t="inlineStr">
        <is>
          <t>filtered by keyword pre-scan</t>
        </is>
      </c>
      <c r="L892" s="17" t="inlineStr">
        <is>
          <t>new</t>
        </is>
      </c>
      <c r="M892" s="18" t="inlineStr"/>
      <c r="N892" s="7" t="inlineStr">
        <is>
          <t>c0955b8c2537a1b7ac5a8894b0f0b1aab41c9292</t>
        </is>
      </c>
      <c r="O892" s="14" t="n">
        <v>46189</v>
      </c>
      <c r="P892" s="7" t="inlineStr">
        <is>
          <t>greenhouse:graphcore</t>
        </is>
      </c>
      <c r="Q892" s="8" t="inlineStr"/>
      <c r="R892" s="8" t="n"/>
      <c r="S892" s="19" t="n"/>
      <c r="T892" s="19" t="n"/>
      <c r="U892" s="14" t="n">
        <v>46189</v>
      </c>
      <c r="V892" s="7" t="inlineStr">
        <is>
          <t>v1-db41edab064373dd</t>
        </is>
      </c>
    </row>
    <row r="893" ht="28" customHeight="1">
      <c r="A893" s="12">
        <f>IF($L893="applied","Applied",IF($L893="interview","Interview",IF($L893="offer","Offer",IF($L893="rejected","Rejected",IF($L893="ignore","Ignore",IF($L893="archive","Archive",IF($L893="closed","Closed",IF($B893="","Unscored",IF(AND($B893&gt;=8,OR($H893="",$H893-TODAY()&lt;=14)),"P1 Apply",IF($B893&gt;=7,"P2 Strong",IF($B893&gt;=5,"P3 Maybe","P4 Low")))))))))))</f>
        <v/>
      </c>
      <c r="B893" s="13" t="n">
        <v>1</v>
      </c>
      <c r="C893" s="12" t="inlineStr">
        <is>
          <t>Senior/Lead</t>
        </is>
      </c>
      <c r="D893" s="8" t="inlineStr">
        <is>
          <t>Staff Robotics Engineer</t>
        </is>
      </c>
      <c r="E893" s="7" t="inlineStr">
        <is>
          <t>Graphcore</t>
        </is>
      </c>
      <c r="F893" s="8" t="inlineStr">
        <is>
          <t>Austin, Texas, United States</t>
        </is>
      </c>
      <c r="G893" s="8" t="n"/>
      <c r="H893" s="14" t="n"/>
      <c r="I893" s="15">
        <f>IF($H893="","",$H893-TODAY())</f>
        <v/>
      </c>
      <c r="J893" s="16" t="inlineStr">
        <is>
          <t>Open posting</t>
        </is>
      </c>
      <c r="K893" s="8" t="inlineStr">
        <is>
          <t>filtered by keyword pre-scan</t>
        </is>
      </c>
      <c r="L893" s="17" t="inlineStr">
        <is>
          <t>new</t>
        </is>
      </c>
      <c r="M893" s="18" t="inlineStr"/>
      <c r="N893" s="7" t="inlineStr">
        <is>
          <t>40631c66da056b7161ea14004d9b8e8ffbff1941</t>
        </is>
      </c>
      <c r="O893" s="14" t="n">
        <v>46189</v>
      </c>
      <c r="P893" s="7" t="inlineStr">
        <is>
          <t>greenhouse:graphcore</t>
        </is>
      </c>
      <c r="Q893" s="8" t="inlineStr"/>
      <c r="R893" s="8" t="n"/>
      <c r="S893" s="19" t="n"/>
      <c r="T893" s="19" t="n"/>
      <c r="U893" s="14" t="n">
        <v>46189</v>
      </c>
      <c r="V893" s="7" t="inlineStr">
        <is>
          <t>v1-db41edab064373dd</t>
        </is>
      </c>
    </row>
    <row r="894" ht="28" customHeight="1">
      <c r="A894" s="12">
        <f>IF($L894="applied","Applied",IF($L894="interview","Interview",IF($L894="offer","Offer",IF($L894="rejected","Rejected",IF($L894="ignore","Ignore",IF($L894="archive","Archive",IF($L894="closed","Closed",IF($B894="","Unscored",IF(AND($B894&gt;=8,OR($H894="",$H894-TODAY()&lt;=14)),"P1 Apply",IF($B894&gt;=7,"P2 Strong",IF($B894&gt;=5,"P3 Maybe","P4 Low")))))))))))</f>
        <v/>
      </c>
      <c r="B894" s="13" t="n">
        <v>1</v>
      </c>
      <c r="C894" s="12" t="inlineStr">
        <is>
          <t>Senior/Lead</t>
        </is>
      </c>
      <c r="D894" s="8" t="inlineStr">
        <is>
          <t>Staff Silicon Physical Design Engineer - Bengaluru</t>
        </is>
      </c>
      <c r="E894" s="7" t="inlineStr">
        <is>
          <t>Graphcore</t>
        </is>
      </c>
      <c r="F894" s="8" t="inlineStr">
        <is>
          <t>Bengaluru, India</t>
        </is>
      </c>
      <c r="G894" s="8" t="n"/>
      <c r="H894" s="14" t="n"/>
      <c r="I894" s="15">
        <f>IF($H894="","",$H894-TODAY())</f>
        <v/>
      </c>
      <c r="J894" s="16" t="inlineStr">
        <is>
          <t>Open posting</t>
        </is>
      </c>
      <c r="K894" s="8" t="inlineStr">
        <is>
          <t>filtered by keyword pre-scan</t>
        </is>
      </c>
      <c r="L894" s="17" t="inlineStr">
        <is>
          <t>new</t>
        </is>
      </c>
      <c r="M894" s="18" t="inlineStr"/>
      <c r="N894" s="7" t="inlineStr">
        <is>
          <t>405261d90f71b94ad7e370f1c0eb0fa605f0dbd1</t>
        </is>
      </c>
      <c r="O894" s="14" t="n">
        <v>46189</v>
      </c>
      <c r="P894" s="7" t="inlineStr">
        <is>
          <t>greenhouse:graphcore</t>
        </is>
      </c>
      <c r="Q894" s="8" t="inlineStr"/>
      <c r="R894" s="8" t="n"/>
      <c r="S894" s="19" t="n"/>
      <c r="T894" s="19" t="n"/>
      <c r="U894" s="14" t="n">
        <v>46189</v>
      </c>
      <c r="V894" s="7" t="inlineStr">
        <is>
          <t>v1-db41edab064373dd</t>
        </is>
      </c>
    </row>
    <row r="895" ht="28" customHeight="1">
      <c r="A895" s="12">
        <f>IF($L895="applied","Applied",IF($L895="interview","Interview",IF($L895="offer","Offer",IF($L895="rejected","Rejected",IF($L895="ignore","Ignore",IF($L895="archive","Archive",IF($L895="closed","Closed",IF($B895="","Unscored",IF(AND($B895&gt;=8,OR($H895="",$H895-TODAY()&lt;=14)),"P1 Apply",IF($B895&gt;=7,"P2 Strong",IF($B895&gt;=5,"P3 Maybe","P4 Low")))))))))))</f>
        <v/>
      </c>
      <c r="B895" s="13" t="n">
        <v>1</v>
      </c>
      <c r="C895" s="12" t="inlineStr">
        <is>
          <t>Senior/Lead</t>
        </is>
      </c>
      <c r="D895" s="8" t="inlineStr">
        <is>
          <t>Staff Silicon Verification Engineer - Bengaluru, Multiple Vacancies</t>
        </is>
      </c>
      <c r="E895" s="7" t="inlineStr">
        <is>
          <t>Graphcore</t>
        </is>
      </c>
      <c r="F895" s="8" t="inlineStr">
        <is>
          <t>Bengaluru, India</t>
        </is>
      </c>
      <c r="G895" s="8" t="n"/>
      <c r="H895" s="14" t="n"/>
      <c r="I895" s="15">
        <f>IF($H895="","",$H895-TODAY())</f>
        <v/>
      </c>
      <c r="J895" s="16" t="inlineStr">
        <is>
          <t>Open posting</t>
        </is>
      </c>
      <c r="K895" s="8" t="inlineStr">
        <is>
          <t>filtered by keyword pre-scan</t>
        </is>
      </c>
      <c r="L895" s="17" t="inlineStr">
        <is>
          <t>new</t>
        </is>
      </c>
      <c r="M895" s="18" t="inlineStr"/>
      <c r="N895" s="7" t="inlineStr">
        <is>
          <t>e62573a7bd7090d16050b6f5a50adcdbb135be2c</t>
        </is>
      </c>
      <c r="O895" s="14" t="n">
        <v>46189</v>
      </c>
      <c r="P895" s="7" t="inlineStr">
        <is>
          <t>greenhouse:graphcore</t>
        </is>
      </c>
      <c r="Q895" s="8" t="inlineStr"/>
      <c r="R895" s="8" t="n"/>
      <c r="S895" s="19" t="n"/>
      <c r="T895" s="19" t="n"/>
      <c r="U895" s="14" t="n">
        <v>46189</v>
      </c>
      <c r="V895" s="7" t="inlineStr">
        <is>
          <t>v1-db41edab064373dd</t>
        </is>
      </c>
    </row>
    <row r="896" ht="28" customHeight="1">
      <c r="A896" s="12">
        <f>IF($L896="applied","Applied",IF($L896="interview","Interview",IF($L896="offer","Offer",IF($L896="rejected","Rejected",IF($L896="ignore","Ignore",IF($L896="archive","Archive",IF($L896="closed","Closed",IF($B896="","Unscored",IF(AND($B896&gt;=8,OR($H896="",$H896-TODAY()&lt;=14)),"P1 Apply",IF($B896&gt;=7,"P2 Strong",IF($B896&gt;=5,"P3 Maybe","P4 Low")))))))))))</f>
        <v/>
      </c>
      <c r="B896" s="13" t="n">
        <v>1</v>
      </c>
      <c r="C896" s="12" t="inlineStr">
        <is>
          <t>Senior/Lead</t>
        </is>
      </c>
      <c r="D896" s="8" t="inlineStr">
        <is>
          <t>Staff SoC Architect</t>
        </is>
      </c>
      <c r="E896" s="7" t="inlineStr">
        <is>
          <t>Graphcore</t>
        </is>
      </c>
      <c r="F896" s="8" t="inlineStr">
        <is>
          <t>Bristol, UK</t>
        </is>
      </c>
      <c r="G896" s="8" t="n"/>
      <c r="H896" s="14" t="n"/>
      <c r="I896" s="15">
        <f>IF($H896="","",$H896-TODAY())</f>
        <v/>
      </c>
      <c r="J896" s="16" t="inlineStr">
        <is>
          <t>Open posting</t>
        </is>
      </c>
      <c r="K896" s="8" t="inlineStr">
        <is>
          <t>filtered by keyword pre-scan</t>
        </is>
      </c>
      <c r="L896" s="17" t="inlineStr">
        <is>
          <t>new</t>
        </is>
      </c>
      <c r="M896" s="18" t="inlineStr"/>
      <c r="N896" s="7" t="inlineStr">
        <is>
          <t>7f90512807b3517d04098ef810f2492bbd0e912d</t>
        </is>
      </c>
      <c r="O896" s="14" t="n">
        <v>46189</v>
      </c>
      <c r="P896" s="7" t="inlineStr">
        <is>
          <t>greenhouse:graphcore</t>
        </is>
      </c>
      <c r="Q896" s="8" t="inlineStr"/>
      <c r="R896" s="8" t="n"/>
      <c r="S896" s="19" t="n"/>
      <c r="T896" s="19" t="n"/>
      <c r="U896" s="14" t="n">
        <v>46189</v>
      </c>
      <c r="V896" s="7" t="inlineStr">
        <is>
          <t>v1-db41edab064373dd</t>
        </is>
      </c>
    </row>
    <row r="897" ht="28" customHeight="1">
      <c r="A897" s="12">
        <f>IF($L897="applied","Applied",IF($L897="interview","Interview",IF($L897="offer","Offer",IF($L897="rejected","Rejected",IF($L897="ignore","Ignore",IF($L897="archive","Archive",IF($L897="closed","Closed",IF($B897="","Unscored",IF(AND($B897&gt;=8,OR($H897="",$H897-TODAY()&lt;=14)),"P1 Apply",IF($B897&gt;=7,"P2 Strong",IF($B897&gt;=5,"P3 Maybe","P4 Low")))))))))))</f>
        <v/>
      </c>
      <c r="B897" s="13" t="n">
        <v>1</v>
      </c>
      <c r="C897" s="12" t="inlineStr">
        <is>
          <t>Senior/Lead</t>
        </is>
      </c>
      <c r="D897" s="8" t="inlineStr">
        <is>
          <t>Staff Software Engineer</t>
        </is>
      </c>
      <c r="E897" s="7" t="inlineStr">
        <is>
          <t>Graphcore</t>
        </is>
      </c>
      <c r="F897" s="8" t="inlineStr">
        <is>
          <t>Gdańsk, Pomeranian Voivodeship, Poland</t>
        </is>
      </c>
      <c r="G897" s="8" t="n"/>
      <c r="H897" s="14" t="n"/>
      <c r="I897" s="15">
        <f>IF($H897="","",$H897-TODAY())</f>
        <v/>
      </c>
      <c r="J897" s="16" t="inlineStr">
        <is>
          <t>Open posting</t>
        </is>
      </c>
      <c r="K897" s="8" t="inlineStr">
        <is>
          <t>filtered by keyword pre-scan</t>
        </is>
      </c>
      <c r="L897" s="17" t="inlineStr">
        <is>
          <t>new</t>
        </is>
      </c>
      <c r="M897" s="18" t="inlineStr"/>
      <c r="N897" s="7" t="inlineStr">
        <is>
          <t>fa3f07c11c0dcbc6555e5c4550a30067e86f03b2</t>
        </is>
      </c>
      <c r="O897" s="14" t="n">
        <v>46189</v>
      </c>
      <c r="P897" s="7" t="inlineStr">
        <is>
          <t>greenhouse:graphcore</t>
        </is>
      </c>
      <c r="Q897" s="8" t="inlineStr"/>
      <c r="R897" s="8" t="n"/>
      <c r="S897" s="19" t="n"/>
      <c r="T897" s="19" t="n"/>
      <c r="U897" s="14" t="n">
        <v>46189</v>
      </c>
      <c r="V897" s="7" t="inlineStr">
        <is>
          <t>v1-db41edab064373dd</t>
        </is>
      </c>
    </row>
    <row r="898" ht="28" customHeight="1">
      <c r="A898" s="12">
        <f>IF($L898="applied","Applied",IF($L898="interview","Interview",IF($L898="offer","Offer",IF($L898="rejected","Rejected",IF($L898="ignore","Ignore",IF($L898="archive","Archive",IF($L898="closed","Closed",IF($B898="","Unscored",IF(AND($B898&gt;=8,OR($H898="",$H898-TODAY()&lt;=14)),"P1 Apply",IF($B898&gt;=7,"P2 Strong",IF($B898&gt;=5,"P3 Maybe","P4 Low")))))))))))</f>
        <v/>
      </c>
      <c r="B898" s="13" t="n">
        <v>1</v>
      </c>
      <c r="C898" s="12" t="inlineStr">
        <is>
          <t>Senior/Lead</t>
        </is>
      </c>
      <c r="D898" s="8" t="inlineStr">
        <is>
          <t>Staff Software Engineer</t>
        </is>
      </c>
      <c r="E898" s="7" t="inlineStr">
        <is>
          <t>Graphcore</t>
        </is>
      </c>
      <c r="F898" s="8" t="inlineStr">
        <is>
          <t>Bristol, UK</t>
        </is>
      </c>
      <c r="G898" s="8" t="n"/>
      <c r="H898" s="14" t="n"/>
      <c r="I898" s="15">
        <f>IF($H898="","",$H898-TODAY())</f>
        <v/>
      </c>
      <c r="J898" s="16" t="inlineStr">
        <is>
          <t>Open posting</t>
        </is>
      </c>
      <c r="K898" s="8" t="inlineStr">
        <is>
          <t>filtered by keyword pre-scan</t>
        </is>
      </c>
      <c r="L898" s="17" t="inlineStr">
        <is>
          <t>new</t>
        </is>
      </c>
      <c r="M898" s="18" t="inlineStr"/>
      <c r="N898" s="7" t="inlineStr">
        <is>
          <t>a1e8f37350173acf6afd5606192e8ef8c0193292</t>
        </is>
      </c>
      <c r="O898" s="14" t="n">
        <v>46189</v>
      </c>
      <c r="P898" s="7" t="inlineStr">
        <is>
          <t>greenhouse:graphcore</t>
        </is>
      </c>
      <c r="Q898" s="8" t="inlineStr"/>
      <c r="R898" s="8" t="n"/>
      <c r="S898" s="19" t="n"/>
      <c r="T898" s="19" t="n"/>
      <c r="U898" s="14" t="n">
        <v>46189</v>
      </c>
      <c r="V898" s="7" t="inlineStr">
        <is>
          <t>v1-db41edab064373dd</t>
        </is>
      </c>
    </row>
    <row r="899" ht="28" customHeight="1">
      <c r="A899" s="12">
        <f>IF($L899="applied","Applied",IF($L899="interview","Interview",IF($L899="offer","Offer",IF($L899="rejected","Rejected",IF($L899="ignore","Ignore",IF($L899="archive","Archive",IF($L899="closed","Closed",IF($B899="","Unscored",IF(AND($B899&gt;=8,OR($H899="",$H899-TODAY()&lt;=14)),"P1 Apply",IF($B899&gt;=7,"P2 Strong",IF($B899&gt;=5,"P3 Maybe","P4 Low")))))))))))</f>
        <v/>
      </c>
      <c r="B899" s="13" t="n">
        <v>1</v>
      </c>
      <c r="C899" s="12" t="inlineStr">
        <is>
          <t>Senior/Lead</t>
        </is>
      </c>
      <c r="D899" s="8" t="inlineStr">
        <is>
          <t>Staff Software Engineer</t>
        </is>
      </c>
      <c r="E899" s="7" t="inlineStr">
        <is>
          <t>Graphcore</t>
        </is>
      </c>
      <c r="F899" s="8" t="inlineStr">
        <is>
          <t>Bristol, UK; Cambridge, UK; Gdańsk, Pomeranian Voivodeship, Poland</t>
        </is>
      </c>
      <c r="G899" s="8" t="n"/>
      <c r="H899" s="14" t="n"/>
      <c r="I899" s="15">
        <f>IF($H899="","",$H899-TODAY())</f>
        <v/>
      </c>
      <c r="J899" s="16" t="inlineStr">
        <is>
          <t>Open posting</t>
        </is>
      </c>
      <c r="K899" s="8" t="inlineStr">
        <is>
          <t>filtered by keyword pre-scan</t>
        </is>
      </c>
      <c r="L899" s="17" t="inlineStr">
        <is>
          <t>new</t>
        </is>
      </c>
      <c r="M899" s="18" t="inlineStr"/>
      <c r="N899" s="7" t="inlineStr">
        <is>
          <t>290f768eb023dca8ddc4eba4d06f1f029a2c67ce</t>
        </is>
      </c>
      <c r="O899" s="14" t="n">
        <v>46189</v>
      </c>
      <c r="P899" s="7" t="inlineStr">
        <is>
          <t>greenhouse:graphcore</t>
        </is>
      </c>
      <c r="Q899" s="8" t="inlineStr"/>
      <c r="R899" s="8" t="n"/>
      <c r="S899" s="19" t="n"/>
      <c r="T899" s="19" t="n"/>
      <c r="U899" s="14" t="n">
        <v>46189</v>
      </c>
      <c r="V899" s="7" t="inlineStr">
        <is>
          <t>v1-db41edab064373dd</t>
        </is>
      </c>
    </row>
    <row r="900" ht="28" customHeight="1">
      <c r="A900" s="12">
        <f>IF($L900="applied","Applied",IF($L900="interview","Interview",IF($L900="offer","Offer",IF($L900="rejected","Rejected",IF($L900="ignore","Ignore",IF($L900="archive","Archive",IF($L900="closed","Closed",IF($B900="","Unscored",IF(AND($B900&gt;=8,OR($H900="",$H900-TODAY()&lt;=14)),"P1 Apply",IF($B900&gt;=7,"P2 Strong",IF($B900&gt;=5,"P3 Maybe","P4 Low")))))))))))</f>
        <v/>
      </c>
      <c r="B900" s="13" t="n">
        <v>1</v>
      </c>
      <c r="C900" s="12" t="inlineStr">
        <is>
          <t>Senior/Lead</t>
        </is>
      </c>
      <c r="D900" s="8" t="inlineStr">
        <is>
          <t>Staff Software Engineer - Analysis Tools</t>
        </is>
      </c>
      <c r="E900" s="7" t="inlineStr">
        <is>
          <t>Graphcore</t>
        </is>
      </c>
      <c r="F900" s="8" t="inlineStr">
        <is>
          <t>Gdańsk, Pomeranian Voivodeship, Poland</t>
        </is>
      </c>
      <c r="G900" s="8" t="n"/>
      <c r="H900" s="14" t="n"/>
      <c r="I900" s="15">
        <f>IF($H900="","",$H900-TODAY())</f>
        <v/>
      </c>
      <c r="J900" s="16" t="inlineStr">
        <is>
          <t>Open posting</t>
        </is>
      </c>
      <c r="K900" s="8" t="inlineStr">
        <is>
          <t>filtered by keyword pre-scan</t>
        </is>
      </c>
      <c r="L900" s="17" t="inlineStr">
        <is>
          <t>new</t>
        </is>
      </c>
      <c r="M900" s="18" t="inlineStr"/>
      <c r="N900" s="7" t="inlineStr">
        <is>
          <t>fa6bfe41fae452b7b2ce1f462f88c300b7c8eb5f</t>
        </is>
      </c>
      <c r="O900" s="14" t="n">
        <v>46189</v>
      </c>
      <c r="P900" s="7" t="inlineStr">
        <is>
          <t>greenhouse:graphcore</t>
        </is>
      </c>
      <c r="Q900" s="8" t="inlineStr"/>
      <c r="R900" s="8" t="n"/>
      <c r="S900" s="19" t="n"/>
      <c r="T900" s="19" t="n"/>
      <c r="U900" s="14" t="n">
        <v>46189</v>
      </c>
      <c r="V900" s="7" t="inlineStr">
        <is>
          <t>v1-db41edab064373dd</t>
        </is>
      </c>
    </row>
    <row r="901" ht="28" customHeight="1">
      <c r="A901" s="12">
        <f>IF($L901="applied","Applied",IF($L901="interview","Interview",IF($L901="offer","Offer",IF($L901="rejected","Rejected",IF($L901="ignore","Ignore",IF($L901="archive","Archive",IF($L901="closed","Closed",IF($B901="","Unscored",IF(AND($B901&gt;=8,OR($H901="",$H901-TODAY()&lt;=14)),"P1 Apply",IF($B901&gt;=7,"P2 Strong",IF($B901&gt;=5,"P3 Maybe","P4 Low")))))))))))</f>
        <v/>
      </c>
      <c r="B901" s="13" t="n">
        <v>1</v>
      </c>
      <c r="C901" s="12" t="inlineStr">
        <is>
          <t>Senior/Lead</t>
        </is>
      </c>
      <c r="D901" s="8" t="inlineStr">
        <is>
          <t>Staff Software Engineer - Analysis Tools</t>
        </is>
      </c>
      <c r="E901" s="7" t="inlineStr">
        <is>
          <t>Graphcore</t>
        </is>
      </c>
      <c r="F901" s="8" t="inlineStr">
        <is>
          <t>Bristol, UK</t>
        </is>
      </c>
      <c r="G901" s="8" t="n"/>
      <c r="H901" s="14" t="n"/>
      <c r="I901" s="15">
        <f>IF($H901="","",$H901-TODAY())</f>
        <v/>
      </c>
      <c r="J901" s="16" t="inlineStr">
        <is>
          <t>Open posting</t>
        </is>
      </c>
      <c r="K901" s="8" t="inlineStr">
        <is>
          <t>filtered by keyword pre-scan</t>
        </is>
      </c>
      <c r="L901" s="17" t="inlineStr">
        <is>
          <t>new</t>
        </is>
      </c>
      <c r="M901" s="18" t="inlineStr"/>
      <c r="N901" s="7" t="inlineStr">
        <is>
          <t>53a960344ebb37ef71df4b269bc04d96c9225156</t>
        </is>
      </c>
      <c r="O901" s="14" t="n">
        <v>46189</v>
      </c>
      <c r="P901" s="7" t="inlineStr">
        <is>
          <t>greenhouse:graphcore</t>
        </is>
      </c>
      <c r="Q901" s="8" t="inlineStr"/>
      <c r="R901" s="8" t="n"/>
      <c r="S901" s="19" t="n"/>
      <c r="T901" s="19" t="n"/>
      <c r="U901" s="14" t="n">
        <v>46189</v>
      </c>
      <c r="V901" s="7" t="inlineStr">
        <is>
          <t>v1-db41edab064373dd</t>
        </is>
      </c>
    </row>
    <row r="902" ht="28" customHeight="1">
      <c r="A902" s="12">
        <f>IF($L902="applied","Applied",IF($L902="interview","Interview",IF($L902="offer","Offer",IF($L902="rejected","Rejected",IF($L902="ignore","Ignore",IF($L902="archive","Archive",IF($L902="closed","Closed",IF($B902="","Unscored",IF(AND($B902&gt;=8,OR($H902="",$H902-TODAY()&lt;=14)),"P1 Apply",IF($B902&gt;=7,"P2 Strong",IF($B902&gt;=5,"P3 Maybe","P4 Low")))))))))))</f>
        <v/>
      </c>
      <c r="B902" s="13" t="n">
        <v>1</v>
      </c>
      <c r="C902" s="12" t="inlineStr">
        <is>
          <t>Senior/Lead</t>
        </is>
      </c>
      <c r="D902" s="8" t="inlineStr">
        <is>
          <t>Staff Software Engineer - ML Kernels &amp; Runtime</t>
        </is>
      </c>
      <c r="E902" s="7" t="inlineStr">
        <is>
          <t>Graphcore</t>
        </is>
      </c>
      <c r="F902" s="8" t="inlineStr">
        <is>
          <t>Gdańsk, Pomeranian Voivodeship, Poland</t>
        </is>
      </c>
      <c r="G902" s="8" t="n"/>
      <c r="H902" s="14" t="n"/>
      <c r="I902" s="15">
        <f>IF($H902="","",$H902-TODAY())</f>
        <v/>
      </c>
      <c r="J902" s="16" t="inlineStr">
        <is>
          <t>Open posting</t>
        </is>
      </c>
      <c r="K902" s="8" t="inlineStr">
        <is>
          <t>filtered by keyword pre-scan</t>
        </is>
      </c>
      <c r="L902" s="17" t="inlineStr">
        <is>
          <t>new</t>
        </is>
      </c>
      <c r="M902" s="18" t="inlineStr"/>
      <c r="N902" s="7" t="inlineStr">
        <is>
          <t>33d5eb9ceefd94899a4307f5126afacc761246da</t>
        </is>
      </c>
      <c r="O902" s="14" t="n">
        <v>46189</v>
      </c>
      <c r="P902" s="7" t="inlineStr">
        <is>
          <t>greenhouse:graphcore</t>
        </is>
      </c>
      <c r="Q902" s="8" t="inlineStr"/>
      <c r="R902" s="8" t="n"/>
      <c r="S902" s="19" t="n"/>
      <c r="T902" s="19" t="n"/>
      <c r="U902" s="14" t="n">
        <v>46189</v>
      </c>
      <c r="V902" s="7" t="inlineStr">
        <is>
          <t>v1-db41edab064373dd</t>
        </is>
      </c>
    </row>
    <row r="903" ht="28" customHeight="1">
      <c r="A903" s="12">
        <f>IF($L903="applied","Applied",IF($L903="interview","Interview",IF($L903="offer","Offer",IF($L903="rejected","Rejected",IF($L903="ignore","Ignore",IF($L903="archive","Archive",IF($L903="closed","Closed",IF($B903="","Unscored",IF(AND($B903&gt;=8,OR($H903="",$H903-TODAY()&lt;=14)),"P1 Apply",IF($B903&gt;=7,"P2 Strong",IF($B903&gt;=5,"P3 Maybe","P4 Low")))))))))))</f>
        <v/>
      </c>
      <c r="B903" s="13" t="n">
        <v>1</v>
      </c>
      <c r="C903" s="12" t="inlineStr">
        <is>
          <t>Senior/Lead</t>
        </is>
      </c>
      <c r="D903" s="8" t="inlineStr">
        <is>
          <t>Staff Software Engineer (ML QA)</t>
        </is>
      </c>
      <c r="E903" s="7" t="inlineStr">
        <is>
          <t>Graphcore</t>
        </is>
      </c>
      <c r="F903" s="8" t="inlineStr">
        <is>
          <t>Bristol, UK</t>
        </is>
      </c>
      <c r="G903" s="8" t="n"/>
      <c r="H903" s="14" t="n"/>
      <c r="I903" s="15">
        <f>IF($H903="","",$H903-TODAY())</f>
        <v/>
      </c>
      <c r="J903" s="16" t="inlineStr">
        <is>
          <t>Open posting</t>
        </is>
      </c>
      <c r="K903" s="8" t="inlineStr">
        <is>
          <t>filtered by keyword pre-scan</t>
        </is>
      </c>
      <c r="L903" s="17" t="inlineStr">
        <is>
          <t>new</t>
        </is>
      </c>
      <c r="M903" s="18" t="inlineStr"/>
      <c r="N903" s="7" t="inlineStr">
        <is>
          <t>c6d14b8903f1393d176516662fe349984fe75b47</t>
        </is>
      </c>
      <c r="O903" s="14" t="n">
        <v>46189</v>
      </c>
      <c r="P903" s="7" t="inlineStr">
        <is>
          <t>greenhouse:graphcore</t>
        </is>
      </c>
      <c r="Q903" s="8" t="inlineStr"/>
      <c r="R903" s="8" t="n"/>
      <c r="S903" s="19" t="n"/>
      <c r="T903" s="19" t="n"/>
      <c r="U903" s="14" t="n">
        <v>46189</v>
      </c>
      <c r="V903" s="7" t="inlineStr">
        <is>
          <t>v1-db41edab064373dd</t>
        </is>
      </c>
    </row>
    <row r="904" ht="28" customHeight="1">
      <c r="A904" s="12">
        <f>IF($L904="applied","Applied",IF($L904="interview","Interview",IF($L904="offer","Offer",IF($L904="rejected","Rejected",IF($L904="ignore","Ignore",IF($L904="archive","Archive",IF($L904="closed","Closed",IF($B904="","Unscored",IF(AND($B904&gt;=8,OR($H904="",$H904-TODAY()&lt;=14)),"P1 Apply",IF($B904&gt;=7,"P2 Strong",IF($B904&gt;=5,"P3 Maybe","P4 Low")))))))))))</f>
        <v/>
      </c>
      <c r="B904" s="13" t="n">
        <v>1</v>
      </c>
      <c r="C904" s="12" t="inlineStr">
        <is>
          <t>Senior/Lead</t>
        </is>
      </c>
      <c r="D904" s="8" t="inlineStr">
        <is>
          <t>Staff Software Engineer (ML QA)</t>
        </is>
      </c>
      <c r="E904" s="7" t="inlineStr">
        <is>
          <t>Graphcore</t>
        </is>
      </c>
      <c r="F904" s="8" t="inlineStr">
        <is>
          <t>Cambridge, UK</t>
        </is>
      </c>
      <c r="G904" s="8" t="n"/>
      <c r="H904" s="14" t="n"/>
      <c r="I904" s="15">
        <f>IF($H904="","",$H904-TODAY())</f>
        <v/>
      </c>
      <c r="J904" s="16" t="inlineStr">
        <is>
          <t>Open posting</t>
        </is>
      </c>
      <c r="K904" s="8" t="inlineStr">
        <is>
          <t>filtered by keyword pre-scan</t>
        </is>
      </c>
      <c r="L904" s="17" t="inlineStr">
        <is>
          <t>new</t>
        </is>
      </c>
      <c r="M904" s="18" t="inlineStr"/>
      <c r="N904" s="7" t="inlineStr">
        <is>
          <t>d1c50224d6039980ca8330c1e4a9889a5451ae0c</t>
        </is>
      </c>
      <c r="O904" s="14" t="n">
        <v>46189</v>
      </c>
      <c r="P904" s="7" t="inlineStr">
        <is>
          <t>greenhouse:graphcore</t>
        </is>
      </c>
      <c r="Q904" s="8" t="inlineStr"/>
      <c r="R904" s="8" t="n"/>
      <c r="S904" s="19" t="n"/>
      <c r="T904" s="19" t="n"/>
      <c r="U904" s="14" t="n">
        <v>46189</v>
      </c>
      <c r="V904" s="7" t="inlineStr">
        <is>
          <t>v1-db41edab064373dd</t>
        </is>
      </c>
    </row>
    <row r="905" ht="28" customHeight="1">
      <c r="A905" s="12">
        <f>IF($L905="applied","Applied",IF($L905="interview","Interview",IF($L905="offer","Offer",IF($L905="rejected","Rejected",IF($L905="ignore","Ignore",IF($L905="archive","Archive",IF($L905="closed","Closed",IF($B905="","Unscored",IF(AND($B905&gt;=8,OR($H905="",$H905-TODAY()&lt;=14)),"P1 Apply",IF($B905&gt;=7,"P2 Strong",IF($B905&gt;=5,"P3 Maybe","P4 Low")))))))))))</f>
        <v/>
      </c>
      <c r="B905" s="13" t="n">
        <v>1</v>
      </c>
      <c r="C905" s="12" t="inlineStr">
        <is>
          <t>Senior/Lead</t>
        </is>
      </c>
      <c r="D905" s="8" t="inlineStr">
        <is>
          <t>Staff Software Engineer (ML QA)</t>
        </is>
      </c>
      <c r="E905" s="7" t="inlineStr">
        <is>
          <t>Graphcore</t>
        </is>
      </c>
      <c r="F905" s="8" t="inlineStr">
        <is>
          <t>London, UK</t>
        </is>
      </c>
      <c r="G905" s="8" t="n"/>
      <c r="H905" s="14" t="n"/>
      <c r="I905" s="15">
        <f>IF($H905="","",$H905-TODAY())</f>
        <v/>
      </c>
      <c r="J905" s="16" t="inlineStr">
        <is>
          <t>Open posting</t>
        </is>
      </c>
      <c r="K905" s="8" t="inlineStr">
        <is>
          <t>filtered by keyword pre-scan</t>
        </is>
      </c>
      <c r="L905" s="17" t="inlineStr">
        <is>
          <t>new</t>
        </is>
      </c>
      <c r="M905" s="18" t="inlineStr"/>
      <c r="N905" s="7" t="inlineStr">
        <is>
          <t>2fd6ddd91142597c3177d9bf7a9d1ef267db6517</t>
        </is>
      </c>
      <c r="O905" s="14" t="n">
        <v>46189</v>
      </c>
      <c r="P905" s="7" t="inlineStr">
        <is>
          <t>greenhouse:graphcore</t>
        </is>
      </c>
      <c r="Q905" s="8" t="inlineStr"/>
      <c r="R905" s="8" t="n"/>
      <c r="S905" s="19" t="n"/>
      <c r="T905" s="19" t="n"/>
      <c r="U905" s="14" t="n">
        <v>46189</v>
      </c>
      <c r="V905" s="7" t="inlineStr">
        <is>
          <t>v1-db41edab064373dd</t>
        </is>
      </c>
    </row>
    <row r="906" ht="28" customHeight="1">
      <c r="A906" s="12">
        <f>IF($L906="applied","Applied",IF($L906="interview","Interview",IF($L906="offer","Offer",IF($L906="rejected","Rejected",IF($L906="ignore","Ignore",IF($L906="archive","Archive",IF($L906="closed","Closed",IF($B906="","Unscored",IF(AND($B906&gt;=8,OR($H906="",$H906-TODAY()&lt;=14)),"P1 Apply",IF($B906&gt;=7,"P2 Strong",IF($B906&gt;=5,"P3 Maybe","P4 Low")))))))))))</f>
        <v/>
      </c>
      <c r="B906" s="13" t="n">
        <v>1</v>
      </c>
      <c r="C906" s="12" t="inlineStr">
        <is>
          <t>Senior/Lead</t>
        </is>
      </c>
      <c r="D906" s="8" t="inlineStr">
        <is>
          <t>Staff Systems Engineer</t>
        </is>
      </c>
      <c r="E906" s="7" t="inlineStr">
        <is>
          <t>Graphcore</t>
        </is>
      </c>
      <c r="F906" s="8" t="inlineStr">
        <is>
          <t>US - Milpitas</t>
        </is>
      </c>
      <c r="G906" s="8" t="n"/>
      <c r="H906" s="14" t="n"/>
      <c r="I906" s="15">
        <f>IF($H906="","",$H906-TODAY())</f>
        <v/>
      </c>
      <c r="J906" s="16" t="inlineStr">
        <is>
          <t>Open posting</t>
        </is>
      </c>
      <c r="K906" s="8" t="inlineStr">
        <is>
          <t>filtered by keyword pre-scan</t>
        </is>
      </c>
      <c r="L906" s="17" t="inlineStr">
        <is>
          <t>new</t>
        </is>
      </c>
      <c r="M906" s="18" t="inlineStr"/>
      <c r="N906" s="7" t="inlineStr">
        <is>
          <t>77304a7ee62bf29891a61a50513b6fe23dc26d88</t>
        </is>
      </c>
      <c r="O906" s="14" t="n">
        <v>46189</v>
      </c>
      <c r="P906" s="7" t="inlineStr">
        <is>
          <t>greenhouse:graphcore</t>
        </is>
      </c>
      <c r="Q906" s="8" t="inlineStr"/>
      <c r="R906" s="8" t="n"/>
      <c r="S906" s="19" t="n"/>
      <c r="T906" s="19" t="n"/>
      <c r="U906" s="14" t="n">
        <v>46189</v>
      </c>
      <c r="V906" s="7" t="inlineStr">
        <is>
          <t>v1-db41edab064373dd</t>
        </is>
      </c>
    </row>
    <row r="907" ht="28" customHeight="1">
      <c r="A907" s="12">
        <f>IF($L907="applied","Applied",IF($L907="interview","Interview",IF($L907="offer","Offer",IF($L907="rejected","Rejected",IF($L907="ignore","Ignore",IF($L907="archive","Archive",IF($L907="closed","Closed",IF($B907="","Unscored",IF(AND($B907&gt;=8,OR($H907="",$H907-TODAY()&lt;=14)),"P1 Apply",IF($B907&gt;=7,"P2 Strong",IF($B907&gt;=5,"P3 Maybe","P4 Low")))))))))))</f>
        <v/>
      </c>
      <c r="B907" s="13" t="n">
        <v>1</v>
      </c>
      <c r="C907" s="12" t="inlineStr">
        <is>
          <t>Senior/Lead</t>
        </is>
      </c>
      <c r="D907" s="8" t="inlineStr">
        <is>
          <t>Staff Systems Engineer</t>
        </is>
      </c>
      <c r="E907" s="7" t="inlineStr">
        <is>
          <t>Graphcore</t>
        </is>
      </c>
      <c r="F907" s="8" t="inlineStr">
        <is>
          <t>Austin, Texas, United States</t>
        </is>
      </c>
      <c r="G907" s="8" t="n"/>
      <c r="H907" s="14" t="n"/>
      <c r="I907" s="15">
        <f>IF($H907="","",$H907-TODAY())</f>
        <v/>
      </c>
      <c r="J907" s="16" t="inlineStr">
        <is>
          <t>Open posting</t>
        </is>
      </c>
      <c r="K907" s="8" t="inlineStr">
        <is>
          <t>filtered by keyword pre-scan</t>
        </is>
      </c>
      <c r="L907" s="17" t="inlineStr">
        <is>
          <t>new</t>
        </is>
      </c>
      <c r="M907" s="18" t="inlineStr"/>
      <c r="N907" s="7" t="inlineStr">
        <is>
          <t>f2658d043ce40dae604f8950da3a936ab4a78c1c</t>
        </is>
      </c>
      <c r="O907" s="14" t="n">
        <v>46189</v>
      </c>
      <c r="P907" s="7" t="inlineStr">
        <is>
          <t>greenhouse:graphcore</t>
        </is>
      </c>
      <c r="Q907" s="8" t="inlineStr"/>
      <c r="R907" s="8" t="n"/>
      <c r="S907" s="19" t="n"/>
      <c r="T907" s="19" t="n"/>
      <c r="U907" s="14" t="n">
        <v>46189</v>
      </c>
      <c r="V907" s="7" t="inlineStr">
        <is>
          <t>v1-db41edab064373dd</t>
        </is>
      </c>
    </row>
    <row r="908" ht="28" customHeight="1">
      <c r="A908" s="12">
        <f>IF($L908="applied","Applied",IF($L908="interview","Interview",IF($L908="offer","Offer",IF($L908="rejected","Rejected",IF($L908="ignore","Ignore",IF($L908="archive","Archive",IF($L908="closed","Closed",IF($B908="","Unscored",IF(AND($B908&gt;=8,OR($H908="",$H908-TODAY()&lt;=14)),"P1 Apply",IF($B908&gt;=7,"P2 Strong",IF($B908&gt;=5,"P3 Maybe","P4 Low")))))))))))</f>
        <v/>
      </c>
      <c r="B908" s="13" t="n">
        <v>1</v>
      </c>
      <c r="C908" s="12" t="inlineStr">
        <is>
          <t>Senior/Lead</t>
        </is>
      </c>
      <c r="D908" s="8" t="inlineStr">
        <is>
          <t>Staff System Software Engineer</t>
        </is>
      </c>
      <c r="E908" s="7" t="inlineStr">
        <is>
          <t>Graphcore</t>
        </is>
      </c>
      <c r="F908" s="8" t="inlineStr">
        <is>
          <t>Gdańsk, Pomeranian Voivodeship, Poland</t>
        </is>
      </c>
      <c r="G908" s="8" t="n"/>
      <c r="H908" s="14" t="n"/>
      <c r="I908" s="15">
        <f>IF($H908="","",$H908-TODAY())</f>
        <v/>
      </c>
      <c r="J908" s="16" t="inlineStr">
        <is>
          <t>Open posting</t>
        </is>
      </c>
      <c r="K908" s="8" t="inlineStr">
        <is>
          <t>filtered by keyword pre-scan</t>
        </is>
      </c>
      <c r="L908" s="17" t="inlineStr">
        <is>
          <t>new</t>
        </is>
      </c>
      <c r="M908" s="18" t="inlineStr"/>
      <c r="N908" s="7" t="inlineStr">
        <is>
          <t>e9cae52f93db09b46a46c666c3f0502a1c212634</t>
        </is>
      </c>
      <c r="O908" s="14" t="n">
        <v>46189</v>
      </c>
      <c r="P908" s="7" t="inlineStr">
        <is>
          <t>greenhouse:graphcore</t>
        </is>
      </c>
      <c r="Q908" s="8" t="inlineStr"/>
      <c r="R908" s="8" t="n"/>
      <c r="S908" s="19" t="n"/>
      <c r="T908" s="19" t="n"/>
      <c r="U908" s="14" t="n">
        <v>46189</v>
      </c>
      <c r="V908" s="7" t="inlineStr">
        <is>
          <t>v1-db41edab064373dd</t>
        </is>
      </c>
    </row>
    <row r="909" ht="28" customHeight="1">
      <c r="A909" s="12">
        <f>IF($L909="applied","Applied",IF($L909="interview","Interview",IF($L909="offer","Offer",IF($L909="rejected","Rejected",IF($L909="ignore","Ignore",IF($L909="archive","Archive",IF($L909="closed","Closed",IF($B909="","Unscored",IF(AND($B909&gt;=8,OR($H909="",$H909-TODAY()&lt;=14)),"P1 Apply",IF($B909&gt;=7,"P2 Strong",IF($B909&gt;=5,"P3 Maybe","P4 Low")))))))))))</f>
        <v/>
      </c>
      <c r="B909" s="13" t="n">
        <v>1</v>
      </c>
      <c r="C909" s="12" t="inlineStr">
        <is>
          <t>Senior/Lead</t>
        </is>
      </c>
      <c r="D909" s="8" t="inlineStr">
        <is>
          <t>Staff System Software Engineer</t>
        </is>
      </c>
      <c r="E909" s="7" t="inlineStr">
        <is>
          <t>Graphcore</t>
        </is>
      </c>
      <c r="F909" s="8" t="inlineStr">
        <is>
          <t>Bristol, UK</t>
        </is>
      </c>
      <c r="G909" s="8" t="n"/>
      <c r="H909" s="14" t="n"/>
      <c r="I909" s="15">
        <f>IF($H909="","",$H909-TODAY())</f>
        <v/>
      </c>
      <c r="J909" s="16" t="inlineStr">
        <is>
          <t>Open posting</t>
        </is>
      </c>
      <c r="K909" s="8" t="inlineStr">
        <is>
          <t>filtered by keyword pre-scan</t>
        </is>
      </c>
      <c r="L909" s="17" t="inlineStr">
        <is>
          <t>new</t>
        </is>
      </c>
      <c r="M909" s="18" t="inlineStr"/>
      <c r="N909" s="7" t="inlineStr">
        <is>
          <t>a2029d6dd51be196b4303f39f90f3361e68a27c7</t>
        </is>
      </c>
      <c r="O909" s="14" t="n">
        <v>46189</v>
      </c>
      <c r="P909" s="7" t="inlineStr">
        <is>
          <t>greenhouse:graphcore</t>
        </is>
      </c>
      <c r="Q909" s="8" t="inlineStr"/>
      <c r="R909" s="8" t="n"/>
      <c r="S909" s="19" t="n"/>
      <c r="T909" s="19" t="n"/>
      <c r="U909" s="14" t="n">
        <v>46189</v>
      </c>
      <c r="V909" s="7" t="inlineStr">
        <is>
          <t>v1-db41edab064373dd</t>
        </is>
      </c>
    </row>
    <row r="910" ht="28" customHeight="1">
      <c r="A910" s="12">
        <f>IF($L910="applied","Applied",IF($L910="interview","Interview",IF($L910="offer","Offer",IF($L910="rejected","Rejected",IF($L910="ignore","Ignore",IF($L910="archive","Archive",IF($L910="closed","Closed",IF($B910="","Unscored",IF(AND($B910&gt;=8,OR($H910="",$H910-TODAY()&lt;=14)),"P1 Apply",IF($B910&gt;=7,"P2 Strong",IF($B910&gt;=5,"P3 Maybe","P4 Low")))))))))))</f>
        <v/>
      </c>
      <c r="B910" s="13" t="n">
        <v>1</v>
      </c>
      <c r="C910" s="12" t="inlineStr">
        <is>
          <t>Senior/Lead</t>
        </is>
      </c>
      <c r="D910" s="8" t="inlineStr">
        <is>
          <t>Staff System Software Engineer</t>
        </is>
      </c>
      <c r="E910" s="7" t="inlineStr">
        <is>
          <t>Graphcore</t>
        </is>
      </c>
      <c r="F910" s="8" t="inlineStr">
        <is>
          <t>Cambridge, UK</t>
        </is>
      </c>
      <c r="G910" s="8" t="n"/>
      <c r="H910" s="14" t="n"/>
      <c r="I910" s="15">
        <f>IF($H910="","",$H910-TODAY())</f>
        <v/>
      </c>
      <c r="J910" s="16" t="inlineStr">
        <is>
          <t>Open posting</t>
        </is>
      </c>
      <c r="K910" s="8" t="inlineStr">
        <is>
          <t>filtered by keyword pre-scan</t>
        </is>
      </c>
      <c r="L910" s="17" t="inlineStr">
        <is>
          <t>new</t>
        </is>
      </c>
      <c r="M910" s="18" t="inlineStr"/>
      <c r="N910" s="7" t="inlineStr">
        <is>
          <t>f01df082f9b28107cea0ceec23fcaef1b79c037b</t>
        </is>
      </c>
      <c r="O910" s="14" t="n">
        <v>46189</v>
      </c>
      <c r="P910" s="7" t="inlineStr">
        <is>
          <t>greenhouse:graphcore</t>
        </is>
      </c>
      <c r="Q910" s="8" t="inlineStr"/>
      <c r="R910" s="8" t="n"/>
      <c r="S910" s="19" t="n"/>
      <c r="T910" s="19" t="n"/>
      <c r="U910" s="14" t="n">
        <v>46189</v>
      </c>
      <c r="V910" s="7" t="inlineStr">
        <is>
          <t>v1-db41edab064373dd</t>
        </is>
      </c>
    </row>
    <row r="911" ht="28" customHeight="1">
      <c r="A911" s="12">
        <f>IF($L911="applied","Applied",IF($L911="interview","Interview",IF($L911="offer","Offer",IF($L911="rejected","Rejected",IF($L911="ignore","Ignore",IF($L911="archive","Archive",IF($L911="closed","Closed",IF($B911="","Unscored",IF(AND($B911&gt;=8,OR($H911="",$H911-TODAY()&lt;=14)),"P1 Apply",IF($B911&gt;=7,"P2 Strong",IF($B911&gt;=5,"P3 Maybe","P4 Low")))))))))))</f>
        <v/>
      </c>
      <c r="B911" s="13" t="n">
        <v>1</v>
      </c>
      <c r="C911" s="12" t="inlineStr">
        <is>
          <t>Senior/Lead</t>
        </is>
      </c>
      <c r="D911" s="8" t="inlineStr">
        <is>
          <t>Staff System Software Engineer - Bengaluru, multiple vacancies</t>
        </is>
      </c>
      <c r="E911" s="7" t="inlineStr">
        <is>
          <t>Graphcore</t>
        </is>
      </c>
      <c r="F911" s="8" t="inlineStr">
        <is>
          <t>Bengaluru, India</t>
        </is>
      </c>
      <c r="G911" s="8" t="n"/>
      <c r="H911" s="14" t="n"/>
      <c r="I911" s="15">
        <f>IF($H911="","",$H911-TODAY())</f>
        <v/>
      </c>
      <c r="J911" s="16" t="inlineStr">
        <is>
          <t>Open posting</t>
        </is>
      </c>
      <c r="K911" s="8" t="inlineStr">
        <is>
          <t>filtered by keyword pre-scan</t>
        </is>
      </c>
      <c r="L911" s="17" t="inlineStr">
        <is>
          <t>new</t>
        </is>
      </c>
      <c r="M911" s="18" t="inlineStr"/>
      <c r="N911" s="7" t="inlineStr">
        <is>
          <t>dbefe9d960ab379c447d40c379002d3d45de31a9</t>
        </is>
      </c>
      <c r="O911" s="14" t="n">
        <v>46189</v>
      </c>
      <c r="P911" s="7" t="inlineStr">
        <is>
          <t>greenhouse:graphcore</t>
        </is>
      </c>
      <c r="Q911" s="8" t="inlineStr"/>
      <c r="R911" s="8" t="n"/>
      <c r="S911" s="19" t="n"/>
      <c r="T911" s="19" t="n"/>
      <c r="U911" s="14" t="n">
        <v>46189</v>
      </c>
      <c r="V911" s="7" t="inlineStr">
        <is>
          <t>v1-db41edab064373dd</t>
        </is>
      </c>
    </row>
    <row r="912" ht="28" customHeight="1">
      <c r="A912" s="12">
        <f>IF($L912="applied","Applied",IF($L912="interview","Interview",IF($L912="offer","Offer",IF($L912="rejected","Rejected",IF($L912="ignore","Ignore",IF($L912="archive","Archive",IF($L912="closed","Closed",IF($B912="","Unscored",IF(AND($B912&gt;=8,OR($H912="",$H912-TODAY()&lt;=14)),"P1 Apply",IF($B912&gt;=7,"P2 Strong",IF($B912&gt;=5,"P3 Maybe","P4 Low")))))))))))</f>
        <v/>
      </c>
      <c r="B912" s="13" t="n">
        <v>1</v>
      </c>
      <c r="C912" s="12" t="inlineStr">
        <is>
          <t>Senior/Lead</t>
        </is>
      </c>
      <c r="D912" s="8" t="inlineStr">
        <is>
          <t>Staff System Validation Engineer</t>
        </is>
      </c>
      <c r="E912" s="7" t="inlineStr">
        <is>
          <t>Graphcore</t>
        </is>
      </c>
      <c r="F912" s="8" t="inlineStr">
        <is>
          <t>Austin, Texas, United States</t>
        </is>
      </c>
      <c r="G912" s="8" t="n"/>
      <c r="H912" s="14" t="n"/>
      <c r="I912" s="15">
        <f>IF($H912="","",$H912-TODAY())</f>
        <v/>
      </c>
      <c r="J912" s="16" t="inlineStr">
        <is>
          <t>Open posting</t>
        </is>
      </c>
      <c r="K912" s="8" t="inlineStr">
        <is>
          <t>filtered by keyword pre-scan</t>
        </is>
      </c>
      <c r="L912" s="17" t="inlineStr">
        <is>
          <t>new</t>
        </is>
      </c>
      <c r="M912" s="18" t="inlineStr"/>
      <c r="N912" s="7" t="inlineStr">
        <is>
          <t>7aaa8acd207a5d653da1c1ce363dbc8f3297dcf5</t>
        </is>
      </c>
      <c r="O912" s="14" t="n">
        <v>46189</v>
      </c>
      <c r="P912" s="7" t="inlineStr">
        <is>
          <t>greenhouse:graphcore</t>
        </is>
      </c>
      <c r="Q912" s="8" t="inlineStr"/>
      <c r="R912" s="8" t="n"/>
      <c r="S912" s="19" t="n"/>
      <c r="T912" s="19" t="n"/>
      <c r="U912" s="14" t="n">
        <v>46189</v>
      </c>
      <c r="V912" s="7" t="inlineStr">
        <is>
          <t>v1-db41edab064373dd</t>
        </is>
      </c>
    </row>
    <row r="913" ht="28" customHeight="1">
      <c r="A913" s="12">
        <f>IF($L913="applied","Applied",IF($L913="interview","Interview",IF($L913="offer","Offer",IF($L913="rejected","Rejected",IF($L913="ignore","Ignore",IF($L913="archive","Archive",IF($L913="closed","Closed",IF($B913="","Unscored",IF(AND($B913&gt;=8,OR($H913="",$H913-TODAY()&lt;=14)),"P1 Apply",IF($B913&gt;=7,"P2 Strong",IF($B913&gt;=5,"P3 Maybe","P4 Low")))))))))))</f>
        <v/>
      </c>
      <c r="B913" s="13" t="n">
        <v>1</v>
      </c>
      <c r="C913" s="12" t="inlineStr">
        <is>
          <t>Senior/Lead</t>
        </is>
      </c>
      <c r="D913" s="8" t="inlineStr">
        <is>
          <t>Staff Technical Program Manager, Lab /Data Center</t>
        </is>
      </c>
      <c r="E913" s="7" t="inlineStr">
        <is>
          <t>Graphcore</t>
        </is>
      </c>
      <c r="F913" s="8" t="inlineStr">
        <is>
          <t>Austin, Texas, United States</t>
        </is>
      </c>
      <c r="G913" s="8" t="n"/>
      <c r="H913" s="14" t="n"/>
      <c r="I913" s="15">
        <f>IF($H913="","",$H913-TODAY())</f>
        <v/>
      </c>
      <c r="J913" s="16" t="inlineStr">
        <is>
          <t>Open posting</t>
        </is>
      </c>
      <c r="K913" s="8" t="inlineStr">
        <is>
          <t>filtered by keyword pre-scan</t>
        </is>
      </c>
      <c r="L913" s="17" t="inlineStr">
        <is>
          <t>new</t>
        </is>
      </c>
      <c r="M913" s="18" t="inlineStr"/>
      <c r="N913" s="7" t="inlineStr">
        <is>
          <t>1d976f4d2a1651099fade724a206e0ee856797ad</t>
        </is>
      </c>
      <c r="O913" s="14" t="n">
        <v>46189</v>
      </c>
      <c r="P913" s="7" t="inlineStr">
        <is>
          <t>greenhouse:graphcore</t>
        </is>
      </c>
      <c r="Q913" s="8" t="inlineStr"/>
      <c r="R913" s="8" t="n"/>
      <c r="S913" s="19" t="n"/>
      <c r="T913" s="19" t="n"/>
      <c r="U913" s="14" t="n">
        <v>46189</v>
      </c>
      <c r="V913" s="7" t="inlineStr">
        <is>
          <t>v1-db41edab064373dd</t>
        </is>
      </c>
    </row>
    <row r="914" ht="28" customHeight="1">
      <c r="A914" s="12">
        <f>IF($L914="applied","Applied",IF($L914="interview","Interview",IF($L914="offer","Offer",IF($L914="rejected","Rejected",IF($L914="ignore","Ignore",IF($L914="archive","Archive",IF($L914="closed","Closed",IF($B914="","Unscored",IF(AND($B914&gt;=8,OR($H914="",$H914-TODAY()&lt;=14)),"P1 Apply",IF($B914&gt;=7,"P2 Strong",IF($B914&gt;=5,"P3 Maybe","P4 Low")))))))))))</f>
        <v/>
      </c>
      <c r="B914" s="13" t="n">
        <v>1</v>
      </c>
      <c r="C914" s="12" t="inlineStr">
        <is>
          <t>Senior/Lead</t>
        </is>
      </c>
      <c r="D914" s="8" t="inlineStr">
        <is>
          <t>Staff UEFI Firmware Engineer</t>
        </is>
      </c>
      <c r="E914" s="7" t="inlineStr">
        <is>
          <t>Graphcore</t>
        </is>
      </c>
      <c r="F914" s="8" t="inlineStr">
        <is>
          <t>Austin, Texas, United States</t>
        </is>
      </c>
      <c r="G914" s="8" t="n"/>
      <c r="H914" s="14" t="n"/>
      <c r="I914" s="15">
        <f>IF($H914="","",$H914-TODAY())</f>
        <v/>
      </c>
      <c r="J914" s="16" t="inlineStr">
        <is>
          <t>Open posting</t>
        </is>
      </c>
      <c r="K914" s="8" t="inlineStr">
        <is>
          <t>filtered by keyword pre-scan</t>
        </is>
      </c>
      <c r="L914" s="17" t="inlineStr">
        <is>
          <t>new</t>
        </is>
      </c>
      <c r="M914" s="18" t="inlineStr"/>
      <c r="N914" s="7" t="inlineStr">
        <is>
          <t>01a3cbf858f368bbdf069ba6265caa289de23817</t>
        </is>
      </c>
      <c r="O914" s="14" t="n">
        <v>46189</v>
      </c>
      <c r="P914" s="7" t="inlineStr">
        <is>
          <t>greenhouse:graphcore</t>
        </is>
      </c>
      <c r="Q914" s="8" t="inlineStr"/>
      <c r="R914" s="8" t="n"/>
      <c r="S914" s="19" t="n"/>
      <c r="T914" s="19" t="n"/>
      <c r="U914" s="14" t="n">
        <v>46189</v>
      </c>
      <c r="V914" s="7" t="inlineStr">
        <is>
          <t>v1-db41edab064373dd</t>
        </is>
      </c>
    </row>
    <row r="915" ht="28" customHeight="1">
      <c r="A915" s="12">
        <f>IF($L915="applied","Applied",IF($L915="interview","Interview",IF($L915="offer","Offer",IF($L915="rejected","Rejected",IF($L915="ignore","Ignore",IF($L915="archive","Archive",IF($L915="closed","Closed",IF($B915="","Unscored",IF(AND($B915&gt;=8,OR($H915="",$H915-TODAY()&lt;=14)),"P1 Apply",IF($B915&gt;=7,"P2 Strong",IF($B915&gt;=5,"P3 Maybe","P4 Low")))))))))))</f>
        <v/>
      </c>
      <c r="B915" s="13" t="n">
        <v>1</v>
      </c>
      <c r="C915" s="12" t="inlineStr">
        <is>
          <t>Senior/Lead</t>
        </is>
      </c>
      <c r="D915" s="8" t="inlineStr">
        <is>
          <t>Tech Director, Post Silicon Validation</t>
        </is>
      </c>
      <c r="E915" s="7" t="inlineStr">
        <is>
          <t>Graphcore</t>
        </is>
      </c>
      <c r="F915" s="8" t="inlineStr">
        <is>
          <t>Bristol, UK</t>
        </is>
      </c>
      <c r="G915" s="8" t="n"/>
      <c r="H915" s="14" t="n"/>
      <c r="I915" s="15">
        <f>IF($H915="","",$H915-TODAY())</f>
        <v/>
      </c>
      <c r="J915" s="16" t="inlineStr">
        <is>
          <t>Open posting</t>
        </is>
      </c>
      <c r="K915" s="8" t="inlineStr">
        <is>
          <t>filtered by keyword pre-scan</t>
        </is>
      </c>
      <c r="L915" s="17" t="inlineStr">
        <is>
          <t>new</t>
        </is>
      </c>
      <c r="M915" s="18" t="inlineStr"/>
      <c r="N915" s="7" t="inlineStr">
        <is>
          <t>e26cbf5b958c5d067e621ba4d11542e1af47290d</t>
        </is>
      </c>
      <c r="O915" s="14" t="n">
        <v>46189</v>
      </c>
      <c r="P915" s="7" t="inlineStr">
        <is>
          <t>greenhouse:graphcore</t>
        </is>
      </c>
      <c r="Q915" s="8" t="inlineStr"/>
      <c r="R915" s="8" t="n"/>
      <c r="S915" s="19" t="n"/>
      <c r="T915" s="19" t="n"/>
      <c r="U915" s="14" t="n">
        <v>46189</v>
      </c>
      <c r="V915" s="7" t="inlineStr">
        <is>
          <t>v1-db41edab064373dd</t>
        </is>
      </c>
    </row>
    <row r="916" ht="28" customHeight="1">
      <c r="A916" s="12">
        <f>IF($L916="applied","Applied",IF($L916="interview","Interview",IF($L916="offer","Offer",IF($L916="rejected","Rejected",IF($L916="ignore","Ignore",IF($L916="archive","Archive",IF($L916="closed","Closed",IF($B916="","Unscored",IF(AND($B916&gt;=8,OR($H916="",$H916-TODAY()&lt;=14)),"P1 Apply",IF($B916&gt;=7,"P2 Strong",IF($B916&gt;=5,"P3 Maybe","P4 Low")))))))))))</f>
        <v/>
      </c>
      <c r="B916" s="13" t="n">
        <v>1</v>
      </c>
      <c r="C916" s="12" t="inlineStr">
        <is>
          <t>Senior/Lead</t>
        </is>
      </c>
      <c r="D916" s="8" t="inlineStr">
        <is>
          <t>Technical Lead - System Validation Architect</t>
        </is>
      </c>
      <c r="E916" s="7" t="inlineStr">
        <is>
          <t>Graphcore</t>
        </is>
      </c>
      <c r="F916" s="8" t="inlineStr">
        <is>
          <t>Austin, Texas, United States</t>
        </is>
      </c>
      <c r="G916" s="8" t="n"/>
      <c r="H916" s="14" t="n"/>
      <c r="I916" s="15">
        <f>IF($H916="","",$H916-TODAY())</f>
        <v/>
      </c>
      <c r="J916" s="16" t="inlineStr">
        <is>
          <t>Open posting</t>
        </is>
      </c>
      <c r="K916" s="8" t="inlineStr">
        <is>
          <t>filtered by keyword pre-scan</t>
        </is>
      </c>
      <c r="L916" s="17" t="inlineStr">
        <is>
          <t>new</t>
        </is>
      </c>
      <c r="M916" s="18" t="inlineStr"/>
      <c r="N916" s="7" t="inlineStr">
        <is>
          <t>87e0d7305c9a98267217a958d9ae577cde6851a8</t>
        </is>
      </c>
      <c r="O916" s="14" t="n">
        <v>46189</v>
      </c>
      <c r="P916" s="7" t="inlineStr">
        <is>
          <t>greenhouse:graphcore</t>
        </is>
      </c>
      <c r="Q916" s="8" t="inlineStr"/>
      <c r="R916" s="8" t="n"/>
      <c r="S916" s="19" t="n"/>
      <c r="T916" s="19" t="n"/>
      <c r="U916" s="14" t="n">
        <v>46189</v>
      </c>
      <c r="V916" s="7" t="inlineStr">
        <is>
          <t>v1-db41edab064373dd</t>
        </is>
      </c>
    </row>
    <row r="917" ht="28" customHeight="1">
      <c r="A917" s="12">
        <f>IF($L917="applied","Applied",IF($L917="interview","Interview",IF($L917="offer","Offer",IF($L917="rejected","Rejected",IF($L917="ignore","Ignore",IF($L917="archive","Archive",IF($L917="closed","Closed",IF($B917="","Unscored",IF(AND($B917&gt;=8,OR($H917="",$H917-TODAY()&lt;=14)),"P1 Apply",IF($B917&gt;=7,"P2 Strong",IF($B917&gt;=5,"P3 Maybe","P4 Low")))))))))))</f>
        <v/>
      </c>
      <c r="B917" s="13" t="n">
        <v>1</v>
      </c>
      <c r="C917" s="12" t="inlineStr">
        <is>
          <t>Senior/Lead</t>
        </is>
      </c>
      <c r="D917" s="8" t="inlineStr">
        <is>
          <t>Business Operations Lead, Datacenters</t>
        </is>
      </c>
      <c r="E917" s="7" t="inlineStr">
        <is>
          <t>Cerebras</t>
        </is>
      </c>
      <c r="F917" s="8" t="inlineStr">
        <is>
          <t>Sunnyvale, CA</t>
        </is>
      </c>
      <c r="G917" s="8" t="n"/>
      <c r="H917" s="14" t="n"/>
      <c r="I917" s="15">
        <f>IF($H917="","",$H917-TODAY())</f>
        <v/>
      </c>
      <c r="J917" s="16" t="inlineStr">
        <is>
          <t>Open posting</t>
        </is>
      </c>
      <c r="K917" s="8" t="inlineStr">
        <is>
          <t>filtered by keyword pre-scan</t>
        </is>
      </c>
      <c r="L917" s="17" t="inlineStr">
        <is>
          <t>new</t>
        </is>
      </c>
      <c r="M917" s="18" t="inlineStr"/>
      <c r="N917" s="7" t="inlineStr">
        <is>
          <t>13e03f325082b44624a9dad76069469edfe0651e</t>
        </is>
      </c>
      <c r="O917" s="14" t="n">
        <v>46177</v>
      </c>
      <c r="P917" s="7" t="inlineStr">
        <is>
          <t>greenhouse:cerebrassystems</t>
        </is>
      </c>
      <c r="Q917" s="8" t="inlineStr"/>
      <c r="R917" s="8" t="n"/>
      <c r="S917" s="19" t="n"/>
      <c r="T917" s="19" t="n"/>
      <c r="U917" s="14" t="n">
        <v>46189</v>
      </c>
      <c r="V917" s="7" t="inlineStr">
        <is>
          <t>v1-db41edab064373dd</t>
        </is>
      </c>
    </row>
    <row r="918" ht="28" customHeight="1">
      <c r="A918" s="12">
        <f>IF($L918="applied","Applied",IF($L918="interview","Interview",IF($L918="offer","Offer",IF($L918="rejected","Rejected",IF($L918="ignore","Ignore",IF($L918="archive","Archive",IF($L918="closed","Closed",IF($B918="","Unscored",IF(AND($B918&gt;=8,OR($H918="",$H918-TODAY()&lt;=14)),"P1 Apply",IF($B918&gt;=7,"P2 Strong",IF($B918&gt;=5,"P3 Maybe","P4 Low")))))))))))</f>
        <v/>
      </c>
      <c r="B918" s="13" t="n">
        <v>1</v>
      </c>
      <c r="C918" s="12" t="inlineStr">
        <is>
          <t>Senior/Lead</t>
        </is>
      </c>
      <c r="D918" s="8" t="inlineStr">
        <is>
          <t>Cluster UI Full Stack, Engineering Lead</t>
        </is>
      </c>
      <c r="E918" s="7" t="inlineStr">
        <is>
          <t>Cerebras</t>
        </is>
      </c>
      <c r="F918" s="8" t="inlineStr">
        <is>
          <t>Bengaluru, Karnataka, India; Toronto, Ontario, Canada</t>
        </is>
      </c>
      <c r="G918" s="8" t="n"/>
      <c r="H918" s="14" t="n"/>
      <c r="I918" s="15">
        <f>IF($H918="","",$H918-TODAY())</f>
        <v/>
      </c>
      <c r="J918" s="16" t="inlineStr">
        <is>
          <t>Open posting</t>
        </is>
      </c>
      <c r="K918" s="8" t="inlineStr">
        <is>
          <t>filtered by keyword pre-scan</t>
        </is>
      </c>
      <c r="L918" s="17" t="inlineStr">
        <is>
          <t>new</t>
        </is>
      </c>
      <c r="M918" s="18" t="inlineStr"/>
      <c r="N918" s="7" t="inlineStr">
        <is>
          <t>28a57d389df6bd820b659cbc44e64c8c7c186420</t>
        </is>
      </c>
      <c r="O918" s="14" t="n">
        <v>46175</v>
      </c>
      <c r="P918" s="7" t="inlineStr">
        <is>
          <t>greenhouse:cerebrassystems</t>
        </is>
      </c>
      <c r="Q918" s="8" t="inlineStr"/>
      <c r="R918" s="8" t="n"/>
      <c r="S918" s="19" t="n"/>
      <c r="T918" s="19" t="n"/>
      <c r="U918" s="14" t="n">
        <v>46189</v>
      </c>
      <c r="V918" s="7" t="inlineStr">
        <is>
          <t>v1-db41edab064373dd</t>
        </is>
      </c>
    </row>
    <row r="919" ht="28" customHeight="1">
      <c r="A919" s="12">
        <f>IF($L919="applied","Applied",IF($L919="interview","Interview",IF($L919="offer","Offer",IF($L919="rejected","Rejected",IF($L919="ignore","Ignore",IF($L919="archive","Archive",IF($L919="closed","Closed",IF($B919="","Unscored",IF(AND($B919&gt;=8,OR($H919="",$H919-TODAY()&lt;=14)),"P1 Apply",IF($B919&gt;=7,"P2 Strong",IF($B919&gt;=5,"P3 Maybe","P4 Low")))))))))))</f>
        <v/>
      </c>
      <c r="B919" s="13" t="n">
        <v>1</v>
      </c>
      <c r="C919" s="12" t="inlineStr">
        <is>
          <t>Senior/Lead</t>
        </is>
      </c>
      <c r="D919" s="8" t="inlineStr">
        <is>
          <t>Design Validation Test - Lead/Principal Engineer</t>
        </is>
      </c>
      <c r="E919" s="7" t="inlineStr">
        <is>
          <t>Cerebras</t>
        </is>
      </c>
      <c r="F919" s="8" t="inlineStr">
        <is>
          <t>Sunnyvale, CA</t>
        </is>
      </c>
      <c r="G919" s="8" t="n"/>
      <c r="H919" s="14" t="n"/>
      <c r="I919" s="15">
        <f>IF($H919="","",$H919-TODAY())</f>
        <v/>
      </c>
      <c r="J919" s="16" t="inlineStr">
        <is>
          <t>Open posting</t>
        </is>
      </c>
      <c r="K919" s="8" t="inlineStr">
        <is>
          <t>filtered by keyword pre-scan</t>
        </is>
      </c>
      <c r="L919" s="17" t="inlineStr">
        <is>
          <t>new</t>
        </is>
      </c>
      <c r="M919" s="18" t="inlineStr"/>
      <c r="N919" s="7" t="inlineStr">
        <is>
          <t>70566cb06b3d2dbeeb5b7ac145400868e2dedf83</t>
        </is>
      </c>
      <c r="O919" s="14" t="n">
        <v>46175</v>
      </c>
      <c r="P919" s="7" t="inlineStr">
        <is>
          <t>greenhouse:cerebrassystems</t>
        </is>
      </c>
      <c r="Q919" s="8" t="inlineStr"/>
      <c r="R919" s="8" t="n"/>
      <c r="S919" s="19" t="n"/>
      <c r="T919" s="19" t="n"/>
      <c r="U919" s="14" t="n">
        <v>46189</v>
      </c>
      <c r="V919" s="7" t="inlineStr">
        <is>
          <t>v1-db41edab064373dd</t>
        </is>
      </c>
    </row>
    <row r="920" ht="28" customHeight="1">
      <c r="A920" s="12">
        <f>IF($L920="applied","Applied",IF($L920="interview","Interview",IF($L920="offer","Offer",IF($L920="rejected","Rejected",IF($L920="ignore","Ignore",IF($L920="archive","Archive",IF($L920="closed","Closed",IF($B920="","Unscored",IF(AND($B920&gt;=8,OR($H920="",$H920-TODAY()&lt;=14)),"P1 Apply",IF($B920&gt;=7,"P2 Strong",IF($B920&gt;=5,"P3 Maybe","P4 Low")))))))))))</f>
        <v/>
      </c>
      <c r="B920" s="13" t="n">
        <v>1</v>
      </c>
      <c r="C920" s="12" t="inlineStr">
        <is>
          <t>Senior/Lead</t>
        </is>
      </c>
      <c r="D920" s="8" t="inlineStr">
        <is>
          <t>Director of Costing Accounting</t>
        </is>
      </c>
      <c r="E920" s="7" t="inlineStr">
        <is>
          <t>Cerebras</t>
        </is>
      </c>
      <c r="F920" s="8" t="inlineStr">
        <is>
          <t>Sunnyvale, CA</t>
        </is>
      </c>
      <c r="G920" s="8" t="n"/>
      <c r="H920" s="14" t="n"/>
      <c r="I920" s="15">
        <f>IF($H920="","",$H920-TODAY())</f>
        <v/>
      </c>
      <c r="J920" s="16" t="inlineStr">
        <is>
          <t>Open posting</t>
        </is>
      </c>
      <c r="K920" s="8" t="inlineStr">
        <is>
          <t>filtered by keyword pre-scan</t>
        </is>
      </c>
      <c r="L920" s="17" t="inlineStr">
        <is>
          <t>new</t>
        </is>
      </c>
      <c r="M920" s="18" t="inlineStr"/>
      <c r="N920" s="7" t="inlineStr">
        <is>
          <t>1280eeb33d983cad39832d93916a242ad56ddca9</t>
        </is>
      </c>
      <c r="O920" s="14" t="n">
        <v>46175</v>
      </c>
      <c r="P920" s="7" t="inlineStr">
        <is>
          <t>greenhouse:cerebrassystems</t>
        </is>
      </c>
      <c r="Q920" s="8" t="inlineStr"/>
      <c r="R920" s="8" t="n"/>
      <c r="S920" s="19" t="n"/>
      <c r="T920" s="19" t="n"/>
      <c r="U920" s="14" t="n">
        <v>46189</v>
      </c>
      <c r="V920" s="7" t="inlineStr">
        <is>
          <t>v1-db41edab064373dd</t>
        </is>
      </c>
    </row>
    <row r="921" ht="28" customHeight="1">
      <c r="A921" s="12">
        <f>IF($L921="applied","Applied",IF($L921="interview","Interview",IF($L921="offer","Offer",IF($L921="rejected","Rejected",IF($L921="ignore","Ignore",IF($L921="archive","Archive",IF($L921="closed","Closed",IF($B921="","Unscored",IF(AND($B921&gt;=8,OR($H921="",$H921-TODAY()&lt;=14)),"P1 Apply",IF($B921&gt;=7,"P2 Strong",IF($B921&gt;=5,"P3 Maybe","P4 Low")))))))))))</f>
        <v/>
      </c>
      <c r="B921" s="13" t="n">
        <v>1</v>
      </c>
      <c r="C921" s="12" t="inlineStr">
        <is>
          <t>Senior/Lead</t>
        </is>
      </c>
      <c r="D921" s="8" t="inlineStr">
        <is>
          <t>Director / Senior Director, Critical Facility Operations</t>
        </is>
      </c>
      <c r="E921" s="7" t="inlineStr">
        <is>
          <t>Cerebras</t>
        </is>
      </c>
      <c r="F921" s="8" t="inlineStr">
        <is>
          <t>Sunnyvale, CA</t>
        </is>
      </c>
      <c r="G921" s="8" t="n"/>
      <c r="H921" s="14" t="n"/>
      <c r="I921" s="15">
        <f>IF($H921="","",$H921-TODAY())</f>
        <v/>
      </c>
      <c r="J921" s="16" t="inlineStr">
        <is>
          <t>Open posting</t>
        </is>
      </c>
      <c r="K921" s="8" t="inlineStr">
        <is>
          <t>filtered by keyword pre-scan</t>
        </is>
      </c>
      <c r="L921" s="17" t="inlineStr">
        <is>
          <t>new</t>
        </is>
      </c>
      <c r="M921" s="18" t="inlineStr"/>
      <c r="N921" s="7" t="inlineStr">
        <is>
          <t>de01ec1bf463d59271fa0b51315ff258144fd48b</t>
        </is>
      </c>
      <c r="O921" s="14" t="n">
        <v>46175</v>
      </c>
      <c r="P921" s="7" t="inlineStr">
        <is>
          <t>greenhouse:cerebrassystems</t>
        </is>
      </c>
      <c r="Q921" s="8" t="inlineStr"/>
      <c r="R921" s="8" t="n"/>
      <c r="S921" s="19" t="n"/>
      <c r="T921" s="19" t="n"/>
      <c r="U921" s="14" t="n">
        <v>46189</v>
      </c>
      <c r="V921" s="7" t="inlineStr">
        <is>
          <t>v1-db41edab064373dd</t>
        </is>
      </c>
    </row>
    <row r="922" ht="28" customHeight="1">
      <c r="A922" s="12">
        <f>IF($L922="applied","Applied",IF($L922="interview","Interview",IF($L922="offer","Offer",IF($L922="rejected","Rejected",IF($L922="ignore","Ignore",IF($L922="archive","Archive",IF($L922="closed","Closed",IF($B922="","Unscored",IF(AND($B922&gt;=8,OR($H922="",$H922-TODAY()&lt;=14)),"P1 Apply",IF($B922&gt;=7,"P2 Strong",IF($B922&gt;=5,"P3 Maybe","P4 Low")))))))))))</f>
        <v/>
      </c>
      <c r="B922" s="13" t="n">
        <v>1</v>
      </c>
      <c r="C922" s="12" t="inlineStr">
        <is>
          <t>Senior/Lead</t>
        </is>
      </c>
      <c r="D922" s="8" t="inlineStr">
        <is>
          <t>Director, Strategic Finance - Corporate FP&amp;A</t>
        </is>
      </c>
      <c r="E922" s="7" t="inlineStr">
        <is>
          <t>Cerebras</t>
        </is>
      </c>
      <c r="F922" s="8" t="inlineStr">
        <is>
          <t>Sunnyvale, CA</t>
        </is>
      </c>
      <c r="G922" s="8" t="n"/>
      <c r="H922" s="14" t="n"/>
      <c r="I922" s="15">
        <f>IF($H922="","",$H922-TODAY())</f>
        <v/>
      </c>
      <c r="J922" s="16" t="inlineStr">
        <is>
          <t>Open posting</t>
        </is>
      </c>
      <c r="K922" s="8" t="inlineStr">
        <is>
          <t>filtered by keyword pre-scan</t>
        </is>
      </c>
      <c r="L922" s="17" t="inlineStr">
        <is>
          <t>new</t>
        </is>
      </c>
      <c r="M922" s="18" t="inlineStr"/>
      <c r="N922" s="7" t="inlineStr">
        <is>
          <t>36a4264cda10aff9abf1e94a496cbaaf7868a80b</t>
        </is>
      </c>
      <c r="O922" s="14" t="n">
        <v>46175</v>
      </c>
      <c r="P922" s="7" t="inlineStr">
        <is>
          <t>greenhouse:cerebrassystems</t>
        </is>
      </c>
      <c r="Q922" s="8" t="inlineStr"/>
      <c r="R922" s="8" t="n"/>
      <c r="S922" s="19" t="n"/>
      <c r="T922" s="19" t="n"/>
      <c r="U922" s="14" t="n">
        <v>46189</v>
      </c>
      <c r="V922" s="7" t="inlineStr">
        <is>
          <t>v1-db41edab064373dd</t>
        </is>
      </c>
    </row>
    <row r="923" ht="28" customHeight="1">
      <c r="A923" s="12">
        <f>IF($L923="applied","Applied",IF($L923="interview","Interview",IF($L923="offer","Offer",IF($L923="rejected","Rejected",IF($L923="ignore","Ignore",IF($L923="archive","Archive",IF($L923="closed","Closed",IF($B923="","Unscored",IF(AND($B923&gt;=8,OR($H923="",$H923-TODAY()&lt;=14)),"P1 Apply",IF($B923&gt;=7,"P2 Strong",IF($B923&gt;=5,"P3 Maybe","P4 Low")))))))))))</f>
        <v/>
      </c>
      <c r="B923" s="13" t="n">
        <v>1</v>
      </c>
      <c r="C923" s="12" t="inlineStr">
        <is>
          <t>Senior/Lead</t>
        </is>
      </c>
      <c r="D923" s="8" t="inlineStr">
        <is>
          <t>Distributed Systems Cluster Security Software – Engineering Lead</t>
        </is>
      </c>
      <c r="E923" s="7" t="inlineStr">
        <is>
          <t>Cerebras</t>
        </is>
      </c>
      <c r="F923" s="8" t="inlineStr">
        <is>
          <t>Sunnyvale, CA</t>
        </is>
      </c>
      <c r="G923" s="8" t="n"/>
      <c r="H923" s="14" t="n"/>
      <c r="I923" s="15">
        <f>IF($H923="","",$H923-TODAY())</f>
        <v/>
      </c>
      <c r="J923" s="16" t="inlineStr">
        <is>
          <t>Open posting</t>
        </is>
      </c>
      <c r="K923" s="8" t="inlineStr">
        <is>
          <t>filtered by keyword pre-scan</t>
        </is>
      </c>
      <c r="L923" s="17" t="inlineStr">
        <is>
          <t>new</t>
        </is>
      </c>
      <c r="M923" s="18" t="inlineStr"/>
      <c r="N923" s="7" t="inlineStr">
        <is>
          <t>7e8c0d3c9209998f92576984a0e4571991e1031d</t>
        </is>
      </c>
      <c r="O923" s="14" t="n">
        <v>46175</v>
      </c>
      <c r="P923" s="7" t="inlineStr">
        <is>
          <t>greenhouse:cerebrassystems</t>
        </is>
      </c>
      <c r="Q923" s="8" t="inlineStr"/>
      <c r="R923" s="8" t="n"/>
      <c r="S923" s="19" t="n"/>
      <c r="T923" s="19" t="n"/>
      <c r="U923" s="14" t="n">
        <v>46189</v>
      </c>
      <c r="V923" s="7" t="inlineStr">
        <is>
          <t>v1-db41edab064373dd</t>
        </is>
      </c>
    </row>
    <row r="924" ht="28" customHeight="1">
      <c r="A924" s="12">
        <f>IF($L924="applied","Applied",IF($L924="interview","Interview",IF($L924="offer","Offer",IF($L924="rejected","Rejected",IF($L924="ignore","Ignore",IF($L924="archive","Archive",IF($L924="closed","Closed",IF($B924="","Unscored",IF(AND($B924&gt;=8,OR($H924="",$H924-TODAY()&lt;=14)),"P1 Apply",IF($B924&gt;=7,"P2 Strong",IF($B924&gt;=5,"P3 Maybe","P4 Low")))))))))))</f>
        <v/>
      </c>
      <c r="B924" s="13" t="n">
        <v>1</v>
      </c>
      <c r="C924" s="12" t="inlineStr">
        <is>
          <t>Senior/Lead</t>
        </is>
      </c>
      <c r="D924" s="8" t="inlineStr">
        <is>
          <t>Head of IT</t>
        </is>
      </c>
      <c r="E924" s="7" t="inlineStr">
        <is>
          <t>Cerebras</t>
        </is>
      </c>
      <c r="F924" s="8" t="inlineStr">
        <is>
          <t>Sunnyvale, CA</t>
        </is>
      </c>
      <c r="G924" s="8" t="n"/>
      <c r="H924" s="14" t="n"/>
      <c r="I924" s="15">
        <f>IF($H924="","",$H924-TODAY())</f>
        <v/>
      </c>
      <c r="J924" s="16" t="inlineStr">
        <is>
          <t>Open posting</t>
        </is>
      </c>
      <c r="K924" s="8" t="inlineStr">
        <is>
          <t>filtered by keyword pre-scan</t>
        </is>
      </c>
      <c r="L924" s="17" t="inlineStr">
        <is>
          <t>new</t>
        </is>
      </c>
      <c r="M924" s="18" t="inlineStr"/>
      <c r="N924" s="7" t="inlineStr">
        <is>
          <t>84bc707039c49770491273ebfc9fde898bd09839</t>
        </is>
      </c>
      <c r="O924" s="14" t="n">
        <v>46175</v>
      </c>
      <c r="P924" s="7" t="inlineStr">
        <is>
          <t>greenhouse:cerebrassystems</t>
        </is>
      </c>
      <c r="Q924" s="8" t="inlineStr"/>
      <c r="R924" s="8" t="n"/>
      <c r="S924" s="19" t="n"/>
      <c r="T924" s="19" t="n"/>
      <c r="U924" s="14" t="n">
        <v>46189</v>
      </c>
      <c r="V924" s="7" t="inlineStr">
        <is>
          <t>v1-db41edab064373dd</t>
        </is>
      </c>
    </row>
    <row r="925" ht="28" customHeight="1">
      <c r="A925" s="12">
        <f>IF($L925="applied","Applied",IF($L925="interview","Interview",IF($L925="offer","Offer",IF($L925="rejected","Rejected",IF($L925="ignore","Ignore",IF($L925="archive","Archive",IF($L925="closed","Closed",IF($B925="","Unscored",IF(AND($B925&gt;=8,OR($H925="",$H925-TODAY()&lt;=14)),"P1 Apply",IF($B925&gt;=7,"P2 Strong",IF($B925&gt;=5,"P3 Maybe","P4 Low")))))))))))</f>
        <v/>
      </c>
      <c r="B925" s="13" t="n">
        <v>1</v>
      </c>
      <c r="C925" s="12" t="inlineStr">
        <is>
          <t>Senior/Lead</t>
        </is>
      </c>
      <c r="D925" s="8" t="inlineStr">
        <is>
          <t>IT SRE Team Lead</t>
        </is>
      </c>
      <c r="E925" s="7" t="inlineStr">
        <is>
          <t>Cerebras</t>
        </is>
      </c>
      <c r="F925" s="8" t="inlineStr">
        <is>
          <t>Sunnyvale, CA</t>
        </is>
      </c>
      <c r="G925" s="8" t="n"/>
      <c r="H925" s="14" t="n"/>
      <c r="I925" s="15">
        <f>IF($H925="","",$H925-TODAY())</f>
        <v/>
      </c>
      <c r="J925" s="16" t="inlineStr">
        <is>
          <t>Open posting</t>
        </is>
      </c>
      <c r="K925" s="8" t="inlineStr">
        <is>
          <t>filtered by keyword pre-scan</t>
        </is>
      </c>
      <c r="L925" s="17" t="inlineStr">
        <is>
          <t>new</t>
        </is>
      </c>
      <c r="M925" s="18" t="inlineStr"/>
      <c r="N925" s="7" t="inlineStr">
        <is>
          <t>c4e928ed94957e7bd407a64d213024bd3070a0a7</t>
        </is>
      </c>
      <c r="O925" s="14" t="n">
        <v>46175</v>
      </c>
      <c r="P925" s="7" t="inlineStr">
        <is>
          <t>greenhouse:cerebrassystems</t>
        </is>
      </c>
      <c r="Q925" s="8" t="inlineStr"/>
      <c r="R925" s="8" t="n"/>
      <c r="S925" s="19" t="n"/>
      <c r="T925" s="19" t="n"/>
      <c r="U925" s="14" t="n">
        <v>46189</v>
      </c>
      <c r="V925" s="7" t="inlineStr">
        <is>
          <t>v1-db41edab064373dd</t>
        </is>
      </c>
    </row>
    <row r="926" ht="28" customHeight="1">
      <c r="A926" s="12">
        <f>IF($L926="applied","Applied",IF($L926="interview","Interview",IF($L926="offer","Offer",IF($L926="rejected","Rejected",IF($L926="ignore","Ignore",IF($L926="archive","Archive",IF($L926="closed","Closed",IF($B926="","Unscored",IF(AND($B926&gt;=8,OR($H926="",$H926-TODAY()&lt;=14)),"P1 Apply",IF($B926&gt;=7,"P2 Strong",IF($B926&gt;=5,"P3 Maybe","P4 Low")))))))))))</f>
        <v/>
      </c>
      <c r="B926" s="13" t="n">
        <v>1</v>
      </c>
      <c r="C926" s="12" t="inlineStr">
        <is>
          <t>Senior/Lead</t>
        </is>
      </c>
      <c r="D926" s="8" t="inlineStr">
        <is>
          <t>Lead Full Stack Machine Learning Engineer</t>
        </is>
      </c>
      <c r="E926" s="7" t="inlineStr">
        <is>
          <t>Cerebras</t>
        </is>
      </c>
      <c r="F926" s="8" t="inlineStr">
        <is>
          <t>Bengaluru, Karnataka, India</t>
        </is>
      </c>
      <c r="G926" s="8" t="n"/>
      <c r="H926" s="14" t="n"/>
      <c r="I926" s="15">
        <f>IF($H926="","",$H926-TODAY())</f>
        <v/>
      </c>
      <c r="J926" s="16" t="inlineStr">
        <is>
          <t>Open posting</t>
        </is>
      </c>
      <c r="K926" s="8" t="inlineStr">
        <is>
          <t>filtered by keyword pre-scan</t>
        </is>
      </c>
      <c r="L926" s="17" t="inlineStr">
        <is>
          <t>new</t>
        </is>
      </c>
      <c r="M926" s="18" t="inlineStr"/>
      <c r="N926" s="7" t="inlineStr">
        <is>
          <t>61534f523e3f8f2182d3f57bdcc47e8d8cf97a59</t>
        </is>
      </c>
      <c r="O926" s="14" t="n">
        <v>46183</v>
      </c>
      <c r="P926" s="7" t="inlineStr">
        <is>
          <t>greenhouse:cerebrassystems</t>
        </is>
      </c>
      <c r="Q926" s="8" t="inlineStr"/>
      <c r="R926" s="8" t="n"/>
      <c r="S926" s="19" t="n"/>
      <c r="T926" s="19" t="n"/>
      <c r="U926" s="14" t="n">
        <v>46189</v>
      </c>
      <c r="V926" s="7" t="inlineStr">
        <is>
          <t>v1-db41edab064373dd</t>
        </is>
      </c>
    </row>
    <row r="927" ht="28" customHeight="1">
      <c r="A927" s="12">
        <f>IF($L927="applied","Applied",IF($L927="interview","Interview",IF($L927="offer","Offer",IF($L927="rejected","Rejected",IF($L927="ignore","Ignore",IF($L927="archive","Archive",IF($L927="closed","Closed",IF($B927="","Unscored",IF(AND($B927&gt;=8,OR($H927="",$H927-TODAY()&lt;=14)),"P1 Apply",IF($B927&gt;=7,"P2 Strong",IF($B927&gt;=5,"P3 Maybe","P4 Low")))))))))))</f>
        <v/>
      </c>
      <c r="B927" s="13" t="n">
        <v>1</v>
      </c>
      <c r="C927" s="12" t="inlineStr">
        <is>
          <t>Senior/Lead</t>
        </is>
      </c>
      <c r="D927" s="8" t="inlineStr">
        <is>
          <t>Lead RTL Design Engineer</t>
        </is>
      </c>
      <c r="E927" s="7" t="inlineStr">
        <is>
          <t>Cerebras</t>
        </is>
      </c>
      <c r="F927" s="8" t="inlineStr">
        <is>
          <t>Sunnyvale, CA</t>
        </is>
      </c>
      <c r="G927" s="8" t="n"/>
      <c r="H927" s="14" t="n"/>
      <c r="I927" s="15">
        <f>IF($H927="","",$H927-TODAY())</f>
        <v/>
      </c>
      <c r="J927" s="16" t="inlineStr">
        <is>
          <t>Open posting</t>
        </is>
      </c>
      <c r="K927" s="8" t="inlineStr">
        <is>
          <t>filtered by keyword pre-scan</t>
        </is>
      </c>
      <c r="L927" s="17" t="inlineStr">
        <is>
          <t>new</t>
        </is>
      </c>
      <c r="M927" s="18" t="inlineStr"/>
      <c r="N927" s="7" t="inlineStr">
        <is>
          <t>d653b516e5f2360e6de3bea44282d98ebc582a71</t>
        </is>
      </c>
      <c r="O927" s="14" t="n">
        <v>46175</v>
      </c>
      <c r="P927" s="7" t="inlineStr">
        <is>
          <t>greenhouse:cerebrassystems</t>
        </is>
      </c>
      <c r="Q927" s="8" t="inlineStr"/>
      <c r="R927" s="8" t="n"/>
      <c r="S927" s="19" t="n"/>
      <c r="T927" s="19" t="n"/>
      <c r="U927" s="14" t="n">
        <v>46189</v>
      </c>
      <c r="V927" s="7" t="inlineStr">
        <is>
          <t>v1-db41edab064373dd</t>
        </is>
      </c>
    </row>
    <row r="928" ht="28" customHeight="1">
      <c r="A928" s="12">
        <f>IF($L928="applied","Applied",IF($L928="interview","Interview",IF($L928="offer","Offer",IF($L928="rejected","Rejected",IF($L928="ignore","Ignore",IF($L928="archive","Archive",IF($L928="closed","Closed",IF($B928="","Unscored",IF(AND($B928&gt;=8,OR($H928="",$H928-TODAY()&lt;=14)),"P1 Apply",IF($B928&gt;=7,"P2 Strong",IF($B928&gt;=5,"P3 Maybe","P4 Low")))))))))))</f>
        <v/>
      </c>
      <c r="B928" s="13" t="n">
        <v>1</v>
      </c>
      <c r="C928" s="12" t="inlineStr">
        <is>
          <t>Senior/Lead</t>
        </is>
      </c>
      <c r="D928" s="8" t="inlineStr">
        <is>
          <t>Member of Technical Staff (Software Engineer)</t>
        </is>
      </c>
      <c r="E928" s="7" t="inlineStr">
        <is>
          <t>Cerebras</t>
        </is>
      </c>
      <c r="F928" s="8" t="inlineStr">
        <is>
          <t>Sunnyvale, CA</t>
        </is>
      </c>
      <c r="G928" s="8" t="n"/>
      <c r="H928" s="14" t="n"/>
      <c r="I928" s="15">
        <f>IF($H928="","",$H928-TODAY())</f>
        <v/>
      </c>
      <c r="J928" s="16" t="inlineStr">
        <is>
          <t>Open posting</t>
        </is>
      </c>
      <c r="K928" s="8" t="inlineStr">
        <is>
          <t>filtered by keyword pre-scan</t>
        </is>
      </c>
      <c r="L928" s="17" t="inlineStr">
        <is>
          <t>new</t>
        </is>
      </c>
      <c r="M928" s="18" t="inlineStr"/>
      <c r="N928" s="7" t="inlineStr">
        <is>
          <t>bba5d99b9c2bcba753ef3eacd5db2ab5c7e29ba9</t>
        </is>
      </c>
      <c r="O928" s="14" t="n">
        <v>46175</v>
      </c>
      <c r="P928" s="7" t="inlineStr">
        <is>
          <t>greenhouse:cerebrassystems</t>
        </is>
      </c>
      <c r="Q928" s="8" t="inlineStr"/>
      <c r="R928" s="8" t="n"/>
      <c r="S928" s="19" t="n"/>
      <c r="T928" s="19" t="n"/>
      <c r="U928" s="14" t="n">
        <v>46189</v>
      </c>
      <c r="V928" s="7" t="inlineStr">
        <is>
          <t>v1-db41edab064373dd</t>
        </is>
      </c>
    </row>
    <row r="929" ht="28" customHeight="1">
      <c r="A929" s="12">
        <f>IF($L929="applied","Applied",IF($L929="interview","Interview",IF($L929="offer","Offer",IF($L929="rejected","Rejected",IF($L929="ignore","Ignore",IF($L929="archive","Archive",IF($L929="closed","Closed",IF($B929="","Unscored",IF(AND($B929&gt;=8,OR($H929="",$H929-TODAY()&lt;=14)),"P1 Apply",IF($B929&gt;=7,"P2 Strong",IF($B929&gt;=5,"P3 Maybe","P4 Low")))))))))))</f>
        <v/>
      </c>
      <c r="B929" s="13" t="n">
        <v>1</v>
      </c>
      <c r="C929" s="12" t="inlineStr">
        <is>
          <t>Senior/Lead</t>
        </is>
      </c>
      <c r="D929" s="8" t="inlineStr">
        <is>
          <t>Principal Engineer, AI Inference Reliability</t>
        </is>
      </c>
      <c r="E929" s="7" t="inlineStr">
        <is>
          <t>Cerebras</t>
        </is>
      </c>
      <c r="F929" s="8" t="inlineStr">
        <is>
          <t>Remote, California, United States; Sunnyvale CA or Toronto Canada</t>
        </is>
      </c>
      <c r="G929" s="8" t="n"/>
      <c r="H929" s="14" t="n"/>
      <c r="I929" s="15">
        <f>IF($H929="","",$H929-TODAY())</f>
        <v/>
      </c>
      <c r="J929" s="16" t="inlineStr">
        <is>
          <t>Open posting</t>
        </is>
      </c>
      <c r="K929" s="8" t="inlineStr">
        <is>
          <t>filtered by keyword pre-scan</t>
        </is>
      </c>
      <c r="L929" s="17" t="inlineStr">
        <is>
          <t>new</t>
        </is>
      </c>
      <c r="M929" s="18" t="inlineStr"/>
      <c r="N929" s="7" t="inlineStr">
        <is>
          <t>d9eeeedb7c9eaacb6c1b2ab91551a2520e9b4644</t>
        </is>
      </c>
      <c r="O929" s="14" t="n">
        <v>46175</v>
      </c>
      <c r="P929" s="7" t="inlineStr">
        <is>
          <t>greenhouse:cerebrassystems</t>
        </is>
      </c>
      <c r="Q929" s="8" t="inlineStr"/>
      <c r="R929" s="8" t="n"/>
      <c r="S929" s="19" t="n"/>
      <c r="T929" s="19" t="n"/>
      <c r="U929" s="14" t="n">
        <v>46189</v>
      </c>
      <c r="V929" s="7" t="inlineStr">
        <is>
          <t>v1-db41edab064373dd</t>
        </is>
      </c>
    </row>
    <row r="930" ht="28" customHeight="1">
      <c r="A930" s="12">
        <f>IF($L930="applied","Applied",IF($L930="interview","Interview",IF($L930="offer","Offer",IF($L930="rejected","Rejected",IF($L930="ignore","Ignore",IF($L930="archive","Archive",IF($L930="closed","Closed",IF($B930="","Unscored",IF(AND($B930&gt;=8,OR($H930="",$H930-TODAY()&lt;=14)),"P1 Apply",IF($B930&gt;=7,"P2 Strong",IF($B930&gt;=5,"P3 Maybe","P4 Low")))))))))))</f>
        <v/>
      </c>
      <c r="B930" s="13" t="n">
        <v>1</v>
      </c>
      <c r="C930" s="12" t="inlineStr">
        <is>
          <t>Senior/Lead</t>
        </is>
      </c>
      <c r="D930" s="8" t="inlineStr">
        <is>
          <t>Principal Engineer, Inference Cloud</t>
        </is>
      </c>
      <c r="E930" s="7" t="inlineStr">
        <is>
          <t>Cerebras</t>
        </is>
      </c>
      <c r="F930" s="8" t="inlineStr">
        <is>
          <t>Sunnyvale, CA</t>
        </is>
      </c>
      <c r="G930" s="8" t="n"/>
      <c r="H930" s="14" t="n"/>
      <c r="I930" s="15">
        <f>IF($H930="","",$H930-TODAY())</f>
        <v/>
      </c>
      <c r="J930" s="16" t="inlineStr">
        <is>
          <t>Open posting</t>
        </is>
      </c>
      <c r="K930" s="8" t="inlineStr">
        <is>
          <t>filtered by keyword pre-scan</t>
        </is>
      </c>
      <c r="L930" s="17" t="inlineStr">
        <is>
          <t>new</t>
        </is>
      </c>
      <c r="M930" s="18" t="inlineStr"/>
      <c r="N930" s="7" t="inlineStr">
        <is>
          <t>770d3b2834a9c897a6246d20b22d0253244133e9</t>
        </is>
      </c>
      <c r="O930" s="14" t="n">
        <v>46175</v>
      </c>
      <c r="P930" s="7" t="inlineStr">
        <is>
          <t>greenhouse:cerebrassystems</t>
        </is>
      </c>
      <c r="Q930" s="8" t="inlineStr"/>
      <c r="R930" s="8" t="n"/>
      <c r="S930" s="19" t="n"/>
      <c r="T930" s="19" t="n"/>
      <c r="U930" s="14" t="n">
        <v>46189</v>
      </c>
      <c r="V930" s="7" t="inlineStr">
        <is>
          <t>v1-db41edab064373dd</t>
        </is>
      </c>
    </row>
    <row r="931" ht="28" customHeight="1">
      <c r="A931" s="12">
        <f>IF($L931="applied","Applied",IF($L931="interview","Interview",IF($L931="offer","Offer",IF($L931="rejected","Rejected",IF($L931="ignore","Ignore",IF($L931="archive","Archive",IF($L931="closed","Closed",IF($B931="","Unscored",IF(AND($B931&gt;=8,OR($H931="",$H931-TODAY()&lt;=14)),"P1 Apply",IF($B931&gt;=7,"P2 Strong",IF($B931&gt;=5,"P3 Maybe","P4 Low")))))))))))</f>
        <v/>
      </c>
      <c r="B931" s="13" t="n">
        <v>1</v>
      </c>
      <c r="C931" s="12" t="inlineStr">
        <is>
          <t>Senior/Lead</t>
        </is>
      </c>
      <c r="D931" s="8" t="inlineStr">
        <is>
          <t>Principal ML Investigator</t>
        </is>
      </c>
      <c r="E931" s="7" t="inlineStr">
        <is>
          <t>Cerebras</t>
        </is>
      </c>
      <c r="F931" s="8" t="inlineStr">
        <is>
          <t>Sunnyvale, CA</t>
        </is>
      </c>
      <c r="G931" s="8" t="n"/>
      <c r="H931" s="14" t="n"/>
      <c r="I931" s="15">
        <f>IF($H931="","",$H931-TODAY())</f>
        <v/>
      </c>
      <c r="J931" s="16" t="inlineStr">
        <is>
          <t>Open posting</t>
        </is>
      </c>
      <c r="K931" s="8" t="inlineStr">
        <is>
          <t>filtered by keyword pre-scan</t>
        </is>
      </c>
      <c r="L931" s="17" t="inlineStr">
        <is>
          <t>new</t>
        </is>
      </c>
      <c r="M931" s="18" t="inlineStr"/>
      <c r="N931" s="7" t="inlineStr">
        <is>
          <t>6caacc80c6987d62423d0a32630c980b551184c8</t>
        </is>
      </c>
      <c r="O931" s="14" t="n">
        <v>46175</v>
      </c>
      <c r="P931" s="7" t="inlineStr">
        <is>
          <t>greenhouse:cerebrassystems</t>
        </is>
      </c>
      <c r="Q931" s="8" t="inlineStr"/>
      <c r="R931" s="8" t="n"/>
      <c r="S931" s="19" t="n"/>
      <c r="T931" s="19" t="n"/>
      <c r="U931" s="14" t="n">
        <v>46189</v>
      </c>
      <c r="V931" s="7" t="inlineStr">
        <is>
          <t>v1-db41edab064373dd</t>
        </is>
      </c>
    </row>
    <row r="932" ht="28" customHeight="1">
      <c r="A932" s="12">
        <f>IF($L932="applied","Applied",IF($L932="interview","Interview",IF($L932="offer","Offer",IF($L932="rejected","Rejected",IF($L932="ignore","Ignore",IF($L932="archive","Archive",IF($L932="closed","Closed",IF($B932="","Unscored",IF(AND($B932&gt;=8,OR($H932="",$H932-TODAY()&lt;=14)),"P1 Apply",IF($B932&gt;=7,"P2 Strong",IF($B932&gt;=5,"P3 Maybe","P4 Low")))))))))))</f>
        <v/>
      </c>
      <c r="B932" s="13" t="n">
        <v>1</v>
      </c>
      <c r="C932" s="12" t="inlineStr">
        <is>
          <t>Senior/Lead</t>
        </is>
      </c>
      <c r="D932" s="8" t="inlineStr">
        <is>
          <t>QA Lead (ML Integration and Quality)</t>
        </is>
      </c>
      <c r="E932" s="7" t="inlineStr">
        <is>
          <t>Cerebras</t>
        </is>
      </c>
      <c r="F932" s="8" t="inlineStr">
        <is>
          <t>Bengaluru, Karnataka, India</t>
        </is>
      </c>
      <c r="G932" s="8" t="n"/>
      <c r="H932" s="14" t="n"/>
      <c r="I932" s="15">
        <f>IF($H932="","",$H932-TODAY())</f>
        <v/>
      </c>
      <c r="J932" s="16" t="inlineStr">
        <is>
          <t>Open posting</t>
        </is>
      </c>
      <c r="K932" s="8" t="inlineStr">
        <is>
          <t>filtered by keyword pre-scan</t>
        </is>
      </c>
      <c r="L932" s="17" t="inlineStr">
        <is>
          <t>new</t>
        </is>
      </c>
      <c r="M932" s="18" t="inlineStr"/>
      <c r="N932" s="7" t="inlineStr">
        <is>
          <t>14694b3edbf7bb73adb3d4497d480037d8f2101a</t>
        </is>
      </c>
      <c r="O932" s="14" t="n">
        <v>46175</v>
      </c>
      <c r="P932" s="7" t="inlineStr">
        <is>
          <t>greenhouse:cerebrassystems</t>
        </is>
      </c>
      <c r="Q932" s="8" t="inlineStr"/>
      <c r="R932" s="8" t="n"/>
      <c r="S932" s="19" t="n"/>
      <c r="T932" s="19" t="n"/>
      <c r="U932" s="14" t="n">
        <v>46189</v>
      </c>
      <c r="V932" s="7" t="inlineStr">
        <is>
          <t>v1-db41edab064373dd</t>
        </is>
      </c>
    </row>
    <row r="933" ht="28" customHeight="1">
      <c r="A933" s="12">
        <f>IF($L933="applied","Applied",IF($L933="interview","Interview",IF($L933="offer","Offer",IF($L933="rejected","Rejected",IF($L933="ignore","Ignore",IF($L933="archive","Archive",IF($L933="closed","Closed",IF($B933="","Unscored",IF(AND($B933&gt;=8,OR($H933="",$H933-TODAY()&lt;=14)),"P1 Apply",IF($B933&gt;=7,"P2 Strong",IF($B933&gt;=5,"P3 Maybe","P4 Low")))))))))))</f>
        <v/>
      </c>
      <c r="B933" s="13" t="n">
        <v>1</v>
      </c>
      <c r="C933" s="12" t="inlineStr">
        <is>
          <t>Senior/Lead</t>
        </is>
      </c>
      <c r="D933" s="8" t="inlineStr">
        <is>
          <t>Senior Accountant</t>
        </is>
      </c>
      <c r="E933" s="7" t="inlineStr">
        <is>
          <t>Cerebras</t>
        </is>
      </c>
      <c r="F933" s="8" t="inlineStr">
        <is>
          <t>Sunnyvale, CA</t>
        </is>
      </c>
      <c r="G933" s="8" t="n"/>
      <c r="H933" s="14" t="n"/>
      <c r="I933" s="15">
        <f>IF($H933="","",$H933-TODAY())</f>
        <v/>
      </c>
      <c r="J933" s="16" t="inlineStr">
        <is>
          <t>Open posting</t>
        </is>
      </c>
      <c r="K933" s="8" t="inlineStr">
        <is>
          <t>filtered by keyword pre-scan</t>
        </is>
      </c>
      <c r="L933" s="17" t="inlineStr">
        <is>
          <t>new</t>
        </is>
      </c>
      <c r="M933" s="18" t="inlineStr"/>
      <c r="N933" s="7" t="inlineStr">
        <is>
          <t>d59654c0b7d38c7f1bb985050eeb988b5f1532ca</t>
        </is>
      </c>
      <c r="O933" s="14" t="n">
        <v>46175</v>
      </c>
      <c r="P933" s="7" t="inlineStr">
        <is>
          <t>greenhouse:cerebrassystems</t>
        </is>
      </c>
      <c r="Q933" s="8" t="inlineStr"/>
      <c r="R933" s="8" t="n"/>
      <c r="S933" s="19" t="n"/>
      <c r="T933" s="19" t="n"/>
      <c r="U933" s="14" t="n">
        <v>46189</v>
      </c>
      <c r="V933" s="7" t="inlineStr">
        <is>
          <t>v1-db41edab064373dd</t>
        </is>
      </c>
    </row>
    <row r="934" ht="28" customHeight="1">
      <c r="A934" s="12">
        <f>IF($L934="applied","Applied",IF($L934="interview","Interview",IF($L934="offer","Offer",IF($L934="rejected","Rejected",IF($L934="ignore","Ignore",IF($L934="archive","Archive",IF($L934="closed","Closed",IF($B934="","Unscored",IF(AND($B934&gt;=8,OR($H934="",$H934-TODAY()&lt;=14)),"P1 Apply",IF($B934&gt;=7,"P2 Strong",IF($B934&gt;=5,"P3 Maybe","P4 Low")))))))))))</f>
        <v/>
      </c>
      <c r="B934" s="13" t="n">
        <v>1</v>
      </c>
      <c r="C934" s="12" t="inlineStr">
        <is>
          <t>Senior/Lead</t>
        </is>
      </c>
      <c r="D934" s="8" t="inlineStr">
        <is>
          <t>Senior Cost Accounting Manager</t>
        </is>
      </c>
      <c r="E934" s="7" t="inlineStr">
        <is>
          <t>Cerebras</t>
        </is>
      </c>
      <c r="F934" s="8" t="inlineStr">
        <is>
          <t>Sunnyvale, CA</t>
        </is>
      </c>
      <c r="G934" s="8" t="n"/>
      <c r="H934" s="14" t="n"/>
      <c r="I934" s="15">
        <f>IF($H934="","",$H934-TODAY())</f>
        <v/>
      </c>
      <c r="J934" s="16" t="inlineStr">
        <is>
          <t>Open posting</t>
        </is>
      </c>
      <c r="K934" s="8" t="inlineStr">
        <is>
          <t>filtered by keyword pre-scan</t>
        </is>
      </c>
      <c r="L934" s="17" t="inlineStr">
        <is>
          <t>new</t>
        </is>
      </c>
      <c r="M934" s="18" t="inlineStr"/>
      <c r="N934" s="7" t="inlineStr">
        <is>
          <t>61e0c2edb92713d2ec603e32c779c2fead449a7a</t>
        </is>
      </c>
      <c r="O934" s="14" t="n">
        <v>46175</v>
      </c>
      <c r="P934" s="7" t="inlineStr">
        <is>
          <t>greenhouse:cerebrassystems</t>
        </is>
      </c>
      <c r="Q934" s="8" t="inlineStr"/>
      <c r="R934" s="8" t="n"/>
      <c r="S934" s="19" t="n"/>
      <c r="T934" s="19" t="n"/>
      <c r="U934" s="14" t="n">
        <v>46189</v>
      </c>
      <c r="V934" s="7" t="inlineStr">
        <is>
          <t>v1-db41edab064373dd</t>
        </is>
      </c>
    </row>
    <row r="935" ht="28" customHeight="1">
      <c r="A935" s="12">
        <f>IF($L935="applied","Applied",IF($L935="interview","Interview",IF($L935="offer","Offer",IF($L935="rejected","Rejected",IF($L935="ignore","Ignore",IF($L935="archive","Archive",IF($L935="closed","Closed",IF($B935="","Unscored",IF(AND($B935&gt;=8,OR($H935="",$H935-TODAY()&lt;=14)),"P1 Apply",IF($B935&gt;=7,"P2 Strong",IF($B935&gt;=5,"P3 Maybe","P4 Low")))))))))))</f>
        <v/>
      </c>
      <c r="B935" s="13" t="n">
        <v>1</v>
      </c>
      <c r="C935" s="12" t="inlineStr">
        <is>
          <t>Senior/Lead</t>
        </is>
      </c>
      <c r="D935" s="8" t="inlineStr">
        <is>
          <t>Senior Front End Design Engineer (Microarchitecture)</t>
        </is>
      </c>
      <c r="E935" s="7" t="inlineStr">
        <is>
          <t>Cerebras</t>
        </is>
      </c>
      <c r="F935" s="8" t="inlineStr">
        <is>
          <t>Sunnyvale, CA</t>
        </is>
      </c>
      <c r="G935" s="8" t="n"/>
      <c r="H935" s="14" t="n"/>
      <c r="I935" s="15">
        <f>IF($H935="","",$H935-TODAY())</f>
        <v/>
      </c>
      <c r="J935" s="16" t="inlineStr">
        <is>
          <t>Open posting</t>
        </is>
      </c>
      <c r="K935" s="8" t="inlineStr">
        <is>
          <t>filtered by keyword pre-scan</t>
        </is>
      </c>
      <c r="L935" s="17" t="inlineStr">
        <is>
          <t>new</t>
        </is>
      </c>
      <c r="M935" s="18" t="inlineStr"/>
      <c r="N935" s="7" t="inlineStr">
        <is>
          <t>bb974f3a0ac9876632b9e27a014ff9a07cbaafa1</t>
        </is>
      </c>
      <c r="O935" s="14" t="n">
        <v>46181</v>
      </c>
      <c r="P935" s="7" t="inlineStr">
        <is>
          <t>greenhouse:cerebrassystems</t>
        </is>
      </c>
      <c r="Q935" s="8" t="inlineStr"/>
      <c r="R935" s="8" t="n"/>
      <c r="S935" s="19" t="n"/>
      <c r="T935" s="19" t="n"/>
      <c r="U935" s="14" t="n">
        <v>46189</v>
      </c>
      <c r="V935" s="7" t="inlineStr">
        <is>
          <t>v1-db41edab064373dd</t>
        </is>
      </c>
    </row>
    <row r="936" ht="28" customHeight="1">
      <c r="A936" s="12">
        <f>IF($L936="applied","Applied",IF($L936="interview","Interview",IF($L936="offer","Offer",IF($L936="rejected","Rejected",IF($L936="ignore","Ignore",IF($L936="archive","Archive",IF($L936="closed","Closed",IF($B936="","Unscored",IF(AND($B936&gt;=8,OR($H936="",$H936-TODAY()&lt;=14)),"P1 Apply",IF($B936&gt;=7,"P2 Strong",IF($B936&gt;=5,"P3 Maybe","P4 Low")))))))))))</f>
        <v/>
      </c>
      <c r="B936" s="13" t="n">
        <v>1</v>
      </c>
      <c r="C936" s="12" t="inlineStr">
        <is>
          <t>Senior/Lead</t>
        </is>
      </c>
      <c r="D936" s="8" t="inlineStr">
        <is>
          <t>Senior GL Accountant</t>
        </is>
      </c>
      <c r="E936" s="7" t="inlineStr">
        <is>
          <t>Cerebras</t>
        </is>
      </c>
      <c r="F936" s="8" t="inlineStr">
        <is>
          <t>Sunnyvale, CA</t>
        </is>
      </c>
      <c r="G936" s="8" t="n"/>
      <c r="H936" s="14" t="n"/>
      <c r="I936" s="15">
        <f>IF($H936="","",$H936-TODAY())</f>
        <v/>
      </c>
      <c r="J936" s="16" t="inlineStr">
        <is>
          <t>Open posting</t>
        </is>
      </c>
      <c r="K936" s="8" t="inlineStr">
        <is>
          <t>filtered by keyword pre-scan</t>
        </is>
      </c>
      <c r="L936" s="17" t="inlineStr">
        <is>
          <t>new</t>
        </is>
      </c>
      <c r="M936" s="18" t="inlineStr"/>
      <c r="N936" s="7" t="inlineStr">
        <is>
          <t>032f69ded5eb530ac9681781cfb89053ad7b8e29</t>
        </is>
      </c>
      <c r="O936" s="14" t="n">
        <v>46175</v>
      </c>
      <c r="P936" s="7" t="inlineStr">
        <is>
          <t>greenhouse:cerebrassystems</t>
        </is>
      </c>
      <c r="Q936" s="8" t="inlineStr"/>
      <c r="R936" s="8" t="n"/>
      <c r="S936" s="19" t="n"/>
      <c r="T936" s="19" t="n"/>
      <c r="U936" s="14" t="n">
        <v>46189</v>
      </c>
      <c r="V936" s="7" t="inlineStr">
        <is>
          <t>v1-db41edab064373dd</t>
        </is>
      </c>
    </row>
    <row r="937" ht="28" customHeight="1">
      <c r="A937" s="12">
        <f>IF($L937="applied","Applied",IF($L937="interview","Interview",IF($L937="offer","Offer",IF($L937="rejected","Rejected",IF($L937="ignore","Ignore",IF($L937="archive","Archive",IF($L937="closed","Closed",IF($B937="","Unscored",IF(AND($B937&gt;=8,OR($H937="",$H937-TODAY()&lt;=14)),"P1 Apply",IF($B937&gt;=7,"P2 Strong",IF($B937&gt;=5,"P3 Maybe","P4 Low")))))))))))</f>
        <v/>
      </c>
      <c r="B937" s="13" t="n">
        <v>1</v>
      </c>
      <c r="C937" s="12" t="inlineStr">
        <is>
          <t>Senior/Lead</t>
        </is>
      </c>
      <c r="D937" s="8" t="inlineStr">
        <is>
          <t>Senior Hardware Technical Program Manager</t>
        </is>
      </c>
      <c r="E937" s="7" t="inlineStr">
        <is>
          <t>Cerebras</t>
        </is>
      </c>
      <c r="F937" s="8" t="inlineStr">
        <is>
          <t>Sunnyvale, CA</t>
        </is>
      </c>
      <c r="G937" s="8" t="n"/>
      <c r="H937" s="14" t="n"/>
      <c r="I937" s="15">
        <f>IF($H937="","",$H937-TODAY())</f>
        <v/>
      </c>
      <c r="J937" s="16" t="inlineStr">
        <is>
          <t>Open posting</t>
        </is>
      </c>
      <c r="K937" s="8" t="inlineStr">
        <is>
          <t>filtered by keyword pre-scan</t>
        </is>
      </c>
      <c r="L937" s="17" t="inlineStr">
        <is>
          <t>new</t>
        </is>
      </c>
      <c r="M937" s="18" t="inlineStr"/>
      <c r="N937" s="7" t="inlineStr">
        <is>
          <t>c9305d416ebd4d1642cec898a24a3da88115341e</t>
        </is>
      </c>
      <c r="O937" s="14" t="n">
        <v>46175</v>
      </c>
      <c r="P937" s="7" t="inlineStr">
        <is>
          <t>greenhouse:cerebrassystems</t>
        </is>
      </c>
      <c r="Q937" s="8" t="inlineStr"/>
      <c r="R937" s="8" t="n"/>
      <c r="S937" s="19" t="n"/>
      <c r="T937" s="19" t="n"/>
      <c r="U937" s="14" t="n">
        <v>46189</v>
      </c>
      <c r="V937" s="7" t="inlineStr">
        <is>
          <t>v1-db41edab064373dd</t>
        </is>
      </c>
    </row>
    <row r="938" ht="28" customHeight="1">
      <c r="A938" s="12">
        <f>IF($L938="applied","Applied",IF($L938="interview","Interview",IF($L938="offer","Offer",IF($L938="rejected","Rejected",IF($L938="ignore","Ignore",IF($L938="archive","Archive",IF($L938="closed","Closed",IF($B938="","Unscored",IF(AND($B938&gt;=8,OR($H938="",$H938-TODAY()&lt;=14)),"P1 Apply",IF($B938&gt;=7,"P2 Strong",IF($B938&gt;=5,"P3 Maybe","P4 Low")))))))))))</f>
        <v/>
      </c>
      <c r="B938" s="13" t="n">
        <v>1</v>
      </c>
      <c r="C938" s="12" t="inlineStr">
        <is>
          <t>Senior/Lead</t>
        </is>
      </c>
      <c r="D938" s="8" t="inlineStr">
        <is>
          <t>Senior Mechanical Engineer</t>
        </is>
      </c>
      <c r="E938" s="7" t="inlineStr">
        <is>
          <t>Cerebras</t>
        </is>
      </c>
      <c r="F938" s="8" t="inlineStr">
        <is>
          <t>Sunnyvale, CA</t>
        </is>
      </c>
      <c r="G938" s="8" t="n"/>
      <c r="H938" s="14" t="n"/>
      <c r="I938" s="15">
        <f>IF($H938="","",$H938-TODAY())</f>
        <v/>
      </c>
      <c r="J938" s="16" t="inlineStr">
        <is>
          <t>Open posting</t>
        </is>
      </c>
      <c r="K938" s="8" t="inlineStr">
        <is>
          <t>filtered by keyword pre-scan</t>
        </is>
      </c>
      <c r="L938" s="17" t="inlineStr">
        <is>
          <t>new</t>
        </is>
      </c>
      <c r="M938" s="18" t="inlineStr"/>
      <c r="N938" s="7" t="inlineStr">
        <is>
          <t>3a38591cb2be5608d088335d7556a876b0a482bf</t>
        </is>
      </c>
      <c r="O938" s="14" t="n">
        <v>46175</v>
      </c>
      <c r="P938" s="7" t="inlineStr">
        <is>
          <t>greenhouse:cerebrassystems</t>
        </is>
      </c>
      <c r="Q938" s="8" t="inlineStr"/>
      <c r="R938" s="8" t="n"/>
      <c r="S938" s="19" t="n"/>
      <c r="T938" s="19" t="n"/>
      <c r="U938" s="14" t="n">
        <v>46189</v>
      </c>
      <c r="V938" s="7" t="inlineStr">
        <is>
          <t>v1-db41edab064373dd</t>
        </is>
      </c>
    </row>
    <row r="939" ht="28" customHeight="1">
      <c r="A939" s="12">
        <f>IF($L939="applied","Applied",IF($L939="interview","Interview",IF($L939="offer","Offer",IF($L939="rejected","Rejected",IF($L939="ignore","Ignore",IF($L939="archive","Archive",IF($L939="closed","Closed",IF($B939="","Unscored",IF(AND($B939&gt;=8,OR($H939="",$H939-TODAY()&lt;=14)),"P1 Apply",IF($B939&gt;=7,"P2 Strong",IF($B939&gt;=5,"P3 Maybe","P4 Low")))))))))))</f>
        <v/>
      </c>
      <c r="B939" s="13" t="n">
        <v>1</v>
      </c>
      <c r="C939" s="12" t="inlineStr">
        <is>
          <t>Senior/Lead</t>
        </is>
      </c>
      <c r="D939" s="8" t="inlineStr">
        <is>
          <t>Senior ML Software Engineer - Integration &amp; Quality</t>
        </is>
      </c>
      <c r="E939" s="7" t="inlineStr">
        <is>
          <t>Cerebras</t>
        </is>
      </c>
      <c r="F939" s="8" t="inlineStr">
        <is>
          <t>Sunnyvale CA or Toronto Canada</t>
        </is>
      </c>
      <c r="G939" s="8" t="n"/>
      <c r="H939" s="14" t="n"/>
      <c r="I939" s="15">
        <f>IF($H939="","",$H939-TODAY())</f>
        <v/>
      </c>
      <c r="J939" s="16" t="inlineStr">
        <is>
          <t>Open posting</t>
        </is>
      </c>
      <c r="K939" s="8" t="inlineStr">
        <is>
          <t>filtered by keyword pre-scan</t>
        </is>
      </c>
      <c r="L939" s="17" t="inlineStr">
        <is>
          <t>new</t>
        </is>
      </c>
      <c r="M939" s="18" t="inlineStr"/>
      <c r="N939" s="7" t="inlineStr">
        <is>
          <t>9dde4274cd3434b0019d976768f8b855b4d10d19</t>
        </is>
      </c>
      <c r="O939" s="14" t="n">
        <v>46175</v>
      </c>
      <c r="P939" s="7" t="inlineStr">
        <is>
          <t>greenhouse:cerebrassystems</t>
        </is>
      </c>
      <c r="Q939" s="8" t="inlineStr"/>
      <c r="R939" s="8" t="n"/>
      <c r="S939" s="19" t="n"/>
      <c r="T939" s="19" t="n"/>
      <c r="U939" s="14" t="n">
        <v>46189</v>
      </c>
      <c r="V939" s="7" t="inlineStr">
        <is>
          <t>v1-db41edab064373dd</t>
        </is>
      </c>
    </row>
    <row r="940" ht="28" customHeight="1">
      <c r="A940" s="12">
        <f>IF($L940="applied","Applied",IF($L940="interview","Interview",IF($L940="offer","Offer",IF($L940="rejected","Rejected",IF($L940="ignore","Ignore",IF($L940="archive","Archive",IF($L940="closed","Closed",IF($B940="","Unscored",IF(AND($B940&gt;=8,OR($H940="",$H940-TODAY()&lt;=14)),"P1 Apply",IF($B940&gt;=7,"P2 Strong",IF($B940&gt;=5,"P3 Maybe","P4 Low")))))))))))</f>
        <v/>
      </c>
      <c r="B940" s="13" t="n">
        <v>1</v>
      </c>
      <c r="C940" s="12" t="inlineStr">
        <is>
          <t>Senior/Lead</t>
        </is>
      </c>
      <c r="D940" s="8" t="inlineStr">
        <is>
          <t>Senior ML Systems Engineer</t>
        </is>
      </c>
      <c r="E940" s="7" t="inlineStr">
        <is>
          <t>Cerebras</t>
        </is>
      </c>
      <c r="F940" s="8" t="inlineStr">
        <is>
          <t>Sunnyvale CA or Toronto Canada</t>
        </is>
      </c>
      <c r="G940" s="8" t="n"/>
      <c r="H940" s="14" t="n"/>
      <c r="I940" s="15">
        <f>IF($H940="","",$H940-TODAY())</f>
        <v/>
      </c>
      <c r="J940" s="16" t="inlineStr">
        <is>
          <t>Open posting</t>
        </is>
      </c>
      <c r="K940" s="8" t="inlineStr">
        <is>
          <t>filtered by keyword pre-scan</t>
        </is>
      </c>
      <c r="L940" s="17" t="inlineStr">
        <is>
          <t>new</t>
        </is>
      </c>
      <c r="M940" s="18" t="inlineStr"/>
      <c r="N940" s="7" t="inlineStr">
        <is>
          <t>4bec3822c2ec8b870b78d8d47084b521ce353a97</t>
        </is>
      </c>
      <c r="O940" s="14" t="n">
        <v>46175</v>
      </c>
      <c r="P940" s="7" t="inlineStr">
        <is>
          <t>greenhouse:cerebrassystems</t>
        </is>
      </c>
      <c r="Q940" s="8" t="inlineStr"/>
      <c r="R940" s="8" t="n"/>
      <c r="S940" s="19" t="n"/>
      <c r="T940" s="19" t="n"/>
      <c r="U940" s="14" t="n">
        <v>46189</v>
      </c>
      <c r="V940" s="7" t="inlineStr">
        <is>
          <t>v1-db41edab064373dd</t>
        </is>
      </c>
    </row>
    <row r="941" ht="28" customHeight="1">
      <c r="A941" s="12">
        <f>IF($L941="applied","Applied",IF($L941="interview","Interview",IF($L941="offer","Offer",IF($L941="rejected","Rejected",IF($L941="ignore","Ignore",IF($L941="archive","Archive",IF($L941="closed","Closed",IF($B941="","Unscored",IF(AND($B941&gt;=8,OR($H941="",$H941-TODAY()&lt;=14)),"P1 Apply",IF($B941&gt;=7,"P2 Strong",IF($B941&gt;=5,"P3 Maybe","P4 Low")))))))))))</f>
        <v/>
      </c>
      <c r="B941" s="13" t="n">
        <v>1</v>
      </c>
      <c r="C941" s="12" t="inlineStr">
        <is>
          <t>Senior/Lead</t>
        </is>
      </c>
      <c r="D941" s="8" t="inlineStr">
        <is>
          <t>Senior Performance Engineer, Inference</t>
        </is>
      </c>
      <c r="E941" s="7" t="inlineStr">
        <is>
          <t>Cerebras</t>
        </is>
      </c>
      <c r="F941" s="8" t="inlineStr">
        <is>
          <t>Sunnyvale, CA</t>
        </is>
      </c>
      <c r="G941" s="8" t="n"/>
      <c r="H941" s="14" t="n"/>
      <c r="I941" s="15">
        <f>IF($H941="","",$H941-TODAY())</f>
        <v/>
      </c>
      <c r="J941" s="16" t="inlineStr">
        <is>
          <t>Open posting</t>
        </is>
      </c>
      <c r="K941" s="8" t="inlineStr">
        <is>
          <t>filtered by keyword pre-scan</t>
        </is>
      </c>
      <c r="L941" s="17" t="inlineStr">
        <is>
          <t>new</t>
        </is>
      </c>
      <c r="M941" s="18" t="inlineStr"/>
      <c r="N941" s="7" t="inlineStr">
        <is>
          <t>c15cce2a42125a3d7be1cc2abc1bd331c3b9dacf</t>
        </is>
      </c>
      <c r="O941" s="14" t="n">
        <v>46175</v>
      </c>
      <c r="P941" s="7" t="inlineStr">
        <is>
          <t>greenhouse:cerebrassystems</t>
        </is>
      </c>
      <c r="Q941" s="8" t="inlineStr"/>
      <c r="R941" s="8" t="n"/>
      <c r="S941" s="19" t="n"/>
      <c r="T941" s="19" t="n"/>
      <c r="U941" s="14" t="n">
        <v>46189</v>
      </c>
      <c r="V941" s="7" t="inlineStr">
        <is>
          <t>v1-db41edab064373dd</t>
        </is>
      </c>
    </row>
    <row r="942" ht="28" customHeight="1">
      <c r="A942" s="12">
        <f>IF($L942="applied","Applied",IF($L942="interview","Interview",IF($L942="offer","Offer",IF($L942="rejected","Rejected",IF($L942="ignore","Ignore",IF($L942="archive","Archive",IF($L942="closed","Closed",IF($B942="","Unscored",IF(AND($B942&gt;=8,OR($H942="",$H942-TODAY()&lt;=14)),"P1 Apply",IF($B942&gt;=7,"P2 Strong",IF($B942&gt;=5,"P3 Maybe","P4 Low")))))))))))</f>
        <v/>
      </c>
      <c r="B942" s="13" t="n">
        <v>1</v>
      </c>
      <c r="C942" s="12" t="inlineStr">
        <is>
          <t>Senior/Lead</t>
        </is>
      </c>
      <c r="D942" s="8" t="inlineStr">
        <is>
          <t>Senior Product Marketing Manager, AI Inference</t>
        </is>
      </c>
      <c r="E942" s="7" t="inlineStr">
        <is>
          <t>Cerebras</t>
        </is>
      </c>
      <c r="F942" s="8" t="inlineStr">
        <is>
          <t>Sunnyvale, CA</t>
        </is>
      </c>
      <c r="G942" s="8" t="n"/>
      <c r="H942" s="14" t="n"/>
      <c r="I942" s="15">
        <f>IF($H942="","",$H942-TODAY())</f>
        <v/>
      </c>
      <c r="J942" s="16" t="inlineStr">
        <is>
          <t>Open posting</t>
        </is>
      </c>
      <c r="K942" s="8" t="inlineStr">
        <is>
          <t>filtered by keyword pre-scan</t>
        </is>
      </c>
      <c r="L942" s="17" t="inlineStr">
        <is>
          <t>new</t>
        </is>
      </c>
      <c r="M942" s="18" t="inlineStr"/>
      <c r="N942" s="7" t="inlineStr">
        <is>
          <t>302556154c050de7206b83f0c3227b2f93ef73b3</t>
        </is>
      </c>
      <c r="O942" s="14" t="n">
        <v>46175</v>
      </c>
      <c r="P942" s="7" t="inlineStr">
        <is>
          <t>greenhouse:cerebrassystems</t>
        </is>
      </c>
      <c r="Q942" s="8" t="inlineStr"/>
      <c r="R942" s="8" t="n"/>
      <c r="S942" s="19" t="n"/>
      <c r="T942" s="19" t="n"/>
      <c r="U942" s="14" t="n">
        <v>46189</v>
      </c>
      <c r="V942" s="7" t="inlineStr">
        <is>
          <t>v1-db41edab064373dd</t>
        </is>
      </c>
    </row>
    <row r="943" ht="28" customHeight="1">
      <c r="A943" s="12">
        <f>IF($L943="applied","Applied",IF($L943="interview","Interview",IF($L943="offer","Offer",IF($L943="rejected","Rejected",IF($L943="ignore","Ignore",IF($L943="archive","Archive",IF($L943="closed","Closed",IF($B943="","Unscored",IF(AND($B943&gt;=8,OR($H943="",$H943-TODAY()&lt;=14)),"P1 Apply",IF($B943&gt;=7,"P2 Strong",IF($B943&gt;=5,"P3 Maybe","P4 Low")))))))))))</f>
        <v/>
      </c>
      <c r="B943" s="13" t="n">
        <v>1</v>
      </c>
      <c r="C943" s="12" t="inlineStr">
        <is>
          <t>Senior/Lead</t>
        </is>
      </c>
      <c r="D943" s="8" t="inlineStr">
        <is>
          <t>Senior Quality Engineer</t>
        </is>
      </c>
      <c r="E943" s="7" t="inlineStr">
        <is>
          <t>Cerebras</t>
        </is>
      </c>
      <c r="F943" s="8" t="inlineStr">
        <is>
          <t>Sunnyvale, CA</t>
        </is>
      </c>
      <c r="G943" s="8" t="n"/>
      <c r="H943" s="14" t="n"/>
      <c r="I943" s="15">
        <f>IF($H943="","",$H943-TODAY())</f>
        <v/>
      </c>
      <c r="J943" s="16" t="inlineStr">
        <is>
          <t>Open posting</t>
        </is>
      </c>
      <c r="K943" s="8" t="inlineStr">
        <is>
          <t>filtered by keyword pre-scan</t>
        </is>
      </c>
      <c r="L943" s="17" t="inlineStr">
        <is>
          <t>new</t>
        </is>
      </c>
      <c r="M943" s="18" t="inlineStr"/>
      <c r="N943" s="7" t="inlineStr">
        <is>
          <t>059416b9e1356349ad79b72536a53bdd6c56a92d</t>
        </is>
      </c>
      <c r="O943" s="14" t="n">
        <v>46176</v>
      </c>
      <c r="P943" s="7" t="inlineStr">
        <is>
          <t>greenhouse:cerebrassystems</t>
        </is>
      </c>
      <c r="Q943" s="8" t="inlineStr"/>
      <c r="R943" s="8" t="n"/>
      <c r="S943" s="19" t="n"/>
      <c r="T943" s="19" t="n"/>
      <c r="U943" s="14" t="n">
        <v>46189</v>
      </c>
      <c r="V943" s="7" t="inlineStr">
        <is>
          <t>v1-db41edab064373dd</t>
        </is>
      </c>
    </row>
    <row r="944" ht="28" customHeight="1">
      <c r="A944" s="12">
        <f>IF($L944="applied","Applied",IF($L944="interview","Interview",IF($L944="offer","Offer",IF($L944="rejected","Rejected",IF($L944="ignore","Ignore",IF($L944="archive","Archive",IF($L944="closed","Closed",IF($B944="","Unscored",IF(AND($B944&gt;=8,OR($H944="",$H944-TODAY()&lt;=14)),"P1 Apply",IF($B944&gt;=7,"P2 Strong",IF($B944&gt;=5,"P3 Maybe","P4 Low")))))))))))</f>
        <v/>
      </c>
      <c r="B944" s="13" t="n">
        <v>1</v>
      </c>
      <c r="C944" s="12" t="inlineStr">
        <is>
          <t>Senior/Lead</t>
        </is>
      </c>
      <c r="D944" s="8" t="inlineStr">
        <is>
          <t>Senior Runtime Engineer</t>
        </is>
      </c>
      <c r="E944" s="7" t="inlineStr">
        <is>
          <t>Cerebras</t>
        </is>
      </c>
      <c r="F944" s="8" t="inlineStr">
        <is>
          <t>Sunnyvale CA or Toronto Canada</t>
        </is>
      </c>
      <c r="G944" s="8" t="n"/>
      <c r="H944" s="14" t="n"/>
      <c r="I944" s="15">
        <f>IF($H944="","",$H944-TODAY())</f>
        <v/>
      </c>
      <c r="J944" s="16" t="inlineStr">
        <is>
          <t>Open posting</t>
        </is>
      </c>
      <c r="K944" s="8" t="inlineStr">
        <is>
          <t>filtered by keyword pre-scan</t>
        </is>
      </c>
      <c r="L944" s="17" t="inlineStr">
        <is>
          <t>new</t>
        </is>
      </c>
      <c r="M944" s="18" t="inlineStr"/>
      <c r="N944" s="7" t="inlineStr">
        <is>
          <t>7891decbaed962bc30837d576eeda674004f12e2</t>
        </is>
      </c>
      <c r="O944" s="14" t="n">
        <v>46175</v>
      </c>
      <c r="P944" s="7" t="inlineStr">
        <is>
          <t>greenhouse:cerebrassystems</t>
        </is>
      </c>
      <c r="Q944" s="8" t="inlineStr"/>
      <c r="R944" s="8" t="n"/>
      <c r="S944" s="19" t="n"/>
      <c r="T944" s="19" t="n"/>
      <c r="U944" s="14" t="n">
        <v>46189</v>
      </c>
      <c r="V944" s="7" t="inlineStr">
        <is>
          <t>v1-db41edab064373dd</t>
        </is>
      </c>
    </row>
    <row r="945" ht="28" customHeight="1">
      <c r="A945" s="12">
        <f>IF($L945="applied","Applied",IF($L945="interview","Interview",IF($L945="offer","Offer",IF($L945="rejected","Rejected",IF($L945="ignore","Ignore",IF($L945="archive","Archive",IF($L945="closed","Closed",IF($B945="","Unscored",IF(AND($B945&gt;=8,OR($H945="",$H945-TODAY()&lt;=14)),"P1 Apply",IF($B945&gt;=7,"P2 Strong",IF($B945&gt;=5,"P3 Maybe","P4 Low")))))))))))</f>
        <v/>
      </c>
      <c r="B945" s="13" t="n">
        <v>1</v>
      </c>
      <c r="C945" s="12" t="inlineStr">
        <is>
          <t>Senior/Lead</t>
        </is>
      </c>
      <c r="D945" s="8" t="inlineStr">
        <is>
          <t>Senior/Staff Engineer : Post Silicon- Bring Up</t>
        </is>
      </c>
      <c r="E945" s="7" t="inlineStr">
        <is>
          <t>Cerebras</t>
        </is>
      </c>
      <c r="F945" s="8" t="inlineStr">
        <is>
          <t>Bengaluru, Karnataka, India; Sunnyvale, CA; Toronto, Ontario, Canada</t>
        </is>
      </c>
      <c r="G945" s="8" t="n"/>
      <c r="H945" s="14" t="n"/>
      <c r="I945" s="15">
        <f>IF($H945="","",$H945-TODAY())</f>
        <v/>
      </c>
      <c r="J945" s="16" t="inlineStr">
        <is>
          <t>Open posting</t>
        </is>
      </c>
      <c r="K945" s="8" t="inlineStr">
        <is>
          <t>filtered by keyword pre-scan</t>
        </is>
      </c>
      <c r="L945" s="17" t="inlineStr">
        <is>
          <t>new</t>
        </is>
      </c>
      <c r="M945" s="18" t="inlineStr"/>
      <c r="N945" s="7" t="inlineStr">
        <is>
          <t>0df7ad7cfadf7118d51e52a8123fe58f19594a21</t>
        </is>
      </c>
      <c r="O945" s="14" t="n">
        <v>46175</v>
      </c>
      <c r="P945" s="7" t="inlineStr">
        <is>
          <t>greenhouse:cerebrassystems</t>
        </is>
      </c>
      <c r="Q945" s="8" t="inlineStr"/>
      <c r="R945" s="8" t="n"/>
      <c r="S945" s="19" t="n"/>
      <c r="T945" s="19" t="n"/>
      <c r="U945" s="14" t="n">
        <v>46189</v>
      </c>
      <c r="V945" s="7" t="inlineStr">
        <is>
          <t>v1-db41edab064373dd</t>
        </is>
      </c>
    </row>
    <row r="946" ht="28" customHeight="1">
      <c r="A946" s="12">
        <f>IF($L946="applied","Applied",IF($L946="interview","Interview",IF($L946="offer","Offer",IF($L946="rejected","Rejected",IF($L946="ignore","Ignore",IF($L946="archive","Archive",IF($L946="closed","Closed",IF($B946="","Unscored",IF(AND($B946&gt;=8,OR($H946="",$H946-TODAY()&lt;=14)),"P1 Apply",IF($B946&gt;=7,"P2 Strong",IF($B946&gt;=5,"P3 Maybe","P4 Low")))))))))))</f>
        <v/>
      </c>
      <c r="B946" s="13" t="n">
        <v>1</v>
      </c>
      <c r="C946" s="12" t="inlineStr">
        <is>
          <t>Senior/Lead</t>
        </is>
      </c>
      <c r="D946" s="8" t="inlineStr">
        <is>
          <t>Senior/Staff- Engineer: Post Silicon- Bring Up</t>
        </is>
      </c>
      <c r="E946" s="7" t="inlineStr">
        <is>
          <t>Cerebras</t>
        </is>
      </c>
      <c r="F946" s="8" t="inlineStr">
        <is>
          <t>Bengaluru, Karnataka, India; Sunnyvale, CA; Toronto, Ontario, Canada</t>
        </is>
      </c>
      <c r="G946" s="8" t="n"/>
      <c r="H946" s="14" t="n"/>
      <c r="I946" s="15">
        <f>IF($H946="","",$H946-TODAY())</f>
        <v/>
      </c>
      <c r="J946" s="16" t="inlineStr">
        <is>
          <t>Open posting</t>
        </is>
      </c>
      <c r="K946" s="8" t="inlineStr">
        <is>
          <t>filtered by keyword pre-scan</t>
        </is>
      </c>
      <c r="L946" s="17" t="inlineStr">
        <is>
          <t>new</t>
        </is>
      </c>
      <c r="M946" s="18" t="inlineStr"/>
      <c r="N946" s="7" t="inlineStr">
        <is>
          <t>0b0c2f6ceec7604ac276735527385ce8e4cdd1f9</t>
        </is>
      </c>
      <c r="O946" s="14" t="n">
        <v>46175</v>
      </c>
      <c r="P946" s="7" t="inlineStr">
        <is>
          <t>greenhouse:cerebrassystems</t>
        </is>
      </c>
      <c r="Q946" s="8" t="inlineStr"/>
      <c r="R946" s="8" t="n"/>
      <c r="S946" s="19" t="n"/>
      <c r="T946" s="19" t="n"/>
      <c r="U946" s="14" t="n">
        <v>46189</v>
      </c>
      <c r="V946" s="7" t="inlineStr">
        <is>
          <t>v1-db41edab064373dd</t>
        </is>
      </c>
    </row>
    <row r="947" ht="28" customHeight="1">
      <c r="A947" s="12">
        <f>IF($L947="applied","Applied",IF($L947="interview","Interview",IF($L947="offer","Offer",IF($L947="rejected","Rejected",IF($L947="ignore","Ignore",IF($L947="archive","Archive",IF($L947="closed","Closed",IF($B947="","Unscored",IF(AND($B947&gt;=8,OR($H947="",$H947-TODAY()&lt;=14)),"P1 Apply",IF($B947&gt;=7,"P2 Strong",IF($B947&gt;=5,"P3 Maybe","P4 Low")))))))))))</f>
        <v/>
      </c>
      <c r="B947" s="13" t="n">
        <v>1</v>
      </c>
      <c r="C947" s="12" t="inlineStr">
        <is>
          <t>Senior/Lead</t>
        </is>
      </c>
      <c r="D947" s="8" t="inlineStr">
        <is>
          <t>Senior / Staff Technical Program Manager - Datacenter Capacity Delivery (E2E)</t>
        </is>
      </c>
      <c r="E947" s="7" t="inlineStr">
        <is>
          <t>Cerebras</t>
        </is>
      </c>
      <c r="F947" s="8" t="inlineStr">
        <is>
          <t>Europe; Remote, California, United States; Sunnyvale, CA; Toronto, Ontario, Canada</t>
        </is>
      </c>
      <c r="G947" s="8" t="n"/>
      <c r="H947" s="14" t="n"/>
      <c r="I947" s="15">
        <f>IF($H947="","",$H947-TODAY())</f>
        <v/>
      </c>
      <c r="J947" s="16" t="inlineStr">
        <is>
          <t>Open posting</t>
        </is>
      </c>
      <c r="K947" s="8" t="inlineStr">
        <is>
          <t>filtered by keyword pre-scan</t>
        </is>
      </c>
      <c r="L947" s="17" t="inlineStr">
        <is>
          <t>new</t>
        </is>
      </c>
      <c r="M947" s="18" t="inlineStr"/>
      <c r="N947" s="7" t="inlineStr">
        <is>
          <t>36f4e3ad6fe7083f8351efd2f68b1a0c46d164ac</t>
        </is>
      </c>
      <c r="O947" s="14" t="n">
        <v>46181</v>
      </c>
      <c r="P947" s="7" t="inlineStr">
        <is>
          <t>greenhouse:cerebrassystems</t>
        </is>
      </c>
      <c r="Q947" s="8" t="inlineStr"/>
      <c r="R947" s="8" t="n"/>
      <c r="S947" s="19" t="n"/>
      <c r="T947" s="19" t="n"/>
      <c r="U947" s="14" t="n">
        <v>46189</v>
      </c>
      <c r="V947" s="7" t="inlineStr">
        <is>
          <t>v1-db41edab064373dd</t>
        </is>
      </c>
    </row>
    <row r="948" ht="28" customHeight="1">
      <c r="A948" s="12">
        <f>IF($L948="applied","Applied",IF($L948="interview","Interview",IF($L948="offer","Offer",IF($L948="rejected","Rejected",IF($L948="ignore","Ignore",IF($L948="archive","Archive",IF($L948="closed","Closed",IF($B948="","Unscored",IF(AND($B948&gt;=8,OR($H948="",$H948-TODAY()&lt;=14)),"P1 Apply",IF($B948&gt;=7,"P2 Strong",IF($B948&gt;=5,"P3 Maybe","P4 Low")))))))))))</f>
        <v/>
      </c>
      <c r="B948" s="13" t="n">
        <v>1</v>
      </c>
      <c r="C948" s="12" t="inlineStr">
        <is>
          <t>Senior/Lead</t>
        </is>
      </c>
      <c r="D948" s="8" t="inlineStr">
        <is>
          <t>Senior Technical Program Manager – AI Infrastructure, Site Operations</t>
        </is>
      </c>
      <c r="E948" s="7" t="inlineStr">
        <is>
          <t>Cerebras</t>
        </is>
      </c>
      <c r="F948" s="8" t="inlineStr">
        <is>
          <t>Sunnyvale, CA</t>
        </is>
      </c>
      <c r="G948" s="8" t="n"/>
      <c r="H948" s="14" t="n"/>
      <c r="I948" s="15">
        <f>IF($H948="","",$H948-TODAY())</f>
        <v/>
      </c>
      <c r="J948" s="16" t="inlineStr">
        <is>
          <t>Open posting</t>
        </is>
      </c>
      <c r="K948" s="8" t="inlineStr">
        <is>
          <t>filtered by keyword pre-scan</t>
        </is>
      </c>
      <c r="L948" s="17" t="inlineStr">
        <is>
          <t>new</t>
        </is>
      </c>
      <c r="M948" s="18" t="inlineStr"/>
      <c r="N948" s="7" t="inlineStr">
        <is>
          <t>080287c5f60ce77759d1769af69af0c451819844</t>
        </is>
      </c>
      <c r="O948" s="14" t="n">
        <v>46175</v>
      </c>
      <c r="P948" s="7" t="inlineStr">
        <is>
          <t>greenhouse:cerebrassystems</t>
        </is>
      </c>
      <c r="Q948" s="8" t="inlineStr"/>
      <c r="R948" s="8" t="n"/>
      <c r="S948" s="19" t="n"/>
      <c r="T948" s="19" t="n"/>
      <c r="U948" s="14" t="n">
        <v>46189</v>
      </c>
      <c r="V948" s="7" t="inlineStr">
        <is>
          <t>v1-db41edab064373dd</t>
        </is>
      </c>
    </row>
    <row r="949" ht="28" customHeight="1">
      <c r="A949" s="12">
        <f>IF($L949="applied","Applied",IF($L949="interview","Interview",IF($L949="offer","Offer",IF($L949="rejected","Rejected",IF($L949="ignore","Ignore",IF($L949="archive","Archive",IF($L949="closed","Closed",IF($B949="","Unscored",IF(AND($B949&gt;=8,OR($H949="",$H949-TODAY()&lt;=14)),"P1 Apply",IF($B949&gt;=7,"P2 Strong",IF($B949&gt;=5,"P3 Maybe","P4 Low")))))))))))</f>
        <v/>
      </c>
      <c r="B949" s="13" t="n">
        <v>1</v>
      </c>
      <c r="C949" s="12" t="inlineStr">
        <is>
          <t>Senior/Lead</t>
        </is>
      </c>
      <c r="D949" s="8" t="inlineStr">
        <is>
          <t>Senior WAN Network Engineer</t>
        </is>
      </c>
      <c r="E949" s="7" t="inlineStr">
        <is>
          <t>Cerebras</t>
        </is>
      </c>
      <c r="F949" s="8" t="inlineStr">
        <is>
          <t>Sunnyvale, CA</t>
        </is>
      </c>
      <c r="G949" s="8" t="n"/>
      <c r="H949" s="14" t="n"/>
      <c r="I949" s="15">
        <f>IF($H949="","",$H949-TODAY())</f>
        <v/>
      </c>
      <c r="J949" s="16" t="inlineStr">
        <is>
          <t>Open posting</t>
        </is>
      </c>
      <c r="K949" s="8" t="inlineStr">
        <is>
          <t>filtered by keyword pre-scan</t>
        </is>
      </c>
      <c r="L949" s="17" t="inlineStr">
        <is>
          <t>new</t>
        </is>
      </c>
      <c r="M949" s="18" t="inlineStr"/>
      <c r="N949" s="7" t="inlineStr">
        <is>
          <t>989b21da8ffea176cd337817d75c5fbfb74084a9</t>
        </is>
      </c>
      <c r="O949" s="14" t="n">
        <v>46175</v>
      </c>
      <c r="P949" s="7" t="inlineStr">
        <is>
          <t>greenhouse:cerebrassystems</t>
        </is>
      </c>
      <c r="Q949" s="8" t="inlineStr"/>
      <c r="R949" s="8" t="n"/>
      <c r="S949" s="19" t="n"/>
      <c r="T949" s="19" t="n"/>
      <c r="U949" s="14" t="n">
        <v>46189</v>
      </c>
      <c r="V949" s="7" t="inlineStr">
        <is>
          <t>v1-db41edab064373dd</t>
        </is>
      </c>
    </row>
    <row r="950" ht="28" customHeight="1">
      <c r="A950" s="12">
        <f>IF($L950="applied","Applied",IF($L950="interview","Interview",IF($L950="offer","Offer",IF($L950="rejected","Rejected",IF($L950="ignore","Ignore",IF($L950="archive","Archive",IF($L950="closed","Closed",IF($B950="","Unscored",IF(AND($B950&gt;=8,OR($H950="",$H950-TODAY()&lt;=14)),"P1 Apply",IF($B950&gt;=7,"P2 Strong",IF($B950&gt;=5,"P3 Maybe","P4 Low")))))))))))</f>
        <v/>
      </c>
      <c r="B950" s="13" t="n">
        <v>1</v>
      </c>
      <c r="C950" s="12" t="inlineStr">
        <is>
          <t>Senior/Lead</t>
        </is>
      </c>
      <c r="D950" s="8" t="inlineStr">
        <is>
          <t>Senior Yield Enhancement Engineer</t>
        </is>
      </c>
      <c r="E950" s="7" t="inlineStr">
        <is>
          <t>Cerebras</t>
        </is>
      </c>
      <c r="F950" s="8" t="inlineStr">
        <is>
          <t>Sunnyvale, CA</t>
        </is>
      </c>
      <c r="G950" s="8" t="n"/>
      <c r="H950" s="14" t="n"/>
      <c r="I950" s="15">
        <f>IF($H950="","",$H950-TODAY())</f>
        <v/>
      </c>
      <c r="J950" s="16" t="inlineStr">
        <is>
          <t>Open posting</t>
        </is>
      </c>
      <c r="K950" s="8" t="inlineStr">
        <is>
          <t>filtered by keyword pre-scan</t>
        </is>
      </c>
      <c r="L950" s="17" t="inlineStr">
        <is>
          <t>new</t>
        </is>
      </c>
      <c r="M950" s="18" t="inlineStr"/>
      <c r="N950" s="7" t="inlineStr">
        <is>
          <t>91bf27cdcc212c8c4554b79e6b69b61cc8ec0c02</t>
        </is>
      </c>
      <c r="O950" s="14" t="n">
        <v>46175</v>
      </c>
      <c r="P950" s="7" t="inlineStr">
        <is>
          <t>greenhouse:cerebrassystems</t>
        </is>
      </c>
      <c r="Q950" s="8" t="inlineStr"/>
      <c r="R950" s="8" t="n"/>
      <c r="S950" s="19" t="n"/>
      <c r="T950" s="19" t="n"/>
      <c r="U950" s="14" t="n">
        <v>46189</v>
      </c>
      <c r="V950" s="7" t="inlineStr">
        <is>
          <t>v1-db41edab064373dd</t>
        </is>
      </c>
    </row>
    <row r="951" ht="28" customHeight="1">
      <c r="A951" s="12">
        <f>IF($L951="applied","Applied",IF($L951="interview","Interview",IF($L951="offer","Offer",IF($L951="rejected","Rejected",IF($L951="ignore","Ignore",IF($L951="archive","Archive",IF($L951="closed","Closed",IF($B951="","Unscored",IF(AND($B951&gt;=8,OR($H951="",$H951-TODAY()&lt;=14)),"P1 Apply",IF($B951&gt;=7,"P2 Strong",IF($B951&gt;=5,"P3 Maybe","P4 Low")))))))))))</f>
        <v/>
      </c>
      <c r="B951" s="13" t="n">
        <v>1</v>
      </c>
      <c r="C951" s="12" t="inlineStr">
        <is>
          <t>Senior/Lead</t>
        </is>
      </c>
      <c r="D951" s="8" t="inlineStr">
        <is>
          <t>Sr. Member of Technical Staff</t>
        </is>
      </c>
      <c r="E951" s="7" t="inlineStr">
        <is>
          <t>Cerebras</t>
        </is>
      </c>
      <c r="F951" s="8" t="inlineStr">
        <is>
          <t>Sunnyvale, CA</t>
        </is>
      </c>
      <c r="G951" s="8" t="n"/>
      <c r="H951" s="14" t="n"/>
      <c r="I951" s="15">
        <f>IF($H951="","",$H951-TODAY())</f>
        <v/>
      </c>
      <c r="J951" s="16" t="inlineStr">
        <is>
          <t>Open posting</t>
        </is>
      </c>
      <c r="K951" s="8" t="inlineStr">
        <is>
          <t>filtered by keyword pre-scan</t>
        </is>
      </c>
      <c r="L951" s="17" t="inlineStr">
        <is>
          <t>new</t>
        </is>
      </c>
      <c r="M951" s="18" t="inlineStr"/>
      <c r="N951" s="7" t="inlineStr">
        <is>
          <t>19c392f3ef55254dfe8cf4341ec3146083a0405a</t>
        </is>
      </c>
      <c r="O951" s="14" t="n">
        <v>46175</v>
      </c>
      <c r="P951" s="7" t="inlineStr">
        <is>
          <t>greenhouse:cerebrassystems</t>
        </is>
      </c>
      <c r="Q951" s="8" t="inlineStr"/>
      <c r="R951" s="8" t="n"/>
      <c r="S951" s="19" t="n"/>
      <c r="T951" s="19" t="n"/>
      <c r="U951" s="14" t="n">
        <v>46189</v>
      </c>
      <c r="V951" s="7" t="inlineStr">
        <is>
          <t>v1-db41edab064373dd</t>
        </is>
      </c>
    </row>
    <row r="952" ht="28" customHeight="1">
      <c r="A952" s="12">
        <f>IF($L952="applied","Applied",IF($L952="interview","Interview",IF($L952="offer","Offer",IF($L952="rejected","Rejected",IF($L952="ignore","Ignore",IF($L952="archive","Archive",IF($L952="closed","Closed",IF($B952="","Unscored",IF(AND($B952&gt;=8,OR($H952="",$H952-TODAY()&lt;=14)),"P1 Apply",IF($B952&gt;=7,"P2 Strong",IF($B952&gt;=5,"P3 Maybe","P4 Low")))))))))))</f>
        <v/>
      </c>
      <c r="B952" s="13" t="n">
        <v>1</v>
      </c>
      <c r="C952" s="12" t="inlineStr">
        <is>
          <t>Senior/Lead</t>
        </is>
      </c>
      <c r="D952" s="8" t="inlineStr">
        <is>
          <t>Sr. Staff/Staff Design Verification Engineer</t>
        </is>
      </c>
      <c r="E952" s="7" t="inlineStr">
        <is>
          <t>Cerebras</t>
        </is>
      </c>
      <c r="F952" s="8" t="inlineStr">
        <is>
          <t>Sunnyvale, CA</t>
        </is>
      </c>
      <c r="G952" s="8" t="n"/>
      <c r="H952" s="14" t="n"/>
      <c r="I952" s="15">
        <f>IF($H952="","",$H952-TODAY())</f>
        <v/>
      </c>
      <c r="J952" s="16" t="inlineStr">
        <is>
          <t>Open posting</t>
        </is>
      </c>
      <c r="K952" s="8" t="inlineStr">
        <is>
          <t>filtered by keyword pre-scan</t>
        </is>
      </c>
      <c r="L952" s="17" t="inlineStr">
        <is>
          <t>new</t>
        </is>
      </c>
      <c r="M952" s="18" t="inlineStr"/>
      <c r="N952" s="7" t="inlineStr">
        <is>
          <t>8b32348921c2d7ab9e15658e9c2e5644897a03b7</t>
        </is>
      </c>
      <c r="O952" s="14" t="n">
        <v>46177</v>
      </c>
      <c r="P952" s="7" t="inlineStr">
        <is>
          <t>greenhouse:cerebrassystems</t>
        </is>
      </c>
      <c r="Q952" s="8" t="inlineStr"/>
      <c r="R952" s="8" t="n"/>
      <c r="S952" s="19" t="n"/>
      <c r="T952" s="19" t="n"/>
      <c r="U952" s="14" t="n">
        <v>46189</v>
      </c>
      <c r="V952" s="7" t="inlineStr">
        <is>
          <t>v1-db41edab064373dd</t>
        </is>
      </c>
    </row>
    <row r="953" ht="28" customHeight="1">
      <c r="A953" s="12">
        <f>IF($L953="applied","Applied",IF($L953="interview","Interview",IF($L953="offer","Offer",IF($L953="rejected","Rejected",IF($L953="ignore","Ignore",IF($L953="archive","Archive",IF($L953="closed","Closed",IF($B953="","Unscored",IF(AND($B953&gt;=8,OR($H953="",$H953-TODAY()&lt;=14)),"P1 Apply",IF($B953&gt;=7,"P2 Strong",IF($B953&gt;=5,"P3 Maybe","P4 Low")))))))))))</f>
        <v/>
      </c>
      <c r="B953" s="13" t="n">
        <v>1</v>
      </c>
      <c r="C953" s="12" t="inlineStr">
        <is>
          <t>Senior/Lead</t>
        </is>
      </c>
      <c r="D953" s="8" t="inlineStr">
        <is>
          <t>Sr. Technical Staff</t>
        </is>
      </c>
      <c r="E953" s="7" t="inlineStr">
        <is>
          <t>Cerebras</t>
        </is>
      </c>
      <c r="F953" s="8" t="inlineStr">
        <is>
          <t>Sunnyvale, CA</t>
        </is>
      </c>
      <c r="G953" s="8" t="n"/>
      <c r="H953" s="14" t="n"/>
      <c r="I953" s="15">
        <f>IF($H953="","",$H953-TODAY())</f>
        <v/>
      </c>
      <c r="J953" s="16" t="inlineStr">
        <is>
          <t>Open posting</t>
        </is>
      </c>
      <c r="K953" s="8" t="inlineStr">
        <is>
          <t>filtered by keyword pre-scan</t>
        </is>
      </c>
      <c r="L953" s="17" t="inlineStr">
        <is>
          <t>new</t>
        </is>
      </c>
      <c r="M953" s="18" t="inlineStr"/>
      <c r="N953" s="7" t="inlineStr">
        <is>
          <t>d01dd220456e49f28eb9dd01a7766beecb0e3eee</t>
        </is>
      </c>
      <c r="O953" s="14" t="n">
        <v>46175</v>
      </c>
      <c r="P953" s="7" t="inlineStr">
        <is>
          <t>greenhouse:cerebrassystems</t>
        </is>
      </c>
      <c r="Q953" s="8" t="inlineStr"/>
      <c r="R953" s="8" t="n"/>
      <c r="S953" s="19" t="n"/>
      <c r="T953" s="19" t="n"/>
      <c r="U953" s="14" t="n">
        <v>46189</v>
      </c>
      <c r="V953" s="7" t="inlineStr">
        <is>
          <t>v1-db41edab064373dd</t>
        </is>
      </c>
    </row>
    <row r="954" ht="28" customHeight="1">
      <c r="A954" s="12">
        <f>IF($L954="applied","Applied",IF($L954="interview","Interview",IF($L954="offer","Offer",IF($L954="rejected","Rejected",IF($L954="ignore","Ignore",IF($L954="archive","Archive",IF($L954="closed","Closed",IF($B954="","Unscored",IF(AND($B954&gt;=8,OR($H954="",$H954-TODAY()&lt;=14)),"P1 Apply",IF($B954&gt;=7,"P2 Strong",IF($B954&gt;=5,"P3 Maybe","P4 Low")))))))))))</f>
        <v/>
      </c>
      <c r="B954" s="13" t="n">
        <v>1</v>
      </c>
      <c r="C954" s="12" t="inlineStr">
        <is>
          <t>Senior/Lead</t>
        </is>
      </c>
      <c r="D954" s="8" t="inlineStr">
        <is>
          <t>Staff Inference ML Runtime Engineer</t>
        </is>
      </c>
      <c r="E954" s="7" t="inlineStr">
        <is>
          <t>Cerebras</t>
        </is>
      </c>
      <c r="F954" s="8" t="inlineStr">
        <is>
          <t>Sunnyvale CA or Toronto Canada</t>
        </is>
      </c>
      <c r="G954" s="8" t="n"/>
      <c r="H954" s="14" t="n"/>
      <c r="I954" s="15">
        <f>IF($H954="","",$H954-TODAY())</f>
        <v/>
      </c>
      <c r="J954" s="16" t="inlineStr">
        <is>
          <t>Open posting</t>
        </is>
      </c>
      <c r="K954" s="8" t="inlineStr">
        <is>
          <t>filtered by keyword pre-scan</t>
        </is>
      </c>
      <c r="L954" s="17" t="inlineStr">
        <is>
          <t>new</t>
        </is>
      </c>
      <c r="M954" s="18" t="inlineStr"/>
      <c r="N954" s="7" t="inlineStr">
        <is>
          <t>1a1984b4e7766d996dc8cbfe489121589513d510</t>
        </is>
      </c>
      <c r="O954" s="14" t="n">
        <v>46175</v>
      </c>
      <c r="P954" s="7" t="inlineStr">
        <is>
          <t>greenhouse:cerebrassystems</t>
        </is>
      </c>
      <c r="Q954" s="8" t="inlineStr"/>
      <c r="R954" s="8" t="n"/>
      <c r="S954" s="19" t="n"/>
      <c r="T954" s="19" t="n"/>
      <c r="U954" s="14" t="n">
        <v>46189</v>
      </c>
      <c r="V954" s="7" t="inlineStr">
        <is>
          <t>v1-db41edab064373dd</t>
        </is>
      </c>
    </row>
    <row r="955" ht="28" customHeight="1">
      <c r="A955" s="12">
        <f>IF($L955="applied","Applied",IF($L955="interview","Interview",IF($L955="offer","Offer",IF($L955="rejected","Rejected",IF($L955="ignore","Ignore",IF($L955="archive","Archive",IF($L955="closed","Closed",IF($B955="","Unscored",IF(AND($B955&gt;=8,OR($H955="",$H955-TODAY()&lt;=14)),"P1 Apply",IF($B955&gt;=7,"P2 Strong",IF($B955&gt;=5,"P3 Maybe","P4 Low")))))))))))</f>
        <v/>
      </c>
      <c r="B955" s="13" t="n">
        <v>1</v>
      </c>
      <c r="C955" s="12" t="inlineStr">
        <is>
          <t>Senior/Lead</t>
        </is>
      </c>
      <c r="D955" s="8" t="inlineStr">
        <is>
          <t>Staff Kernel Optimzation Engineer</t>
        </is>
      </c>
      <c r="E955" s="7" t="inlineStr">
        <is>
          <t>Cerebras</t>
        </is>
      </c>
      <c r="F955" s="8" t="inlineStr">
        <is>
          <t>Remote, California, United States</t>
        </is>
      </c>
      <c r="G955" s="8" t="n"/>
      <c r="H955" s="14" t="n"/>
      <c r="I955" s="15">
        <f>IF($H955="","",$H955-TODAY())</f>
        <v/>
      </c>
      <c r="J955" s="16" t="inlineStr">
        <is>
          <t>Open posting</t>
        </is>
      </c>
      <c r="K955" s="8" t="inlineStr">
        <is>
          <t>filtered by keyword pre-scan</t>
        </is>
      </c>
      <c r="L955" s="17" t="inlineStr">
        <is>
          <t>new</t>
        </is>
      </c>
      <c r="M955" s="18" t="inlineStr"/>
      <c r="N955" s="7" t="inlineStr">
        <is>
          <t>1928cf66ea8d503fb648ca26da405e0823da60ef</t>
        </is>
      </c>
      <c r="O955" s="14" t="n">
        <v>46175</v>
      </c>
      <c r="P955" s="7" t="inlineStr">
        <is>
          <t>greenhouse:cerebrassystems</t>
        </is>
      </c>
      <c r="Q955" s="8" t="inlineStr"/>
      <c r="R955" s="8" t="n"/>
      <c r="S955" s="19" t="n"/>
      <c r="T955" s="19" t="n"/>
      <c r="U955" s="14" t="n">
        <v>46189</v>
      </c>
      <c r="V955" s="7" t="inlineStr">
        <is>
          <t>v1-db41edab064373dd</t>
        </is>
      </c>
    </row>
    <row r="956" ht="28" customHeight="1">
      <c r="A956" s="12">
        <f>IF($L956="applied","Applied",IF($L956="interview","Interview",IF($L956="offer","Offer",IF($L956="rejected","Rejected",IF($L956="ignore","Ignore",IF($L956="archive","Archive",IF($L956="closed","Closed",IF($B956="","Unscored",IF(AND($B956&gt;=8,OR($H956="",$H956-TODAY()&lt;=14)),"P1 Apply",IF($B956&gt;=7,"P2 Strong",IF($B956&gt;=5,"P3 Maybe","P4 Low")))))))))))</f>
        <v/>
      </c>
      <c r="B956" s="13" t="n">
        <v>1</v>
      </c>
      <c r="C956" s="12" t="inlineStr">
        <is>
          <t>Senior/Lead</t>
        </is>
      </c>
      <c r="D956" s="8" t="inlineStr">
        <is>
          <t>Staff Python / PyTorch Developer — Frontend Inference Compiler – Dubai</t>
        </is>
      </c>
      <c r="E956" s="7" t="inlineStr">
        <is>
          <t>Cerebras</t>
        </is>
      </c>
      <c r="F956" s="8" t="inlineStr">
        <is>
          <t>Europe; Remote, California, United States; UAE</t>
        </is>
      </c>
      <c r="G956" s="8" t="n"/>
      <c r="H956" s="14" t="n"/>
      <c r="I956" s="15">
        <f>IF($H956="","",$H956-TODAY())</f>
        <v/>
      </c>
      <c r="J956" s="16" t="inlineStr">
        <is>
          <t>Open posting</t>
        </is>
      </c>
      <c r="K956" s="8" t="inlineStr">
        <is>
          <t>filtered by keyword pre-scan</t>
        </is>
      </c>
      <c r="L956" s="17" t="inlineStr">
        <is>
          <t>new</t>
        </is>
      </c>
      <c r="M956" s="18" t="inlineStr"/>
      <c r="N956" s="7" t="inlineStr">
        <is>
          <t>c6012e302ec2aa2e4476a248d0c8873eb38b94cd</t>
        </is>
      </c>
      <c r="O956" s="14" t="n">
        <v>46175</v>
      </c>
      <c r="P956" s="7" t="inlineStr">
        <is>
          <t>greenhouse:cerebrassystems</t>
        </is>
      </c>
      <c r="Q956" s="8" t="inlineStr"/>
      <c r="R956" s="8" t="n"/>
      <c r="S956" s="19" t="n"/>
      <c r="T956" s="19" t="n"/>
      <c r="U956" s="14" t="n">
        <v>46189</v>
      </c>
      <c r="V956" s="7" t="inlineStr">
        <is>
          <t>v1-db41edab064373dd</t>
        </is>
      </c>
    </row>
    <row r="957" ht="28" customHeight="1">
      <c r="A957" s="12">
        <f>IF($L957="applied","Applied",IF($L957="interview","Interview",IF($L957="offer","Offer",IF($L957="rejected","Rejected",IF($L957="ignore","Ignore",IF($L957="archive","Archive",IF($L957="closed","Closed",IF($B957="","Unscored",IF(AND($B957&gt;=8,OR($H957="",$H957-TODAY()&lt;=14)),"P1 Apply",IF($B957&gt;=7,"P2 Strong",IF($B957&gt;=5,"P3 Maybe","P4 Low")))))))))))</f>
        <v/>
      </c>
      <c r="B957" s="13" t="n">
        <v>1</v>
      </c>
      <c r="C957" s="12" t="inlineStr">
        <is>
          <t>Senior/Lead</t>
        </is>
      </c>
      <c r="D957" s="8" t="inlineStr">
        <is>
          <t>Staff Site Reliability Engineer – Automation and Platform</t>
        </is>
      </c>
      <c r="E957" s="7" t="inlineStr">
        <is>
          <t>Cerebras</t>
        </is>
      </c>
      <c r="F957" s="8" t="inlineStr">
        <is>
          <t>Remote, California, United States; Sunnyvale, CA; Toronto, Ontario, Canada</t>
        </is>
      </c>
      <c r="G957" s="8" t="n"/>
      <c r="H957" s="14" t="n"/>
      <c r="I957" s="15">
        <f>IF($H957="","",$H957-TODAY())</f>
        <v/>
      </c>
      <c r="J957" s="16" t="inlineStr">
        <is>
          <t>Open posting</t>
        </is>
      </c>
      <c r="K957" s="8" t="inlineStr">
        <is>
          <t>filtered by keyword pre-scan</t>
        </is>
      </c>
      <c r="L957" s="17" t="inlineStr">
        <is>
          <t>new</t>
        </is>
      </c>
      <c r="M957" s="18" t="inlineStr"/>
      <c r="N957" s="7" t="inlineStr">
        <is>
          <t>54fd6f38df15cef2444c3c322a72bb742d3d8122</t>
        </is>
      </c>
      <c r="O957" s="14" t="n">
        <v>46175</v>
      </c>
      <c r="P957" s="7" t="inlineStr">
        <is>
          <t>greenhouse:cerebrassystems</t>
        </is>
      </c>
      <c r="Q957" s="8" t="inlineStr"/>
      <c r="R957" s="8" t="n"/>
      <c r="S957" s="19" t="n"/>
      <c r="T957" s="19" t="n"/>
      <c r="U957" s="14" t="n">
        <v>46189</v>
      </c>
      <c r="V957" s="7" t="inlineStr">
        <is>
          <t>v1-db41edab064373dd</t>
        </is>
      </c>
    </row>
    <row r="958" ht="28" customHeight="1">
      <c r="A958" s="12">
        <f>IF($L958="applied","Applied",IF($L958="interview","Interview",IF($L958="offer","Offer",IF($L958="rejected","Rejected",IF($L958="ignore","Ignore",IF($L958="archive","Archive",IF($L958="closed","Closed",IF($B958="","Unscored",IF(AND($B958&gt;=8,OR($H958="",$H958-TODAY()&lt;=14)),"P1 Apply",IF($B958&gt;=7,"P2 Strong",IF($B958&gt;=5,"P3 Maybe","P4 Low")))))))))))</f>
        <v/>
      </c>
      <c r="B958" s="13" t="n">
        <v>1</v>
      </c>
      <c r="C958" s="12" t="inlineStr">
        <is>
          <t>Senior/Lead</t>
        </is>
      </c>
      <c r="D958" s="8" t="inlineStr">
        <is>
          <t>Staff Software Engineer, Inference Cloud</t>
        </is>
      </c>
      <c r="E958" s="7" t="inlineStr">
        <is>
          <t>Cerebras</t>
        </is>
      </c>
      <c r="F958" s="8" t="inlineStr">
        <is>
          <t>Sunnyvale, CA</t>
        </is>
      </c>
      <c r="G958" s="8" t="n"/>
      <c r="H958" s="14" t="n"/>
      <c r="I958" s="15">
        <f>IF($H958="","",$H958-TODAY())</f>
        <v/>
      </c>
      <c r="J958" s="16" t="inlineStr">
        <is>
          <t>Open posting</t>
        </is>
      </c>
      <c r="K958" s="8" t="inlineStr">
        <is>
          <t>filtered by keyword pre-scan</t>
        </is>
      </c>
      <c r="L958" s="17" t="inlineStr">
        <is>
          <t>new</t>
        </is>
      </c>
      <c r="M958" s="18" t="inlineStr"/>
      <c r="N958" s="7" t="inlineStr">
        <is>
          <t>4ba39762eeded629012c8da5336777c4a8255f28</t>
        </is>
      </c>
      <c r="O958" s="14" t="n">
        <v>46175</v>
      </c>
      <c r="P958" s="7" t="inlineStr">
        <is>
          <t>greenhouse:cerebrassystems</t>
        </is>
      </c>
      <c r="Q958" s="8" t="inlineStr"/>
      <c r="R958" s="8" t="n"/>
      <c r="S958" s="19" t="n"/>
      <c r="T958" s="19" t="n"/>
      <c r="U958" s="14" t="n">
        <v>46189</v>
      </c>
      <c r="V958" s="7" t="inlineStr">
        <is>
          <t>v1-db41edab064373dd</t>
        </is>
      </c>
    </row>
    <row r="959" ht="28" customHeight="1">
      <c r="A959" s="12">
        <f>IF($L959="applied","Applied",IF($L959="interview","Interview",IF($L959="offer","Offer",IF($L959="rejected","Rejected",IF($L959="ignore","Ignore",IF($L959="archive","Archive",IF($L959="closed","Closed",IF($B959="","Unscored",IF(AND($B959&gt;=8,OR($H959="",$H959-TODAY()&lt;=14)),"P1 Apply",IF($B959&gt;=7,"P2 Strong",IF($B959&gt;=5,"P3 Maybe","P4 Low")))))))))))</f>
        <v/>
      </c>
      <c r="B959" s="13" t="n">
        <v>1</v>
      </c>
      <c r="C959" s="12" t="inlineStr">
        <is>
          <t>Senior/Lead</t>
        </is>
      </c>
      <c r="D959" s="8" t="inlineStr">
        <is>
          <t>Performance benchmarking and Infrastructure Engineer to Senior Engineer</t>
        </is>
      </c>
      <c r="E959" s="7" t="inlineStr">
        <is>
          <t>SiFive</t>
        </is>
      </c>
      <c r="F959" s="8" t="inlineStr">
        <is>
          <t>Hsinchu, Taiwan</t>
        </is>
      </c>
      <c r="G959" s="8" t="n"/>
      <c r="H959" s="14" t="n"/>
      <c r="I959" s="15">
        <f>IF($H959="","",$H959-TODAY())</f>
        <v/>
      </c>
      <c r="J959" s="16" t="inlineStr">
        <is>
          <t>Open posting</t>
        </is>
      </c>
      <c r="K959" s="8" t="inlineStr">
        <is>
          <t>filtered by keyword pre-scan</t>
        </is>
      </c>
      <c r="L959" s="17" t="inlineStr">
        <is>
          <t>new</t>
        </is>
      </c>
      <c r="M959" s="18" t="inlineStr"/>
      <c r="N959" s="7" t="inlineStr">
        <is>
          <t>ce6db45c4c9472645ecb61ee4658150f6bf07372</t>
        </is>
      </c>
      <c r="O959" s="14" t="n"/>
      <c r="P959" s="7" t="inlineStr">
        <is>
          <t>workday</t>
        </is>
      </c>
      <c r="Q959" s="8" t="inlineStr"/>
      <c r="R959" s="8" t="n"/>
      <c r="S959" s="19" t="n"/>
      <c r="T959" s="19" t="n"/>
      <c r="U959" s="14" t="n">
        <v>46189</v>
      </c>
      <c r="V959" s="7" t="inlineStr">
        <is>
          <t>v1-db41edab064373dd</t>
        </is>
      </c>
    </row>
    <row r="960" ht="28" customHeight="1">
      <c r="A960" s="12">
        <f>IF($L960="applied","Applied",IF($L960="interview","Interview",IF($L960="offer","Offer",IF($L960="rejected","Rejected",IF($L960="ignore","Ignore",IF($L960="archive","Archive",IF($L960="closed","Closed",IF($B960="","Unscored",IF(AND($B960&gt;=8,OR($H960="",$H960-TODAY()&lt;=14)),"P1 Apply",IF($B960&gt;=7,"P2 Strong",IF($B960&gt;=5,"P3 Maybe","P4 Low")))))))))))</f>
        <v/>
      </c>
      <c r="B960" s="13" t="n">
        <v>1</v>
      </c>
      <c r="C960" s="12" t="inlineStr">
        <is>
          <t>Senior/Lead</t>
        </is>
      </c>
      <c r="D960" s="8" t="inlineStr">
        <is>
          <t>Staff Engineer</t>
        </is>
      </c>
      <c r="E960" s="7" t="inlineStr">
        <is>
          <t>SiFive</t>
        </is>
      </c>
      <c r="F960" s="8" t="inlineStr">
        <is>
          <t>Ahmedabad, India</t>
        </is>
      </c>
      <c r="G960" s="8" t="n"/>
      <c r="H960" s="14" t="n"/>
      <c r="I960" s="15">
        <f>IF($H960="","",$H960-TODAY())</f>
        <v/>
      </c>
      <c r="J960" s="16" t="inlineStr">
        <is>
          <t>Open posting</t>
        </is>
      </c>
      <c r="K960" s="8" t="inlineStr">
        <is>
          <t>filtered by keyword pre-scan</t>
        </is>
      </c>
      <c r="L960" s="17" t="inlineStr">
        <is>
          <t>new</t>
        </is>
      </c>
      <c r="M960" s="18" t="inlineStr"/>
      <c r="N960" s="7" t="inlineStr">
        <is>
          <t>f02d902117875c91a35e68005839ba4ce4fab437</t>
        </is>
      </c>
      <c r="O960" s="14" t="n"/>
      <c r="P960" s="7" t="inlineStr">
        <is>
          <t>workday</t>
        </is>
      </c>
      <c r="Q960" s="8" t="inlineStr"/>
      <c r="R960" s="8" t="n"/>
      <c r="S960" s="19" t="n"/>
      <c r="T960" s="19" t="n"/>
      <c r="U960" s="14" t="n">
        <v>46189</v>
      </c>
      <c r="V960" s="7" t="inlineStr">
        <is>
          <t>v1-db41edab064373dd</t>
        </is>
      </c>
    </row>
    <row r="961" ht="28" customHeight="1">
      <c r="A961" s="12">
        <f>IF($L961="applied","Applied",IF($L961="interview","Interview",IF($L961="offer","Offer",IF($L961="rejected","Rejected",IF($L961="ignore","Ignore",IF($L961="archive","Archive",IF($L961="closed","Closed",IF($B961="","Unscored",IF(AND($B961&gt;=8,OR($H961="",$H961-TODAY()&lt;=14)),"P1 Apply",IF($B961&gt;=7,"P2 Strong",IF($B961&gt;=5,"P3 Maybe","P4 Low")))))))))))</f>
        <v/>
      </c>
      <c r="B961" s="13" t="n">
        <v>1</v>
      </c>
      <c r="C961" s="12" t="inlineStr">
        <is>
          <t>Senior/Lead</t>
        </is>
      </c>
      <c r="D961" s="8" t="inlineStr">
        <is>
          <t>Staff System Software Engineer</t>
        </is>
      </c>
      <c r="E961" s="7" t="inlineStr">
        <is>
          <t>SiFive</t>
        </is>
      </c>
      <c r="F961" s="8" t="inlineStr">
        <is>
          <t>Hsinchu, Taiwan</t>
        </is>
      </c>
      <c r="G961" s="8" t="n"/>
      <c r="H961" s="14" t="n"/>
      <c r="I961" s="15">
        <f>IF($H961="","",$H961-TODAY())</f>
        <v/>
      </c>
      <c r="J961" s="16" t="inlineStr">
        <is>
          <t>Open posting</t>
        </is>
      </c>
      <c r="K961" s="8" t="inlineStr">
        <is>
          <t>filtered by keyword pre-scan</t>
        </is>
      </c>
      <c r="L961" s="17" t="inlineStr">
        <is>
          <t>new</t>
        </is>
      </c>
      <c r="M961" s="18" t="inlineStr"/>
      <c r="N961" s="7" t="inlineStr">
        <is>
          <t>1a496848f5fe73ea1df3506440245fd88cb384a8</t>
        </is>
      </c>
      <c r="O961" s="14" t="n"/>
      <c r="P961" s="7" t="inlineStr">
        <is>
          <t>workday</t>
        </is>
      </c>
      <c r="Q961" s="8" t="inlineStr"/>
      <c r="R961" s="8" t="n"/>
      <c r="S961" s="19" t="n"/>
      <c r="T961" s="19" t="n"/>
      <c r="U961" s="14" t="n">
        <v>46189</v>
      </c>
      <c r="V961" s="7" t="inlineStr">
        <is>
          <t>v1-db41edab064373dd</t>
        </is>
      </c>
    </row>
    <row r="962" ht="28" customHeight="1">
      <c r="A962" s="12">
        <f>IF($L962="applied","Applied",IF($L962="interview","Interview",IF($L962="offer","Offer",IF($L962="rejected","Rejected",IF($L962="ignore","Ignore",IF($L962="archive","Archive",IF($L962="closed","Closed",IF($B962="","Unscored",IF(AND($B962&gt;=8,OR($H962="",$H962-TODAY()&lt;=14)),"P1 Apply",IF($B962&gt;=7,"P2 Strong",IF($B962&gt;=5,"P3 Maybe","P4 Low")))))))))))</f>
        <v/>
      </c>
      <c r="B962" s="13" t="n">
        <v>1</v>
      </c>
      <c r="C962" s="12" t="inlineStr">
        <is>
          <t>Senior/Lead</t>
        </is>
      </c>
      <c r="D962" s="8" t="inlineStr">
        <is>
          <t>Staff Design Verification Engineer</t>
        </is>
      </c>
      <c r="E962" s="7" t="inlineStr">
        <is>
          <t>SiFive</t>
        </is>
      </c>
      <c r="F962" s="8" t="inlineStr">
        <is>
          <t>Hsinchu, Taiwan</t>
        </is>
      </c>
      <c r="G962" s="8" t="n"/>
      <c r="H962" s="14" t="n"/>
      <c r="I962" s="15">
        <f>IF($H962="","",$H962-TODAY())</f>
        <v/>
      </c>
      <c r="J962" s="16" t="inlineStr">
        <is>
          <t>Open posting</t>
        </is>
      </c>
      <c r="K962" s="8" t="inlineStr">
        <is>
          <t>filtered by keyword pre-scan</t>
        </is>
      </c>
      <c r="L962" s="17" t="inlineStr">
        <is>
          <t>new</t>
        </is>
      </c>
      <c r="M962" s="18" t="inlineStr"/>
      <c r="N962" s="7" t="inlineStr">
        <is>
          <t>d898322c40338c2bd9b618096000343a6e2f1243</t>
        </is>
      </c>
      <c r="O962" s="14" t="n"/>
      <c r="P962" s="7" t="inlineStr">
        <is>
          <t>workday</t>
        </is>
      </c>
      <c r="Q962" s="8" t="inlineStr"/>
      <c r="R962" s="8" t="n"/>
      <c r="S962" s="19" t="n"/>
      <c r="T962" s="19" t="n"/>
      <c r="U962" s="14" t="n">
        <v>46189</v>
      </c>
      <c r="V962" s="7" t="inlineStr">
        <is>
          <t>v1-db41edab064373dd</t>
        </is>
      </c>
    </row>
    <row r="963" ht="28" customHeight="1">
      <c r="A963" s="12">
        <f>IF($L963="applied","Applied",IF($L963="interview","Interview",IF($L963="offer","Offer",IF($L963="rejected","Rejected",IF($L963="ignore","Ignore",IF($L963="archive","Archive",IF($L963="closed","Closed",IF($B963="","Unscored",IF(AND($B963&gt;=8,OR($H963="",$H963-TODAY()&lt;=14)),"P1 Apply",IF($B963&gt;=7,"P2 Strong",IF($B963&gt;=5,"P3 Maybe","P4 Low")))))))))))</f>
        <v/>
      </c>
      <c r="B963" s="13" t="n">
        <v>1</v>
      </c>
      <c r="C963" s="12" t="inlineStr">
        <is>
          <t>Senior/Lead</t>
        </is>
      </c>
      <c r="D963" s="8" t="inlineStr">
        <is>
          <t>Director of Licensing</t>
        </is>
      </c>
      <c r="E963" s="7" t="inlineStr">
        <is>
          <t>SiFive</t>
        </is>
      </c>
      <c r="F963" s="8" t="inlineStr">
        <is>
          <t>2 Locations</t>
        </is>
      </c>
      <c r="G963" s="8" t="n"/>
      <c r="H963" s="14" t="n"/>
      <c r="I963" s="15">
        <f>IF($H963="","",$H963-TODAY())</f>
        <v/>
      </c>
      <c r="J963" s="16" t="inlineStr">
        <is>
          <t>Open posting</t>
        </is>
      </c>
      <c r="K963" s="8" t="inlineStr">
        <is>
          <t>filtered by keyword pre-scan</t>
        </is>
      </c>
      <c r="L963" s="17" t="inlineStr">
        <is>
          <t>new</t>
        </is>
      </c>
      <c r="M963" s="18" t="inlineStr"/>
      <c r="N963" s="7" t="inlineStr">
        <is>
          <t>bfe3798e256c66c01e2219edaa83b9107803639f</t>
        </is>
      </c>
      <c r="O963" s="14" t="n"/>
      <c r="P963" s="7" t="inlineStr">
        <is>
          <t>workday</t>
        </is>
      </c>
      <c r="Q963" s="8" t="inlineStr"/>
      <c r="R963" s="8" t="n"/>
      <c r="S963" s="19" t="n"/>
      <c r="T963" s="19" t="n"/>
      <c r="U963" s="14" t="n">
        <v>46189</v>
      </c>
      <c r="V963" s="7" t="inlineStr">
        <is>
          <t>v1-db41edab064373dd</t>
        </is>
      </c>
    </row>
    <row r="964" ht="28" customHeight="1">
      <c r="A964" s="12">
        <f>IF($L964="applied","Applied",IF($L964="interview","Interview",IF($L964="offer","Offer",IF($L964="rejected","Rejected",IF($L964="ignore","Ignore",IF($L964="archive","Archive",IF($L964="closed","Closed",IF($B964="","Unscored",IF(AND($B964&gt;=8,OR($H964="",$H964-TODAY()&lt;=14)),"P1 Apply",IF($B964&gt;=7,"P2 Strong",IF($B964&gt;=5,"P3 Maybe","P4 Low")))))))))))</f>
        <v/>
      </c>
      <c r="B964" s="13" t="n">
        <v>1</v>
      </c>
      <c r="C964" s="12" t="inlineStr">
        <is>
          <t>Senior/Lead</t>
        </is>
      </c>
      <c r="D964" s="8" t="inlineStr">
        <is>
          <t>Staff Design Verification Infrastructure Engineer - VIPs and Testbench</t>
        </is>
      </c>
      <c r="E964" s="7" t="inlineStr">
        <is>
          <t>SiFive</t>
        </is>
      </c>
      <c r="F964" s="8" t="inlineStr">
        <is>
          <t>Bengaluru, Karnataka, India</t>
        </is>
      </c>
      <c r="G964" s="8" t="n"/>
      <c r="H964" s="14" t="n"/>
      <c r="I964" s="15">
        <f>IF($H964="","",$H964-TODAY())</f>
        <v/>
      </c>
      <c r="J964" s="16" t="inlineStr">
        <is>
          <t>Open posting</t>
        </is>
      </c>
      <c r="K964" s="8" t="inlineStr">
        <is>
          <t>filtered by keyword pre-scan</t>
        </is>
      </c>
      <c r="L964" s="17" t="inlineStr">
        <is>
          <t>new</t>
        </is>
      </c>
      <c r="M964" s="18" t="inlineStr"/>
      <c r="N964" s="7" t="inlineStr">
        <is>
          <t>f34ed680f8df966a68ad7e8081bcfc38bdc05263</t>
        </is>
      </c>
      <c r="O964" s="14" t="n"/>
      <c r="P964" s="7" t="inlineStr">
        <is>
          <t>workday</t>
        </is>
      </c>
      <c r="Q964" s="8" t="inlineStr"/>
      <c r="R964" s="8" t="n"/>
      <c r="S964" s="19" t="n"/>
      <c r="T964" s="19" t="n"/>
      <c r="U964" s="14" t="n">
        <v>46189</v>
      </c>
      <c r="V964" s="7" t="inlineStr">
        <is>
          <t>v1-db41edab064373dd</t>
        </is>
      </c>
    </row>
    <row r="965" ht="28" customHeight="1">
      <c r="A965" s="12">
        <f>IF($L965="applied","Applied",IF($L965="interview","Interview",IF($L965="offer","Offer",IF($L965="rejected","Rejected",IF($L965="ignore","Ignore",IF($L965="archive","Archive",IF($L965="closed","Closed",IF($B965="","Unscored",IF(AND($B965&gt;=8,OR($H965="",$H965-TODAY()&lt;=14)),"P1 Apply",IF($B965&gt;=7,"P2 Strong",IF($B965&gt;=5,"P3 Maybe","P4 Low")))))))))))</f>
        <v/>
      </c>
      <c r="B965" s="13" t="n">
        <v>1</v>
      </c>
      <c r="C965" s="12" t="inlineStr">
        <is>
          <t>Senior/Lead</t>
        </is>
      </c>
      <c r="D965" s="8" t="inlineStr">
        <is>
          <t>Staff Design Verification Infrastructure Engineer - VIPs and Testbench</t>
        </is>
      </c>
      <c r="E965" s="7" t="inlineStr">
        <is>
          <t>SiFive</t>
        </is>
      </c>
      <c r="F965" s="8" t="inlineStr">
        <is>
          <t>Bengaluru, Karnataka, India</t>
        </is>
      </c>
      <c r="G965" s="8" t="n"/>
      <c r="H965" s="14" t="n"/>
      <c r="I965" s="15">
        <f>IF($H965="","",$H965-TODAY())</f>
        <v/>
      </c>
      <c r="J965" s="16" t="inlineStr">
        <is>
          <t>Open posting</t>
        </is>
      </c>
      <c r="K965" s="8" t="inlineStr">
        <is>
          <t>filtered by keyword pre-scan</t>
        </is>
      </c>
      <c r="L965" s="17" t="inlineStr">
        <is>
          <t>new</t>
        </is>
      </c>
      <c r="M965" s="18" t="inlineStr"/>
      <c r="N965" s="7" t="inlineStr">
        <is>
          <t>02fbbb4f2dae02c29778a21cb88776954a289ef8</t>
        </is>
      </c>
      <c r="O965" s="14" t="n"/>
      <c r="P965" s="7" t="inlineStr">
        <is>
          <t>workday</t>
        </is>
      </c>
      <c r="Q965" s="8" t="inlineStr"/>
      <c r="R965" s="8" t="n"/>
      <c r="S965" s="19" t="n"/>
      <c r="T965" s="19" t="n"/>
      <c r="U965" s="14" t="n">
        <v>46189</v>
      </c>
      <c r="V965" s="7" t="inlineStr">
        <is>
          <t>v1-db41edab064373dd</t>
        </is>
      </c>
    </row>
    <row r="966" ht="28" customHeight="1">
      <c r="A966" s="12">
        <f>IF($L966="applied","Applied",IF($L966="interview","Interview",IF($L966="offer","Offer",IF($L966="rejected","Rejected",IF($L966="ignore","Ignore",IF($L966="archive","Archive",IF($L966="closed","Closed",IF($B966="","Unscored",IF(AND($B966&gt;=8,OR($H966="",$H966-TODAY()&lt;=14)),"P1 Apply",IF($B966&gt;=7,"P2 Strong",IF($B966&gt;=5,"P3 Maybe","P4 Low")))))))))))</f>
        <v/>
      </c>
      <c r="B966" s="13" t="n">
        <v>1</v>
      </c>
      <c r="C966" s="12" t="inlineStr">
        <is>
          <t>Senior/Lead</t>
        </is>
      </c>
      <c r="D966" s="8" t="inlineStr">
        <is>
          <t>Staff Engineer for RAS</t>
        </is>
      </c>
      <c r="E966" s="7" t="inlineStr">
        <is>
          <t>SiFive</t>
        </is>
      </c>
      <c r="F966" s="8" t="inlineStr">
        <is>
          <t>Bengaluru, Karnataka, India</t>
        </is>
      </c>
      <c r="G966" s="8" t="n"/>
      <c r="H966" s="14" t="n"/>
      <c r="I966" s="15">
        <f>IF($H966="","",$H966-TODAY())</f>
        <v/>
      </c>
      <c r="J966" s="16" t="inlineStr">
        <is>
          <t>Open posting</t>
        </is>
      </c>
      <c r="K966" s="8" t="inlineStr">
        <is>
          <t>filtered by keyword pre-scan</t>
        </is>
      </c>
      <c r="L966" s="17" t="inlineStr">
        <is>
          <t>new</t>
        </is>
      </c>
      <c r="M966" s="18" t="inlineStr"/>
      <c r="N966" s="7" t="inlineStr">
        <is>
          <t>0e04534458c95a7a2aee75c68e4aec3cc5c7c8fd</t>
        </is>
      </c>
      <c r="O966" s="14" t="n"/>
      <c r="P966" s="7" t="inlineStr">
        <is>
          <t>workday</t>
        </is>
      </c>
      <c r="Q966" s="8" t="inlineStr"/>
      <c r="R966" s="8" t="n"/>
      <c r="S966" s="19" t="n"/>
      <c r="T966" s="19" t="n"/>
      <c r="U966" s="14" t="n">
        <v>46189</v>
      </c>
      <c r="V966" s="7" t="inlineStr">
        <is>
          <t>v1-db41edab064373dd</t>
        </is>
      </c>
    </row>
    <row r="967" ht="28" customHeight="1">
      <c r="A967" s="12">
        <f>IF($L967="applied","Applied",IF($L967="interview","Interview",IF($L967="offer","Offer",IF($L967="rejected","Rejected",IF($L967="ignore","Ignore",IF($L967="archive","Archive",IF($L967="closed","Closed",IF($B967="","Unscored",IF(AND($B967&gt;=8,OR($H967="",$H967-TODAY()&lt;=14)),"P1 Apply",IF($B967&gt;=7,"P2 Strong",IF($B967&gt;=5,"P3 Maybe","P4 Low")))))))))))</f>
        <v/>
      </c>
      <c r="B967" s="13" t="n">
        <v>1</v>
      </c>
      <c r="C967" s="12" t="inlineStr">
        <is>
          <t>Senior/Lead</t>
        </is>
      </c>
      <c r="D967" s="8" t="inlineStr">
        <is>
          <t>Staff Design Verification Engineer – Coherent Interconnect</t>
        </is>
      </c>
      <c r="E967" s="7" t="inlineStr">
        <is>
          <t>SiFive</t>
        </is>
      </c>
      <c r="F967" s="8" t="inlineStr">
        <is>
          <t>2 Locations</t>
        </is>
      </c>
      <c r="G967" s="8" t="n"/>
      <c r="H967" s="14" t="n"/>
      <c r="I967" s="15">
        <f>IF($H967="","",$H967-TODAY())</f>
        <v/>
      </c>
      <c r="J967" s="16" t="inlineStr">
        <is>
          <t>Open posting</t>
        </is>
      </c>
      <c r="K967" s="8" t="inlineStr">
        <is>
          <t>filtered by keyword pre-scan</t>
        </is>
      </c>
      <c r="L967" s="17" t="inlineStr">
        <is>
          <t>new</t>
        </is>
      </c>
      <c r="M967" s="18" t="inlineStr"/>
      <c r="N967" s="7" t="inlineStr">
        <is>
          <t>72168f7dedee1a203c9657f7e5fbc03ebdcd3a52</t>
        </is>
      </c>
      <c r="O967" s="14" t="n"/>
      <c r="P967" s="7" t="inlineStr">
        <is>
          <t>workday</t>
        </is>
      </c>
      <c r="Q967" s="8" t="inlineStr"/>
      <c r="R967" s="8" t="n"/>
      <c r="S967" s="19" t="n"/>
      <c r="T967" s="19" t="n"/>
      <c r="U967" s="14" t="n">
        <v>46189</v>
      </c>
      <c r="V967" s="7" t="inlineStr">
        <is>
          <t>v1-db41edab064373dd</t>
        </is>
      </c>
    </row>
    <row r="968" ht="28" customHeight="1">
      <c r="A968" s="12">
        <f>IF($L968="applied","Applied",IF($L968="interview","Interview",IF($L968="offer","Offer",IF($L968="rejected","Rejected",IF($L968="ignore","Ignore",IF($L968="archive","Archive",IF($L968="closed","Closed",IF($B968="","Unscored",IF(AND($B968&gt;=8,OR($H968="",$H968-TODAY()&lt;=14)),"P1 Apply",IF($B968&gt;=7,"P2 Strong",IF($B968&gt;=5,"P3 Maybe","P4 Low")))))))))))</f>
        <v/>
      </c>
      <c r="B968" s="13" t="n">
        <v>1</v>
      </c>
      <c r="C968" s="12" t="inlineStr">
        <is>
          <t>Senior/Lead</t>
        </is>
      </c>
      <c r="D968" s="8" t="inlineStr">
        <is>
          <t>Senior Engineer, PPA Analytics &amp; CAD</t>
        </is>
      </c>
      <c r="E968" s="7" t="inlineStr">
        <is>
          <t>SiFive</t>
        </is>
      </c>
      <c r="F968" s="8" t="inlineStr">
        <is>
          <t>Bengaluru, Karnataka, India</t>
        </is>
      </c>
      <c r="G968" s="8" t="n"/>
      <c r="H968" s="14" t="n"/>
      <c r="I968" s="15">
        <f>IF($H968="","",$H968-TODAY())</f>
        <v/>
      </c>
      <c r="J968" s="16" t="inlineStr">
        <is>
          <t>Open posting</t>
        </is>
      </c>
      <c r="K968" s="8" t="inlineStr">
        <is>
          <t>filtered by keyword pre-scan</t>
        </is>
      </c>
      <c r="L968" s="17" t="inlineStr">
        <is>
          <t>new</t>
        </is>
      </c>
      <c r="M968" s="18" t="inlineStr"/>
      <c r="N968" s="7" t="inlineStr">
        <is>
          <t>329eef3154db166939281682e9fc540ea301067b</t>
        </is>
      </c>
      <c r="O968" s="14" t="n"/>
      <c r="P968" s="7" t="inlineStr">
        <is>
          <t>workday</t>
        </is>
      </c>
      <c r="Q968" s="8" t="inlineStr"/>
      <c r="R968" s="8" t="n"/>
      <c r="S968" s="19" t="n"/>
      <c r="T968" s="19" t="n"/>
      <c r="U968" s="14" t="n">
        <v>46189</v>
      </c>
      <c r="V968" s="7" t="inlineStr">
        <is>
          <t>v1-db41edab064373dd</t>
        </is>
      </c>
    </row>
    <row r="969" ht="28" customHeight="1">
      <c r="A969" s="12">
        <f>IF($L969="applied","Applied",IF($L969="interview","Interview",IF($L969="offer","Offer",IF($L969="rejected","Rejected",IF($L969="ignore","Ignore",IF($L969="archive","Archive",IF($L969="closed","Closed",IF($B969="","Unscored",IF(AND($B969&gt;=8,OR($H969="",$H969-TODAY()&lt;=14)),"P1 Apply",IF($B969&gt;=7,"P2 Strong",IF($B969&gt;=5,"P3 Maybe","P4 Low")))))))))))</f>
        <v/>
      </c>
      <c r="B969" s="13" t="n">
        <v>1</v>
      </c>
      <c r="C969" s="12" t="inlineStr">
        <is>
          <t>Senior/Lead</t>
        </is>
      </c>
      <c r="D969" s="8" t="inlineStr">
        <is>
          <t>Staff Engineer, Low Power Verification &amp; Formal Equivalence</t>
        </is>
      </c>
      <c r="E969" s="7" t="inlineStr">
        <is>
          <t>SiFive</t>
        </is>
      </c>
      <c r="F969" s="8" t="inlineStr">
        <is>
          <t>Bengaluru, Karnataka, India</t>
        </is>
      </c>
      <c r="G969" s="8" t="n"/>
      <c r="H969" s="14" t="n"/>
      <c r="I969" s="15">
        <f>IF($H969="","",$H969-TODAY())</f>
        <v/>
      </c>
      <c r="J969" s="16" t="inlineStr">
        <is>
          <t>Open posting</t>
        </is>
      </c>
      <c r="K969" s="8" t="inlineStr">
        <is>
          <t>filtered by keyword pre-scan</t>
        </is>
      </c>
      <c r="L969" s="17" t="inlineStr">
        <is>
          <t>new</t>
        </is>
      </c>
      <c r="M969" s="18" t="inlineStr"/>
      <c r="N969" s="7" t="inlineStr">
        <is>
          <t>221b68e73dd6ec7d3cb6af998dcc610543acbf08</t>
        </is>
      </c>
      <c r="O969" s="14" t="n"/>
      <c r="P969" s="7" t="inlineStr">
        <is>
          <t>workday</t>
        </is>
      </c>
      <c r="Q969" s="8" t="inlineStr"/>
      <c r="R969" s="8" t="n"/>
      <c r="S969" s="19" t="n"/>
      <c r="T969" s="19" t="n"/>
      <c r="U969" s="14" t="n">
        <v>46189</v>
      </c>
      <c r="V969" s="7" t="inlineStr">
        <is>
          <t>v1-db41edab064373dd</t>
        </is>
      </c>
    </row>
    <row r="970" ht="28" customHeight="1">
      <c r="A970" s="12">
        <f>IF($L970="applied","Applied",IF($L970="interview","Interview",IF($L970="offer","Offer",IF($L970="rejected","Rejected",IF($L970="ignore","Ignore",IF($L970="archive","Archive",IF($L970="closed","Closed",IF($B970="","Unscored",IF(AND($B970&gt;=8,OR($H970="",$H970-TODAY()&lt;=14)),"P1 Apply",IF($B970&gt;=7,"P2 Strong",IF($B970&gt;=5,"P3 Maybe","P4 Low")))))))))))</f>
        <v/>
      </c>
      <c r="B970" s="13" t="n">
        <v>1</v>
      </c>
      <c r="C970" s="12" t="inlineStr">
        <is>
          <t>Senior/Lead</t>
        </is>
      </c>
      <c r="D970" s="8" t="inlineStr">
        <is>
          <t>Staff Engineer, Physical Design - Caches</t>
        </is>
      </c>
      <c r="E970" s="7" t="inlineStr">
        <is>
          <t>SiFive</t>
        </is>
      </c>
      <c r="F970" s="8" t="inlineStr">
        <is>
          <t>Bengaluru, Karnataka, India</t>
        </is>
      </c>
      <c r="G970" s="8" t="n"/>
      <c r="H970" s="14" t="n"/>
      <c r="I970" s="15">
        <f>IF($H970="","",$H970-TODAY())</f>
        <v/>
      </c>
      <c r="J970" s="16" t="inlineStr">
        <is>
          <t>Open posting</t>
        </is>
      </c>
      <c r="K970" s="8" t="inlineStr">
        <is>
          <t>filtered by keyword pre-scan</t>
        </is>
      </c>
      <c r="L970" s="17" t="inlineStr">
        <is>
          <t>new</t>
        </is>
      </c>
      <c r="M970" s="18" t="inlineStr"/>
      <c r="N970" s="7" t="inlineStr">
        <is>
          <t>1e4e848c4d96c6e95c7f8e16d1e440eeb67b0760</t>
        </is>
      </c>
      <c r="O970" s="14" t="n"/>
      <c r="P970" s="7" t="inlineStr">
        <is>
          <t>workday</t>
        </is>
      </c>
      <c r="Q970" s="8" t="inlineStr"/>
      <c r="R970" s="8" t="n"/>
      <c r="S970" s="19" t="n"/>
      <c r="T970" s="19" t="n"/>
      <c r="U970" s="14" t="n">
        <v>46189</v>
      </c>
      <c r="V970" s="7" t="inlineStr">
        <is>
          <t>v1-db41edab064373dd</t>
        </is>
      </c>
    </row>
    <row r="971" ht="28" customHeight="1">
      <c r="A971" s="12">
        <f>IF($L971="applied","Applied",IF($L971="interview","Interview",IF($L971="offer","Offer",IF($L971="rejected","Rejected",IF($L971="ignore","Ignore",IF($L971="archive","Archive",IF($L971="closed","Closed",IF($B971="","Unscored",IF(AND($B971&gt;=8,OR($H971="",$H971-TODAY()&lt;=14)),"P1 Apply",IF($B971&gt;=7,"P2 Strong",IF($B971&gt;=5,"P3 Maybe","P4 Low")))))))))))</f>
        <v/>
      </c>
      <c r="B971" s="13" t="n">
        <v>1</v>
      </c>
      <c r="C971" s="12" t="inlineStr">
        <is>
          <t>Senior/Lead</t>
        </is>
      </c>
      <c r="D971" s="8" t="inlineStr">
        <is>
          <t>Senior Staff Engineer, Physical Design - NoC</t>
        </is>
      </c>
      <c r="E971" s="7" t="inlineStr">
        <is>
          <t>SiFive</t>
        </is>
      </c>
      <c r="F971" s="8" t="inlineStr">
        <is>
          <t>Bengaluru, Karnataka, India</t>
        </is>
      </c>
      <c r="G971" s="8" t="n"/>
      <c r="H971" s="14" t="n"/>
      <c r="I971" s="15">
        <f>IF($H971="","",$H971-TODAY())</f>
        <v/>
      </c>
      <c r="J971" s="16" t="inlineStr">
        <is>
          <t>Open posting</t>
        </is>
      </c>
      <c r="K971" s="8" t="inlineStr">
        <is>
          <t>filtered by keyword pre-scan</t>
        </is>
      </c>
      <c r="L971" s="17" t="inlineStr">
        <is>
          <t>new</t>
        </is>
      </c>
      <c r="M971" s="18" t="inlineStr"/>
      <c r="N971" s="7" t="inlineStr">
        <is>
          <t>42298c3a2ef616dbbe8d7e16311ee4f6ea53c28e</t>
        </is>
      </c>
      <c r="O971" s="14" t="n"/>
      <c r="P971" s="7" t="inlineStr">
        <is>
          <t>workday</t>
        </is>
      </c>
      <c r="Q971" s="8" t="inlineStr"/>
      <c r="R971" s="8" t="n"/>
      <c r="S971" s="19" t="n"/>
      <c r="T971" s="19" t="n"/>
      <c r="U971" s="14" t="n">
        <v>46189</v>
      </c>
      <c r="V971" s="7" t="inlineStr">
        <is>
          <t>v1-db41edab064373dd</t>
        </is>
      </c>
    </row>
    <row r="972" ht="28" customHeight="1">
      <c r="A972" s="12">
        <f>IF($L972="applied","Applied",IF($L972="interview","Interview",IF($L972="offer","Offer",IF($L972="rejected","Rejected",IF($L972="ignore","Ignore",IF($L972="archive","Archive",IF($L972="closed","Closed",IF($B972="","Unscored",IF(AND($B972&gt;=8,OR($H972="",$H972-TODAY()&lt;=14)),"P1 Apply",IF($B972&gt;=7,"P2 Strong",IF($B972&gt;=5,"P3 Maybe","P4 Low")))))))))))</f>
        <v/>
      </c>
      <c r="B972" s="13" t="n">
        <v>1</v>
      </c>
      <c r="C972" s="12" t="inlineStr">
        <is>
          <t>Senior/Lead</t>
        </is>
      </c>
      <c r="D972" s="8" t="inlineStr">
        <is>
          <t>Principal Design Verification Engineer – High Performance CPU Subsystem</t>
        </is>
      </c>
      <c r="E972" s="7" t="inlineStr">
        <is>
          <t>SiFive</t>
        </is>
      </c>
      <c r="F972" s="8" t="inlineStr">
        <is>
          <t>2 Locations</t>
        </is>
      </c>
      <c r="G972" s="8" t="n"/>
      <c r="H972" s="14" t="n"/>
      <c r="I972" s="15">
        <f>IF($H972="","",$H972-TODAY())</f>
        <v/>
      </c>
      <c r="J972" s="16" t="inlineStr">
        <is>
          <t>Open posting</t>
        </is>
      </c>
      <c r="K972" s="8" t="inlineStr">
        <is>
          <t>filtered by keyword pre-scan</t>
        </is>
      </c>
      <c r="L972" s="17" t="inlineStr">
        <is>
          <t>new</t>
        </is>
      </c>
      <c r="M972" s="18" t="inlineStr"/>
      <c r="N972" s="7" t="inlineStr">
        <is>
          <t>c82dfe33391e5fcc92e2e3e9d102156067768030</t>
        </is>
      </c>
      <c r="O972" s="14" t="n"/>
      <c r="P972" s="7" t="inlineStr">
        <is>
          <t>workday</t>
        </is>
      </c>
      <c r="Q972" s="8" t="inlineStr"/>
      <c r="R972" s="8" t="n"/>
      <c r="S972" s="19" t="n"/>
      <c r="T972" s="19" t="n"/>
      <c r="U972" s="14" t="n">
        <v>46189</v>
      </c>
      <c r="V972" s="7" t="inlineStr">
        <is>
          <t>v1-db41edab064373dd</t>
        </is>
      </c>
    </row>
    <row r="973" ht="28" customHeight="1">
      <c r="A973" s="12">
        <f>IF($L973="applied","Applied",IF($L973="interview","Interview",IF($L973="offer","Offer",IF($L973="rejected","Rejected",IF($L973="ignore","Ignore",IF($L973="archive","Archive",IF($L973="closed","Closed",IF($B973="","Unscored",IF(AND($B973&gt;=8,OR($H973="",$H973-TODAY()&lt;=14)),"P1 Apply",IF($B973&gt;=7,"P2 Strong",IF($B973&gt;=5,"P3 Maybe","P4 Low")))))))))))</f>
        <v/>
      </c>
      <c r="B973" s="13" t="n">
        <v>1</v>
      </c>
      <c r="C973" s="12" t="inlineStr">
        <is>
          <t>Senior/Lead</t>
        </is>
      </c>
      <c r="D973" s="8" t="inlineStr">
        <is>
          <t>Staff Design Verification Engineer – Coherent Interconnect</t>
        </is>
      </c>
      <c r="E973" s="7" t="inlineStr">
        <is>
          <t>SiFive</t>
        </is>
      </c>
      <c r="F973" s="8" t="inlineStr">
        <is>
          <t>2 Locations</t>
        </is>
      </c>
      <c r="G973" s="8" t="n"/>
      <c r="H973" s="14" t="n"/>
      <c r="I973" s="15">
        <f>IF($H973="","",$H973-TODAY())</f>
        <v/>
      </c>
      <c r="J973" s="16" t="inlineStr">
        <is>
          <t>Open posting</t>
        </is>
      </c>
      <c r="K973" s="8" t="inlineStr">
        <is>
          <t>filtered by keyword pre-scan</t>
        </is>
      </c>
      <c r="L973" s="17" t="inlineStr">
        <is>
          <t>new</t>
        </is>
      </c>
      <c r="M973" s="18" t="inlineStr"/>
      <c r="N973" s="7" t="inlineStr">
        <is>
          <t>540b063eec1b0bec6ca259b602dc420115e633c0</t>
        </is>
      </c>
      <c r="O973" s="14" t="n"/>
      <c r="P973" s="7" t="inlineStr">
        <is>
          <t>workday</t>
        </is>
      </c>
      <c r="Q973" s="8" t="inlineStr"/>
      <c r="R973" s="8" t="n"/>
      <c r="S973" s="19" t="n"/>
      <c r="T973" s="19" t="n"/>
      <c r="U973" s="14" t="n">
        <v>46189</v>
      </c>
      <c r="V973" s="7" t="inlineStr">
        <is>
          <t>v1-db41edab064373dd</t>
        </is>
      </c>
    </row>
    <row r="974" ht="28" customHeight="1">
      <c r="A974" s="12">
        <f>IF($L974="applied","Applied",IF($L974="interview","Interview",IF($L974="offer","Offer",IF($L974="rejected","Rejected",IF($L974="ignore","Ignore",IF($L974="archive","Archive",IF($L974="closed","Closed",IF($B974="","Unscored",IF(AND($B974&gt;=8,OR($H974="",$H974-TODAY()&lt;=14)),"P1 Apply",IF($B974&gt;=7,"P2 Strong",IF($B974&gt;=5,"P3 Maybe","P4 Low")))))))))))</f>
        <v/>
      </c>
      <c r="B974" s="13" t="n">
        <v>1</v>
      </c>
      <c r="C974" s="12" t="inlineStr">
        <is>
          <t>Senior/Lead</t>
        </is>
      </c>
      <c r="D974" s="8" t="inlineStr">
        <is>
          <t>Senior / Lead Design Verification Engineer (Formal &amp; Simulation)</t>
        </is>
      </c>
      <c r="E974" s="7" t="inlineStr">
        <is>
          <t>SiFive</t>
        </is>
      </c>
      <c r="F974" s="8" t="inlineStr">
        <is>
          <t>Ahmedabad, India</t>
        </is>
      </c>
      <c r="G974" s="8" t="n"/>
      <c r="H974" s="14" t="n"/>
      <c r="I974" s="15">
        <f>IF($H974="","",$H974-TODAY())</f>
        <v/>
      </c>
      <c r="J974" s="16" t="inlineStr">
        <is>
          <t>Open posting</t>
        </is>
      </c>
      <c r="K974" s="8" t="inlineStr">
        <is>
          <t>filtered by keyword pre-scan</t>
        </is>
      </c>
      <c r="L974" s="17" t="inlineStr">
        <is>
          <t>new</t>
        </is>
      </c>
      <c r="M974" s="18" t="inlineStr"/>
      <c r="N974" s="7" t="inlineStr">
        <is>
          <t>b2c5d5ac798909cdf9411d04783db4b6bc4e1b2d</t>
        </is>
      </c>
      <c r="O974" s="14" t="n"/>
      <c r="P974" s="7" t="inlineStr">
        <is>
          <t>workday</t>
        </is>
      </c>
      <c r="Q974" s="8" t="inlineStr"/>
      <c r="R974" s="8" t="n"/>
      <c r="S974" s="19" t="n"/>
      <c r="T974" s="19" t="n"/>
      <c r="U974" s="14" t="n">
        <v>46189</v>
      </c>
      <c r="V974" s="7" t="inlineStr">
        <is>
          <t>v1-db41edab064373dd</t>
        </is>
      </c>
    </row>
    <row r="975" ht="28" customHeight="1">
      <c r="A975" s="12">
        <f>IF($L975="applied","Applied",IF($L975="interview","Interview",IF($L975="offer","Offer",IF($L975="rejected","Rejected",IF($L975="ignore","Ignore",IF($L975="archive","Archive",IF($L975="closed","Closed",IF($B975="","Unscored",IF(AND($B975&gt;=8,OR($H975="",$H975-TODAY()&lt;=14)),"P1 Apply",IF($B975&gt;=7,"P2 Strong",IF($B975&gt;=5,"P3 Maybe","P4 Low")))))))))))</f>
        <v/>
      </c>
      <c r="B975" s="13" t="n">
        <v>1</v>
      </c>
      <c r="C975" s="12" t="inlineStr">
        <is>
          <t>Senior/Lead</t>
        </is>
      </c>
      <c r="D975" s="8" t="inlineStr">
        <is>
          <t>Senior / Staff Design Verification Engineer</t>
        </is>
      </c>
      <c r="E975" s="7" t="inlineStr">
        <is>
          <t>SiFive</t>
        </is>
      </c>
      <c r="F975" s="8" t="inlineStr">
        <is>
          <t>Ahmedabad, India</t>
        </is>
      </c>
      <c r="G975" s="8" t="n"/>
      <c r="H975" s="14" t="n"/>
      <c r="I975" s="15">
        <f>IF($H975="","",$H975-TODAY())</f>
        <v/>
      </c>
      <c r="J975" s="16" t="inlineStr">
        <is>
          <t>Open posting</t>
        </is>
      </c>
      <c r="K975" s="8" t="inlineStr">
        <is>
          <t>filtered by keyword pre-scan</t>
        </is>
      </c>
      <c r="L975" s="17" t="inlineStr">
        <is>
          <t>new</t>
        </is>
      </c>
      <c r="M975" s="18" t="inlineStr"/>
      <c r="N975" s="7" t="inlineStr">
        <is>
          <t>779369648ae714abf0f792fa37b6c84db24e4db4</t>
        </is>
      </c>
      <c r="O975" s="14" t="n"/>
      <c r="P975" s="7" t="inlineStr">
        <is>
          <t>workday</t>
        </is>
      </c>
      <c r="Q975" s="8" t="inlineStr"/>
      <c r="R975" s="8" t="n"/>
      <c r="S975" s="19" t="n"/>
      <c r="T975" s="19" t="n"/>
      <c r="U975" s="14" t="n">
        <v>46189</v>
      </c>
      <c r="V975" s="7" t="inlineStr">
        <is>
          <t>v1-db41edab064373dd</t>
        </is>
      </c>
    </row>
    <row r="976" ht="28" customHeight="1">
      <c r="A976" s="12">
        <f>IF($L976="applied","Applied",IF($L976="interview","Interview",IF($L976="offer","Offer",IF($L976="rejected","Rejected",IF($L976="ignore","Ignore",IF($L976="archive","Archive",IF($L976="closed","Closed",IF($B976="","Unscored",IF(AND($B976&gt;=8,OR($H976="",$H976-TODAY()&lt;=14)),"P1 Apply",IF($B976&gt;=7,"P2 Strong",IF($B976&gt;=5,"P3 Maybe","P4 Low")))))))))))</f>
        <v/>
      </c>
      <c r="B976" s="13" t="n">
        <v>1</v>
      </c>
      <c r="C976" s="12" t="inlineStr">
        <is>
          <t>Senior/Lead</t>
        </is>
      </c>
      <c r="D976" s="8" t="inlineStr">
        <is>
          <t>Senior Verification Engineer</t>
        </is>
      </c>
      <c r="E976" s="7" t="inlineStr">
        <is>
          <t>SiFive</t>
        </is>
      </c>
      <c r="F976" s="8" t="inlineStr">
        <is>
          <t>Hsinchu, Taiwan</t>
        </is>
      </c>
      <c r="G976" s="8" t="n"/>
      <c r="H976" s="14" t="n"/>
      <c r="I976" s="15">
        <f>IF($H976="","",$H976-TODAY())</f>
        <v/>
      </c>
      <c r="J976" s="16" t="inlineStr">
        <is>
          <t>Open posting</t>
        </is>
      </c>
      <c r="K976" s="8" t="inlineStr">
        <is>
          <t>filtered by keyword pre-scan</t>
        </is>
      </c>
      <c r="L976" s="17" t="inlineStr">
        <is>
          <t>new</t>
        </is>
      </c>
      <c r="M976" s="18" t="inlineStr"/>
      <c r="N976" s="7" t="inlineStr">
        <is>
          <t>aad384ca633a4db26ec94e63ff547243e17938d0</t>
        </is>
      </c>
      <c r="O976" s="14" t="n"/>
      <c r="P976" s="7" t="inlineStr">
        <is>
          <t>workday</t>
        </is>
      </c>
      <c r="Q976" s="8" t="inlineStr"/>
      <c r="R976" s="8" t="n"/>
      <c r="S976" s="19" t="n"/>
      <c r="T976" s="19" t="n"/>
      <c r="U976" s="14" t="n">
        <v>46189</v>
      </c>
      <c r="V976" s="7" t="inlineStr">
        <is>
          <t>v1-db41edab064373dd</t>
        </is>
      </c>
    </row>
    <row r="977" ht="28" customHeight="1">
      <c r="A977" s="12">
        <f>IF($L977="applied","Applied",IF($L977="interview","Interview",IF($L977="offer","Offer",IF($L977="rejected","Rejected",IF($L977="ignore","Ignore",IF($L977="archive","Archive",IF($L977="closed","Closed",IF($B977="","Unscored",IF(AND($B977&gt;=8,OR($H977="",$H977-TODAY()&lt;=14)),"P1 Apply",IF($B977&gt;=7,"P2 Strong",IF($B977&gt;=5,"P3 Maybe","P4 Low")))))))))))</f>
        <v/>
      </c>
      <c r="B977" s="13" t="n">
        <v>1</v>
      </c>
      <c r="C977" s="12" t="inlineStr">
        <is>
          <t>Senior/Lead</t>
        </is>
      </c>
      <c r="D977" s="8" t="inlineStr">
        <is>
          <t>Senior Software Engineer, Algorithms and Libraries of AI/ML/DSP</t>
        </is>
      </c>
      <c r="E977" s="7" t="inlineStr">
        <is>
          <t>SiFive</t>
        </is>
      </c>
      <c r="F977" s="8" t="inlineStr">
        <is>
          <t>Hsinchu, Taiwan</t>
        </is>
      </c>
      <c r="G977" s="8" t="n"/>
      <c r="H977" s="14" t="n"/>
      <c r="I977" s="15">
        <f>IF($H977="","",$H977-TODAY())</f>
        <v/>
      </c>
      <c r="J977" s="16" t="inlineStr">
        <is>
          <t>Open posting</t>
        </is>
      </c>
      <c r="K977" s="8" t="inlineStr">
        <is>
          <t>filtered by keyword pre-scan</t>
        </is>
      </c>
      <c r="L977" s="17" t="inlineStr">
        <is>
          <t>new</t>
        </is>
      </c>
      <c r="M977" s="18" t="inlineStr"/>
      <c r="N977" s="7" t="inlineStr">
        <is>
          <t>e024eb37225e90ec3cb089dbd5b861041cd61a88</t>
        </is>
      </c>
      <c r="O977" s="14" t="n"/>
      <c r="P977" s="7" t="inlineStr">
        <is>
          <t>workday</t>
        </is>
      </c>
      <c r="Q977" s="8" t="inlineStr"/>
      <c r="R977" s="8" t="n"/>
      <c r="S977" s="19" t="n"/>
      <c r="T977" s="19" t="n"/>
      <c r="U977" s="14" t="n">
        <v>46189</v>
      </c>
      <c r="V977" s="7" t="inlineStr">
        <is>
          <t>v1-db41edab064373dd</t>
        </is>
      </c>
    </row>
    <row r="978" ht="28" customHeight="1">
      <c r="A978" s="12">
        <f>IF($L978="applied","Applied",IF($L978="interview","Interview",IF($L978="offer","Offer",IF($L978="rejected","Rejected",IF($L978="ignore","Ignore",IF($L978="archive","Archive",IF($L978="closed","Closed",IF($B978="","Unscored",IF(AND($B978&gt;=8,OR($H978="",$H978-TODAY()&lt;=14)),"P1 Apply",IF($B978&gt;=7,"P2 Strong",IF($B978&gt;=5,"P3 Maybe","P4 Low")))))))))))</f>
        <v/>
      </c>
      <c r="B978" s="13" t="n">
        <v>1</v>
      </c>
      <c r="C978" s="12" t="inlineStr">
        <is>
          <t>Senior/Lead</t>
        </is>
      </c>
      <c r="D978" s="8" t="inlineStr">
        <is>
          <t>Staff Software Engineer, AI/ML Heterogeneous Systems</t>
        </is>
      </c>
      <c r="E978" s="7" t="inlineStr">
        <is>
          <t>SiFive</t>
        </is>
      </c>
      <c r="F978" s="8" t="inlineStr">
        <is>
          <t>Hsinchu, Taiwan</t>
        </is>
      </c>
      <c r="G978" s="8" t="n"/>
      <c r="H978" s="14" t="n"/>
      <c r="I978" s="15">
        <f>IF($H978="","",$H978-TODAY())</f>
        <v/>
      </c>
      <c r="J978" s="16" t="inlineStr">
        <is>
          <t>Open posting</t>
        </is>
      </c>
      <c r="K978" s="8" t="inlineStr">
        <is>
          <t>filtered by keyword pre-scan</t>
        </is>
      </c>
      <c r="L978" s="17" t="inlineStr">
        <is>
          <t>new</t>
        </is>
      </c>
      <c r="M978" s="18" t="inlineStr"/>
      <c r="N978" s="7" t="inlineStr">
        <is>
          <t>b4edce3360574b8b3b710b67b0df9f2fc190d9a4</t>
        </is>
      </c>
      <c r="O978" s="14" t="n"/>
      <c r="P978" s="7" t="inlineStr">
        <is>
          <t>workday</t>
        </is>
      </c>
      <c r="Q978" s="8" t="inlineStr"/>
      <c r="R978" s="8" t="n"/>
      <c r="S978" s="19" t="n"/>
      <c r="T978" s="19" t="n"/>
      <c r="U978" s="14" t="n">
        <v>46189</v>
      </c>
      <c r="V978" s="7" t="inlineStr">
        <is>
          <t>v1-db41edab064373dd</t>
        </is>
      </c>
    </row>
    <row r="979" ht="28" customHeight="1">
      <c r="A979" s="12">
        <f>IF($L979="applied","Applied",IF($L979="interview","Interview",IF($L979="offer","Offer",IF($L979="rejected","Rejected",IF($L979="ignore","Ignore",IF($L979="archive","Archive",IF($L979="closed","Closed",IF($B979="","Unscored",IF(AND($B979&gt;=8,OR($H979="",$H979-TODAY()&lt;=14)),"P1 Apply",IF($B979&gt;=7,"P2 Strong",IF($B979&gt;=5,"P3 Maybe","P4 Low")))))))))))</f>
        <v/>
      </c>
      <c r="B979" s="13" t="n">
        <v>1</v>
      </c>
      <c r="C979" s="12" t="inlineStr">
        <is>
          <t>Senior/Lead</t>
        </is>
      </c>
      <c r="D979" s="8" t="inlineStr">
        <is>
          <t>Senior Software Quality Assurance Engineer</t>
        </is>
      </c>
      <c r="E979" s="7" t="inlineStr">
        <is>
          <t>SiFive</t>
        </is>
      </c>
      <c r="F979" s="8" t="inlineStr">
        <is>
          <t>Hsinchu, Taiwan</t>
        </is>
      </c>
      <c r="G979" s="8" t="n"/>
      <c r="H979" s="14" t="n"/>
      <c r="I979" s="15">
        <f>IF($H979="","",$H979-TODAY())</f>
        <v/>
      </c>
      <c r="J979" s="16" t="inlineStr">
        <is>
          <t>Open posting</t>
        </is>
      </c>
      <c r="K979" s="8" t="inlineStr">
        <is>
          <t>filtered by keyword pre-scan</t>
        </is>
      </c>
      <c r="L979" s="17" t="inlineStr">
        <is>
          <t>new</t>
        </is>
      </c>
      <c r="M979" s="18" t="inlineStr"/>
      <c r="N979" s="7" t="inlineStr">
        <is>
          <t>0d245b03ca74c88e2ea2179eaa1d8d9cecf61bf6</t>
        </is>
      </c>
      <c r="O979" s="14" t="n"/>
      <c r="P979" s="7" t="inlineStr">
        <is>
          <t>workday</t>
        </is>
      </c>
      <c r="Q979" s="8" t="inlineStr"/>
      <c r="R979" s="8" t="n"/>
      <c r="S979" s="19" t="n"/>
      <c r="T979" s="19" t="n"/>
      <c r="U979" s="14" t="n">
        <v>46189</v>
      </c>
      <c r="V979" s="7" t="inlineStr">
        <is>
          <t>v1-db41edab064373dd</t>
        </is>
      </c>
    </row>
    <row r="980" ht="28" customHeight="1">
      <c r="A980" s="12">
        <f>IF($L980="applied","Applied",IF($L980="interview","Interview",IF($L980="offer","Offer",IF($L980="rejected","Rejected",IF($L980="ignore","Ignore",IF($L980="archive","Archive",IF($L980="closed","Closed",IF($B980="","Unscored",IF(AND($B980&gt;=8,OR($H980="",$H980-TODAY()&lt;=14)),"P1 Apply",IF($B980&gt;=7,"P2 Strong",IF($B980&gt;=5,"P3 Maybe","P4 Low")))))))))))</f>
        <v/>
      </c>
      <c r="B980" s="13" t="n">
        <v>1</v>
      </c>
      <c r="C980" s="12" t="inlineStr">
        <is>
          <t>Senior/Lead</t>
        </is>
      </c>
      <c r="D980" s="8" t="inlineStr">
        <is>
          <t>Staff Software Development Engineer in Test</t>
        </is>
      </c>
      <c r="E980" s="7" t="inlineStr">
        <is>
          <t>SiFive</t>
        </is>
      </c>
      <c r="F980" s="8" t="inlineStr">
        <is>
          <t>Hsinchu, Taiwan</t>
        </is>
      </c>
      <c r="G980" s="8" t="n"/>
      <c r="H980" s="14" t="n"/>
      <c r="I980" s="15">
        <f>IF($H980="","",$H980-TODAY())</f>
        <v/>
      </c>
      <c r="J980" s="16" t="inlineStr">
        <is>
          <t>Open posting</t>
        </is>
      </c>
      <c r="K980" s="8" t="inlineStr">
        <is>
          <t>filtered by keyword pre-scan</t>
        </is>
      </c>
      <c r="L980" s="17" t="inlineStr">
        <is>
          <t>new</t>
        </is>
      </c>
      <c r="M980" s="18" t="inlineStr"/>
      <c r="N980" s="7" t="inlineStr">
        <is>
          <t>8ba61d4a99ce4a030db8aa5a749099312a7be932</t>
        </is>
      </c>
      <c r="O980" s="14" t="n"/>
      <c r="P980" s="7" t="inlineStr">
        <is>
          <t>workday</t>
        </is>
      </c>
      <c r="Q980" s="8" t="inlineStr"/>
      <c r="R980" s="8" t="n"/>
      <c r="S980" s="19" t="n"/>
      <c r="T980" s="19" t="n"/>
      <c r="U980" s="14" t="n">
        <v>46189</v>
      </c>
      <c r="V980" s="7" t="inlineStr">
        <is>
          <t>v1-db41edab064373dd</t>
        </is>
      </c>
    </row>
    <row r="981" ht="28" customHeight="1">
      <c r="A981" s="12">
        <f>IF($L981="applied","Applied",IF($L981="interview","Interview",IF($L981="offer","Offer",IF($L981="rejected","Rejected",IF($L981="ignore","Ignore",IF($L981="archive","Archive",IF($L981="closed","Closed",IF($B981="","Unscored",IF(AND($B981&gt;=8,OR($H981="",$H981-TODAY()&lt;=14)),"P1 Apply",IF($B981&gt;=7,"P2 Strong",IF($B981&gt;=5,"P3 Maybe","P4 Low")))))))))))</f>
        <v/>
      </c>
      <c r="B981" s="13" t="n">
        <v>1</v>
      </c>
      <c r="C981" s="12" t="inlineStr">
        <is>
          <t>Senior/Lead</t>
        </is>
      </c>
      <c r="D981" s="8" t="inlineStr">
        <is>
          <t>System Validation Engineer to Staff Engineer</t>
        </is>
      </c>
      <c r="E981" s="7" t="inlineStr">
        <is>
          <t>SiFive</t>
        </is>
      </c>
      <c r="F981" s="8" t="inlineStr">
        <is>
          <t>Hsinchu, Taiwan</t>
        </is>
      </c>
      <c r="G981" s="8" t="n"/>
      <c r="H981" s="14" t="n"/>
      <c r="I981" s="15">
        <f>IF($H981="","",$H981-TODAY())</f>
        <v/>
      </c>
      <c r="J981" s="16" t="inlineStr">
        <is>
          <t>Open posting</t>
        </is>
      </c>
      <c r="K981" s="8" t="inlineStr">
        <is>
          <t>filtered by keyword pre-scan</t>
        </is>
      </c>
      <c r="L981" s="17" t="inlineStr">
        <is>
          <t>new</t>
        </is>
      </c>
      <c r="M981" s="18" t="inlineStr"/>
      <c r="N981" s="7" t="inlineStr">
        <is>
          <t>f34f0c48c6758ca227ec9c2eafb43cbacea4616f</t>
        </is>
      </c>
      <c r="O981" s="14" t="n"/>
      <c r="P981" s="7" t="inlineStr">
        <is>
          <t>workday</t>
        </is>
      </c>
      <c r="Q981" s="8" t="inlineStr"/>
      <c r="R981" s="8" t="n"/>
      <c r="S981" s="19" t="n"/>
      <c r="T981" s="19" t="n"/>
      <c r="U981" s="14" t="n">
        <v>46189</v>
      </c>
      <c r="V981" s="7" t="inlineStr">
        <is>
          <t>v1-db41edab064373dd</t>
        </is>
      </c>
    </row>
    <row r="982" ht="28" customHeight="1">
      <c r="A982" s="12">
        <f>IF($L982="applied","Applied",IF($L982="interview","Interview",IF($L982="offer","Offer",IF($L982="rejected","Rejected",IF($L982="ignore","Ignore",IF($L982="archive","Archive",IF($L982="closed","Closed",IF($B982="","Unscored",IF(AND($B982&gt;=8,OR($H982="",$H982-TODAY()&lt;=14)),"P1 Apply",IF($B982&gt;=7,"P2 Strong",IF($B982&gt;=5,"P3 Maybe","P4 Low")))))))))))</f>
        <v/>
      </c>
      <c r="B982" s="13" t="n">
        <v>1</v>
      </c>
      <c r="C982" s="12" t="inlineStr">
        <is>
          <t>Senior/Lead</t>
        </is>
      </c>
      <c r="D982" s="8" t="inlineStr">
        <is>
          <t>Principal Verification Engineer</t>
        </is>
      </c>
      <c r="E982" s="7" t="inlineStr">
        <is>
          <t>SiFive</t>
        </is>
      </c>
      <c r="F982" s="8" t="inlineStr">
        <is>
          <t>2 Locations</t>
        </is>
      </c>
      <c r="G982" s="8" t="n"/>
      <c r="H982" s="14" t="n"/>
      <c r="I982" s="15">
        <f>IF($H982="","",$H982-TODAY())</f>
        <v/>
      </c>
      <c r="J982" s="16" t="inlineStr">
        <is>
          <t>Open posting</t>
        </is>
      </c>
      <c r="K982" s="8" t="inlineStr">
        <is>
          <t>filtered by keyword pre-scan</t>
        </is>
      </c>
      <c r="L982" s="17" t="inlineStr">
        <is>
          <t>new</t>
        </is>
      </c>
      <c r="M982" s="18" t="inlineStr"/>
      <c r="N982" s="7" t="inlineStr">
        <is>
          <t>84aa44311f52b135705cc582d0f860e17a6b0767</t>
        </is>
      </c>
      <c r="O982" s="14" t="n"/>
      <c r="P982" s="7" t="inlineStr">
        <is>
          <t>workday</t>
        </is>
      </c>
      <c r="Q982" s="8" t="inlineStr"/>
      <c r="R982" s="8" t="n"/>
      <c r="S982" s="19" t="n"/>
      <c r="T982" s="19" t="n"/>
      <c r="U982" s="14" t="n">
        <v>46189</v>
      </c>
      <c r="V982" s="7" t="inlineStr">
        <is>
          <t>v1-db41edab064373dd</t>
        </is>
      </c>
    </row>
    <row r="983" ht="28" customHeight="1">
      <c r="A983" s="12">
        <f>IF($L983="applied","Applied",IF($L983="interview","Interview",IF($L983="offer","Offer",IF($L983="rejected","Rejected",IF($L983="ignore","Ignore",IF($L983="archive","Archive",IF($L983="closed","Closed",IF($B983="","Unscored",IF(AND($B983&gt;=8,OR($H983="",$H983-TODAY()&lt;=14)),"P1 Apply",IF($B983&gt;=7,"P2 Strong",IF($B983&gt;=5,"P3 Maybe","P4 Low")))))))))))</f>
        <v/>
      </c>
      <c r="B983" s="13" t="n">
        <v>1</v>
      </c>
      <c r="C983" s="12" t="inlineStr">
        <is>
          <t>Senior/Lead</t>
        </is>
      </c>
      <c r="D983" s="8" t="inlineStr">
        <is>
          <t>Staff Verification Engineer</t>
        </is>
      </c>
      <c r="E983" s="7" t="inlineStr">
        <is>
          <t>SiFive</t>
        </is>
      </c>
      <c r="F983" s="8" t="inlineStr">
        <is>
          <t>2 Locations</t>
        </is>
      </c>
      <c r="G983" s="8" t="n"/>
      <c r="H983" s="14" t="n"/>
      <c r="I983" s="15">
        <f>IF($H983="","",$H983-TODAY())</f>
        <v/>
      </c>
      <c r="J983" s="16" t="inlineStr">
        <is>
          <t>Open posting</t>
        </is>
      </c>
      <c r="K983" s="8" t="inlineStr">
        <is>
          <t>filtered by keyword pre-scan</t>
        </is>
      </c>
      <c r="L983" s="17" t="inlineStr">
        <is>
          <t>new</t>
        </is>
      </c>
      <c r="M983" s="18" t="inlineStr"/>
      <c r="N983" s="7" t="inlineStr">
        <is>
          <t>a438f1a702c0589367a1534ad1fb8a3ac6000a55</t>
        </is>
      </c>
      <c r="O983" s="14" t="n"/>
      <c r="P983" s="7" t="inlineStr">
        <is>
          <t>workday</t>
        </is>
      </c>
      <c r="Q983" s="8" t="inlineStr"/>
      <c r="R983" s="8" t="n"/>
      <c r="S983" s="19" t="n"/>
      <c r="T983" s="19" t="n"/>
      <c r="U983" s="14" t="n">
        <v>46189</v>
      </c>
      <c r="V983" s="7" t="inlineStr">
        <is>
          <t>v1-db41edab064373dd</t>
        </is>
      </c>
    </row>
    <row r="984" ht="28" customHeight="1">
      <c r="A984" s="12">
        <f>IF($L984="applied","Applied",IF($L984="interview","Interview",IF($L984="offer","Offer",IF($L984="rejected","Rejected",IF($L984="ignore","Ignore",IF($L984="archive","Archive",IF($L984="closed","Closed",IF($B984="","Unscored",IF(AND($B984&gt;=8,OR($H984="",$H984-TODAY()&lt;=14)),"P1 Apply",IF($B984&gt;=7,"P2 Strong",IF($B984&gt;=5,"P3 Maybe","P4 Low")))))))))))</f>
        <v/>
      </c>
      <c r="B984" s="13" t="n">
        <v>1</v>
      </c>
      <c r="C984" s="12" t="inlineStr">
        <is>
          <t>Senior/Lead</t>
        </is>
      </c>
      <c r="D984" s="8" t="inlineStr">
        <is>
          <t>Senior Product Manager</t>
        </is>
      </c>
      <c r="E984" s="7" t="inlineStr">
        <is>
          <t>SiFive</t>
        </is>
      </c>
      <c r="F984" s="8" t="inlineStr">
        <is>
          <t>Santa Clara, California, United States</t>
        </is>
      </c>
      <c r="G984" s="8" t="n"/>
      <c r="H984" s="14" t="n"/>
      <c r="I984" s="15">
        <f>IF($H984="","",$H984-TODAY())</f>
        <v/>
      </c>
      <c r="J984" s="16" t="inlineStr">
        <is>
          <t>Open posting</t>
        </is>
      </c>
      <c r="K984" s="8" t="inlineStr">
        <is>
          <t>filtered by keyword pre-scan</t>
        </is>
      </c>
      <c r="L984" s="17" t="inlineStr">
        <is>
          <t>new</t>
        </is>
      </c>
      <c r="M984" s="18" t="inlineStr"/>
      <c r="N984" s="7" t="inlineStr">
        <is>
          <t>e44116563f9fb70bad4a9a9a89afca9dd40ebf4b</t>
        </is>
      </c>
      <c r="O984" s="14" t="n"/>
      <c r="P984" s="7" t="inlineStr">
        <is>
          <t>workday</t>
        </is>
      </c>
      <c r="Q984" s="8" t="inlineStr"/>
      <c r="R984" s="8" t="n"/>
      <c r="S984" s="19" t="n"/>
      <c r="T984" s="19" t="n"/>
      <c r="U984" s="14" t="n">
        <v>46189</v>
      </c>
      <c r="V984" s="7" t="inlineStr">
        <is>
          <t>v1-db41edab064373dd</t>
        </is>
      </c>
    </row>
    <row r="985" ht="28" customHeight="1">
      <c r="A985" s="12">
        <f>IF($L985="applied","Applied",IF($L985="interview","Interview",IF($L985="offer","Offer",IF($L985="rejected","Rejected",IF($L985="ignore","Ignore",IF($L985="archive","Archive",IF($L985="closed","Closed",IF($B985="","Unscored",IF(AND($B985&gt;=8,OR($H985="",$H985-TODAY()&lt;=14)),"P1 Apply",IF($B985&gt;=7,"P2 Strong",IF($B985&gt;=5,"P3 Maybe","P4 Low")))))))))))</f>
        <v/>
      </c>
      <c r="B985" s="13" t="n">
        <v>1</v>
      </c>
      <c r="C985" s="12" t="inlineStr">
        <is>
          <t>Senior/Lead</t>
        </is>
      </c>
      <c r="D985" s="8" t="inlineStr">
        <is>
          <t>Linux Platform BSP Lead</t>
        </is>
      </c>
      <c r="E985" s="7" t="inlineStr">
        <is>
          <t>SiFive</t>
        </is>
      </c>
      <c r="F985" s="8" t="inlineStr">
        <is>
          <t>2 Locations</t>
        </is>
      </c>
      <c r="G985" s="8" t="n"/>
      <c r="H985" s="14" t="n"/>
      <c r="I985" s="15">
        <f>IF($H985="","",$H985-TODAY())</f>
        <v/>
      </c>
      <c r="J985" s="16" t="inlineStr">
        <is>
          <t>Open posting</t>
        </is>
      </c>
      <c r="K985" s="8" t="inlineStr">
        <is>
          <t>filtered by keyword pre-scan</t>
        </is>
      </c>
      <c r="L985" s="17" t="inlineStr">
        <is>
          <t>new</t>
        </is>
      </c>
      <c r="M985" s="18" t="inlineStr"/>
      <c r="N985" s="7" t="inlineStr">
        <is>
          <t>9066beb17dd0fcf818cde2ec3a45439ecba6d13b</t>
        </is>
      </c>
      <c r="O985" s="14" t="n"/>
      <c r="P985" s="7" t="inlineStr">
        <is>
          <t>workday</t>
        </is>
      </c>
      <c r="Q985" s="8" t="inlineStr"/>
      <c r="R985" s="8" t="n"/>
      <c r="S985" s="19" t="n"/>
      <c r="T985" s="19" t="n"/>
      <c r="U985" s="14" t="n">
        <v>46189</v>
      </c>
      <c r="V985" s="7" t="inlineStr">
        <is>
          <t>v1-db41edab064373dd</t>
        </is>
      </c>
    </row>
    <row r="986" ht="28" customHeight="1">
      <c r="A986" s="12">
        <f>IF($L986="applied","Applied",IF($L986="interview","Interview",IF($L986="offer","Offer",IF($L986="rejected","Rejected",IF($L986="ignore","Ignore",IF($L986="archive","Archive",IF($L986="closed","Closed",IF($B986="","Unscored",IF(AND($B986&gt;=8,OR($H986="",$H986-TODAY()&lt;=14)),"P1 Apply",IF($B986&gt;=7,"P2 Strong",IF($B986&gt;=5,"P3 Maybe","P4 Low")))))))))))</f>
        <v/>
      </c>
      <c r="B986" s="13" t="n">
        <v>1</v>
      </c>
      <c r="C986" s="12" t="inlineStr">
        <is>
          <t>Senior/Lead</t>
        </is>
      </c>
      <c r="D986" s="8" t="inlineStr">
        <is>
          <t>Senior Field &amp; Sales Operations Manager</t>
        </is>
      </c>
      <c r="E986" s="7" t="inlineStr">
        <is>
          <t>Dyson</t>
        </is>
      </c>
      <c r="F986" s="8" t="inlineStr">
        <is>
          <t>Mexico - Mexico City Office</t>
        </is>
      </c>
      <c r="G986" s="8" t="n"/>
      <c r="H986" s="14" t="n"/>
      <c r="I986" s="15">
        <f>IF($H986="","",$H986-TODAY())</f>
        <v/>
      </c>
      <c r="J986" s="16" t="inlineStr">
        <is>
          <t>Open posting</t>
        </is>
      </c>
      <c r="K986" s="8" t="inlineStr">
        <is>
          <t>filtered by keyword pre-scan</t>
        </is>
      </c>
      <c r="L986" s="17" t="inlineStr">
        <is>
          <t>new</t>
        </is>
      </c>
      <c r="M986" s="18" t="inlineStr"/>
      <c r="N986" s="7" t="inlineStr">
        <is>
          <t>0c8364c223cbf6b837f938b3c7ab51b96dd973da</t>
        </is>
      </c>
      <c r="O986" s="14" t="n"/>
      <c r="P986" s="7" t="inlineStr">
        <is>
          <t>workday</t>
        </is>
      </c>
      <c r="Q986" s="8" t="inlineStr"/>
      <c r="R986" s="8" t="n"/>
      <c r="S986" s="19" t="n"/>
      <c r="T986" s="19" t="n"/>
      <c r="U986" s="14" t="n">
        <v>46189</v>
      </c>
      <c r="V986" s="7" t="inlineStr">
        <is>
          <t>v1-db41edab064373dd</t>
        </is>
      </c>
    </row>
    <row r="987" ht="28" customHeight="1">
      <c r="A987" s="12">
        <f>IF($L987="applied","Applied",IF($L987="interview","Interview",IF($L987="offer","Offer",IF($L987="rejected","Rejected",IF($L987="ignore","Ignore",IF($L987="archive","Archive",IF($L987="closed","Closed",IF($B987="","Unscored",IF(AND($B987&gt;=8,OR($H987="",$H987-TODAY()&lt;=14)),"P1 Apply",IF($B987&gt;=7,"P2 Strong",IF($B987&gt;=5,"P3 Maybe","P4 Low")))))))))))</f>
        <v/>
      </c>
      <c r="B987" s="13" t="n">
        <v>1</v>
      </c>
      <c r="C987" s="12" t="inlineStr">
        <is>
          <t>Senior/Lead</t>
        </is>
      </c>
      <c r="D987" s="8" t="inlineStr">
        <is>
          <t>Senior E-Commerce Trading Manager</t>
        </is>
      </c>
      <c r="E987" s="7" t="inlineStr">
        <is>
          <t>Dyson</t>
        </is>
      </c>
      <c r="F987" s="8" t="inlineStr">
        <is>
          <t>Netherlands - Amsterdam Office</t>
        </is>
      </c>
      <c r="G987" s="8" t="n"/>
      <c r="H987" s="14" t="n"/>
      <c r="I987" s="15">
        <f>IF($H987="","",$H987-TODAY())</f>
        <v/>
      </c>
      <c r="J987" s="16" t="inlineStr">
        <is>
          <t>Open posting</t>
        </is>
      </c>
      <c r="K987" s="8" t="inlineStr">
        <is>
          <t>filtered by keyword pre-scan</t>
        </is>
      </c>
      <c r="L987" s="17" t="inlineStr">
        <is>
          <t>new</t>
        </is>
      </c>
      <c r="M987" s="18" t="inlineStr"/>
      <c r="N987" s="7" t="inlineStr">
        <is>
          <t>39c6ec5d1c88fa6891ea5a4b46b453b368a94d9e</t>
        </is>
      </c>
      <c r="O987" s="14" t="n"/>
      <c r="P987" s="7" t="inlineStr">
        <is>
          <t>workday</t>
        </is>
      </c>
      <c r="Q987" s="8" t="inlineStr"/>
      <c r="R987" s="8" t="n"/>
      <c r="S987" s="19" t="n"/>
      <c r="T987" s="19" t="n"/>
      <c r="U987" s="14" t="n">
        <v>46189</v>
      </c>
      <c r="V987" s="7" t="inlineStr">
        <is>
          <t>v1-db41edab064373dd</t>
        </is>
      </c>
    </row>
    <row r="988" ht="28" customHeight="1">
      <c r="A988" s="12">
        <f>IF($L988="applied","Applied",IF($L988="interview","Interview",IF($L988="offer","Offer",IF($L988="rejected","Rejected",IF($L988="ignore","Ignore",IF($L988="archive","Archive",IF($L988="closed","Closed",IF($B988="","Unscored",IF(AND($B988&gt;=8,OR($H988="",$H988-TODAY()&lt;=14)),"P1 Apply",IF($B988&gt;=7,"P2 Strong",IF($B988&gt;=5,"P3 Maybe","P4 Low")))))))))))</f>
        <v/>
      </c>
      <c r="B988" s="13" t="n">
        <v>1</v>
      </c>
      <c r="C988" s="12" t="inlineStr">
        <is>
          <t>Senior/Lead</t>
        </is>
      </c>
      <c r="D988" s="8" t="inlineStr">
        <is>
          <t>Senior Trading Activation &amp; Affiliation Executive</t>
        </is>
      </c>
      <c r="E988" s="7" t="inlineStr">
        <is>
          <t>Dyson</t>
        </is>
      </c>
      <c r="F988" s="8" t="inlineStr">
        <is>
          <t>Portugal - Lisboa Office</t>
        </is>
      </c>
      <c r="G988" s="8" t="n"/>
      <c r="H988" s="14" t="n"/>
      <c r="I988" s="15">
        <f>IF($H988="","",$H988-TODAY())</f>
        <v/>
      </c>
      <c r="J988" s="16" t="inlineStr">
        <is>
          <t>Open posting</t>
        </is>
      </c>
      <c r="K988" s="8" t="inlineStr">
        <is>
          <t>filtered by keyword pre-scan</t>
        </is>
      </c>
      <c r="L988" s="17" t="inlineStr">
        <is>
          <t>new</t>
        </is>
      </c>
      <c r="M988" s="18" t="inlineStr"/>
      <c r="N988" s="7" t="inlineStr">
        <is>
          <t>86acbad50137f2b1ccec824072c74b0a835d9a37</t>
        </is>
      </c>
      <c r="O988" s="14" t="n"/>
      <c r="P988" s="7" t="inlineStr">
        <is>
          <t>workday</t>
        </is>
      </c>
      <c r="Q988" s="8" t="inlineStr"/>
      <c r="R988" s="8" t="n"/>
      <c r="S988" s="19" t="n"/>
      <c r="T988" s="19" t="n"/>
      <c r="U988" s="14" t="n">
        <v>46189</v>
      </c>
      <c r="V988" s="7" t="inlineStr">
        <is>
          <t>v1-db41edab064373dd</t>
        </is>
      </c>
    </row>
    <row r="989" ht="28" customHeight="1">
      <c r="A989" s="12">
        <f>IF($L989="applied","Applied",IF($L989="interview","Interview",IF($L989="offer","Offer",IF($L989="rejected","Rejected",IF($L989="ignore","Ignore",IF($L989="archive","Archive",IF($L989="closed","Closed",IF($B989="","Unscored",IF(AND($B989&gt;=8,OR($H989="",$H989-TODAY()&lt;=14)),"P1 Apply",IF($B989&gt;=7,"P2 Strong",IF($B989&gt;=5,"P3 Maybe","P4 Low")))))))))))</f>
        <v/>
      </c>
      <c r="B989" s="13" t="n">
        <v>1</v>
      </c>
      <c r="C989" s="12" t="inlineStr">
        <is>
          <t>Senior/Lead</t>
        </is>
      </c>
      <c r="D989" s="8" t="inlineStr">
        <is>
          <t>Lead Electronics Project Manager</t>
        </is>
      </c>
      <c r="E989" s="7" t="inlineStr">
        <is>
          <t>Dyson</t>
        </is>
      </c>
      <c r="F989" s="8" t="inlineStr">
        <is>
          <t>Philippines - Technology Campus</t>
        </is>
      </c>
      <c r="G989" s="8" t="n"/>
      <c r="H989" s="14" t="n"/>
      <c r="I989" s="15">
        <f>IF($H989="","",$H989-TODAY())</f>
        <v/>
      </c>
      <c r="J989" s="16" t="inlineStr">
        <is>
          <t>Open posting</t>
        </is>
      </c>
      <c r="K989" s="8" t="inlineStr">
        <is>
          <t>filtered by keyword pre-scan</t>
        </is>
      </c>
      <c r="L989" s="17" t="inlineStr">
        <is>
          <t>new</t>
        </is>
      </c>
      <c r="M989" s="18" t="inlineStr"/>
      <c r="N989" s="7" t="inlineStr">
        <is>
          <t>ae690d5e82508e0315b14780446847886e1f39c6</t>
        </is>
      </c>
      <c r="O989" s="14" t="n"/>
      <c r="P989" s="7" t="inlineStr">
        <is>
          <t>workday</t>
        </is>
      </c>
      <c r="Q989" s="8" t="inlineStr"/>
      <c r="R989" s="8" t="n"/>
      <c r="S989" s="19" t="n"/>
      <c r="T989" s="19" t="n"/>
      <c r="U989" s="14" t="n">
        <v>46189</v>
      </c>
      <c r="V989" s="7" t="inlineStr">
        <is>
          <t>v1-db41edab064373dd</t>
        </is>
      </c>
    </row>
    <row r="990" ht="28" customHeight="1">
      <c r="A990" s="12">
        <f>IF($L990="applied","Applied",IF($L990="interview","Interview",IF($L990="offer","Offer",IF($L990="rejected","Rejected",IF($L990="ignore","Ignore",IF($L990="archive","Archive",IF($L990="closed","Closed",IF($B990="","Unscored",IF(AND($B990&gt;=8,OR($H990="",$H990-TODAY()&lt;=14)),"P1 Apply",IF($B990&gt;=7,"P2 Strong",IF($B990&gt;=5,"P3 Maybe","P4 Low")))))))))))</f>
        <v/>
      </c>
      <c r="B990" s="13" t="n">
        <v>1</v>
      </c>
      <c r="C990" s="12" t="inlineStr">
        <is>
          <t>Senior/Lead</t>
        </is>
      </c>
      <c r="D990" s="8" t="inlineStr">
        <is>
          <t>Lead Test Engineer</t>
        </is>
      </c>
      <c r="E990" s="7" t="inlineStr">
        <is>
          <t>Dyson</t>
        </is>
      </c>
      <c r="F990" s="8" t="inlineStr">
        <is>
          <t>China - Shenzhen Office</t>
        </is>
      </c>
      <c r="G990" s="8" t="n"/>
      <c r="H990" s="14" t="n"/>
      <c r="I990" s="15">
        <f>IF($H990="","",$H990-TODAY())</f>
        <v/>
      </c>
      <c r="J990" s="16" t="inlineStr">
        <is>
          <t>Open posting</t>
        </is>
      </c>
      <c r="K990" s="8" t="inlineStr">
        <is>
          <t>filtered by keyword pre-scan</t>
        </is>
      </c>
      <c r="L990" s="17" t="inlineStr">
        <is>
          <t>new</t>
        </is>
      </c>
      <c r="M990" s="18" t="inlineStr"/>
      <c r="N990" s="7" t="inlineStr">
        <is>
          <t>79612006bc3dc6ebd80fd3331007d2a867519e53</t>
        </is>
      </c>
      <c r="O990" s="14" t="n"/>
      <c r="P990" s="7" t="inlineStr">
        <is>
          <t>workday</t>
        </is>
      </c>
      <c r="Q990" s="8" t="inlineStr"/>
      <c r="R990" s="8" t="n"/>
      <c r="S990" s="19" t="n"/>
      <c r="T990" s="19" t="n"/>
      <c r="U990" s="14" t="n">
        <v>46189</v>
      </c>
      <c r="V990" s="7" t="inlineStr">
        <is>
          <t>v1-db41edab064373dd</t>
        </is>
      </c>
    </row>
    <row r="991" ht="28" customHeight="1">
      <c r="A991" s="12">
        <f>IF($L991="applied","Applied",IF($L991="interview","Interview",IF($L991="offer","Offer",IF($L991="rejected","Rejected",IF($L991="ignore","Ignore",IF($L991="archive","Archive",IF($L991="closed","Closed",IF($B991="","Unscored",IF(AND($B991&gt;=8,OR($H991="",$H991-TODAY()&lt;=14)),"P1 Apply",IF($B991&gt;=7,"P2 Strong",IF($B991&gt;=5,"P3 Maybe","P4 Low")))))))))))</f>
        <v/>
      </c>
      <c r="B991" s="13" t="n">
        <v>1</v>
      </c>
      <c r="C991" s="12" t="inlineStr">
        <is>
          <t>Senior/Lead</t>
        </is>
      </c>
      <c r="D991" s="8" t="inlineStr">
        <is>
          <t>Lead Analyst FBI - Reporting and Data Engineering</t>
        </is>
      </c>
      <c r="E991" s="7" t="inlineStr">
        <is>
          <t>Dyson</t>
        </is>
      </c>
      <c r="F991" s="8" t="inlineStr">
        <is>
          <t>Singapore - Technology Centre</t>
        </is>
      </c>
      <c r="G991" s="8" t="n"/>
      <c r="H991" s="14" t="n"/>
      <c r="I991" s="15">
        <f>IF($H991="","",$H991-TODAY())</f>
        <v/>
      </c>
      <c r="J991" s="16" t="inlineStr">
        <is>
          <t>Open posting</t>
        </is>
      </c>
      <c r="K991" s="8" t="inlineStr">
        <is>
          <t>filtered by keyword pre-scan</t>
        </is>
      </c>
      <c r="L991" s="17" t="inlineStr">
        <is>
          <t>new</t>
        </is>
      </c>
      <c r="M991" s="18" t="inlineStr"/>
      <c r="N991" s="7" t="inlineStr">
        <is>
          <t>9882a793ef46b893b3f8e6320c3ecff2d0731821</t>
        </is>
      </c>
      <c r="O991" s="14" t="n"/>
      <c r="P991" s="7" t="inlineStr">
        <is>
          <t>workday</t>
        </is>
      </c>
      <c r="Q991" s="8" t="inlineStr"/>
      <c r="R991" s="8" t="n"/>
      <c r="S991" s="19" t="n"/>
      <c r="T991" s="19" t="n"/>
      <c r="U991" s="14" t="n">
        <v>46189</v>
      </c>
      <c r="V991" s="7" t="inlineStr">
        <is>
          <t>v1-db41edab064373dd</t>
        </is>
      </c>
    </row>
    <row r="992" ht="28" customHeight="1">
      <c r="A992" s="12">
        <f>IF($L992="applied","Applied",IF($L992="interview","Interview",IF($L992="offer","Offer",IF($L992="rejected","Rejected",IF($L992="ignore","Ignore",IF($L992="archive","Archive",IF($L992="closed","Closed",IF($B992="","Unscored",IF(AND($B992&gt;=8,OR($H992="",$H992-TODAY()&lt;=14)),"P1 Apply",IF($B992&gt;=7,"P2 Strong",IF($B992&gt;=5,"P3 Maybe","P4 Low")))))))))))</f>
        <v/>
      </c>
      <c r="B992" s="13" t="n">
        <v>1</v>
      </c>
      <c r="C992" s="12" t="inlineStr">
        <is>
          <t>Senior/Lead</t>
        </is>
      </c>
      <c r="D992" s="8" t="inlineStr">
        <is>
          <t>Lead Power Electronics Engineer</t>
        </is>
      </c>
      <c r="E992" s="7" t="inlineStr">
        <is>
          <t>Dyson</t>
        </is>
      </c>
      <c r="F992" s="8" t="inlineStr">
        <is>
          <t>Philippines - Technology Campus</t>
        </is>
      </c>
      <c r="G992" s="8" t="n"/>
      <c r="H992" s="14" t="n"/>
      <c r="I992" s="15">
        <f>IF($H992="","",$H992-TODAY())</f>
        <v/>
      </c>
      <c r="J992" s="16" t="inlineStr">
        <is>
          <t>Open posting</t>
        </is>
      </c>
      <c r="K992" s="8" t="inlineStr">
        <is>
          <t>filtered by keyword pre-scan</t>
        </is>
      </c>
      <c r="L992" s="17" t="inlineStr">
        <is>
          <t>new</t>
        </is>
      </c>
      <c r="M992" s="18" t="inlineStr"/>
      <c r="N992" s="7" t="inlineStr">
        <is>
          <t>4e037caa77de1b957ed91e3cf00e7832c7a2d669</t>
        </is>
      </c>
      <c r="O992" s="14" t="n"/>
      <c r="P992" s="7" t="inlineStr">
        <is>
          <t>workday</t>
        </is>
      </c>
      <c r="Q992" s="8" t="inlineStr"/>
      <c r="R992" s="8" t="n"/>
      <c r="S992" s="19" t="n"/>
      <c r="T992" s="19" t="n"/>
      <c r="U992" s="14" t="n">
        <v>46189</v>
      </c>
      <c r="V992" s="7" t="inlineStr">
        <is>
          <t>v1-db41edab064373dd</t>
        </is>
      </c>
    </row>
    <row r="993" ht="28" customHeight="1">
      <c r="A993" s="12">
        <f>IF($L993="applied","Applied",IF($L993="interview","Interview",IF($L993="offer","Offer",IF($L993="rejected","Rejected",IF($L993="ignore","Ignore",IF($L993="archive","Archive",IF($L993="closed","Closed",IF($B993="","Unscored",IF(AND($B993&gt;=8,OR($H993="",$H993-TODAY()&lt;=14)),"P1 Apply",IF($B993&gt;=7,"P2 Strong",IF($B993&gt;=5,"P3 Maybe","P4 Low")))))))))))</f>
        <v/>
      </c>
      <c r="B993" s="13" t="n">
        <v>1</v>
      </c>
      <c r="C993" s="12" t="inlineStr">
        <is>
          <t>Senior/Lead</t>
        </is>
      </c>
      <c r="D993" s="8" t="inlineStr">
        <is>
          <t>Global Senior Manager, B2B Product</t>
        </is>
      </c>
      <c r="E993" s="7" t="inlineStr">
        <is>
          <t>Dyson</t>
        </is>
      </c>
      <c r="F993" s="8" t="inlineStr">
        <is>
          <t>Singapore - St James Power Station Headquarters</t>
        </is>
      </c>
      <c r="G993" s="8" t="n"/>
      <c r="H993" s="14" t="n"/>
      <c r="I993" s="15">
        <f>IF($H993="","",$H993-TODAY())</f>
        <v/>
      </c>
      <c r="J993" s="16" t="inlineStr">
        <is>
          <t>Open posting</t>
        </is>
      </c>
      <c r="K993" s="8" t="inlineStr">
        <is>
          <t>filtered by keyword pre-scan</t>
        </is>
      </c>
      <c r="L993" s="17" t="inlineStr">
        <is>
          <t>new</t>
        </is>
      </c>
      <c r="M993" s="18" t="inlineStr"/>
      <c r="N993" s="7" t="inlineStr">
        <is>
          <t>094ffad524afb5ababb3c787541e5abd00fe2256</t>
        </is>
      </c>
      <c r="O993" s="14" t="n"/>
      <c r="P993" s="7" t="inlineStr">
        <is>
          <t>workday</t>
        </is>
      </c>
      <c r="Q993" s="8" t="inlineStr"/>
      <c r="R993" s="8" t="n"/>
      <c r="S993" s="19" t="n"/>
      <c r="T993" s="19" t="n"/>
      <c r="U993" s="14" t="n">
        <v>46189</v>
      </c>
      <c r="V993" s="7" t="inlineStr">
        <is>
          <t>v1-db41edab064373dd</t>
        </is>
      </c>
    </row>
    <row r="994" ht="28" customHeight="1">
      <c r="A994" s="12">
        <f>IF($L994="applied","Applied",IF($L994="interview","Interview",IF($L994="offer","Offer",IF($L994="rejected","Rejected",IF($L994="ignore","Ignore",IF($L994="archive","Archive",IF($L994="closed","Closed",IF($B994="","Unscored",IF(AND($B994&gt;=8,OR($H994="",$H994-TODAY()&lt;=14)),"P1 Apply",IF($B994&gt;=7,"P2 Strong",IF($B994&gt;=5,"P3 Maybe","P4 Low")))))))))))</f>
        <v/>
      </c>
      <c r="B994" s="13" t="n">
        <v>1</v>
      </c>
      <c r="C994" s="12" t="inlineStr">
        <is>
          <t>Senior/Lead</t>
        </is>
      </c>
      <c r="D994" s="8" t="inlineStr">
        <is>
          <t>Lead Electronics Engineer</t>
        </is>
      </c>
      <c r="E994" s="7" t="inlineStr">
        <is>
          <t>Dyson</t>
        </is>
      </c>
      <c r="F994" s="8" t="inlineStr">
        <is>
          <t>Philippines - Technology Campus</t>
        </is>
      </c>
      <c r="G994" s="8" t="n"/>
      <c r="H994" s="14" t="n"/>
      <c r="I994" s="15">
        <f>IF($H994="","",$H994-TODAY())</f>
        <v/>
      </c>
      <c r="J994" s="16" t="inlineStr">
        <is>
          <t>Open posting</t>
        </is>
      </c>
      <c r="K994" s="8" t="inlineStr">
        <is>
          <t>filtered by keyword pre-scan</t>
        </is>
      </c>
      <c r="L994" s="17" t="inlineStr">
        <is>
          <t>new</t>
        </is>
      </c>
      <c r="M994" s="18" t="inlineStr"/>
      <c r="N994" s="7" t="inlineStr">
        <is>
          <t>2de9828a559522c71db8b8e4a440a4a12da4ea6b</t>
        </is>
      </c>
      <c r="O994" s="14" t="n"/>
      <c r="P994" s="7" t="inlineStr">
        <is>
          <t>workday</t>
        </is>
      </c>
      <c r="Q994" s="8" t="inlineStr"/>
      <c r="R994" s="8" t="n"/>
      <c r="S994" s="19" t="n"/>
      <c r="T994" s="19" t="n"/>
      <c r="U994" s="14" t="n">
        <v>46189</v>
      </c>
      <c r="V994" s="7" t="inlineStr">
        <is>
          <t>v1-db41edab064373dd</t>
        </is>
      </c>
    </row>
    <row r="995" ht="28" customHeight="1">
      <c r="A995" s="12">
        <f>IF($L995="applied","Applied",IF($L995="interview","Interview",IF($L995="offer","Offer",IF($L995="rejected","Rejected",IF($L995="ignore","Ignore",IF($L995="archive","Archive",IF($L995="closed","Closed",IF($B995="","Unscored",IF(AND($B995&gt;=8,OR($H995="",$H995-TODAY()&lt;=14)),"P1 Apply",IF($B995&gt;=7,"P2 Strong",IF($B995&gt;=5,"P3 Maybe","P4 Low")))))))))))</f>
        <v/>
      </c>
      <c r="B995" s="13" t="n">
        <v>1</v>
      </c>
      <c r="C995" s="12" t="inlineStr">
        <is>
          <t>Senior/Lead</t>
        </is>
      </c>
      <c r="D995" s="8" t="inlineStr">
        <is>
          <t>Lead Design Engineer</t>
        </is>
      </c>
      <c r="E995" s="7" t="inlineStr">
        <is>
          <t>Dyson</t>
        </is>
      </c>
      <c r="F995" s="8" t="inlineStr">
        <is>
          <t>Philippines - Technology Campus</t>
        </is>
      </c>
      <c r="G995" s="8" t="n"/>
      <c r="H995" s="14" t="n"/>
      <c r="I995" s="15">
        <f>IF($H995="","",$H995-TODAY())</f>
        <v/>
      </c>
      <c r="J995" s="16" t="inlineStr">
        <is>
          <t>Open posting</t>
        </is>
      </c>
      <c r="K995" s="8" t="inlineStr">
        <is>
          <t>filtered by keyword pre-scan</t>
        </is>
      </c>
      <c r="L995" s="17" t="inlineStr">
        <is>
          <t>new</t>
        </is>
      </c>
      <c r="M995" s="18" t="inlineStr"/>
      <c r="N995" s="7" t="inlineStr">
        <is>
          <t>d39bebc3f89449bdc700bfd23cc37d8c6023b024</t>
        </is>
      </c>
      <c r="O995" s="14" t="n"/>
      <c r="P995" s="7" t="inlineStr">
        <is>
          <t>workday</t>
        </is>
      </c>
      <c r="Q995" s="8" t="inlineStr"/>
      <c r="R995" s="8" t="n"/>
      <c r="S995" s="19" t="n"/>
      <c r="T995" s="19" t="n"/>
      <c r="U995" s="14" t="n">
        <v>46189</v>
      </c>
      <c r="V995" s="7" t="inlineStr">
        <is>
          <t>v1-db41edab064373dd</t>
        </is>
      </c>
    </row>
    <row r="996" ht="28" customHeight="1">
      <c r="A996" s="12">
        <f>IF($L996="applied","Applied",IF($L996="interview","Interview",IF($L996="offer","Offer",IF($L996="rejected","Rejected",IF($L996="ignore","Ignore",IF($L996="archive","Archive",IF($L996="closed","Closed",IF($B996="","Unscored",IF(AND($B996&gt;=8,OR($H996="",$H996-TODAY()&lt;=14)),"P1 Apply",IF($B996&gt;=7,"P2 Strong",IF($B996&gt;=5,"P3 Maybe","P4 Low")))))))))))</f>
        <v/>
      </c>
      <c r="B996" s="13" t="n">
        <v>1</v>
      </c>
      <c r="C996" s="12" t="inlineStr">
        <is>
          <t>Senior/Lead</t>
        </is>
      </c>
      <c r="D996" s="8" t="inlineStr">
        <is>
          <t>Senior Manufacturing Operations Manager, Outsourced Operations</t>
        </is>
      </c>
      <c r="E996" s="7" t="inlineStr">
        <is>
          <t>Dyson</t>
        </is>
      </c>
      <c r="F996" s="8" t="inlineStr">
        <is>
          <t>Philippines - Technology Campus</t>
        </is>
      </c>
      <c r="G996" s="8" t="n"/>
      <c r="H996" s="14" t="n"/>
      <c r="I996" s="15">
        <f>IF($H996="","",$H996-TODAY())</f>
        <v/>
      </c>
      <c r="J996" s="16" t="inlineStr">
        <is>
          <t>Open posting</t>
        </is>
      </c>
      <c r="K996" s="8" t="inlineStr">
        <is>
          <t>filtered by keyword pre-scan</t>
        </is>
      </c>
      <c r="L996" s="17" t="inlineStr">
        <is>
          <t>new</t>
        </is>
      </c>
      <c r="M996" s="18" t="inlineStr"/>
      <c r="N996" s="7" t="inlineStr">
        <is>
          <t>eabc0d3b162710061dade027ee84aa593c06688a</t>
        </is>
      </c>
      <c r="O996" s="14" t="n"/>
      <c r="P996" s="7" t="inlineStr">
        <is>
          <t>workday</t>
        </is>
      </c>
      <c r="Q996" s="8" t="inlineStr"/>
      <c r="R996" s="8" t="n"/>
      <c r="S996" s="19" t="n"/>
      <c r="T996" s="19" t="n"/>
      <c r="U996" s="14" t="n">
        <v>46189</v>
      </c>
      <c r="V996" s="7" t="inlineStr">
        <is>
          <t>v1-db41edab064373dd</t>
        </is>
      </c>
    </row>
    <row r="997" ht="28" customHeight="1">
      <c r="A997" s="12">
        <f>IF($L997="applied","Applied",IF($L997="interview","Interview",IF($L997="offer","Offer",IF($L997="rejected","Rejected",IF($L997="ignore","Ignore",IF($L997="archive","Archive",IF($L997="closed","Closed",IF($B997="","Unscored",IF(AND($B997&gt;=8,OR($H997="",$H997-TODAY()&lt;=14)),"P1 Apply",IF($B997&gt;=7,"P2 Strong",IF($B997&gt;=5,"P3 Maybe","P4 Low")))))))))))</f>
        <v/>
      </c>
      <c r="B997" s="13" t="n">
        <v>0.97</v>
      </c>
      <c r="C997" s="12" t="inlineStr">
        <is>
          <t>Unspecified</t>
        </is>
      </c>
      <c r="D997" s="8" t="inlineStr">
        <is>
          <t>Fullstack JavaScript Engineer</t>
        </is>
      </c>
      <c r="E997" s="7" t="inlineStr">
        <is>
          <t>Explore Group</t>
        </is>
      </c>
      <c r="F997" s="8" t="inlineStr">
        <is>
          <t>London Area, United Kingdom</t>
        </is>
      </c>
      <c r="G997" s="8" t="n"/>
      <c r="H997" s="14" t="n"/>
      <c r="I997" s="15">
        <f>IF($H997="","",$H997-TODAY())</f>
        <v/>
      </c>
      <c r="J997" s="16" t="inlineStr">
        <is>
          <t>Open posting</t>
        </is>
      </c>
      <c r="K997" s="8" t="inlineStr">
        <is>
          <t>filtered by keyword pre-scan</t>
        </is>
      </c>
      <c r="L997" s="17" t="inlineStr">
        <is>
          <t>new</t>
        </is>
      </c>
      <c r="M997" s="18" t="inlineStr"/>
      <c r="N997" s="7" t="inlineStr">
        <is>
          <t>9f6c13fd9ec05cff17ad304997939e4dd31c108b</t>
        </is>
      </c>
      <c r="O997" s="14" t="n">
        <v>46175</v>
      </c>
      <c r="P997" s="7" t="inlineStr">
        <is>
          <t>jobspy</t>
        </is>
      </c>
      <c r="Q997" s="8" t="inlineStr">
        <is>
          <t>c, javascript</t>
        </is>
      </c>
      <c r="R997" s="8" t="inlineStr">
        <is>
          <t>Junior Full Stack Developer JavaScript Node.js Python</t>
        </is>
      </c>
      <c r="S997" s="19" t="n"/>
      <c r="T997" s="19" t="n"/>
      <c r="U997" s="14" t="n">
        <v>46193</v>
      </c>
      <c r="V997" s="7" t="inlineStr">
        <is>
          <t>v2-cv-accuracy-13b988b18da8ea7d</t>
        </is>
      </c>
    </row>
    <row r="998" ht="28" customHeight="1">
      <c r="A998" s="12">
        <f>IF($L998="applied","Applied",IF($L998="interview","Interview",IF($L998="offer","Offer",IF($L998="rejected","Rejected",IF($L998="ignore","Ignore",IF($L998="archive","Archive",IF($L998="closed","Closed",IF($B998="","Unscored",IF(AND($B998&gt;=8,OR($H998="",$H998-TODAY()&lt;=14)),"P1 Apply",IF($B998&gt;=7,"P2 Strong",IF($B998&gt;=5,"P3 Maybe","P4 Low")))))))))))</f>
        <v/>
      </c>
      <c r="B998" s="13" t="n">
        <v>0.97</v>
      </c>
      <c r="C998" s="12" t="inlineStr">
        <is>
          <t>Junior</t>
        </is>
      </c>
      <c r="D998" s="8" t="inlineStr">
        <is>
          <t>Junior Embedded Software Engineer</t>
        </is>
      </c>
      <c r="E998" s="7" t="inlineStr">
        <is>
          <t>Erin Associates Ltd</t>
        </is>
      </c>
      <c r="F998" s="8" t="inlineStr">
        <is>
          <t>Chesterfield, England, UK</t>
        </is>
      </c>
      <c r="G998" s="8" t="n"/>
      <c r="H998" s="14" t="n"/>
      <c r="I998" s="15">
        <f>IF($H998="","",$H998-TODAY())</f>
        <v/>
      </c>
      <c r="J998" s="16" t="inlineStr">
        <is>
          <t>Open posting</t>
        </is>
      </c>
      <c r="K998" s="8" t="inlineStr">
        <is>
          <t>filtered by keyword pre-scan</t>
        </is>
      </c>
      <c r="L998" s="17" t="inlineStr">
        <is>
          <t>new</t>
        </is>
      </c>
      <c r="M998" s="18" t="inlineStr"/>
      <c r="N998" s="7" t="inlineStr">
        <is>
          <t>bb0cc4c42b50101dd5a2fc65131aa8d51bc4a447</t>
        </is>
      </c>
      <c r="O998" s="14" t="n">
        <v>46188</v>
      </c>
      <c r="P998" s="7" t="inlineStr">
        <is>
          <t>jobspy</t>
        </is>
      </c>
      <c r="Q998" s="8" t="inlineStr">
        <is>
          <t>c, embedded systems</t>
        </is>
      </c>
      <c r="R998" s="8" t="inlineStr">
        <is>
          <t>Embedded Systems Graduate Engineer IoT</t>
        </is>
      </c>
      <c r="S998" s="19" t="n"/>
      <c r="T998" s="19" t="n"/>
      <c r="U998" s="14" t="n">
        <v>46193</v>
      </c>
      <c r="V998" s="7" t="inlineStr">
        <is>
          <t>v2-cv-accuracy-13b988b18da8ea7d</t>
        </is>
      </c>
    </row>
    <row r="999" ht="28" customHeight="1">
      <c r="A999" s="12">
        <f>IF($L999="applied","Applied",IF($L999="interview","Interview",IF($L999="offer","Offer",IF($L999="rejected","Rejected",IF($L999="ignore","Ignore",IF($L999="archive","Archive",IF($L999="closed","Closed",IF($B999="","Unscored",IF(AND($B999&gt;=8,OR($H999="",$H999-TODAY()&lt;=14)),"P1 Apply",IF($B999&gt;=7,"P2 Strong",IF($B999&gt;=5,"P3 Maybe","P4 Low")))))))))))</f>
        <v/>
      </c>
      <c r="B999" s="13" t="n">
        <v>0.97</v>
      </c>
      <c r="C999" s="12" t="inlineStr">
        <is>
          <t>Mid-level</t>
        </is>
      </c>
      <c r="D999" s="8" t="inlineStr">
        <is>
          <t>Systems Engineer</t>
        </is>
      </c>
      <c r="E999" s="7" t="inlineStr">
        <is>
          <t>Quantum Detectors Ltd.</t>
        </is>
      </c>
      <c r="F999" s="8" t="inlineStr">
        <is>
          <t>Oxfordshire, England, UK</t>
        </is>
      </c>
      <c r="G999" s="8" t="n"/>
      <c r="H999" s="14" t="n"/>
      <c r="I999" s="15">
        <f>IF($H999="","",$H999-TODAY())</f>
        <v/>
      </c>
      <c r="J999" s="16" t="inlineStr">
        <is>
          <t>Open posting</t>
        </is>
      </c>
      <c r="K999" s="8" t="inlineStr">
        <is>
          <t>filtered by keyword pre-scan</t>
        </is>
      </c>
      <c r="L999" s="17" t="inlineStr">
        <is>
          <t>new</t>
        </is>
      </c>
      <c r="M999" s="18" t="inlineStr"/>
      <c r="N999" s="7" t="inlineStr">
        <is>
          <t>977136d2e02b5155f27148c200f901cbbb643fa0</t>
        </is>
      </c>
      <c r="O999" s="14" t="n">
        <v>46191</v>
      </c>
      <c r="P999" s="7" t="inlineStr">
        <is>
          <t>jobspy</t>
        </is>
      </c>
      <c r="Q999" s="8" t="inlineStr">
        <is>
          <t>python, c</t>
        </is>
      </c>
      <c r="R999" s="8" t="inlineStr">
        <is>
          <t>Graduate Systems Engineer hardware software</t>
        </is>
      </c>
      <c r="S999" s="19" t="n"/>
      <c r="T999" s="19" t="n"/>
      <c r="U999" s="14" t="n">
        <v>46193</v>
      </c>
      <c r="V999" s="7" t="inlineStr">
        <is>
          <t>v2-cv-accuracy-13b988b18da8ea7d</t>
        </is>
      </c>
    </row>
    <row r="1000" ht="28" customHeight="1">
      <c r="A1000" s="12">
        <f>IF($L1000="applied","Applied",IF($L1000="interview","Interview",IF($L1000="offer","Offer",IF($L1000="rejected","Rejected",IF($L1000="ignore","Ignore",IF($L1000="archive","Archive",IF($L1000="closed","Closed",IF($B1000="","Unscored",IF(AND($B1000&gt;=8,OR($H1000="",$H1000-TODAY()&lt;=14)),"P1 Apply",IF($B1000&gt;=7,"P2 Strong",IF($B1000&gt;=5,"P3 Maybe","P4 Low")))))))))))</f>
        <v/>
      </c>
      <c r="B1000" s="13" t="n">
        <v>0.97</v>
      </c>
      <c r="C1000" s="12" t="inlineStr">
        <is>
          <t>Mid-level</t>
        </is>
      </c>
      <c r="D1000" s="8" t="inlineStr">
        <is>
          <t>RF/ EO/ IR Professionals</t>
        </is>
      </c>
      <c r="E1000" s="7" t="inlineStr">
        <is>
          <t>MBDA</t>
        </is>
      </c>
      <c r="F1000" s="8" t="inlineStr">
        <is>
          <t>Bristol, England, UK</t>
        </is>
      </c>
      <c r="G1000" s="8" t="n"/>
      <c r="H1000" s="14" t="n"/>
      <c r="I1000" s="15">
        <f>IF($H1000="","",$H1000-TODAY())</f>
        <v/>
      </c>
      <c r="J1000" s="16" t="inlineStr">
        <is>
          <t>Open posting</t>
        </is>
      </c>
      <c r="K1000" s="8" t="inlineStr">
        <is>
          <t>filtered by keyword pre-scan</t>
        </is>
      </c>
      <c r="L1000" s="17" t="inlineStr">
        <is>
          <t>new</t>
        </is>
      </c>
      <c r="M1000" s="18" t="inlineStr"/>
      <c r="N1000" s="7" t="inlineStr">
        <is>
          <t>186811873fcfdc6e4fb4e94b8ce58bba70e501ab</t>
        </is>
      </c>
      <c r="O1000" s="14" t="n">
        <v>46173</v>
      </c>
      <c r="P1000" s="7" t="inlineStr">
        <is>
          <t>jobspy</t>
        </is>
      </c>
      <c r="Q1000" s="8" t="inlineStr">
        <is>
          <t>git, c</t>
        </is>
      </c>
      <c r="R1000" s="8" t="inlineStr">
        <is>
          <t>Graduate Systems Engineer hardware software</t>
        </is>
      </c>
      <c r="S1000" s="19" t="n"/>
      <c r="T1000" s="19" t="n"/>
      <c r="U1000" s="14" t="n">
        <v>46193</v>
      </c>
      <c r="V1000" s="7" t="inlineStr">
        <is>
          <t>v2-cv-accuracy-13b988b18da8ea7d</t>
        </is>
      </c>
    </row>
    <row r="1001" ht="28" customHeight="1">
      <c r="A1001" s="12">
        <f>IF($L1001="applied","Applied",IF($L1001="interview","Interview",IF($L1001="offer","Offer",IF($L1001="rejected","Rejected",IF($L1001="ignore","Ignore",IF($L1001="archive","Archive",IF($L1001="closed","Closed",IF($B1001="","Unscored",IF(AND($B1001&gt;=8,OR($H1001="",$H1001-TODAY()&lt;=14)),"P1 Apply",IF($B1001&gt;=7,"P2 Strong",IF($B1001&gt;=5,"P3 Maybe","P4 Low")))))))))))</f>
        <v/>
      </c>
      <c r="B1001" s="13" t="n">
        <v>0.97</v>
      </c>
      <c r="C1001" s="12" t="inlineStr">
        <is>
          <t>Senior/Lead</t>
        </is>
      </c>
      <c r="D1001" s="8" t="inlineStr">
        <is>
          <t>Embedded Software Engineer - Wearable Systems</t>
        </is>
      </c>
      <c r="E1001" s="7" t="inlineStr">
        <is>
          <t>XYZ Reality</t>
        </is>
      </c>
      <c r="F1001" s="8" t="inlineStr">
        <is>
          <t>London, ENG, GB</t>
        </is>
      </c>
      <c r="G1001" s="8" t="n"/>
      <c r="H1001" s="14" t="n"/>
      <c r="I1001" s="15">
        <f>IF($H1001="","",$H1001-TODAY())</f>
        <v/>
      </c>
      <c r="J1001" s="16" t="inlineStr">
        <is>
          <t>Open posting</t>
        </is>
      </c>
      <c r="K1001" s="8" t="inlineStr">
        <is>
          <t>filtered by keyword pre-scan</t>
        </is>
      </c>
      <c r="L1001" s="17" t="inlineStr">
        <is>
          <t>new</t>
        </is>
      </c>
      <c r="M1001" s="18" t="inlineStr"/>
      <c r="N1001" s="7" t="inlineStr">
        <is>
          <t>3d73e64b881f8dc4662ddcc3ad6767ea600ba83c</t>
        </is>
      </c>
      <c r="O1001" s="14" t="n">
        <v>46192</v>
      </c>
      <c r="P1001" s="7" t="inlineStr">
        <is>
          <t>jobspy</t>
        </is>
      </c>
      <c r="Q1001" s="8" t="inlineStr">
        <is>
          <t>c, sensor integration</t>
        </is>
      </c>
      <c r="R1001" s="8" t="inlineStr">
        <is>
          <t>Firmware Engineer Embedded C Microcontroller</t>
        </is>
      </c>
      <c r="S1001" s="19" t="n"/>
      <c r="T1001" s="19" t="n"/>
      <c r="U1001" s="14" t="n">
        <v>46193</v>
      </c>
      <c r="V1001" s="7" t="inlineStr">
        <is>
          <t>v2-cv-accuracy-13b988b18da8ea7d</t>
        </is>
      </c>
    </row>
    <row r="1002" ht="28" customHeight="1">
      <c r="A1002" s="12">
        <f>IF($L1002="applied","Applied",IF($L1002="interview","Interview",IF($L1002="offer","Offer",IF($L1002="rejected","Rejected",IF($L1002="ignore","Ignore",IF($L1002="archive","Archive",IF($L1002="closed","Closed",IF($B1002="","Unscored",IF(AND($B1002&gt;=8,OR($H1002="",$H1002-TODAY()&lt;=14)),"P1 Apply",IF($B1002&gt;=7,"P2 Strong",IF($B1002&gt;=5,"P3 Maybe","P4 Low")))))))))))</f>
        <v/>
      </c>
      <c r="B1002" s="13" t="n">
        <v>0.97</v>
      </c>
      <c r="C1002" s="12" t="inlineStr">
        <is>
          <t>Unspecified</t>
        </is>
      </c>
      <c r="D1002" s="8" t="inlineStr">
        <is>
          <t>Compute Platform Engineer II</t>
        </is>
      </c>
      <c r="E1002" s="7" t="inlineStr">
        <is>
          <t>GSK</t>
        </is>
      </c>
      <c r="F1002" s="8" t="inlineStr">
        <is>
          <t>London, England, UK</t>
        </is>
      </c>
      <c r="G1002" s="8" t="n"/>
      <c r="H1002" s="14" t="n"/>
      <c r="I1002" s="15">
        <f>IF($H1002="","",$H1002-TODAY())</f>
        <v/>
      </c>
      <c r="J1002" s="16" t="inlineStr">
        <is>
          <t>Open posting</t>
        </is>
      </c>
      <c r="K1002" s="8" t="inlineStr">
        <is>
          <t>filtered by keyword pre-scan</t>
        </is>
      </c>
      <c r="L1002" s="17" t="inlineStr">
        <is>
          <t>new</t>
        </is>
      </c>
      <c r="M1002" s="18" t="inlineStr"/>
      <c r="N1002" s="7" t="inlineStr">
        <is>
          <t>baf1fa3352a067ef79f619508352ed370e597712</t>
        </is>
      </c>
      <c r="O1002" s="14" t="n">
        <v>46184</v>
      </c>
      <c r="P1002" s="7" t="inlineStr">
        <is>
          <t>jobspy</t>
        </is>
      </c>
      <c r="Q1002" s="8" t="inlineStr">
        <is>
          <t>git, c</t>
        </is>
      </c>
      <c r="R1002" s="8" t="inlineStr">
        <is>
          <t>Platform Engineer Docker Kubernetes Python</t>
        </is>
      </c>
      <c r="S1002" s="19" t="n"/>
      <c r="T1002" s="19" t="n"/>
      <c r="U1002" s="14" t="n">
        <v>46193</v>
      </c>
      <c r="V1002" s="7" t="inlineStr">
        <is>
          <t>v2-cv-accuracy-13b988b18da8ea7d</t>
        </is>
      </c>
    </row>
    <row r="1003" ht="28" customHeight="1">
      <c r="A1003" s="12">
        <f>IF($L1003="applied","Applied",IF($L1003="interview","Interview",IF($L1003="offer","Offer",IF($L1003="rejected","Rejected",IF($L1003="ignore","Ignore",IF($L1003="archive","Archive",IF($L1003="closed","Closed",IF($B1003="","Unscored",IF(AND($B1003&gt;=8,OR($H1003="",$H1003-TODAY()&lt;=14)),"P1 Apply",IF($B1003&gt;=7,"P2 Strong",IF($B1003&gt;=5,"P3 Maybe","P4 Low")))))))))))</f>
        <v/>
      </c>
      <c r="B1003" s="13" t="n">
        <v>0.97</v>
      </c>
      <c r="C1003" s="12" t="inlineStr">
        <is>
          <t>Unspecified</t>
        </is>
      </c>
      <c r="D1003" s="8" t="inlineStr">
        <is>
          <t>Embedded Software Engineer</t>
        </is>
      </c>
      <c r="E1003" s="7" t="inlineStr">
        <is>
          <t>KO2 Embedded Recruitment Solutions Ltd</t>
        </is>
      </c>
      <c r="F1003" s="8" t="inlineStr">
        <is>
          <t>Manchester, England, UK</t>
        </is>
      </c>
      <c r="G1003" s="8" t="n"/>
      <c r="H1003" s="14" t="n"/>
      <c r="I1003" s="15">
        <f>IF($H1003="","",$H1003-TODAY())</f>
        <v/>
      </c>
      <c r="J1003" s="16" t="inlineStr">
        <is>
          <t>Open posting</t>
        </is>
      </c>
      <c r="K1003" s="8" t="inlineStr">
        <is>
          <t>filtered by keyword pre-scan</t>
        </is>
      </c>
      <c r="L1003" s="17" t="inlineStr">
        <is>
          <t>new</t>
        </is>
      </c>
      <c r="M1003" s="18" t="inlineStr"/>
      <c r="N1003" s="7" t="inlineStr">
        <is>
          <t>4ffb1124054d31293095acb3e430adf69bd1cd99</t>
        </is>
      </c>
      <c r="O1003" s="14" t="n">
        <v>46188</v>
      </c>
      <c r="P1003" s="7" t="inlineStr">
        <is>
          <t>jobspy</t>
        </is>
      </c>
      <c r="Q1003" s="8" t="inlineStr">
        <is>
          <t>stm32, c</t>
        </is>
      </c>
      <c r="R1003" s="8" t="inlineStr">
        <is>
          <t>Junior Embedded Software Engineer STM32 C</t>
        </is>
      </c>
      <c r="S1003" s="19" t="n"/>
      <c r="T1003" s="19" t="n"/>
      <c r="U1003" s="14" t="n">
        <v>46192</v>
      </c>
      <c r="V1003" s="7" t="inlineStr">
        <is>
          <t>v2-cv-accuracy-13b988b18da8ea7d</t>
        </is>
      </c>
    </row>
    <row r="1004" ht="28" customHeight="1">
      <c r="A1004" s="12">
        <f>IF($L1004="applied","Applied",IF($L1004="interview","Interview",IF($L1004="offer","Offer",IF($L1004="rejected","Rejected",IF($L1004="ignore","Ignore",IF($L1004="archive","Archive",IF($L1004="closed","Closed",IF($B1004="","Unscored",IF(AND($B1004&gt;=8,OR($H1004="",$H1004-TODAY()&lt;=14)),"P1 Apply",IF($B1004&gt;=7,"P2 Strong",IF($B1004&gt;=5,"P3 Maybe","P4 Low")))))))))))</f>
        <v/>
      </c>
      <c r="B1004" s="13" t="n">
        <v>0.97</v>
      </c>
      <c r="C1004" s="12" t="inlineStr">
        <is>
          <t>Mid-level</t>
        </is>
      </c>
      <c r="D1004" s="8" t="inlineStr">
        <is>
          <t>RF/ EO/ IR Professionals</t>
        </is>
      </c>
      <c r="E1004" s="7" t="inlineStr">
        <is>
          <t>MBDA</t>
        </is>
      </c>
      <c r="F1004" s="8" t="inlineStr">
        <is>
          <t>Bristol, ENG, GB</t>
        </is>
      </c>
      <c r="G1004" s="8" t="n"/>
      <c r="H1004" s="14" t="n"/>
      <c r="I1004" s="15">
        <f>IF($H1004="","",$H1004-TODAY())</f>
        <v/>
      </c>
      <c r="J1004" s="16" t="inlineStr">
        <is>
          <t>Open posting</t>
        </is>
      </c>
      <c r="K1004" s="8" t="inlineStr">
        <is>
          <t>filtered by keyword pre-scan</t>
        </is>
      </c>
      <c r="L1004" s="17" t="inlineStr">
        <is>
          <t>new</t>
        </is>
      </c>
      <c r="M1004" s="18" t="inlineStr"/>
      <c r="N1004" s="7" t="inlineStr">
        <is>
          <t>a78076d94b363cefdd18b044234ea046268de703</t>
        </is>
      </c>
      <c r="O1004" s="14" t="n">
        <v>46177</v>
      </c>
      <c r="P1004" s="7" t="inlineStr">
        <is>
          <t>jobspy</t>
        </is>
      </c>
      <c r="Q1004" s="8" t="inlineStr">
        <is>
          <t>git, c</t>
        </is>
      </c>
      <c r="R1004" s="8" t="inlineStr">
        <is>
          <t>Graduate Electronics Engineer remote UK</t>
        </is>
      </c>
      <c r="S1004" s="19" t="n"/>
      <c r="T1004" s="19" t="n"/>
      <c r="U1004" s="14" t="n">
        <v>46192</v>
      </c>
      <c r="V1004" s="7" t="inlineStr">
        <is>
          <t>v2-cv-accuracy-13b988b18da8ea7d</t>
        </is>
      </c>
    </row>
    <row r="1005" ht="28" customHeight="1">
      <c r="A1005" s="12">
        <f>IF($L1005="applied","Applied",IF($L1005="interview","Interview",IF($L1005="offer","Offer",IF($L1005="rejected","Rejected",IF($L1005="ignore","Ignore",IF($L1005="archive","Archive",IF($L1005="closed","Closed",IF($B1005="","Unscored",IF(AND($B1005&gt;=8,OR($H1005="",$H1005-TODAY()&lt;=14)),"P1 Apply",IF($B1005&gt;=7,"P2 Strong",IF($B1005&gt;=5,"P3 Maybe","P4 Low")))))))))))</f>
        <v/>
      </c>
      <c r="B1005" s="13" t="n">
        <v>0.97</v>
      </c>
      <c r="C1005" s="12" t="inlineStr">
        <is>
          <t>Unspecified</t>
        </is>
      </c>
      <c r="D1005" s="8" t="inlineStr">
        <is>
          <t>Application Engineer</t>
        </is>
      </c>
      <c r="E1005" s="7" t="inlineStr">
        <is>
          <t>Verso Recruitment Group</t>
        </is>
      </c>
      <c r="F1005" s="8" t="inlineStr">
        <is>
          <t>Fareham, England, UK</t>
        </is>
      </c>
      <c r="G1005" s="8" t="n"/>
      <c r="H1005" s="14" t="n"/>
      <c r="I1005" s="15">
        <f>IF($H1005="","",$H1005-TODAY())</f>
        <v/>
      </c>
      <c r="J1005" s="16" t="inlineStr">
        <is>
          <t>Open posting</t>
        </is>
      </c>
      <c r="K1005" s="8" t="inlineStr">
        <is>
          <t>filtered by keyword pre-scan</t>
        </is>
      </c>
      <c r="L1005" s="17" t="inlineStr">
        <is>
          <t>new</t>
        </is>
      </c>
      <c r="M1005" s="18" t="inlineStr"/>
      <c r="N1005" s="7" t="inlineStr">
        <is>
          <t>0d7a54115ff49f838ba124030c70663e52a3b0fe</t>
        </is>
      </c>
      <c r="O1005" s="14" t="n">
        <v>46163</v>
      </c>
      <c r="P1005" s="7" t="inlineStr">
        <is>
          <t>jobspy</t>
        </is>
      </c>
      <c r="Q1005" s="8" t="inlineStr">
        <is>
          <t>python, c</t>
        </is>
      </c>
      <c r="R1005" s="8" t="inlineStr">
        <is>
          <t>Graduate Electronics Engineer remote UK</t>
        </is>
      </c>
      <c r="S1005" s="19" t="n"/>
      <c r="T1005" s="19" t="n"/>
      <c r="U1005" s="14" t="n">
        <v>46192</v>
      </c>
      <c r="V1005" s="7" t="inlineStr">
        <is>
          <t>v2-cv-accuracy-13b988b18da8ea7d</t>
        </is>
      </c>
    </row>
    <row r="1006" ht="28" customHeight="1">
      <c r="A1006" s="12">
        <f>IF($L1006="applied","Applied",IF($L1006="interview","Interview",IF($L1006="offer","Offer",IF($L1006="rejected","Rejected",IF($L1006="ignore","Ignore",IF($L1006="archive","Archive",IF($L1006="closed","Closed",IF($B1006="","Unscored",IF(AND($B1006&gt;=8,OR($H1006="",$H1006-TODAY()&lt;=14)),"P1 Apply",IF($B1006&gt;=7,"P2 Strong",IF($B1006&gt;=5,"P3 Maybe","P4 Low")))))))))))</f>
        <v/>
      </c>
      <c r="B1006" s="13" t="n">
        <v>0.97</v>
      </c>
      <c r="C1006" s="12" t="inlineStr">
        <is>
          <t>Junior</t>
        </is>
      </c>
      <c r="D1006" s="8" t="inlineStr">
        <is>
          <t>Junior Embedded Engineer (RTOS)</t>
        </is>
      </c>
      <c r="E1006" s="7" t="inlineStr">
        <is>
          <t>LUMAI</t>
        </is>
      </c>
      <c r="F1006" s="8" t="inlineStr">
        <is>
          <t>Oxford, ENG, GB</t>
        </is>
      </c>
      <c r="G1006" s="8" t="n"/>
      <c r="H1006" s="14" t="n"/>
      <c r="I1006" s="15">
        <f>IF($H1006="","",$H1006-TODAY())</f>
        <v/>
      </c>
      <c r="J1006" s="16" t="inlineStr">
        <is>
          <t>Open posting</t>
        </is>
      </c>
      <c r="K1006" s="8" t="inlineStr">
        <is>
          <t>filtered by keyword pre-scan</t>
        </is>
      </c>
      <c r="L1006" s="17" t="inlineStr">
        <is>
          <t>new</t>
        </is>
      </c>
      <c r="M1006" s="18" t="inlineStr"/>
      <c r="N1006" s="7" t="inlineStr">
        <is>
          <t>32503433b1af238609a72eb35e053655c19ee4b9</t>
        </is>
      </c>
      <c r="O1006" s="14" t="n">
        <v>46177</v>
      </c>
      <c r="P1006" s="7" t="inlineStr">
        <is>
          <t>jobspy</t>
        </is>
      </c>
      <c r="Q1006" s="8" t="inlineStr">
        <is>
          <t>python, c</t>
        </is>
      </c>
      <c r="R1006" s="8" t="inlineStr">
        <is>
          <t>Junior Embedded Systems Engineer Python C</t>
        </is>
      </c>
      <c r="S1006" s="19" t="n"/>
      <c r="T1006" s="19" t="n"/>
      <c r="U1006" s="14" t="n">
        <v>46192</v>
      </c>
      <c r="V1006" s="7" t="inlineStr">
        <is>
          <t>v2-cv-accuracy-13b988b18da8ea7d</t>
        </is>
      </c>
    </row>
    <row r="1007" ht="28" customHeight="1">
      <c r="A1007" s="12">
        <f>IF($L1007="applied","Applied",IF($L1007="interview","Interview",IF($L1007="offer","Offer",IF($L1007="rejected","Rejected",IF($L1007="ignore","Ignore",IF($L1007="archive","Archive",IF($L1007="closed","Closed",IF($B1007="","Unscored",IF(AND($B1007&gt;=8,OR($H1007="",$H1007-TODAY()&lt;=14)),"P1 Apply",IF($B1007&gt;=7,"P2 Strong",IF($B1007&gt;=5,"P3 Maybe","P4 Low")))))))))))</f>
        <v/>
      </c>
      <c r="B1007" s="13" t="n">
        <v>0.97</v>
      </c>
      <c r="C1007" s="12" t="inlineStr">
        <is>
          <t>Junior</t>
        </is>
      </c>
      <c r="D1007" s="8" t="inlineStr">
        <is>
          <t>Platform Support Engineer</t>
        </is>
      </c>
      <c r="E1007" s="7" t="inlineStr">
        <is>
          <t>RevTech</t>
        </is>
      </c>
      <c r="F1007" s="8" t="inlineStr">
        <is>
          <t>London Area, United Kingdom</t>
        </is>
      </c>
      <c r="G1007" s="8" t="n"/>
      <c r="H1007" s="14" t="n"/>
      <c r="I1007" s="15">
        <f>IF($H1007="","",$H1007-TODAY())</f>
        <v/>
      </c>
      <c r="J1007" s="16" t="inlineStr">
        <is>
          <t>Open posting</t>
        </is>
      </c>
      <c r="K1007" s="8" t="inlineStr">
        <is>
          <t>filtered by keyword pre-scan</t>
        </is>
      </c>
      <c r="L1007" s="17" t="inlineStr">
        <is>
          <t>new</t>
        </is>
      </c>
      <c r="M1007" s="18" t="inlineStr"/>
      <c r="N1007" s="7" t="inlineStr">
        <is>
          <t>659d52ed477efea09491a20eae3bac1557d39122</t>
        </is>
      </c>
      <c r="O1007" s="14" t="n">
        <v>46191</v>
      </c>
      <c r="P1007" s="7" t="inlineStr">
        <is>
          <t>jobspy</t>
        </is>
      </c>
      <c r="Q1007" s="8" t="inlineStr">
        <is>
          <t>docker, c</t>
        </is>
      </c>
      <c r="R1007" s="8" t="inlineStr">
        <is>
          <t>Graduate DevOps Engineer Docker Kubernetes Python</t>
        </is>
      </c>
      <c r="S1007" s="19" t="n"/>
      <c r="T1007" s="19" t="n"/>
      <c r="U1007" s="14" t="n">
        <v>46192</v>
      </c>
      <c r="V1007" s="7" t="inlineStr">
        <is>
          <t>v2-cv-accuracy-13b988b18da8ea7d</t>
        </is>
      </c>
    </row>
    <row r="1008" ht="28" customHeight="1">
      <c r="A1008" s="12">
        <f>IF($L1008="applied","Applied",IF($L1008="interview","Interview",IF($L1008="offer","Offer",IF($L1008="rejected","Rejected",IF($L1008="ignore","Ignore",IF($L1008="archive","Archive",IF($L1008="closed","Closed",IF($B1008="","Unscored",IF(AND($B1008&gt;=8,OR($H1008="",$H1008-TODAY()&lt;=14)),"P1 Apply",IF($B1008&gt;=7,"P2 Strong",IF($B1008&gt;=5,"P3 Maybe","P4 Low")))))))))))</f>
        <v/>
      </c>
      <c r="B1008" s="13" t="n">
        <v>0.97</v>
      </c>
      <c r="C1008" s="12" t="inlineStr">
        <is>
          <t>Senior/Lead</t>
        </is>
      </c>
      <c r="D1008" s="8" t="inlineStr">
        <is>
          <t>Embedded SW Engineer</t>
        </is>
      </c>
      <c r="E1008" s="7" t="inlineStr">
        <is>
          <t>IC Resources</t>
        </is>
      </c>
      <c r="F1008" s="8" t="inlineStr">
        <is>
          <t>Worcestershire, England, UK</t>
        </is>
      </c>
      <c r="G1008" s="8" t="n"/>
      <c r="H1008" s="14" t="n"/>
      <c r="I1008" s="15">
        <f>IF($H1008="","",$H1008-TODAY())</f>
        <v/>
      </c>
      <c r="J1008" s="16" t="inlineStr">
        <is>
          <t>Open posting</t>
        </is>
      </c>
      <c r="K1008" s="8" t="inlineStr">
        <is>
          <t>filtered by keyword pre-scan</t>
        </is>
      </c>
      <c r="L1008" s="17" t="inlineStr">
        <is>
          <t>new</t>
        </is>
      </c>
      <c r="M1008" s="18" t="inlineStr"/>
      <c r="N1008" s="7" t="inlineStr">
        <is>
          <t>b665f0297b842c51e9a875f5a3adc54b945509b9</t>
        </is>
      </c>
      <c r="O1008" s="14" t="n">
        <v>46184</v>
      </c>
      <c r="P1008" s="7" t="inlineStr">
        <is>
          <t>jobspy</t>
        </is>
      </c>
      <c r="Q1008" s="8" t="inlineStr">
        <is>
          <t>stm32, c</t>
        </is>
      </c>
      <c r="R1008" s="8" t="inlineStr">
        <is>
          <t>Junior Embedded Software Engineer STM32</t>
        </is>
      </c>
      <c r="S1008" s="19" t="n"/>
      <c r="T1008" s="19" t="n"/>
      <c r="U1008" s="14" t="n">
        <v>46192</v>
      </c>
      <c r="V1008" s="7" t="inlineStr">
        <is>
          <t>v2-cv-accuracy-13b988b18da8ea7d</t>
        </is>
      </c>
    </row>
    <row r="1009" ht="28" customHeight="1">
      <c r="A1009" s="12">
        <f>IF($L1009="applied","Applied",IF($L1009="interview","Interview",IF($L1009="offer","Offer",IF($L1009="rejected","Rejected",IF($L1009="ignore","Ignore",IF($L1009="archive","Archive",IF($L1009="closed","Closed",IF($B1009="","Unscored",IF(AND($B1009&gt;=8,OR($H1009="",$H1009-TODAY()&lt;=14)),"P1 Apply",IF($B1009&gt;=7,"P2 Strong",IF($B1009&gt;=5,"P3 Maybe","P4 Low")))))))))))</f>
        <v/>
      </c>
      <c r="B1009" s="13" t="n">
        <v>0.88</v>
      </c>
      <c r="C1009" s="12" t="inlineStr">
        <is>
          <t>Junior</t>
        </is>
      </c>
      <c r="D1009" s="8" t="inlineStr">
        <is>
          <t>Junior Python Developer</t>
        </is>
      </c>
      <c r="E1009" s="7" t="inlineStr">
        <is>
          <t>Artmac</t>
        </is>
      </c>
      <c r="F1009" s="8" t="inlineStr">
        <is>
          <t>Hyderabad, Telangana, India</t>
        </is>
      </c>
      <c r="G1009" s="8" t="n"/>
      <c r="H1009" s="14" t="n"/>
      <c r="I1009" s="15">
        <f>IF($H1009="","",$H1009-TODAY())</f>
        <v/>
      </c>
      <c r="J1009" s="16" t="inlineStr">
        <is>
          <t>Open posting</t>
        </is>
      </c>
      <c r="K1009" s="8" t="inlineStr">
        <is>
          <t>filtered by keyword pre-scan</t>
        </is>
      </c>
      <c r="L1009" s="17" t="inlineStr">
        <is>
          <t>new</t>
        </is>
      </c>
      <c r="M1009" s="18" t="inlineStr"/>
      <c r="N1009" s="7" t="inlineStr">
        <is>
          <t>01108cfa57087edff2a818b502025434b0948462</t>
        </is>
      </c>
      <c r="O1009" s="14" t="n">
        <v>46190</v>
      </c>
      <c r="P1009" s="7" t="inlineStr">
        <is>
          <t>jobspy</t>
        </is>
      </c>
      <c r="Q1009" s="8" t="inlineStr">
        <is>
          <t>python, sql, javascript, rest apis, git</t>
        </is>
      </c>
      <c r="R1009" s="8" t="inlineStr">
        <is>
          <t>graduate Junior Python Developer</t>
        </is>
      </c>
      <c r="S1009" s="19" t="n"/>
      <c r="T1009" s="19" t="n"/>
      <c r="U1009" s="14" t="n">
        <v>46191</v>
      </c>
      <c r="V1009" s="7" t="inlineStr">
        <is>
          <t>v2-cv-accuracy-13b988b18da8ea7d</t>
        </is>
      </c>
    </row>
    <row r="1010" ht="28" customHeight="1">
      <c r="A1010" s="12">
        <f>IF($L1010="applied","Applied",IF($L1010="interview","Interview",IF($L1010="offer","Offer",IF($L1010="rejected","Rejected",IF($L1010="ignore","Ignore",IF($L1010="archive","Archive",IF($L1010="closed","Closed",IF($B1010="","Unscored",IF(AND($B1010&gt;=8,OR($H1010="",$H1010-TODAY()&lt;=14)),"P1 Apply",IF($B1010&gt;=7,"P2 Strong",IF($B1010&gt;=5,"P3 Maybe","P4 Low")))))))))))</f>
        <v/>
      </c>
      <c r="B1010" s="13" t="n">
        <v>0.88</v>
      </c>
      <c r="C1010" s="12" t="inlineStr">
        <is>
          <t>Unspecified</t>
        </is>
      </c>
      <c r="D1010" s="8" t="inlineStr">
        <is>
          <t>AI Engineer (Fullstack)</t>
        </is>
      </c>
      <c r="E1010" s="7" t="inlineStr">
        <is>
          <t>Mad Devs</t>
        </is>
      </c>
      <c r="F1010" s="8" t="inlineStr">
        <is>
          <t>Remote, GB</t>
        </is>
      </c>
      <c r="G1010" s="8" t="n"/>
      <c r="H1010" s="14" t="n"/>
      <c r="I1010" s="15">
        <f>IF($H1010="","",$H1010-TODAY())</f>
        <v/>
      </c>
      <c r="J1010" s="16" t="inlineStr">
        <is>
          <t>Open posting</t>
        </is>
      </c>
      <c r="K1010" s="8" t="inlineStr">
        <is>
          <t>filtered by keyword pre-scan</t>
        </is>
      </c>
      <c r="L1010" s="17" t="inlineStr">
        <is>
          <t>new</t>
        </is>
      </c>
      <c r="M1010" s="18" t="inlineStr"/>
      <c r="N1010" s="7" t="inlineStr">
        <is>
          <t>af7f73b4f1457ba25a638459a29a096adb754511</t>
        </is>
      </c>
      <c r="O1010" s="14" t="n">
        <v>46161</v>
      </c>
      <c r="P1010" s="7" t="inlineStr">
        <is>
          <t>jobspy</t>
        </is>
      </c>
      <c r="Q1010" s="8" t="inlineStr">
        <is>
          <t>python, sql, git, software development</t>
        </is>
      </c>
      <c r="R1010" s="8" t="inlineStr">
        <is>
          <t>Junior Python Developer remote</t>
        </is>
      </c>
      <c r="S1010" s="19" t="n"/>
      <c r="T1010" s="19" t="n"/>
      <c r="U1010" s="14" t="n">
        <v>46191</v>
      </c>
      <c r="V1010" s="7" t="inlineStr">
        <is>
          <t>v2-cv-accuracy-13b988b18da8ea7d</t>
        </is>
      </c>
    </row>
    <row r="1011" ht="28" customHeight="1">
      <c r="A1011" s="12">
        <f>IF($L1011="applied","Applied",IF($L1011="interview","Interview",IF($L1011="offer","Offer",IF($L1011="rejected","Rejected",IF($L1011="ignore","Ignore",IF($L1011="archive","Archive",IF($L1011="closed","Closed",IF($B1011="","Unscored",IF(AND($B1011&gt;=8,OR($H1011="",$H1011-TODAY()&lt;=14)),"P1 Apply",IF($B1011&gt;=7,"P2 Strong",IF($B1011&gt;=5,"P3 Maybe","P4 Low")))))))))))</f>
        <v/>
      </c>
      <c r="B1011" s="13" t="n">
        <v>0.88</v>
      </c>
      <c r="C1011" s="12" t="inlineStr">
        <is>
          <t>Unspecified</t>
        </is>
      </c>
      <c r="D1011" s="8" t="inlineStr">
        <is>
          <t>Software Engineer</t>
        </is>
      </c>
      <c r="E1011" s="7" t="inlineStr">
        <is>
          <t>Addition</t>
        </is>
      </c>
      <c r="F1011" s="8" t="inlineStr">
        <is>
          <t>Cheltenham, England, UK</t>
        </is>
      </c>
      <c r="G1011" s="8" t="n"/>
      <c r="H1011" s="14" t="n"/>
      <c r="I1011" s="15">
        <f>IF($H1011="","",$H1011-TODAY())</f>
        <v/>
      </c>
      <c r="J1011" s="16" t="inlineStr">
        <is>
          <t>Open posting</t>
        </is>
      </c>
      <c r="K1011" s="8" t="inlineStr">
        <is>
          <t>filtered by keyword pre-scan</t>
        </is>
      </c>
      <c r="L1011" s="17" t="inlineStr">
        <is>
          <t>new</t>
        </is>
      </c>
      <c r="M1011" s="18" t="inlineStr"/>
      <c r="N1011" s="7" t="inlineStr">
        <is>
          <t>33722dc10e0ebf88437b6015db18446bbf6b3b43</t>
        </is>
      </c>
      <c r="O1011" s="14" t="n">
        <v>46183</v>
      </c>
      <c r="P1011" s="7" t="inlineStr">
        <is>
          <t>jobspy</t>
        </is>
      </c>
      <c r="Q1011" s="8" t="inlineStr">
        <is>
          <t>python, javascript, git, software development</t>
        </is>
      </c>
      <c r="R1011" s="8" t="inlineStr">
        <is>
          <t>graduate Full Stack Developer</t>
        </is>
      </c>
      <c r="S1011" s="19" t="n"/>
      <c r="T1011" s="19" t="n"/>
      <c r="U1011" s="14" t="n">
        <v>46191</v>
      </c>
      <c r="V1011" s="7" t="inlineStr">
        <is>
          <t>v2-cv-accuracy-13b988b18da8ea7d</t>
        </is>
      </c>
    </row>
    <row r="1012" ht="28" customHeight="1">
      <c r="A1012" s="12">
        <f>IF($L1012="applied","Applied",IF($L1012="interview","Interview",IF($L1012="offer","Offer",IF($L1012="rejected","Rejected",IF($L1012="ignore","Ignore",IF($L1012="archive","Archive",IF($L1012="closed","Closed",IF($B1012="","Unscored",IF(AND($B1012&gt;=8,OR($H1012="",$H1012-TODAY()&lt;=14)),"P1 Apply",IF($B1012&gt;=7,"P2 Strong",IF($B1012&gt;=5,"P3 Maybe","P4 Low")))))))))))</f>
        <v/>
      </c>
      <c r="B1012" s="13" t="n">
        <v>0.86</v>
      </c>
      <c r="C1012" s="12" t="inlineStr">
        <is>
          <t>Mid-level</t>
        </is>
      </c>
      <c r="D1012" s="8" t="inlineStr">
        <is>
          <t>Software Engineer, Inference Platform</t>
        </is>
      </c>
      <c r="E1012" s="7" t="inlineStr">
        <is>
          <t>Cerebras</t>
        </is>
      </c>
      <c r="F1012" s="8" t="inlineStr">
        <is>
          <t>Sunnyvale, CA</t>
        </is>
      </c>
      <c r="G1012" s="8" t="n"/>
      <c r="H1012" s="14" t="n"/>
      <c r="I1012" s="15">
        <f>IF($H1012="","",$H1012-TODAY())</f>
        <v/>
      </c>
      <c r="J1012" s="16" t="inlineStr">
        <is>
          <t>Open posting</t>
        </is>
      </c>
      <c r="K1012" s="8" t="inlineStr">
        <is>
          <t>filtered by keyword pre-scan</t>
        </is>
      </c>
      <c r="L1012" s="17" t="inlineStr">
        <is>
          <t>new</t>
        </is>
      </c>
      <c r="M1012" s="18" t="inlineStr"/>
      <c r="N1012" s="7" t="inlineStr">
        <is>
          <t>2fc544b32b67e1e32063779fdf9d83a005093d82</t>
        </is>
      </c>
      <c r="O1012" s="14" t="n">
        <v>46192</v>
      </c>
      <c r="P1012" s="7" t="inlineStr">
        <is>
          <t>greenhouse:cerebrassystems</t>
        </is>
      </c>
      <c r="Q1012" s="8" t="inlineStr">
        <is>
          <t>kubernetes, c</t>
        </is>
      </c>
      <c r="R1012" s="8" t="n"/>
      <c r="S1012" s="19" t="n"/>
      <c r="T1012" s="19" t="n"/>
      <c r="U1012" s="14" t="n">
        <v>46193</v>
      </c>
      <c r="V1012" s="7" t="inlineStr">
        <is>
          <t>v2-cv-accuracy-13b988b18da8ea7d</t>
        </is>
      </c>
    </row>
    <row r="1013" ht="28" customHeight="1">
      <c r="A1013" s="12">
        <f>IF($L1013="applied","Applied",IF($L1013="interview","Interview",IF($L1013="offer","Offer",IF($L1013="rejected","Rejected",IF($L1013="ignore","Ignore",IF($L1013="archive","Archive",IF($L1013="closed","Closed",IF($B1013="","Unscored",IF(AND($B1013&gt;=8,OR($H1013="",$H1013-TODAY()&lt;=14)),"P1 Apply",IF($B1013&gt;=7,"P2 Strong",IF($B1013&gt;=5,"P3 Maybe","P4 Low")))))))))))</f>
        <v/>
      </c>
      <c r="B1013" s="13" t="n">
        <v>0.86</v>
      </c>
      <c r="C1013" s="12" t="inlineStr">
        <is>
          <t>Unspecified</t>
        </is>
      </c>
      <c r="D1013" s="8" t="inlineStr">
        <is>
          <t>Embedded Software Engineer</t>
        </is>
      </c>
      <c r="E1013" s="7" t="inlineStr">
        <is>
          <t>IC Resources</t>
        </is>
      </c>
      <c r="F1013" s="8" t="inlineStr">
        <is>
          <t>Livingston, Scotland, UK</t>
        </is>
      </c>
      <c r="G1013" s="8" t="n"/>
      <c r="H1013" s="14" t="n"/>
      <c r="I1013" s="15">
        <f>IF($H1013="","",$H1013-TODAY())</f>
        <v/>
      </c>
      <c r="J1013" s="16" t="inlineStr">
        <is>
          <t>Open posting</t>
        </is>
      </c>
      <c r="K1013" s="8" t="inlineStr">
        <is>
          <t>filtered by keyword pre-scan</t>
        </is>
      </c>
      <c r="L1013" s="17" t="inlineStr">
        <is>
          <t>new</t>
        </is>
      </c>
      <c r="M1013" s="18" t="inlineStr"/>
      <c r="N1013" s="7" t="inlineStr">
        <is>
          <t>c14389db64d6a186a1628f031bc5c6831ca8b53f</t>
        </is>
      </c>
      <c r="O1013" s="14" t="n"/>
      <c r="P1013" s="7" t="inlineStr">
        <is>
          <t>jobspy</t>
        </is>
      </c>
      <c r="Q1013" s="8" t="inlineStr">
        <is>
          <t>stm32, c</t>
        </is>
      </c>
      <c r="R1013" s="8" t="inlineStr">
        <is>
          <t>Junior Embedded Software Engineer STM32</t>
        </is>
      </c>
      <c r="S1013" s="19" t="n"/>
      <c r="T1013" s="19" t="n"/>
      <c r="U1013" s="14" t="n">
        <v>46193</v>
      </c>
      <c r="V1013" s="7" t="inlineStr">
        <is>
          <t>v2-cv-accuracy-13b988b18da8ea7d</t>
        </is>
      </c>
    </row>
    <row r="1014" ht="28" customHeight="1">
      <c r="A1014" s="12">
        <f>IF($L1014="applied","Applied",IF($L1014="interview","Interview",IF($L1014="offer","Offer",IF($L1014="rejected","Rejected",IF($L1014="ignore","Ignore",IF($L1014="archive","Archive",IF($L1014="closed","Closed",IF($B1014="","Unscored",IF(AND($B1014&gt;=8,OR($H1014="",$H1014-TODAY()&lt;=14)),"P1 Apply",IF($B1014&gt;=7,"P2 Strong",IF($B1014&gt;=5,"P3 Maybe","P4 Low")))))))))))</f>
        <v/>
      </c>
      <c r="B1014" s="13" t="n">
        <v>0.86</v>
      </c>
      <c r="C1014" s="12" t="inlineStr">
        <is>
          <t>Senior/Lead</t>
        </is>
      </c>
      <c r="D1014" s="8" t="inlineStr">
        <is>
          <t>Technical Engineer</t>
        </is>
      </c>
      <c r="E1014" s="7" t="inlineStr">
        <is>
          <t>XTEND</t>
        </is>
      </c>
      <c r="F1014" s="8" t="inlineStr">
        <is>
          <t>Swindon, England, UK</t>
        </is>
      </c>
      <c r="G1014" s="8" t="n"/>
      <c r="H1014" s="14" t="n"/>
      <c r="I1014" s="15">
        <f>IF($H1014="","",$H1014-TODAY())</f>
        <v/>
      </c>
      <c r="J1014" s="16" t="inlineStr">
        <is>
          <t>Open posting</t>
        </is>
      </c>
      <c r="K1014" s="8" t="inlineStr">
        <is>
          <t>filtered by keyword pre-scan</t>
        </is>
      </c>
      <c r="L1014" s="17" t="inlineStr">
        <is>
          <t>new</t>
        </is>
      </c>
      <c r="M1014" s="18" t="inlineStr"/>
      <c r="N1014" s="7" t="inlineStr">
        <is>
          <t>a02eb0dcc34890b62f34f15a69e7a7a7ad19755b</t>
        </is>
      </c>
      <c r="O1014" s="14" t="n">
        <v>46169</v>
      </c>
      <c r="P1014" s="7" t="inlineStr">
        <is>
          <t>jobspy</t>
        </is>
      </c>
      <c r="Q1014" s="8" t="inlineStr">
        <is>
          <t>c, embedded systems</t>
        </is>
      </c>
      <c r="R1014" s="8" t="inlineStr">
        <is>
          <t>Graduate Systems Engineer hardware software</t>
        </is>
      </c>
      <c r="S1014" s="19" t="n"/>
      <c r="T1014" s="19" t="n"/>
      <c r="U1014" s="14" t="n">
        <v>46193</v>
      </c>
      <c r="V1014" s="7" t="inlineStr">
        <is>
          <t>v2-cv-accuracy-13b988b18da8ea7d</t>
        </is>
      </c>
    </row>
    <row r="1015" ht="28" customHeight="1">
      <c r="A1015" s="12">
        <f>IF($L1015="applied","Applied",IF($L1015="interview","Interview",IF($L1015="offer","Offer",IF($L1015="rejected","Rejected",IF($L1015="ignore","Ignore",IF($L1015="archive","Archive",IF($L1015="closed","Closed",IF($B1015="","Unscored",IF(AND($B1015&gt;=8,OR($H1015="",$H1015-TODAY()&lt;=14)),"P1 Apply",IF($B1015&gt;=7,"P2 Strong",IF($B1015&gt;=5,"P3 Maybe","P4 Low")))))))))))</f>
        <v/>
      </c>
      <c r="B1015" s="13" t="n">
        <v>0.86</v>
      </c>
      <c r="C1015" s="12" t="inlineStr">
        <is>
          <t>Junior</t>
        </is>
      </c>
      <c r="D1015" s="8" t="inlineStr">
        <is>
          <t>Junior Embedded Software Engineer</t>
        </is>
      </c>
      <c r="E1015" s="7" t="inlineStr">
        <is>
          <t>IC Resources</t>
        </is>
      </c>
      <c r="F1015" s="8" t="inlineStr">
        <is>
          <t>Farnborough, England, UK</t>
        </is>
      </c>
      <c r="G1015" s="8" t="n"/>
      <c r="H1015" s="14" t="n"/>
      <c r="I1015" s="15">
        <f>IF($H1015="","",$H1015-TODAY())</f>
        <v/>
      </c>
      <c r="J1015" s="16" t="inlineStr">
        <is>
          <t>Open posting</t>
        </is>
      </c>
      <c r="K1015" s="8" t="inlineStr">
        <is>
          <t>filtered by keyword pre-scan</t>
        </is>
      </c>
      <c r="L1015" s="17" t="inlineStr">
        <is>
          <t>new</t>
        </is>
      </c>
      <c r="M1015" s="18" t="inlineStr"/>
      <c r="N1015" s="7" t="inlineStr">
        <is>
          <t>082a239d42e0ef46f18340eddf67f5b2f505cdf6</t>
        </is>
      </c>
      <c r="O1015" s="14" t="n">
        <v>46176</v>
      </c>
      <c r="P1015" s="7" t="inlineStr">
        <is>
          <t>jobspy</t>
        </is>
      </c>
      <c r="Q1015" s="8" t="inlineStr">
        <is>
          <t>c, embedded systems</t>
        </is>
      </c>
      <c r="R1015" s="8" t="inlineStr">
        <is>
          <t>Junior Embedded Software Engineer STM32</t>
        </is>
      </c>
      <c r="S1015" s="19" t="n"/>
      <c r="T1015" s="19" t="n"/>
      <c r="U1015" s="14" t="n">
        <v>46193</v>
      </c>
      <c r="V1015" s="7" t="inlineStr">
        <is>
          <t>v2-cv-accuracy-13b988b18da8ea7d</t>
        </is>
      </c>
    </row>
    <row r="1016" ht="28" customHeight="1">
      <c r="A1016" s="12">
        <f>IF($L1016="applied","Applied",IF($L1016="interview","Interview",IF($L1016="offer","Offer",IF($L1016="rejected","Rejected",IF($L1016="ignore","Ignore",IF($L1016="archive","Archive",IF($L1016="closed","Closed",IF($B1016="","Unscored",IF(AND($B1016&gt;=8,OR($H1016="",$H1016-TODAY()&lt;=14)),"P1 Apply",IF($B1016&gt;=7,"P2 Strong",IF($B1016&gt;=5,"P3 Maybe","P4 Low")))))))))))</f>
        <v/>
      </c>
      <c r="B1016" s="13" t="n">
        <v>0.86</v>
      </c>
      <c r="C1016" s="12" t="inlineStr">
        <is>
          <t>Senior/Lead</t>
        </is>
      </c>
      <c r="D1016" s="8" t="inlineStr">
        <is>
          <t>System Engineer</t>
        </is>
      </c>
      <c r="E1016" s="7" t="inlineStr">
        <is>
          <t>DCS Recruitment</t>
        </is>
      </c>
      <c r="F1016" s="8" t="inlineStr">
        <is>
          <t>Oxfordshire, England, UK</t>
        </is>
      </c>
      <c r="G1016" s="8" t="n"/>
      <c r="H1016" s="14" t="n"/>
      <c r="I1016" s="15">
        <f>IF($H1016="","",$H1016-TODAY())</f>
        <v/>
      </c>
      <c r="J1016" s="16" t="inlineStr">
        <is>
          <t>Open posting</t>
        </is>
      </c>
      <c r="K1016" s="8" t="inlineStr">
        <is>
          <t>filtered by keyword pre-scan</t>
        </is>
      </c>
      <c r="L1016" s="17" t="inlineStr">
        <is>
          <t>new</t>
        </is>
      </c>
      <c r="M1016" s="18" t="inlineStr"/>
      <c r="N1016" s="7" t="inlineStr">
        <is>
          <t>cefe9b123e47fd99f213148c691be2538569baa6</t>
        </is>
      </c>
      <c r="O1016" s="14" t="n">
        <v>46188</v>
      </c>
      <c r="P1016" s="7" t="inlineStr">
        <is>
          <t>jobspy</t>
        </is>
      </c>
      <c r="Q1016" s="8" t="inlineStr">
        <is>
          <t>c, embedded systems</t>
        </is>
      </c>
      <c r="R1016" s="8" t="inlineStr">
        <is>
          <t>Graduate Systems Engineer embedded hardware software</t>
        </is>
      </c>
      <c r="S1016" s="19" t="n"/>
      <c r="T1016" s="19" t="n"/>
      <c r="U1016" s="14" t="n">
        <v>46192</v>
      </c>
      <c r="V1016" s="7" t="inlineStr">
        <is>
          <t>v2-cv-accuracy-13b988b18da8ea7d</t>
        </is>
      </c>
    </row>
    <row r="1017" ht="28" customHeight="1">
      <c r="A1017" s="12">
        <f>IF($L1017="applied","Applied",IF($L1017="interview","Interview",IF($L1017="offer","Offer",IF($L1017="rejected","Rejected",IF($L1017="ignore","Ignore",IF($L1017="archive","Archive",IF($L1017="closed","Closed",IF($B1017="","Unscored",IF(AND($B1017&gt;=8,OR($H1017="",$H1017-TODAY()&lt;=14)),"P1 Apply",IF($B1017&gt;=7,"P2 Strong",IF($B1017&gt;=5,"P3 Maybe","P4 Low")))))))))))</f>
        <v/>
      </c>
      <c r="B1017" s="13" t="n">
        <v>0.86</v>
      </c>
      <c r="C1017" s="12" t="inlineStr">
        <is>
          <t>Junior</t>
        </is>
      </c>
      <c r="D1017" s="8" t="inlineStr">
        <is>
          <t>Junior Data Engineer (Azure) (12 month FTC)</t>
        </is>
      </c>
      <c r="E1017" s="7" t="inlineStr">
        <is>
          <t>Harnham</t>
        </is>
      </c>
      <c r="F1017" s="8" t="inlineStr">
        <is>
          <t>London, England, UK</t>
        </is>
      </c>
      <c r="G1017" s="8" t="n"/>
      <c r="H1017" s="14" t="n"/>
      <c r="I1017" s="15">
        <f>IF($H1017="","",$H1017-TODAY())</f>
        <v/>
      </c>
      <c r="J1017" s="16" t="inlineStr">
        <is>
          <t>Open posting</t>
        </is>
      </c>
      <c r="K1017" s="8" t="inlineStr">
        <is>
          <t>filtered by keyword pre-scan</t>
        </is>
      </c>
      <c r="L1017" s="17" t="inlineStr">
        <is>
          <t>new</t>
        </is>
      </c>
      <c r="M1017" s="18" t="inlineStr"/>
      <c r="N1017" s="7" t="inlineStr">
        <is>
          <t>4463e191457ce32a44292bcf553519444a21a92e</t>
        </is>
      </c>
      <c r="O1017" s="14" t="n">
        <v>46189</v>
      </c>
      <c r="P1017" s="7" t="inlineStr">
        <is>
          <t>jobspy</t>
        </is>
      </c>
      <c r="Q1017" s="8" t="inlineStr">
        <is>
          <t>python, c</t>
        </is>
      </c>
      <c r="R1017" s="8" t="inlineStr">
        <is>
          <t>Graduate Data Engineer SQL Python pipeline</t>
        </is>
      </c>
      <c r="S1017" s="19" t="n"/>
      <c r="T1017" s="19" t="n"/>
      <c r="U1017" s="14" t="n">
        <v>46192</v>
      </c>
      <c r="V1017" s="7" t="inlineStr">
        <is>
          <t>v2-cv-accuracy-13b988b18da8ea7d</t>
        </is>
      </c>
    </row>
    <row r="1018" ht="28" customHeight="1">
      <c r="A1018" s="12">
        <f>IF($L1018="applied","Applied",IF($L1018="interview","Interview",IF($L1018="offer","Offer",IF($L1018="rejected","Rejected",IF($L1018="ignore","Ignore",IF($L1018="archive","Archive",IF($L1018="closed","Closed",IF($B1018="","Unscored",IF(AND($B1018&gt;=8,OR($H1018="",$H1018-TODAY()&lt;=14)),"P1 Apply",IF($B1018&gt;=7,"P2 Strong",IF($B1018&gt;=5,"P3 Maybe","P4 Low")))))))))))</f>
        <v/>
      </c>
      <c r="B1018" s="13" t="n">
        <v>0.86</v>
      </c>
      <c r="C1018" s="12" t="inlineStr">
        <is>
          <t>Mid-level</t>
        </is>
      </c>
      <c r="D1018" s="8" t="inlineStr">
        <is>
          <t>Integration Test Engineer</t>
        </is>
      </c>
      <c r="E1018" s="7" t="inlineStr">
        <is>
          <t>Clear-Com</t>
        </is>
      </c>
      <c r="F1018" s="8" t="inlineStr">
        <is>
          <t>Cambridge, ENG, GB</t>
        </is>
      </c>
      <c r="G1018" s="8" t="n"/>
      <c r="H1018" s="14" t="n"/>
      <c r="I1018" s="15">
        <f>IF($H1018="","",$H1018-TODAY())</f>
        <v/>
      </c>
      <c r="J1018" s="16" t="inlineStr">
        <is>
          <t>Open posting</t>
        </is>
      </c>
      <c r="K1018" s="8" t="inlineStr">
        <is>
          <t>filtered by keyword pre-scan</t>
        </is>
      </c>
      <c r="L1018" s="17" t="inlineStr">
        <is>
          <t>new</t>
        </is>
      </c>
      <c r="M1018" s="18" t="inlineStr"/>
      <c r="N1018" s="7" t="inlineStr">
        <is>
          <t>9309f6255e863dd4b5b2bf358be49bf0e6342915</t>
        </is>
      </c>
      <c r="O1018" s="14" t="n">
        <v>46174</v>
      </c>
      <c r="P1018" s="7" t="inlineStr">
        <is>
          <t>jobspy</t>
        </is>
      </c>
      <c r="Q1018" s="8" t="inlineStr">
        <is>
          <t>python, c</t>
        </is>
      </c>
      <c r="R1018" s="8" t="inlineStr">
        <is>
          <t>Graduate Systems Engineer hardware software</t>
        </is>
      </c>
      <c r="S1018" s="19" t="n"/>
      <c r="T1018" s="19" t="n"/>
      <c r="U1018" s="14" t="n">
        <v>46192</v>
      </c>
      <c r="V1018" s="7" t="inlineStr">
        <is>
          <t>v2-cv-accuracy-13b988b18da8ea7d</t>
        </is>
      </c>
    </row>
    <row r="1019" ht="28" customHeight="1">
      <c r="A1019" s="12">
        <f>IF($L1019="applied","Applied",IF($L1019="interview","Interview",IF($L1019="offer","Offer",IF($L1019="rejected","Rejected",IF($L1019="ignore","Ignore",IF($L1019="archive","Archive",IF($L1019="closed","Closed",IF($B1019="","Unscored",IF(AND($B1019&gt;=8,OR($H1019="",$H1019-TODAY()&lt;=14)),"P1 Apply",IF($B1019&gt;=7,"P2 Strong",IF($B1019&gt;=5,"P3 Maybe","P4 Low")))))))))))</f>
        <v/>
      </c>
      <c r="B1019" s="13" t="n">
        <v>0.86</v>
      </c>
      <c r="C1019" s="12" t="inlineStr">
        <is>
          <t>Unspecified</t>
        </is>
      </c>
      <c r="D1019" s="8" t="inlineStr">
        <is>
          <t>Optical Systems Engineer - Quantum Computing</t>
        </is>
      </c>
      <c r="E1019" s="7" t="inlineStr">
        <is>
          <t>DeepRec.ai</t>
        </is>
      </c>
      <c r="F1019" s="8" t="inlineStr">
        <is>
          <t>London Area, United Kingdom</t>
        </is>
      </c>
      <c r="G1019" s="8" t="n"/>
      <c r="H1019" s="14" t="n"/>
      <c r="I1019" s="15">
        <f>IF($H1019="","",$H1019-TODAY())</f>
        <v/>
      </c>
      <c r="J1019" s="16" t="inlineStr">
        <is>
          <t>Open posting</t>
        </is>
      </c>
      <c r="K1019" s="8" t="inlineStr">
        <is>
          <t>filtered by keyword pre-scan</t>
        </is>
      </c>
      <c r="L1019" s="17" t="inlineStr">
        <is>
          <t>new</t>
        </is>
      </c>
      <c r="M1019" s="18" t="inlineStr"/>
      <c r="N1019" s="7" t="inlineStr">
        <is>
          <t>9c1bf485fd51ace64de20d7a7c5dedf571c8c588</t>
        </is>
      </c>
      <c r="O1019" s="14" t="n">
        <v>46190</v>
      </c>
      <c r="P1019" s="7" t="inlineStr">
        <is>
          <t>jobspy</t>
        </is>
      </c>
      <c r="Q1019" s="8" t="inlineStr">
        <is>
          <t>python, c</t>
        </is>
      </c>
      <c r="R1019" s="8" t="inlineStr">
        <is>
          <t>Graduate Systems Engineer hardware software</t>
        </is>
      </c>
      <c r="S1019" s="19" t="n"/>
      <c r="T1019" s="19" t="n"/>
      <c r="U1019" s="14" t="n">
        <v>46192</v>
      </c>
      <c r="V1019" s="7" t="inlineStr">
        <is>
          <t>v2-cv-accuracy-13b988b18da8ea7d</t>
        </is>
      </c>
    </row>
    <row r="1020" ht="28" customHeight="1">
      <c r="A1020" s="12">
        <f>IF($L1020="applied","Applied",IF($L1020="interview","Interview",IF($L1020="offer","Offer",IF($L1020="rejected","Rejected",IF($L1020="ignore","Ignore",IF($L1020="archive","Archive",IF($L1020="closed","Closed",IF($B1020="","Unscored",IF(AND($B1020&gt;=8,OR($H1020="",$H1020-TODAY()&lt;=14)),"P1 Apply",IF($B1020&gt;=7,"P2 Strong",IF($B1020&gt;=5,"P3 Maybe","P4 Low")))))))))))</f>
        <v/>
      </c>
      <c r="B1020" s="13" t="n">
        <v>0.86</v>
      </c>
      <c r="C1020" s="12" t="inlineStr">
        <is>
          <t>Unspecified</t>
        </is>
      </c>
      <c r="D1020" s="8" t="inlineStr">
        <is>
          <t>Systems Avionics Engineer</t>
        </is>
      </c>
      <c r="E1020" s="7" t="inlineStr">
        <is>
          <t>Expleo Group</t>
        </is>
      </c>
      <c r="F1020" s="8" t="inlineStr">
        <is>
          <t>Preston, England, UK</t>
        </is>
      </c>
      <c r="G1020" s="8" t="n"/>
      <c r="H1020" s="14" t="n"/>
      <c r="I1020" s="15">
        <f>IF($H1020="","",$H1020-TODAY())</f>
        <v/>
      </c>
      <c r="J1020" s="16" t="inlineStr">
        <is>
          <t>Open posting</t>
        </is>
      </c>
      <c r="K1020" s="8" t="inlineStr">
        <is>
          <t>filtered by keyword pre-scan</t>
        </is>
      </c>
      <c r="L1020" s="17" t="inlineStr">
        <is>
          <t>new</t>
        </is>
      </c>
      <c r="M1020" s="18" t="inlineStr"/>
      <c r="N1020" s="7" t="inlineStr">
        <is>
          <t>0233c3ccd7d2370453ad75c4055564a123f67e02</t>
        </is>
      </c>
      <c r="O1020" s="14" t="n">
        <v>46178</v>
      </c>
      <c r="P1020" s="7" t="inlineStr">
        <is>
          <t>jobspy</t>
        </is>
      </c>
      <c r="Q1020" s="8" t="inlineStr">
        <is>
          <t>git, c</t>
        </is>
      </c>
      <c r="R1020" s="8" t="inlineStr">
        <is>
          <t>Graduate Systems Engineer hardware software</t>
        </is>
      </c>
      <c r="S1020" s="19" t="n"/>
      <c r="T1020" s="19" t="n"/>
      <c r="U1020" s="14" t="n">
        <v>46192</v>
      </c>
      <c r="V1020" s="7" t="inlineStr">
        <is>
          <t>v2-cv-accuracy-13b988b18da8ea7d</t>
        </is>
      </c>
    </row>
    <row r="1021" ht="28" customHeight="1">
      <c r="A1021" s="12">
        <f>IF($L1021="applied","Applied",IF($L1021="interview","Interview",IF($L1021="offer","Offer",IF($L1021="rejected","Rejected",IF($L1021="ignore","Ignore",IF($L1021="archive","Archive",IF($L1021="closed","Closed",IF($B1021="","Unscored",IF(AND($B1021&gt;=8,OR($H1021="",$H1021-TODAY()&lt;=14)),"P1 Apply",IF($B1021&gt;=7,"P2 Strong",IF($B1021&gt;=5,"P3 Maybe","P4 Low")))))))))))</f>
        <v/>
      </c>
      <c r="B1021" s="13" t="n">
        <v>0.86</v>
      </c>
      <c r="C1021" s="12" t="inlineStr">
        <is>
          <t>Senior/Lead</t>
        </is>
      </c>
      <c r="D1021" s="8" t="inlineStr">
        <is>
          <t>Software Engineer</t>
        </is>
      </c>
      <c r="E1021" s="7" t="inlineStr">
        <is>
          <t>Haystack</t>
        </is>
      </c>
      <c r="F1021" s="8" t="inlineStr">
        <is>
          <t>Belfast, Northern Ireland, UK</t>
        </is>
      </c>
      <c r="G1021" s="8" t="n"/>
      <c r="H1021" s="14" t="n"/>
      <c r="I1021" s="15">
        <f>IF($H1021="","",$H1021-TODAY())</f>
        <v/>
      </c>
      <c r="J1021" s="16" t="inlineStr">
        <is>
          <t>Open posting</t>
        </is>
      </c>
      <c r="K1021" s="8" t="inlineStr">
        <is>
          <t>filtered by keyword pre-scan</t>
        </is>
      </c>
      <c r="L1021" s="17" t="inlineStr">
        <is>
          <t>new</t>
        </is>
      </c>
      <c r="M1021" s="18" t="inlineStr"/>
      <c r="N1021" s="7" t="inlineStr">
        <is>
          <t>e25976de6d451a269ba15eeab69b6757b2e58272</t>
        </is>
      </c>
      <c r="O1021" s="14" t="n">
        <v>46190</v>
      </c>
      <c r="P1021" s="7" t="inlineStr">
        <is>
          <t>jobspy</t>
        </is>
      </c>
      <c r="Q1021" s="8" t="inlineStr">
        <is>
          <t>python, c</t>
        </is>
      </c>
      <c r="R1021" s="8" t="inlineStr">
        <is>
          <t>Junior Python Developer Docker Kubernetes Sheffield</t>
        </is>
      </c>
      <c r="S1021" s="19" t="n"/>
      <c r="T1021" s="19" t="n"/>
      <c r="U1021" s="14" t="n">
        <v>46192</v>
      </c>
      <c r="V1021" s="7" t="inlineStr">
        <is>
          <t>v2-cv-accuracy-13b988b18da8ea7d</t>
        </is>
      </c>
    </row>
    <row r="1022" ht="28" customHeight="1">
      <c r="A1022" s="12">
        <f>IF($L1022="applied","Applied",IF($L1022="interview","Interview",IF($L1022="offer","Offer",IF($L1022="rejected","Rejected",IF($L1022="ignore","Ignore",IF($L1022="archive","Archive",IF($L1022="closed","Closed",IF($B1022="","Unscored",IF(AND($B1022&gt;=8,OR($H1022="",$H1022-TODAY()&lt;=14)),"P1 Apply",IF($B1022&gt;=7,"P2 Strong",IF($B1022&gt;=5,"P3 Maybe","P4 Low")))))))))))</f>
        <v/>
      </c>
      <c r="B1022" s="13" t="n">
        <v>0.86</v>
      </c>
      <c r="C1022" s="12" t="inlineStr">
        <is>
          <t>Senior/Lead</t>
        </is>
      </c>
      <c r="D1022" s="8" t="inlineStr">
        <is>
          <t>Python Developer - Backend or Full Stack - London Hybrid</t>
        </is>
      </c>
      <c r="E1022" s="7" t="inlineStr">
        <is>
          <t>The Developer Link</t>
        </is>
      </c>
      <c r="F1022" s="8" t="inlineStr">
        <is>
          <t>London Area, United Kingdom</t>
        </is>
      </c>
      <c r="G1022" s="8" t="n"/>
      <c r="H1022" s="14" t="n"/>
      <c r="I1022" s="15">
        <f>IF($H1022="","",$H1022-TODAY())</f>
        <v/>
      </c>
      <c r="J1022" s="16" t="inlineStr">
        <is>
          <t>Open posting</t>
        </is>
      </c>
      <c r="K1022" s="8" t="inlineStr">
        <is>
          <t>filtered by keyword pre-scan</t>
        </is>
      </c>
      <c r="L1022" s="17" t="inlineStr">
        <is>
          <t>new</t>
        </is>
      </c>
      <c r="M1022" s="18" t="inlineStr"/>
      <c r="N1022" s="7" t="inlineStr">
        <is>
          <t>eb32892048894b77af0d2eeb76dbb249363d5601</t>
        </is>
      </c>
      <c r="O1022" s="14" t="n">
        <v>46182</v>
      </c>
      <c r="P1022" s="7" t="inlineStr">
        <is>
          <t>jobspy</t>
        </is>
      </c>
      <c r="Q1022" s="8" t="inlineStr">
        <is>
          <t>python, c</t>
        </is>
      </c>
      <c r="R1022" s="8" t="inlineStr">
        <is>
          <t>Junior Python Developer Docker Kubernetes Sheffield</t>
        </is>
      </c>
      <c r="S1022" s="19" t="n"/>
      <c r="T1022" s="19" t="n"/>
      <c r="U1022" s="14" t="n">
        <v>46192</v>
      </c>
      <c r="V1022" s="7" t="inlineStr">
        <is>
          <t>v2-cv-accuracy-13b988b18da8ea7d</t>
        </is>
      </c>
    </row>
    <row r="1023" ht="28" customHeight="1">
      <c r="A1023" s="12">
        <f>IF($L1023="applied","Applied",IF($L1023="interview","Interview",IF($L1023="offer","Offer",IF($L1023="rejected","Rejected",IF($L1023="ignore","Ignore",IF($L1023="archive","Archive",IF($L1023="closed","Closed",IF($B1023="","Unscored",IF(AND($B1023&gt;=8,OR($H1023="",$H1023-TODAY()&lt;=14)),"P1 Apply",IF($B1023&gt;=7,"P2 Strong",IF($B1023&gt;=5,"P3 Maybe","P4 Low")))))))))))</f>
        <v/>
      </c>
      <c r="B1023" s="13" t="n">
        <v>0.86</v>
      </c>
      <c r="C1023" s="12" t="inlineStr">
        <is>
          <t>Mid-level</t>
        </is>
      </c>
      <c r="D1023" s="8" t="inlineStr">
        <is>
          <t>Manufacturing Test Engineer - Circuit Card Assembly</t>
        </is>
      </c>
      <c r="E1023" s="7" t="inlineStr">
        <is>
          <t>MBDA</t>
        </is>
      </c>
      <c r="F1023" s="8" t="inlineStr">
        <is>
          <t>Bolton, England, UK</t>
        </is>
      </c>
      <c r="G1023" s="8" t="n"/>
      <c r="H1023" s="14" t="n"/>
      <c r="I1023" s="15">
        <f>IF($H1023="","",$H1023-TODAY())</f>
        <v/>
      </c>
      <c r="J1023" s="16" t="inlineStr">
        <is>
          <t>Open posting</t>
        </is>
      </c>
      <c r="K1023" s="8" t="inlineStr">
        <is>
          <t>filtered by keyword pre-scan</t>
        </is>
      </c>
      <c r="L1023" s="17" t="inlineStr">
        <is>
          <t>new</t>
        </is>
      </c>
      <c r="M1023" s="18" t="inlineStr"/>
      <c r="N1023" s="7" t="inlineStr">
        <is>
          <t>fefcbd8910465f968b510efb2efc88698588e507</t>
        </is>
      </c>
      <c r="O1023" s="14" t="n">
        <v>46177</v>
      </c>
      <c r="P1023" s="7" t="inlineStr">
        <is>
          <t>jobspy</t>
        </is>
      </c>
      <c r="Q1023" s="8" t="inlineStr">
        <is>
          <t>git, c</t>
        </is>
      </c>
      <c r="R1023" s="8" t="inlineStr">
        <is>
          <t>Graduate Electronics Engineer Sheffield</t>
        </is>
      </c>
      <c r="S1023" s="19" t="n"/>
      <c r="T1023" s="19" t="n"/>
      <c r="U1023" s="14" t="n">
        <v>46192</v>
      </c>
      <c r="V1023" s="7" t="inlineStr">
        <is>
          <t>v2-cv-accuracy-13b988b18da8ea7d</t>
        </is>
      </c>
    </row>
    <row r="1024" ht="28" customHeight="1">
      <c r="A1024" s="12">
        <f>IF($L1024="applied","Applied",IF($L1024="interview","Interview",IF($L1024="offer","Offer",IF($L1024="rejected","Rejected",IF($L1024="ignore","Ignore",IF($L1024="archive","Archive",IF($L1024="closed","Closed",IF($B1024="","Unscored",IF(AND($B1024&gt;=8,OR($H1024="",$H1024-TODAY()&lt;=14)),"P1 Apply",IF($B1024&gt;=7,"P2 Strong",IF($B1024&gt;=5,"P3 Maybe","P4 Low")))))))))))</f>
        <v/>
      </c>
      <c r="B1024" s="13" t="n">
        <v>0.86</v>
      </c>
      <c r="C1024" s="12" t="inlineStr">
        <is>
          <t>Unspecified</t>
        </is>
      </c>
      <c r="D1024" s="8" t="inlineStr">
        <is>
          <t>Embedded Engineer</t>
        </is>
      </c>
      <c r="E1024" s="7" t="inlineStr">
        <is>
          <t>KO2 Embedded Recruitment Solutions Ltd</t>
        </is>
      </c>
      <c r="F1024" s="8" t="inlineStr">
        <is>
          <t>Manchester, England, UK</t>
        </is>
      </c>
      <c r="G1024" s="8" t="n"/>
      <c r="H1024" s="14" t="n"/>
      <c r="I1024" s="15">
        <f>IF($H1024="","",$H1024-TODAY())</f>
        <v/>
      </c>
      <c r="J1024" s="16" t="inlineStr">
        <is>
          <t>Open posting</t>
        </is>
      </c>
      <c r="K1024" s="8" t="inlineStr">
        <is>
          <t>filtered by keyword pre-scan</t>
        </is>
      </c>
      <c r="L1024" s="17" t="inlineStr">
        <is>
          <t>new</t>
        </is>
      </c>
      <c r="M1024" s="18" t="inlineStr"/>
      <c r="N1024" s="7" t="inlineStr">
        <is>
          <t>e38e7ec0953b13473c2d68a2cd2c4bf75530909e</t>
        </is>
      </c>
      <c r="O1024" s="14" t="n">
        <v>46189</v>
      </c>
      <c r="P1024" s="7" t="inlineStr">
        <is>
          <t>jobspy</t>
        </is>
      </c>
      <c r="Q1024" s="8" t="inlineStr">
        <is>
          <t>stm32, c</t>
        </is>
      </c>
      <c r="R1024" s="8" t="inlineStr">
        <is>
          <t>Junior Embedded Software Engineer STM32</t>
        </is>
      </c>
      <c r="S1024" s="19" t="n"/>
      <c r="T1024" s="19" t="n"/>
      <c r="U1024" s="14" t="n">
        <v>46192</v>
      </c>
      <c r="V1024" s="7" t="inlineStr">
        <is>
          <t>v2-cv-accuracy-13b988b18da8ea7d</t>
        </is>
      </c>
    </row>
    <row r="1025" ht="28" customHeight="1">
      <c r="A1025" s="12">
        <f>IF($L1025="applied","Applied",IF($L1025="interview","Interview",IF($L1025="offer","Offer",IF($L1025="rejected","Rejected",IF($L1025="ignore","Ignore",IF($L1025="archive","Archive",IF($L1025="closed","Closed",IF($B1025="","Unscored",IF(AND($B1025&gt;=8,OR($H1025="",$H1025-TODAY()&lt;=14)),"P1 Apply",IF($B1025&gt;=7,"P2 Strong",IF($B1025&gt;=5,"P3 Maybe","P4 Low")))))))))))</f>
        <v/>
      </c>
      <c r="B1025" s="13" t="n">
        <v>0.86</v>
      </c>
      <c r="C1025" s="12" t="inlineStr">
        <is>
          <t>Mid-level</t>
        </is>
      </c>
      <c r="D1025" s="8" t="inlineStr">
        <is>
          <t>System Engineer</t>
        </is>
      </c>
      <c r="E1025" s="7" t="inlineStr">
        <is>
          <t>Scalian</t>
        </is>
      </c>
      <c r="F1025" s="8" t="inlineStr">
        <is>
          <t>Derby, England, UK</t>
        </is>
      </c>
      <c r="G1025" s="8" t="n"/>
      <c r="H1025" s="14" t="n"/>
      <c r="I1025" s="15">
        <f>IF($H1025="","",$H1025-TODAY())</f>
        <v/>
      </c>
      <c r="J1025" s="16" t="inlineStr">
        <is>
          <t>Open posting</t>
        </is>
      </c>
      <c r="K1025" s="8" t="inlineStr">
        <is>
          <t>filtered by keyword pre-scan</t>
        </is>
      </c>
      <c r="L1025" s="17" t="inlineStr">
        <is>
          <t>new</t>
        </is>
      </c>
      <c r="M1025" s="18" t="inlineStr"/>
      <c r="N1025" s="7" t="inlineStr">
        <is>
          <t>380db03b8d496c86df3a7ce443770091bc3da9eb</t>
        </is>
      </c>
      <c r="O1025" s="14" t="n">
        <v>46171</v>
      </c>
      <c r="P1025" s="7" t="inlineStr">
        <is>
          <t>jobspy</t>
        </is>
      </c>
      <c r="Q1025" s="8" t="inlineStr">
        <is>
          <t>git, c</t>
        </is>
      </c>
      <c r="R1025" s="8" t="inlineStr">
        <is>
          <t>Graduate Systems Engineer embedded IoT</t>
        </is>
      </c>
      <c r="S1025" s="19" t="n"/>
      <c r="T1025" s="19" t="n"/>
      <c r="U1025" s="14" t="n">
        <v>46192</v>
      </c>
      <c r="V1025" s="7" t="inlineStr">
        <is>
          <t>v2-cv-accuracy-13b988b18da8ea7d</t>
        </is>
      </c>
    </row>
    <row r="1026" ht="28" customHeight="1">
      <c r="A1026" s="12">
        <f>IF($L1026="applied","Applied",IF($L1026="interview","Interview",IF($L1026="offer","Offer",IF($L1026="rejected","Rejected",IF($L1026="ignore","Ignore",IF($L1026="archive","Archive",IF($L1026="closed","Closed",IF($B1026="","Unscored",IF(AND($B1026&gt;=8,OR($H1026="",$H1026-TODAY()&lt;=14)),"P1 Apply",IF($B1026&gt;=7,"P2 Strong",IF($B1026&gt;=5,"P3 Maybe","P4 Low")))))))))))</f>
        <v/>
      </c>
      <c r="B1026" s="13" t="n">
        <v>0.86</v>
      </c>
      <c r="C1026" s="12" t="inlineStr">
        <is>
          <t>Unspecified</t>
        </is>
      </c>
      <c r="D1026" s="8" t="inlineStr">
        <is>
          <t>Product Engineer (Backend)</t>
        </is>
      </c>
      <c r="E1026" s="7" t="inlineStr">
        <is>
          <t>Granola</t>
        </is>
      </c>
      <c r="F1026" s="8" t="inlineStr">
        <is>
          <t>London, England, UK</t>
        </is>
      </c>
      <c r="G1026" s="8" t="n"/>
      <c r="H1026" s="14" t="n"/>
      <c r="I1026" s="15">
        <f>IF($H1026="","",$H1026-TODAY())</f>
        <v/>
      </c>
      <c r="J1026" s="16" t="inlineStr">
        <is>
          <t>Open posting</t>
        </is>
      </c>
      <c r="K1026" s="8" t="inlineStr">
        <is>
          <t>filtered by keyword pre-scan</t>
        </is>
      </c>
      <c r="L1026" s="17" t="inlineStr">
        <is>
          <t>new</t>
        </is>
      </c>
      <c r="M1026" s="18" t="inlineStr"/>
      <c r="N1026" s="7" t="inlineStr">
        <is>
          <t>719f72fdbf6033a1940b1a2f2ca2dac0be3a32d8</t>
        </is>
      </c>
      <c r="O1026" s="14" t="n">
        <v>46174</v>
      </c>
      <c r="P1026" s="7" t="inlineStr">
        <is>
          <t>jobspy</t>
        </is>
      </c>
      <c r="Q1026" s="8" t="inlineStr">
        <is>
          <t>sql, c</t>
        </is>
      </c>
      <c r="R1026" s="8" t="inlineStr">
        <is>
          <t>Graduate Backend Developer Docker Kubernetes</t>
        </is>
      </c>
      <c r="S1026" s="19" t="n"/>
      <c r="T1026" s="19" t="n"/>
      <c r="U1026" s="14" t="n">
        <v>46192</v>
      </c>
      <c r="V1026" s="7" t="inlineStr">
        <is>
          <t>v2-cv-accuracy-13b988b18da8ea7d</t>
        </is>
      </c>
    </row>
    <row r="1027" ht="28" customHeight="1">
      <c r="A1027" s="12">
        <f>IF($L1027="applied","Applied",IF($L1027="interview","Interview",IF($L1027="offer","Offer",IF($L1027="rejected","Rejected",IF($L1027="ignore","Ignore",IF($L1027="archive","Archive",IF($L1027="closed","Closed",IF($B1027="","Unscored",IF(AND($B1027&gt;=8,OR($H1027="",$H1027-TODAY()&lt;=14)),"P1 Apply",IF($B1027&gt;=7,"P2 Strong",IF($B1027&gt;=5,"P3 Maybe","P4 Low")))))))))))</f>
        <v/>
      </c>
      <c r="B1027" s="13" t="n">
        <v>0.86</v>
      </c>
      <c r="C1027" s="12" t="inlineStr">
        <is>
          <t>Graduate/Entry</t>
        </is>
      </c>
      <c r="D1027" s="8" t="inlineStr">
        <is>
          <t>Graduate Consultant - Software Engineering</t>
        </is>
      </c>
      <c r="E1027" s="7" t="inlineStr">
        <is>
          <t>TTP</t>
        </is>
      </c>
      <c r="F1027" s="8" t="inlineStr">
        <is>
          <t>Cambridge, ENG, GB</t>
        </is>
      </c>
      <c r="G1027" s="8" t="n"/>
      <c r="H1027" s="14" t="n"/>
      <c r="I1027" s="15">
        <f>IF($H1027="","",$H1027-TODAY())</f>
        <v/>
      </c>
      <c r="J1027" s="16" t="inlineStr">
        <is>
          <t>Open posting</t>
        </is>
      </c>
      <c r="K1027" s="8" t="inlineStr">
        <is>
          <t>filtered by keyword pre-scan</t>
        </is>
      </c>
      <c r="L1027" s="17" t="inlineStr">
        <is>
          <t>new</t>
        </is>
      </c>
      <c r="M1027" s="18" t="inlineStr"/>
      <c r="N1027" s="7" t="inlineStr">
        <is>
          <t>4035343713cc535b2d6e4780bd4e4324360283ae</t>
        </is>
      </c>
      <c r="O1027" s="14" t="n">
        <v>46170</v>
      </c>
      <c r="P1027" s="7" t="inlineStr">
        <is>
          <t>jobspy</t>
        </is>
      </c>
      <c r="Q1027" s="8" t="inlineStr">
        <is>
          <t>python, c</t>
        </is>
      </c>
      <c r="R1027" s="8" t="inlineStr">
        <is>
          <t>Embedded Software Engineer C Python graduate</t>
        </is>
      </c>
      <c r="S1027" s="19" t="n"/>
      <c r="T1027" s="19" t="n"/>
      <c r="U1027" s="14" t="n">
        <v>46192</v>
      </c>
      <c r="V1027" s="7" t="inlineStr">
        <is>
          <t>v2-cv-accuracy-13b988b18da8ea7d</t>
        </is>
      </c>
    </row>
    <row r="1028" ht="28" customHeight="1">
      <c r="A1028" s="12">
        <f>IF($L1028="applied","Applied",IF($L1028="interview","Interview",IF($L1028="offer","Offer",IF($L1028="rejected","Rejected",IF($L1028="ignore","Ignore",IF($L1028="archive","Archive",IF($L1028="closed","Closed",IF($B1028="","Unscored",IF(AND($B1028&gt;=8,OR($H1028="",$H1028-TODAY()&lt;=14)),"P1 Apply",IF($B1028&gt;=7,"P2 Strong",IF($B1028&gt;=5,"P3 Maybe","P4 Low")))))))))))</f>
        <v/>
      </c>
      <c r="B1028" s="13" t="n">
        <v>0.82</v>
      </c>
      <c r="C1028" s="12" t="inlineStr">
        <is>
          <t>Unspecified</t>
        </is>
      </c>
      <c r="D1028" s="8" t="inlineStr">
        <is>
          <t>Angular/ C# .NET Software Developer</t>
        </is>
      </c>
      <c r="E1028" s="7" t="inlineStr">
        <is>
          <t>RedRock Resourcing</t>
        </is>
      </c>
      <c r="F1028" s="8" t="inlineStr">
        <is>
          <t>Sheffield, England, UK</t>
        </is>
      </c>
      <c r="G1028" s="8" t="n"/>
      <c r="H1028" s="14" t="n"/>
      <c r="I1028" s="15">
        <f>IF($H1028="","",$H1028-TODAY())</f>
        <v/>
      </c>
      <c r="J1028" s="16" t="inlineStr">
        <is>
          <t>Open posting</t>
        </is>
      </c>
      <c r="K1028" s="8" t="inlineStr">
        <is>
          <t>filtered by keyword pre-scan</t>
        </is>
      </c>
      <c r="L1028" s="17" t="inlineStr">
        <is>
          <t>new</t>
        </is>
      </c>
      <c r="M1028" s="18" t="inlineStr"/>
      <c r="N1028" s="7" t="inlineStr">
        <is>
          <t>7a52f330b04e6a95f211cc946d30ff652f2f6ea4</t>
        </is>
      </c>
      <c r="O1028" s="14" t="n"/>
      <c r="P1028" s="7" t="inlineStr">
        <is>
          <t>jobspy</t>
        </is>
      </c>
      <c r="Q1028" s="8" t="inlineStr">
        <is>
          <t>software development</t>
        </is>
      </c>
      <c r="R1028" s="8" t="inlineStr">
        <is>
          <t>Graduate Software Developer Sheffield</t>
        </is>
      </c>
      <c r="S1028" s="19" t="n"/>
      <c r="T1028" s="19" t="n"/>
      <c r="U1028" s="14" t="n">
        <v>46192</v>
      </c>
      <c r="V1028" s="7" t="inlineStr">
        <is>
          <t>v2-cv-accuracy-13b988b18da8ea7d</t>
        </is>
      </c>
    </row>
    <row r="1029" ht="28" customHeight="1">
      <c r="A1029" s="12">
        <f>IF($L1029="applied","Applied",IF($L1029="interview","Interview",IF($L1029="offer","Offer",IF($L1029="rejected","Rejected",IF($L1029="ignore","Ignore",IF($L1029="archive","Archive",IF($L1029="closed","Closed",IF($B1029="","Unscored",IF(AND($B1029&gt;=8,OR($H1029="",$H1029-TODAY()&lt;=14)),"P1 Apply",IF($B1029&gt;=7,"P2 Strong",IF($B1029&gt;=5,"P3 Maybe","P4 Low")))))))))))</f>
        <v/>
      </c>
      <c r="B1029" s="13" t="n">
        <v>0.82</v>
      </c>
      <c r="C1029" s="12" t="inlineStr">
        <is>
          <t>Unspecified</t>
        </is>
      </c>
      <c r="D1029" s="8" t="inlineStr">
        <is>
          <t>Java Consultant</t>
        </is>
      </c>
      <c r="E1029" s="7" t="inlineStr">
        <is>
          <t>Cubestech Ltd</t>
        </is>
      </c>
      <c r="F1029" s="8" t="inlineStr">
        <is>
          <t>Bournemouth, England, UK</t>
        </is>
      </c>
      <c r="G1029" s="8" t="n"/>
      <c r="H1029" s="14" t="n"/>
      <c r="I1029" s="15">
        <f>IF($H1029="","",$H1029-TODAY())</f>
        <v/>
      </c>
      <c r="J1029" s="16" t="inlineStr">
        <is>
          <t>Open posting</t>
        </is>
      </c>
      <c r="K1029" s="8" t="inlineStr">
        <is>
          <t>filtered by keyword pre-scan</t>
        </is>
      </c>
      <c r="L1029" s="17" t="inlineStr">
        <is>
          <t>new</t>
        </is>
      </c>
      <c r="M1029" s="18" t="inlineStr"/>
      <c r="N1029" s="7" t="inlineStr">
        <is>
          <t>1e72ab33cc54a603bf93bb907b32c4257962f0e7</t>
        </is>
      </c>
      <c r="O1029" s="14" t="n">
        <v>46181</v>
      </c>
      <c r="P1029" s="7" t="inlineStr">
        <is>
          <t>jobspy</t>
        </is>
      </c>
      <c r="Q1029" s="8" t="inlineStr">
        <is>
          <t>sql</t>
        </is>
      </c>
      <c r="R1029" s="8" t="inlineStr">
        <is>
          <t>graduate Full Stack Developer</t>
        </is>
      </c>
      <c r="S1029" s="19" t="n"/>
      <c r="T1029" s="19" t="n"/>
      <c r="U1029" s="14" t="n">
        <v>46192</v>
      </c>
      <c r="V1029" s="7" t="inlineStr">
        <is>
          <t>v2-cv-accuracy-13b988b18da8ea7d</t>
        </is>
      </c>
    </row>
    <row r="1030" ht="28" customHeight="1">
      <c r="A1030" s="12">
        <f>IF($L1030="applied","Applied",IF($L1030="interview","Interview",IF($L1030="offer","Offer",IF($L1030="rejected","Rejected",IF($L1030="ignore","Ignore",IF($L1030="archive","Archive",IF($L1030="closed","Closed",IF($B1030="","Unscored",IF(AND($B1030&gt;=8,OR($H1030="",$H1030-TODAY()&lt;=14)),"P1 Apply",IF($B1030&gt;=7,"P2 Strong",IF($B1030&gt;=5,"P3 Maybe","P4 Low")))))))))))</f>
        <v/>
      </c>
      <c r="B1030" s="13" t="n">
        <v>0.82</v>
      </c>
      <c r="C1030" s="12" t="inlineStr">
        <is>
          <t>Unspecified</t>
        </is>
      </c>
      <c r="D1030" s="8" t="inlineStr">
        <is>
          <t>Data Analyst (12 month FTC)</t>
        </is>
      </c>
      <c r="E1030" s="7" t="inlineStr">
        <is>
          <t>GoCardless</t>
        </is>
      </c>
      <c r="F1030" s="8" t="inlineStr">
        <is>
          <t>Riga, Latvia</t>
        </is>
      </c>
      <c r="G1030" s="8" t="n"/>
      <c r="H1030" s="14" t="n"/>
      <c r="I1030" s="15">
        <f>IF($H1030="","",$H1030-TODAY())</f>
        <v/>
      </c>
      <c r="J1030" s="16" t="inlineStr">
        <is>
          <t>Open posting</t>
        </is>
      </c>
      <c r="K1030" s="8" t="inlineStr">
        <is>
          <t>filtered by keyword pre-scan</t>
        </is>
      </c>
      <c r="L1030" s="17" t="inlineStr">
        <is>
          <t>new</t>
        </is>
      </c>
      <c r="M1030" s="18" t="inlineStr"/>
      <c r="N1030" s="7" t="inlineStr">
        <is>
          <t>bd4806dca85e0f567dfd5e5d99422810fcf2495c</t>
        </is>
      </c>
      <c r="O1030" s="14" t="n">
        <v>46171</v>
      </c>
      <c r="P1030" s="7" t="inlineStr">
        <is>
          <t>greenhouse:gocardless</t>
        </is>
      </c>
      <c r="Q1030" s="8" t="inlineStr">
        <is>
          <t>sql</t>
        </is>
      </c>
      <c r="R1030" s="8" t="n"/>
      <c r="S1030" s="19" t="n"/>
      <c r="T1030" s="19" t="n"/>
      <c r="U1030" s="14" t="n">
        <v>46191</v>
      </c>
      <c r="V1030" s="7" t="inlineStr">
        <is>
          <t>v2-cv-accuracy-13b988b18da8ea7d</t>
        </is>
      </c>
    </row>
    <row r="1031" ht="28" customHeight="1">
      <c r="A1031" s="12">
        <f>IF($L1031="applied","Applied",IF($L1031="interview","Interview",IF($L1031="offer","Offer",IF($L1031="rejected","Rejected",IF($L1031="ignore","Ignore",IF($L1031="archive","Archive",IF($L1031="closed","Closed",IF($B1031="","Unscored",IF(AND($B1031&gt;=8,OR($H1031="",$H1031-TODAY()&lt;=14)),"P1 Apply",IF($B1031&gt;=7,"P2 Strong",IF($B1031&gt;=5,"P3 Maybe","P4 Low")))))))))))</f>
        <v/>
      </c>
      <c r="B1031" s="13" t="n">
        <v>0.82</v>
      </c>
      <c r="C1031" s="12" t="inlineStr">
        <is>
          <t>Unspecified</t>
        </is>
      </c>
      <c r="D1031" s="8" t="inlineStr">
        <is>
          <t>Product Analyst</t>
        </is>
      </c>
      <c r="E1031" s="7" t="inlineStr">
        <is>
          <t>GoCardless</t>
        </is>
      </c>
      <c r="F1031" s="8" t="inlineStr">
        <is>
          <t>Lisbon, Portugal</t>
        </is>
      </c>
      <c r="G1031" s="8" t="n"/>
      <c r="H1031" s="14" t="n"/>
      <c r="I1031" s="15">
        <f>IF($H1031="","",$H1031-TODAY())</f>
        <v/>
      </c>
      <c r="J1031" s="16" t="inlineStr">
        <is>
          <t>Open posting</t>
        </is>
      </c>
      <c r="K1031" s="8" t="inlineStr">
        <is>
          <t>filtered by keyword pre-scan</t>
        </is>
      </c>
      <c r="L1031" s="17" t="inlineStr">
        <is>
          <t>new</t>
        </is>
      </c>
      <c r="M1031" s="18" t="inlineStr"/>
      <c r="N1031" s="7" t="inlineStr">
        <is>
          <t>e07fe035435b14b8a209b998984012d06d5d2e24</t>
        </is>
      </c>
      <c r="O1031" s="14" t="n">
        <v>46161</v>
      </c>
      <c r="P1031" s="7" t="inlineStr">
        <is>
          <t>greenhouse:gocardless</t>
        </is>
      </c>
      <c r="Q1031" s="8" t="inlineStr">
        <is>
          <t>python</t>
        </is>
      </c>
      <c r="R1031" s="8" t="n"/>
      <c r="S1031" s="19" t="n"/>
      <c r="T1031" s="19" t="n"/>
      <c r="U1031" s="14" t="n">
        <v>46191</v>
      </c>
      <c r="V1031" s="7" t="inlineStr">
        <is>
          <t>v2-cv-accuracy-13b988b18da8ea7d</t>
        </is>
      </c>
    </row>
    <row r="1032" ht="28" customHeight="1">
      <c r="A1032" s="12">
        <f>IF($L1032="applied","Applied",IF($L1032="interview","Interview",IF($L1032="offer","Offer",IF($L1032="rejected","Rejected",IF($L1032="ignore","Ignore",IF($L1032="archive","Archive",IF($L1032="closed","Closed",IF($B1032="","Unscored",IF(AND($B1032&gt;=8,OR($H1032="",$H1032-TODAY()&lt;=14)),"P1 Apply",IF($B1032&gt;=7,"P2 Strong",IF($B1032&gt;=5,"P3 Maybe","P4 Low")))))))))))</f>
        <v/>
      </c>
      <c r="B1032" s="13" t="n">
        <v>0.82</v>
      </c>
      <c r="C1032" s="12" t="inlineStr">
        <is>
          <t>Senior/Lead</t>
        </is>
      </c>
      <c r="D1032" s="8" t="inlineStr">
        <is>
          <t>Customer Engineer, Digital Native</t>
        </is>
      </c>
      <c r="E1032" s="7" t="inlineStr">
        <is>
          <t>Cloudflare</t>
        </is>
      </c>
      <c r="F1032" s="8" t="inlineStr">
        <is>
          <t>Hybrid</t>
        </is>
      </c>
      <c r="G1032" s="8" t="n"/>
      <c r="H1032" s="14" t="n"/>
      <c r="I1032" s="15">
        <f>IF($H1032="","",$H1032-TODAY())</f>
        <v/>
      </c>
      <c r="J1032" s="16" t="inlineStr">
        <is>
          <t>Open posting</t>
        </is>
      </c>
      <c r="K1032" s="8" t="inlineStr">
        <is>
          <t>filtered by keyword pre-scan</t>
        </is>
      </c>
      <c r="L1032" s="17" t="inlineStr">
        <is>
          <t>new</t>
        </is>
      </c>
      <c r="M1032" s="18" t="inlineStr"/>
      <c r="N1032" s="7" t="inlineStr">
        <is>
          <t>960ec00f4e6d8c712cb9b5be5795198289d0ca92</t>
        </is>
      </c>
      <c r="O1032" s="14" t="n">
        <v>46184</v>
      </c>
      <c r="P1032" s="7" t="inlineStr">
        <is>
          <t>greenhouse:cloudflare</t>
        </is>
      </c>
      <c r="Q1032" s="8" t="inlineStr">
        <is>
          <t>git</t>
        </is>
      </c>
      <c r="R1032" s="8" t="n"/>
      <c r="S1032" s="19" t="n"/>
      <c r="T1032" s="19" t="n"/>
      <c r="U1032" s="14" t="n">
        <v>46191</v>
      </c>
      <c r="V1032" s="7" t="inlineStr">
        <is>
          <t>v2-cv-accuracy-13b988b18da8ea7d</t>
        </is>
      </c>
    </row>
    <row r="1033" ht="28" customHeight="1">
      <c r="A1033" s="12">
        <f>IF($L1033="applied","Applied",IF($L1033="interview","Interview",IF($L1033="offer","Offer",IF($L1033="rejected","Rejected",IF($L1033="ignore","Ignore",IF($L1033="archive","Archive",IF($L1033="closed","Closed",IF($B1033="","Unscored",IF(AND($B1033&gt;=8,OR($H1033="",$H1033-TODAY()&lt;=14)),"P1 Apply",IF($B1033&gt;=7,"P2 Strong",IF($B1033&gt;=5,"P3 Maybe","P4 Low")))))))))))</f>
        <v/>
      </c>
      <c r="B1033" s="13" t="n">
        <v>0.82</v>
      </c>
      <c r="C1033" s="12" t="inlineStr">
        <is>
          <t>Senior/Lead</t>
        </is>
      </c>
      <c r="D1033" s="8" t="inlineStr">
        <is>
          <t>Field Solutions Engineer</t>
        </is>
      </c>
      <c r="E1033" s="7" t="inlineStr">
        <is>
          <t>Cloudflare</t>
        </is>
      </c>
      <c r="F1033" s="8" t="inlineStr">
        <is>
          <t>Hybrid</t>
        </is>
      </c>
      <c r="G1033" s="8" t="n"/>
      <c r="H1033" s="14" t="n"/>
      <c r="I1033" s="15">
        <f>IF($H1033="","",$H1033-TODAY())</f>
        <v/>
      </c>
      <c r="J1033" s="16" t="inlineStr">
        <is>
          <t>Open posting</t>
        </is>
      </c>
      <c r="K1033" s="8" t="inlineStr">
        <is>
          <t>filtered by keyword pre-scan</t>
        </is>
      </c>
      <c r="L1033" s="17" t="inlineStr">
        <is>
          <t>new</t>
        </is>
      </c>
      <c r="M1033" s="18" t="inlineStr"/>
      <c r="N1033" s="7" t="inlineStr">
        <is>
          <t>fad0e152765ad0869b104f3588a5f408f728b322</t>
        </is>
      </c>
      <c r="O1033" s="14" t="n">
        <v>46174</v>
      </c>
      <c r="P1033" s="7" t="inlineStr">
        <is>
          <t>greenhouse:cloudflare</t>
        </is>
      </c>
      <c r="Q1033" s="8" t="inlineStr">
        <is>
          <t>software development</t>
        </is>
      </c>
      <c r="R1033" s="8" t="n"/>
      <c r="S1033" s="19" t="n"/>
      <c r="T1033" s="19" t="n"/>
      <c r="U1033" s="14" t="n">
        <v>46191</v>
      </c>
      <c r="V1033" s="7" t="inlineStr">
        <is>
          <t>v2-cv-accuracy-13b988b18da8ea7d</t>
        </is>
      </c>
    </row>
    <row r="1034" ht="28" customHeight="1">
      <c r="A1034" s="12">
        <f>IF($L1034="applied","Applied",IF($L1034="interview","Interview",IF($L1034="offer","Offer",IF($L1034="rejected","Rejected",IF($L1034="ignore","Ignore",IF($L1034="archive","Archive",IF($L1034="closed","Closed",IF($B1034="","Unscored",IF(AND($B1034&gt;=8,OR($H1034="",$H1034-TODAY()&lt;=14)),"P1 Apply",IF($B1034&gt;=7,"P2 Strong",IF($B1034&gt;=5,"P3 Maybe","P4 Low")))))))))))</f>
        <v/>
      </c>
      <c r="B1034" s="13" t="n">
        <v>0.82</v>
      </c>
      <c r="C1034" s="12" t="inlineStr">
        <is>
          <t>Unspecified</t>
        </is>
      </c>
      <c r="D1034" s="8" t="inlineStr">
        <is>
          <t>Field Solutions Engineer</t>
        </is>
      </c>
      <c r="E1034" s="7" t="inlineStr">
        <is>
          <t>Cloudflare</t>
        </is>
      </c>
      <c r="F1034" s="8" t="inlineStr">
        <is>
          <t>Hybrid</t>
        </is>
      </c>
      <c r="G1034" s="8" t="n"/>
      <c r="H1034" s="14" t="n"/>
      <c r="I1034" s="15">
        <f>IF($H1034="","",$H1034-TODAY())</f>
        <v/>
      </c>
      <c r="J1034" s="16" t="inlineStr">
        <is>
          <t>Open posting</t>
        </is>
      </c>
      <c r="K1034" s="8" t="inlineStr">
        <is>
          <t>filtered by keyword pre-scan</t>
        </is>
      </c>
      <c r="L1034" s="17" t="inlineStr">
        <is>
          <t>new</t>
        </is>
      </c>
      <c r="M1034" s="18" t="inlineStr"/>
      <c r="N1034" s="7" t="inlineStr">
        <is>
          <t>564d236d1e4bedfb9f107cfd347b380f410a4f13</t>
        </is>
      </c>
      <c r="O1034" s="14" t="n">
        <v>46174</v>
      </c>
      <c r="P1034" s="7" t="inlineStr">
        <is>
          <t>greenhouse:cloudflare</t>
        </is>
      </c>
      <c r="Q1034" s="8" t="inlineStr">
        <is>
          <t>software development</t>
        </is>
      </c>
      <c r="R1034" s="8" t="n"/>
      <c r="S1034" s="19" t="n"/>
      <c r="T1034" s="19" t="n"/>
      <c r="U1034" s="14" t="n">
        <v>46191</v>
      </c>
      <c r="V1034" s="7" t="inlineStr">
        <is>
          <t>v2-cv-accuracy-13b988b18da8ea7d</t>
        </is>
      </c>
    </row>
    <row r="1035" ht="28" customHeight="1">
      <c r="A1035" s="12">
        <f>IF($L1035="applied","Applied",IF($L1035="interview","Interview",IF($L1035="offer","Offer",IF($L1035="rejected","Rejected",IF($L1035="ignore","Ignore",IF($L1035="archive","Archive",IF($L1035="closed","Closed",IF($B1035="","Unscored",IF(AND($B1035&gt;=8,OR($H1035="",$H1035-TODAY()&lt;=14)),"P1 Apply",IF($B1035&gt;=7,"P2 Strong",IF($B1035&gt;=5,"P3 Maybe","P4 Low")))))))))))</f>
        <v/>
      </c>
      <c r="B1035" s="13" t="n">
        <v>0.82</v>
      </c>
      <c r="C1035" s="12" t="inlineStr">
        <is>
          <t>Senior/Lead</t>
        </is>
      </c>
      <c r="D1035" s="8" t="inlineStr">
        <is>
          <t>Field Solutions Engineer Brazil (US based)</t>
        </is>
      </c>
      <c r="E1035" s="7" t="inlineStr">
        <is>
          <t>Cloudflare</t>
        </is>
      </c>
      <c r="F1035" s="8" t="inlineStr">
        <is>
          <t>Hybrid</t>
        </is>
      </c>
      <c r="G1035" s="8" t="n"/>
      <c r="H1035" s="14" t="n"/>
      <c r="I1035" s="15">
        <f>IF($H1035="","",$H1035-TODAY())</f>
        <v/>
      </c>
      <c r="J1035" s="16" t="inlineStr">
        <is>
          <t>Open posting</t>
        </is>
      </c>
      <c r="K1035" s="8" t="inlineStr">
        <is>
          <t>filtered by keyword pre-scan</t>
        </is>
      </c>
      <c r="L1035" s="17" t="inlineStr">
        <is>
          <t>new</t>
        </is>
      </c>
      <c r="M1035" s="18" t="inlineStr"/>
      <c r="N1035" s="7" t="inlineStr">
        <is>
          <t>65bdee8e6ae286287fc0d478282ccc53335fded1</t>
        </is>
      </c>
      <c r="O1035" s="14" t="n">
        <v>46175</v>
      </c>
      <c r="P1035" s="7" t="inlineStr">
        <is>
          <t>greenhouse:cloudflare</t>
        </is>
      </c>
      <c r="Q1035" s="8" t="inlineStr">
        <is>
          <t>software development</t>
        </is>
      </c>
      <c r="R1035" s="8" t="n"/>
      <c r="S1035" s="19" t="n"/>
      <c r="T1035" s="19" t="n"/>
      <c r="U1035" s="14" t="n">
        <v>46191</v>
      </c>
      <c r="V1035" s="7" t="inlineStr">
        <is>
          <t>v2-cv-accuracy-13b988b18da8ea7d</t>
        </is>
      </c>
    </row>
    <row r="1036" ht="28" customHeight="1">
      <c r="A1036" s="12">
        <f>IF($L1036="applied","Applied",IF($L1036="interview","Interview",IF($L1036="offer","Offer",IF($L1036="rejected","Rejected",IF($L1036="ignore","Ignore",IF($L1036="archive","Archive",IF($L1036="closed","Closed",IF($B1036="","Unscored",IF(AND($B1036&gt;=8,OR($H1036="",$H1036-TODAY()&lt;=14)),"P1 Apply",IF($B1036&gt;=7,"P2 Strong",IF($B1036&gt;=5,"P3 Maybe","P4 Low")))))))))))</f>
        <v/>
      </c>
      <c r="B1036" s="13" t="n">
        <v>0.82</v>
      </c>
      <c r="C1036" s="12" t="inlineStr">
        <is>
          <t>Mid-level</t>
        </is>
      </c>
      <c r="D1036" s="8" t="inlineStr">
        <is>
          <t>Solutions Engineer</t>
        </is>
      </c>
      <c r="E1036" s="7" t="inlineStr">
        <is>
          <t>Cloudflare</t>
        </is>
      </c>
      <c r="F1036" s="8" t="inlineStr">
        <is>
          <t>Distributed</t>
        </is>
      </c>
      <c r="G1036" s="8" t="n"/>
      <c r="H1036" s="14" t="n"/>
      <c r="I1036" s="15">
        <f>IF($H1036="","",$H1036-TODAY())</f>
        <v/>
      </c>
      <c r="J1036" s="16" t="inlineStr">
        <is>
          <t>Open posting</t>
        </is>
      </c>
      <c r="K1036" s="8" t="inlineStr">
        <is>
          <t>filtered by keyword pre-scan</t>
        </is>
      </c>
      <c r="L1036" s="17" t="inlineStr">
        <is>
          <t>new</t>
        </is>
      </c>
      <c r="M1036" s="18" t="inlineStr"/>
      <c r="N1036" s="7" t="inlineStr">
        <is>
          <t>a247fafdbcec7cc29a5a26a3ac3f521383b37b41</t>
        </is>
      </c>
      <c r="O1036" s="14" t="n">
        <v>46181</v>
      </c>
      <c r="P1036" s="7" t="inlineStr">
        <is>
          <t>greenhouse:cloudflare</t>
        </is>
      </c>
      <c r="Q1036" s="8" t="inlineStr">
        <is>
          <t>software development</t>
        </is>
      </c>
      <c r="R1036" s="8" t="n"/>
      <c r="S1036" s="19" t="n"/>
      <c r="T1036" s="19" t="n"/>
      <c r="U1036" s="14" t="n">
        <v>46191</v>
      </c>
      <c r="V1036" s="7" t="inlineStr">
        <is>
          <t>v2-cv-accuracy-13b988b18da8ea7d</t>
        </is>
      </c>
    </row>
    <row r="1037" ht="28" customHeight="1">
      <c r="A1037" s="12">
        <f>IF($L1037="applied","Applied",IF($L1037="interview","Interview",IF($L1037="offer","Offer",IF($L1037="rejected","Rejected",IF($L1037="ignore","Ignore",IF($L1037="archive","Archive",IF($L1037="closed","Closed",IF($B1037="","Unscored",IF(AND($B1037&gt;=8,OR($H1037="",$H1037-TODAY()&lt;=14)),"P1 Apply",IF($B1037&gt;=7,"P2 Strong",IF($B1037&gt;=5,"P3 Maybe","P4 Low")))))))))))</f>
        <v/>
      </c>
      <c r="B1037" s="13" t="n">
        <v>0.82</v>
      </c>
      <c r="C1037" s="12" t="inlineStr">
        <is>
          <t>Unspecified</t>
        </is>
      </c>
      <c r="D1037" s="8" t="inlineStr">
        <is>
          <t>Solutions Engineer, iGaming</t>
        </is>
      </c>
      <c r="E1037" s="7" t="inlineStr">
        <is>
          <t>Cloudflare</t>
        </is>
      </c>
      <c r="F1037" s="8" t="inlineStr">
        <is>
          <t>Hybrid</t>
        </is>
      </c>
      <c r="G1037" s="8" t="n"/>
      <c r="H1037" s="14" t="n"/>
      <c r="I1037" s="15">
        <f>IF($H1037="","",$H1037-TODAY())</f>
        <v/>
      </c>
      <c r="J1037" s="16" t="inlineStr">
        <is>
          <t>Open posting</t>
        </is>
      </c>
      <c r="K1037" s="8" t="inlineStr">
        <is>
          <t>filtered by keyword pre-scan</t>
        </is>
      </c>
      <c r="L1037" s="17" t="inlineStr">
        <is>
          <t>new</t>
        </is>
      </c>
      <c r="M1037" s="18" t="inlineStr"/>
      <c r="N1037" s="7" t="inlineStr">
        <is>
          <t>9b368d120a2f9cc3921c5daa7f881362c68205b9</t>
        </is>
      </c>
      <c r="O1037" s="14" t="n">
        <v>46171</v>
      </c>
      <c r="P1037" s="7" t="inlineStr">
        <is>
          <t>greenhouse:cloudflare</t>
        </is>
      </c>
      <c r="Q1037" s="8" t="inlineStr">
        <is>
          <t>software development</t>
        </is>
      </c>
      <c r="R1037" s="8" t="n"/>
      <c r="S1037" s="19" t="n"/>
      <c r="T1037" s="19" t="n"/>
      <c r="U1037" s="14" t="n">
        <v>46191</v>
      </c>
      <c r="V1037" s="7" t="inlineStr">
        <is>
          <t>v2-cv-accuracy-13b988b18da8ea7d</t>
        </is>
      </c>
    </row>
    <row r="1038" ht="28" customHeight="1">
      <c r="A1038" s="12">
        <f>IF($L1038="applied","Applied",IF($L1038="interview","Interview",IF($L1038="offer","Offer",IF($L1038="rejected","Rejected",IF($L1038="ignore","Ignore",IF($L1038="archive","Archive",IF($L1038="closed","Closed",IF($B1038="","Unscored",IF(AND($B1038&gt;=8,OR($H1038="",$H1038-TODAY()&lt;=14)),"P1 Apply",IF($B1038&gt;=7,"P2 Strong",IF($B1038&gt;=5,"P3 Maybe","P4 Low")))))))))))</f>
        <v/>
      </c>
      <c r="B1038" s="13" t="n">
        <v>0.82</v>
      </c>
      <c r="C1038" s="12" t="inlineStr">
        <is>
          <t>Graduate/Entry</t>
        </is>
      </c>
      <c r="D1038" s="8" t="inlineStr">
        <is>
          <t>Graduate STEM Developer (Autumn 2026)</t>
        </is>
      </c>
      <c r="E1038" s="7" t="inlineStr">
        <is>
          <t>Data Intellect</t>
        </is>
      </c>
      <c r="F1038" s="8" t="inlineStr">
        <is>
          <t>Belfast, NIR, GB</t>
        </is>
      </c>
      <c r="G1038" s="8" t="n"/>
      <c r="H1038" s="14" t="n"/>
      <c r="I1038" s="15">
        <f>IF($H1038="","",$H1038-TODAY())</f>
        <v/>
      </c>
      <c r="J1038" s="16" t="inlineStr">
        <is>
          <t>Open posting</t>
        </is>
      </c>
      <c r="K1038" s="8" t="inlineStr">
        <is>
          <t>filtered by keyword pre-scan</t>
        </is>
      </c>
      <c r="L1038" s="17" t="inlineStr">
        <is>
          <t>new</t>
        </is>
      </c>
      <c r="M1038" s="18" t="inlineStr"/>
      <c r="N1038" s="7" t="inlineStr">
        <is>
          <t>263644724ed6586af6574a0094e541709f141b27</t>
        </is>
      </c>
      <c r="O1038" s="14" t="n">
        <v>46190</v>
      </c>
      <c r="P1038" s="7" t="inlineStr">
        <is>
          <t>jobspy</t>
        </is>
      </c>
      <c r="Q1038" s="8" t="inlineStr">
        <is>
          <t>software development</t>
        </is>
      </c>
      <c r="R1038" s="8" t="inlineStr">
        <is>
          <t>Graduate Software Developer</t>
        </is>
      </c>
      <c r="S1038" s="19" t="n"/>
      <c r="T1038" s="19" t="n"/>
      <c r="U1038" s="14" t="n">
        <v>46191</v>
      </c>
      <c r="V1038" s="7" t="inlineStr">
        <is>
          <t>v2-cv-accuracy-13b988b18da8ea7d</t>
        </is>
      </c>
    </row>
    <row r="1039" ht="28" customHeight="1">
      <c r="A1039" s="12">
        <f>IF($L1039="applied","Applied",IF($L1039="interview","Interview",IF($L1039="offer","Offer",IF($L1039="rejected","Rejected",IF($L1039="ignore","Ignore",IF($L1039="archive","Archive",IF($L1039="closed","Closed",IF($B1039="","Unscored",IF(AND($B1039&gt;=8,OR($H1039="",$H1039-TODAY()&lt;=14)),"P1 Apply",IF($B1039&gt;=7,"P2 Strong",IF($B1039&gt;=5,"P3 Maybe","P4 Low")))))))))))</f>
        <v/>
      </c>
      <c r="B1039" s="13" t="n">
        <v>0.82</v>
      </c>
      <c r="C1039" s="12" t="inlineStr">
        <is>
          <t>Graduate/Entry</t>
        </is>
      </c>
      <c r="D1039" s="8" t="inlineStr">
        <is>
          <t>Software Developer Graduate</t>
        </is>
      </c>
      <c r="E1039" s="7" t="inlineStr">
        <is>
          <t>AVEVA</t>
        </is>
      </c>
      <c r="F1039" s="8" t="inlineStr">
        <is>
          <t>Cambridge, England, UK</t>
        </is>
      </c>
      <c r="G1039" s="8" t="n"/>
      <c r="H1039" s="14" t="n"/>
      <c r="I1039" s="15">
        <f>IF($H1039="","",$H1039-TODAY())</f>
        <v/>
      </c>
      <c r="J1039" s="16" t="inlineStr">
        <is>
          <t>Open posting</t>
        </is>
      </c>
      <c r="K1039" s="8" t="inlineStr">
        <is>
          <t>filtered by keyword pre-scan</t>
        </is>
      </c>
      <c r="L1039" s="17" t="inlineStr">
        <is>
          <t>new</t>
        </is>
      </c>
      <c r="M1039" s="18" t="inlineStr"/>
      <c r="N1039" s="7" t="inlineStr">
        <is>
          <t>bbe36cc02a27dcf9724eee644d64299fffb27c85</t>
        </is>
      </c>
      <c r="O1039" s="14" t="n">
        <v>46181</v>
      </c>
      <c r="P1039" s="7" t="inlineStr">
        <is>
          <t>jobspy</t>
        </is>
      </c>
      <c r="Q1039" s="8" t="inlineStr">
        <is>
          <t>javascript</t>
        </is>
      </c>
      <c r="R1039" s="8" t="inlineStr">
        <is>
          <t>Graduate Software Developer</t>
        </is>
      </c>
      <c r="S1039" s="19" t="n"/>
      <c r="T1039" s="19" t="n"/>
      <c r="U1039" s="14" t="n">
        <v>46191</v>
      </c>
      <c r="V1039" s="7" t="inlineStr">
        <is>
          <t>v2-cv-accuracy-13b988b18da8ea7d</t>
        </is>
      </c>
    </row>
    <row r="1040" ht="28" customHeight="1">
      <c r="A1040" s="12">
        <f>IF($L1040="applied","Applied",IF($L1040="interview","Interview",IF($L1040="offer","Offer",IF($L1040="rejected","Rejected",IF($L1040="ignore","Ignore",IF($L1040="archive","Archive",IF($L1040="closed","Closed",IF($B1040="","Unscored",IF(AND($B1040&gt;=8,OR($H1040="",$H1040-TODAY()&lt;=14)),"P1 Apply",IF($B1040&gt;=7,"P2 Strong",IF($B1040&gt;=5,"P3 Maybe","P4 Low")))))))))))</f>
        <v/>
      </c>
      <c r="B1040" s="13" t="n">
        <v>0.82</v>
      </c>
      <c r="C1040" s="12" t="inlineStr">
        <is>
          <t>Junior</t>
        </is>
      </c>
      <c r="D1040" s="8" t="inlineStr">
        <is>
          <t>Java Backend with Microservices</t>
        </is>
      </c>
      <c r="E1040" s="7" t="inlineStr">
        <is>
          <t>Net2Source (N2S)</t>
        </is>
      </c>
      <c r="F1040" s="8" t="inlineStr">
        <is>
          <t>Sheffield, England, UK</t>
        </is>
      </c>
      <c r="G1040" s="8" t="n"/>
      <c r="H1040" s="14" t="n"/>
      <c r="I1040" s="15">
        <f>IF($H1040="","",$H1040-TODAY())</f>
        <v/>
      </c>
      <c r="J1040" s="16" t="inlineStr">
        <is>
          <t>Open posting</t>
        </is>
      </c>
      <c r="K1040" s="8" t="inlineStr">
        <is>
          <t>filtered by keyword pre-scan</t>
        </is>
      </c>
      <c r="L1040" s="17" t="inlineStr">
        <is>
          <t>new</t>
        </is>
      </c>
      <c r="M1040" s="18" t="inlineStr"/>
      <c r="N1040" s="7" t="inlineStr">
        <is>
          <t>7b5c5878205db40cb7ff49cd333a8c9c89b07213</t>
        </is>
      </c>
      <c r="O1040" s="14" t="n">
        <v>46189</v>
      </c>
      <c r="P1040" s="7" t="inlineStr">
        <is>
          <t>jobspy</t>
        </is>
      </c>
      <c r="Q1040" s="8" t="inlineStr">
        <is>
          <t>software development</t>
        </is>
      </c>
      <c r="R1040" s="8" t="inlineStr">
        <is>
          <t>Graduate Software Developer Sheffield</t>
        </is>
      </c>
      <c r="S1040" s="19" t="n"/>
      <c r="T1040" s="19" t="n"/>
      <c r="U1040" s="14" t="n">
        <v>46191</v>
      </c>
      <c r="V1040" s="7" t="inlineStr">
        <is>
          <t>v2-cv-accuracy-13b988b18da8ea7d</t>
        </is>
      </c>
    </row>
    <row r="1041" ht="28" customHeight="1">
      <c r="A1041" s="12">
        <f>IF($L1041="applied","Applied",IF($L1041="interview","Interview",IF($L1041="offer","Offer",IF($L1041="rejected","Rejected",IF($L1041="ignore","Ignore",IF($L1041="archive","Archive",IF($L1041="closed","Closed",IF($B1041="","Unscored",IF(AND($B1041&gt;=8,OR($H1041="",$H1041-TODAY()&lt;=14)),"P1 Apply",IF($B1041&gt;=7,"P2 Strong",IF($B1041&gt;=5,"P3 Maybe","P4 Low")))))))))))</f>
        <v/>
      </c>
      <c r="B1041" s="13" t="n">
        <v>0.82</v>
      </c>
      <c r="C1041" s="12" t="inlineStr">
        <is>
          <t>Unspecified</t>
        </is>
      </c>
      <c r="D1041" s="8" t="inlineStr">
        <is>
          <t>Angular/ C# .NET Software Developer</t>
        </is>
      </c>
      <c r="E1041" s="7" t="inlineStr">
        <is>
          <t>RedRock Resourcing</t>
        </is>
      </c>
      <c r="F1041" s="8" t="inlineStr">
        <is>
          <t>Sheffield, England, UK</t>
        </is>
      </c>
      <c r="G1041" s="8" t="n"/>
      <c r="H1041" s="14" t="n"/>
      <c r="I1041" s="15">
        <f>IF($H1041="","",$H1041-TODAY())</f>
        <v/>
      </c>
      <c r="J1041" s="16" t="inlineStr">
        <is>
          <t>Open posting</t>
        </is>
      </c>
      <c r="K1041" s="8" t="inlineStr">
        <is>
          <t>filtered by keyword pre-scan</t>
        </is>
      </c>
      <c r="L1041" s="17" t="inlineStr">
        <is>
          <t>new</t>
        </is>
      </c>
      <c r="M1041" s="18" t="inlineStr"/>
      <c r="N1041" s="7" t="inlineStr">
        <is>
          <t>0babad285cb30751d73b46840aa3ec73ef42ff69</t>
        </is>
      </c>
      <c r="O1041" s="14" t="n">
        <v>46185</v>
      </c>
      <c r="P1041" s="7" t="inlineStr">
        <is>
          <t>jobspy</t>
        </is>
      </c>
      <c r="Q1041" s="8" t="inlineStr">
        <is>
          <t>software development</t>
        </is>
      </c>
      <c r="R1041" s="8" t="inlineStr">
        <is>
          <t>Graduate Software Developer Sheffield</t>
        </is>
      </c>
      <c r="S1041" s="19" t="n"/>
      <c r="T1041" s="19" t="n"/>
      <c r="U1041" s="14" t="n">
        <v>46191</v>
      </c>
      <c r="V1041" s="7" t="inlineStr">
        <is>
          <t>v2-cv-accuracy-13b988b18da8ea7d</t>
        </is>
      </c>
    </row>
    <row r="1042" ht="28" customHeight="1">
      <c r="A1042" s="12">
        <f>IF($L1042="applied","Applied",IF($L1042="interview","Interview",IF($L1042="offer","Offer",IF($L1042="rejected","Rejected",IF($L1042="ignore","Ignore",IF($L1042="archive","Archive",IF($L1042="closed","Closed",IF($B1042="","Unscored",IF(AND($B1042&gt;=8,OR($H1042="",$H1042-TODAY()&lt;=14)),"P1 Apply",IF($B1042&gt;=7,"P2 Strong",IF($B1042&gt;=5,"P3 Maybe","P4 Low")))))))))))</f>
        <v/>
      </c>
      <c r="B1042" s="13" t="n">
        <v>0.82</v>
      </c>
      <c r="C1042" s="12" t="inlineStr">
        <is>
          <t>Graduate/Entry</t>
        </is>
      </c>
      <c r="D1042" s="8" t="inlineStr">
        <is>
          <t>Graduate Software Engineer</t>
        </is>
      </c>
      <c r="E1042" s="7" t="inlineStr">
        <is>
          <t>Fyous</t>
        </is>
      </c>
      <c r="F1042" s="8" t="inlineStr">
        <is>
          <t>Sheffield, England, UK</t>
        </is>
      </c>
      <c r="G1042" s="8" t="n"/>
      <c r="H1042" s="14" t="n"/>
      <c r="I1042" s="15">
        <f>IF($H1042="","",$H1042-TODAY())</f>
        <v/>
      </c>
      <c r="J1042" s="16" t="inlineStr">
        <is>
          <t>Open posting</t>
        </is>
      </c>
      <c r="K1042" s="8" t="inlineStr">
        <is>
          <t>filtered by keyword pre-scan</t>
        </is>
      </c>
      <c r="L1042" s="17" t="inlineStr">
        <is>
          <t>new</t>
        </is>
      </c>
      <c r="M1042" s="18" t="inlineStr"/>
      <c r="N1042" s="7" t="inlineStr">
        <is>
          <t>0f23547176929b8d40676d83a06cd6af2550fc08</t>
        </is>
      </c>
      <c r="O1042" s="14" t="n">
        <v>46175</v>
      </c>
      <c r="P1042" s="7" t="inlineStr">
        <is>
          <t>jobspy</t>
        </is>
      </c>
      <c r="Q1042" s="8" t="inlineStr">
        <is>
          <t>git</t>
        </is>
      </c>
      <c r="R1042" s="8" t="inlineStr">
        <is>
          <t>Graduate Software Developer Sheffield</t>
        </is>
      </c>
      <c r="S1042" s="19" t="n"/>
      <c r="T1042" s="19" t="n"/>
      <c r="U1042" s="14" t="n">
        <v>46191</v>
      </c>
      <c r="V1042" s="7" t="inlineStr">
        <is>
          <t>v2-cv-accuracy-13b988b18da8ea7d</t>
        </is>
      </c>
    </row>
    <row r="1043" ht="28" customHeight="1">
      <c r="A1043" s="12">
        <f>IF($L1043="applied","Applied",IF($L1043="interview","Interview",IF($L1043="offer","Offer",IF($L1043="rejected","Rejected",IF($L1043="ignore","Ignore",IF($L1043="archive","Archive",IF($L1043="closed","Closed",IF($B1043="","Unscored",IF(AND($B1043&gt;=8,OR($H1043="",$H1043-TODAY()&lt;=14)),"P1 Apply",IF($B1043&gt;=7,"P2 Strong",IF($B1043&gt;=5,"P3 Maybe","P4 Low")))))))))))</f>
        <v/>
      </c>
      <c r="B1043" s="13" t="n">
        <v>0.82</v>
      </c>
      <c r="C1043" s="12" t="inlineStr">
        <is>
          <t>Mid-level</t>
        </is>
      </c>
      <c r="D1043" s="8" t="inlineStr">
        <is>
          <t>Software Developer</t>
        </is>
      </c>
      <c r="E1043" s="7" t="inlineStr">
        <is>
          <t>LabLogic Systems</t>
        </is>
      </c>
      <c r="F1043" s="8" t="inlineStr">
        <is>
          <t>Sheffield, England, UK</t>
        </is>
      </c>
      <c r="G1043" s="8" t="n"/>
      <c r="H1043" s="14" t="n"/>
      <c r="I1043" s="15">
        <f>IF($H1043="","",$H1043-TODAY())</f>
        <v/>
      </c>
      <c r="J1043" s="16" t="inlineStr">
        <is>
          <t>Open posting</t>
        </is>
      </c>
      <c r="K1043" s="8" t="inlineStr">
        <is>
          <t>filtered by keyword pre-scan</t>
        </is>
      </c>
      <c r="L1043" s="17" t="inlineStr">
        <is>
          <t>new</t>
        </is>
      </c>
      <c r="M1043" s="18" t="inlineStr"/>
      <c r="N1043" s="7" t="inlineStr">
        <is>
          <t>11c3d93181adb48cee8132df467ef762a3bb241f</t>
        </is>
      </c>
      <c r="O1043" s="14" t="n">
        <v>46168</v>
      </c>
      <c r="P1043" s="7" t="inlineStr">
        <is>
          <t>jobspy</t>
        </is>
      </c>
      <c r="Q1043" s="8" t="inlineStr">
        <is>
          <t>sql</t>
        </is>
      </c>
      <c r="R1043" s="8" t="inlineStr">
        <is>
          <t>Graduate Software Developer Sheffield</t>
        </is>
      </c>
      <c r="S1043" s="19" t="n"/>
      <c r="T1043" s="19" t="n"/>
      <c r="U1043" s="14" t="n">
        <v>46191</v>
      </c>
      <c r="V1043" s="7" t="inlineStr">
        <is>
          <t>v2-cv-accuracy-13b988b18da8ea7d</t>
        </is>
      </c>
    </row>
    <row r="1044" ht="28" customHeight="1">
      <c r="A1044" s="12">
        <f>IF($L1044="applied","Applied",IF($L1044="interview","Interview",IF($L1044="offer","Offer",IF($L1044="rejected","Rejected",IF($L1044="ignore","Ignore",IF($L1044="archive","Archive",IF($L1044="closed","Closed",IF($B1044="","Unscored",IF(AND($B1044&gt;=8,OR($H1044="",$H1044-TODAY()&lt;=14)),"P1 Apply",IF($B1044&gt;=7,"P2 Strong",IF($B1044&gt;=5,"P3 Maybe","P4 Low")))))))))))</f>
        <v/>
      </c>
      <c r="B1044" s="13" t="n">
        <v>0.82</v>
      </c>
      <c r="C1044" s="12" t="inlineStr">
        <is>
          <t>Junior</t>
        </is>
      </c>
      <c r="D1044" s="8" t="inlineStr">
        <is>
          <t>Junior Software Engineer</t>
        </is>
      </c>
      <c r="E1044" s="7" t="inlineStr">
        <is>
          <t>Haystack</t>
        </is>
      </c>
      <c r="F1044" s="8" t="inlineStr">
        <is>
          <t>London, England, UK</t>
        </is>
      </c>
      <c r="G1044" s="8" t="n"/>
      <c r="H1044" s="14" t="n"/>
      <c r="I1044" s="15">
        <f>IF($H1044="","",$H1044-TODAY())</f>
        <v/>
      </c>
      <c r="J1044" s="16" t="inlineStr">
        <is>
          <t>Open posting</t>
        </is>
      </c>
      <c r="K1044" s="8" t="inlineStr">
        <is>
          <t>filtered by keyword pre-scan</t>
        </is>
      </c>
      <c r="L1044" s="17" t="inlineStr">
        <is>
          <t>new</t>
        </is>
      </c>
      <c r="M1044" s="18" t="inlineStr"/>
      <c r="N1044" s="7" t="inlineStr">
        <is>
          <t>42a65fa1f148dd64647aed52e4ef0290832a16c0</t>
        </is>
      </c>
      <c r="O1044" s="14" t="n">
        <v>46189</v>
      </c>
      <c r="P1044" s="7" t="inlineStr">
        <is>
          <t>jobspy</t>
        </is>
      </c>
      <c r="Q1044" s="8" t="inlineStr">
        <is>
          <t>software development</t>
        </is>
      </c>
      <c r="R1044" s="8" t="inlineStr">
        <is>
          <t>junior Graduate Software Developer</t>
        </is>
      </c>
      <c r="S1044" s="19" t="n"/>
      <c r="T1044" s="19" t="n"/>
      <c r="U1044" s="14" t="n">
        <v>46191</v>
      </c>
      <c r="V1044" s="7" t="inlineStr">
        <is>
          <t>v2-cv-accuracy-13b988b18da8ea7d</t>
        </is>
      </c>
    </row>
    <row r="1045" ht="28" customHeight="1">
      <c r="A1045" s="12">
        <f>IF($L1045="applied","Applied",IF($L1045="interview","Interview",IF($L1045="offer","Offer",IF($L1045="rejected","Rejected",IF($L1045="ignore","Ignore",IF($L1045="archive","Archive",IF($L1045="closed","Closed",IF($B1045="","Unscored",IF(AND($B1045&gt;=8,OR($H1045="",$H1045-TODAY()&lt;=14)),"P1 Apply",IF($B1045&gt;=7,"P2 Strong",IF($B1045&gt;=5,"P3 Maybe","P4 Low")))))))))))</f>
        <v/>
      </c>
      <c r="B1045" s="13" t="n">
        <v>0.82</v>
      </c>
      <c r="C1045" s="12" t="inlineStr">
        <is>
          <t>Unspecified</t>
        </is>
      </c>
      <c r="D1045" s="8" t="inlineStr">
        <is>
          <t>Web Developer (HTML,CSS) | Remote</t>
        </is>
      </c>
      <c r="E1045" s="7" t="inlineStr">
        <is>
          <t>Crossing Hurdles</t>
        </is>
      </c>
      <c r="F1045" s="8" t="inlineStr"/>
      <c r="G1045" s="8" t="n"/>
      <c r="H1045" s="14" t="n"/>
      <c r="I1045" s="15">
        <f>IF($H1045="","",$H1045-TODAY())</f>
        <v/>
      </c>
      <c r="J1045" s="16" t="inlineStr">
        <is>
          <t>Open posting</t>
        </is>
      </c>
      <c r="K1045" s="8" t="inlineStr">
        <is>
          <t>filtered by keyword pre-scan</t>
        </is>
      </c>
      <c r="L1045" s="17" t="inlineStr">
        <is>
          <t>new</t>
        </is>
      </c>
      <c r="M1045" s="18" t="inlineStr"/>
      <c r="N1045" s="7" t="inlineStr">
        <is>
          <t>55619277289d1d356884c4ab2d6d82e5adf03ba3</t>
        </is>
      </c>
      <c r="O1045" s="14" t="n">
        <v>46188</v>
      </c>
      <c r="P1045" s="7" t="inlineStr">
        <is>
          <t>jobspy</t>
        </is>
      </c>
      <c r="Q1045" s="8" t="inlineStr">
        <is>
          <t>javascript</t>
        </is>
      </c>
      <c r="R1045" s="8" t="inlineStr">
        <is>
          <t>junior Graduate Software Developer</t>
        </is>
      </c>
      <c r="S1045" s="19" t="n"/>
      <c r="T1045" s="19" t="n"/>
      <c r="U1045" s="14" t="n">
        <v>46191</v>
      </c>
      <c r="V1045" s="7" t="inlineStr">
        <is>
          <t>v2-cv-accuracy-13b988b18da8ea7d</t>
        </is>
      </c>
    </row>
    <row r="1046" ht="28" customHeight="1">
      <c r="A1046" s="12">
        <f>IF($L1046="applied","Applied",IF($L1046="interview","Interview",IF($L1046="offer","Offer",IF($L1046="rejected","Rejected",IF($L1046="ignore","Ignore",IF($L1046="archive","Archive",IF($L1046="closed","Closed",IF($B1046="","Unscored",IF(AND($B1046&gt;=8,OR($H1046="",$H1046-TODAY()&lt;=14)),"P1 Apply",IF($B1046&gt;=7,"P2 Strong",IF($B1046&gt;=5,"P3 Maybe","P4 Low")))))))))))</f>
        <v/>
      </c>
      <c r="B1046" s="13" t="n">
        <v>0.82</v>
      </c>
      <c r="C1046" s="12" t="inlineStr">
        <is>
          <t>Graduate/Entry</t>
        </is>
      </c>
      <c r="D1046" s="8" t="inlineStr">
        <is>
          <t>ML Researcher (PhD Entry-level)</t>
        </is>
      </c>
      <c r="E1046" s="7" t="inlineStr">
        <is>
          <t>Selby Jennings</t>
        </is>
      </c>
      <c r="F1046" s="8" t="inlineStr">
        <is>
          <t>City Of London, England, UK</t>
        </is>
      </c>
      <c r="G1046" s="8" t="n"/>
      <c r="H1046" s="14" t="n"/>
      <c r="I1046" s="15">
        <f>IF($H1046="","",$H1046-TODAY())</f>
        <v/>
      </c>
      <c r="J1046" s="16" t="inlineStr">
        <is>
          <t>Open posting</t>
        </is>
      </c>
      <c r="K1046" s="8" t="inlineStr">
        <is>
          <t>filtered by keyword pre-scan</t>
        </is>
      </c>
      <c r="L1046" s="17" t="inlineStr">
        <is>
          <t>new</t>
        </is>
      </c>
      <c r="M1046" s="18" t="inlineStr"/>
      <c r="N1046" s="7" t="inlineStr">
        <is>
          <t>8d3818eedae2b048dfa076fbe2bd31096363c6f9</t>
        </is>
      </c>
      <c r="O1046" s="14" t="n">
        <v>46177</v>
      </c>
      <c r="P1046" s="7" t="inlineStr">
        <is>
          <t>jobspy</t>
        </is>
      </c>
      <c r="Q1046" s="8" t="inlineStr">
        <is>
          <t>python</t>
        </is>
      </c>
      <c r="R1046" s="8" t="inlineStr">
        <is>
          <t>entry level Graduate Software Developer</t>
        </is>
      </c>
      <c r="S1046" s="19" t="n"/>
      <c r="T1046" s="19" t="n"/>
      <c r="U1046" s="14" t="n">
        <v>46191</v>
      </c>
      <c r="V1046" s="7" t="inlineStr">
        <is>
          <t>v2-cv-accuracy-13b988b18da8ea7d</t>
        </is>
      </c>
    </row>
    <row r="1047" ht="28" customHeight="1">
      <c r="A1047" s="12">
        <f>IF($L1047="applied","Applied",IF($L1047="interview","Interview",IF($L1047="offer","Offer",IF($L1047="rejected","Rejected",IF($L1047="ignore","Ignore",IF($L1047="archive","Archive",IF($L1047="closed","Closed",IF($B1047="","Unscored",IF(AND($B1047&gt;=8,OR($H1047="",$H1047-TODAY()&lt;=14)),"P1 Apply",IF($B1047&gt;=7,"P2 Strong",IF($B1047&gt;=5,"P3 Maybe","P4 Low")))))))))))</f>
        <v/>
      </c>
      <c r="B1047" s="13" t="n">
        <v>0.82</v>
      </c>
      <c r="C1047" s="12" t="inlineStr">
        <is>
          <t>Junior</t>
        </is>
      </c>
      <c r="D1047" s="8" t="inlineStr">
        <is>
          <t>Research and Development Engineer (Marine Logistics)</t>
        </is>
      </c>
      <c r="E1047" s="7" t="inlineStr">
        <is>
          <t>Kinewell Energy</t>
        </is>
      </c>
      <c r="F1047" s="8" t="inlineStr">
        <is>
          <t>Newcastle upon Tyne, ENG, GB</t>
        </is>
      </c>
      <c r="G1047" s="8" t="n"/>
      <c r="H1047" s="14" t="n"/>
      <c r="I1047" s="15">
        <f>IF($H1047="","",$H1047-TODAY())</f>
        <v/>
      </c>
      <c r="J1047" s="16" t="inlineStr">
        <is>
          <t>Open posting</t>
        </is>
      </c>
      <c r="K1047" s="8" t="inlineStr">
        <is>
          <t>filtered by keyword pre-scan</t>
        </is>
      </c>
      <c r="L1047" s="17" t="inlineStr">
        <is>
          <t>new</t>
        </is>
      </c>
      <c r="M1047" s="18" t="inlineStr"/>
      <c r="N1047" s="7" t="inlineStr">
        <is>
          <t>85c9f7013d3f97f87bd5b924cf63a62bc3f07440</t>
        </is>
      </c>
      <c r="O1047" s="14" t="n">
        <v>46188</v>
      </c>
      <c r="P1047" s="7" t="inlineStr">
        <is>
          <t>jobspy</t>
        </is>
      </c>
      <c r="Q1047" s="8" t="inlineStr">
        <is>
          <t>python</t>
        </is>
      </c>
      <c r="R1047" s="8" t="inlineStr">
        <is>
          <t>Junior Python Developer</t>
        </is>
      </c>
      <c r="S1047" s="19" t="n"/>
      <c r="T1047" s="19" t="n"/>
      <c r="U1047" s="14" t="n">
        <v>46191</v>
      </c>
      <c r="V1047" s="7" t="inlineStr">
        <is>
          <t>v2-cv-accuracy-13b988b18da8ea7d</t>
        </is>
      </c>
    </row>
    <row r="1048" ht="28" customHeight="1">
      <c r="A1048" s="12">
        <f>IF($L1048="applied","Applied",IF($L1048="interview","Interview",IF($L1048="offer","Offer",IF($L1048="rejected","Rejected",IF($L1048="ignore","Ignore",IF($L1048="archive","Archive",IF($L1048="closed","Closed",IF($B1048="","Unscored",IF(AND($B1048&gt;=8,OR($H1048="",$H1048-TODAY()&lt;=14)),"P1 Apply",IF($B1048&gt;=7,"P2 Strong",IF($B1048&gt;=5,"P3 Maybe","P4 Low")))))))))))</f>
        <v/>
      </c>
      <c r="B1048" s="13" t="n">
        <v>0.82</v>
      </c>
      <c r="C1048" s="12" t="inlineStr">
        <is>
          <t>Senior/Lead</t>
        </is>
      </c>
      <c r="D1048" s="8" t="inlineStr">
        <is>
          <t>Ruby on Rails Developer</t>
        </is>
      </c>
      <c r="E1048" s="7" t="inlineStr">
        <is>
          <t>TrueNorth®</t>
        </is>
      </c>
      <c r="F1048" s="8" t="inlineStr">
        <is>
          <t>England, United Kingdom</t>
        </is>
      </c>
      <c r="G1048" s="8" t="n"/>
      <c r="H1048" s="14" t="n"/>
      <c r="I1048" s="15">
        <f>IF($H1048="","",$H1048-TODAY())</f>
        <v/>
      </c>
      <c r="J1048" s="16" t="inlineStr">
        <is>
          <t>Open posting</t>
        </is>
      </c>
      <c r="K1048" s="8" t="inlineStr">
        <is>
          <t>filtered by keyword pre-scan</t>
        </is>
      </c>
      <c r="L1048" s="17" t="inlineStr">
        <is>
          <t>new</t>
        </is>
      </c>
      <c r="M1048" s="18" t="inlineStr"/>
      <c r="N1048" s="7" t="inlineStr">
        <is>
          <t>79a98b23c4c297852ee78a81b1d199b4629c0a56</t>
        </is>
      </c>
      <c r="O1048" s="14" t="n">
        <v>46185</v>
      </c>
      <c r="P1048" s="7" t="inlineStr">
        <is>
          <t>jobspy</t>
        </is>
      </c>
      <c r="Q1048" s="8" t="inlineStr">
        <is>
          <t>git</t>
        </is>
      </c>
      <c r="R1048" s="8" t="inlineStr">
        <is>
          <t>Junior Python Developer Sheffield</t>
        </is>
      </c>
      <c r="S1048" s="19" t="n"/>
      <c r="T1048" s="19" t="n"/>
      <c r="U1048" s="14" t="n">
        <v>46191</v>
      </c>
      <c r="V1048" s="7" t="inlineStr">
        <is>
          <t>v2-cv-accuracy-13b988b18da8ea7d</t>
        </is>
      </c>
    </row>
    <row r="1049" ht="28" customHeight="1">
      <c r="A1049" s="12">
        <f>IF($L1049="applied","Applied",IF($L1049="interview","Interview",IF($L1049="offer","Offer",IF($L1049="rejected","Rejected",IF($L1049="ignore","Ignore",IF($L1049="archive","Archive",IF($L1049="closed","Closed",IF($B1049="","Unscored",IF(AND($B1049&gt;=8,OR($H1049="",$H1049-TODAY()&lt;=14)),"P1 Apply",IF($B1049&gt;=7,"P2 Strong",IF($B1049&gt;=5,"P3 Maybe","P4 Low")))))))))))</f>
        <v/>
      </c>
      <c r="B1049" s="13" t="n">
        <v>0.82</v>
      </c>
      <c r="C1049" s="12" t="inlineStr">
        <is>
          <t>Unspecified</t>
        </is>
      </c>
      <c r="D1049" s="8" t="inlineStr">
        <is>
          <t>Java Frontend Full Stack Developer</t>
        </is>
      </c>
      <c r="E1049" s="7" t="inlineStr">
        <is>
          <t>Synechron</t>
        </is>
      </c>
      <c r="F1049" s="8" t="inlineStr">
        <is>
          <t>Sheffield, England, UK</t>
        </is>
      </c>
      <c r="G1049" s="8" t="n"/>
      <c r="H1049" s="14" t="n"/>
      <c r="I1049" s="15">
        <f>IF($H1049="","",$H1049-TODAY())</f>
        <v/>
      </c>
      <c r="J1049" s="16" t="inlineStr">
        <is>
          <t>Open posting</t>
        </is>
      </c>
      <c r="K1049" s="8" t="inlineStr">
        <is>
          <t>filtered by keyword pre-scan</t>
        </is>
      </c>
      <c r="L1049" s="17" t="inlineStr">
        <is>
          <t>new</t>
        </is>
      </c>
      <c r="M1049" s="18" t="inlineStr"/>
      <c r="N1049" s="7" t="inlineStr">
        <is>
          <t>c4a00a711aff2e457d242e1773c82df6d1c2d788</t>
        </is>
      </c>
      <c r="O1049" s="14" t="n">
        <v>46175</v>
      </c>
      <c r="P1049" s="7" t="inlineStr">
        <is>
          <t>jobspy</t>
        </is>
      </c>
      <c r="Q1049" s="8" t="inlineStr">
        <is>
          <t>javascript</t>
        </is>
      </c>
      <c r="R1049" s="8" t="inlineStr">
        <is>
          <t>Junior Python Developer Sheffield</t>
        </is>
      </c>
      <c r="S1049" s="19" t="n"/>
      <c r="T1049" s="19" t="n"/>
      <c r="U1049" s="14" t="n">
        <v>46191</v>
      </c>
      <c r="V1049" s="7" t="inlineStr">
        <is>
          <t>v2-cv-accuracy-13b988b18da8ea7d</t>
        </is>
      </c>
    </row>
    <row r="1050" ht="28" customHeight="1">
      <c r="A1050" s="12">
        <f>IF($L1050="applied","Applied",IF($L1050="interview","Interview",IF($L1050="offer","Offer",IF($L1050="rejected","Rejected",IF($L1050="ignore","Ignore",IF($L1050="archive","Archive",IF($L1050="closed","Closed",IF($B1050="","Unscored",IF(AND($B1050&gt;=8,OR($H1050="",$H1050-TODAY()&lt;=14)),"P1 Apply",IF($B1050&gt;=7,"P2 Strong",IF($B1050&gt;=5,"P3 Maybe","P4 Low")))))))))))</f>
        <v/>
      </c>
      <c r="B1050" s="13" t="n">
        <v>0.82</v>
      </c>
      <c r="C1050" s="12" t="inlineStr">
        <is>
          <t>Mid-level</t>
        </is>
      </c>
      <c r="D1050" s="8" t="inlineStr">
        <is>
          <t>Full Stack Software Engineer</t>
        </is>
      </c>
      <c r="E1050" s="7" t="inlineStr">
        <is>
          <t>Duku AI</t>
        </is>
      </c>
      <c r="F1050" s="8" t="inlineStr">
        <is>
          <t>London, England, UK</t>
        </is>
      </c>
      <c r="G1050" s="8" t="n"/>
      <c r="H1050" s="14" t="n"/>
      <c r="I1050" s="15">
        <f>IF($H1050="","",$H1050-TODAY())</f>
        <v/>
      </c>
      <c r="J1050" s="16" t="inlineStr">
        <is>
          <t>Open posting</t>
        </is>
      </c>
      <c r="K1050" s="8" t="inlineStr">
        <is>
          <t>filtered by keyword pre-scan</t>
        </is>
      </c>
      <c r="L1050" s="17" t="inlineStr">
        <is>
          <t>new</t>
        </is>
      </c>
      <c r="M1050" s="18" t="inlineStr"/>
      <c r="N1050" s="7" t="inlineStr">
        <is>
          <t>f28d2a26856cb768e6dc161eb03eba742af06bf8</t>
        </is>
      </c>
      <c r="O1050" s="14" t="n">
        <v>46183</v>
      </c>
      <c r="P1050" s="7" t="inlineStr">
        <is>
          <t>jobspy</t>
        </is>
      </c>
      <c r="Q1050" s="8" t="inlineStr">
        <is>
          <t>python</t>
        </is>
      </c>
      <c r="R1050" s="8" t="inlineStr">
        <is>
          <t>Full Stack Developer</t>
        </is>
      </c>
      <c r="S1050" s="19" t="n"/>
      <c r="T1050" s="19" t="n"/>
      <c r="U1050" s="14" t="n">
        <v>46191</v>
      </c>
      <c r="V1050" s="7" t="inlineStr">
        <is>
          <t>v2-cv-accuracy-13b988b18da8ea7d</t>
        </is>
      </c>
    </row>
    <row r="1051" ht="28" customHeight="1">
      <c r="A1051" s="12">
        <f>IF($L1051="applied","Applied",IF($L1051="interview","Interview",IF($L1051="offer","Offer",IF($L1051="rejected","Rejected",IF($L1051="ignore","Ignore",IF($L1051="archive","Archive",IF($L1051="closed","Closed",IF($B1051="","Unscored",IF(AND($B1051&gt;=8,OR($H1051="",$H1051-TODAY()&lt;=14)),"P1 Apply",IF($B1051&gt;=7,"P2 Strong",IF($B1051&gt;=5,"P3 Maybe","P4 Low")))))))))))</f>
        <v/>
      </c>
      <c r="B1051" s="13" t="n">
        <v>0.82</v>
      </c>
      <c r="C1051" s="12" t="inlineStr">
        <is>
          <t>Senior/Lead</t>
        </is>
      </c>
      <c r="D1051" s="8" t="inlineStr">
        <is>
          <t>Frontend Developer</t>
        </is>
      </c>
      <c r="E1051" s="7" t="inlineStr">
        <is>
          <t>Synthesia</t>
        </is>
      </c>
      <c r="F1051" s="8" t="inlineStr"/>
      <c r="G1051" s="8" t="n"/>
      <c r="H1051" s="14" t="n"/>
      <c r="I1051" s="15">
        <f>IF($H1051="","",$H1051-TODAY())</f>
        <v/>
      </c>
      <c r="J1051" s="16" t="inlineStr">
        <is>
          <t>Open posting</t>
        </is>
      </c>
      <c r="K1051" s="8" t="inlineStr">
        <is>
          <t>filtered by keyword pre-scan</t>
        </is>
      </c>
      <c r="L1051" s="17" t="inlineStr">
        <is>
          <t>new</t>
        </is>
      </c>
      <c r="M1051" s="18" t="inlineStr"/>
      <c r="N1051" s="7" t="inlineStr">
        <is>
          <t>f694baf1aab816496802197797623eb8a539d6e2</t>
        </is>
      </c>
      <c r="O1051" s="14" t="n">
        <v>46178</v>
      </c>
      <c r="P1051" s="7" t="inlineStr">
        <is>
          <t>jobspy</t>
        </is>
      </c>
      <c r="Q1051" s="8" t="inlineStr">
        <is>
          <t>python</t>
        </is>
      </c>
      <c r="R1051" s="8" t="inlineStr">
        <is>
          <t>Full Stack Developer</t>
        </is>
      </c>
      <c r="S1051" s="19" t="n"/>
      <c r="T1051" s="19" t="n"/>
      <c r="U1051" s="14" t="n">
        <v>46191</v>
      </c>
      <c r="V1051" s="7" t="inlineStr">
        <is>
          <t>v2-cv-accuracy-13b988b18da8ea7d</t>
        </is>
      </c>
    </row>
    <row r="1052" ht="28" customHeight="1">
      <c r="A1052" s="12">
        <f>IF($L1052="applied","Applied",IF($L1052="interview","Interview",IF($L1052="offer","Offer",IF($L1052="rejected","Rejected",IF($L1052="ignore","Ignore",IF($L1052="archive","Archive",IF($L1052="closed","Closed",IF($B1052="","Unscored",IF(AND($B1052&gt;=8,OR($H1052="",$H1052-TODAY()&lt;=14)),"P1 Apply",IF($B1052&gt;=7,"P2 Strong",IF($B1052&gt;=5,"P3 Maybe","P4 Low")))))))))))</f>
        <v/>
      </c>
      <c r="B1052" s="13" t="n">
        <v>0.82</v>
      </c>
      <c r="C1052" s="12" t="inlineStr">
        <is>
          <t>Junior</t>
        </is>
      </c>
      <c r="D1052" s="8" t="inlineStr">
        <is>
          <t>Web Developer (React) | Remote</t>
        </is>
      </c>
      <c r="E1052" s="7" t="inlineStr">
        <is>
          <t>Crossing Hurdles</t>
        </is>
      </c>
      <c r="F1052" s="8" t="inlineStr"/>
      <c r="G1052" s="8" t="n"/>
      <c r="H1052" s="14" t="n"/>
      <c r="I1052" s="15">
        <f>IF($H1052="","",$H1052-TODAY())</f>
        <v/>
      </c>
      <c r="J1052" s="16" t="inlineStr">
        <is>
          <t>Open posting</t>
        </is>
      </c>
      <c r="K1052" s="8" t="inlineStr">
        <is>
          <t>filtered by keyword pre-scan</t>
        </is>
      </c>
      <c r="L1052" s="17" t="inlineStr">
        <is>
          <t>new</t>
        </is>
      </c>
      <c r="M1052" s="18" t="inlineStr"/>
      <c r="N1052" s="7" t="inlineStr">
        <is>
          <t>8d18ee8a6a4700fb933d7235ecc84c87f9e67c53</t>
        </is>
      </c>
      <c r="O1052" s="14" t="n">
        <v>46178</v>
      </c>
      <c r="P1052" s="7" t="inlineStr">
        <is>
          <t>jobspy</t>
        </is>
      </c>
      <c r="Q1052" s="8" t="inlineStr">
        <is>
          <t>javascript</t>
        </is>
      </c>
      <c r="R1052" s="8" t="inlineStr">
        <is>
          <t>junior Full Stack Developer</t>
        </is>
      </c>
      <c r="S1052" s="19" t="n"/>
      <c r="T1052" s="19" t="n"/>
      <c r="U1052" s="14" t="n">
        <v>46191</v>
      </c>
      <c r="V1052" s="7" t="inlineStr">
        <is>
          <t>v2-cv-accuracy-13b988b18da8ea7d</t>
        </is>
      </c>
    </row>
    <row r="1053" ht="28" customHeight="1">
      <c r="A1053" s="12">
        <f>IF($L1053="applied","Applied",IF($L1053="interview","Interview",IF($L1053="offer","Offer",IF($L1053="rejected","Rejected",IF($L1053="ignore","Ignore",IF($L1053="archive","Archive",IF($L1053="closed","Closed",IF($B1053="","Unscored",IF(AND($B1053&gt;=8,OR($H1053="",$H1053-TODAY()&lt;=14)),"P1 Apply",IF($B1053&gt;=7,"P2 Strong",IF($B1053&gt;=5,"P3 Maybe","P4 Low")))))))))))</f>
        <v/>
      </c>
      <c r="B1053" s="13" t="n">
        <v>0.82</v>
      </c>
      <c r="C1053" s="12" t="inlineStr">
        <is>
          <t>Graduate/Entry</t>
        </is>
      </c>
      <c r="D1053" s="8" t="inlineStr">
        <is>
          <t>Graduate Software Engineer</t>
        </is>
      </c>
      <c r="E1053" s="7" t="inlineStr">
        <is>
          <t>GRAYCE</t>
        </is>
      </c>
      <c r="F1053" s="8" t="inlineStr">
        <is>
          <t>Liverpool, England, UK</t>
        </is>
      </c>
      <c r="G1053" s="8" t="n"/>
      <c r="H1053" s="14" t="n"/>
      <c r="I1053" s="15">
        <f>IF($H1053="","",$H1053-TODAY())</f>
        <v/>
      </c>
      <c r="J1053" s="16" t="inlineStr">
        <is>
          <t>Open posting</t>
        </is>
      </c>
      <c r="K1053" s="8" t="inlineStr">
        <is>
          <t>filtered by keyword pre-scan</t>
        </is>
      </c>
      <c r="L1053" s="17" t="inlineStr">
        <is>
          <t>new</t>
        </is>
      </c>
      <c r="M1053" s="18" t="inlineStr"/>
      <c r="N1053" s="7" t="inlineStr">
        <is>
          <t>47a549c39878e3e1c8d849455b7b8a1005a54704</t>
        </is>
      </c>
      <c r="O1053" s="14" t="n">
        <v>46182</v>
      </c>
      <c r="P1053" s="7" t="inlineStr">
        <is>
          <t>jobspy</t>
        </is>
      </c>
      <c r="Q1053" s="8" t="inlineStr">
        <is>
          <t>git</t>
        </is>
      </c>
      <c r="R1053" s="8" t="inlineStr">
        <is>
          <t>entry level Graduate Software Developer</t>
        </is>
      </c>
      <c r="S1053" s="19" t="n"/>
      <c r="T1053" s="19" t="n"/>
      <c r="U1053" s="14" t="n">
        <v>46191</v>
      </c>
      <c r="V1053" s="7" t="inlineStr">
        <is>
          <t>v2-cv-accuracy-13b988b18da8ea7d</t>
        </is>
      </c>
    </row>
    <row r="1054" ht="28" customHeight="1">
      <c r="A1054" s="12">
        <f>IF($L1054="applied","Applied",IF($L1054="interview","Interview",IF($L1054="offer","Offer",IF($L1054="rejected","Rejected",IF($L1054="ignore","Ignore",IF($L1054="archive","Archive",IF($L1054="closed","Closed",IF($B1054="","Unscored",IF(AND($B1054&gt;=8,OR($H1054="",$H1054-TODAY()&lt;=14)),"P1 Apply",IF($B1054&gt;=7,"P2 Strong",IF($B1054&gt;=5,"P3 Maybe","P4 Low")))))))))))</f>
        <v/>
      </c>
      <c r="B1054" s="13" t="n">
        <v>0.82</v>
      </c>
      <c r="C1054" s="12" t="inlineStr">
        <is>
          <t>Senior/Lead</t>
        </is>
      </c>
      <c r="D1054" s="8" t="inlineStr">
        <is>
          <t>Python Developer</t>
        </is>
      </c>
      <c r="E1054" s="7" t="inlineStr">
        <is>
          <t>Vertus Partners</t>
        </is>
      </c>
      <c r="F1054" s="8" t="inlineStr">
        <is>
          <t>London Area, United Kingdom</t>
        </is>
      </c>
      <c r="G1054" s="8" t="n"/>
      <c r="H1054" s="14" t="n"/>
      <c r="I1054" s="15">
        <f>IF($H1054="","",$H1054-TODAY())</f>
        <v/>
      </c>
      <c r="J1054" s="16" t="inlineStr">
        <is>
          <t>Open posting</t>
        </is>
      </c>
      <c r="K1054" s="8" t="inlineStr">
        <is>
          <t>filtered by keyword pre-scan</t>
        </is>
      </c>
      <c r="L1054" s="17" t="inlineStr">
        <is>
          <t>new</t>
        </is>
      </c>
      <c r="M1054" s="18" t="inlineStr"/>
      <c r="N1054" s="7" t="inlineStr">
        <is>
          <t>a59609d6a2bfec76553ef6fd1d97e4de43a4cc40</t>
        </is>
      </c>
      <c r="O1054" s="14" t="n">
        <v>46169</v>
      </c>
      <c r="P1054" s="7" t="inlineStr">
        <is>
          <t>jobspy</t>
        </is>
      </c>
      <c r="Q1054" s="8" t="inlineStr">
        <is>
          <t>python</t>
        </is>
      </c>
      <c r="R1054" s="8" t="inlineStr">
        <is>
          <t>Junior Python Developer</t>
        </is>
      </c>
      <c r="S1054" s="19" t="n"/>
      <c r="T1054" s="19" t="n"/>
      <c r="U1054" s="14" t="n">
        <v>46191</v>
      </c>
      <c r="V1054" s="7" t="inlineStr">
        <is>
          <t>v2-cv-accuracy-13b988b18da8ea7d</t>
        </is>
      </c>
    </row>
    <row r="1055" ht="28" customHeight="1">
      <c r="A1055" s="12">
        <f>IF($L1055="applied","Applied",IF($L1055="interview","Interview",IF($L1055="offer","Offer",IF($L1055="rejected","Rejected",IF($L1055="ignore","Ignore",IF($L1055="archive","Archive",IF($L1055="closed","Closed",IF($B1055="","Unscored",IF(AND($B1055&gt;=8,OR($H1055="",$H1055-TODAY()&lt;=14)),"P1 Apply",IF($B1055&gt;=7,"P2 Strong",IF($B1055&gt;=5,"P3 Maybe","P4 Low")))))))))))</f>
        <v/>
      </c>
      <c r="B1055" s="13" t="n">
        <v>0.82</v>
      </c>
      <c r="C1055" s="12" t="inlineStr">
        <is>
          <t>Junior</t>
        </is>
      </c>
      <c r="D1055" s="8" t="inlineStr">
        <is>
          <t>Software Engineer</t>
        </is>
      </c>
      <c r="E1055" s="7" t="inlineStr">
        <is>
          <t>Technify Talent</t>
        </is>
      </c>
      <c r="F1055" s="8" t="inlineStr">
        <is>
          <t>Cambridge, England, UK</t>
        </is>
      </c>
      <c r="G1055" s="8" t="n"/>
      <c r="H1055" s="14" t="n"/>
      <c r="I1055" s="15">
        <f>IF($H1055="","",$H1055-TODAY())</f>
        <v/>
      </c>
      <c r="J1055" s="16" t="inlineStr">
        <is>
          <t>Open posting</t>
        </is>
      </c>
      <c r="K1055" s="8" t="inlineStr">
        <is>
          <t>filtered by keyword pre-scan</t>
        </is>
      </c>
      <c r="L1055" s="17" t="inlineStr">
        <is>
          <t>new</t>
        </is>
      </c>
      <c r="M1055" s="18" t="inlineStr"/>
      <c r="N1055" s="7" t="inlineStr">
        <is>
          <t>5113b7e9d9459367dc92ed07e5885862dff186e9</t>
        </is>
      </c>
      <c r="O1055" s="14" t="n">
        <v>46188</v>
      </c>
      <c r="P1055" s="7" t="inlineStr">
        <is>
          <t>jobspy</t>
        </is>
      </c>
      <c r="Q1055" s="8" t="inlineStr">
        <is>
          <t>python</t>
        </is>
      </c>
      <c r="R1055" s="8" t="inlineStr">
        <is>
          <t>graduate Junior Python Developer</t>
        </is>
      </c>
      <c r="S1055" s="19" t="n"/>
      <c r="T1055" s="19" t="n"/>
      <c r="U1055" s="14" t="n">
        <v>46191</v>
      </c>
      <c r="V1055" s="7" t="inlineStr">
        <is>
          <t>v2-cv-accuracy-13b988b18da8ea7d</t>
        </is>
      </c>
    </row>
    <row r="1056" ht="28" customHeight="1">
      <c r="A1056" s="12">
        <f>IF($L1056="applied","Applied",IF($L1056="interview","Interview",IF($L1056="offer","Offer",IF($L1056="rejected","Rejected",IF($L1056="ignore","Ignore",IF($L1056="archive","Archive",IF($L1056="closed","Closed",IF($B1056="","Unscored",IF(AND($B1056&gt;=8,OR($H1056="",$H1056-TODAY()&lt;=14)),"P1 Apply",IF($B1056&gt;=7,"P2 Strong",IF($B1056&gt;=5,"P3 Maybe","P4 Low")))))))))))</f>
        <v/>
      </c>
      <c r="B1056" s="13" t="n">
        <v>0.82</v>
      </c>
      <c r="C1056" s="12" t="inlineStr">
        <is>
          <t>Unspecified</t>
        </is>
      </c>
      <c r="D1056" s="8" t="inlineStr">
        <is>
          <t>Full Stack Software Developer</t>
        </is>
      </c>
      <c r="E1056" s="7" t="inlineStr">
        <is>
          <t>tombola</t>
        </is>
      </c>
      <c r="F1056" s="8" t="inlineStr">
        <is>
          <t>Sunderland, England, UK</t>
        </is>
      </c>
      <c r="G1056" s="8" t="n"/>
      <c r="H1056" s="14" t="n"/>
      <c r="I1056" s="15">
        <f>IF($H1056="","",$H1056-TODAY())</f>
        <v/>
      </c>
      <c r="J1056" s="16" t="inlineStr">
        <is>
          <t>Open posting</t>
        </is>
      </c>
      <c r="K1056" s="8" t="inlineStr">
        <is>
          <t>filtered by keyword pre-scan</t>
        </is>
      </c>
      <c r="L1056" s="17" t="inlineStr">
        <is>
          <t>new</t>
        </is>
      </c>
      <c r="M1056" s="18" t="inlineStr"/>
      <c r="N1056" s="7" t="inlineStr">
        <is>
          <t>a18aa2e02092256a7ef78a19d724fc5291ae6acf</t>
        </is>
      </c>
      <c r="O1056" s="14" t="n">
        <v>46185</v>
      </c>
      <c r="P1056" s="7" t="inlineStr">
        <is>
          <t>jobspy</t>
        </is>
      </c>
      <c r="Q1056" s="8" t="inlineStr">
        <is>
          <t>software development</t>
        </is>
      </c>
      <c r="R1056" s="8" t="inlineStr">
        <is>
          <t>Full Stack Developer Sheffield</t>
        </is>
      </c>
      <c r="S1056" s="19" t="n"/>
      <c r="T1056" s="19" t="n"/>
      <c r="U1056" s="14" t="n">
        <v>46191</v>
      </c>
      <c r="V1056" s="7" t="inlineStr">
        <is>
          <t>v2-cv-accuracy-13b988b18da8ea7d</t>
        </is>
      </c>
    </row>
    <row r="1057" ht="28" customHeight="1">
      <c r="A1057" s="12">
        <f>IF($L1057="applied","Applied",IF($L1057="interview","Interview",IF($L1057="offer","Offer",IF($L1057="rejected","Rejected",IF($L1057="ignore","Ignore",IF($L1057="archive","Archive",IF($L1057="closed","Closed",IF($B1057="","Unscored",IF(AND($B1057&gt;=8,OR($H1057="",$H1057-TODAY()&lt;=14)),"P1 Apply",IF($B1057&gt;=7,"P2 Strong",IF($B1057&gt;=5,"P3 Maybe","P4 Low")))))))))))</f>
        <v/>
      </c>
      <c r="B1057" s="13" t="n">
        <v>0.82</v>
      </c>
      <c r="C1057" s="12" t="inlineStr">
        <is>
          <t>Unspecified</t>
        </is>
      </c>
      <c r="D1057" s="8" t="inlineStr">
        <is>
          <t>DevSecOps Engineer</t>
        </is>
      </c>
      <c r="E1057" s="7" t="inlineStr">
        <is>
          <t>Typeform</t>
        </is>
      </c>
      <c r="F1057" s="8" t="inlineStr">
        <is>
          <t>Ireland (Remote); Netherlands (Remote) ; United Kingdom (Remote)</t>
        </is>
      </c>
      <c r="G1057" s="8" t="n"/>
      <c r="H1057" s="14" t="n"/>
      <c r="I1057" s="15">
        <f>IF($H1057="","",$H1057-TODAY())</f>
        <v/>
      </c>
      <c r="J1057" s="16" t="inlineStr">
        <is>
          <t>Open posting</t>
        </is>
      </c>
      <c r="K1057" s="8" t="inlineStr">
        <is>
          <t>filtered by keyword pre-scan</t>
        </is>
      </c>
      <c r="L1057" s="17" t="inlineStr">
        <is>
          <t>new</t>
        </is>
      </c>
      <c r="M1057" s="18" t="inlineStr"/>
      <c r="N1057" s="7" t="inlineStr">
        <is>
          <t>397041ef1f7da4e03d9e637dedeab321e2144f16</t>
        </is>
      </c>
      <c r="O1057" s="14" t="n">
        <v>46191</v>
      </c>
      <c r="P1057" s="7" t="inlineStr">
        <is>
          <t>greenhouse:typeform</t>
        </is>
      </c>
      <c r="Q1057" s="8" t="inlineStr"/>
      <c r="R1057" s="8" t="n"/>
      <c r="S1057" s="19" t="n"/>
      <c r="T1057" s="19" t="n"/>
      <c r="U1057" s="14" t="n">
        <v>46191</v>
      </c>
      <c r="V1057" s="7" t="inlineStr">
        <is>
          <t>v2-cv-accuracy-13b988b18da8ea7d</t>
        </is>
      </c>
    </row>
    <row r="1058" ht="28" customHeight="1">
      <c r="A1058" s="12">
        <f>IF($L1058="applied","Applied",IF($L1058="interview","Interview",IF($L1058="offer","Offer",IF($L1058="rejected","Rejected",IF($L1058="ignore","Ignore",IF($L1058="archive","Archive",IF($L1058="closed","Closed",IF($B1058="","Unscored",IF(AND($B1058&gt;=8,OR($H1058="",$H1058-TODAY()&lt;=14)),"P1 Apply",IF($B1058&gt;=7,"P2 Strong",IF($B1058&gt;=5,"P3 Maybe","P4 Low")))))))))))</f>
        <v/>
      </c>
      <c r="B1058" s="13" t="n">
        <v>0.82</v>
      </c>
      <c r="C1058" s="12" t="inlineStr">
        <is>
          <t>Senior/Lead</t>
        </is>
      </c>
      <c r="D1058" s="8" t="inlineStr">
        <is>
          <t>Product Designer - Integration</t>
        </is>
      </c>
      <c r="E1058" s="7" t="inlineStr">
        <is>
          <t>Typeform</t>
        </is>
      </c>
      <c r="F1058" s="8" t="inlineStr">
        <is>
          <t>Germany (Remote) ; Ireland (Remote); Netherlands (Remote) ; Portugal (Remote) ; Spain (Remote) ; United Kingdom (Remote)</t>
        </is>
      </c>
      <c r="G1058" s="8" t="n"/>
      <c r="H1058" s="14" t="n"/>
      <c r="I1058" s="15">
        <f>IF($H1058="","",$H1058-TODAY())</f>
        <v/>
      </c>
      <c r="J1058" s="16" t="inlineStr">
        <is>
          <t>Open posting</t>
        </is>
      </c>
      <c r="K1058" s="8" t="inlineStr">
        <is>
          <t>filtered by keyword pre-scan</t>
        </is>
      </c>
      <c r="L1058" s="17" t="inlineStr">
        <is>
          <t>new</t>
        </is>
      </c>
      <c r="M1058" s="18" t="inlineStr"/>
      <c r="N1058" s="7" t="inlineStr">
        <is>
          <t>cc725c0524de9b6a2d93239a0ee57bca939fc095</t>
        </is>
      </c>
      <c r="O1058" s="14" t="n">
        <v>46191</v>
      </c>
      <c r="P1058" s="7" t="inlineStr">
        <is>
          <t>greenhouse:typeform</t>
        </is>
      </c>
      <c r="Q1058" s="8" t="inlineStr">
        <is>
          <t>git</t>
        </is>
      </c>
      <c r="R1058" s="8" t="n"/>
      <c r="S1058" s="19" t="n"/>
      <c r="T1058" s="19" t="n"/>
      <c r="U1058" s="14" t="n">
        <v>46191</v>
      </c>
      <c r="V1058" s="7" t="inlineStr">
        <is>
          <t>v2-cv-accuracy-13b988b18da8ea7d</t>
        </is>
      </c>
    </row>
    <row r="1059" ht="28" customHeight="1">
      <c r="A1059" s="12">
        <f>IF($L1059="applied","Applied",IF($L1059="interview","Interview",IF($L1059="offer","Offer",IF($L1059="rejected","Rejected",IF($L1059="ignore","Ignore",IF($L1059="archive","Archive",IF($L1059="closed","Closed",IF($B1059="","Unscored",IF(AND($B1059&gt;=8,OR($H1059="",$H1059-TODAY()&lt;=14)),"P1 Apply",IF($B1059&gt;=7,"P2 Strong",IF($B1059&gt;=5,"P3 Maybe","P4 Low")))))))))))</f>
        <v/>
      </c>
      <c r="B1059" s="13" t="n">
        <v>0.82</v>
      </c>
      <c r="C1059" s="12" t="inlineStr">
        <is>
          <t>Junior</t>
        </is>
      </c>
      <c r="D1059" s="8" t="inlineStr">
        <is>
          <t>Software Engineer</t>
        </is>
      </c>
      <c r="E1059" s="7" t="inlineStr">
        <is>
          <t>hackajob</t>
        </is>
      </c>
      <c r="F1059" s="8" t="inlineStr">
        <is>
          <t>Manchester, England, UK</t>
        </is>
      </c>
      <c r="G1059" s="8" t="n"/>
      <c r="H1059" s="14" t="n"/>
      <c r="I1059" s="15">
        <f>IF($H1059="","",$H1059-TODAY())</f>
        <v/>
      </c>
      <c r="J1059" s="16" t="inlineStr">
        <is>
          <t>Open posting</t>
        </is>
      </c>
      <c r="K1059" s="8" t="inlineStr">
        <is>
          <t>filtered by keyword pre-scan</t>
        </is>
      </c>
      <c r="L1059" s="17" t="inlineStr">
        <is>
          <t>new</t>
        </is>
      </c>
      <c r="M1059" s="18" t="inlineStr"/>
      <c r="N1059" s="7" t="inlineStr">
        <is>
          <t>c766ea7f424a1630b3a3bb0c58685f5ae8b5f4cd</t>
        </is>
      </c>
      <c r="O1059" s="14" t="n">
        <v>46185</v>
      </c>
      <c r="P1059" s="7" t="inlineStr">
        <is>
          <t>jobspy</t>
        </is>
      </c>
      <c r="Q1059" s="8" t="inlineStr">
        <is>
          <t>git</t>
        </is>
      </c>
      <c r="R1059" s="8" t="inlineStr">
        <is>
          <t>Graduate Software Developer Sheffield</t>
        </is>
      </c>
      <c r="S1059" s="19" t="n"/>
      <c r="T1059" s="19" t="n"/>
      <c r="U1059" s="14" t="n">
        <v>46191</v>
      </c>
      <c r="V1059" s="7" t="inlineStr">
        <is>
          <t>v2-cv-accuracy-13b988b18da8ea7d</t>
        </is>
      </c>
    </row>
    <row r="1060" ht="28" customHeight="1">
      <c r="A1060" s="12">
        <f>IF($L1060="applied","Applied",IF($L1060="interview","Interview",IF($L1060="offer","Offer",IF($L1060="rejected","Rejected",IF($L1060="ignore","Ignore",IF($L1060="archive","Archive",IF($L1060="closed","Closed",IF($B1060="","Unscored",IF(AND($B1060&gt;=8,OR($H1060="",$H1060-TODAY()&lt;=14)),"P1 Apply",IF($B1060&gt;=7,"P2 Strong",IF($B1060&gt;=5,"P3 Maybe","P4 Low")))))))))))</f>
        <v/>
      </c>
      <c r="B1060" s="13" t="n">
        <v>0.82</v>
      </c>
      <c r="C1060" s="12" t="inlineStr">
        <is>
          <t>Senior/Lead</t>
        </is>
      </c>
      <c r="D1060" s="8" t="inlineStr">
        <is>
          <t>Developer</t>
        </is>
      </c>
      <c r="E1060" s="7" t="inlineStr">
        <is>
          <t>Heywood</t>
        </is>
      </c>
      <c r="F1060" s="8" t="inlineStr">
        <is>
          <t>Altrincham, England, UK</t>
        </is>
      </c>
      <c r="G1060" s="8" t="n"/>
      <c r="H1060" s="14" t="n"/>
      <c r="I1060" s="15">
        <f>IF($H1060="","",$H1060-TODAY())</f>
        <v/>
      </c>
      <c r="J1060" s="16" t="inlineStr">
        <is>
          <t>Open posting</t>
        </is>
      </c>
      <c r="K1060" s="8" t="inlineStr">
        <is>
          <t>filtered by keyword pre-scan</t>
        </is>
      </c>
      <c r="L1060" s="17" t="inlineStr">
        <is>
          <t>new</t>
        </is>
      </c>
      <c r="M1060" s="18" t="inlineStr"/>
      <c r="N1060" s="7" t="inlineStr">
        <is>
          <t>dfc52e4e96cf4055f1c1ace76e063897ee5fa722</t>
        </is>
      </c>
      <c r="O1060" s="14" t="n">
        <v>46171</v>
      </c>
      <c r="P1060" s="7" t="inlineStr">
        <is>
          <t>jobspy</t>
        </is>
      </c>
      <c r="Q1060" s="8" t="inlineStr"/>
      <c r="R1060" s="8" t="inlineStr">
        <is>
          <t>graduate Graduate Software Developer</t>
        </is>
      </c>
      <c r="S1060" s="19" t="n"/>
      <c r="T1060" s="19" t="n"/>
      <c r="U1060" s="14" t="n">
        <v>46191</v>
      </c>
      <c r="V1060" s="7" t="inlineStr">
        <is>
          <t>v2-cv-accuracy-13b988b18da8ea7d</t>
        </is>
      </c>
    </row>
    <row r="1061" ht="28" customHeight="1">
      <c r="A1061" s="12">
        <f>IF($L1061="applied","Applied",IF($L1061="interview","Interview",IF($L1061="offer","Offer",IF($L1061="rejected","Rejected",IF($L1061="ignore","Ignore",IF($L1061="archive","Archive",IF($L1061="closed","Closed",IF($B1061="","Unscored",IF(AND($B1061&gt;=8,OR($H1061="",$H1061-TODAY()&lt;=14)),"P1 Apply",IF($B1061&gt;=7,"P2 Strong",IF($B1061&gt;=5,"P3 Maybe","P4 Low")))))))))))</f>
        <v/>
      </c>
      <c r="B1061" s="13" t="n">
        <v>0.82</v>
      </c>
      <c r="C1061" s="12" t="inlineStr">
        <is>
          <t>Senior/Lead</t>
        </is>
      </c>
      <c r="D1061" s="8" t="inlineStr">
        <is>
          <t>Software Engineer - Python</t>
        </is>
      </c>
      <c r="E1061" s="7" t="inlineStr">
        <is>
          <t>Dale Consulting</t>
        </is>
      </c>
      <c r="F1061" s="8" t="inlineStr">
        <is>
          <t>Milan, Lombardy, Italy</t>
        </is>
      </c>
      <c r="G1061" s="8" t="n"/>
      <c r="H1061" s="14" t="n"/>
      <c r="I1061" s="15">
        <f>IF($H1061="","",$H1061-TODAY())</f>
        <v/>
      </c>
      <c r="J1061" s="16" t="inlineStr">
        <is>
          <t>Open posting</t>
        </is>
      </c>
      <c r="K1061" s="8" t="inlineStr">
        <is>
          <t>filtered by keyword pre-scan</t>
        </is>
      </c>
      <c r="L1061" s="17" t="inlineStr">
        <is>
          <t>new</t>
        </is>
      </c>
      <c r="M1061" s="18" t="inlineStr"/>
      <c r="N1061" s="7" t="inlineStr">
        <is>
          <t>7f6bc6fd69d3e55f64d5dd9bc4b6e9e31f2942ae</t>
        </is>
      </c>
      <c r="O1061" s="14" t="n">
        <v>46182</v>
      </c>
      <c r="P1061" s="7" t="inlineStr">
        <is>
          <t>jobspy</t>
        </is>
      </c>
      <c r="Q1061" s="8" t="inlineStr">
        <is>
          <t>python</t>
        </is>
      </c>
      <c r="R1061" s="8" t="inlineStr">
        <is>
          <t>junior/graduate Junior Python Developer</t>
        </is>
      </c>
      <c r="S1061" s="19" t="n"/>
      <c r="T1061" s="19" t="n"/>
      <c r="U1061" s="14" t="n">
        <v>46191</v>
      </c>
      <c r="V1061" s="7" t="inlineStr">
        <is>
          <t>v2-cv-accuracy-13b988b18da8ea7d</t>
        </is>
      </c>
    </row>
    <row r="1062" ht="28" customHeight="1">
      <c r="A1062" s="12">
        <f>IF($L1062="applied","Applied",IF($L1062="interview","Interview",IF($L1062="offer","Offer",IF($L1062="rejected","Rejected",IF($L1062="ignore","Ignore",IF($L1062="archive","Archive",IF($L1062="closed","Closed",IF($B1062="","Unscored",IF(AND($B1062&gt;=8,OR($H1062="",$H1062-TODAY()&lt;=14)),"P1 Apply",IF($B1062&gt;=7,"P2 Strong",IF($B1062&gt;=5,"P3 Maybe","P4 Low")))))))))))</f>
        <v/>
      </c>
      <c r="B1062" s="13" t="n">
        <v>0.82</v>
      </c>
      <c r="C1062" s="12" t="inlineStr">
        <is>
          <t>Unspecified</t>
        </is>
      </c>
      <c r="D1062" s="8" t="inlineStr">
        <is>
          <t>Full Stack Node.js Developer</t>
        </is>
      </c>
      <c r="E1062" s="7" t="inlineStr">
        <is>
          <t>SR2 | Socially Responsible Recruitment | Certified B Corporation™</t>
        </is>
      </c>
      <c r="F1062" s="8" t="inlineStr">
        <is>
          <t>Reading, England, UK</t>
        </is>
      </c>
      <c r="G1062" s="8" t="n"/>
      <c r="H1062" s="14" t="n"/>
      <c r="I1062" s="15">
        <f>IF($H1062="","",$H1062-TODAY())</f>
        <v/>
      </c>
      <c r="J1062" s="16" t="inlineStr">
        <is>
          <t>Open posting</t>
        </is>
      </c>
      <c r="K1062" s="8" t="inlineStr">
        <is>
          <t>filtered by keyword pre-scan</t>
        </is>
      </c>
      <c r="L1062" s="17" t="inlineStr">
        <is>
          <t>new</t>
        </is>
      </c>
      <c r="M1062" s="18" t="inlineStr"/>
      <c r="N1062" s="7" t="inlineStr">
        <is>
          <t>3158441396d2a2cbee5055abe17d38ac32bfe82c</t>
        </is>
      </c>
      <c r="O1062" s="14" t="n">
        <v>46176</v>
      </c>
      <c r="P1062" s="7" t="inlineStr">
        <is>
          <t>jobspy</t>
        </is>
      </c>
      <c r="Q1062" s="8" t="inlineStr"/>
      <c r="R1062" s="8" t="inlineStr">
        <is>
          <t>Full Stack Developer</t>
        </is>
      </c>
      <c r="S1062" s="19" t="n"/>
      <c r="T1062" s="19" t="n"/>
      <c r="U1062" s="14" t="n">
        <v>46191</v>
      </c>
      <c r="V1062" s="7" t="inlineStr">
        <is>
          <t>v2-cv-accuracy-13b988b18da8ea7d</t>
        </is>
      </c>
    </row>
    <row r="1063" ht="28" customHeight="1">
      <c r="A1063" s="12">
        <f>IF($L1063="applied","Applied",IF($L1063="interview","Interview",IF($L1063="offer","Offer",IF($L1063="rejected","Rejected",IF($L1063="ignore","Ignore",IF($L1063="archive","Archive",IF($L1063="closed","Closed",IF($B1063="","Unscored",IF(AND($B1063&gt;=8,OR($H1063="",$H1063-TODAY()&lt;=14)),"P1 Apply",IF($B1063&gt;=7,"P2 Strong",IF($B1063&gt;=5,"P3 Maybe","P4 Low")))))))))))</f>
        <v/>
      </c>
      <c r="B1063" s="13" t="n">
        <v>0.82</v>
      </c>
      <c r="C1063" s="12" t="inlineStr">
        <is>
          <t>Junior</t>
        </is>
      </c>
      <c r="D1063" s="8" t="inlineStr">
        <is>
          <t>Full Stack Engineer</t>
        </is>
      </c>
      <c r="E1063" s="7" t="inlineStr">
        <is>
          <t>Radar Healthcare</t>
        </is>
      </c>
      <c r="F1063" s="8" t="inlineStr">
        <is>
          <t>Leeds, England, UK</t>
        </is>
      </c>
      <c r="G1063" s="8" t="n"/>
      <c r="H1063" s="14" t="n"/>
      <c r="I1063" s="15">
        <f>IF($H1063="","",$H1063-TODAY())</f>
        <v/>
      </c>
      <c r="J1063" s="16" t="inlineStr">
        <is>
          <t>Open posting</t>
        </is>
      </c>
      <c r="K1063" s="8" t="inlineStr">
        <is>
          <t>filtered by keyword pre-scan</t>
        </is>
      </c>
      <c r="L1063" s="17" t="inlineStr">
        <is>
          <t>new</t>
        </is>
      </c>
      <c r="M1063" s="18" t="inlineStr"/>
      <c r="N1063" s="7" t="inlineStr">
        <is>
          <t>d43f6ee317b4cea5b6d87adca9f66b6fa748aa54</t>
        </is>
      </c>
      <c r="O1063" s="14" t="n">
        <v>46182</v>
      </c>
      <c r="P1063" s="7" t="inlineStr">
        <is>
          <t>jobspy</t>
        </is>
      </c>
      <c r="Q1063" s="8" t="inlineStr">
        <is>
          <t>software development</t>
        </is>
      </c>
      <c r="R1063" s="8" t="inlineStr">
        <is>
          <t>Full Stack Developer Sheffield</t>
        </is>
      </c>
      <c r="S1063" s="19" t="n"/>
      <c r="T1063" s="19" t="n"/>
      <c r="U1063" s="14" t="n">
        <v>46191</v>
      </c>
      <c r="V1063" s="7" t="inlineStr">
        <is>
          <t>v2-cv-accuracy-13b988b18da8ea7d</t>
        </is>
      </c>
    </row>
    <row r="1064" ht="28" customHeight="1">
      <c r="A1064" s="12">
        <f>IF($L1064="applied","Applied",IF($L1064="interview","Interview",IF($L1064="offer","Offer",IF($L1064="rejected","Rejected",IF($L1064="ignore","Ignore",IF($L1064="archive","Archive",IF($L1064="closed","Closed",IF($B1064="","Unscored",IF(AND($B1064&gt;=8,OR($H1064="",$H1064-TODAY()&lt;=14)),"P1 Apply",IF($B1064&gt;=7,"P2 Strong",IF($B1064&gt;=5,"P3 Maybe","P4 Low")))))))))))</f>
        <v/>
      </c>
      <c r="B1064" s="13" t="n">
        <v>0.75</v>
      </c>
      <c r="C1064" s="12" t="inlineStr">
        <is>
          <t>Unspecified</t>
        </is>
      </c>
      <c r="D1064" s="8" t="inlineStr">
        <is>
          <t>Compiler Engineer</t>
        </is>
      </c>
      <c r="E1064" s="7" t="inlineStr">
        <is>
          <t>Riverlane</t>
        </is>
      </c>
      <c r="F1064" s="8" t="inlineStr">
        <is>
          <t>Cambridge, England, UK</t>
        </is>
      </c>
      <c r="G1064" s="8" t="n"/>
      <c r="H1064" s="14" t="n"/>
      <c r="I1064" s="15">
        <f>IF($H1064="","",$H1064-TODAY())</f>
        <v/>
      </c>
      <c r="J1064" s="16" t="inlineStr">
        <is>
          <t>Open posting</t>
        </is>
      </c>
      <c r="K1064" s="8" t="inlineStr">
        <is>
          <t>filtered by keyword pre-scan</t>
        </is>
      </c>
      <c r="L1064" s="17" t="inlineStr">
        <is>
          <t>new</t>
        </is>
      </c>
      <c r="M1064" s="18" t="inlineStr"/>
      <c r="N1064" s="7" t="inlineStr">
        <is>
          <t>a2fbfe313aa10d05452d2bbb012a998acd619ac4</t>
        </is>
      </c>
      <c r="O1064" s="14" t="n">
        <v>46188</v>
      </c>
      <c r="P1064" s="7" t="inlineStr">
        <is>
          <t>jobspy</t>
        </is>
      </c>
      <c r="Q1064" s="8" t="inlineStr">
        <is>
          <t>python, c</t>
        </is>
      </c>
      <c r="R1064" s="8" t="inlineStr">
        <is>
          <t>Graduate Embedded Engineer Python FPGA</t>
        </is>
      </c>
      <c r="S1064" s="19" t="n"/>
      <c r="T1064" s="19" t="n"/>
      <c r="U1064" s="14" t="n">
        <v>46193</v>
      </c>
      <c r="V1064" s="7" t="inlineStr">
        <is>
          <t>v2-cv-accuracy-13b988b18da8ea7d</t>
        </is>
      </c>
    </row>
    <row r="1065" ht="28" customHeight="1">
      <c r="A1065" s="12">
        <f>IF($L1065="applied","Applied",IF($L1065="interview","Interview",IF($L1065="offer","Offer",IF($L1065="rejected","Rejected",IF($L1065="ignore","Ignore",IF($L1065="archive","Archive",IF($L1065="closed","Closed",IF($B1065="","Unscored",IF(AND($B1065&gt;=8,OR($H1065="",$H1065-TODAY()&lt;=14)),"P1 Apply",IF($B1065&gt;=7,"P2 Strong",IF($B1065&gt;=5,"P3 Maybe","P4 Low")))))))))))</f>
        <v/>
      </c>
      <c r="B1065" s="13" t="n">
        <v>0.75</v>
      </c>
      <c r="C1065" s="12" t="inlineStr">
        <is>
          <t>Mid-level</t>
        </is>
      </c>
      <c r="D1065" s="8" t="inlineStr">
        <is>
          <t>System Software Engineer</t>
        </is>
      </c>
      <c r="E1065" s="7" t="inlineStr">
        <is>
          <t>Apple</t>
        </is>
      </c>
      <c r="F1065" s="8" t="inlineStr">
        <is>
          <t>Cambridge, England, UK</t>
        </is>
      </c>
      <c r="G1065" s="8" t="n"/>
      <c r="H1065" s="14" t="n"/>
      <c r="I1065" s="15">
        <f>IF($H1065="","",$H1065-TODAY())</f>
        <v/>
      </c>
      <c r="J1065" s="16" t="inlineStr">
        <is>
          <t>Open posting</t>
        </is>
      </c>
      <c r="K1065" s="8" t="inlineStr">
        <is>
          <t>filtered by keyword pre-scan</t>
        </is>
      </c>
      <c r="L1065" s="17" t="inlineStr">
        <is>
          <t>new</t>
        </is>
      </c>
      <c r="M1065" s="18" t="inlineStr"/>
      <c r="N1065" s="7" t="inlineStr">
        <is>
          <t>c6bf1891c210a63ac9651990c187718416fe4fb9</t>
        </is>
      </c>
      <c r="O1065" s="14" t="n">
        <v>46175</v>
      </c>
      <c r="P1065" s="7" t="inlineStr">
        <is>
          <t>jobspy</t>
        </is>
      </c>
      <c r="Q1065" s="8" t="inlineStr">
        <is>
          <t>git, c</t>
        </is>
      </c>
      <c r="R1065" s="8" t="inlineStr">
        <is>
          <t>Embedded Systems Engineer Raspberry Pi LoRaWAN</t>
        </is>
      </c>
      <c r="S1065" s="19" t="n"/>
      <c r="T1065" s="19" t="n"/>
      <c r="U1065" s="14" t="n">
        <v>46193</v>
      </c>
      <c r="V1065" s="7" t="inlineStr">
        <is>
          <t>v2-cv-accuracy-13b988b18da8ea7d</t>
        </is>
      </c>
    </row>
    <row r="1066" ht="28" customHeight="1">
      <c r="A1066" s="12">
        <f>IF($L1066="applied","Applied",IF($L1066="interview","Interview",IF($L1066="offer","Offer",IF($L1066="rejected","Rejected",IF($L1066="ignore","Ignore",IF($L1066="archive","Archive",IF($L1066="closed","Closed",IF($B1066="","Unscored",IF(AND($B1066&gt;=8,OR($H1066="",$H1066-TODAY()&lt;=14)),"P1 Apply",IF($B1066&gt;=7,"P2 Strong",IF($B1066&gt;=5,"P3 Maybe","P4 Low")))))))))))</f>
        <v/>
      </c>
      <c r="B1066" s="13" t="n">
        <v>0.75</v>
      </c>
      <c r="C1066" s="12" t="inlineStr">
        <is>
          <t>Mid-level</t>
        </is>
      </c>
      <c r="D1066" s="8" t="inlineStr">
        <is>
          <t>Software Engineer</t>
        </is>
      </c>
      <c r="E1066" s="7" t="inlineStr">
        <is>
          <t>Qurated</t>
        </is>
      </c>
      <c r="F1066" s="8" t="inlineStr">
        <is>
          <t>Manchester Area, United Kingdom</t>
        </is>
      </c>
      <c r="G1066" s="8" t="n"/>
      <c r="H1066" s="14" t="n"/>
      <c r="I1066" s="15">
        <f>IF($H1066="","",$H1066-TODAY())</f>
        <v/>
      </c>
      <c r="J1066" s="16" t="inlineStr">
        <is>
          <t>Open posting</t>
        </is>
      </c>
      <c r="K1066" s="8" t="inlineStr">
        <is>
          <t>filtered by keyword pre-scan</t>
        </is>
      </c>
      <c r="L1066" s="17" t="inlineStr">
        <is>
          <t>new</t>
        </is>
      </c>
      <c r="M1066" s="18" t="inlineStr"/>
      <c r="N1066" s="7" t="inlineStr">
        <is>
          <t>df1c841738bb87a1abd409af215dae87480c9857</t>
        </is>
      </c>
      <c r="O1066" s="14" t="n">
        <v>46170</v>
      </c>
      <c r="P1066" s="7" t="inlineStr">
        <is>
          <t>jobspy</t>
        </is>
      </c>
      <c r="Q1066" s="8" t="inlineStr">
        <is>
          <t>python, c</t>
        </is>
      </c>
      <c r="R1066" s="8" t="inlineStr">
        <is>
          <t>Junior Python Developer backend SQL Sheffield</t>
        </is>
      </c>
      <c r="S1066" s="19" t="n"/>
      <c r="T1066" s="19" t="n"/>
      <c r="U1066" s="14" t="n">
        <v>46193</v>
      </c>
      <c r="V1066" s="7" t="inlineStr">
        <is>
          <t>v2-cv-accuracy-13b988b18da8ea7d</t>
        </is>
      </c>
    </row>
    <row r="1067" ht="28" customHeight="1">
      <c r="A1067" s="12">
        <f>IF($L1067="applied","Applied",IF($L1067="interview","Interview",IF($L1067="offer","Offer",IF($L1067="rejected","Rejected",IF($L1067="ignore","Ignore",IF($L1067="archive","Archive",IF($L1067="closed","Closed",IF($B1067="","Unscored",IF(AND($B1067&gt;=8,OR($H1067="",$H1067-TODAY()&lt;=14)),"P1 Apply",IF($B1067&gt;=7,"P2 Strong",IF($B1067&gt;=5,"P3 Maybe","P4 Low")))))))))))</f>
        <v/>
      </c>
      <c r="B1067" s="13" t="n">
        <v>0.75</v>
      </c>
      <c r="C1067" s="12" t="inlineStr">
        <is>
          <t>Junior</t>
        </is>
      </c>
      <c r="D1067" s="8" t="inlineStr">
        <is>
          <t>Junior Developer</t>
        </is>
      </c>
      <c r="E1067" s="7" t="inlineStr">
        <is>
          <t>Vensis Ltd</t>
        </is>
      </c>
      <c r="F1067" s="8" t="inlineStr">
        <is>
          <t>Brough, England, UK</t>
        </is>
      </c>
      <c r="G1067" s="8" t="n"/>
      <c r="H1067" s="14" t="n"/>
      <c r="I1067" s="15">
        <f>IF($H1067="","",$H1067-TODAY())</f>
        <v/>
      </c>
      <c r="J1067" s="16" t="inlineStr">
        <is>
          <t>Open posting</t>
        </is>
      </c>
      <c r="K1067" s="8" t="inlineStr">
        <is>
          <t>filtered by keyword pre-scan</t>
        </is>
      </c>
      <c r="L1067" s="17" t="inlineStr">
        <is>
          <t>new</t>
        </is>
      </c>
      <c r="M1067" s="18" t="inlineStr"/>
      <c r="N1067" s="7" t="inlineStr">
        <is>
          <t>1a63667a765695581baee5671d93ff5999141d8f</t>
        </is>
      </c>
      <c r="O1067" s="14" t="n"/>
      <c r="P1067" s="7" t="inlineStr">
        <is>
          <t>jobspy</t>
        </is>
      </c>
      <c r="Q1067" s="8" t="inlineStr">
        <is>
          <t>sql, c</t>
        </is>
      </c>
      <c r="R1067" s="8" t="inlineStr">
        <is>
          <t>Junior Python Developer backend SQL Sheffield</t>
        </is>
      </c>
      <c r="S1067" s="19" t="n"/>
      <c r="T1067" s="19" t="n"/>
      <c r="U1067" s="14" t="n">
        <v>46193</v>
      </c>
      <c r="V1067" s="7" t="inlineStr">
        <is>
          <t>v2-cv-accuracy-13b988b18da8ea7d</t>
        </is>
      </c>
    </row>
    <row r="1068" ht="28" customHeight="1">
      <c r="A1068" s="12">
        <f>IF($L1068="applied","Applied",IF($L1068="interview","Interview",IF($L1068="offer","Offer",IF($L1068="rejected","Rejected",IF($L1068="ignore","Ignore",IF($L1068="archive","Archive",IF($L1068="closed","Closed",IF($B1068="","Unscored",IF(AND($B1068&gt;=8,OR($H1068="",$H1068-TODAY()&lt;=14)),"P1 Apply",IF($B1068&gt;=7,"P2 Strong",IF($B1068&gt;=5,"P3 Maybe","P4 Low")))))))))))</f>
        <v/>
      </c>
      <c r="B1068" s="13" t="n">
        <v>0.75</v>
      </c>
      <c r="C1068" s="12" t="inlineStr">
        <is>
          <t>Senior/Lead</t>
        </is>
      </c>
      <c r="D1068" s="8" t="inlineStr">
        <is>
          <t>Development Engineer</t>
        </is>
      </c>
      <c r="E1068" s="7" t="inlineStr">
        <is>
          <t>ESCO Maritime Solutions</t>
        </is>
      </c>
      <c r="F1068" s="8" t="inlineStr">
        <is>
          <t>Rugeley, England, UK</t>
        </is>
      </c>
      <c r="G1068" s="8" t="n"/>
      <c r="H1068" s="14" t="n"/>
      <c r="I1068" s="15">
        <f>IF($H1068="","",$H1068-TODAY())</f>
        <v/>
      </c>
      <c r="J1068" s="16" t="inlineStr">
        <is>
          <t>Open posting</t>
        </is>
      </c>
      <c r="K1068" s="8" t="inlineStr">
        <is>
          <t>filtered by keyword pre-scan</t>
        </is>
      </c>
      <c r="L1068" s="17" t="inlineStr">
        <is>
          <t>new</t>
        </is>
      </c>
      <c r="M1068" s="18" t="inlineStr"/>
      <c r="N1068" s="7" t="inlineStr">
        <is>
          <t>8e96774a58340f3acbf0a60b1426dc070946728f</t>
        </is>
      </c>
      <c r="O1068" s="14" t="n">
        <v>46177</v>
      </c>
      <c r="P1068" s="7" t="inlineStr">
        <is>
          <t>jobspy</t>
        </is>
      </c>
      <c r="Q1068" s="8" t="inlineStr">
        <is>
          <t>git, c</t>
        </is>
      </c>
      <c r="R1068" s="8" t="inlineStr">
        <is>
          <t>Graduate Systems Engineer hardware software</t>
        </is>
      </c>
      <c r="S1068" s="19" t="n"/>
      <c r="T1068" s="19" t="n"/>
      <c r="U1068" s="14" t="n">
        <v>46193</v>
      </c>
      <c r="V1068" s="7" t="inlineStr">
        <is>
          <t>v2-cv-accuracy-13b988b18da8ea7d</t>
        </is>
      </c>
    </row>
    <row r="1069" ht="28" customHeight="1">
      <c r="A1069" s="12">
        <f>IF($L1069="applied","Applied",IF($L1069="interview","Interview",IF($L1069="offer","Offer",IF($L1069="rejected","Rejected",IF($L1069="ignore","Ignore",IF($L1069="archive","Archive",IF($L1069="closed","Closed",IF($B1069="","Unscored",IF(AND($B1069&gt;=8,OR($H1069="",$H1069-TODAY()&lt;=14)),"P1 Apply",IF($B1069&gt;=7,"P2 Strong",IF($B1069&gt;=5,"P3 Maybe","P4 Low")))))))))))</f>
        <v/>
      </c>
      <c r="B1069" s="13" t="n">
        <v>0.75</v>
      </c>
      <c r="C1069" s="12" t="inlineStr">
        <is>
          <t>Unspecified</t>
        </is>
      </c>
      <c r="D1069" s="8" t="inlineStr">
        <is>
          <t>Software Development Engineer, Advertising</t>
        </is>
      </c>
      <c r="E1069" s="7" t="inlineStr">
        <is>
          <t>Amazon</t>
        </is>
      </c>
      <c r="F1069" s="8" t="inlineStr">
        <is>
          <t>London, England, UK</t>
        </is>
      </c>
      <c r="G1069" s="8" t="n"/>
      <c r="H1069" s="14" t="n"/>
      <c r="I1069" s="15">
        <f>IF($H1069="","",$H1069-TODAY())</f>
        <v/>
      </c>
      <c r="J1069" s="16" t="inlineStr">
        <is>
          <t>Open posting</t>
        </is>
      </c>
      <c r="K1069" s="8" t="inlineStr">
        <is>
          <t>filtered by keyword pre-scan</t>
        </is>
      </c>
      <c r="L1069" s="17" t="inlineStr">
        <is>
          <t>new</t>
        </is>
      </c>
      <c r="M1069" s="18" t="inlineStr"/>
      <c r="N1069" s="7" t="inlineStr">
        <is>
          <t>0c0ca14d39b88a070070c3ace319dcfbe7f1e1de</t>
        </is>
      </c>
      <c r="O1069" s="14" t="n">
        <v>46186</v>
      </c>
      <c r="P1069" s="7" t="inlineStr">
        <is>
          <t>jobspy</t>
        </is>
      </c>
      <c r="Q1069" s="8" t="inlineStr">
        <is>
          <t>c, dsp</t>
        </is>
      </c>
      <c r="R1069" s="8" t="inlineStr">
        <is>
          <t>Graduate Signal Processing Engineer DSP</t>
        </is>
      </c>
      <c r="S1069" s="19" t="n"/>
      <c r="T1069" s="19" t="n"/>
      <c r="U1069" s="14" t="n">
        <v>46193</v>
      </c>
      <c r="V1069" s="7" t="inlineStr">
        <is>
          <t>v2-cv-accuracy-13b988b18da8ea7d</t>
        </is>
      </c>
    </row>
    <row r="1070" ht="28" customHeight="1">
      <c r="A1070" s="12">
        <f>IF($L1070="applied","Applied",IF($L1070="interview","Interview",IF($L1070="offer","Offer",IF($L1070="rejected","Rejected",IF($L1070="ignore","Ignore",IF($L1070="archive","Archive",IF($L1070="closed","Closed",IF($B1070="","Unscored",IF(AND($B1070&gt;=8,OR($H1070="",$H1070-TODAY()&lt;=14)),"P1 Apply",IF($B1070&gt;=7,"P2 Strong",IF($B1070&gt;=5,"P3 Maybe","P4 Low")))))))))))</f>
        <v/>
      </c>
      <c r="B1070" s="13" t="n">
        <v>0.75</v>
      </c>
      <c r="C1070" s="12" t="inlineStr">
        <is>
          <t>Unspecified</t>
        </is>
      </c>
      <c r="D1070" s="8" t="inlineStr">
        <is>
          <t>Applied Machine Learning Scientist</t>
        </is>
      </c>
      <c r="E1070" s="7" t="inlineStr">
        <is>
          <t>StackAdapt</t>
        </is>
      </c>
      <c r="F1070" s="8" t="inlineStr">
        <is>
          <t>London, England, UK</t>
        </is>
      </c>
      <c r="G1070" s="8" t="n"/>
      <c r="H1070" s="14" t="n"/>
      <c r="I1070" s="15">
        <f>IF($H1070="","",$H1070-TODAY())</f>
        <v/>
      </c>
      <c r="J1070" s="16" t="inlineStr">
        <is>
          <t>Open posting</t>
        </is>
      </c>
      <c r="K1070" s="8" t="inlineStr">
        <is>
          <t>filtered by keyword pre-scan</t>
        </is>
      </c>
      <c r="L1070" s="17" t="inlineStr">
        <is>
          <t>new</t>
        </is>
      </c>
      <c r="M1070" s="18" t="inlineStr"/>
      <c r="N1070" s="7" t="inlineStr">
        <is>
          <t>15763f24cdb98a5d63b6d9e28c27962c10f64c60</t>
        </is>
      </c>
      <c r="O1070" s="14" t="n">
        <v>46176</v>
      </c>
      <c r="P1070" s="7" t="inlineStr">
        <is>
          <t>jobspy</t>
        </is>
      </c>
      <c r="Q1070" s="8" t="inlineStr">
        <is>
          <t>c, dsp</t>
        </is>
      </c>
      <c r="R1070" s="8" t="inlineStr">
        <is>
          <t>Graduate Signal Processing Engineer DSP</t>
        </is>
      </c>
      <c r="S1070" s="19" t="n"/>
      <c r="T1070" s="19" t="n"/>
      <c r="U1070" s="14" t="n">
        <v>46193</v>
      </c>
      <c r="V1070" s="7" t="inlineStr">
        <is>
          <t>v2-cv-accuracy-13b988b18da8ea7d</t>
        </is>
      </c>
    </row>
    <row r="1071" ht="28" customHeight="1">
      <c r="A1071" s="12">
        <f>IF($L1071="applied","Applied",IF($L1071="interview","Interview",IF($L1071="offer","Offer",IF($L1071="rejected","Rejected",IF($L1071="ignore","Ignore",IF($L1071="archive","Archive",IF($L1071="closed","Closed",IF($B1071="","Unscored",IF(AND($B1071&gt;=8,OR($H1071="",$H1071-TODAY()&lt;=14)),"P1 Apply",IF($B1071&gt;=7,"P2 Strong",IF($B1071&gt;=5,"P3 Maybe","P4 Low")))))))))))</f>
        <v/>
      </c>
      <c r="B1071" s="13" t="n">
        <v>0.75</v>
      </c>
      <c r="C1071" s="12" t="inlineStr">
        <is>
          <t>Unspecified</t>
        </is>
      </c>
      <c r="D1071" s="8" t="inlineStr">
        <is>
          <t>Applied Machine Learning Scientist</t>
        </is>
      </c>
      <c r="E1071" s="7" t="inlineStr">
        <is>
          <t>StackAdapt</t>
        </is>
      </c>
      <c r="F1071" s="8" t="inlineStr"/>
      <c r="G1071" s="8" t="n"/>
      <c r="H1071" s="14" t="n"/>
      <c r="I1071" s="15">
        <f>IF($H1071="","",$H1071-TODAY())</f>
        <v/>
      </c>
      <c r="J1071" s="16" t="inlineStr">
        <is>
          <t>Open posting</t>
        </is>
      </c>
      <c r="K1071" s="8" t="inlineStr">
        <is>
          <t>filtered by keyword pre-scan</t>
        </is>
      </c>
      <c r="L1071" s="17" t="inlineStr">
        <is>
          <t>new</t>
        </is>
      </c>
      <c r="M1071" s="18" t="inlineStr"/>
      <c r="N1071" s="7" t="inlineStr">
        <is>
          <t>bef2efe03dc77cc25365b8db377c6b2c9d53887c</t>
        </is>
      </c>
      <c r="O1071" s="14" t="n">
        <v>46176</v>
      </c>
      <c r="P1071" s="7" t="inlineStr">
        <is>
          <t>jobspy</t>
        </is>
      </c>
      <c r="Q1071" s="8" t="inlineStr">
        <is>
          <t>c, dsp</t>
        </is>
      </c>
      <c r="R1071" s="8" t="inlineStr">
        <is>
          <t>Graduate Signal Processing Engineer DSP</t>
        </is>
      </c>
      <c r="S1071" s="19" t="n"/>
      <c r="T1071" s="19" t="n"/>
      <c r="U1071" s="14" t="n">
        <v>46193</v>
      </c>
      <c r="V1071" s="7" t="inlineStr">
        <is>
          <t>v2-cv-accuracy-13b988b18da8ea7d</t>
        </is>
      </c>
    </row>
    <row r="1072" ht="28" customHeight="1">
      <c r="A1072" s="12">
        <f>IF($L1072="applied","Applied",IF($L1072="interview","Interview",IF($L1072="offer","Offer",IF($L1072="rejected","Rejected",IF($L1072="ignore","Ignore",IF($L1072="archive","Archive",IF($L1072="closed","Closed",IF($B1072="","Unscored",IF(AND($B1072&gt;=8,OR($H1072="",$H1072-TODAY()&lt;=14)),"P1 Apply",IF($B1072&gt;=7,"P2 Strong",IF($B1072&gt;=5,"P3 Maybe","P4 Low")))))))))))</f>
        <v/>
      </c>
      <c r="B1072" s="13" t="n">
        <v>0.75</v>
      </c>
      <c r="C1072" s="12" t="inlineStr">
        <is>
          <t>Unspecified</t>
        </is>
      </c>
      <c r="D1072" s="8" t="inlineStr">
        <is>
          <t>Tools Programmer: Audio</t>
        </is>
      </c>
      <c r="E1072" s="7" t="inlineStr">
        <is>
          <t>Rockstar Games</t>
        </is>
      </c>
      <c r="F1072" s="8" t="inlineStr">
        <is>
          <t>Edinburgh, Scotland, UK</t>
        </is>
      </c>
      <c r="G1072" s="8" t="n"/>
      <c r="H1072" s="14" t="n"/>
      <c r="I1072" s="15">
        <f>IF($H1072="","",$H1072-TODAY())</f>
        <v/>
      </c>
      <c r="J1072" s="16" t="inlineStr">
        <is>
          <t>Open posting</t>
        </is>
      </c>
      <c r="K1072" s="8" t="inlineStr">
        <is>
          <t>filtered by keyword pre-scan</t>
        </is>
      </c>
      <c r="L1072" s="17" t="inlineStr">
        <is>
          <t>new</t>
        </is>
      </c>
      <c r="M1072" s="18" t="inlineStr"/>
      <c r="N1072" s="7" t="inlineStr">
        <is>
          <t>67b6a522f7b602c62370e1526ed115296e5495a8</t>
        </is>
      </c>
      <c r="O1072" s="14" t="n">
        <v>46175</v>
      </c>
      <c r="P1072" s="7" t="inlineStr">
        <is>
          <t>jobspy</t>
        </is>
      </c>
      <c r="Q1072" s="8" t="inlineStr">
        <is>
          <t>c, dsp</t>
        </is>
      </c>
      <c r="R1072" s="8" t="inlineStr">
        <is>
          <t>Graduate Signal Processing Engineer DSP</t>
        </is>
      </c>
      <c r="S1072" s="19" t="n"/>
      <c r="T1072" s="19" t="n"/>
      <c r="U1072" s="14" t="n">
        <v>46193</v>
      </c>
      <c r="V1072" s="7" t="inlineStr">
        <is>
          <t>v2-cv-accuracy-13b988b18da8ea7d</t>
        </is>
      </c>
    </row>
    <row r="1073" ht="28" customHeight="1">
      <c r="A1073" s="12">
        <f>IF($L1073="applied","Applied",IF($L1073="interview","Interview",IF($L1073="offer","Offer",IF($L1073="rejected","Rejected",IF($L1073="ignore","Ignore",IF($L1073="archive","Archive",IF($L1073="closed","Closed",IF($B1073="","Unscored",IF(AND($B1073&gt;=8,OR($H1073="",$H1073-TODAY()&lt;=14)),"P1 Apply",IF($B1073&gt;=7,"P2 Strong",IF($B1073&gt;=5,"P3 Maybe","P4 Low")))))))))))</f>
        <v/>
      </c>
      <c r="B1073" s="13" t="n">
        <v>0.75</v>
      </c>
      <c r="C1073" s="12" t="inlineStr">
        <is>
          <t>Junior</t>
        </is>
      </c>
      <c r="D1073" s="8" t="inlineStr">
        <is>
          <t>Junior Python Developer</t>
        </is>
      </c>
      <c r="E1073" s="7" t="inlineStr">
        <is>
          <t>Global</t>
        </is>
      </c>
      <c r="F1073" s="8" t="inlineStr">
        <is>
          <t>London, England, UK</t>
        </is>
      </c>
      <c r="G1073" s="8" t="n"/>
      <c r="H1073" s="14" t="n"/>
      <c r="I1073" s="15">
        <f>IF($H1073="","",$H1073-TODAY())</f>
        <v/>
      </c>
      <c r="J1073" s="16" t="inlineStr">
        <is>
          <t>Open posting</t>
        </is>
      </c>
      <c r="K1073" s="8" t="inlineStr">
        <is>
          <t>filtered by keyword pre-scan</t>
        </is>
      </c>
      <c r="L1073" s="17" t="inlineStr">
        <is>
          <t>new</t>
        </is>
      </c>
      <c r="M1073" s="18" t="inlineStr"/>
      <c r="N1073" s="7" t="inlineStr">
        <is>
          <t>ecd908c36ce8b6881b92fe4730f59d03123d90ae</t>
        </is>
      </c>
      <c r="O1073" s="14" t="n">
        <v>46192</v>
      </c>
      <c r="P1073" s="7" t="inlineStr">
        <is>
          <t>jobspy</t>
        </is>
      </c>
      <c r="Q1073" s="8" t="inlineStr">
        <is>
          <t>python, c</t>
        </is>
      </c>
      <c r="R1073" s="8" t="inlineStr">
        <is>
          <t>Graduate Software Engineer Python Docker</t>
        </is>
      </c>
      <c r="S1073" s="19" t="n"/>
      <c r="T1073" s="19" t="n"/>
      <c r="U1073" s="14" t="n">
        <v>46193</v>
      </c>
      <c r="V1073" s="7" t="inlineStr">
        <is>
          <t>v2-cv-accuracy-13b988b18da8ea7d</t>
        </is>
      </c>
    </row>
    <row r="1074" ht="28" customHeight="1">
      <c r="A1074" s="12">
        <f>IF($L1074="applied","Applied",IF($L1074="interview","Interview",IF($L1074="offer","Offer",IF($L1074="rejected","Rejected",IF($L1074="ignore","Ignore",IF($L1074="archive","Archive",IF($L1074="closed","Closed",IF($B1074="","Unscored",IF(AND($B1074&gt;=8,OR($H1074="",$H1074-TODAY()&lt;=14)),"P1 Apply",IF($B1074&gt;=7,"P2 Strong",IF($B1074&gt;=5,"P3 Maybe","P4 Low")))))))))))</f>
        <v/>
      </c>
      <c r="B1074" s="13" t="n">
        <v>0.75</v>
      </c>
      <c r="C1074" s="12" t="inlineStr">
        <is>
          <t>Senior/Lead</t>
        </is>
      </c>
      <c r="D1074" s="8" t="inlineStr">
        <is>
          <t>Research Platforms Engineer</t>
        </is>
      </c>
      <c r="E1074" s="7" t="inlineStr">
        <is>
          <t>The University of Sheffield</t>
        </is>
      </c>
      <c r="F1074" s="8" t="inlineStr">
        <is>
          <t>Sheffield, England, UK</t>
        </is>
      </c>
      <c r="G1074" s="8" t="n"/>
      <c r="H1074" s="14" t="n"/>
      <c r="I1074" s="15">
        <f>IF($H1074="","",$H1074-TODAY())</f>
        <v/>
      </c>
      <c r="J1074" s="16" t="inlineStr">
        <is>
          <t>Open posting</t>
        </is>
      </c>
      <c r="K1074" s="8" t="inlineStr">
        <is>
          <t>filtered by keyword pre-scan</t>
        </is>
      </c>
      <c r="L1074" s="17" t="inlineStr">
        <is>
          <t>new</t>
        </is>
      </c>
      <c r="M1074" s="18" t="inlineStr"/>
      <c r="N1074" s="7" t="inlineStr">
        <is>
          <t>70411ee8832c1c7e3ceb5c0076cc457e959f6a70</t>
        </is>
      </c>
      <c r="O1074" s="14" t="n">
        <v>46184</v>
      </c>
      <c r="P1074" s="7" t="inlineStr">
        <is>
          <t>jobspy</t>
        </is>
      </c>
      <c r="Q1074" s="8" t="inlineStr">
        <is>
          <t>git, c</t>
        </is>
      </c>
      <c r="R1074" s="8" t="inlineStr">
        <is>
          <t>Graduate Computer Engineer Sheffield</t>
        </is>
      </c>
      <c r="S1074" s="19" t="n"/>
      <c r="T1074" s="19" t="n"/>
      <c r="U1074" s="14" t="n">
        <v>46193</v>
      </c>
      <c r="V1074" s="7" t="inlineStr">
        <is>
          <t>v2-cv-accuracy-13b988b18da8ea7d</t>
        </is>
      </c>
    </row>
    <row r="1075" ht="28" customHeight="1">
      <c r="A1075" s="12">
        <f>IF($L1075="applied","Applied",IF($L1075="interview","Interview",IF($L1075="offer","Offer",IF($L1075="rejected","Rejected",IF($L1075="ignore","Ignore",IF($L1075="archive","Archive",IF($L1075="closed","Closed",IF($B1075="","Unscored",IF(AND($B1075&gt;=8,OR($H1075="",$H1075-TODAY()&lt;=14)),"P1 Apply",IF($B1075&gt;=7,"P2 Strong",IF($B1075&gt;=5,"P3 Maybe","P4 Low")))))))))))</f>
        <v/>
      </c>
      <c r="B1075" s="13" t="n">
        <v>0.75</v>
      </c>
      <c r="C1075" s="12" t="inlineStr">
        <is>
          <t>Junior</t>
        </is>
      </c>
      <c r="D1075" s="8" t="inlineStr">
        <is>
          <t>Junior AI Engineer</t>
        </is>
      </c>
      <c r="E1075" s="7" t="inlineStr">
        <is>
          <t>Hyra</t>
        </is>
      </c>
      <c r="F1075" s="8" t="inlineStr">
        <is>
          <t>North Yorkshire, England, UK</t>
        </is>
      </c>
      <c r="G1075" s="8" t="n"/>
      <c r="H1075" s="14" t="n"/>
      <c r="I1075" s="15">
        <f>IF($H1075="","",$H1075-TODAY())</f>
        <v/>
      </c>
      <c r="J1075" s="16" t="inlineStr">
        <is>
          <t>Open posting</t>
        </is>
      </c>
      <c r="K1075" s="8" t="inlineStr">
        <is>
          <t>filtered by keyword pre-scan</t>
        </is>
      </c>
      <c r="L1075" s="17" t="inlineStr">
        <is>
          <t>new</t>
        </is>
      </c>
      <c r="M1075" s="18" t="inlineStr"/>
      <c r="N1075" s="7" t="inlineStr">
        <is>
          <t>2eab2cd5cc990bc12b22874b5930135cfab8dc95</t>
        </is>
      </c>
      <c r="O1075" s="14" t="n"/>
      <c r="P1075" s="7" t="inlineStr">
        <is>
          <t>jobspy</t>
        </is>
      </c>
      <c r="Q1075" s="8" t="inlineStr">
        <is>
          <t>python, c</t>
        </is>
      </c>
      <c r="R1075" s="8" t="inlineStr">
        <is>
          <t>Graduate Computer Engineer Sheffield</t>
        </is>
      </c>
      <c r="S1075" s="19" t="n"/>
      <c r="T1075" s="19" t="n"/>
      <c r="U1075" s="14" t="n">
        <v>46193</v>
      </c>
      <c r="V1075" s="7" t="inlineStr">
        <is>
          <t>v2-cv-accuracy-13b988b18da8ea7d</t>
        </is>
      </c>
    </row>
    <row r="1076" ht="28" customHeight="1">
      <c r="A1076" s="12">
        <f>IF($L1076="applied","Applied",IF($L1076="interview","Interview",IF($L1076="offer","Offer",IF($L1076="rejected","Rejected",IF($L1076="ignore","Ignore",IF($L1076="archive","Archive",IF($L1076="closed","Closed",IF($B1076="","Unscored",IF(AND($B1076&gt;=8,OR($H1076="",$H1076-TODAY()&lt;=14)),"P1 Apply",IF($B1076&gt;=7,"P2 Strong",IF($B1076&gt;=5,"P3 Maybe","P4 Low")))))))))))</f>
        <v/>
      </c>
      <c r="B1076" s="13" t="n">
        <v>0.75</v>
      </c>
      <c r="C1076" s="12" t="inlineStr">
        <is>
          <t>Unspecified</t>
        </is>
      </c>
      <c r="D1076" s="8" t="inlineStr">
        <is>
          <t>Operations Engineer</t>
        </is>
      </c>
      <c r="E1076" s="7" t="inlineStr">
        <is>
          <t>Amodo Design</t>
        </is>
      </c>
      <c r="F1076" s="8" t="inlineStr">
        <is>
          <t>London, England, UK</t>
        </is>
      </c>
      <c r="G1076" s="8" t="n"/>
      <c r="H1076" s="14" t="n"/>
      <c r="I1076" s="15">
        <f>IF($H1076="","",$H1076-TODAY())</f>
        <v/>
      </c>
      <c r="J1076" s="16" t="inlineStr">
        <is>
          <t>Open posting</t>
        </is>
      </c>
      <c r="K1076" s="8" t="inlineStr">
        <is>
          <t>filtered by keyword pre-scan</t>
        </is>
      </c>
      <c r="L1076" s="17" t="inlineStr">
        <is>
          <t>new</t>
        </is>
      </c>
      <c r="M1076" s="18" t="inlineStr"/>
      <c r="N1076" s="7" t="inlineStr">
        <is>
          <t>6884a06a33a031365a7c080a3b93a34e8e114ae7</t>
        </is>
      </c>
      <c r="O1076" s="14" t="n">
        <v>46171</v>
      </c>
      <c r="P1076" s="7" t="inlineStr">
        <is>
          <t>jobspy</t>
        </is>
      </c>
      <c r="Q1076" s="8" t="inlineStr">
        <is>
          <t>fpga, c</t>
        </is>
      </c>
      <c r="R1076" s="8" t="inlineStr">
        <is>
          <t>Graduate Hardware Engineer Sheffield</t>
        </is>
      </c>
      <c r="S1076" s="19" t="n"/>
      <c r="T1076" s="19" t="n"/>
      <c r="U1076" s="14" t="n">
        <v>46192</v>
      </c>
      <c r="V1076" s="7" t="inlineStr">
        <is>
          <t>v2-cv-accuracy-13b988b18da8ea7d</t>
        </is>
      </c>
    </row>
    <row r="1077" ht="28" customHeight="1">
      <c r="A1077" s="12">
        <f>IF($L1077="applied","Applied",IF($L1077="interview","Interview",IF($L1077="offer","Offer",IF($L1077="rejected","Rejected",IF($L1077="ignore","Ignore",IF($L1077="archive","Archive",IF($L1077="closed","Closed",IF($B1077="","Unscored",IF(AND($B1077&gt;=8,OR($H1077="",$H1077-TODAY()&lt;=14)),"P1 Apply",IF($B1077&gt;=7,"P2 Strong",IF($B1077&gt;=5,"P3 Maybe","P4 Low")))))))))))</f>
        <v/>
      </c>
      <c r="B1077" s="13" t="n">
        <v>0.75</v>
      </c>
      <c r="C1077" s="12" t="inlineStr">
        <is>
          <t>Junior</t>
        </is>
      </c>
      <c r="D1077" s="8" t="inlineStr">
        <is>
          <t>Associate Software Engineer</t>
        </is>
      </c>
      <c r="E1077" s="7" t="inlineStr">
        <is>
          <t>Valorence Limited</t>
        </is>
      </c>
      <c r="F1077" s="8" t="inlineStr">
        <is>
          <t>London, ENG, GB</t>
        </is>
      </c>
      <c r="G1077" s="8" t="n"/>
      <c r="H1077" s="14" t="n"/>
      <c r="I1077" s="15">
        <f>IF($H1077="","",$H1077-TODAY())</f>
        <v/>
      </c>
      <c r="J1077" s="16" t="inlineStr">
        <is>
          <t>Open posting</t>
        </is>
      </c>
      <c r="K1077" s="8" t="inlineStr">
        <is>
          <t>filtered by keyword pre-scan</t>
        </is>
      </c>
      <c r="L1077" s="17" t="inlineStr">
        <is>
          <t>new</t>
        </is>
      </c>
      <c r="M1077" s="18" t="inlineStr"/>
      <c r="N1077" s="7" t="inlineStr">
        <is>
          <t>9863fefba611ce3d37ad5c5ab41942936f42adf5</t>
        </is>
      </c>
      <c r="O1077" s="14" t="n">
        <v>46182</v>
      </c>
      <c r="P1077" s="7" t="inlineStr">
        <is>
          <t>jobspy</t>
        </is>
      </c>
      <c r="Q1077" s="8" t="inlineStr">
        <is>
          <t>python, c</t>
        </is>
      </c>
      <c r="R1077" s="8" t="inlineStr">
        <is>
          <t>Graduate Systems Engineer embedded hardware software</t>
        </is>
      </c>
      <c r="S1077" s="19" t="n"/>
      <c r="T1077" s="19" t="n"/>
      <c r="U1077" s="14" t="n">
        <v>46192</v>
      </c>
      <c r="V1077" s="7" t="inlineStr">
        <is>
          <t>v2-cv-accuracy-13b988b18da8ea7d</t>
        </is>
      </c>
    </row>
    <row r="1078" ht="28" customHeight="1">
      <c r="A1078" s="12">
        <f>IF($L1078="applied","Applied",IF($L1078="interview","Interview",IF($L1078="offer","Offer",IF($L1078="rejected","Rejected",IF($L1078="ignore","Ignore",IF($L1078="archive","Archive",IF($L1078="closed","Closed",IF($B1078="","Unscored",IF(AND($B1078&gt;=8,OR($H1078="",$H1078-TODAY()&lt;=14)),"P1 Apply",IF($B1078&gt;=7,"P2 Strong",IF($B1078&gt;=5,"P3 Maybe","P4 Low")))))))))))</f>
        <v/>
      </c>
      <c r="B1078" s="13" t="n">
        <v>0.75</v>
      </c>
      <c r="C1078" s="12" t="inlineStr">
        <is>
          <t>Junior</t>
        </is>
      </c>
      <c r="D1078" s="8" t="inlineStr">
        <is>
          <t>Associate Software Engineer - Data Intelligence</t>
        </is>
      </c>
      <c r="E1078" s="7" t="inlineStr">
        <is>
          <t>Flex Employee Services</t>
        </is>
      </c>
      <c r="F1078" s="8" t="inlineStr">
        <is>
          <t>Edinburgh, Scotland, UK</t>
        </is>
      </c>
      <c r="G1078" s="8" t="n"/>
      <c r="H1078" s="14" t="n"/>
      <c r="I1078" s="15">
        <f>IF($H1078="","",$H1078-TODAY())</f>
        <v/>
      </c>
      <c r="J1078" s="16" t="inlineStr">
        <is>
          <t>Open posting</t>
        </is>
      </c>
      <c r="K1078" s="8" t="inlineStr">
        <is>
          <t>filtered by keyword pre-scan</t>
        </is>
      </c>
      <c r="L1078" s="17" t="inlineStr">
        <is>
          <t>new</t>
        </is>
      </c>
      <c r="M1078" s="18" t="inlineStr"/>
      <c r="N1078" s="7" t="inlineStr">
        <is>
          <t>d79eeb6f1f2b1bbc2cda24d9a6efe8d6257eb781</t>
        </is>
      </c>
      <c r="O1078" s="14" t="n">
        <v>46190</v>
      </c>
      <c r="P1078" s="7" t="inlineStr">
        <is>
          <t>jobspy</t>
        </is>
      </c>
      <c r="Q1078" s="8" t="inlineStr">
        <is>
          <t>python, c</t>
        </is>
      </c>
      <c r="R1078" s="8" t="inlineStr">
        <is>
          <t>Graduate Data Engineer SQL Python pipeline</t>
        </is>
      </c>
      <c r="S1078" s="19" t="n"/>
      <c r="T1078" s="19" t="n"/>
      <c r="U1078" s="14" t="n">
        <v>46192</v>
      </c>
      <c r="V1078" s="7" t="inlineStr">
        <is>
          <t>v2-cv-accuracy-13b988b18da8ea7d</t>
        </is>
      </c>
    </row>
    <row r="1079" ht="28" customHeight="1">
      <c r="A1079" s="12">
        <f>IF($L1079="applied","Applied",IF($L1079="interview","Interview",IF($L1079="offer","Offer",IF($L1079="rejected","Rejected",IF($L1079="ignore","Ignore",IF($L1079="archive","Archive",IF($L1079="closed","Closed",IF($B1079="","Unscored",IF(AND($B1079&gt;=8,OR($H1079="",$H1079-TODAY()&lt;=14)),"P1 Apply",IF($B1079&gt;=7,"P2 Strong",IF($B1079&gt;=5,"P3 Maybe","P4 Low")))))))))))</f>
        <v/>
      </c>
      <c r="B1079" s="13" t="n">
        <v>0.75</v>
      </c>
      <c r="C1079" s="12" t="inlineStr">
        <is>
          <t>Senior/Lead</t>
        </is>
      </c>
      <c r="D1079" s="8" t="inlineStr">
        <is>
          <t>Systems Engineer</t>
        </is>
      </c>
      <c r="E1079" s="7" t="inlineStr">
        <is>
          <t>Airbus Defence and Space</t>
        </is>
      </c>
      <c r="F1079" s="8" t="inlineStr">
        <is>
          <t>Portsmouth, England, UK</t>
        </is>
      </c>
      <c r="G1079" s="8" t="n"/>
      <c r="H1079" s="14" t="n"/>
      <c r="I1079" s="15">
        <f>IF($H1079="","",$H1079-TODAY())</f>
        <v/>
      </c>
      <c r="J1079" s="16" t="inlineStr">
        <is>
          <t>Open posting</t>
        </is>
      </c>
      <c r="K1079" s="8" t="inlineStr">
        <is>
          <t>filtered by keyword pre-scan</t>
        </is>
      </c>
      <c r="L1079" s="17" t="inlineStr">
        <is>
          <t>new</t>
        </is>
      </c>
      <c r="M1079" s="18" t="inlineStr"/>
      <c r="N1079" s="7" t="inlineStr">
        <is>
          <t>eda68f125b16f50460ce98b01e75ce50600324a0</t>
        </is>
      </c>
      <c r="O1079" s="14" t="n">
        <v>46189</v>
      </c>
      <c r="P1079" s="7" t="inlineStr">
        <is>
          <t>jobspy</t>
        </is>
      </c>
      <c r="Q1079" s="8" t="inlineStr">
        <is>
          <t>git, c</t>
        </is>
      </c>
      <c r="R1079" s="8" t="inlineStr">
        <is>
          <t>Graduate Systems Engineer hardware software</t>
        </is>
      </c>
      <c r="S1079" s="19" t="n"/>
      <c r="T1079" s="19" t="n"/>
      <c r="U1079" s="14" t="n">
        <v>46192</v>
      </c>
      <c r="V1079" s="7" t="inlineStr">
        <is>
          <t>v2-cv-accuracy-13b988b18da8ea7d</t>
        </is>
      </c>
    </row>
    <row r="1080" ht="28" customHeight="1">
      <c r="A1080" s="12">
        <f>IF($L1080="applied","Applied",IF($L1080="interview","Interview",IF($L1080="offer","Offer",IF($L1080="rejected","Rejected",IF($L1080="ignore","Ignore",IF($L1080="archive","Archive",IF($L1080="closed","Closed",IF($B1080="","Unscored",IF(AND($B1080&gt;=8,OR($H1080="",$H1080-TODAY()&lt;=14)),"P1 Apply",IF($B1080&gt;=7,"P2 Strong",IF($B1080&gt;=5,"P3 Maybe","P4 Low")))))))))))</f>
        <v/>
      </c>
      <c r="B1080" s="13" t="n">
        <v>0.75</v>
      </c>
      <c r="C1080" s="12" t="inlineStr">
        <is>
          <t>Junior</t>
        </is>
      </c>
      <c r="D1080" s="8" t="inlineStr">
        <is>
          <t>Software Engineer - Core Technology</t>
        </is>
      </c>
      <c r="E1080" s="7" t="inlineStr">
        <is>
          <t>AI Security Institute</t>
        </is>
      </c>
      <c r="F1080" s="8" t="inlineStr">
        <is>
          <t>London, England, UK</t>
        </is>
      </c>
      <c r="G1080" s="8" t="n"/>
      <c r="H1080" s="14" t="n"/>
      <c r="I1080" s="15">
        <f>IF($H1080="","",$H1080-TODAY())</f>
        <v/>
      </c>
      <c r="J1080" s="16" t="inlineStr">
        <is>
          <t>Open posting</t>
        </is>
      </c>
      <c r="K1080" s="8" t="inlineStr">
        <is>
          <t>filtered by keyword pre-scan</t>
        </is>
      </c>
      <c r="L1080" s="17" t="inlineStr">
        <is>
          <t>new</t>
        </is>
      </c>
      <c r="M1080" s="18" t="inlineStr"/>
      <c r="N1080" s="7" t="inlineStr">
        <is>
          <t>21f7abec9c0584ee19854a8d7184a90e7146efd7</t>
        </is>
      </c>
      <c r="O1080" s="14" t="n">
        <v>46185</v>
      </c>
      <c r="P1080" s="7" t="inlineStr">
        <is>
          <t>jobspy</t>
        </is>
      </c>
      <c r="Q1080" s="8" t="inlineStr">
        <is>
          <t>python, c</t>
        </is>
      </c>
      <c r="R1080" s="8" t="inlineStr">
        <is>
          <t>Junior Python Developer Docker Kubernetes Sheffield</t>
        </is>
      </c>
      <c r="S1080" s="19" t="n"/>
      <c r="T1080" s="19" t="n"/>
      <c r="U1080" s="14" t="n">
        <v>46192</v>
      </c>
      <c r="V1080" s="7" t="inlineStr">
        <is>
          <t>v2-cv-accuracy-13b988b18da8ea7d</t>
        </is>
      </c>
    </row>
    <row r="1081" ht="28" customHeight="1">
      <c r="A1081" s="12">
        <f>IF($L1081="applied","Applied",IF($L1081="interview","Interview",IF($L1081="offer","Offer",IF($L1081="rejected","Rejected",IF($L1081="ignore","Ignore",IF($L1081="archive","Archive",IF($L1081="closed","Closed",IF($B1081="","Unscored",IF(AND($B1081&gt;=8,OR($H1081="",$H1081-TODAY()&lt;=14)),"P1 Apply",IF($B1081&gt;=7,"P2 Strong",IF($B1081&gt;=5,"P3 Maybe","P4 Low")))))))))))</f>
        <v/>
      </c>
      <c r="B1081" s="13" t="n">
        <v>0.75</v>
      </c>
      <c r="C1081" s="12" t="inlineStr">
        <is>
          <t>Senior/Lead</t>
        </is>
      </c>
      <c r="D1081" s="8" t="inlineStr">
        <is>
          <t>Controls Test Engineer</t>
        </is>
      </c>
      <c r="E1081" s="7" t="inlineStr">
        <is>
          <t>Siemens Energy</t>
        </is>
      </c>
      <c r="F1081" s="8" t="inlineStr">
        <is>
          <t>Lincoln, England, UK</t>
        </is>
      </c>
      <c r="G1081" s="8" t="n"/>
      <c r="H1081" s="14" t="n"/>
      <c r="I1081" s="15">
        <f>IF($H1081="","",$H1081-TODAY())</f>
        <v/>
      </c>
      <c r="J1081" s="16" t="inlineStr">
        <is>
          <t>Open posting</t>
        </is>
      </c>
      <c r="K1081" s="8" t="inlineStr">
        <is>
          <t>filtered by keyword pre-scan</t>
        </is>
      </c>
      <c r="L1081" s="17" t="inlineStr">
        <is>
          <t>new</t>
        </is>
      </c>
      <c r="M1081" s="18" t="inlineStr"/>
      <c r="N1081" s="7" t="inlineStr">
        <is>
          <t>a9a1e9d5a0ae7c253e06723216e7b91b2e294fcf</t>
        </is>
      </c>
      <c r="O1081" s="14" t="n">
        <v>46186</v>
      </c>
      <c r="P1081" s="7" t="inlineStr">
        <is>
          <t>jobspy</t>
        </is>
      </c>
      <c r="Q1081" s="8" t="inlineStr">
        <is>
          <t>git, c</t>
        </is>
      </c>
      <c r="R1081" s="8" t="inlineStr">
        <is>
          <t>Graduate Electronics Engineer Sheffield</t>
        </is>
      </c>
      <c r="S1081" s="19" t="n"/>
      <c r="T1081" s="19" t="n"/>
      <c r="U1081" s="14" t="n">
        <v>46192</v>
      </c>
      <c r="V1081" s="7" t="inlineStr">
        <is>
          <t>v2-cv-accuracy-13b988b18da8ea7d</t>
        </is>
      </c>
    </row>
    <row r="1082" ht="28" customHeight="1">
      <c r="A1082" s="12">
        <f>IF($L1082="applied","Applied",IF($L1082="interview","Interview",IF($L1082="offer","Offer",IF($L1082="rejected","Rejected",IF($L1082="ignore","Ignore",IF($L1082="archive","Archive",IF($L1082="closed","Closed",IF($B1082="","Unscored",IF(AND($B1082&gt;=8,OR($H1082="",$H1082-TODAY()&lt;=14)),"P1 Apply",IF($B1082&gt;=7,"P2 Strong",IF($B1082&gt;=5,"P3 Maybe","P4 Low")))))))))))</f>
        <v/>
      </c>
      <c r="B1082" s="13" t="n">
        <v>0.75</v>
      </c>
      <c r="C1082" s="12" t="inlineStr">
        <is>
          <t>Junior</t>
        </is>
      </c>
      <c r="D1082" s="8" t="inlineStr">
        <is>
          <t>Test Development Engineer</t>
        </is>
      </c>
      <c r="E1082" s="7" t="inlineStr">
        <is>
          <t>Premier Group</t>
        </is>
      </c>
      <c r="F1082" s="8" t="inlineStr">
        <is>
          <t>Isle Of Wight, England, UK</t>
        </is>
      </c>
      <c r="G1082" s="8" t="n"/>
      <c r="H1082" s="14" t="n"/>
      <c r="I1082" s="15">
        <f>IF($H1082="","",$H1082-TODAY())</f>
        <v/>
      </c>
      <c r="J1082" s="16" t="inlineStr">
        <is>
          <t>Open posting</t>
        </is>
      </c>
      <c r="K1082" s="8" t="inlineStr">
        <is>
          <t>filtered by keyword pre-scan</t>
        </is>
      </c>
      <c r="L1082" s="17" t="inlineStr">
        <is>
          <t>new</t>
        </is>
      </c>
      <c r="M1082" s="18" t="inlineStr"/>
      <c r="N1082" s="7" t="inlineStr">
        <is>
          <t>ce51c67d2e26b5a952b635122cf573918854eba3</t>
        </is>
      </c>
      <c r="O1082" s="14" t="n">
        <v>46177</v>
      </c>
      <c r="P1082" s="7" t="inlineStr">
        <is>
          <t>jobspy</t>
        </is>
      </c>
      <c r="Q1082" s="8" t="inlineStr">
        <is>
          <t>python, c</t>
        </is>
      </c>
      <c r="R1082" s="8" t="inlineStr">
        <is>
          <t>Graduate Electronics Engineer Sheffield</t>
        </is>
      </c>
      <c r="S1082" s="19" t="n"/>
      <c r="T1082" s="19" t="n"/>
      <c r="U1082" s="14" t="n">
        <v>46192</v>
      </c>
      <c r="V1082" s="7" t="inlineStr">
        <is>
          <t>v2-cv-accuracy-13b988b18da8ea7d</t>
        </is>
      </c>
    </row>
    <row r="1083" ht="28" customHeight="1">
      <c r="A1083" s="12">
        <f>IF($L1083="applied","Applied",IF($L1083="interview","Interview",IF($L1083="offer","Offer",IF($L1083="rejected","Rejected",IF($L1083="ignore","Ignore",IF($L1083="archive","Archive",IF($L1083="closed","Closed",IF($B1083="","Unscored",IF(AND($B1083&gt;=8,OR($H1083="",$H1083-TODAY()&lt;=14)),"P1 Apply",IF($B1083&gt;=7,"P2 Strong",IF($B1083&gt;=5,"P3 Maybe","P4 Low")))))))))))</f>
        <v/>
      </c>
      <c r="B1083" s="13" t="n">
        <v>0.75</v>
      </c>
      <c r="C1083" s="12" t="inlineStr">
        <is>
          <t>Unspecified</t>
        </is>
      </c>
      <c r="D1083" s="8" t="inlineStr">
        <is>
          <t>Software Engineer, Scale</t>
        </is>
      </c>
      <c r="E1083" s="7" t="inlineStr">
        <is>
          <t>Airwallex</t>
        </is>
      </c>
      <c r="F1083" s="8" t="inlineStr">
        <is>
          <t>London, England, UK</t>
        </is>
      </c>
      <c r="G1083" s="8" t="n"/>
      <c r="H1083" s="14" t="n"/>
      <c r="I1083" s="15">
        <f>IF($H1083="","",$H1083-TODAY())</f>
        <v/>
      </c>
      <c r="J1083" s="16" t="inlineStr">
        <is>
          <t>Open posting</t>
        </is>
      </c>
      <c r="K1083" s="8" t="inlineStr">
        <is>
          <t>filtered by keyword pre-scan</t>
        </is>
      </c>
      <c r="L1083" s="17" t="inlineStr">
        <is>
          <t>new</t>
        </is>
      </c>
      <c r="M1083" s="18" t="inlineStr"/>
      <c r="N1083" s="7" t="inlineStr">
        <is>
          <t>2f959784648c695efe455776ddaa871ee7931c3c</t>
        </is>
      </c>
      <c r="O1083" s="14" t="n">
        <v>46191</v>
      </c>
      <c r="P1083" s="7" t="inlineStr">
        <is>
          <t>jobspy</t>
        </is>
      </c>
      <c r="Q1083" s="8" t="inlineStr">
        <is>
          <t>sql, c</t>
        </is>
      </c>
      <c r="R1083" s="8" t="inlineStr">
        <is>
          <t>Graduate Backend Developer Docker Kubernetes</t>
        </is>
      </c>
      <c r="S1083" s="19" t="n"/>
      <c r="T1083" s="19" t="n"/>
      <c r="U1083" s="14" t="n">
        <v>46192</v>
      </c>
      <c r="V1083" s="7" t="inlineStr">
        <is>
          <t>v2-cv-accuracy-13b988b18da8ea7d</t>
        </is>
      </c>
    </row>
    <row r="1084" ht="28" customHeight="1">
      <c r="A1084" s="12">
        <f>IF($L1084="applied","Applied",IF($L1084="interview","Interview",IF($L1084="offer","Offer",IF($L1084="rejected","Rejected",IF($L1084="ignore","Ignore",IF($L1084="archive","Archive",IF($L1084="closed","Closed",IF($B1084="","Unscored",IF(AND($B1084&gt;=8,OR($H1084="",$H1084-TODAY()&lt;=14)),"P1 Apply",IF($B1084&gt;=7,"P2 Strong",IF($B1084&gt;=5,"P3 Maybe","P4 Low")))))))))))</f>
        <v/>
      </c>
      <c r="B1084" s="13" t="n">
        <v>0.75</v>
      </c>
      <c r="C1084" s="12" t="inlineStr">
        <is>
          <t>Unspecified</t>
        </is>
      </c>
      <c r="D1084" s="8" t="inlineStr">
        <is>
          <t>Data Pipeline Engineer</t>
        </is>
      </c>
      <c r="E1084" s="7" t="inlineStr">
        <is>
          <t>Hexegic</t>
        </is>
      </c>
      <c r="F1084" s="8" t="inlineStr">
        <is>
          <t>London Area, United Kingdom</t>
        </is>
      </c>
      <c r="G1084" s="8" t="n"/>
      <c r="H1084" s="14" t="n"/>
      <c r="I1084" s="15">
        <f>IF($H1084="","",$H1084-TODAY())</f>
        <v/>
      </c>
      <c r="J1084" s="16" t="inlineStr">
        <is>
          <t>Open posting</t>
        </is>
      </c>
      <c r="K1084" s="8" t="inlineStr">
        <is>
          <t>filtered by keyword pre-scan</t>
        </is>
      </c>
      <c r="L1084" s="17" t="inlineStr">
        <is>
          <t>new</t>
        </is>
      </c>
      <c r="M1084" s="18" t="inlineStr"/>
      <c r="N1084" s="7" t="inlineStr">
        <is>
          <t>23c3b15f51af1b160d648a2e748db604f3dd4850</t>
        </is>
      </c>
      <c r="O1084" s="14" t="n"/>
      <c r="P1084" s="7" t="inlineStr">
        <is>
          <t>jobspy</t>
        </is>
      </c>
      <c r="Q1084" s="8" t="inlineStr">
        <is>
          <t>python, c</t>
        </is>
      </c>
      <c r="R1084" s="8" t="inlineStr">
        <is>
          <t>Graduate Data Engineer SQL Python pipeline</t>
        </is>
      </c>
      <c r="S1084" s="19" t="n"/>
      <c r="T1084" s="19" t="n"/>
      <c r="U1084" s="14" t="n">
        <v>46192</v>
      </c>
      <c r="V1084" s="7" t="inlineStr">
        <is>
          <t>v2-cv-accuracy-13b988b18da8ea7d</t>
        </is>
      </c>
    </row>
    <row r="1085" ht="28" customHeight="1">
      <c r="A1085" s="12">
        <f>IF($L1085="applied","Applied",IF($L1085="interview","Interview",IF($L1085="offer","Offer",IF($L1085="rejected","Rejected",IF($L1085="ignore","Ignore",IF($L1085="archive","Archive",IF($L1085="closed","Closed",IF($B1085="","Unscored",IF(AND($B1085&gt;=8,OR($H1085="",$H1085-TODAY()&lt;=14)),"P1 Apply",IF($B1085&gt;=7,"P2 Strong",IF($B1085&gt;=5,"P3 Maybe","P4 Low")))))))))))</f>
        <v/>
      </c>
      <c r="B1085" s="13" t="n">
        <v>0.65</v>
      </c>
      <c r="C1085" s="12" t="inlineStr">
        <is>
          <t>Unspecified</t>
        </is>
      </c>
      <c r="D1085" s="8" t="inlineStr">
        <is>
          <t>Full Stack Engineer - Audiobooks</t>
        </is>
      </c>
      <c r="E1085" s="7" t="inlineStr">
        <is>
          <t>Spotify</t>
        </is>
      </c>
      <c r="F1085" s="8" t="inlineStr">
        <is>
          <t>London, England, UK</t>
        </is>
      </c>
      <c r="G1085" s="8" t="n"/>
      <c r="H1085" s="14" t="n"/>
      <c r="I1085" s="15">
        <f>IF($H1085="","",$H1085-TODAY())</f>
        <v/>
      </c>
      <c r="J1085" s="16" t="inlineStr">
        <is>
          <t>Open posting</t>
        </is>
      </c>
      <c r="K1085" s="8" t="inlineStr">
        <is>
          <t>filtered by keyword pre-scan</t>
        </is>
      </c>
      <c r="L1085" s="17" t="inlineStr">
        <is>
          <t>new</t>
        </is>
      </c>
      <c r="M1085" s="18" t="inlineStr"/>
      <c r="N1085" s="7" t="inlineStr">
        <is>
          <t>167dc8ac1a36be8d2733db359725cd698e5288b9</t>
        </is>
      </c>
      <c r="O1085" s="14" t="n">
        <v>46176</v>
      </c>
      <c r="P1085" s="7" t="inlineStr">
        <is>
          <t>jobspy</t>
        </is>
      </c>
      <c r="Q1085" s="8" t="inlineStr">
        <is>
          <t>c</t>
        </is>
      </c>
      <c r="R1085" s="8" t="inlineStr">
        <is>
          <t>Junior Full Stack Developer JavaScript Node.js Python</t>
        </is>
      </c>
      <c r="S1085" s="19" t="n"/>
      <c r="T1085" s="19" t="n"/>
      <c r="U1085" s="14" t="n">
        <v>46193</v>
      </c>
      <c r="V1085" s="7" t="inlineStr">
        <is>
          <t>v2-cv-accuracy-13b988b18da8ea7d</t>
        </is>
      </c>
    </row>
    <row r="1086" ht="28" customHeight="1">
      <c r="A1086" s="12">
        <f>IF($L1086="applied","Applied",IF($L1086="interview","Interview",IF($L1086="offer","Offer",IF($L1086="rejected","Rejected",IF($L1086="ignore","Ignore",IF($L1086="archive","Archive",IF($L1086="closed","Closed",IF($B1086="","Unscored",IF(AND($B1086&gt;=8,OR($H1086="",$H1086-TODAY()&lt;=14)),"P1 Apply",IF($B1086&gt;=7,"P2 Strong",IF($B1086&gt;=5,"P3 Maybe","P4 Low")))))))))))</f>
        <v/>
      </c>
      <c r="B1086" s="13" t="n">
        <v>0.65</v>
      </c>
      <c r="C1086" s="12" t="inlineStr">
        <is>
          <t>Unspecified</t>
        </is>
      </c>
      <c r="D1086" s="8" t="inlineStr">
        <is>
          <t>Embedded Software Developer</t>
        </is>
      </c>
      <c r="E1086" s="7" t="inlineStr">
        <is>
          <t>A-SAFE UK</t>
        </is>
      </c>
      <c r="F1086" s="8" t="inlineStr">
        <is>
          <t>Elland, England, UK</t>
        </is>
      </c>
      <c r="G1086" s="8" t="n"/>
      <c r="H1086" s="14" t="n"/>
      <c r="I1086" s="15">
        <f>IF($H1086="","",$H1086-TODAY())</f>
        <v/>
      </c>
      <c r="J1086" s="16" t="inlineStr">
        <is>
          <t>Open posting</t>
        </is>
      </c>
      <c r="K1086" s="8" t="inlineStr">
        <is>
          <t>filtered by keyword pre-scan</t>
        </is>
      </c>
      <c r="L1086" s="17" t="inlineStr">
        <is>
          <t>new</t>
        </is>
      </c>
      <c r="M1086" s="18" t="inlineStr"/>
      <c r="N1086" s="7" t="inlineStr">
        <is>
          <t>9fcc8a97ef5bfd81e8f87a6be8d64ee4f8ba6353</t>
        </is>
      </c>
      <c r="O1086" s="14" t="n">
        <v>46174</v>
      </c>
      <c r="P1086" s="7" t="inlineStr">
        <is>
          <t>jobspy</t>
        </is>
      </c>
      <c r="Q1086" s="8" t="inlineStr">
        <is>
          <t>c</t>
        </is>
      </c>
      <c r="R1086" s="8" t="inlineStr">
        <is>
          <t>Embedded Systems Graduate Engineer IoT</t>
        </is>
      </c>
      <c r="S1086" s="19" t="n"/>
      <c r="T1086" s="19" t="n"/>
      <c r="U1086" s="14" t="n">
        <v>46193</v>
      </c>
      <c r="V1086" s="7" t="inlineStr">
        <is>
          <t>v2-cv-accuracy-13b988b18da8ea7d</t>
        </is>
      </c>
    </row>
    <row r="1087" ht="28" customHeight="1">
      <c r="A1087" s="12">
        <f>IF($L1087="applied","Applied",IF($L1087="interview","Interview",IF($L1087="offer","Offer",IF($L1087="rejected","Rejected",IF($L1087="ignore","Ignore",IF($L1087="archive","Archive",IF($L1087="closed","Closed",IF($B1087="","Unscored",IF(AND($B1087&gt;=8,OR($H1087="",$H1087-TODAY()&lt;=14)),"P1 Apply",IF($B1087&gt;=7,"P2 Strong",IF($B1087&gt;=5,"P3 Maybe","P4 Low")))))))))))</f>
        <v/>
      </c>
      <c r="B1087" s="13" t="n">
        <v>0.65</v>
      </c>
      <c r="C1087" s="12" t="inlineStr">
        <is>
          <t>Unspecified</t>
        </is>
      </c>
      <c r="D1087" s="8" t="inlineStr">
        <is>
          <t>Embedded Software Engineer</t>
        </is>
      </c>
      <c r="E1087" s="7" t="inlineStr">
        <is>
          <t>Dunbar Brown Group</t>
        </is>
      </c>
      <c r="F1087" s="8" t="inlineStr">
        <is>
          <t>Edinburgh, Scotland, UK</t>
        </is>
      </c>
      <c r="G1087" s="8" t="n"/>
      <c r="H1087" s="14" t="n"/>
      <c r="I1087" s="15">
        <f>IF($H1087="","",$H1087-TODAY())</f>
        <v/>
      </c>
      <c r="J1087" s="16" t="inlineStr">
        <is>
          <t>Open posting</t>
        </is>
      </c>
      <c r="K1087" s="8" t="inlineStr">
        <is>
          <t>filtered by keyword pre-scan</t>
        </is>
      </c>
      <c r="L1087" s="17" t="inlineStr">
        <is>
          <t>new</t>
        </is>
      </c>
      <c r="M1087" s="18" t="inlineStr"/>
      <c r="N1087" s="7" t="inlineStr">
        <is>
          <t>ad2751e4a2544b8b7d637eb410ac91b182959241</t>
        </is>
      </c>
      <c r="O1087" s="14" t="n">
        <v>46175</v>
      </c>
      <c r="P1087" s="7" t="inlineStr">
        <is>
          <t>jobspy</t>
        </is>
      </c>
      <c r="Q1087" s="8" t="inlineStr">
        <is>
          <t>c</t>
        </is>
      </c>
      <c r="R1087" s="8" t="inlineStr">
        <is>
          <t>Junior Embedded Software Engineer STM32</t>
        </is>
      </c>
      <c r="S1087" s="19" t="n"/>
      <c r="T1087" s="19" t="n"/>
      <c r="U1087" s="14" t="n">
        <v>46193</v>
      </c>
      <c r="V1087" s="7" t="inlineStr">
        <is>
          <t>v2-cv-accuracy-13b988b18da8ea7d</t>
        </is>
      </c>
    </row>
    <row r="1088" ht="28" customHeight="1">
      <c r="A1088" s="12">
        <f>IF($L1088="applied","Applied",IF($L1088="interview","Interview",IF($L1088="offer","Offer",IF($L1088="rejected","Rejected",IF($L1088="ignore","Ignore",IF($L1088="archive","Archive",IF($L1088="closed","Closed",IF($B1088="","Unscored",IF(AND($B1088&gt;=8,OR($H1088="",$H1088-TODAY()&lt;=14)),"P1 Apply",IF($B1088&gt;=7,"P2 Strong",IF($B1088&gt;=5,"P3 Maybe","P4 Low")))))))))))</f>
        <v/>
      </c>
      <c r="B1088" s="13" t="n">
        <v>0.65</v>
      </c>
      <c r="C1088" s="12" t="inlineStr">
        <is>
          <t>Unspecified</t>
        </is>
      </c>
      <c r="D1088" s="8" t="inlineStr">
        <is>
          <t>Python Developer</t>
        </is>
      </c>
      <c r="E1088" s="7" t="inlineStr">
        <is>
          <t>Venture Up</t>
        </is>
      </c>
      <c r="F1088" s="8" t="inlineStr">
        <is>
          <t>London Area, United Kingdom</t>
        </is>
      </c>
      <c r="G1088" s="8" t="n"/>
      <c r="H1088" s="14" t="n"/>
      <c r="I1088" s="15">
        <f>IF($H1088="","",$H1088-TODAY())</f>
        <v/>
      </c>
      <c r="J1088" s="16" t="inlineStr">
        <is>
          <t>Open posting</t>
        </is>
      </c>
      <c r="K1088" s="8" t="inlineStr">
        <is>
          <t>filtered by keyword pre-scan</t>
        </is>
      </c>
      <c r="L1088" s="17" t="inlineStr">
        <is>
          <t>new</t>
        </is>
      </c>
      <c r="M1088" s="18" t="inlineStr"/>
      <c r="N1088" s="7" t="inlineStr">
        <is>
          <t>c2aa674e93a9d6925047926004278d6d6ea8d5ba</t>
        </is>
      </c>
      <c r="O1088" s="14" t="n">
        <v>46192</v>
      </c>
      <c r="P1088" s="7" t="inlineStr">
        <is>
          <t>jobspy</t>
        </is>
      </c>
      <c r="Q1088" s="8" t="inlineStr">
        <is>
          <t>python, c</t>
        </is>
      </c>
      <c r="R1088" s="8" t="inlineStr">
        <is>
          <t>Graduate Backend Developer Python SQL</t>
        </is>
      </c>
      <c r="S1088" s="19" t="n"/>
      <c r="T1088" s="19" t="n"/>
      <c r="U1088" s="14" t="n">
        <v>46193</v>
      </c>
      <c r="V1088" s="7" t="inlineStr">
        <is>
          <t>v2-cv-accuracy-13b988b18da8ea7d</t>
        </is>
      </c>
    </row>
    <row r="1089" ht="28" customHeight="1">
      <c r="A1089" s="12">
        <f>IF($L1089="applied","Applied",IF($L1089="interview","Interview",IF($L1089="offer","Offer",IF($L1089="rejected","Rejected",IF($L1089="ignore","Ignore",IF($L1089="archive","Archive",IF($L1089="closed","Closed",IF($B1089="","Unscored",IF(AND($B1089&gt;=8,OR($H1089="",$H1089-TODAY()&lt;=14)),"P1 Apply",IF($B1089&gt;=7,"P2 Strong",IF($B1089&gt;=5,"P3 Maybe","P4 Low")))))))))))</f>
        <v/>
      </c>
      <c r="B1089" s="13" t="n">
        <v>0.65</v>
      </c>
      <c r="C1089" s="12" t="inlineStr">
        <is>
          <t>Unspecified</t>
        </is>
      </c>
      <c r="D1089" s="8" t="inlineStr">
        <is>
          <t>Data Engineer</t>
        </is>
      </c>
      <c r="E1089" s="7" t="inlineStr">
        <is>
          <t>Hexegic</t>
        </is>
      </c>
      <c r="F1089" s="8" t="inlineStr">
        <is>
          <t>Dorset, England, UK</t>
        </is>
      </c>
      <c r="G1089" s="8" t="n"/>
      <c r="H1089" s="14" t="n"/>
      <c r="I1089" s="15">
        <f>IF($H1089="","",$H1089-TODAY())</f>
        <v/>
      </c>
      <c r="J1089" s="16" t="inlineStr">
        <is>
          <t>Open posting</t>
        </is>
      </c>
      <c r="K1089" s="8" t="inlineStr">
        <is>
          <t>filtered by keyword pre-scan</t>
        </is>
      </c>
      <c r="L1089" s="17" t="inlineStr">
        <is>
          <t>new</t>
        </is>
      </c>
      <c r="M1089" s="18" t="inlineStr"/>
      <c r="N1089" s="7" t="inlineStr">
        <is>
          <t>ca530975536b32b9e3fde47b4483689a051103d8</t>
        </is>
      </c>
      <c r="O1089" s="14" t="n">
        <v>46176</v>
      </c>
      <c r="P1089" s="7" t="inlineStr">
        <is>
          <t>jobspy</t>
        </is>
      </c>
      <c r="Q1089" s="8" t="inlineStr">
        <is>
          <t>python, c</t>
        </is>
      </c>
      <c r="R1089" s="8" t="inlineStr">
        <is>
          <t>Graduate Data Engineer SQL Python pipeline</t>
        </is>
      </c>
      <c r="S1089" s="19" t="n"/>
      <c r="T1089" s="19" t="n"/>
      <c r="U1089" s="14" t="n">
        <v>46192</v>
      </c>
      <c r="V1089" s="7" t="inlineStr">
        <is>
          <t>v2-cv-accuracy-13b988b18da8ea7d</t>
        </is>
      </c>
    </row>
    <row r="1090" ht="28" customHeight="1">
      <c r="A1090" s="12">
        <f>IF($L1090="applied","Applied",IF($L1090="interview","Interview",IF($L1090="offer","Offer",IF($L1090="rejected","Rejected",IF($L1090="ignore","Ignore",IF($L1090="archive","Archive",IF($L1090="closed","Closed",IF($B1090="","Unscored",IF(AND($B1090&gt;=8,OR($H1090="",$H1090-TODAY()&lt;=14)),"P1 Apply",IF($B1090&gt;=7,"P2 Strong",IF($B1090&gt;=5,"P3 Maybe","P4 Low")))))))))))</f>
        <v/>
      </c>
      <c r="B1090" s="13" t="n">
        <v>0.65</v>
      </c>
      <c r="C1090" s="12" t="inlineStr">
        <is>
          <t>Junior</t>
        </is>
      </c>
      <c r="D1090" s="8" t="inlineStr">
        <is>
          <t>Junior IoT Systems Engineer</t>
        </is>
      </c>
      <c r="E1090" s="7" t="inlineStr">
        <is>
          <t>Inspiring Interns &amp; Graduates</t>
        </is>
      </c>
      <c r="F1090" s="8" t="inlineStr">
        <is>
          <t>Leigh, England, UK</t>
        </is>
      </c>
      <c r="G1090" s="8" t="n"/>
      <c r="H1090" s="14" t="n"/>
      <c r="I1090" s="15">
        <f>IF($H1090="","",$H1090-TODAY())</f>
        <v/>
      </c>
      <c r="J1090" s="16" t="inlineStr">
        <is>
          <t>Open posting</t>
        </is>
      </c>
      <c r="K1090" s="8" t="inlineStr">
        <is>
          <t>filtered by keyword pre-scan</t>
        </is>
      </c>
      <c r="L1090" s="17" t="inlineStr">
        <is>
          <t>new</t>
        </is>
      </c>
      <c r="M1090" s="18" t="inlineStr"/>
      <c r="N1090" s="7" t="inlineStr">
        <is>
          <t>13bc7966f33b504f9ba5a014d4cbd8c9533c697d</t>
        </is>
      </c>
      <c r="O1090" s="14" t="n">
        <v>46181</v>
      </c>
      <c r="P1090" s="7" t="inlineStr">
        <is>
          <t>jobspy</t>
        </is>
      </c>
      <c r="Q1090" s="8" t="inlineStr">
        <is>
          <t>c</t>
        </is>
      </c>
      <c r="R1090" s="8" t="inlineStr">
        <is>
          <t>Graduate Electronics Engineer remote UK</t>
        </is>
      </c>
      <c r="S1090" s="19" t="n"/>
      <c r="T1090" s="19" t="n"/>
      <c r="U1090" s="14" t="n">
        <v>46192</v>
      </c>
      <c r="V1090" s="7" t="inlineStr">
        <is>
          <t>v2-cv-accuracy-13b988b18da8ea7d</t>
        </is>
      </c>
    </row>
    <row r="1091" ht="28" customHeight="1">
      <c r="A1091" s="12">
        <f>IF($L1091="applied","Applied",IF($L1091="interview","Interview",IF($L1091="offer","Offer",IF($L1091="rejected","Rejected",IF($L1091="ignore","Ignore",IF($L1091="archive","Archive",IF($L1091="closed","Closed",IF($B1091="","Unscored",IF(AND($B1091&gt;=8,OR($H1091="",$H1091-TODAY()&lt;=14)),"P1 Apply",IF($B1091&gt;=7,"P2 Strong",IF($B1091&gt;=5,"P3 Maybe","P4 Low")))))))))))</f>
        <v/>
      </c>
      <c r="B1091" s="13" t="n">
        <v>0.65</v>
      </c>
      <c r="C1091" s="12" t="inlineStr">
        <is>
          <t>Mid-level</t>
        </is>
      </c>
      <c r="D1091" s="8" t="inlineStr">
        <is>
          <t>Design Verification Engineer</t>
        </is>
      </c>
      <c r="E1091" s="7" t="inlineStr">
        <is>
          <t>Dabster</t>
        </is>
      </c>
      <c r="F1091" s="8" t="inlineStr">
        <is>
          <t>England, United Kingdom</t>
        </is>
      </c>
      <c r="G1091" s="8" t="n"/>
      <c r="H1091" s="14" t="n"/>
      <c r="I1091" s="15">
        <f>IF($H1091="","",$H1091-TODAY())</f>
        <v/>
      </c>
      <c r="J1091" s="16" t="inlineStr">
        <is>
          <t>Open posting</t>
        </is>
      </c>
      <c r="K1091" s="8" t="inlineStr">
        <is>
          <t>filtered by keyword pre-scan</t>
        </is>
      </c>
      <c r="L1091" s="17" t="inlineStr">
        <is>
          <t>new</t>
        </is>
      </c>
      <c r="M1091" s="18" t="inlineStr"/>
      <c r="N1091" s="7" t="inlineStr">
        <is>
          <t>b25cd8ebcd505b3663ed92069d58764fa387cd54</t>
        </is>
      </c>
      <c r="O1091" s="14" t="n">
        <v>46188</v>
      </c>
      <c r="P1091" s="7" t="inlineStr">
        <is>
          <t>jobspy</t>
        </is>
      </c>
      <c r="Q1091" s="8" t="inlineStr">
        <is>
          <t>verilog, c</t>
        </is>
      </c>
      <c r="R1091" s="8" t="inlineStr">
        <is>
          <t>Graduate FPGA Engineer UK remote</t>
        </is>
      </c>
      <c r="S1091" s="19" t="n"/>
      <c r="T1091" s="19" t="n"/>
      <c r="U1091" s="14" t="n">
        <v>46192</v>
      </c>
      <c r="V1091" s="7" t="inlineStr">
        <is>
          <t>v2-cv-accuracy-13b988b18da8ea7d</t>
        </is>
      </c>
    </row>
    <row r="1092" ht="28" customHeight="1">
      <c r="A1092" s="12">
        <f>IF($L1092="applied","Applied",IF($L1092="interview","Interview",IF($L1092="offer","Offer",IF($L1092="rejected","Rejected",IF($L1092="ignore","Ignore",IF($L1092="archive","Archive",IF($L1092="closed","Closed",IF($B1092="","Unscored",IF(AND($B1092&gt;=8,OR($H1092="",$H1092-TODAY()&lt;=14)),"P1 Apply",IF($B1092&gt;=7,"P2 Strong",IF($B1092&gt;=5,"P3 Maybe","P4 Low")))))))))))</f>
        <v/>
      </c>
      <c r="B1092" s="13" t="n">
        <v>0.65</v>
      </c>
      <c r="C1092" s="12" t="inlineStr">
        <is>
          <t>Apprentice/Trainee</t>
        </is>
      </c>
      <c r="D1092" s="8" t="inlineStr">
        <is>
          <t>IT Support Apprentice</t>
        </is>
      </c>
      <c r="E1092" s="7" t="inlineStr">
        <is>
          <t>QA</t>
        </is>
      </c>
      <c r="F1092" s="8" t="inlineStr">
        <is>
          <t>Liverpool, ENG, GB</t>
        </is>
      </c>
      <c r="G1092" s="8" t="n"/>
      <c r="H1092" s="14" t="n"/>
      <c r="I1092" s="15">
        <f>IF($H1092="","",$H1092-TODAY())</f>
        <v/>
      </c>
      <c r="J1092" s="16" t="inlineStr">
        <is>
          <t>Open posting</t>
        </is>
      </c>
      <c r="K1092" s="8" t="inlineStr">
        <is>
          <t>filtered by keyword pre-scan</t>
        </is>
      </c>
      <c r="L1092" s="17" t="inlineStr">
        <is>
          <t>new</t>
        </is>
      </c>
      <c r="M1092" s="18" t="inlineStr"/>
      <c r="N1092" s="7" t="inlineStr">
        <is>
          <t>d6225ea1bbd601fe7c4e15e0744a118a43bee101</t>
        </is>
      </c>
      <c r="O1092" s="14" t="n">
        <v>46180</v>
      </c>
      <c r="P1092" s="7" t="inlineStr">
        <is>
          <t>jobspy</t>
        </is>
      </c>
      <c r="Q1092" s="8" t="inlineStr">
        <is>
          <t>c</t>
        </is>
      </c>
      <c r="R1092" s="8" t="inlineStr">
        <is>
          <t>Graduate Systems Engineer hardware software</t>
        </is>
      </c>
      <c r="S1092" s="19" t="n"/>
      <c r="T1092" s="19" t="n"/>
      <c r="U1092" s="14" t="n">
        <v>46192</v>
      </c>
      <c r="V1092" s="7" t="inlineStr">
        <is>
          <t>v2-cv-accuracy-13b988b18da8ea7d</t>
        </is>
      </c>
    </row>
    <row r="1093" ht="28" customHeight="1">
      <c r="A1093" s="12">
        <f>IF($L1093="applied","Applied",IF($L1093="interview","Interview",IF($L1093="offer","Offer",IF($L1093="rejected","Rejected",IF($L1093="ignore","Ignore",IF($L1093="archive","Archive",IF($L1093="closed","Closed",IF($B1093="","Unscored",IF(AND($B1093&gt;=8,OR($H1093="",$H1093-TODAY()&lt;=14)),"P1 Apply",IF($B1093&gt;=7,"P2 Strong",IF($B1093&gt;=5,"P3 Maybe","P4 Low")))))))))))</f>
        <v/>
      </c>
      <c r="B1093" s="13" t="n">
        <v>0.65</v>
      </c>
      <c r="C1093" s="12" t="inlineStr">
        <is>
          <t>Junior</t>
        </is>
      </c>
      <c r="D1093" s="8" t="inlineStr">
        <is>
          <t>DevOps Engineer - PerfectDraft</t>
        </is>
      </c>
      <c r="E1093" s="7" t="inlineStr">
        <is>
          <t>Budweiser Brewing Group (AB InBev)</t>
        </is>
      </c>
      <c r="F1093" s="8" t="inlineStr">
        <is>
          <t>London, England, UK</t>
        </is>
      </c>
      <c r="G1093" s="8" t="n"/>
      <c r="H1093" s="14" t="n"/>
      <c r="I1093" s="15">
        <f>IF($H1093="","",$H1093-TODAY())</f>
        <v/>
      </c>
      <c r="J1093" s="16" t="inlineStr">
        <is>
          <t>Open posting</t>
        </is>
      </c>
      <c r="K1093" s="8" t="inlineStr">
        <is>
          <t>filtered by keyword pre-scan</t>
        </is>
      </c>
      <c r="L1093" s="17" t="inlineStr">
        <is>
          <t>new</t>
        </is>
      </c>
      <c r="M1093" s="18" t="inlineStr"/>
      <c r="N1093" s="7" t="inlineStr">
        <is>
          <t>fa85cb03299f0186a13a1ead47a9b1331fcaa85f</t>
        </is>
      </c>
      <c r="O1093" s="14" t="n">
        <v>46176</v>
      </c>
      <c r="P1093" s="7" t="inlineStr">
        <is>
          <t>jobspy</t>
        </is>
      </c>
      <c r="Q1093" s="8" t="inlineStr">
        <is>
          <t>c</t>
        </is>
      </c>
      <c r="R1093" s="8" t="inlineStr">
        <is>
          <t>Graduate DevOps Engineer Docker Kubernetes Python</t>
        </is>
      </c>
      <c r="S1093" s="19" t="n"/>
      <c r="T1093" s="19" t="n"/>
      <c r="U1093" s="14" t="n">
        <v>46192</v>
      </c>
      <c r="V1093" s="7" t="inlineStr">
        <is>
          <t>v2-cv-accuracy-13b988b18da8ea7d</t>
        </is>
      </c>
    </row>
    <row r="1094" ht="28" customHeight="1">
      <c r="A1094" s="12">
        <f>IF($L1094="applied","Applied",IF($L1094="interview","Interview",IF($L1094="offer","Offer",IF($L1094="rejected","Rejected",IF($L1094="ignore","Ignore",IF($L1094="archive","Archive",IF($L1094="closed","Closed",IF($B1094="","Unscored",IF(AND($B1094&gt;=8,OR($H1094="",$H1094-TODAY()&lt;=14)),"P1 Apply",IF($B1094&gt;=7,"P2 Strong",IF($B1094&gt;=5,"P3 Maybe","P4 Low")))))))))))</f>
        <v/>
      </c>
      <c r="B1094" s="13" t="n">
        <v>0.65</v>
      </c>
      <c r="C1094" s="12" t="inlineStr">
        <is>
          <t>Graduate/Entry</t>
        </is>
      </c>
      <c r="D1094" s="8" t="inlineStr">
        <is>
          <t>Entry-Level Service Engineer</t>
        </is>
      </c>
      <c r="E1094" s="7" t="inlineStr">
        <is>
          <t>Adecco</t>
        </is>
      </c>
      <c r="F1094" s="8" t="inlineStr">
        <is>
          <t>Liverpool, England, UK</t>
        </is>
      </c>
      <c r="G1094" s="8" t="n"/>
      <c r="H1094" s="14" t="n"/>
      <c r="I1094" s="15">
        <f>IF($H1094="","",$H1094-TODAY())</f>
        <v/>
      </c>
      <c r="J1094" s="16" t="inlineStr">
        <is>
          <t>Open posting</t>
        </is>
      </c>
      <c r="K1094" s="8" t="inlineStr">
        <is>
          <t>filtered by keyword pre-scan</t>
        </is>
      </c>
      <c r="L1094" s="17" t="inlineStr">
        <is>
          <t>new</t>
        </is>
      </c>
      <c r="M1094" s="18" t="inlineStr"/>
      <c r="N1094" s="7" t="inlineStr">
        <is>
          <t>7eeb54a309438cf7d8b7d4a92ef5535b4bc3a86b</t>
        </is>
      </c>
      <c r="O1094" s="14" t="n">
        <v>46168</v>
      </c>
      <c r="P1094" s="7" t="inlineStr">
        <is>
          <t>jobspy</t>
        </is>
      </c>
      <c r="Q1094" s="8" t="inlineStr">
        <is>
          <t>c</t>
        </is>
      </c>
      <c r="R1094" s="8" t="inlineStr">
        <is>
          <t>Graduate Electronics Engineer Sheffield</t>
        </is>
      </c>
      <c r="S1094" s="19" t="n"/>
      <c r="T1094" s="19" t="n"/>
      <c r="U1094" s="14" t="n">
        <v>46192</v>
      </c>
      <c r="V1094" s="7" t="inlineStr">
        <is>
          <t>v2-cv-accuracy-13b988b18da8ea7d</t>
        </is>
      </c>
    </row>
    <row r="1095" ht="28" customHeight="1">
      <c r="A1095" s="12">
        <f>IF($L1095="applied","Applied",IF($L1095="interview","Interview",IF($L1095="offer","Offer",IF($L1095="rejected","Rejected",IF($L1095="ignore","Ignore",IF($L1095="archive","Archive",IF($L1095="closed","Closed",IF($B1095="","Unscored",IF(AND($B1095&gt;=8,OR($H1095="",$H1095-TODAY()&lt;=14)),"P1 Apply",IF($B1095&gt;=7,"P2 Strong",IF($B1095&gt;=5,"P3 Maybe","P4 Low")))))))))))</f>
        <v/>
      </c>
      <c r="B1095" s="13" t="n">
        <v>0.65</v>
      </c>
      <c r="C1095" s="12" t="inlineStr">
        <is>
          <t>Mid-level</t>
        </is>
      </c>
      <c r="D1095" s="8" t="inlineStr">
        <is>
          <t>Backend Engineer</t>
        </is>
      </c>
      <c r="E1095" s="7" t="inlineStr">
        <is>
          <t>Conduct</t>
        </is>
      </c>
      <c r="F1095" s="8" t="inlineStr">
        <is>
          <t>London, England, UK</t>
        </is>
      </c>
      <c r="G1095" s="8" t="n"/>
      <c r="H1095" s="14" t="n"/>
      <c r="I1095" s="15">
        <f>IF($H1095="","",$H1095-TODAY())</f>
        <v/>
      </c>
      <c r="J1095" s="16" t="inlineStr">
        <is>
          <t>Open posting</t>
        </is>
      </c>
      <c r="K1095" s="8" t="inlineStr">
        <is>
          <t>filtered by keyword pre-scan</t>
        </is>
      </c>
      <c r="L1095" s="17" t="inlineStr">
        <is>
          <t>new</t>
        </is>
      </c>
      <c r="M1095" s="18" t="inlineStr"/>
      <c r="N1095" s="7" t="inlineStr">
        <is>
          <t>4ff41eb3cdbfacc06c77c228ced3b08553735584</t>
        </is>
      </c>
      <c r="O1095" s="14" t="n">
        <v>46190</v>
      </c>
      <c r="P1095" s="7" t="inlineStr">
        <is>
          <t>jobspy</t>
        </is>
      </c>
      <c r="Q1095" s="8" t="inlineStr">
        <is>
          <t>c</t>
        </is>
      </c>
      <c r="R1095" s="8" t="inlineStr">
        <is>
          <t>Graduate Backend Developer Docker Kubernetes</t>
        </is>
      </c>
      <c r="S1095" s="19" t="n"/>
      <c r="T1095" s="19" t="n"/>
      <c r="U1095" s="14" t="n">
        <v>46192</v>
      </c>
      <c r="V1095" s="7" t="inlineStr">
        <is>
          <t>v2-cv-accuracy-13b988b18da8ea7d</t>
        </is>
      </c>
    </row>
    <row r="1096" ht="28" customHeight="1">
      <c r="A1096" s="12">
        <f>IF($L1096="applied","Applied",IF($L1096="interview","Interview",IF($L1096="offer","Offer",IF($L1096="rejected","Rejected",IF($L1096="ignore","Ignore",IF($L1096="archive","Archive",IF($L1096="closed","Closed",IF($B1096="","Unscored",IF(AND($B1096&gt;=8,OR($H1096="",$H1096-TODAY()&lt;=14)),"P1 Apply",IF($B1096&gt;=7,"P2 Strong",IF($B1096&gt;=5,"P3 Maybe","P4 Low")))))))))))</f>
        <v/>
      </c>
      <c r="B1096" s="13" t="n">
        <v>0.65</v>
      </c>
      <c r="C1096" s="12" t="inlineStr">
        <is>
          <t>Unspecified</t>
        </is>
      </c>
      <c r="D1096" s="8" t="inlineStr">
        <is>
          <t>Software Engineer</t>
        </is>
      </c>
      <c r="E1096" s="7" t="inlineStr">
        <is>
          <t>Longshot Systems</t>
        </is>
      </c>
      <c r="F1096" s="8" t="inlineStr">
        <is>
          <t>London, England, UK</t>
        </is>
      </c>
      <c r="G1096" s="8" t="n"/>
      <c r="H1096" s="14" t="n"/>
      <c r="I1096" s="15">
        <f>IF($H1096="","",$H1096-TODAY())</f>
        <v/>
      </c>
      <c r="J1096" s="16" t="inlineStr">
        <is>
          <t>Open posting</t>
        </is>
      </c>
      <c r="K1096" s="8" t="inlineStr">
        <is>
          <t>filtered by keyword pre-scan</t>
        </is>
      </c>
      <c r="L1096" s="17" t="inlineStr">
        <is>
          <t>new</t>
        </is>
      </c>
      <c r="M1096" s="18" t="inlineStr"/>
      <c r="N1096" s="7" t="inlineStr">
        <is>
          <t>3e7f81735fff3cd5ace437800ce392e39a01314b</t>
        </is>
      </c>
      <c r="O1096" s="14" t="n">
        <v>46189</v>
      </c>
      <c r="P1096" s="7" t="inlineStr">
        <is>
          <t>jobspy</t>
        </is>
      </c>
      <c r="Q1096" s="8" t="inlineStr">
        <is>
          <t>c</t>
        </is>
      </c>
      <c r="R1096" s="8" t="inlineStr">
        <is>
          <t>Graduate Backend Developer Docker Kubernetes</t>
        </is>
      </c>
      <c r="S1096" s="19" t="n"/>
      <c r="T1096" s="19" t="n"/>
      <c r="U1096" s="14" t="n">
        <v>46192</v>
      </c>
      <c r="V1096" s="7" t="inlineStr">
        <is>
          <t>v2-cv-accuracy-13b988b18da8ea7d</t>
        </is>
      </c>
    </row>
    <row r="1097" ht="28" customHeight="1">
      <c r="A1097" s="12">
        <f>IF($L1097="applied","Applied",IF($L1097="interview","Interview",IF($L1097="offer","Offer",IF($L1097="rejected","Rejected",IF($L1097="ignore","Ignore",IF($L1097="archive","Archive",IF($L1097="closed","Closed",IF($B1097="","Unscored",IF(AND($B1097&gt;=8,OR($H1097="",$H1097-TODAY()&lt;=14)),"P1 Apply",IF($B1097&gt;=7,"P2 Strong",IF($B1097&gt;=5,"P3 Maybe","P4 Low")))))))))))</f>
        <v/>
      </c>
      <c r="B1097" s="13" t="n">
        <v>0.61</v>
      </c>
      <c r="C1097" s="12" t="inlineStr">
        <is>
          <t>Unspecified</t>
        </is>
      </c>
      <c r="D1097" s="8" t="inlineStr">
        <is>
          <t>Data &amp; Software Engineer</t>
        </is>
      </c>
      <c r="E1097" s="7" t="inlineStr">
        <is>
          <t>Xcede</t>
        </is>
      </c>
      <c r="F1097" s="8" t="inlineStr">
        <is>
          <t>London Area, United Kingdom</t>
        </is>
      </c>
      <c r="G1097" s="8" t="n"/>
      <c r="H1097" s="14" t="n"/>
      <c r="I1097" s="15">
        <f>IF($H1097="","",$H1097-TODAY())</f>
        <v/>
      </c>
      <c r="J1097" s="16" t="inlineStr">
        <is>
          <t>Open posting</t>
        </is>
      </c>
      <c r="K1097" s="8" t="inlineStr">
        <is>
          <t>filtered by keyword pre-scan</t>
        </is>
      </c>
      <c r="L1097" s="17" t="inlineStr">
        <is>
          <t>new</t>
        </is>
      </c>
      <c r="M1097" s="18" t="inlineStr"/>
      <c r="N1097" s="7" t="inlineStr">
        <is>
          <t>292be828f4722ec86e94e1d5ba6e13658d45309c</t>
        </is>
      </c>
      <c r="O1097" s="14" t="n"/>
      <c r="P1097" s="7" t="inlineStr">
        <is>
          <t>jobspy</t>
        </is>
      </c>
      <c r="Q1097" s="8" t="inlineStr">
        <is>
          <t>python</t>
        </is>
      </c>
      <c r="R1097" s="8" t="inlineStr">
        <is>
          <t>Junior Python Developer</t>
        </is>
      </c>
      <c r="S1097" s="19" t="n"/>
      <c r="T1097" s="19" t="n"/>
      <c r="U1097" s="14" t="n">
        <v>46192</v>
      </c>
      <c r="V1097" s="7" t="inlineStr">
        <is>
          <t>v2-cv-accuracy-13b988b18da8ea7d</t>
        </is>
      </c>
    </row>
    <row r="1098" ht="28" customHeight="1">
      <c r="A1098" s="12">
        <f>IF($L1098="applied","Applied",IF($L1098="interview","Interview",IF($L1098="offer","Offer",IF($L1098="rejected","Rejected",IF($L1098="ignore","Ignore",IF($L1098="archive","Archive",IF($L1098="closed","Closed",IF($B1098="","Unscored",IF(AND($B1098&gt;=8,OR($H1098="",$H1098-TODAY()&lt;=14)),"P1 Apply",IF($B1098&gt;=7,"P2 Strong",IF($B1098&gt;=5,"P3 Maybe","P4 Low")))))))))))</f>
        <v/>
      </c>
      <c r="B1098" s="13" t="n">
        <v>0.61</v>
      </c>
      <c r="C1098" s="12" t="inlineStr">
        <is>
          <t>Senior/Lead</t>
        </is>
      </c>
      <c r="D1098" s="8" t="inlineStr">
        <is>
          <t>Fraud Investigations Specialist</t>
        </is>
      </c>
      <c r="E1098" s="7" t="inlineStr">
        <is>
          <t>GoCardless</t>
        </is>
      </c>
      <c r="F1098" s="8" t="inlineStr">
        <is>
          <t>Riga, Latvia</t>
        </is>
      </c>
      <c r="G1098" s="8" t="n"/>
      <c r="H1098" s="14" t="n"/>
      <c r="I1098" s="15">
        <f>IF($H1098="","",$H1098-TODAY())</f>
        <v/>
      </c>
      <c r="J1098" s="16" t="inlineStr">
        <is>
          <t>Open posting</t>
        </is>
      </c>
      <c r="K1098" s="8" t="inlineStr">
        <is>
          <t>filtered by keyword pre-scan</t>
        </is>
      </c>
      <c r="L1098" s="17" t="inlineStr">
        <is>
          <t>new</t>
        </is>
      </c>
      <c r="M1098" s="18" t="inlineStr"/>
      <c r="N1098" s="7" t="inlineStr">
        <is>
          <t>d3d072def04fdc864c70e1d270fd589a7e98afe1</t>
        </is>
      </c>
      <c r="O1098" s="14" t="n">
        <v>46184</v>
      </c>
      <c r="P1098" s="7" t="inlineStr">
        <is>
          <t>greenhouse:gocardless</t>
        </is>
      </c>
      <c r="Q1098" s="8" t="inlineStr">
        <is>
          <t>git</t>
        </is>
      </c>
      <c r="R1098" s="8" t="n"/>
      <c r="S1098" s="19" t="n"/>
      <c r="T1098" s="19" t="n"/>
      <c r="U1098" s="14" t="n">
        <v>46191</v>
      </c>
      <c r="V1098" s="7" t="inlineStr">
        <is>
          <t>v2-cv-accuracy-13b988b18da8ea7d</t>
        </is>
      </c>
    </row>
    <row r="1099" ht="28" customHeight="1">
      <c r="A1099" s="12">
        <f>IF($L1099="applied","Applied",IF($L1099="interview","Interview",IF($L1099="offer","Offer",IF($L1099="rejected","Rejected",IF($L1099="ignore","Ignore",IF($L1099="archive","Archive",IF($L1099="closed","Closed",IF($B1099="","Unscored",IF(AND($B1099&gt;=8,OR($H1099="",$H1099-TODAY()&lt;=14)),"P1 Apply",IF($B1099&gt;=7,"P2 Strong",IF($B1099&gt;=5,"P3 Maybe","P4 Low")))))))))))</f>
        <v/>
      </c>
      <c r="B1099" s="13" t="n">
        <v>0.61</v>
      </c>
      <c r="C1099" s="12" t="inlineStr">
        <is>
          <t>Unspecified</t>
        </is>
      </c>
      <c r="D1099" s="8" t="inlineStr">
        <is>
          <t>Group Insight Analyst</t>
        </is>
      </c>
      <c r="E1099" s="7" t="inlineStr">
        <is>
          <t>The Granite Group</t>
        </is>
      </c>
      <c r="F1099" s="8" t="inlineStr">
        <is>
          <t>Liverpool, ENG, GB</t>
        </is>
      </c>
      <c r="G1099" s="8" t="n"/>
      <c r="H1099" s="14" t="n"/>
      <c r="I1099" s="15">
        <f>IF($H1099="","",$H1099-TODAY())</f>
        <v/>
      </c>
      <c r="J1099" s="16" t="inlineStr">
        <is>
          <t>Open posting</t>
        </is>
      </c>
      <c r="K1099" s="8" t="inlineStr">
        <is>
          <t>filtered by keyword pre-scan</t>
        </is>
      </c>
      <c r="L1099" s="17" t="inlineStr">
        <is>
          <t>new</t>
        </is>
      </c>
      <c r="M1099" s="18" t="inlineStr"/>
      <c r="N1099" s="7" t="inlineStr">
        <is>
          <t>f8d7092b6957f4f85e16df755ec1b82249966d5e</t>
        </is>
      </c>
      <c r="O1099" s="14" t="n">
        <v>46188</v>
      </c>
      <c r="P1099" s="7" t="inlineStr">
        <is>
          <t>jobspy</t>
        </is>
      </c>
      <c r="Q1099" s="8" t="inlineStr">
        <is>
          <t>sql</t>
        </is>
      </c>
      <c r="R1099" s="8" t="inlineStr">
        <is>
          <t>Graduate Software Developer</t>
        </is>
      </c>
      <c r="S1099" s="19" t="n"/>
      <c r="T1099" s="19" t="n"/>
      <c r="U1099" s="14" t="n">
        <v>46191</v>
      </c>
      <c r="V1099" s="7" t="inlineStr">
        <is>
          <t>v2-cv-accuracy-13b988b18da8ea7d</t>
        </is>
      </c>
    </row>
    <row r="1100" ht="28" customHeight="1">
      <c r="A1100" s="12">
        <f>IF($L1100="applied","Applied",IF($L1100="interview","Interview",IF($L1100="offer","Offer",IF($L1100="rejected","Rejected",IF($L1100="ignore","Ignore",IF($L1100="archive","Archive",IF($L1100="closed","Closed",IF($B1100="","Unscored",IF(AND($B1100&gt;=8,OR($H1100="",$H1100-TODAY()&lt;=14)),"P1 Apply",IF($B1100&gt;=7,"P2 Strong",IF($B1100&gt;=5,"P3 Maybe","P4 Low")))))))))))</f>
        <v/>
      </c>
      <c r="B1100" s="13" t="n">
        <v>0.61</v>
      </c>
      <c r="C1100" s="12" t="inlineStr">
        <is>
          <t>Mid-level</t>
        </is>
      </c>
      <c r="D1100" s="8" t="inlineStr">
        <is>
          <t>Online Programmer</t>
        </is>
      </c>
      <c r="E1100" s="7" t="inlineStr">
        <is>
          <t>Steel City Interactive</t>
        </is>
      </c>
      <c r="F1100" s="8" t="inlineStr"/>
      <c r="G1100" s="8" t="n"/>
      <c r="H1100" s="14" t="n"/>
      <c r="I1100" s="15">
        <f>IF($H1100="","",$H1100-TODAY())</f>
        <v/>
      </c>
      <c r="J1100" s="16" t="inlineStr">
        <is>
          <t>Open posting</t>
        </is>
      </c>
      <c r="K1100" s="8" t="inlineStr">
        <is>
          <t>filtered by keyword pre-scan</t>
        </is>
      </c>
      <c r="L1100" s="17" t="inlineStr">
        <is>
          <t>new</t>
        </is>
      </c>
      <c r="M1100" s="18" t="inlineStr"/>
      <c r="N1100" s="7" t="inlineStr">
        <is>
          <t>23404b1b8e2f1579c268c78b2d4de9829ed4f5e0</t>
        </is>
      </c>
      <c r="O1100" s="14" t="n">
        <v>46185</v>
      </c>
      <c r="P1100" s="7" t="inlineStr">
        <is>
          <t>jobspy</t>
        </is>
      </c>
      <c r="Q1100" s="8" t="inlineStr">
        <is>
          <t>sql</t>
        </is>
      </c>
      <c r="R1100" s="8" t="inlineStr">
        <is>
          <t>Graduate Software Developer Sheffield</t>
        </is>
      </c>
      <c r="S1100" s="19" t="n"/>
      <c r="T1100" s="19" t="n"/>
      <c r="U1100" s="14" t="n">
        <v>46191</v>
      </c>
      <c r="V1100" s="7" t="inlineStr">
        <is>
          <t>v2-cv-accuracy-13b988b18da8ea7d</t>
        </is>
      </c>
    </row>
    <row r="1101" ht="28" customHeight="1">
      <c r="A1101" s="12">
        <f>IF($L1101="applied","Applied",IF($L1101="interview","Interview",IF($L1101="offer","Offer",IF($L1101="rejected","Rejected",IF($L1101="ignore","Ignore",IF($L1101="archive","Archive",IF($L1101="closed","Closed",IF($B1101="","Unscored",IF(AND($B1101&gt;=8,OR($H1101="",$H1101-TODAY()&lt;=14)),"P1 Apply",IF($B1101&gt;=7,"P2 Strong",IF($B1101&gt;=5,"P3 Maybe","P4 Low")))))))))))</f>
        <v/>
      </c>
      <c r="B1101" s="13" t="n">
        <v>0.61</v>
      </c>
      <c r="C1101" s="12" t="inlineStr">
        <is>
          <t>Senior/Lead</t>
        </is>
      </c>
      <c r="D1101" s="8" t="inlineStr">
        <is>
          <t>Software Engineer</t>
        </is>
      </c>
      <c r="E1101" s="7" t="inlineStr">
        <is>
          <t>RWS Group</t>
        </is>
      </c>
      <c r="F1101" s="8" t="inlineStr">
        <is>
          <t>Sheffield, England, UK</t>
        </is>
      </c>
      <c r="G1101" s="8" t="n"/>
      <c r="H1101" s="14" t="n"/>
      <c r="I1101" s="15">
        <f>IF($H1101="","",$H1101-TODAY())</f>
        <v/>
      </c>
      <c r="J1101" s="16" t="inlineStr">
        <is>
          <t>Open posting</t>
        </is>
      </c>
      <c r="K1101" s="8" t="inlineStr">
        <is>
          <t>filtered by keyword pre-scan</t>
        </is>
      </c>
      <c r="L1101" s="17" t="inlineStr">
        <is>
          <t>new</t>
        </is>
      </c>
      <c r="M1101" s="18" t="inlineStr"/>
      <c r="N1101" s="7" t="inlineStr">
        <is>
          <t>f3d85a71f02c6600c0259a7a6d5eaab8705a2baa</t>
        </is>
      </c>
      <c r="O1101" s="14" t="n">
        <v>46163</v>
      </c>
      <c r="P1101" s="7" t="inlineStr">
        <is>
          <t>jobspy</t>
        </is>
      </c>
      <c r="Q1101" s="8" t="inlineStr"/>
      <c r="R1101" s="8" t="inlineStr">
        <is>
          <t>Graduate Software Developer Sheffield</t>
        </is>
      </c>
      <c r="S1101" s="19" t="n"/>
      <c r="T1101" s="19" t="n"/>
      <c r="U1101" s="14" t="n">
        <v>46191</v>
      </c>
      <c r="V1101" s="7" t="inlineStr">
        <is>
          <t>v2-cv-accuracy-13b988b18da8ea7d</t>
        </is>
      </c>
    </row>
    <row r="1102" ht="28" customHeight="1">
      <c r="A1102" s="12">
        <f>IF($L1102="applied","Applied",IF($L1102="interview","Interview",IF($L1102="offer","Offer",IF($L1102="rejected","Rejected",IF($L1102="ignore","Ignore",IF($L1102="archive","Archive",IF($L1102="closed","Closed",IF($B1102="","Unscored",IF(AND($B1102&gt;=8,OR($H1102="",$H1102-TODAY()&lt;=14)),"P1 Apply",IF($B1102&gt;=7,"P2 Strong",IF($B1102&gt;=5,"P3 Maybe","P4 Low")))))))))))</f>
        <v/>
      </c>
      <c r="B1102" s="13" t="n">
        <v>0.61</v>
      </c>
      <c r="C1102" s="12" t="inlineStr">
        <is>
          <t>Graduate/Entry</t>
        </is>
      </c>
      <c r="D1102" s="8" t="inlineStr">
        <is>
          <t>Graduate Software Engineer</t>
        </is>
      </c>
      <c r="E1102" s="7" t="inlineStr">
        <is>
          <t>Intellect Group</t>
        </is>
      </c>
      <c r="F1102" s="8" t="inlineStr">
        <is>
          <t>London Area, United Kingdom</t>
        </is>
      </c>
      <c r="G1102" s="8" t="n"/>
      <c r="H1102" s="14" t="n"/>
      <c r="I1102" s="15">
        <f>IF($H1102="","",$H1102-TODAY())</f>
        <v/>
      </c>
      <c r="J1102" s="16" t="inlineStr">
        <is>
          <t>Open posting</t>
        </is>
      </c>
      <c r="K1102" s="8" t="inlineStr">
        <is>
          <t>filtered by keyword pre-scan</t>
        </is>
      </c>
      <c r="L1102" s="17" t="inlineStr">
        <is>
          <t>new</t>
        </is>
      </c>
      <c r="M1102" s="18" t="inlineStr"/>
      <c r="N1102" s="7" t="inlineStr">
        <is>
          <t>98c18aa94dccc0a4edaa2996f0fad918f02bd2ff</t>
        </is>
      </c>
      <c r="O1102" s="14" t="n">
        <v>46182</v>
      </c>
      <c r="P1102" s="7" t="inlineStr">
        <is>
          <t>jobspy</t>
        </is>
      </c>
      <c r="Q1102" s="8" t="inlineStr">
        <is>
          <t>software development</t>
        </is>
      </c>
      <c r="R1102" s="8" t="inlineStr">
        <is>
          <t>graduate Graduate Software Developer</t>
        </is>
      </c>
      <c r="S1102" s="19" t="n"/>
      <c r="T1102" s="19" t="n"/>
      <c r="U1102" s="14" t="n">
        <v>46191</v>
      </c>
      <c r="V1102" s="7" t="inlineStr">
        <is>
          <t>v2-cv-accuracy-13b988b18da8ea7d</t>
        </is>
      </c>
    </row>
    <row r="1103" ht="28" customHeight="1">
      <c r="A1103" s="12">
        <f>IF($L1103="applied","Applied",IF($L1103="interview","Interview",IF($L1103="offer","Offer",IF($L1103="rejected","Rejected",IF($L1103="ignore","Ignore",IF($L1103="archive","Archive",IF($L1103="closed","Closed",IF($B1103="","Unscored",IF(AND($B1103&gt;=8,OR($H1103="",$H1103-TODAY()&lt;=14)),"P1 Apply",IF($B1103&gt;=7,"P2 Strong",IF($B1103&gt;=5,"P3 Maybe","P4 Low")))))))))))</f>
        <v/>
      </c>
      <c r="B1103" s="13" t="n">
        <v>0.61</v>
      </c>
      <c r="C1103" s="12" t="inlineStr">
        <is>
          <t>Apprentice/Trainee</t>
        </is>
      </c>
      <c r="D1103" s="8" t="inlineStr">
        <is>
          <t>Apprentice Software Engineer</t>
        </is>
      </c>
      <c r="E1103" s="7" t="inlineStr">
        <is>
          <t>Cirium</t>
        </is>
      </c>
      <c r="F1103" s="8" t="inlineStr">
        <is>
          <t>Southampton, England, UK</t>
        </is>
      </c>
      <c r="G1103" s="8" t="n"/>
      <c r="H1103" s="14" t="n"/>
      <c r="I1103" s="15">
        <f>IF($H1103="","",$H1103-TODAY())</f>
        <v/>
      </c>
      <c r="J1103" s="16" t="inlineStr">
        <is>
          <t>Open posting</t>
        </is>
      </c>
      <c r="K1103" s="8" t="inlineStr">
        <is>
          <t>filtered by keyword pre-scan</t>
        </is>
      </c>
      <c r="L1103" s="17" t="inlineStr">
        <is>
          <t>new</t>
        </is>
      </c>
      <c r="M1103" s="18" t="inlineStr"/>
      <c r="N1103" s="7" t="inlineStr">
        <is>
          <t>3fef35a32001ebb24bc03f69f01ec3c36e620cee</t>
        </is>
      </c>
      <c r="O1103" s="14" t="n">
        <v>46188</v>
      </c>
      <c r="P1103" s="7" t="inlineStr">
        <is>
          <t>jobspy</t>
        </is>
      </c>
      <c r="Q1103" s="8" t="inlineStr">
        <is>
          <t>git</t>
        </is>
      </c>
      <c r="R1103" s="8" t="inlineStr">
        <is>
          <t>entry level Graduate Software Developer</t>
        </is>
      </c>
      <c r="S1103" s="19" t="n"/>
      <c r="T1103" s="19" t="n"/>
      <c r="U1103" s="14" t="n">
        <v>46191</v>
      </c>
      <c r="V1103" s="7" t="inlineStr">
        <is>
          <t>v2-cv-accuracy-13b988b18da8ea7d</t>
        </is>
      </c>
    </row>
    <row r="1104" ht="28" customHeight="1">
      <c r="A1104" s="12">
        <f>IF($L1104="applied","Applied",IF($L1104="interview","Interview",IF($L1104="offer","Offer",IF($L1104="rejected","Rejected",IF($L1104="ignore","Ignore",IF($L1104="archive","Archive",IF($L1104="closed","Closed",IF($B1104="","Unscored",IF(AND($B1104&gt;=8,OR($H1104="",$H1104-TODAY()&lt;=14)),"P1 Apply",IF($B1104&gt;=7,"P2 Strong",IF($B1104&gt;=5,"P3 Maybe","P4 Low")))))))))))</f>
        <v/>
      </c>
      <c r="B1104" s="13" t="n">
        <v>0.61</v>
      </c>
      <c r="C1104" s="12" t="inlineStr">
        <is>
          <t>Graduate/Entry</t>
        </is>
      </c>
      <c r="D1104" s="8" t="inlineStr">
        <is>
          <t>Developer (Temporary)</t>
        </is>
      </c>
      <c r="E1104" s="7" t="inlineStr">
        <is>
          <t>ELVIS</t>
        </is>
      </c>
      <c r="F1104" s="8" t="inlineStr">
        <is>
          <t>London, England, UK</t>
        </is>
      </c>
      <c r="G1104" s="8" t="n"/>
      <c r="H1104" s="14" t="n"/>
      <c r="I1104" s="15">
        <f>IF($H1104="","",$H1104-TODAY())</f>
        <v/>
      </c>
      <c r="J1104" s="16" t="inlineStr">
        <is>
          <t>Open posting</t>
        </is>
      </c>
      <c r="K1104" s="8" t="inlineStr">
        <is>
          <t>filtered by keyword pre-scan</t>
        </is>
      </c>
      <c r="L1104" s="17" t="inlineStr">
        <is>
          <t>new</t>
        </is>
      </c>
      <c r="M1104" s="18" t="inlineStr"/>
      <c r="N1104" s="7" t="inlineStr">
        <is>
          <t>1d0b35c2b1cbabc09b9a08a6a162320392a64923</t>
        </is>
      </c>
      <c r="O1104" s="14" t="n">
        <v>46184</v>
      </c>
      <c r="P1104" s="7" t="inlineStr">
        <is>
          <t>jobspy</t>
        </is>
      </c>
      <c r="Q1104" s="8" t="inlineStr">
        <is>
          <t>javascript</t>
        </is>
      </c>
      <c r="R1104" s="8" t="inlineStr">
        <is>
          <t>entry level Graduate Software Developer</t>
        </is>
      </c>
      <c r="S1104" s="19" t="n"/>
      <c r="T1104" s="19" t="n"/>
      <c r="U1104" s="14" t="n">
        <v>46191</v>
      </c>
      <c r="V1104" s="7" t="inlineStr">
        <is>
          <t>v2-cv-accuracy-13b988b18da8ea7d</t>
        </is>
      </c>
    </row>
    <row r="1105" ht="28" customHeight="1">
      <c r="A1105" s="12">
        <f>IF($L1105="applied","Applied",IF($L1105="interview","Interview",IF($L1105="offer","Offer",IF($L1105="rejected","Rejected",IF($L1105="ignore","Ignore",IF($L1105="archive","Archive",IF($L1105="closed","Closed",IF($B1105="","Unscored",IF(AND($B1105&gt;=8,OR($H1105="",$H1105-TODAY()&lt;=14)),"P1 Apply",IF($B1105&gt;=7,"P2 Strong",IF($B1105&gt;=5,"P3 Maybe","P4 Low")))))))))))</f>
        <v/>
      </c>
      <c r="B1105" s="13" t="n">
        <v>0.61</v>
      </c>
      <c r="C1105" s="12" t="inlineStr">
        <is>
          <t>Graduate/Entry</t>
        </is>
      </c>
      <c r="D1105" s="8" t="inlineStr">
        <is>
          <t>Developer (Temporary)</t>
        </is>
      </c>
      <c r="E1105" s="7" t="inlineStr">
        <is>
          <t>House 337</t>
        </is>
      </c>
      <c r="F1105" s="8" t="inlineStr">
        <is>
          <t>London, England, UK</t>
        </is>
      </c>
      <c r="G1105" s="8" t="n"/>
      <c r="H1105" s="14" t="n"/>
      <c r="I1105" s="15">
        <f>IF($H1105="","",$H1105-TODAY())</f>
        <v/>
      </c>
      <c r="J1105" s="16" t="inlineStr">
        <is>
          <t>Open posting</t>
        </is>
      </c>
      <c r="K1105" s="8" t="inlineStr">
        <is>
          <t>filtered by keyword pre-scan</t>
        </is>
      </c>
      <c r="L1105" s="17" t="inlineStr">
        <is>
          <t>new</t>
        </is>
      </c>
      <c r="M1105" s="18" t="inlineStr"/>
      <c r="N1105" s="7" t="inlineStr">
        <is>
          <t>db2aa585c9298e29b21c6c7e2b67b8c97125da46</t>
        </is>
      </c>
      <c r="O1105" s="14" t="n">
        <v>46184</v>
      </c>
      <c r="P1105" s="7" t="inlineStr">
        <is>
          <t>jobspy</t>
        </is>
      </c>
      <c r="Q1105" s="8" t="inlineStr">
        <is>
          <t>javascript</t>
        </is>
      </c>
      <c r="R1105" s="8" t="inlineStr">
        <is>
          <t>entry level Graduate Software Developer</t>
        </is>
      </c>
      <c r="S1105" s="19" t="n"/>
      <c r="T1105" s="19" t="n"/>
      <c r="U1105" s="14" t="n">
        <v>46191</v>
      </c>
      <c r="V1105" s="7" t="inlineStr">
        <is>
          <t>v2-cv-accuracy-13b988b18da8ea7d</t>
        </is>
      </c>
    </row>
    <row r="1106" ht="28" customHeight="1">
      <c r="A1106" s="12">
        <f>IF($L1106="applied","Applied",IF($L1106="interview","Interview",IF($L1106="offer","Offer",IF($L1106="rejected","Rejected",IF($L1106="ignore","Ignore",IF($L1106="archive","Archive",IF($L1106="closed","Closed",IF($B1106="","Unscored",IF(AND($B1106&gt;=8,OR($H1106="",$H1106-TODAY()&lt;=14)),"P1 Apply",IF($B1106&gt;=7,"P2 Strong",IF($B1106&gt;=5,"P3 Maybe","P4 Low")))))))))))</f>
        <v/>
      </c>
      <c r="B1106" s="13" t="n">
        <v>0.61</v>
      </c>
      <c r="C1106" s="12" t="inlineStr">
        <is>
          <t>Unspecified</t>
        </is>
      </c>
      <c r="D1106" s="8" t="inlineStr">
        <is>
          <t>Python Developer</t>
        </is>
      </c>
      <c r="E1106" s="7" t="inlineStr">
        <is>
          <t>Venture Up</t>
        </is>
      </c>
      <c r="F1106" s="8" t="inlineStr">
        <is>
          <t>London Area, United Kingdom</t>
        </is>
      </c>
      <c r="G1106" s="8" t="n"/>
      <c r="H1106" s="14" t="n"/>
      <c r="I1106" s="15">
        <f>IF($H1106="","",$H1106-TODAY())</f>
        <v/>
      </c>
      <c r="J1106" s="16" t="inlineStr">
        <is>
          <t>Open posting</t>
        </is>
      </c>
      <c r="K1106" s="8" t="inlineStr">
        <is>
          <t>filtered by keyword pre-scan</t>
        </is>
      </c>
      <c r="L1106" s="17" t="inlineStr">
        <is>
          <t>new</t>
        </is>
      </c>
      <c r="M1106" s="18" t="inlineStr"/>
      <c r="N1106" s="7" t="inlineStr">
        <is>
          <t>7a4df1962f1a4447413deeb3155d34e4971fe935</t>
        </is>
      </c>
      <c r="O1106" s="14" t="n"/>
      <c r="P1106" s="7" t="inlineStr">
        <is>
          <t>jobspy</t>
        </is>
      </c>
      <c r="Q1106" s="8" t="inlineStr">
        <is>
          <t>python</t>
        </is>
      </c>
      <c r="R1106" s="8" t="inlineStr">
        <is>
          <t>junior/graduate Junior Python Developer</t>
        </is>
      </c>
      <c r="S1106" s="19" t="n"/>
      <c r="T1106" s="19" t="n"/>
      <c r="U1106" s="14" t="n">
        <v>46191</v>
      </c>
      <c r="V1106" s="7" t="inlineStr">
        <is>
          <t>v2-cv-accuracy-13b988b18da8ea7d</t>
        </is>
      </c>
    </row>
    <row r="1107" ht="28" customHeight="1">
      <c r="A1107" s="12">
        <f>IF($L1107="applied","Applied",IF($L1107="interview","Interview",IF($L1107="offer","Offer",IF($L1107="rejected","Rejected",IF($L1107="ignore","Ignore",IF($L1107="archive","Archive",IF($L1107="closed","Closed",IF($B1107="","Unscored",IF(AND($B1107&gt;=8,OR($H1107="",$H1107-TODAY()&lt;=14)),"P1 Apply",IF($B1107&gt;=7,"P2 Strong",IF($B1107&gt;=5,"P3 Maybe","P4 Low")))))))))))</f>
        <v/>
      </c>
      <c r="B1107" s="13" t="n">
        <v>0.61</v>
      </c>
      <c r="C1107" s="12" t="inlineStr">
        <is>
          <t>Senior/Lead</t>
        </is>
      </c>
      <c r="D1107" s="8" t="inlineStr">
        <is>
          <t>Software Engineer - Python | Remote</t>
        </is>
      </c>
      <c r="E1107" s="7" t="inlineStr">
        <is>
          <t>Crossing Hurdles</t>
        </is>
      </c>
      <c r="F1107" s="8" t="inlineStr"/>
      <c r="G1107" s="8" t="n"/>
      <c r="H1107" s="14" t="n"/>
      <c r="I1107" s="15">
        <f>IF($H1107="","",$H1107-TODAY())</f>
        <v/>
      </c>
      <c r="J1107" s="16" t="inlineStr">
        <is>
          <t>Open posting</t>
        </is>
      </c>
      <c r="K1107" s="8" t="inlineStr">
        <is>
          <t>filtered by keyword pre-scan</t>
        </is>
      </c>
      <c r="L1107" s="17" t="inlineStr">
        <is>
          <t>new</t>
        </is>
      </c>
      <c r="M1107" s="18" t="inlineStr"/>
      <c r="N1107" s="7" t="inlineStr">
        <is>
          <t>78966419fca67e52a24034907c154255cc49ff74</t>
        </is>
      </c>
      <c r="O1107" s="14" t="n">
        <v>46178</v>
      </c>
      <c r="P1107" s="7" t="inlineStr">
        <is>
          <t>jobspy</t>
        </is>
      </c>
      <c r="Q1107" s="8" t="inlineStr">
        <is>
          <t>python</t>
        </is>
      </c>
      <c r="R1107" s="8" t="inlineStr">
        <is>
          <t>Junior Python Developer remote</t>
        </is>
      </c>
      <c r="S1107" s="19" t="n"/>
      <c r="T1107" s="19" t="n"/>
      <c r="U1107" s="14" t="n">
        <v>46191</v>
      </c>
      <c r="V1107" s="7" t="inlineStr">
        <is>
          <t>v2-cv-accuracy-13b988b18da8ea7d</t>
        </is>
      </c>
    </row>
    <row r="1108" ht="28" customHeight="1">
      <c r="A1108" s="12">
        <f>IF($L1108="applied","Applied",IF($L1108="interview","Interview",IF($L1108="offer","Offer",IF($L1108="rejected","Rejected",IF($L1108="ignore","Ignore",IF($L1108="archive","Archive",IF($L1108="closed","Closed",IF($B1108="","Unscored",IF(AND($B1108&gt;=8,OR($H1108="",$H1108-TODAY()&lt;=14)),"P1 Apply",IF($B1108&gt;=7,"P2 Strong",IF($B1108&gt;=5,"P3 Maybe","P4 Low")))))))))))</f>
        <v/>
      </c>
      <c r="B1108" s="13" t="n">
        <v>0.61</v>
      </c>
      <c r="C1108" s="12" t="inlineStr">
        <is>
          <t>Mid-level</t>
        </is>
      </c>
      <c r="D1108" s="8" t="inlineStr">
        <is>
          <t>Full Stack Developer</t>
        </is>
      </c>
      <c r="E1108" s="7" t="inlineStr">
        <is>
          <t>Aston Martin Lagonda Ltd</t>
        </is>
      </c>
      <c r="F1108" s="8" t="inlineStr">
        <is>
          <t>Gaydon, England, UK</t>
        </is>
      </c>
      <c r="G1108" s="8" t="n"/>
      <c r="H1108" s="14" t="n"/>
      <c r="I1108" s="15">
        <f>IF($H1108="","",$H1108-TODAY())</f>
        <v/>
      </c>
      <c r="J1108" s="16" t="inlineStr">
        <is>
          <t>Open posting</t>
        </is>
      </c>
      <c r="K1108" s="8" t="inlineStr">
        <is>
          <t>filtered by keyword pre-scan</t>
        </is>
      </c>
      <c r="L1108" s="17" t="inlineStr">
        <is>
          <t>new</t>
        </is>
      </c>
      <c r="M1108" s="18" t="inlineStr"/>
      <c r="N1108" s="7" t="inlineStr">
        <is>
          <t>42b57862852d549e636856a91ab404b0efab0bf7</t>
        </is>
      </c>
      <c r="O1108" s="14" t="n">
        <v>46177</v>
      </c>
      <c r="P1108" s="7" t="inlineStr">
        <is>
          <t>jobspy</t>
        </is>
      </c>
      <c r="Q1108" s="8" t="inlineStr">
        <is>
          <t>git</t>
        </is>
      </c>
      <c r="R1108" s="8" t="inlineStr">
        <is>
          <t>Full Stack Developer</t>
        </is>
      </c>
      <c r="S1108" s="19" t="n"/>
      <c r="T1108" s="19" t="n"/>
      <c r="U1108" s="14" t="n">
        <v>46191</v>
      </c>
      <c r="V1108" s="7" t="inlineStr">
        <is>
          <t>v2-cv-accuracy-13b988b18da8ea7d</t>
        </is>
      </c>
    </row>
    <row r="1109" ht="28" customHeight="1">
      <c r="A1109" s="12">
        <f>IF($L1109="applied","Applied",IF($L1109="interview","Interview",IF($L1109="offer","Offer",IF($L1109="rejected","Rejected",IF($L1109="ignore","Ignore",IF($L1109="archive","Archive",IF($L1109="closed","Closed",IF($B1109="","Unscored",IF(AND($B1109&gt;=8,OR($H1109="",$H1109-TODAY()&lt;=14)),"P1 Apply",IF($B1109&gt;=7,"P2 Strong",IF($B1109&gt;=5,"P3 Maybe","P4 Low")))))))))))</f>
        <v/>
      </c>
      <c r="B1109" s="13" t="n">
        <v>0.61</v>
      </c>
      <c r="C1109" s="12" t="inlineStr">
        <is>
          <t>Junior</t>
        </is>
      </c>
      <c r="D1109" s="8" t="inlineStr">
        <is>
          <t>Junior Full Stack Developer (Remote, UK Hours)</t>
        </is>
      </c>
      <c r="E1109" s="7" t="inlineStr">
        <is>
          <t>Minimal Viable Launch</t>
        </is>
      </c>
      <c r="F1109" s="8" t="inlineStr">
        <is>
          <t>Remote, GB</t>
        </is>
      </c>
      <c r="G1109" s="8" t="n"/>
      <c r="H1109" s="14" t="n"/>
      <c r="I1109" s="15">
        <f>IF($H1109="","",$H1109-TODAY())</f>
        <v/>
      </c>
      <c r="J1109" s="16" t="inlineStr">
        <is>
          <t>Open posting</t>
        </is>
      </c>
      <c r="K1109" s="8" t="inlineStr">
        <is>
          <t>filtered by keyword pre-scan</t>
        </is>
      </c>
      <c r="L1109" s="17" t="inlineStr">
        <is>
          <t>new</t>
        </is>
      </c>
      <c r="M1109" s="18" t="inlineStr"/>
      <c r="N1109" s="7" t="inlineStr">
        <is>
          <t>f8f0281cf34ea5792a0443f86df49821f8131760</t>
        </is>
      </c>
      <c r="O1109" s="14" t="n">
        <v>46183</v>
      </c>
      <c r="P1109" s="7" t="inlineStr">
        <is>
          <t>jobspy</t>
        </is>
      </c>
      <c r="Q1109" s="8" t="inlineStr">
        <is>
          <t>git</t>
        </is>
      </c>
      <c r="R1109" s="8" t="inlineStr">
        <is>
          <t>junior Full Stack Developer</t>
        </is>
      </c>
      <c r="S1109" s="19" t="n"/>
      <c r="T1109" s="19" t="n"/>
      <c r="U1109" s="14" t="n">
        <v>46191</v>
      </c>
      <c r="V1109" s="7" t="inlineStr">
        <is>
          <t>v2-cv-accuracy-13b988b18da8ea7d</t>
        </is>
      </c>
    </row>
    <row r="1110" ht="28" customHeight="1">
      <c r="A1110" s="12">
        <f>IF($L1110="applied","Applied",IF($L1110="interview","Interview",IF($L1110="offer","Offer",IF($L1110="rejected","Rejected",IF($L1110="ignore","Ignore",IF($L1110="archive","Archive",IF($L1110="closed","Closed",IF($B1110="","Unscored",IF(AND($B1110&gt;=8,OR($H1110="",$H1110-TODAY()&lt;=14)),"P1 Apply",IF($B1110&gt;=7,"P2 Strong",IF($B1110&gt;=5,"P3 Maybe","P4 Low")))))))))))</f>
        <v/>
      </c>
      <c r="B1110" s="13" t="n">
        <v>0.61</v>
      </c>
      <c r="C1110" s="12" t="inlineStr">
        <is>
          <t>Graduate/Entry</t>
        </is>
      </c>
      <c r="D1110" s="8" t="inlineStr">
        <is>
          <t>Web Developer</t>
        </is>
      </c>
      <c r="E1110" s="7" t="inlineStr">
        <is>
          <t>ELVIS</t>
        </is>
      </c>
      <c r="F1110" s="8" t="inlineStr">
        <is>
          <t>London Area, United Kingdom</t>
        </is>
      </c>
      <c r="G1110" s="8" t="n"/>
      <c r="H1110" s="14" t="n"/>
      <c r="I1110" s="15">
        <f>IF($H1110="","",$H1110-TODAY())</f>
        <v/>
      </c>
      <c r="J1110" s="16" t="inlineStr">
        <is>
          <t>Open posting</t>
        </is>
      </c>
      <c r="K1110" s="8" t="inlineStr">
        <is>
          <t>filtered by keyword pre-scan</t>
        </is>
      </c>
      <c r="L1110" s="17" t="inlineStr">
        <is>
          <t>new</t>
        </is>
      </c>
      <c r="M1110" s="18" t="inlineStr"/>
      <c r="N1110" s="7" t="inlineStr">
        <is>
          <t>bf842777b87ebb4ced4b0058314fd319d45f306e</t>
        </is>
      </c>
      <c r="O1110" s="14" t="n">
        <v>46184</v>
      </c>
      <c r="P1110" s="7" t="inlineStr">
        <is>
          <t>jobspy</t>
        </is>
      </c>
      <c r="Q1110" s="8" t="inlineStr">
        <is>
          <t>javascript</t>
        </is>
      </c>
      <c r="R1110" s="8" t="inlineStr">
        <is>
          <t>entry level Full Stack Developer</t>
        </is>
      </c>
      <c r="S1110" s="19" t="n"/>
      <c r="T1110" s="19" t="n"/>
      <c r="U1110" s="14" t="n">
        <v>46191</v>
      </c>
      <c r="V1110" s="7" t="inlineStr">
        <is>
          <t>v2-cv-accuracy-13b988b18da8ea7d</t>
        </is>
      </c>
    </row>
    <row r="1111" ht="28" customHeight="1">
      <c r="A1111" s="12">
        <f>IF($L1111="applied","Applied",IF($L1111="interview","Interview",IF($L1111="offer","Offer",IF($L1111="rejected","Rejected",IF($L1111="ignore","Ignore",IF($L1111="archive","Archive",IF($L1111="closed","Closed",IF($B1111="","Unscored",IF(AND($B1111&gt;=8,OR($H1111="",$H1111-TODAY()&lt;=14)),"P1 Apply",IF($B1111&gt;=7,"P2 Strong",IF($B1111&gt;=5,"P3 Maybe","P4 Low")))))))))))</f>
        <v/>
      </c>
      <c r="B1111" s="13" t="n">
        <v>0.61</v>
      </c>
      <c r="C1111" s="12" t="inlineStr">
        <is>
          <t>Unspecified</t>
        </is>
      </c>
      <c r="D1111" s="8" t="inlineStr">
        <is>
          <t>Python Developer</t>
        </is>
      </c>
      <c r="E1111" s="7" t="inlineStr">
        <is>
          <t>Station</t>
        </is>
      </c>
      <c r="F1111" s="8" t="inlineStr">
        <is>
          <t>London Area, United Kingdom</t>
        </is>
      </c>
      <c r="G1111" s="8" t="n"/>
      <c r="H1111" s="14" t="n"/>
      <c r="I1111" s="15">
        <f>IF($H1111="","",$H1111-TODAY())</f>
        <v/>
      </c>
      <c r="J1111" s="16" t="inlineStr">
        <is>
          <t>Open posting</t>
        </is>
      </c>
      <c r="K1111" s="8" t="inlineStr">
        <is>
          <t>filtered by keyword pre-scan</t>
        </is>
      </c>
      <c r="L1111" s="17" t="inlineStr">
        <is>
          <t>new</t>
        </is>
      </c>
      <c r="M1111" s="18" t="inlineStr"/>
      <c r="N1111" s="7" t="inlineStr">
        <is>
          <t>49a0277491babf629d9911cbc1b7078274acfdce</t>
        </is>
      </c>
      <c r="O1111" s="14" t="n">
        <v>46185</v>
      </c>
      <c r="P1111" s="7" t="inlineStr">
        <is>
          <t>jobspy</t>
        </is>
      </c>
      <c r="Q1111" s="8" t="inlineStr">
        <is>
          <t>python</t>
        </is>
      </c>
      <c r="R1111" s="8" t="inlineStr">
        <is>
          <t>Junior Python Developer</t>
        </is>
      </c>
      <c r="S1111" s="19" t="n"/>
      <c r="T1111" s="19" t="n"/>
      <c r="U1111" s="14" t="n">
        <v>46191</v>
      </c>
      <c r="V1111" s="7" t="inlineStr">
        <is>
          <t>v2-cv-accuracy-13b988b18da8ea7d</t>
        </is>
      </c>
    </row>
    <row r="1112" ht="28" customHeight="1">
      <c r="A1112" s="12">
        <f>IF($L1112="applied","Applied",IF($L1112="interview","Interview",IF($L1112="offer","Offer",IF($L1112="rejected","Rejected",IF($L1112="ignore","Ignore",IF($L1112="archive","Archive",IF($L1112="closed","Closed",IF($B1112="","Unscored",IF(AND($B1112&gt;=8,OR($H1112="",$H1112-TODAY()&lt;=14)),"P1 Apply",IF($B1112&gt;=7,"P2 Strong",IF($B1112&gt;=5,"P3 Maybe","P4 Low")))))))))))</f>
        <v/>
      </c>
      <c r="B1112" s="13" t="n">
        <v>0.61</v>
      </c>
      <c r="C1112" s="12" t="inlineStr">
        <is>
          <t>Junior</t>
        </is>
      </c>
      <c r="D1112" s="8" t="inlineStr">
        <is>
          <t>Software Engineer</t>
        </is>
      </c>
      <c r="E1112" s="7" t="inlineStr">
        <is>
          <t>Harvey Nash</t>
        </is>
      </c>
      <c r="F1112" s="8" t="inlineStr">
        <is>
          <t>Manchester, England, UK</t>
        </is>
      </c>
      <c r="G1112" s="8" t="n"/>
      <c r="H1112" s="14" t="n"/>
      <c r="I1112" s="15">
        <f>IF($H1112="","",$H1112-TODAY())</f>
        <v/>
      </c>
      <c r="J1112" s="16" t="inlineStr">
        <is>
          <t>Open posting</t>
        </is>
      </c>
      <c r="K1112" s="8" t="inlineStr">
        <is>
          <t>filtered by keyword pre-scan</t>
        </is>
      </c>
      <c r="L1112" s="17" t="inlineStr">
        <is>
          <t>new</t>
        </is>
      </c>
      <c r="M1112" s="18" t="inlineStr"/>
      <c r="N1112" s="7" t="inlineStr">
        <is>
          <t>8318e081ececf7b900cd216b04057bf5e7512643</t>
        </is>
      </c>
      <c r="O1112" s="14" t="n">
        <v>46170</v>
      </c>
      <c r="P1112" s="7" t="inlineStr">
        <is>
          <t>jobspy</t>
        </is>
      </c>
      <c r="Q1112" s="8" t="inlineStr">
        <is>
          <t>python</t>
        </is>
      </c>
      <c r="R1112" s="8" t="inlineStr">
        <is>
          <t>graduate Junior Python Developer</t>
        </is>
      </c>
      <c r="S1112" s="19" t="n"/>
      <c r="T1112" s="19" t="n"/>
      <c r="U1112" s="14" t="n">
        <v>46191</v>
      </c>
      <c r="V1112" s="7" t="inlineStr">
        <is>
          <t>v2-cv-accuracy-13b988b18da8ea7d</t>
        </is>
      </c>
    </row>
    <row r="1113" ht="28" customHeight="1">
      <c r="A1113" s="12">
        <f>IF($L1113="applied","Applied",IF($L1113="interview","Interview",IF($L1113="offer","Offer",IF($L1113="rejected","Rejected",IF($L1113="ignore","Ignore",IF($L1113="archive","Archive",IF($L1113="closed","Closed",IF($B1113="","Unscored",IF(AND($B1113&gt;=8,OR($H1113="",$H1113-TODAY()&lt;=14)),"P1 Apply",IF($B1113&gt;=7,"P2 Strong",IF($B1113&gt;=5,"P3 Maybe","P4 Low")))))))))))</f>
        <v/>
      </c>
      <c r="B1113" s="13" t="n">
        <v>0.61</v>
      </c>
      <c r="C1113" s="12" t="inlineStr">
        <is>
          <t>Mid-level</t>
        </is>
      </c>
      <c r="D1113" s="8" t="inlineStr">
        <is>
          <t>Python Developer</t>
        </is>
      </c>
      <c r="E1113" s="7" t="inlineStr">
        <is>
          <t>Citi</t>
        </is>
      </c>
      <c r="F1113" s="8" t="inlineStr">
        <is>
          <t>Belfast, Northern Ireland, UK</t>
        </is>
      </c>
      <c r="G1113" s="8" t="n"/>
      <c r="H1113" s="14" t="n"/>
      <c r="I1113" s="15">
        <f>IF($H1113="","",$H1113-TODAY())</f>
        <v/>
      </c>
      <c r="J1113" s="16" t="inlineStr">
        <is>
          <t>Open posting</t>
        </is>
      </c>
      <c r="K1113" s="8" t="inlineStr">
        <is>
          <t>filtered by keyword pre-scan</t>
        </is>
      </c>
      <c r="L1113" s="17" t="inlineStr">
        <is>
          <t>new</t>
        </is>
      </c>
      <c r="M1113" s="18" t="inlineStr"/>
      <c r="N1113" s="7" t="inlineStr">
        <is>
          <t>1c01ad32f2a552f6d565e00612d07c6f63f44234</t>
        </is>
      </c>
      <c r="O1113" s="14" t="n">
        <v>46185</v>
      </c>
      <c r="P1113" s="7" t="inlineStr">
        <is>
          <t>jobspy</t>
        </is>
      </c>
      <c r="Q1113" s="8" t="inlineStr">
        <is>
          <t>python</t>
        </is>
      </c>
      <c r="R1113" s="8" t="inlineStr">
        <is>
          <t>junior/graduate Junior Python Developer</t>
        </is>
      </c>
      <c r="S1113" s="19" t="n"/>
      <c r="T1113" s="19" t="n"/>
      <c r="U1113" s="14" t="n">
        <v>46191</v>
      </c>
      <c r="V1113" s="7" t="inlineStr">
        <is>
          <t>v2-cv-accuracy-13b988b18da8ea7d</t>
        </is>
      </c>
    </row>
    <row r="1114" ht="28" customHeight="1">
      <c r="A1114" s="12">
        <f>IF($L1114="applied","Applied",IF($L1114="interview","Interview",IF($L1114="offer","Offer",IF($L1114="rejected","Rejected",IF($L1114="ignore","Ignore",IF($L1114="archive","Archive",IF($L1114="closed","Closed",IF($B1114="","Unscored",IF(AND($B1114&gt;=8,OR($H1114="",$H1114-TODAY()&lt;=14)),"P1 Apply",IF($B1114&gt;=7,"P2 Strong",IF($B1114&gt;=5,"P3 Maybe","P4 Low")))))))))))</f>
        <v/>
      </c>
      <c r="B1114" s="13" t="n">
        <v>0.61</v>
      </c>
      <c r="C1114" s="12" t="inlineStr">
        <is>
          <t>Junior</t>
        </is>
      </c>
      <c r="D1114" s="8" t="inlineStr">
        <is>
          <t>Junior Software Engineer</t>
        </is>
      </c>
      <c r="E1114" s="7" t="inlineStr">
        <is>
          <t>NCR Atleos</t>
        </is>
      </c>
      <c r="F1114" s="8" t="inlineStr">
        <is>
          <t>Dundee, Scotland, UK</t>
        </is>
      </c>
      <c r="G1114" s="8" t="n"/>
      <c r="H1114" s="14" t="n"/>
      <c r="I1114" s="15">
        <f>IF($H1114="","",$H1114-TODAY())</f>
        <v/>
      </c>
      <c r="J1114" s="16" t="inlineStr">
        <is>
          <t>Open posting</t>
        </is>
      </c>
      <c r="K1114" s="8" t="inlineStr">
        <is>
          <t>filtered by keyword pre-scan</t>
        </is>
      </c>
      <c r="L1114" s="17" t="inlineStr">
        <is>
          <t>new</t>
        </is>
      </c>
      <c r="M1114" s="18" t="inlineStr"/>
      <c r="N1114" s="7" t="inlineStr">
        <is>
          <t>6c1ce46ee9b29017f2fc141e6147067ef6076fb9</t>
        </is>
      </c>
      <c r="O1114" s="14" t="n">
        <v>46190</v>
      </c>
      <c r="P1114" s="7" t="inlineStr">
        <is>
          <t>jobspy</t>
        </is>
      </c>
      <c r="Q1114" s="8" t="inlineStr">
        <is>
          <t>software development</t>
        </is>
      </c>
      <c r="R1114" s="8" t="inlineStr">
        <is>
          <t>junior Graduate Software Developer</t>
        </is>
      </c>
      <c r="S1114" s="19" t="n"/>
      <c r="T1114" s="19" t="n"/>
      <c r="U1114" s="14" t="n">
        <v>46191</v>
      </c>
      <c r="V1114" s="7" t="inlineStr">
        <is>
          <t>v2-cv-accuracy-13b988b18da8ea7d</t>
        </is>
      </c>
    </row>
    <row r="1115" ht="28" customHeight="1">
      <c r="A1115" s="12">
        <f>IF($L1115="applied","Applied",IF($L1115="interview","Interview",IF($L1115="offer","Offer",IF($L1115="rejected","Rejected",IF($L1115="ignore","Ignore",IF($L1115="archive","Archive",IF($L1115="closed","Closed",IF($B1115="","Unscored",IF(AND($B1115&gt;=8,OR($H1115="",$H1115-TODAY()&lt;=14)),"P1 Apply",IF($B1115&gt;=7,"P2 Strong",IF($B1115&gt;=5,"P3 Maybe","P4 Low")))))))))))</f>
        <v/>
      </c>
      <c r="B1115" s="13" t="n">
        <v>0.61</v>
      </c>
      <c r="C1115" s="12" t="inlineStr">
        <is>
          <t>Mid-level</t>
        </is>
      </c>
      <c r="D1115" s="8" t="inlineStr">
        <is>
          <t>General Postdoctoral Researcher (Masters/PhDs)</t>
        </is>
      </c>
      <c r="E1115" s="7" t="inlineStr">
        <is>
          <t>Alignerr</t>
        </is>
      </c>
      <c r="F1115" s="8" t="inlineStr">
        <is>
          <t>Cambridge, England, UK</t>
        </is>
      </c>
      <c r="G1115" s="8" t="n"/>
      <c r="H1115" s="14" t="n"/>
      <c r="I1115" s="15">
        <f>IF($H1115="","",$H1115-TODAY())</f>
        <v/>
      </c>
      <c r="J1115" s="16" t="inlineStr">
        <is>
          <t>Open posting</t>
        </is>
      </c>
      <c r="K1115" s="8" t="inlineStr">
        <is>
          <t>filtered by keyword pre-scan</t>
        </is>
      </c>
      <c r="L1115" s="17" t="inlineStr">
        <is>
          <t>new</t>
        </is>
      </c>
      <c r="M1115" s="18" t="inlineStr"/>
      <c r="N1115" s="7" t="inlineStr">
        <is>
          <t>61a6845ce22a20e2b4e70b465337bf3c839beb91</t>
        </is>
      </c>
      <c r="O1115" s="14" t="n"/>
      <c r="P1115" s="7" t="inlineStr">
        <is>
          <t>jobspy</t>
        </is>
      </c>
      <c r="Q1115" s="8" t="inlineStr">
        <is>
          <t>python</t>
        </is>
      </c>
      <c r="R1115" s="8" t="inlineStr">
        <is>
          <t>entry level Graduate Software Developer</t>
        </is>
      </c>
      <c r="S1115" s="19" t="n"/>
      <c r="T1115" s="19" t="n"/>
      <c r="U1115" s="14" t="n">
        <v>46191</v>
      </c>
      <c r="V1115" s="7" t="inlineStr">
        <is>
          <t>v2-cv-accuracy-13b988b18da8ea7d</t>
        </is>
      </c>
    </row>
    <row r="1116" ht="28" customHeight="1">
      <c r="A1116" s="12">
        <f>IF($L1116="applied","Applied",IF($L1116="interview","Interview",IF($L1116="offer","Offer",IF($L1116="rejected","Rejected",IF($L1116="ignore","Ignore",IF($L1116="archive","Archive",IF($L1116="closed","Closed",IF($B1116="","Unscored",IF(AND($B1116&gt;=8,OR($H1116="",$H1116-TODAY()&lt;=14)),"P1 Apply",IF($B1116&gt;=7,"P2 Strong",IF($B1116&gt;=5,"P3 Maybe","P4 Low")))))))))))</f>
        <v/>
      </c>
      <c r="B1116" s="13" t="n">
        <v>0.61</v>
      </c>
      <c r="C1116" s="12" t="inlineStr">
        <is>
          <t>Unspecified</t>
        </is>
      </c>
      <c r="D1116" s="8" t="inlineStr">
        <is>
          <t>Software Developer</t>
        </is>
      </c>
      <c r="E1116" s="7" t="inlineStr">
        <is>
          <t>Skuuudle | Better Pricing Intelligence</t>
        </is>
      </c>
      <c r="F1116" s="8" t="inlineStr"/>
      <c r="G1116" s="8" t="n"/>
      <c r="H1116" s="14" t="n"/>
      <c r="I1116" s="15">
        <f>IF($H1116="","",$H1116-TODAY())</f>
        <v/>
      </c>
      <c r="J1116" s="16" t="inlineStr">
        <is>
          <t>Open posting</t>
        </is>
      </c>
      <c r="K1116" s="8" t="inlineStr">
        <is>
          <t>filtered by keyword pre-scan</t>
        </is>
      </c>
      <c r="L1116" s="17" t="inlineStr">
        <is>
          <t>new</t>
        </is>
      </c>
      <c r="M1116" s="18" t="inlineStr"/>
      <c r="N1116" s="7" t="inlineStr">
        <is>
          <t>d114f7f3740a38fe320008f2c7f5f705ea22ad94</t>
        </is>
      </c>
      <c r="O1116" s="14" t="n">
        <v>46171</v>
      </c>
      <c r="P1116" s="7" t="inlineStr">
        <is>
          <t>jobspy</t>
        </is>
      </c>
      <c r="Q1116" s="8" t="inlineStr">
        <is>
          <t>python</t>
        </is>
      </c>
      <c r="R1116" s="8" t="inlineStr">
        <is>
          <t>Junior Python Developer Sheffield</t>
        </is>
      </c>
      <c r="S1116" s="19" t="n"/>
      <c r="T1116" s="19" t="n"/>
      <c r="U1116" s="14" t="n">
        <v>46191</v>
      </c>
      <c r="V1116" s="7" t="inlineStr">
        <is>
          <t>v2-cv-accuracy-13b988b18da8ea7d</t>
        </is>
      </c>
    </row>
    <row r="1117" ht="28" customHeight="1">
      <c r="A1117" s="12">
        <f>IF($L1117="applied","Applied",IF($L1117="interview","Interview",IF($L1117="offer","Offer",IF($L1117="rejected","Rejected",IF($L1117="ignore","Ignore",IF($L1117="archive","Archive",IF($L1117="closed","Closed",IF($B1117="","Unscored",IF(AND($B1117&gt;=8,OR($H1117="",$H1117-TODAY()&lt;=14)),"P1 Apply",IF($B1117&gt;=7,"P2 Strong",IF($B1117&gt;=5,"P3 Maybe","P4 Low")))))))))))</f>
        <v/>
      </c>
      <c r="B1117" s="13" t="n">
        <v>0.61</v>
      </c>
      <c r="C1117" s="12" t="inlineStr">
        <is>
          <t>Unspecified</t>
        </is>
      </c>
      <c r="D1117" s="8" t="inlineStr">
        <is>
          <t>Python Developer</t>
        </is>
      </c>
      <c r="E1117" s="7" t="inlineStr">
        <is>
          <t>Venture Up</t>
        </is>
      </c>
      <c r="F1117" s="8" t="inlineStr">
        <is>
          <t>London Area, United Kingdom</t>
        </is>
      </c>
      <c r="G1117" s="8" t="n"/>
      <c r="H1117" s="14" t="n"/>
      <c r="I1117" s="15">
        <f>IF($H1117="","",$H1117-TODAY())</f>
        <v/>
      </c>
      <c r="J1117" s="16" t="inlineStr">
        <is>
          <t>Open posting</t>
        </is>
      </c>
      <c r="K1117" s="8" t="inlineStr">
        <is>
          <t>filtered by keyword pre-scan</t>
        </is>
      </c>
      <c r="L1117" s="17" t="inlineStr">
        <is>
          <t>new</t>
        </is>
      </c>
      <c r="M1117" s="18" t="inlineStr"/>
      <c r="N1117" s="7" t="inlineStr">
        <is>
          <t>5f73d52c5c5f9114a67d4a2e17555ac7b95c7458</t>
        </is>
      </c>
      <c r="O1117" s="14" t="n"/>
      <c r="P1117" s="7" t="inlineStr">
        <is>
          <t>jobspy</t>
        </is>
      </c>
      <c r="Q1117" s="8" t="inlineStr">
        <is>
          <t>python</t>
        </is>
      </c>
      <c r="R1117" s="8" t="inlineStr">
        <is>
          <t>graduate Junior Python Developer</t>
        </is>
      </c>
      <c r="S1117" s="19" t="n"/>
      <c r="T1117" s="19" t="n"/>
      <c r="U1117" s="14" t="n">
        <v>46191</v>
      </c>
      <c r="V1117" s="7" t="inlineStr">
        <is>
          <t>v2-cv-accuracy-13b988b18da8ea7d</t>
        </is>
      </c>
    </row>
    <row r="1118" ht="28" customHeight="1">
      <c r="A1118" s="12">
        <f>IF($L1118="applied","Applied",IF($L1118="interview","Interview",IF($L1118="offer","Offer",IF($L1118="rejected","Rejected",IF($L1118="ignore","Ignore",IF($L1118="archive","Archive",IF($L1118="closed","Closed",IF($B1118="","Unscored",IF(AND($B1118&gt;=8,OR($H1118="",$H1118-TODAY()&lt;=14)),"P1 Apply",IF($B1118&gt;=7,"P2 Strong",IF($B1118&gt;=5,"P3 Maybe","P4 Low")))))))))))</f>
        <v/>
      </c>
      <c r="B1118" s="13" t="n">
        <v>0.61</v>
      </c>
      <c r="C1118" s="12" t="inlineStr">
        <is>
          <t>Unspecified</t>
        </is>
      </c>
      <c r="D1118" s="8" t="inlineStr">
        <is>
          <t>Python后台开发工程师</t>
        </is>
      </c>
      <c r="E1118" s="7" t="inlineStr">
        <is>
          <t>南京德睿能源研究院有限公司</t>
        </is>
      </c>
      <c r="F1118" s="8" t="inlineStr">
        <is>
          <t>Nanjing, Jiangsu, China</t>
        </is>
      </c>
      <c r="G1118" s="8" t="n"/>
      <c r="H1118" s="14" t="n"/>
      <c r="I1118" s="15">
        <f>IF($H1118="","",$H1118-TODAY())</f>
        <v/>
      </c>
      <c r="J1118" s="16" t="inlineStr">
        <is>
          <t>Open posting</t>
        </is>
      </c>
      <c r="K1118" s="8" t="inlineStr">
        <is>
          <t>filtered by keyword pre-scan</t>
        </is>
      </c>
      <c r="L1118" s="17" t="inlineStr">
        <is>
          <t>new</t>
        </is>
      </c>
      <c r="M1118" s="18" t="inlineStr"/>
      <c r="N1118" s="7" t="inlineStr">
        <is>
          <t>173d78c4311895681e4274b038fce558e98ad9a3</t>
        </is>
      </c>
      <c r="O1118" s="14" t="n">
        <v>46175</v>
      </c>
      <c r="P1118" s="7" t="inlineStr">
        <is>
          <t>jobspy</t>
        </is>
      </c>
      <c r="Q1118" s="8" t="inlineStr">
        <is>
          <t>python</t>
        </is>
      </c>
      <c r="R1118" s="8" t="inlineStr">
        <is>
          <t>junior/graduate Junior Python Developer</t>
        </is>
      </c>
      <c r="S1118" s="19" t="n"/>
      <c r="T1118" s="19" t="n"/>
      <c r="U1118" s="14" t="n">
        <v>46191</v>
      </c>
      <c r="V1118" s="7" t="inlineStr">
        <is>
          <t>v2-cv-accuracy-13b988b18da8ea7d</t>
        </is>
      </c>
    </row>
    <row r="1119" ht="28" customHeight="1">
      <c r="A1119" s="12">
        <f>IF($L1119="applied","Applied",IF($L1119="interview","Interview",IF($L1119="offer","Offer",IF($L1119="rejected","Rejected",IF($L1119="ignore","Ignore",IF($L1119="archive","Archive",IF($L1119="closed","Closed",IF($B1119="","Unscored",IF(AND($B1119&gt;=8,OR($H1119="",$H1119-TODAY()&lt;=14)),"P1 Apply",IF($B1119&gt;=7,"P2 Strong",IF($B1119&gt;=5,"P3 Maybe","P4 Low")))))))))))</f>
        <v/>
      </c>
      <c r="B1119" s="13" t="n">
        <v>0.61</v>
      </c>
      <c r="C1119" s="12" t="inlineStr">
        <is>
          <t>Unspecified</t>
        </is>
      </c>
      <c r="D1119" s="8" t="inlineStr">
        <is>
          <t>python软件开发工程师</t>
        </is>
      </c>
      <c r="E1119" s="7" t="inlineStr">
        <is>
          <t>陕西欣华自动化科技有限公司</t>
        </is>
      </c>
      <c r="F1119" s="8" t="inlineStr">
        <is>
          <t>Xi'an, Shaanxi, China</t>
        </is>
      </c>
      <c r="G1119" s="8" t="n"/>
      <c r="H1119" s="14" t="n"/>
      <c r="I1119" s="15">
        <f>IF($H1119="","",$H1119-TODAY())</f>
        <v/>
      </c>
      <c r="J1119" s="16" t="inlineStr">
        <is>
          <t>Open posting</t>
        </is>
      </c>
      <c r="K1119" s="8" t="inlineStr">
        <is>
          <t>filtered by keyword pre-scan</t>
        </is>
      </c>
      <c r="L1119" s="17" t="inlineStr">
        <is>
          <t>new</t>
        </is>
      </c>
      <c r="M1119" s="18" t="inlineStr"/>
      <c r="N1119" s="7" t="inlineStr">
        <is>
          <t>fb42c7c8b9dca833131e33a35601c4ebdfafe3f2</t>
        </is>
      </c>
      <c r="O1119" s="14" t="n">
        <v>46171</v>
      </c>
      <c r="P1119" s="7" t="inlineStr">
        <is>
          <t>jobspy</t>
        </is>
      </c>
      <c r="Q1119" s="8" t="inlineStr">
        <is>
          <t>python</t>
        </is>
      </c>
      <c r="R1119" s="8" t="inlineStr">
        <is>
          <t>junior/graduate Junior Python Developer</t>
        </is>
      </c>
      <c r="S1119" s="19" t="n"/>
      <c r="T1119" s="19" t="n"/>
      <c r="U1119" s="14" t="n">
        <v>46191</v>
      </c>
      <c r="V1119" s="7" t="inlineStr">
        <is>
          <t>v2-cv-accuracy-13b988b18da8ea7d</t>
        </is>
      </c>
    </row>
    <row r="1120" ht="28" customHeight="1">
      <c r="A1120" s="12">
        <f>IF($L1120="applied","Applied",IF($L1120="interview","Interview",IF($L1120="offer","Offer",IF($L1120="rejected","Rejected",IF($L1120="ignore","Ignore",IF($L1120="archive","Archive",IF($L1120="closed","Closed",IF($B1120="","Unscored",IF(AND($B1120&gt;=8,OR($H1120="",$H1120-TODAY()&lt;=14)),"P1 Apply",IF($B1120&gt;=7,"P2 Strong",IF($B1120&gt;=5,"P3 Maybe","P4 Low")))))))))))</f>
        <v/>
      </c>
      <c r="B1120" s="13" t="n">
        <v>0.61</v>
      </c>
      <c r="C1120" s="12" t="inlineStr">
        <is>
          <t>Mid-level</t>
        </is>
      </c>
      <c r="D1120" s="8" t="inlineStr">
        <is>
          <t>Software Engineer - Front end</t>
        </is>
      </c>
      <c r="E1120" s="7" t="inlineStr">
        <is>
          <t>On the Beach</t>
        </is>
      </c>
      <c r="F1120" s="8" t="inlineStr">
        <is>
          <t>Manchester, England, UK</t>
        </is>
      </c>
      <c r="G1120" s="8" t="n"/>
      <c r="H1120" s="14" t="n"/>
      <c r="I1120" s="15">
        <f>IF($H1120="","",$H1120-TODAY())</f>
        <v/>
      </c>
      <c r="J1120" s="16" t="inlineStr">
        <is>
          <t>Open posting</t>
        </is>
      </c>
      <c r="K1120" s="8" t="inlineStr">
        <is>
          <t>filtered by keyword pre-scan</t>
        </is>
      </c>
      <c r="L1120" s="17" t="inlineStr">
        <is>
          <t>new</t>
        </is>
      </c>
      <c r="M1120" s="18" t="inlineStr"/>
      <c r="N1120" s="7" t="inlineStr">
        <is>
          <t>436c05777652b9b8976eca2df5ed3496d24dd238</t>
        </is>
      </c>
      <c r="O1120" s="14" t="n">
        <v>46181</v>
      </c>
      <c r="P1120" s="7" t="inlineStr">
        <is>
          <t>jobspy</t>
        </is>
      </c>
      <c r="Q1120" s="8" t="inlineStr"/>
      <c r="R1120" s="8" t="inlineStr">
        <is>
          <t>Full Stack Developer Sheffield</t>
        </is>
      </c>
      <c r="S1120" s="19" t="n"/>
      <c r="T1120" s="19" t="n"/>
      <c r="U1120" s="14" t="n">
        <v>46191</v>
      </c>
      <c r="V1120" s="7" t="inlineStr">
        <is>
          <t>v2-cv-accuracy-13b988b18da8ea7d</t>
        </is>
      </c>
    </row>
    <row r="1121" ht="28" customHeight="1">
      <c r="A1121" s="12">
        <f>IF($L1121="applied","Applied",IF($L1121="interview","Interview",IF($L1121="offer","Offer",IF($L1121="rejected","Rejected",IF($L1121="ignore","Ignore",IF($L1121="archive","Archive",IF($L1121="closed","Closed",IF($B1121="","Unscored",IF(AND($B1121&gt;=8,OR($H1121="",$H1121-TODAY()&lt;=14)),"P1 Apply",IF($B1121&gt;=7,"P2 Strong",IF($B1121&gt;=5,"P3 Maybe","P4 Low")))))))))))</f>
        <v/>
      </c>
      <c r="B1121" s="13" t="n">
        <v>0.61</v>
      </c>
      <c r="C1121" s="12" t="inlineStr">
        <is>
          <t>Mid-level</t>
        </is>
      </c>
      <c r="D1121" s="8" t="inlineStr">
        <is>
          <t>Software Engineer</t>
        </is>
      </c>
      <c r="E1121" s="7" t="inlineStr">
        <is>
          <t>Dayshape</t>
        </is>
      </c>
      <c r="F1121" s="8" t="inlineStr">
        <is>
          <t>Edinburgh, Scotland, UK</t>
        </is>
      </c>
      <c r="G1121" s="8" t="n"/>
      <c r="H1121" s="14" t="n"/>
      <c r="I1121" s="15">
        <f>IF($H1121="","",$H1121-TODAY())</f>
        <v/>
      </c>
      <c r="J1121" s="16" t="inlineStr">
        <is>
          <t>Open posting</t>
        </is>
      </c>
      <c r="K1121" s="8" t="inlineStr">
        <is>
          <t>filtered by keyword pre-scan</t>
        </is>
      </c>
      <c r="L1121" s="17" t="inlineStr">
        <is>
          <t>new</t>
        </is>
      </c>
      <c r="M1121" s="18" t="inlineStr"/>
      <c r="N1121" s="7" t="inlineStr">
        <is>
          <t>54dea6e22a3ef9790d9ea1a0955bbebdd49da5de</t>
        </is>
      </c>
      <c r="O1121" s="14" t="n">
        <v>46170</v>
      </c>
      <c r="P1121" s="7" t="inlineStr">
        <is>
          <t>jobspy</t>
        </is>
      </c>
      <c r="Q1121" s="8" t="inlineStr">
        <is>
          <t>git</t>
        </is>
      </c>
      <c r="R1121" s="8" t="inlineStr">
        <is>
          <t>Full Stack Developer</t>
        </is>
      </c>
      <c r="S1121" s="19" t="n"/>
      <c r="T1121" s="19" t="n"/>
      <c r="U1121" s="14" t="n">
        <v>46191</v>
      </c>
      <c r="V1121" s="7" t="inlineStr">
        <is>
          <t>v2-cv-accuracy-13b988b18da8ea7d</t>
        </is>
      </c>
    </row>
    <row r="1122" ht="28" customHeight="1">
      <c r="A1122" s="12">
        <f>IF($L1122="applied","Applied",IF($L1122="interview","Interview",IF($L1122="offer","Offer",IF($L1122="rejected","Rejected",IF($L1122="ignore","Ignore",IF($L1122="archive","Archive",IF($L1122="closed","Closed",IF($B1122="","Unscored",IF(AND($B1122&gt;=8,OR($H1122="",$H1122-TODAY()&lt;=14)),"P1 Apply",IF($B1122&gt;=7,"P2 Strong",IF($B1122&gt;=5,"P3 Maybe","P4 Low")))))))))))</f>
        <v/>
      </c>
      <c r="B1122" s="13" t="n">
        <v>0.61</v>
      </c>
      <c r="C1122" s="12" t="inlineStr">
        <is>
          <t>Junior</t>
        </is>
      </c>
      <c r="D1122" s="8" t="inlineStr">
        <is>
          <t>Software Engineer</t>
        </is>
      </c>
      <c r="E1122" s="7" t="inlineStr">
        <is>
          <t>BioTalent</t>
        </is>
      </c>
      <c r="F1122" s="8" t="inlineStr"/>
      <c r="G1122" s="8" t="n"/>
      <c r="H1122" s="14" t="n"/>
      <c r="I1122" s="15">
        <f>IF($H1122="","",$H1122-TODAY())</f>
        <v/>
      </c>
      <c r="J1122" s="16" t="inlineStr">
        <is>
          <t>Open posting</t>
        </is>
      </c>
      <c r="K1122" s="8" t="inlineStr">
        <is>
          <t>filtered by keyword pre-scan</t>
        </is>
      </c>
      <c r="L1122" s="17" t="inlineStr">
        <is>
          <t>new</t>
        </is>
      </c>
      <c r="M1122" s="18" t="inlineStr"/>
      <c r="N1122" s="7" t="inlineStr">
        <is>
          <t>702040c4aa187df11a7e515adb298d5b280fc81b</t>
        </is>
      </c>
      <c r="O1122" s="14" t="n">
        <v>46189</v>
      </c>
      <c r="P1122" s="7" t="inlineStr">
        <is>
          <t>jobspy</t>
        </is>
      </c>
      <c r="Q1122" s="8" t="inlineStr">
        <is>
          <t>python</t>
        </is>
      </c>
      <c r="R1122" s="8" t="inlineStr">
        <is>
          <t>Junior Python Developer remote</t>
        </is>
      </c>
      <c r="S1122" s="19" t="n"/>
      <c r="T1122" s="19" t="n"/>
      <c r="U1122" s="14" t="n">
        <v>46191</v>
      </c>
      <c r="V1122" s="7" t="inlineStr">
        <is>
          <t>v2-cv-accuracy-13b988b18da8ea7d</t>
        </is>
      </c>
    </row>
    <row r="1123" ht="28" customHeight="1">
      <c r="A1123" s="12">
        <f>IF($L1123="applied","Applied",IF($L1123="interview","Interview",IF($L1123="offer","Offer",IF($L1123="rejected","Rejected",IF($L1123="ignore","Ignore",IF($L1123="archive","Archive",IF($L1123="closed","Closed",IF($B1123="","Unscored",IF(AND($B1123&gt;=8,OR($H1123="",$H1123-TODAY()&lt;=14)),"P1 Apply",IF($B1123&gt;=7,"P2 Strong",IF($B1123&gt;=5,"P3 Maybe","P4 Low")))))))))))</f>
        <v/>
      </c>
      <c r="B1123" s="13" t="n">
        <v>0.61</v>
      </c>
      <c r="C1123" s="12" t="inlineStr">
        <is>
          <t>Unspecified</t>
        </is>
      </c>
      <c r="D1123" s="8" t="inlineStr">
        <is>
          <t>Full Stack Python Engineer</t>
        </is>
      </c>
      <c r="E1123" s="7" t="inlineStr">
        <is>
          <t>La Fosse</t>
        </is>
      </c>
      <c r="F1123" s="8" t="inlineStr"/>
      <c r="G1123" s="8" t="n"/>
      <c r="H1123" s="14" t="n"/>
      <c r="I1123" s="15">
        <f>IF($H1123="","",$H1123-TODAY())</f>
        <v/>
      </c>
      <c r="J1123" s="16" t="inlineStr">
        <is>
          <t>Open posting</t>
        </is>
      </c>
      <c r="K1123" s="8" t="inlineStr">
        <is>
          <t>filtered by keyword pre-scan</t>
        </is>
      </c>
      <c r="L1123" s="17" t="inlineStr">
        <is>
          <t>new</t>
        </is>
      </c>
      <c r="M1123" s="18" t="inlineStr"/>
      <c r="N1123" s="7" t="inlineStr">
        <is>
          <t>a721565e0906fee30aa1d585cbabfb1c8b4b01c8</t>
        </is>
      </c>
      <c r="O1123" s="14" t="n">
        <v>46178</v>
      </c>
      <c r="P1123" s="7" t="inlineStr">
        <is>
          <t>jobspy</t>
        </is>
      </c>
      <c r="Q1123" s="8" t="inlineStr">
        <is>
          <t>python</t>
        </is>
      </c>
      <c r="R1123" s="8" t="inlineStr">
        <is>
          <t>Junior Python Developer remote</t>
        </is>
      </c>
      <c r="S1123" s="19" t="n"/>
      <c r="T1123" s="19" t="n"/>
      <c r="U1123" s="14" t="n">
        <v>46191</v>
      </c>
      <c r="V1123" s="7" t="inlineStr">
        <is>
          <t>v2-cv-accuracy-13b988b18da8ea7d</t>
        </is>
      </c>
    </row>
    <row r="1124" ht="28" customHeight="1">
      <c r="A1124" s="12">
        <f>IF($L1124="applied","Applied",IF($L1124="interview","Interview",IF($L1124="offer","Offer",IF($L1124="rejected","Rejected",IF($L1124="ignore","Ignore",IF($L1124="archive","Archive",IF($L1124="closed","Closed",IF($B1124="","Unscored",IF(AND($B1124&gt;=8,OR($H1124="",$H1124-TODAY()&lt;=14)),"P1 Apply",IF($B1124&gt;=7,"P2 Strong",IF($B1124&gt;=5,"P3 Maybe","P4 Low")))))))))))</f>
        <v/>
      </c>
      <c r="B1124" s="13" t="n">
        <v>0.54</v>
      </c>
      <c r="C1124" s="12" t="inlineStr">
        <is>
          <t>Senior/Lead</t>
        </is>
      </c>
      <c r="D1124" s="8" t="inlineStr">
        <is>
          <t>Frontend Developer</t>
        </is>
      </c>
      <c r="E1124" s="7" t="inlineStr">
        <is>
          <t>Workonomics</t>
        </is>
      </c>
      <c r="F1124" s="8" t="inlineStr">
        <is>
          <t>London Area, United Kingdom</t>
        </is>
      </c>
      <c r="G1124" s="8" t="n"/>
      <c r="H1124" s="14" t="n"/>
      <c r="I1124" s="15">
        <f>IF($H1124="","",$H1124-TODAY())</f>
        <v/>
      </c>
      <c r="J1124" s="16" t="inlineStr">
        <is>
          <t>Open posting</t>
        </is>
      </c>
      <c r="K1124" s="8" t="inlineStr">
        <is>
          <t>filtered by keyword pre-scan</t>
        </is>
      </c>
      <c r="L1124" s="17" t="inlineStr">
        <is>
          <t>new</t>
        </is>
      </c>
      <c r="M1124" s="18" t="inlineStr"/>
      <c r="N1124" s="7" t="inlineStr">
        <is>
          <t>3166f956b3cbe1f225f589c7ed9855e5fba595d8</t>
        </is>
      </c>
      <c r="O1124" s="14" t="n">
        <v>46185</v>
      </c>
      <c r="P1124" s="7" t="inlineStr">
        <is>
          <t>jobspy</t>
        </is>
      </c>
      <c r="Q1124" s="8" t="inlineStr">
        <is>
          <t>c</t>
        </is>
      </c>
      <c r="R1124" s="8" t="inlineStr">
        <is>
          <t>Junior Full Stack Developer JavaScript Node.js Python</t>
        </is>
      </c>
      <c r="S1124" s="19" t="n"/>
      <c r="T1124" s="19" t="n"/>
      <c r="U1124" s="14" t="n">
        <v>46193</v>
      </c>
      <c r="V1124" s="7" t="inlineStr">
        <is>
          <t>v2-cv-accuracy-13b988b18da8ea7d</t>
        </is>
      </c>
    </row>
    <row r="1125" ht="28" customHeight="1">
      <c r="A1125" s="12">
        <f>IF($L1125="applied","Applied",IF($L1125="interview","Interview",IF($L1125="offer","Offer",IF($L1125="rejected","Rejected",IF($L1125="ignore","Ignore",IF($L1125="archive","Archive",IF($L1125="closed","Closed",IF($B1125="","Unscored",IF(AND($B1125&gt;=8,OR($H1125="",$H1125-TODAY()&lt;=14)),"P1 Apply",IF($B1125&gt;=7,"P2 Strong",IF($B1125&gt;=5,"P3 Maybe","P4 Low")))))))))))</f>
        <v/>
      </c>
      <c r="B1125" s="13" t="n">
        <v>0.54</v>
      </c>
      <c r="C1125" s="12" t="inlineStr">
        <is>
          <t>Unspecified</t>
        </is>
      </c>
      <c r="D1125" s="8" t="inlineStr">
        <is>
          <t>Embedded Software Engineers</t>
        </is>
      </c>
      <c r="E1125" s="7" t="inlineStr">
        <is>
          <t>Leonardo</t>
        </is>
      </c>
      <c r="F1125" s="8" t="inlineStr">
        <is>
          <t>Southampton, England, UK</t>
        </is>
      </c>
      <c r="G1125" s="8" t="n"/>
      <c r="H1125" s="14" t="n"/>
      <c r="I1125" s="15">
        <f>IF($H1125="","",$H1125-TODAY())</f>
        <v/>
      </c>
      <c r="J1125" s="16" t="inlineStr">
        <is>
          <t>Open posting</t>
        </is>
      </c>
      <c r="K1125" s="8" t="inlineStr">
        <is>
          <t>filtered by keyword pre-scan</t>
        </is>
      </c>
      <c r="L1125" s="17" t="inlineStr">
        <is>
          <t>new</t>
        </is>
      </c>
      <c r="M1125" s="18" t="inlineStr"/>
      <c r="N1125" s="7" t="inlineStr">
        <is>
          <t>bce664a7775c77486de249f4bb470937c6d56edd</t>
        </is>
      </c>
      <c r="O1125" s="14" t="n">
        <v>46175</v>
      </c>
      <c r="P1125" s="7" t="inlineStr">
        <is>
          <t>jobspy</t>
        </is>
      </c>
      <c r="Q1125" s="8" t="inlineStr">
        <is>
          <t>c</t>
        </is>
      </c>
      <c r="R1125" s="8" t="inlineStr">
        <is>
          <t>Junior Embedded Software Engineer STM32</t>
        </is>
      </c>
      <c r="S1125" s="19" t="n"/>
      <c r="T1125" s="19" t="n"/>
      <c r="U1125" s="14" t="n">
        <v>46193</v>
      </c>
      <c r="V1125" s="7" t="inlineStr">
        <is>
          <t>v2-cv-accuracy-13b988b18da8ea7d</t>
        </is>
      </c>
    </row>
    <row r="1126" ht="28" customHeight="1">
      <c r="A1126" s="12">
        <f>IF($L1126="applied","Applied",IF($L1126="interview","Interview",IF($L1126="offer","Offer",IF($L1126="rejected","Rejected",IF($L1126="ignore","Ignore",IF($L1126="archive","Archive",IF($L1126="closed","Closed",IF($B1126="","Unscored",IF(AND($B1126&gt;=8,OR($H1126="",$H1126-TODAY()&lt;=14)),"P1 Apply",IF($B1126&gt;=7,"P2 Strong",IF($B1126&gt;=5,"P3 Maybe","P4 Low")))))))))))</f>
        <v/>
      </c>
      <c r="B1126" s="13" t="n">
        <v>0.54</v>
      </c>
      <c r="C1126" s="12" t="inlineStr">
        <is>
          <t>Mid-level</t>
        </is>
      </c>
      <c r="D1126" s="8" t="inlineStr">
        <is>
          <t>Network Programmer</t>
        </is>
      </c>
      <c r="E1126" s="7" t="inlineStr">
        <is>
          <t>Steel City Interactive</t>
        </is>
      </c>
      <c r="F1126" s="8" t="inlineStr"/>
      <c r="G1126" s="8" t="n"/>
      <c r="H1126" s="14" t="n"/>
      <c r="I1126" s="15">
        <f>IF($H1126="","",$H1126-TODAY())</f>
        <v/>
      </c>
      <c r="J1126" s="16" t="inlineStr">
        <is>
          <t>Open posting</t>
        </is>
      </c>
      <c r="K1126" s="8" t="inlineStr">
        <is>
          <t>filtered by keyword pre-scan</t>
        </is>
      </c>
      <c r="L1126" s="17" t="inlineStr">
        <is>
          <t>new</t>
        </is>
      </c>
      <c r="M1126" s="18" t="inlineStr"/>
      <c r="N1126" s="7" t="inlineStr">
        <is>
          <t>97a74fda3e5bcbe9b66b3db3b8b9c0a26d8121bd</t>
        </is>
      </c>
      <c r="O1126" s="14" t="n">
        <v>46185</v>
      </c>
      <c r="P1126" s="7" t="inlineStr">
        <is>
          <t>jobspy</t>
        </is>
      </c>
      <c r="Q1126" s="8" t="inlineStr">
        <is>
          <t>c</t>
        </is>
      </c>
      <c r="R1126" s="8" t="inlineStr">
        <is>
          <t>Graduate Hardware Engineer Sheffield</t>
        </is>
      </c>
      <c r="S1126" s="19" t="n"/>
      <c r="T1126" s="19" t="n"/>
      <c r="U1126" s="14" t="n">
        <v>46192</v>
      </c>
      <c r="V1126" s="7" t="inlineStr">
        <is>
          <t>v2-cv-accuracy-13b988b18da8ea7d</t>
        </is>
      </c>
    </row>
    <row r="1127" ht="28" customHeight="1">
      <c r="A1127" s="12">
        <f>IF($L1127="applied","Applied",IF($L1127="interview","Interview",IF($L1127="offer","Offer",IF($L1127="rejected","Rejected",IF($L1127="ignore","Ignore",IF($L1127="archive","Archive",IF($L1127="closed","Closed",IF($B1127="","Unscored",IF(AND($B1127&gt;=8,OR($H1127="",$H1127-TODAY()&lt;=14)),"P1 Apply",IF($B1127&gt;=7,"P2 Strong",IF($B1127&gt;=5,"P3 Maybe","P4 Low")))))))))))</f>
        <v/>
      </c>
      <c r="B1127" s="13" t="n">
        <v>0.54</v>
      </c>
      <c r="C1127" s="12" t="inlineStr">
        <is>
          <t>Graduate/Entry</t>
        </is>
      </c>
      <c r="D1127" s="8" t="inlineStr">
        <is>
          <t>STEM WOMEN 2026/2027 Graduate Opportunities</t>
        </is>
      </c>
      <c r="E1127" s="7" t="inlineStr">
        <is>
          <t>Nova Systems</t>
        </is>
      </c>
      <c r="F1127" s="8" t="inlineStr">
        <is>
          <t>Bristol, ENG, GB</t>
        </is>
      </c>
      <c r="G1127" s="8" t="n"/>
      <c r="H1127" s="14" t="n"/>
      <c r="I1127" s="15">
        <f>IF($H1127="","",$H1127-TODAY())</f>
        <v/>
      </c>
      <c r="J1127" s="16" t="inlineStr">
        <is>
          <t>Open posting</t>
        </is>
      </c>
      <c r="K1127" s="8" t="inlineStr">
        <is>
          <t>filtered by keyword pre-scan</t>
        </is>
      </c>
      <c r="L1127" s="17" t="inlineStr">
        <is>
          <t>new</t>
        </is>
      </c>
      <c r="M1127" s="18" t="inlineStr"/>
      <c r="N1127" s="7" t="inlineStr">
        <is>
          <t>9f4b3d9fc62db43b3428dec43d0d90d26c931e98</t>
        </is>
      </c>
      <c r="O1127" s="14" t="n">
        <v>46169</v>
      </c>
      <c r="P1127" s="7" t="inlineStr">
        <is>
          <t>jobspy</t>
        </is>
      </c>
      <c r="Q1127" s="8" t="inlineStr">
        <is>
          <t>c</t>
        </is>
      </c>
      <c r="R1127" s="8" t="inlineStr">
        <is>
          <t>Graduate Aerospace Engineer embedded systems UK</t>
        </is>
      </c>
      <c r="S1127" s="19" t="n"/>
      <c r="T1127" s="19" t="n"/>
      <c r="U1127" s="14" t="n">
        <v>46192</v>
      </c>
      <c r="V1127" s="7" t="inlineStr">
        <is>
          <t>v2-cv-accuracy-13b988b18da8ea7d</t>
        </is>
      </c>
    </row>
    <row r="1128" ht="28" customHeight="1">
      <c r="A1128" s="12">
        <f>IF($L1128="applied","Applied",IF($L1128="interview","Interview",IF($L1128="offer","Offer",IF($L1128="rejected","Rejected",IF($L1128="ignore","Ignore",IF($L1128="archive","Archive",IF($L1128="closed","Closed",IF($B1128="","Unscored",IF(AND($B1128&gt;=8,OR($H1128="",$H1128-TODAY()&lt;=14)),"P1 Apply",IF($B1128&gt;=7,"P2 Strong",IF($B1128&gt;=5,"P3 Maybe","P4 Low")))))))))))</f>
        <v/>
      </c>
      <c r="B1128" s="13" t="n">
        <v>0.54</v>
      </c>
      <c r="C1128" s="12" t="inlineStr">
        <is>
          <t>Junior</t>
        </is>
      </c>
      <c r="D1128" s="8" t="inlineStr">
        <is>
          <t>Junior Analog IC Design Engineer</t>
        </is>
      </c>
      <c r="E1128" s="7" t="inlineStr">
        <is>
          <t>IC Resources</t>
        </is>
      </c>
      <c r="F1128" s="8" t="inlineStr">
        <is>
          <t>Southampton, England, UK</t>
        </is>
      </c>
      <c r="G1128" s="8" t="n"/>
      <c r="H1128" s="14" t="n"/>
      <c r="I1128" s="15">
        <f>IF($H1128="","",$H1128-TODAY())</f>
        <v/>
      </c>
      <c r="J1128" s="16" t="inlineStr">
        <is>
          <t>Open posting</t>
        </is>
      </c>
      <c r="K1128" s="8" t="inlineStr">
        <is>
          <t>filtered by keyword pre-scan</t>
        </is>
      </c>
      <c r="L1128" s="17" t="inlineStr">
        <is>
          <t>new</t>
        </is>
      </c>
      <c r="M1128" s="18" t="inlineStr"/>
      <c r="N1128" s="7" t="inlineStr">
        <is>
          <t>77f937483402d863f886bf7873b6d0b4545145fe</t>
        </is>
      </c>
      <c r="O1128" s="14" t="n">
        <v>46188</v>
      </c>
      <c r="P1128" s="7" t="inlineStr">
        <is>
          <t>jobspy</t>
        </is>
      </c>
      <c r="Q1128" s="8" t="inlineStr">
        <is>
          <t>c</t>
        </is>
      </c>
      <c r="R1128" s="8" t="inlineStr">
        <is>
          <t>Graduate Aerospace Engineer embedded systems UK</t>
        </is>
      </c>
      <c r="S1128" s="19" t="n"/>
      <c r="T1128" s="19" t="n"/>
      <c r="U1128" s="14" t="n">
        <v>46192</v>
      </c>
      <c r="V1128" s="7" t="inlineStr">
        <is>
          <t>v2-cv-accuracy-13b988b18da8ea7d</t>
        </is>
      </c>
    </row>
    <row r="1129" ht="28" customHeight="1">
      <c r="A1129" s="12">
        <f>IF($L1129="applied","Applied",IF($L1129="interview","Interview",IF($L1129="offer","Offer",IF($L1129="rejected","Rejected",IF($L1129="ignore","Ignore",IF($L1129="archive","Archive",IF($L1129="closed","Closed",IF($B1129="","Unscored",IF(AND($B1129&gt;=8,OR($H1129="",$H1129-TODAY()&lt;=14)),"P1 Apply",IF($B1129&gt;=7,"P2 Strong",IF($B1129&gt;=5,"P3 Maybe","P4 Low")))))))))))</f>
        <v/>
      </c>
      <c r="B1129" s="13" t="n">
        <v>0.54</v>
      </c>
      <c r="C1129" s="12" t="inlineStr">
        <is>
          <t>Junior</t>
        </is>
      </c>
      <c r="D1129" s="8" t="inlineStr">
        <is>
          <t>Junior Analog IC Design Engineer</t>
        </is>
      </c>
      <c r="E1129" s="7" t="inlineStr">
        <is>
          <t>IC Resources</t>
        </is>
      </c>
      <c r="F1129" s="8" t="inlineStr">
        <is>
          <t>Hampshire, England, UK</t>
        </is>
      </c>
      <c r="G1129" s="8" t="n"/>
      <c r="H1129" s="14" t="n"/>
      <c r="I1129" s="15">
        <f>IF($H1129="","",$H1129-TODAY())</f>
        <v/>
      </c>
      <c r="J1129" s="16" t="inlineStr">
        <is>
          <t>Open posting</t>
        </is>
      </c>
      <c r="K1129" s="8" t="inlineStr">
        <is>
          <t>filtered by keyword pre-scan</t>
        </is>
      </c>
      <c r="L1129" s="17" t="inlineStr">
        <is>
          <t>new</t>
        </is>
      </c>
      <c r="M1129" s="18" t="inlineStr"/>
      <c r="N1129" s="7" t="inlineStr">
        <is>
          <t>b1a609fc2a5accf986286d59b8c446775c4e40c6</t>
        </is>
      </c>
      <c r="O1129" s="14" t="n">
        <v>46188</v>
      </c>
      <c r="P1129" s="7" t="inlineStr">
        <is>
          <t>jobspy</t>
        </is>
      </c>
      <c r="Q1129" s="8" t="inlineStr">
        <is>
          <t>c</t>
        </is>
      </c>
      <c r="R1129" s="8" t="inlineStr">
        <is>
          <t>Graduate Aerospace Engineer embedded systems UK</t>
        </is>
      </c>
      <c r="S1129" s="19" t="n"/>
      <c r="T1129" s="19" t="n"/>
      <c r="U1129" s="14" t="n">
        <v>46192</v>
      </c>
      <c r="V1129" s="7" t="inlineStr">
        <is>
          <t>v2-cv-accuracy-13b988b18da8ea7d</t>
        </is>
      </c>
    </row>
    <row r="1130" ht="28" customHeight="1">
      <c r="A1130" s="12">
        <f>IF($L1130="applied","Applied",IF($L1130="interview","Interview",IF($L1130="offer","Offer",IF($L1130="rejected","Rejected",IF($L1130="ignore","Ignore",IF($L1130="archive","Archive",IF($L1130="closed","Closed",IF($B1130="","Unscored",IF(AND($B1130&gt;=8,OR($H1130="",$H1130-TODAY()&lt;=14)),"P1 Apply",IF($B1130&gt;=7,"P2 Strong",IF($B1130&gt;=5,"P3 Maybe","P4 Low")))))))))))</f>
        <v/>
      </c>
      <c r="B1130" s="13" t="n">
        <v>0.54</v>
      </c>
      <c r="C1130" s="12" t="inlineStr">
        <is>
          <t>Graduate/Entry</t>
        </is>
      </c>
      <c r="D1130" s="8" t="inlineStr">
        <is>
          <t>Graduate or Junior Applications Engineer</t>
        </is>
      </c>
      <c r="E1130" s="7" t="inlineStr">
        <is>
          <t>Fisher Smith Ltd</t>
        </is>
      </c>
      <c r="F1130" s="8" t="inlineStr">
        <is>
          <t>Northamptonshire, England, UK</t>
        </is>
      </c>
      <c r="G1130" s="8" t="n"/>
      <c r="H1130" s="14" t="n"/>
      <c r="I1130" s="15">
        <f>IF($H1130="","",$H1130-TODAY())</f>
        <v/>
      </c>
      <c r="J1130" s="16" t="inlineStr">
        <is>
          <t>Open posting</t>
        </is>
      </c>
      <c r="K1130" s="8" t="inlineStr">
        <is>
          <t>filtered by keyword pre-scan</t>
        </is>
      </c>
      <c r="L1130" s="17" t="inlineStr">
        <is>
          <t>new</t>
        </is>
      </c>
      <c r="M1130" s="18" t="inlineStr"/>
      <c r="N1130" s="7" t="inlineStr">
        <is>
          <t>9b0fa8466e4d8071956817a08ecd28e4666cbc89</t>
        </is>
      </c>
      <c r="O1130" s="14" t="n">
        <v>46191</v>
      </c>
      <c r="P1130" s="7" t="inlineStr">
        <is>
          <t>jobspy</t>
        </is>
      </c>
      <c r="Q1130" s="8" t="inlineStr">
        <is>
          <t>c</t>
        </is>
      </c>
      <c r="R1130" s="8" t="inlineStr">
        <is>
          <t>Graduate Electronics Engineer Sheffield</t>
        </is>
      </c>
      <c r="S1130" s="19" t="n"/>
      <c r="T1130" s="19" t="n"/>
      <c r="U1130" s="14" t="n">
        <v>46192</v>
      </c>
      <c r="V1130" s="7" t="inlineStr">
        <is>
          <t>v2-cv-accuracy-13b988b18da8ea7d</t>
        </is>
      </c>
    </row>
    <row r="1131" ht="28" customHeight="1">
      <c r="A1131" s="12">
        <f>IF($L1131="applied","Applied",IF($L1131="interview","Interview",IF($L1131="offer","Offer",IF($L1131="rejected","Rejected",IF($L1131="ignore","Ignore",IF($L1131="archive","Archive",IF($L1131="closed","Closed",IF($B1131="","Unscored",IF(AND($B1131&gt;=8,OR($H1131="",$H1131-TODAY()&lt;=14)),"P1 Apply",IF($B1131&gt;=7,"P2 Strong",IF($B1131&gt;=5,"P3 Maybe","P4 Low")))))))))))</f>
        <v/>
      </c>
      <c r="B1131" s="13" t="n">
        <v>0.47</v>
      </c>
      <c r="C1131" s="12" t="inlineStr">
        <is>
          <t>Senior/Lead</t>
        </is>
      </c>
      <c r="D1131" s="8" t="inlineStr">
        <is>
          <t>Web Development Engineer I (UK)</t>
        </is>
      </c>
      <c r="E1131" s="7" t="inlineStr">
        <is>
          <t>Discovery Education UK</t>
        </is>
      </c>
      <c r="F1131" s="8" t="inlineStr">
        <is>
          <t>Manchester, England, UK</t>
        </is>
      </c>
      <c r="G1131" s="8" t="n"/>
      <c r="H1131" s="14" t="n"/>
      <c r="I1131" s="15">
        <f>IF($H1131="","",$H1131-TODAY())</f>
        <v/>
      </c>
      <c r="J1131" s="16" t="inlineStr">
        <is>
          <t>Open posting</t>
        </is>
      </c>
      <c r="K1131" s="8" t="inlineStr">
        <is>
          <t>filtered by keyword pre-scan</t>
        </is>
      </c>
      <c r="L1131" s="17" t="inlineStr">
        <is>
          <t>new</t>
        </is>
      </c>
      <c r="M1131" s="18" t="inlineStr"/>
      <c r="N1131" s="7" t="inlineStr">
        <is>
          <t>18fab43578ea2c5310d5bc385cf7557d3e9ecb52</t>
        </is>
      </c>
      <c r="O1131" s="14" t="n">
        <v>46184</v>
      </c>
      <c r="P1131" s="7" t="inlineStr">
        <is>
          <t>jobspy</t>
        </is>
      </c>
      <c r="Q1131" s="8" t="inlineStr">
        <is>
          <t>python, sql, javascript, web development</t>
        </is>
      </c>
      <c r="R1131" s="8" t="inlineStr">
        <is>
          <t>junior/graduate Junior Python Developer</t>
        </is>
      </c>
      <c r="S1131" s="19" t="n"/>
      <c r="T1131" s="19" t="n"/>
      <c r="U1131" s="14" t="n">
        <v>46191</v>
      </c>
      <c r="V1131" s="7" t="inlineStr">
        <is>
          <t>v2-cv-accuracy-13b988b18da8ea7d</t>
        </is>
      </c>
    </row>
    <row r="1132" ht="28" customHeight="1">
      <c r="A1132" s="12">
        <f>IF($L1132="applied","Applied",IF($L1132="interview","Interview",IF($L1132="offer","Offer",IF($L1132="rejected","Rejected",IF($L1132="ignore","Ignore",IF($L1132="archive","Archive",IF($L1132="closed","Closed",IF($B1132="","Unscored",IF(AND($B1132&gt;=8,OR($H1132="",$H1132-TODAY()&lt;=14)),"P1 Apply",IF($B1132&gt;=7,"P2 Strong",IF($B1132&gt;=5,"P3 Maybe","P4 Low")))))))))))</f>
        <v/>
      </c>
      <c r="B1132" s="13" t="n">
        <v>0.47</v>
      </c>
      <c r="C1132" s="12" t="inlineStr">
        <is>
          <t>Junior</t>
        </is>
      </c>
      <c r="D1132" s="8" t="inlineStr">
        <is>
          <t>Full-Stack Developer</t>
        </is>
      </c>
      <c r="E1132" s="7" t="inlineStr">
        <is>
          <t>Rolley</t>
        </is>
      </c>
      <c r="F1132" s="8" t="inlineStr">
        <is>
          <t>Barnsley, England, UK</t>
        </is>
      </c>
      <c r="G1132" s="8" t="n"/>
      <c r="H1132" s="14" t="n"/>
      <c r="I1132" s="15">
        <f>IF($H1132="","",$H1132-TODAY())</f>
        <v/>
      </c>
      <c r="J1132" s="16" t="inlineStr">
        <is>
          <t>Open posting</t>
        </is>
      </c>
      <c r="K1132" s="8" t="inlineStr">
        <is>
          <t>filtered by keyword pre-scan</t>
        </is>
      </c>
      <c r="L1132" s="17" t="inlineStr">
        <is>
          <t>new</t>
        </is>
      </c>
      <c r="M1132" s="18" t="inlineStr"/>
      <c r="N1132" s="7" t="inlineStr">
        <is>
          <t>359a9a8eb54629fbdeeca004eb2a9bd133b59ecd</t>
        </is>
      </c>
      <c r="O1132" s="14" t="n">
        <v>46188</v>
      </c>
      <c r="P1132" s="7" t="inlineStr">
        <is>
          <t>jobspy</t>
        </is>
      </c>
      <c r="Q1132" s="8" t="inlineStr">
        <is>
          <t>sql, javascript, git</t>
        </is>
      </c>
      <c r="R1132" s="8" t="inlineStr">
        <is>
          <t>Full Stack Developer Sheffield</t>
        </is>
      </c>
      <c r="S1132" s="19" t="n"/>
      <c r="T1132" s="19" t="n"/>
      <c r="U1132" s="14" t="n">
        <v>46191</v>
      </c>
      <c r="V1132" s="7" t="inlineStr">
        <is>
          <t>v2-cv-accuracy-13b988b18da8ea7d</t>
        </is>
      </c>
    </row>
    <row r="1133" ht="28" customHeight="1">
      <c r="A1133" s="12">
        <f>IF($L1133="applied","Applied",IF($L1133="interview","Interview",IF($L1133="offer","Offer",IF($L1133="rejected","Rejected",IF($L1133="ignore","Ignore",IF($L1133="archive","Archive",IF($L1133="closed","Closed",IF($B1133="","Unscored",IF(AND($B1133&gt;=8,OR($H1133="",$H1133-TODAY()&lt;=14)),"P1 Apply",IF($B1133&gt;=7,"P2 Strong",IF($B1133&gt;=5,"P3 Maybe","P4 Low")))))))))))</f>
        <v/>
      </c>
      <c r="B1133" s="13" t="n">
        <v>0.47</v>
      </c>
      <c r="C1133" s="12" t="inlineStr">
        <is>
          <t>Senior/Lead</t>
        </is>
      </c>
      <c r="D1133" s="8" t="inlineStr">
        <is>
          <t>Web Development Engineer I (UK)</t>
        </is>
      </c>
      <c r="E1133" s="7" t="inlineStr">
        <is>
          <t>Discovery Education</t>
        </is>
      </c>
      <c r="F1133" s="8" t="inlineStr">
        <is>
          <t>Manchester, England, UK</t>
        </is>
      </c>
      <c r="G1133" s="8" t="n"/>
      <c r="H1133" s="14" t="n"/>
      <c r="I1133" s="15">
        <f>IF($H1133="","",$H1133-TODAY())</f>
        <v/>
      </c>
      <c r="J1133" s="16" t="inlineStr">
        <is>
          <t>Open posting</t>
        </is>
      </c>
      <c r="K1133" s="8" t="inlineStr">
        <is>
          <t>filtered by keyword pre-scan</t>
        </is>
      </c>
      <c r="L1133" s="17" t="inlineStr">
        <is>
          <t>new</t>
        </is>
      </c>
      <c r="M1133" s="18" t="inlineStr"/>
      <c r="N1133" s="7" t="inlineStr">
        <is>
          <t>bd62fdcefaa40afe2e0c9b2d48d6107968453337</t>
        </is>
      </c>
      <c r="O1133" s="14" t="n">
        <v>46184</v>
      </c>
      <c r="P1133" s="7" t="inlineStr">
        <is>
          <t>jobspy</t>
        </is>
      </c>
      <c r="Q1133" s="8" t="inlineStr">
        <is>
          <t>python, sql, javascript, web development</t>
        </is>
      </c>
      <c r="R1133" s="8" t="inlineStr">
        <is>
          <t>Graduate Software Developer Sheffield</t>
        </is>
      </c>
      <c r="S1133" s="19" t="n"/>
      <c r="T1133" s="19" t="n"/>
      <c r="U1133" s="14" t="n">
        <v>46191</v>
      </c>
      <c r="V1133" s="7" t="inlineStr">
        <is>
          <t>v2-cv-accuracy-13b988b18da8ea7d</t>
        </is>
      </c>
    </row>
    <row r="1134" ht="28" customHeight="1">
      <c r="A1134" s="12">
        <f>IF($L1134="applied","Applied",IF($L1134="interview","Interview",IF($L1134="offer","Offer",IF($L1134="rejected","Rejected",IF($L1134="ignore","Ignore",IF($L1134="archive","Archive",IF($L1134="closed","Closed",IF($B1134="","Unscored",IF(AND($B1134&gt;=8,OR($H1134="",$H1134-TODAY()&lt;=14)),"P1 Apply",IF($B1134&gt;=7,"P2 Strong",IF($B1134&gt;=5,"P3 Maybe","P4 Low")))))))))))</f>
        <v/>
      </c>
      <c r="B1134" s="13" t="n">
        <v>0.43</v>
      </c>
      <c r="C1134" s="12" t="inlineStr">
        <is>
          <t>Unspecified</t>
        </is>
      </c>
      <c r="D1134" s="8" t="inlineStr">
        <is>
          <t>React Frontend Developer</t>
        </is>
      </c>
      <c r="E1134" s="7" t="inlineStr">
        <is>
          <t>Hunter Bond</t>
        </is>
      </c>
      <c r="F1134" s="8" t="inlineStr">
        <is>
          <t>London Area, United Kingdom</t>
        </is>
      </c>
      <c r="G1134" s="8" t="n"/>
      <c r="H1134" s="14" t="n"/>
      <c r="I1134" s="15">
        <f>IF($H1134="","",$H1134-TODAY())</f>
        <v/>
      </c>
      <c r="J1134" s="16" t="inlineStr">
        <is>
          <t>Open posting</t>
        </is>
      </c>
      <c r="K1134" s="8" t="inlineStr">
        <is>
          <t>filtered by keyword pre-scan</t>
        </is>
      </c>
      <c r="L1134" s="17" t="inlineStr">
        <is>
          <t>new</t>
        </is>
      </c>
      <c r="M1134" s="18" t="inlineStr"/>
      <c r="N1134" s="7" t="inlineStr">
        <is>
          <t>57d21a60317547dc39594003f06d699ddc234495</t>
        </is>
      </c>
      <c r="O1134" s="14" t="n">
        <v>46188</v>
      </c>
      <c r="P1134" s="7" t="inlineStr">
        <is>
          <t>jobspy</t>
        </is>
      </c>
      <c r="Q1134" s="8" t="inlineStr">
        <is>
          <t>c</t>
        </is>
      </c>
      <c r="R1134" s="8" t="inlineStr">
        <is>
          <t>Junior Full Stack Developer JavaScript Node.js Python</t>
        </is>
      </c>
      <c r="S1134" s="19" t="n"/>
      <c r="T1134" s="19" t="n"/>
      <c r="U1134" s="14" t="n">
        <v>46193</v>
      </c>
      <c r="V1134" s="7" t="inlineStr">
        <is>
          <t>v2-cv-accuracy-13b988b18da8ea7d</t>
        </is>
      </c>
    </row>
    <row r="1135" ht="28" customHeight="1">
      <c r="A1135" s="12">
        <f>IF($L1135="applied","Applied",IF($L1135="interview","Interview",IF($L1135="offer","Offer",IF($L1135="rejected","Rejected",IF($L1135="ignore","Ignore",IF($L1135="archive","Archive",IF($L1135="closed","Closed",IF($B1135="","Unscored",IF(AND($B1135&gt;=8,OR($H1135="",$H1135-TODAY()&lt;=14)),"P1 Apply",IF($B1135&gt;=7,"P2 Strong",IF($B1135&gt;=5,"P3 Maybe","P4 Low")))))))))))</f>
        <v/>
      </c>
      <c r="B1135" s="13" t="n">
        <v>0.43</v>
      </c>
      <c r="C1135" s="12" t="inlineStr">
        <is>
          <t>Unspecified</t>
        </is>
      </c>
      <c r="D1135" s="8" t="inlineStr">
        <is>
          <t>Full Stack Engineer</t>
        </is>
      </c>
      <c r="E1135" s="7" t="inlineStr">
        <is>
          <t>Glot</t>
        </is>
      </c>
      <c r="F1135" s="8" t="inlineStr">
        <is>
          <t>London, England, UK</t>
        </is>
      </c>
      <c r="G1135" s="8" t="n"/>
      <c r="H1135" s="14" t="n"/>
      <c r="I1135" s="15">
        <f>IF($H1135="","",$H1135-TODAY())</f>
        <v/>
      </c>
      <c r="J1135" s="16" t="inlineStr">
        <is>
          <t>Open posting</t>
        </is>
      </c>
      <c r="K1135" s="8" t="inlineStr">
        <is>
          <t>filtered by keyword pre-scan</t>
        </is>
      </c>
      <c r="L1135" s="17" t="inlineStr">
        <is>
          <t>new</t>
        </is>
      </c>
      <c r="M1135" s="18" t="inlineStr"/>
      <c r="N1135" s="7" t="inlineStr">
        <is>
          <t>fc1a4167f5b2cc583b8aada3c3659c326032ac7e</t>
        </is>
      </c>
      <c r="O1135" s="14" t="n"/>
      <c r="P1135" s="7" t="inlineStr">
        <is>
          <t>jobspy</t>
        </is>
      </c>
      <c r="Q1135" s="8" t="inlineStr">
        <is>
          <t>c</t>
        </is>
      </c>
      <c r="R1135" s="8" t="inlineStr">
        <is>
          <t>Junior Full Stack Developer JavaScript Node.js Python</t>
        </is>
      </c>
      <c r="S1135" s="19" t="n"/>
      <c r="T1135" s="19" t="n"/>
      <c r="U1135" s="14" t="n">
        <v>46193</v>
      </c>
      <c r="V1135" s="7" t="inlineStr">
        <is>
          <t>v2-cv-accuracy-13b988b18da8ea7d</t>
        </is>
      </c>
    </row>
    <row r="1136" ht="28" customHeight="1">
      <c r="A1136" s="12">
        <f>IF($L1136="applied","Applied",IF($L1136="interview","Interview",IF($L1136="offer","Offer",IF($L1136="rejected","Rejected",IF($L1136="ignore","Ignore",IF($L1136="archive","Archive",IF($L1136="closed","Closed",IF($B1136="","Unscored",IF(AND($B1136&gt;=8,OR($H1136="",$H1136-TODAY()&lt;=14)),"P1 Apply",IF($B1136&gt;=7,"P2 Strong",IF($B1136&gt;=5,"P3 Maybe","P4 Low")))))))))))</f>
        <v/>
      </c>
      <c r="B1136" s="13" t="n">
        <v>0.43</v>
      </c>
      <c r="C1136" s="12" t="inlineStr">
        <is>
          <t>Unspecified</t>
        </is>
      </c>
      <c r="D1136" s="8" t="inlineStr">
        <is>
          <t>Embedded Software Engineer</t>
        </is>
      </c>
      <c r="E1136" s="7" t="inlineStr">
        <is>
          <t>OnlyCat</t>
        </is>
      </c>
      <c r="F1136" s="8" t="inlineStr">
        <is>
          <t>Cramlington, ENG, GB</t>
        </is>
      </c>
      <c r="G1136" s="8" t="n"/>
      <c r="H1136" s="14" t="n"/>
      <c r="I1136" s="15">
        <f>IF($H1136="","",$H1136-TODAY())</f>
        <v/>
      </c>
      <c r="J1136" s="16" t="inlineStr">
        <is>
          <t>Open posting</t>
        </is>
      </c>
      <c r="K1136" s="8" t="inlineStr">
        <is>
          <t>filtered by keyword pre-scan</t>
        </is>
      </c>
      <c r="L1136" s="17" t="inlineStr">
        <is>
          <t>new</t>
        </is>
      </c>
      <c r="M1136" s="18" t="inlineStr"/>
      <c r="N1136" s="7" t="inlineStr">
        <is>
          <t>05412200222c7daf1e4e6ba8e8007888caa075ea</t>
        </is>
      </c>
      <c r="O1136" s="14" t="n">
        <v>46175</v>
      </c>
      <c r="P1136" s="7" t="inlineStr">
        <is>
          <t>jobspy</t>
        </is>
      </c>
      <c r="Q1136" s="8" t="inlineStr">
        <is>
          <t>c</t>
        </is>
      </c>
      <c r="R1136" s="8" t="inlineStr">
        <is>
          <t>Firmware Engineer Embedded C Microcontroller</t>
        </is>
      </c>
      <c r="S1136" s="19" t="n"/>
      <c r="T1136" s="19" t="n"/>
      <c r="U1136" s="14" t="n">
        <v>46193</v>
      </c>
      <c r="V1136" s="7" t="inlineStr">
        <is>
          <t>v2-cv-accuracy-13b988b18da8ea7d</t>
        </is>
      </c>
    </row>
    <row r="1137" ht="28" customHeight="1">
      <c r="A1137" s="12">
        <f>IF($L1137="applied","Applied",IF($L1137="interview","Interview",IF($L1137="offer","Offer",IF($L1137="rejected","Rejected",IF($L1137="ignore","Ignore",IF($L1137="archive","Archive",IF($L1137="closed","Closed",IF($B1137="","Unscored",IF(AND($B1137&gt;=8,OR($H1137="",$H1137-TODAY()&lt;=14)),"P1 Apply",IF($B1137&gt;=7,"P2 Strong",IF($B1137&gt;=5,"P3 Maybe","P4 Low")))))))))))</f>
        <v/>
      </c>
      <c r="B1137" s="13" t="n">
        <v>0.43</v>
      </c>
      <c r="C1137" s="12" t="inlineStr">
        <is>
          <t>Junior</t>
        </is>
      </c>
      <c r="D1137" s="8" t="inlineStr">
        <is>
          <t>Associate Data Engineer</t>
        </is>
      </c>
      <c r="E1137" s="7" t="inlineStr">
        <is>
          <t>NHS England</t>
        </is>
      </c>
      <c r="F1137" s="8" t="inlineStr">
        <is>
          <t>Leeds, England, UK</t>
        </is>
      </c>
      <c r="G1137" s="8" t="n"/>
      <c r="H1137" s="14" t="n"/>
      <c r="I1137" s="15">
        <f>IF($H1137="","",$H1137-TODAY())</f>
        <v/>
      </c>
      <c r="J1137" s="16" t="inlineStr">
        <is>
          <t>Open posting</t>
        </is>
      </c>
      <c r="K1137" s="8" t="inlineStr">
        <is>
          <t>filtered by keyword pre-scan</t>
        </is>
      </c>
      <c r="L1137" s="17" t="inlineStr">
        <is>
          <t>new</t>
        </is>
      </c>
      <c r="M1137" s="18" t="inlineStr"/>
      <c r="N1137" s="7" t="inlineStr">
        <is>
          <t>33a32a85c484ee2e1971f4ada4b490ff9e86bf51</t>
        </is>
      </c>
      <c r="O1137" s="14" t="n">
        <v>46183</v>
      </c>
      <c r="P1137" s="7" t="inlineStr">
        <is>
          <t>jobspy</t>
        </is>
      </c>
      <c r="Q1137" s="8" t="inlineStr">
        <is>
          <t>c</t>
        </is>
      </c>
      <c r="R1137" s="8" t="inlineStr">
        <is>
          <t>Graduate Computer Engineer Sheffield</t>
        </is>
      </c>
      <c r="S1137" s="19" t="n"/>
      <c r="T1137" s="19" t="n"/>
      <c r="U1137" s="14" t="n">
        <v>46193</v>
      </c>
      <c r="V1137" s="7" t="inlineStr">
        <is>
          <t>v2-cv-accuracy-13b988b18da8ea7d</t>
        </is>
      </c>
    </row>
    <row r="1138" ht="28" customHeight="1">
      <c r="A1138" s="12">
        <f>IF($L1138="applied","Applied",IF($L1138="interview","Interview",IF($L1138="offer","Offer",IF($L1138="rejected","Rejected",IF($L1138="ignore","Ignore",IF($L1138="archive","Archive",IF($L1138="closed","Closed",IF($B1138="","Unscored",IF(AND($B1138&gt;=8,OR($H1138="",$H1138-TODAY()&lt;=14)),"P1 Apply",IF($B1138&gt;=7,"P2 Strong",IF($B1138&gt;=5,"P3 Maybe","P4 Low")))))))))))</f>
        <v/>
      </c>
      <c r="B1138" s="13" t="n">
        <v>0.43</v>
      </c>
      <c r="C1138" s="12" t="inlineStr">
        <is>
          <t>Senior/Lead</t>
        </is>
      </c>
      <c r="D1138" s="8" t="inlineStr">
        <is>
          <t>Manufacturing Engineer - CNC</t>
        </is>
      </c>
      <c r="E1138" s="7" t="inlineStr">
        <is>
          <t>McLaren Automotive Ltd</t>
        </is>
      </c>
      <c r="F1138" s="8" t="inlineStr">
        <is>
          <t>Sheffield, England, UK</t>
        </is>
      </c>
      <c r="G1138" s="8" t="n"/>
      <c r="H1138" s="14" t="n"/>
      <c r="I1138" s="15">
        <f>IF($H1138="","",$H1138-TODAY())</f>
        <v/>
      </c>
      <c r="J1138" s="16" t="inlineStr">
        <is>
          <t>Open posting</t>
        </is>
      </c>
      <c r="K1138" s="8" t="inlineStr">
        <is>
          <t>filtered by keyword pre-scan</t>
        </is>
      </c>
      <c r="L1138" s="17" t="inlineStr">
        <is>
          <t>new</t>
        </is>
      </c>
      <c r="M1138" s="18" t="inlineStr"/>
      <c r="N1138" s="7" t="inlineStr">
        <is>
          <t>8fcf33c2505e5ed1b9e1fd9f98011929658d38cd</t>
        </is>
      </c>
      <c r="O1138" s="14" t="n">
        <v>46169</v>
      </c>
      <c r="P1138" s="7" t="inlineStr">
        <is>
          <t>jobspy</t>
        </is>
      </c>
      <c r="Q1138" s="8" t="inlineStr">
        <is>
          <t>c</t>
        </is>
      </c>
      <c r="R1138" s="8" t="inlineStr">
        <is>
          <t>Graduate Computer Engineer Sheffield</t>
        </is>
      </c>
      <c r="S1138" s="19" t="n"/>
      <c r="T1138" s="19" t="n"/>
      <c r="U1138" s="14" t="n">
        <v>46193</v>
      </c>
      <c r="V1138" s="7" t="inlineStr">
        <is>
          <t>v2-cv-accuracy-13b988b18da8ea7d</t>
        </is>
      </c>
    </row>
    <row r="1139" ht="28" customHeight="1">
      <c r="A1139" s="12">
        <f>IF($L1139="applied","Applied",IF($L1139="interview","Interview",IF($L1139="offer","Offer",IF($L1139="rejected","Rejected",IF($L1139="ignore","Ignore",IF($L1139="archive","Archive",IF($L1139="closed","Closed",IF($B1139="","Unscored",IF(AND($B1139&gt;=8,OR($H1139="",$H1139-TODAY()&lt;=14)),"P1 Apply",IF($B1139&gt;=7,"P2 Strong",IF($B1139&gt;=5,"P3 Maybe","P4 Low")))))))))))</f>
        <v/>
      </c>
      <c r="B1139" s="13" t="n">
        <v>0.43</v>
      </c>
      <c r="C1139" s="12" t="inlineStr">
        <is>
          <t>Senior/Lead</t>
        </is>
      </c>
      <c r="D1139" s="8" t="inlineStr">
        <is>
          <t>System Engineer</t>
        </is>
      </c>
      <c r="E1139" s="7" t="inlineStr">
        <is>
          <t>Haystack</t>
        </is>
      </c>
      <c r="F1139" s="8" t="inlineStr">
        <is>
          <t>Nottingham, England, UK</t>
        </is>
      </c>
      <c r="G1139" s="8" t="n"/>
      <c r="H1139" s="14" t="n"/>
      <c r="I1139" s="15">
        <f>IF($H1139="","",$H1139-TODAY())</f>
        <v/>
      </c>
      <c r="J1139" s="16" t="inlineStr">
        <is>
          <t>Open posting</t>
        </is>
      </c>
      <c r="K1139" s="8" t="inlineStr">
        <is>
          <t>filtered by keyword pre-scan</t>
        </is>
      </c>
      <c r="L1139" s="17" t="inlineStr">
        <is>
          <t>new</t>
        </is>
      </c>
      <c r="M1139" s="18" t="inlineStr"/>
      <c r="N1139" s="7" t="inlineStr">
        <is>
          <t>1b704239b92d87b6f0c810b37e10901519b4a994</t>
        </is>
      </c>
      <c r="O1139" s="14" t="n">
        <v>46187</v>
      </c>
      <c r="P1139" s="7" t="inlineStr">
        <is>
          <t>jobspy</t>
        </is>
      </c>
      <c r="Q1139" s="8" t="inlineStr">
        <is>
          <t>c</t>
        </is>
      </c>
      <c r="R1139" s="8" t="inlineStr">
        <is>
          <t>Graduate Engineer electronics Sheffield remote</t>
        </is>
      </c>
      <c r="S1139" s="19" t="n"/>
      <c r="T1139" s="19" t="n"/>
      <c r="U1139" s="14" t="n">
        <v>46193</v>
      </c>
      <c r="V1139" s="7" t="inlineStr">
        <is>
          <t>v2-cv-accuracy-13b988b18da8ea7d</t>
        </is>
      </c>
    </row>
    <row r="1140" ht="28" customHeight="1">
      <c r="A1140" s="12">
        <f>IF($L1140="applied","Applied",IF($L1140="interview","Interview",IF($L1140="offer","Offer",IF($L1140="rejected","Rejected",IF($L1140="ignore","Ignore",IF($L1140="archive","Archive",IF($L1140="closed","Closed",IF($B1140="","Unscored",IF(AND($B1140&gt;=8,OR($H1140="",$H1140-TODAY()&lt;=14)),"P1 Apply",IF($B1140&gt;=7,"P2 Strong",IF($B1140&gt;=5,"P3 Maybe","P4 Low")))))))))))</f>
        <v/>
      </c>
      <c r="B1140" s="13" t="n">
        <v>0.43</v>
      </c>
      <c r="C1140" s="12" t="inlineStr">
        <is>
          <t>Unspecified</t>
        </is>
      </c>
      <c r="D1140" s="8" t="inlineStr">
        <is>
          <t>Application Engineer - Sheffield</t>
        </is>
      </c>
      <c r="E1140" s="7" t="inlineStr">
        <is>
          <t>IC Resources</t>
        </is>
      </c>
      <c r="F1140" s="8" t="inlineStr">
        <is>
          <t>Sheffield, England, UK</t>
        </is>
      </c>
      <c r="G1140" s="8" t="n"/>
      <c r="H1140" s="14" t="n"/>
      <c r="I1140" s="15">
        <f>IF($H1140="","",$H1140-TODAY())</f>
        <v/>
      </c>
      <c r="J1140" s="16" t="inlineStr">
        <is>
          <t>Open posting</t>
        </is>
      </c>
      <c r="K1140" s="8" t="inlineStr">
        <is>
          <t>filtered by keyword pre-scan</t>
        </is>
      </c>
      <c r="L1140" s="17" t="inlineStr">
        <is>
          <t>new</t>
        </is>
      </c>
      <c r="M1140" s="18" t="inlineStr"/>
      <c r="N1140" s="7" t="inlineStr">
        <is>
          <t>7a1eecc929799b285267d50c4b5fd7a7eaf4a508</t>
        </is>
      </c>
      <c r="O1140" s="14" t="n">
        <v>46168</v>
      </c>
      <c r="P1140" s="7" t="inlineStr">
        <is>
          <t>jobspy</t>
        </is>
      </c>
      <c r="Q1140" s="8" t="inlineStr">
        <is>
          <t>c</t>
        </is>
      </c>
      <c r="R1140" s="8" t="inlineStr">
        <is>
          <t>Graduate Engineer electronics Sheffield remote</t>
        </is>
      </c>
      <c r="S1140" s="19" t="n"/>
      <c r="T1140" s="19" t="n"/>
      <c r="U1140" s="14" t="n">
        <v>46193</v>
      </c>
      <c r="V1140" s="7" t="inlineStr">
        <is>
          <t>v2-cv-accuracy-13b988b18da8ea7d</t>
        </is>
      </c>
    </row>
    <row r="1141" ht="28" customHeight="1">
      <c r="A1141" s="12">
        <f>IF($L1141="applied","Applied",IF($L1141="interview","Interview",IF($L1141="offer","Offer",IF($L1141="rejected","Rejected",IF($L1141="ignore","Ignore",IF($L1141="archive","Archive",IF($L1141="closed","Closed",IF($B1141="","Unscored",IF(AND($B1141&gt;=8,OR($H1141="",$H1141-TODAY()&lt;=14)),"P1 Apply",IF($B1141&gt;=7,"P2 Strong",IF($B1141&gt;=5,"P3 Maybe","P4 Low")))))))))))</f>
        <v/>
      </c>
      <c r="B1141" s="13" t="n">
        <v>0.43</v>
      </c>
      <c r="C1141" s="12" t="inlineStr">
        <is>
          <t>Mid-level</t>
        </is>
      </c>
      <c r="D1141" s="8" t="inlineStr">
        <is>
          <t>Automation Specialist</t>
        </is>
      </c>
      <c r="E1141" s="7" t="inlineStr">
        <is>
          <t>Pertemps Network Group</t>
        </is>
      </c>
      <c r="F1141" s="8" t="inlineStr">
        <is>
          <t>Sheffield, England, UK</t>
        </is>
      </c>
      <c r="G1141" s="8" t="n"/>
      <c r="H1141" s="14" t="n"/>
      <c r="I1141" s="15">
        <f>IF($H1141="","",$H1141-TODAY())</f>
        <v/>
      </c>
      <c r="J1141" s="16" t="inlineStr">
        <is>
          <t>Open posting</t>
        </is>
      </c>
      <c r="K1141" s="8" t="inlineStr">
        <is>
          <t>filtered by keyword pre-scan</t>
        </is>
      </c>
      <c r="L1141" s="17" t="inlineStr">
        <is>
          <t>new</t>
        </is>
      </c>
      <c r="M1141" s="18" t="inlineStr"/>
      <c r="N1141" s="7" t="inlineStr">
        <is>
          <t>f4b10aad5d7db7643d99c06371919f3cc462be65</t>
        </is>
      </c>
      <c r="O1141" s="14" t="n">
        <v>46181</v>
      </c>
      <c r="P1141" s="7" t="inlineStr">
        <is>
          <t>jobspy</t>
        </is>
      </c>
      <c r="Q1141" s="8" t="inlineStr">
        <is>
          <t>c</t>
        </is>
      </c>
      <c r="R1141" s="8" t="inlineStr">
        <is>
          <t>Graduate Hardware Engineer Sheffield</t>
        </is>
      </c>
      <c r="S1141" s="19" t="n"/>
      <c r="T1141" s="19" t="n"/>
      <c r="U1141" s="14" t="n">
        <v>46192</v>
      </c>
      <c r="V1141" s="7" t="inlineStr">
        <is>
          <t>v2-cv-accuracy-13b988b18da8ea7d</t>
        </is>
      </c>
    </row>
    <row r="1142" ht="28" customHeight="1">
      <c r="A1142" s="12">
        <f>IF($L1142="applied","Applied",IF($L1142="interview","Interview",IF($L1142="offer","Offer",IF($L1142="rejected","Rejected",IF($L1142="ignore","Ignore",IF($L1142="archive","Archive",IF($L1142="closed","Closed",IF($B1142="","Unscored",IF(AND($B1142&gt;=8,OR($H1142="",$H1142-TODAY()&lt;=14)),"P1 Apply",IF($B1142&gt;=7,"P2 Strong",IF($B1142&gt;=5,"P3 Maybe","P4 Low")))))))))))</f>
        <v/>
      </c>
      <c r="B1142" s="13" t="n">
        <v>0.43</v>
      </c>
      <c r="C1142" s="12" t="inlineStr">
        <is>
          <t>Mid-level</t>
        </is>
      </c>
      <c r="D1142" s="8" t="inlineStr">
        <is>
          <t>Systems Engineer</t>
        </is>
      </c>
      <c r="E1142" s="7" t="inlineStr">
        <is>
          <t>Ocean Infinity</t>
        </is>
      </c>
      <c r="F1142" s="8" t="inlineStr">
        <is>
          <t>Southampton, England, UK</t>
        </is>
      </c>
      <c r="G1142" s="8" t="n"/>
      <c r="H1142" s="14" t="n"/>
      <c r="I1142" s="15">
        <f>IF($H1142="","",$H1142-TODAY())</f>
        <v/>
      </c>
      <c r="J1142" s="16" t="inlineStr">
        <is>
          <t>Open posting</t>
        </is>
      </c>
      <c r="K1142" s="8" t="inlineStr">
        <is>
          <t>filtered by keyword pre-scan</t>
        </is>
      </c>
      <c r="L1142" s="17" t="inlineStr">
        <is>
          <t>new</t>
        </is>
      </c>
      <c r="M1142" s="18" t="inlineStr"/>
      <c r="N1142" s="7" t="inlineStr">
        <is>
          <t>f2a611431cb404e0fceaee338bb1d7b2bafc7e3d</t>
        </is>
      </c>
      <c r="O1142" s="14" t="n"/>
      <c r="P1142" s="7" t="inlineStr">
        <is>
          <t>jobspy</t>
        </is>
      </c>
      <c r="Q1142" s="8" t="inlineStr">
        <is>
          <t>c</t>
        </is>
      </c>
      <c r="R1142" s="8" t="inlineStr">
        <is>
          <t>Graduate Systems Engineer embedded hardware software</t>
        </is>
      </c>
      <c r="S1142" s="19" t="n"/>
      <c r="T1142" s="19" t="n"/>
      <c r="U1142" s="14" t="n">
        <v>46192</v>
      </c>
      <c r="V1142" s="7" t="inlineStr">
        <is>
          <t>v2-cv-accuracy-13b988b18da8ea7d</t>
        </is>
      </c>
    </row>
    <row r="1143" ht="28" customHeight="1">
      <c r="A1143" s="12">
        <f>IF($L1143="applied","Applied",IF($L1143="interview","Interview",IF($L1143="offer","Offer",IF($L1143="rejected","Rejected",IF($L1143="ignore","Ignore",IF($L1143="archive","Archive",IF($L1143="closed","Closed",IF($B1143="","Unscored",IF(AND($B1143&gt;=8,OR($H1143="",$H1143-TODAY()&lt;=14)),"P1 Apply",IF($B1143&gt;=7,"P2 Strong",IF($B1143&gt;=5,"P3 Maybe","P4 Low")))))))))))</f>
        <v/>
      </c>
      <c r="B1143" s="13" t="n">
        <v>0.43</v>
      </c>
      <c r="C1143" s="12" t="inlineStr">
        <is>
          <t>Junior</t>
        </is>
      </c>
      <c r="D1143" s="8" t="inlineStr">
        <is>
          <t>DE&amp;S Junior Engineer</t>
        </is>
      </c>
      <c r="E1143" s="7" t="inlineStr">
        <is>
          <t>UK Ministry of Defence</t>
        </is>
      </c>
      <c r="F1143" s="8" t="inlineStr">
        <is>
          <t>Portsmouth, England, UK</t>
        </is>
      </c>
      <c r="G1143" s="8" t="n"/>
      <c r="H1143" s="14" t="n"/>
      <c r="I1143" s="15">
        <f>IF($H1143="","",$H1143-TODAY())</f>
        <v/>
      </c>
      <c r="J1143" s="16" t="inlineStr">
        <is>
          <t>Open posting</t>
        </is>
      </c>
      <c r="K1143" s="8" t="inlineStr">
        <is>
          <t>filtered by keyword pre-scan</t>
        </is>
      </c>
      <c r="L1143" s="17" t="inlineStr">
        <is>
          <t>new</t>
        </is>
      </c>
      <c r="M1143" s="18" t="inlineStr"/>
      <c r="N1143" s="7" t="inlineStr">
        <is>
          <t>b7f5c60555384e2d822cae79d6b2e32a9264b2fa</t>
        </is>
      </c>
      <c r="O1143" s="14" t="n">
        <v>46190</v>
      </c>
      <c r="P1143" s="7" t="inlineStr">
        <is>
          <t>jobspy</t>
        </is>
      </c>
      <c r="Q1143" s="8" t="inlineStr">
        <is>
          <t>c</t>
        </is>
      </c>
      <c r="R1143" s="8" t="inlineStr">
        <is>
          <t>Graduate Electronics Engineer remote UK</t>
        </is>
      </c>
      <c r="S1143" s="19" t="n"/>
      <c r="T1143" s="19" t="n"/>
      <c r="U1143" s="14" t="n">
        <v>46192</v>
      </c>
      <c r="V1143" s="7" t="inlineStr">
        <is>
          <t>v2-cv-accuracy-13b988b18da8ea7d</t>
        </is>
      </c>
    </row>
    <row r="1144" ht="28" customHeight="1">
      <c r="A1144" s="12">
        <f>IF($L1144="applied","Applied",IF($L1144="interview","Interview",IF($L1144="offer","Offer",IF($L1144="rejected","Rejected",IF($L1144="ignore","Ignore",IF($L1144="archive","Archive",IF($L1144="closed","Closed",IF($B1144="","Unscored",IF(AND($B1144&gt;=8,OR($H1144="",$H1144-TODAY()&lt;=14)),"P1 Apply",IF($B1144&gt;=7,"P2 Strong",IF($B1144&gt;=5,"P3 Maybe","P4 Low")))))))))))</f>
        <v/>
      </c>
      <c r="B1144" s="13" t="n">
        <v>0.43</v>
      </c>
      <c r="C1144" s="12" t="inlineStr">
        <is>
          <t>Senior/Lead</t>
        </is>
      </c>
      <c r="D1144" s="8" t="inlineStr">
        <is>
          <t>Software Development Engineer III</t>
        </is>
      </c>
      <c r="E1144" s="7" t="inlineStr">
        <is>
          <t>GoCardless</t>
        </is>
      </c>
      <c r="F1144" s="8" t="inlineStr">
        <is>
          <t>London, UK</t>
        </is>
      </c>
      <c r="G1144" s="8" t="n"/>
      <c r="H1144" s="14" t="n"/>
      <c r="I1144" s="15">
        <f>IF($H1144="","",$H1144-TODAY())</f>
        <v/>
      </c>
      <c r="J1144" s="16" t="inlineStr">
        <is>
          <t>Open posting</t>
        </is>
      </c>
      <c r="K1144" s="8" t="inlineStr">
        <is>
          <t>filtered by keyword pre-scan</t>
        </is>
      </c>
      <c r="L1144" s="17" t="inlineStr">
        <is>
          <t>new</t>
        </is>
      </c>
      <c r="M1144" s="18" t="inlineStr"/>
      <c r="N1144" s="7" t="inlineStr">
        <is>
          <t>d58246a8ae5b6f9f4063edcf97814223f0f39757</t>
        </is>
      </c>
      <c r="O1144" s="14" t="n">
        <v>46192</v>
      </c>
      <c r="P1144" s="7" t="inlineStr">
        <is>
          <t>greenhouse:gocardless</t>
        </is>
      </c>
      <c r="Q1144" s="8" t="inlineStr">
        <is>
          <t>c</t>
        </is>
      </c>
      <c r="R1144" s="8" t="n"/>
      <c r="S1144" s="19" t="n"/>
      <c r="T1144" s="19" t="n"/>
      <c r="U1144" s="14" t="n">
        <v>46192</v>
      </c>
      <c r="V1144" s="7" t="inlineStr">
        <is>
          <t>v2-cv-accuracy-13b988b18da8ea7d</t>
        </is>
      </c>
    </row>
    <row r="1145" ht="28" customHeight="1">
      <c r="A1145" s="12">
        <f>IF($L1145="applied","Applied",IF($L1145="interview","Interview",IF($L1145="offer","Offer",IF($L1145="rejected","Rejected",IF($L1145="ignore","Ignore",IF($L1145="archive","Archive",IF($L1145="closed","Closed",IF($B1145="","Unscored",IF(AND($B1145&gt;=8,OR($H1145="",$H1145-TODAY()&lt;=14)),"P1 Apply",IF($B1145&gt;=7,"P2 Strong",IF($B1145&gt;=5,"P3 Maybe","P4 Low")))))))))))</f>
        <v/>
      </c>
      <c r="B1145" s="13" t="n">
        <v>0.43</v>
      </c>
      <c r="C1145" s="12" t="inlineStr">
        <is>
          <t>Graduate/Entry</t>
        </is>
      </c>
      <c r="D1145" s="8" t="inlineStr">
        <is>
          <t>Graduate IT Support Engineer</t>
        </is>
      </c>
      <c r="E1145" s="7" t="inlineStr">
        <is>
          <t>Morgan &amp; Morgan Business and Technology</t>
        </is>
      </c>
      <c r="F1145" s="8" t="inlineStr">
        <is>
          <t>Llanelli, WLS, GB</t>
        </is>
      </c>
      <c r="G1145" s="8" t="n"/>
      <c r="H1145" s="14" t="n"/>
      <c r="I1145" s="15">
        <f>IF($H1145="","",$H1145-TODAY())</f>
        <v/>
      </c>
      <c r="J1145" s="16" t="inlineStr">
        <is>
          <t>Open posting</t>
        </is>
      </c>
      <c r="K1145" s="8" t="inlineStr">
        <is>
          <t>filtered by keyword pre-scan</t>
        </is>
      </c>
      <c r="L1145" s="17" t="inlineStr">
        <is>
          <t>new</t>
        </is>
      </c>
      <c r="M1145" s="18" t="inlineStr"/>
      <c r="N1145" s="7" t="inlineStr">
        <is>
          <t>9a0f991f266cf7350d486ef450ae38cfe01c359f</t>
        </is>
      </c>
      <c r="O1145" s="14" t="n">
        <v>46191</v>
      </c>
      <c r="P1145" s="7" t="inlineStr">
        <is>
          <t>jobspy</t>
        </is>
      </c>
      <c r="Q1145" s="8" t="inlineStr">
        <is>
          <t>c</t>
        </is>
      </c>
      <c r="R1145" s="8" t="inlineStr">
        <is>
          <t>Graduate Systems Engineer hardware software</t>
        </is>
      </c>
      <c r="S1145" s="19" t="n"/>
      <c r="T1145" s="19" t="n"/>
      <c r="U1145" s="14" t="n">
        <v>46192</v>
      </c>
      <c r="V1145" s="7" t="inlineStr">
        <is>
          <t>v2-cv-accuracy-13b988b18da8ea7d</t>
        </is>
      </c>
    </row>
    <row r="1146" ht="28" customHeight="1">
      <c r="A1146" s="12">
        <f>IF($L1146="applied","Applied",IF($L1146="interview","Interview",IF($L1146="offer","Offer",IF($L1146="rejected","Rejected",IF($L1146="ignore","Ignore",IF($L1146="archive","Archive",IF($L1146="closed","Closed",IF($B1146="","Unscored",IF(AND($B1146&gt;=8,OR($H1146="",$H1146-TODAY()&lt;=14)),"P1 Apply",IF($B1146&gt;=7,"P2 Strong",IF($B1146&gt;=5,"P3 Maybe","P4 Low")))))))))))</f>
        <v/>
      </c>
      <c r="B1146" s="13" t="n">
        <v>0.43</v>
      </c>
      <c r="C1146" s="12" t="inlineStr">
        <is>
          <t>Junior</t>
        </is>
      </c>
      <c r="D1146" s="8" t="inlineStr">
        <is>
          <t>Associate Business Analyst</t>
        </is>
      </c>
      <c r="E1146" s="7" t="inlineStr">
        <is>
          <t>NurseryCam Ltd</t>
        </is>
      </c>
      <c r="F1146" s="8" t="inlineStr">
        <is>
          <t>Guildford, ENG, GB</t>
        </is>
      </c>
      <c r="G1146" s="8" t="n"/>
      <c r="H1146" s="14" t="n"/>
      <c r="I1146" s="15">
        <f>IF($H1146="","",$H1146-TODAY())</f>
        <v/>
      </c>
      <c r="J1146" s="16" t="inlineStr">
        <is>
          <t>Open posting</t>
        </is>
      </c>
      <c r="K1146" s="8" t="inlineStr">
        <is>
          <t>filtered by keyword pre-scan</t>
        </is>
      </c>
      <c r="L1146" s="17" t="inlineStr">
        <is>
          <t>new</t>
        </is>
      </c>
      <c r="M1146" s="18" t="inlineStr"/>
      <c r="N1146" s="7" t="inlineStr">
        <is>
          <t>9be6e38f817b31b677c00679f9648cf2fc49247e</t>
        </is>
      </c>
      <c r="O1146" s="14" t="n">
        <v>46188</v>
      </c>
      <c r="P1146" s="7" t="inlineStr">
        <is>
          <t>jobspy</t>
        </is>
      </c>
      <c r="Q1146" s="8" t="inlineStr">
        <is>
          <t>c</t>
        </is>
      </c>
      <c r="R1146" s="8" t="inlineStr">
        <is>
          <t>Graduate Systems Engineer hardware software</t>
        </is>
      </c>
      <c r="S1146" s="19" t="n"/>
      <c r="T1146" s="19" t="n"/>
      <c r="U1146" s="14" t="n">
        <v>46192</v>
      </c>
      <c r="V1146" s="7" t="inlineStr">
        <is>
          <t>v2-cv-accuracy-13b988b18da8ea7d</t>
        </is>
      </c>
    </row>
    <row r="1147" ht="28" customHeight="1">
      <c r="A1147" s="12">
        <f>IF($L1147="applied","Applied",IF($L1147="interview","Interview",IF($L1147="offer","Offer",IF($L1147="rejected","Rejected",IF($L1147="ignore","Ignore",IF($L1147="archive","Archive",IF($L1147="closed","Closed",IF($B1147="","Unscored",IF(AND($B1147&gt;=8,OR($H1147="",$H1147-TODAY()&lt;=14)),"P1 Apply",IF($B1147&gt;=7,"P2 Strong",IF($B1147&gt;=5,"P3 Maybe","P4 Low")))))))))))</f>
        <v/>
      </c>
      <c r="B1147" s="13" t="n">
        <v>0.43</v>
      </c>
      <c r="C1147" s="12" t="inlineStr">
        <is>
          <t>Unspecified</t>
        </is>
      </c>
      <c r="D1147" s="8" t="inlineStr">
        <is>
          <t>IT 2nd Line Support Engineer</t>
        </is>
      </c>
      <c r="E1147" s="7" t="inlineStr">
        <is>
          <t>Lockheed Martin</t>
        </is>
      </c>
      <c r="F1147" s="8" t="inlineStr">
        <is>
          <t>Ampthill, ENG, GB</t>
        </is>
      </c>
      <c r="G1147" s="8" t="n"/>
      <c r="H1147" s="14" t="n"/>
      <c r="I1147" s="15">
        <f>IF($H1147="","",$H1147-TODAY())</f>
        <v/>
      </c>
      <c r="J1147" s="16" t="inlineStr">
        <is>
          <t>Open posting</t>
        </is>
      </c>
      <c r="K1147" s="8" t="inlineStr">
        <is>
          <t>filtered by keyword pre-scan</t>
        </is>
      </c>
      <c r="L1147" s="17" t="inlineStr">
        <is>
          <t>new</t>
        </is>
      </c>
      <c r="M1147" s="18" t="inlineStr"/>
      <c r="N1147" s="7" t="inlineStr">
        <is>
          <t>bdbfd3888dce4f514ce728efbee32dfb144d4594</t>
        </is>
      </c>
      <c r="O1147" s="14" t="n">
        <v>46175</v>
      </c>
      <c r="P1147" s="7" t="inlineStr">
        <is>
          <t>jobspy</t>
        </is>
      </c>
      <c r="Q1147" s="8" t="inlineStr">
        <is>
          <t>c</t>
        </is>
      </c>
      <c r="R1147" s="8" t="inlineStr">
        <is>
          <t>Graduate Systems Engineer hardware software</t>
        </is>
      </c>
      <c r="S1147" s="19" t="n"/>
      <c r="T1147" s="19" t="n"/>
      <c r="U1147" s="14" t="n">
        <v>46192</v>
      </c>
      <c r="V1147" s="7" t="inlineStr">
        <is>
          <t>v2-cv-accuracy-13b988b18da8ea7d</t>
        </is>
      </c>
    </row>
    <row r="1148" ht="28" customHeight="1">
      <c r="A1148" s="12">
        <f>IF($L1148="applied","Applied",IF($L1148="interview","Interview",IF($L1148="offer","Offer",IF($L1148="rejected","Rejected",IF($L1148="ignore","Ignore",IF($L1148="archive","Archive",IF($L1148="closed","Closed",IF($B1148="","Unscored",IF(AND($B1148&gt;=8,OR($H1148="",$H1148-TODAY()&lt;=14)),"P1 Apply",IF($B1148&gt;=7,"P2 Strong",IF($B1148&gt;=5,"P3 Maybe","P4 Low")))))))))))</f>
        <v/>
      </c>
      <c r="B1148" s="13" t="n">
        <v>0.43</v>
      </c>
      <c r="C1148" s="12" t="inlineStr">
        <is>
          <t>Senior/Lead</t>
        </is>
      </c>
      <c r="D1148" s="8" t="inlineStr">
        <is>
          <t>RF Payload Engineer</t>
        </is>
      </c>
      <c r="E1148" s="7" t="inlineStr">
        <is>
          <t>Lockheed Martin</t>
        </is>
      </c>
      <c r="F1148" s="8" t="inlineStr">
        <is>
          <t>Newcastle upon Tyne, ENG, GB</t>
        </is>
      </c>
      <c r="G1148" s="8" t="n"/>
      <c r="H1148" s="14" t="n"/>
      <c r="I1148" s="15">
        <f>IF($H1148="","",$H1148-TODAY())</f>
        <v/>
      </c>
      <c r="J1148" s="16" t="inlineStr">
        <is>
          <t>Open posting</t>
        </is>
      </c>
      <c r="K1148" s="8" t="inlineStr">
        <is>
          <t>filtered by keyword pre-scan</t>
        </is>
      </c>
      <c r="L1148" s="17" t="inlineStr">
        <is>
          <t>new</t>
        </is>
      </c>
      <c r="M1148" s="18" t="inlineStr"/>
      <c r="N1148" s="7" t="inlineStr">
        <is>
          <t>e8f4d56a0e1aa7669a818a791dc4a546ffd5a3d0</t>
        </is>
      </c>
      <c r="O1148" s="14" t="n">
        <v>46169</v>
      </c>
      <c r="P1148" s="7" t="inlineStr">
        <is>
          <t>jobspy</t>
        </is>
      </c>
      <c r="Q1148" s="8" t="inlineStr">
        <is>
          <t>c</t>
        </is>
      </c>
      <c r="R1148" s="8" t="inlineStr">
        <is>
          <t>Graduate Systems Engineer hardware software</t>
        </is>
      </c>
      <c r="S1148" s="19" t="n"/>
      <c r="T1148" s="19" t="n"/>
      <c r="U1148" s="14" t="n">
        <v>46192</v>
      </c>
      <c r="V1148" s="7" t="inlineStr">
        <is>
          <t>v2-cv-accuracy-13b988b18da8ea7d</t>
        </is>
      </c>
    </row>
    <row r="1149" ht="28" customHeight="1">
      <c r="A1149" s="12">
        <f>IF($L1149="applied","Applied",IF($L1149="interview","Interview",IF($L1149="offer","Offer",IF($L1149="rejected","Rejected",IF($L1149="ignore","Ignore",IF($L1149="archive","Archive",IF($L1149="closed","Closed",IF($B1149="","Unscored",IF(AND($B1149&gt;=8,OR($H1149="",$H1149-TODAY()&lt;=14)),"P1 Apply",IF($B1149&gt;=7,"P2 Strong",IF($B1149&gt;=5,"P3 Maybe","P4 Low")))))))))))</f>
        <v/>
      </c>
      <c r="B1149" s="13" t="n">
        <v>0.43</v>
      </c>
      <c r="C1149" s="12" t="inlineStr">
        <is>
          <t>Unspecified</t>
        </is>
      </c>
      <c r="D1149" s="8" t="inlineStr">
        <is>
          <t>Cyber Security Engineer</t>
        </is>
      </c>
      <c r="E1149" s="7" t="inlineStr">
        <is>
          <t>Lockheed Martin</t>
        </is>
      </c>
      <c r="F1149" s="8" t="inlineStr">
        <is>
          <t>Newcastle upon Tyne, ENG, GB</t>
        </is>
      </c>
      <c r="G1149" s="8" t="n"/>
      <c r="H1149" s="14" t="n"/>
      <c r="I1149" s="15">
        <f>IF($H1149="","",$H1149-TODAY())</f>
        <v/>
      </c>
      <c r="J1149" s="16" t="inlineStr">
        <is>
          <t>Open posting</t>
        </is>
      </c>
      <c r="K1149" s="8" t="inlineStr">
        <is>
          <t>filtered by keyword pre-scan</t>
        </is>
      </c>
      <c r="L1149" s="17" t="inlineStr">
        <is>
          <t>new</t>
        </is>
      </c>
      <c r="M1149" s="18" t="inlineStr"/>
      <c r="N1149" s="7" t="inlineStr">
        <is>
          <t>129175c4f50d84b653cf0c29d64ec2742d645fe4</t>
        </is>
      </c>
      <c r="O1149" s="14" t="n">
        <v>46169</v>
      </c>
      <c r="P1149" s="7" t="inlineStr">
        <is>
          <t>jobspy</t>
        </is>
      </c>
      <c r="Q1149" s="8" t="inlineStr">
        <is>
          <t>c</t>
        </is>
      </c>
      <c r="R1149" s="8" t="inlineStr">
        <is>
          <t>Graduate Systems Engineer hardware software</t>
        </is>
      </c>
      <c r="S1149" s="19" t="n"/>
      <c r="T1149" s="19" t="n"/>
      <c r="U1149" s="14" t="n">
        <v>46192</v>
      </c>
      <c r="V1149" s="7" t="inlineStr">
        <is>
          <t>v2-cv-accuracy-13b988b18da8ea7d</t>
        </is>
      </c>
    </row>
    <row r="1150" ht="28" customHeight="1">
      <c r="A1150" s="12">
        <f>IF($L1150="applied","Applied",IF($L1150="interview","Interview",IF($L1150="offer","Offer",IF($L1150="rejected","Rejected",IF($L1150="ignore","Ignore",IF($L1150="archive","Archive",IF($L1150="closed","Closed",IF($B1150="","Unscored",IF(AND($B1150&gt;=8,OR($H1150="",$H1150-TODAY()&lt;=14)),"P1 Apply",IF($B1150&gt;=7,"P2 Strong",IF($B1150&gt;=5,"P3 Maybe","P4 Low")))))))))))</f>
        <v/>
      </c>
      <c r="B1150" s="13" t="n">
        <v>0.43</v>
      </c>
      <c r="C1150" s="12" t="inlineStr">
        <is>
          <t>Senior/Lead</t>
        </is>
      </c>
      <c r="D1150" s="8" t="inlineStr">
        <is>
          <t>Spacecraft Platform Engineer</t>
        </is>
      </c>
      <c r="E1150" s="7" t="inlineStr">
        <is>
          <t>Lockheed Martin</t>
        </is>
      </c>
      <c r="F1150" s="8" t="inlineStr">
        <is>
          <t>Newcastle upon Tyne, ENG, GB</t>
        </is>
      </c>
      <c r="G1150" s="8" t="n"/>
      <c r="H1150" s="14" t="n"/>
      <c r="I1150" s="15">
        <f>IF($H1150="","",$H1150-TODAY())</f>
        <v/>
      </c>
      <c r="J1150" s="16" t="inlineStr">
        <is>
          <t>Open posting</t>
        </is>
      </c>
      <c r="K1150" s="8" t="inlineStr">
        <is>
          <t>filtered by keyword pre-scan</t>
        </is>
      </c>
      <c r="L1150" s="17" t="inlineStr">
        <is>
          <t>new</t>
        </is>
      </c>
      <c r="M1150" s="18" t="inlineStr"/>
      <c r="N1150" s="7" t="inlineStr">
        <is>
          <t>58d8fb8929a040efef2b1246cd7c3ecf287081e9</t>
        </is>
      </c>
      <c r="O1150" s="14" t="n">
        <v>46169</v>
      </c>
      <c r="P1150" s="7" t="inlineStr">
        <is>
          <t>jobspy</t>
        </is>
      </c>
      <c r="Q1150" s="8" t="inlineStr">
        <is>
          <t>c</t>
        </is>
      </c>
      <c r="R1150" s="8" t="inlineStr">
        <is>
          <t>Graduate Systems Engineer hardware software</t>
        </is>
      </c>
      <c r="S1150" s="19" t="n"/>
      <c r="T1150" s="19" t="n"/>
      <c r="U1150" s="14" t="n">
        <v>46192</v>
      </c>
      <c r="V1150" s="7" t="inlineStr">
        <is>
          <t>v2-cv-accuracy-13b988b18da8ea7d</t>
        </is>
      </c>
    </row>
    <row r="1151" ht="28" customHeight="1">
      <c r="A1151" s="12">
        <f>IF($L1151="applied","Applied",IF($L1151="interview","Interview",IF($L1151="offer","Offer",IF($L1151="rejected","Rejected",IF($L1151="ignore","Ignore",IF($L1151="archive","Archive",IF($L1151="closed","Closed",IF($B1151="","Unscored",IF(AND($B1151&gt;=8,OR($H1151="",$H1151-TODAY()&lt;=14)),"P1 Apply",IF($B1151&gt;=7,"P2 Strong",IF($B1151&gt;=5,"P3 Maybe","P4 Low")))))))))))</f>
        <v/>
      </c>
      <c r="B1151" s="13" t="n">
        <v>0.43</v>
      </c>
      <c r="C1151" s="12" t="inlineStr">
        <is>
          <t>Mid-level</t>
        </is>
      </c>
      <c r="D1151" s="8" t="inlineStr">
        <is>
          <t>1st Line Support Engineer</t>
        </is>
      </c>
      <c r="E1151" s="7" t="inlineStr">
        <is>
          <t>Gold Group Ltd</t>
        </is>
      </c>
      <c r="F1151" s="8" t="inlineStr">
        <is>
          <t>London, England, UK</t>
        </is>
      </c>
      <c r="G1151" s="8" t="n"/>
      <c r="H1151" s="14" t="n"/>
      <c r="I1151" s="15">
        <f>IF($H1151="","",$H1151-TODAY())</f>
        <v/>
      </c>
      <c r="J1151" s="16" t="inlineStr">
        <is>
          <t>Open posting</t>
        </is>
      </c>
      <c r="K1151" s="8" t="inlineStr">
        <is>
          <t>filtered by keyword pre-scan</t>
        </is>
      </c>
      <c r="L1151" s="17" t="inlineStr">
        <is>
          <t>new</t>
        </is>
      </c>
      <c r="M1151" s="18" t="inlineStr"/>
      <c r="N1151" s="7" t="inlineStr">
        <is>
          <t>e766bd514bea145a97ef295fa0d34ffe79fa7049</t>
        </is>
      </c>
      <c r="O1151" s="14" t="n">
        <v>46191</v>
      </c>
      <c r="P1151" s="7" t="inlineStr">
        <is>
          <t>jobspy</t>
        </is>
      </c>
      <c r="Q1151" s="8" t="inlineStr">
        <is>
          <t>c</t>
        </is>
      </c>
      <c r="R1151" s="8" t="inlineStr">
        <is>
          <t>Graduate Systems Engineer hardware software</t>
        </is>
      </c>
      <c r="S1151" s="19" t="n"/>
      <c r="T1151" s="19" t="n"/>
      <c r="U1151" s="14" t="n">
        <v>46192</v>
      </c>
      <c r="V1151" s="7" t="inlineStr">
        <is>
          <t>v2-cv-accuracy-13b988b18da8ea7d</t>
        </is>
      </c>
    </row>
    <row r="1152" ht="28" customHeight="1">
      <c r="A1152" s="12">
        <f>IF($L1152="applied","Applied",IF($L1152="interview","Interview",IF($L1152="offer","Offer",IF($L1152="rejected","Rejected",IF($L1152="ignore","Ignore",IF($L1152="archive","Archive",IF($L1152="closed","Closed",IF($B1152="","Unscored",IF(AND($B1152&gt;=8,OR($H1152="",$H1152-TODAY()&lt;=14)),"P1 Apply",IF($B1152&gt;=7,"P2 Strong",IF($B1152&gt;=5,"P3 Maybe","P4 Low")))))))))))</f>
        <v/>
      </c>
      <c r="B1152" s="13" t="n">
        <v>0.43</v>
      </c>
      <c r="C1152" s="12" t="inlineStr">
        <is>
          <t>Senior/Lead</t>
        </is>
      </c>
      <c r="D1152" s="8" t="inlineStr">
        <is>
          <t>System Engineering Expert – Chassis Motion Control (Steering Systems)</t>
        </is>
      </c>
      <c r="E1152" s="7" t="inlineStr">
        <is>
          <t>Affluent Technology Limited</t>
        </is>
      </c>
      <c r="F1152" s="8" t="inlineStr">
        <is>
          <t>Coventry, England, UK</t>
        </is>
      </c>
      <c r="G1152" s="8" t="n"/>
      <c r="H1152" s="14" t="n"/>
      <c r="I1152" s="15">
        <f>IF($H1152="","",$H1152-TODAY())</f>
        <v/>
      </c>
      <c r="J1152" s="16" t="inlineStr">
        <is>
          <t>Open posting</t>
        </is>
      </c>
      <c r="K1152" s="8" t="inlineStr">
        <is>
          <t>filtered by keyword pre-scan</t>
        </is>
      </c>
      <c r="L1152" s="17" t="inlineStr">
        <is>
          <t>new</t>
        </is>
      </c>
      <c r="M1152" s="18" t="inlineStr"/>
      <c r="N1152" s="7" t="inlineStr">
        <is>
          <t>5a02f118fdfdb82c67b6c84cf1c4474597ecf1d3</t>
        </is>
      </c>
      <c r="O1152" s="14" t="n">
        <v>46190</v>
      </c>
      <c r="P1152" s="7" t="inlineStr">
        <is>
          <t>jobspy</t>
        </is>
      </c>
      <c r="Q1152" s="8" t="inlineStr">
        <is>
          <t>c</t>
        </is>
      </c>
      <c r="R1152" s="8" t="inlineStr">
        <is>
          <t>Graduate Systems Engineer hardware software</t>
        </is>
      </c>
      <c r="S1152" s="19" t="n"/>
      <c r="T1152" s="19" t="n"/>
      <c r="U1152" s="14" t="n">
        <v>46192</v>
      </c>
      <c r="V1152" s="7" t="inlineStr">
        <is>
          <t>v2-cv-accuracy-13b988b18da8ea7d</t>
        </is>
      </c>
    </row>
    <row r="1153" ht="28" customHeight="1">
      <c r="A1153" s="12">
        <f>IF($L1153="applied","Applied",IF($L1153="interview","Interview",IF($L1153="offer","Offer",IF($L1153="rejected","Rejected",IF($L1153="ignore","Ignore",IF($L1153="archive","Archive",IF($L1153="closed","Closed",IF($B1153="","Unscored",IF(AND($B1153&gt;=8,OR($H1153="",$H1153-TODAY()&lt;=14)),"P1 Apply",IF($B1153&gt;=7,"P2 Strong",IF($B1153&gt;=5,"P3 Maybe","P4 Low")))))))))))</f>
        <v/>
      </c>
      <c r="B1153" s="13" t="n">
        <v>0.43</v>
      </c>
      <c r="C1153" s="12" t="inlineStr">
        <is>
          <t>Mid-level</t>
        </is>
      </c>
      <c r="D1153" s="8" t="inlineStr">
        <is>
          <t>C5ISR SYSTEMS ENGINEER</t>
        </is>
      </c>
      <c r="E1153" s="7" t="inlineStr">
        <is>
          <t>UK Ministry of Defence</t>
        </is>
      </c>
      <c r="F1153" s="8" t="inlineStr">
        <is>
          <t>Hereford, England, UK</t>
        </is>
      </c>
      <c r="G1153" s="8" t="n"/>
      <c r="H1153" s="14" t="n"/>
      <c r="I1153" s="15">
        <f>IF($H1153="","",$H1153-TODAY())</f>
        <v/>
      </c>
      <c r="J1153" s="16" t="inlineStr">
        <is>
          <t>Open posting</t>
        </is>
      </c>
      <c r="K1153" s="8" t="inlineStr">
        <is>
          <t>filtered by keyword pre-scan</t>
        </is>
      </c>
      <c r="L1153" s="17" t="inlineStr">
        <is>
          <t>new</t>
        </is>
      </c>
      <c r="M1153" s="18" t="inlineStr"/>
      <c r="N1153" s="7" t="inlineStr">
        <is>
          <t>c7efc03f9d0528a112d6839cd26104ddc0c8cf0f</t>
        </is>
      </c>
      <c r="O1153" s="14" t="n">
        <v>46177</v>
      </c>
      <c r="P1153" s="7" t="inlineStr">
        <is>
          <t>jobspy</t>
        </is>
      </c>
      <c r="Q1153" s="8" t="inlineStr">
        <is>
          <t>c</t>
        </is>
      </c>
      <c r="R1153" s="8" t="inlineStr">
        <is>
          <t>Graduate Systems Engineer hardware software</t>
        </is>
      </c>
      <c r="S1153" s="19" t="n"/>
      <c r="T1153" s="19" t="n"/>
      <c r="U1153" s="14" t="n">
        <v>46192</v>
      </c>
      <c r="V1153" s="7" t="inlineStr">
        <is>
          <t>v2-cv-accuracy-13b988b18da8ea7d</t>
        </is>
      </c>
    </row>
    <row r="1154" ht="28" customHeight="1">
      <c r="A1154" s="12">
        <f>IF($L1154="applied","Applied",IF($L1154="interview","Interview",IF($L1154="offer","Offer",IF($L1154="rejected","Rejected",IF($L1154="ignore","Ignore",IF($L1154="archive","Archive",IF($L1154="closed","Closed",IF($B1154="","Unscored",IF(AND($B1154&gt;=8,OR($H1154="",$H1154-TODAY()&lt;=14)),"P1 Apply",IF($B1154&gt;=7,"P2 Strong",IF($B1154&gt;=5,"P3 Maybe","P4 Low")))))))))))</f>
        <v/>
      </c>
      <c r="B1154" s="13" t="n">
        <v>0.43</v>
      </c>
      <c r="C1154" s="12" t="inlineStr">
        <is>
          <t>Junior</t>
        </is>
      </c>
      <c r="D1154" s="8" t="inlineStr">
        <is>
          <t>Software Engineer</t>
        </is>
      </c>
      <c r="E1154" s="7" t="inlineStr">
        <is>
          <t>Eaton</t>
        </is>
      </c>
      <c r="F1154" s="8" t="inlineStr">
        <is>
          <t>Wimborne, ENG, GB</t>
        </is>
      </c>
      <c r="G1154" s="8" t="n"/>
      <c r="H1154" s="14" t="n"/>
      <c r="I1154" s="15">
        <f>IF($H1154="","",$H1154-TODAY())</f>
        <v/>
      </c>
      <c r="J1154" s="16" t="inlineStr">
        <is>
          <t>Open posting</t>
        </is>
      </c>
      <c r="K1154" s="8" t="inlineStr">
        <is>
          <t>filtered by keyword pre-scan</t>
        </is>
      </c>
      <c r="L1154" s="17" t="inlineStr">
        <is>
          <t>new</t>
        </is>
      </c>
      <c r="M1154" s="18" t="inlineStr"/>
      <c r="N1154" s="7" t="inlineStr">
        <is>
          <t>d89289cd666c01881173c1884b3491bb89677587</t>
        </is>
      </c>
      <c r="O1154" s="14" t="n">
        <v>46174</v>
      </c>
      <c r="P1154" s="7" t="inlineStr">
        <is>
          <t>jobspy</t>
        </is>
      </c>
      <c r="Q1154" s="8" t="inlineStr">
        <is>
          <t>c</t>
        </is>
      </c>
      <c r="R1154" s="8" t="inlineStr">
        <is>
          <t>Graduate Aerospace Avionics Engineer embedded</t>
        </is>
      </c>
      <c r="S1154" s="19" t="n"/>
      <c r="T1154" s="19" t="n"/>
      <c r="U1154" s="14" t="n">
        <v>46192</v>
      </c>
      <c r="V1154" s="7" t="inlineStr">
        <is>
          <t>v2-cv-accuracy-13b988b18da8ea7d</t>
        </is>
      </c>
    </row>
    <row r="1155" ht="28" customHeight="1">
      <c r="A1155" s="12">
        <f>IF($L1155="applied","Applied",IF($L1155="interview","Interview",IF($L1155="offer","Offer",IF($L1155="rejected","Rejected",IF($L1155="ignore","Ignore",IF($L1155="archive","Archive",IF($L1155="closed","Closed",IF($B1155="","Unscored",IF(AND($B1155&gt;=8,OR($H1155="",$H1155-TODAY()&lt;=14)),"P1 Apply",IF($B1155&gt;=7,"P2 Strong",IF($B1155&gt;=5,"P3 Maybe","P4 Low")))))))))))</f>
        <v/>
      </c>
      <c r="B1155" s="13" t="n">
        <v>0.41</v>
      </c>
      <c r="C1155" s="12" t="inlineStr">
        <is>
          <t>Senior/Lead</t>
        </is>
      </c>
      <c r="D1155" s="8" t="inlineStr">
        <is>
          <t>Machine Learning Platform Engineer</t>
        </is>
      </c>
      <c r="E1155" s="7" t="inlineStr">
        <is>
          <t>Monzo</t>
        </is>
      </c>
      <c r="F1155" s="8" t="inlineStr">
        <is>
          <t>Cardiff, London or Remote (UK); London</t>
        </is>
      </c>
      <c r="G1155" s="8" t="n"/>
      <c r="H1155" s="14" t="n"/>
      <c r="I1155" s="15">
        <f>IF($H1155="","",$H1155-TODAY())</f>
        <v/>
      </c>
      <c r="J1155" s="16" t="inlineStr">
        <is>
          <t>Open posting</t>
        </is>
      </c>
      <c r="K1155" s="8" t="inlineStr">
        <is>
          <t>filtered by keyword pre-scan</t>
        </is>
      </c>
      <c r="L1155" s="17" t="inlineStr">
        <is>
          <t>new</t>
        </is>
      </c>
      <c r="M1155" s="18" t="inlineStr"/>
      <c r="N1155" s="7" t="inlineStr">
        <is>
          <t>7345764ddb388b36a309c96e9eb390c9c141ceb0</t>
        </is>
      </c>
      <c r="O1155" s="14" t="n">
        <v>46191</v>
      </c>
      <c r="P1155" s="7" t="inlineStr">
        <is>
          <t>greenhouse:monzo</t>
        </is>
      </c>
      <c r="Q1155" s="8" t="inlineStr"/>
      <c r="R1155" s="8" t="n"/>
      <c r="S1155" s="19" t="n"/>
      <c r="T1155" s="19" t="n"/>
      <c r="U1155" s="14" t="n">
        <v>46191</v>
      </c>
      <c r="V1155" s="7" t="inlineStr">
        <is>
          <t>v2-cv-accuracy-13b988b18da8ea7d</t>
        </is>
      </c>
    </row>
    <row r="1156" ht="28" customHeight="1">
      <c r="A1156" s="12">
        <f>IF($L1156="applied","Applied",IF($L1156="interview","Interview",IF($L1156="offer","Offer",IF($L1156="rejected","Rejected",IF($L1156="ignore","Ignore",IF($L1156="archive","Archive",IF($L1156="closed","Closed",IF($B1156="","Unscored",IF(AND($B1156&gt;=8,OR($H1156="",$H1156-TODAY()&lt;=14)),"P1 Apply",IF($B1156&gt;=7,"P2 Strong",IF($B1156&gt;=5,"P3 Maybe","P4 Low")))))))))))</f>
        <v/>
      </c>
      <c r="B1156" s="13" t="n">
        <v>0.41</v>
      </c>
      <c r="C1156" s="12" t="inlineStr">
        <is>
          <t>Unspecified</t>
        </is>
      </c>
      <c r="D1156" s="8" t="inlineStr">
        <is>
          <t>Data Center Infrastructure Management (DCIM) Administrator - Infrastructure Operations</t>
        </is>
      </c>
      <c r="E1156" s="7" t="inlineStr">
        <is>
          <t>Cloudflare</t>
        </is>
      </c>
      <c r="F1156" s="8" t="inlineStr">
        <is>
          <t>Hybrid</t>
        </is>
      </c>
      <c r="G1156" s="8" t="n"/>
      <c r="H1156" s="14" t="n"/>
      <c r="I1156" s="15">
        <f>IF($H1156="","",$H1156-TODAY())</f>
        <v/>
      </c>
      <c r="J1156" s="16" t="inlineStr">
        <is>
          <t>Open posting</t>
        </is>
      </c>
      <c r="K1156" s="8" t="inlineStr">
        <is>
          <t>filtered by keyword pre-scan</t>
        </is>
      </c>
      <c r="L1156" s="17" t="inlineStr">
        <is>
          <t>new</t>
        </is>
      </c>
      <c r="M1156" s="18" t="inlineStr"/>
      <c r="N1156" s="7" t="inlineStr">
        <is>
          <t>8a363ba511695134ba81617ce57090c439a1fe3a</t>
        </is>
      </c>
      <c r="O1156" s="14" t="n">
        <v>46175</v>
      </c>
      <c r="P1156" s="7" t="inlineStr">
        <is>
          <t>greenhouse:cloudflare</t>
        </is>
      </c>
      <c r="Q1156" s="8" t="inlineStr"/>
      <c r="R1156" s="8" t="n"/>
      <c r="S1156" s="19" t="n"/>
      <c r="T1156" s="19" t="n"/>
      <c r="U1156" s="14" t="n">
        <v>46191</v>
      </c>
      <c r="V1156" s="7" t="inlineStr">
        <is>
          <t>v2-cv-accuracy-13b988b18da8ea7d</t>
        </is>
      </c>
    </row>
    <row r="1157" ht="28" customHeight="1">
      <c r="A1157" s="12">
        <f>IF($L1157="applied","Applied",IF($L1157="interview","Interview",IF($L1157="offer","Offer",IF($L1157="rejected","Rejected",IF($L1157="ignore","Ignore",IF($L1157="archive","Archive",IF($L1157="closed","Closed",IF($B1157="","Unscored",IF(AND($B1157&gt;=8,OR($H1157="",$H1157-TODAY()&lt;=14)),"P1 Apply",IF($B1157&gt;=7,"P2 Strong",IF($B1157&gt;=5,"P3 Maybe","P4 Low")))))))))))</f>
        <v/>
      </c>
      <c r="B1157" s="13" t="n">
        <v>0.41</v>
      </c>
      <c r="C1157" s="12" t="inlineStr">
        <is>
          <t>Mid-level</t>
        </is>
      </c>
      <c r="D1157" s="8" t="inlineStr">
        <is>
          <t>Solutions Engineer, Benelux</t>
        </is>
      </c>
      <c r="E1157" s="7" t="inlineStr">
        <is>
          <t>Cloudflare</t>
        </is>
      </c>
      <c r="F1157" s="8" t="inlineStr">
        <is>
          <t>Hybrid</t>
        </is>
      </c>
      <c r="G1157" s="8" t="n"/>
      <c r="H1157" s="14" t="n"/>
      <c r="I1157" s="15">
        <f>IF($H1157="","",$H1157-TODAY())</f>
        <v/>
      </c>
      <c r="J1157" s="16" t="inlineStr">
        <is>
          <t>Open posting</t>
        </is>
      </c>
      <c r="K1157" s="8" t="inlineStr">
        <is>
          <t>filtered by keyword pre-scan</t>
        </is>
      </c>
      <c r="L1157" s="17" t="inlineStr">
        <is>
          <t>new</t>
        </is>
      </c>
      <c r="M1157" s="18" t="inlineStr"/>
      <c r="N1157" s="7" t="inlineStr">
        <is>
          <t>f42ae9d25fee5c25ea9ec5c116e1faf58a1b9e51</t>
        </is>
      </c>
      <c r="O1157" s="14" t="n">
        <v>46183</v>
      </c>
      <c r="P1157" s="7" t="inlineStr">
        <is>
          <t>greenhouse:cloudflare</t>
        </is>
      </c>
      <c r="Q1157" s="8" t="inlineStr"/>
      <c r="R1157" s="8" t="n"/>
      <c r="S1157" s="19" t="n"/>
      <c r="T1157" s="19" t="n"/>
      <c r="U1157" s="14" t="n">
        <v>46191</v>
      </c>
      <c r="V1157" s="7" t="inlineStr">
        <is>
          <t>v2-cv-accuracy-13b988b18da8ea7d</t>
        </is>
      </c>
    </row>
    <row r="1158" ht="28" customHeight="1">
      <c r="A1158" s="12">
        <f>IF($L1158="applied","Applied",IF($L1158="interview","Interview",IF($L1158="offer","Offer",IF($L1158="rejected","Rejected",IF($L1158="ignore","Ignore",IF($L1158="archive","Archive",IF($L1158="closed","Closed",IF($B1158="","Unscored",IF(AND($B1158&gt;=8,OR($H1158="",$H1158-TODAY()&lt;=14)),"P1 Apply",IF($B1158&gt;=7,"P2 Strong",IF($B1158&gt;=5,"P3 Maybe","P4 Low")))))))))))</f>
        <v/>
      </c>
      <c r="B1158" s="13" t="n">
        <v>0.41</v>
      </c>
      <c r="C1158" s="12" t="inlineStr">
        <is>
          <t>Senior/Lead</t>
        </is>
      </c>
      <c r="D1158" s="8" t="inlineStr">
        <is>
          <t>Solutions Engineer, Nordics</t>
        </is>
      </c>
      <c r="E1158" s="7" t="inlineStr">
        <is>
          <t>Cloudflare</t>
        </is>
      </c>
      <c r="F1158" s="8" t="inlineStr">
        <is>
          <t>Hybrid</t>
        </is>
      </c>
      <c r="G1158" s="8" t="n"/>
      <c r="H1158" s="14" t="n"/>
      <c r="I1158" s="15">
        <f>IF($H1158="","",$H1158-TODAY())</f>
        <v/>
      </c>
      <c r="J1158" s="16" t="inlineStr">
        <is>
          <t>Open posting</t>
        </is>
      </c>
      <c r="K1158" s="8" t="inlineStr">
        <is>
          <t>filtered by keyword pre-scan</t>
        </is>
      </c>
      <c r="L1158" s="17" t="inlineStr">
        <is>
          <t>new</t>
        </is>
      </c>
      <c r="M1158" s="18" t="inlineStr"/>
      <c r="N1158" s="7" t="inlineStr">
        <is>
          <t>99ddb5baf87f143e503391400b42f490ba496d49</t>
        </is>
      </c>
      <c r="O1158" s="14" t="n">
        <v>46181</v>
      </c>
      <c r="P1158" s="7" t="inlineStr">
        <is>
          <t>greenhouse:cloudflare</t>
        </is>
      </c>
      <c r="Q1158" s="8" t="inlineStr"/>
      <c r="R1158" s="8" t="n"/>
      <c r="S1158" s="19" t="n"/>
      <c r="T1158" s="19" t="n"/>
      <c r="U1158" s="14" t="n">
        <v>46191</v>
      </c>
      <c r="V1158" s="7" t="inlineStr">
        <is>
          <t>v2-cv-accuracy-13b988b18da8ea7d</t>
        </is>
      </c>
    </row>
    <row r="1159" ht="28" customHeight="1">
      <c r="A1159" s="12">
        <f>IF($L1159="applied","Applied",IF($L1159="interview","Interview",IF($L1159="offer","Offer",IF($L1159="rejected","Rejected",IF($L1159="ignore","Ignore",IF($L1159="archive","Archive",IF($L1159="closed","Closed",IF($B1159="","Unscored",IF(AND($B1159&gt;=8,OR($H1159="",$H1159-TODAY()&lt;=14)),"P1 Apply",IF($B1159&gt;=7,"P2 Strong",IF($B1159&gt;=5,"P3 Maybe","P4 Low")))))))))))</f>
        <v/>
      </c>
      <c r="B1159" s="13" t="n">
        <v>0.41</v>
      </c>
      <c r="C1159" s="12" t="inlineStr">
        <is>
          <t>Senior/Lead</t>
        </is>
      </c>
      <c r="D1159" s="8" t="inlineStr">
        <is>
          <t>Business Analyst</t>
        </is>
      </c>
      <c r="E1159" s="7" t="inlineStr">
        <is>
          <t>The Granite Group</t>
        </is>
      </c>
      <c r="F1159" s="8" t="inlineStr">
        <is>
          <t>Liverpool, ENG, GB</t>
        </is>
      </c>
      <c r="G1159" s="8" t="n"/>
      <c r="H1159" s="14" t="n"/>
      <c r="I1159" s="15">
        <f>IF($H1159="","",$H1159-TODAY())</f>
        <v/>
      </c>
      <c r="J1159" s="16" t="inlineStr">
        <is>
          <t>Open posting</t>
        </is>
      </c>
      <c r="K1159" s="8" t="inlineStr">
        <is>
          <t>filtered by keyword pre-scan</t>
        </is>
      </c>
      <c r="L1159" s="17" t="inlineStr">
        <is>
          <t>new</t>
        </is>
      </c>
      <c r="M1159" s="18" t="inlineStr"/>
      <c r="N1159" s="7" t="inlineStr">
        <is>
          <t>6d6cc6f56984a1cc66a61f64d49cfa89c59b3702</t>
        </is>
      </c>
      <c r="O1159" s="14" t="n">
        <v>46188</v>
      </c>
      <c r="P1159" s="7" t="inlineStr">
        <is>
          <t>jobspy</t>
        </is>
      </c>
      <c r="Q1159" s="8" t="inlineStr"/>
      <c r="R1159" s="8" t="inlineStr">
        <is>
          <t>Graduate Software Developer</t>
        </is>
      </c>
      <c r="S1159" s="19" t="n"/>
      <c r="T1159" s="19" t="n"/>
      <c r="U1159" s="14" t="n">
        <v>46191</v>
      </c>
      <c r="V1159" s="7" t="inlineStr">
        <is>
          <t>v2-cv-accuracy-13b988b18da8ea7d</t>
        </is>
      </c>
    </row>
    <row r="1160" ht="28" customHeight="1">
      <c r="A1160" s="12">
        <f>IF($L1160="applied","Applied",IF($L1160="interview","Interview",IF($L1160="offer","Offer",IF($L1160="rejected","Rejected",IF($L1160="ignore","Ignore",IF($L1160="archive","Archive",IF($L1160="closed","Closed",IF($B1160="","Unscored",IF(AND($B1160&gt;=8,OR($H1160="",$H1160-TODAY()&lt;=14)),"P1 Apply",IF($B1160&gt;=7,"P2 Strong",IF($B1160&gt;=5,"P3 Maybe","P4 Low")))))))))))</f>
        <v/>
      </c>
      <c r="B1160" s="13" t="n">
        <v>0.41</v>
      </c>
      <c r="C1160" s="12" t="inlineStr">
        <is>
          <t>Junior</t>
        </is>
      </c>
      <c r="D1160" s="8" t="inlineStr">
        <is>
          <t>Junior Developer</t>
        </is>
      </c>
      <c r="E1160" s="7" t="inlineStr">
        <is>
          <t>Pulsar</t>
        </is>
      </c>
      <c r="F1160" s="8" t="inlineStr">
        <is>
          <t>London Area, United Kingdom</t>
        </is>
      </c>
      <c r="G1160" s="8" t="n"/>
      <c r="H1160" s="14" t="n"/>
      <c r="I1160" s="15">
        <f>IF($H1160="","",$H1160-TODAY())</f>
        <v/>
      </c>
      <c r="J1160" s="16" t="inlineStr">
        <is>
          <t>Open posting</t>
        </is>
      </c>
      <c r="K1160" s="8" t="inlineStr">
        <is>
          <t>filtered by keyword pre-scan</t>
        </is>
      </c>
      <c r="L1160" s="17" t="inlineStr">
        <is>
          <t>new</t>
        </is>
      </c>
      <c r="M1160" s="18" t="inlineStr"/>
      <c r="N1160" s="7" t="inlineStr">
        <is>
          <t>480f03d210af2cf428b4864e4d19871390f15fb2</t>
        </is>
      </c>
      <c r="O1160" s="14" t="n">
        <v>46171</v>
      </c>
      <c r="P1160" s="7" t="inlineStr">
        <is>
          <t>jobspy</t>
        </is>
      </c>
      <c r="Q1160" s="8" t="inlineStr"/>
      <c r="R1160" s="8" t="inlineStr">
        <is>
          <t>junior Graduate Software Developer</t>
        </is>
      </c>
      <c r="S1160" s="19" t="n"/>
      <c r="T1160" s="19" t="n"/>
      <c r="U1160" s="14" t="n">
        <v>46191</v>
      </c>
      <c r="V1160" s="7" t="inlineStr">
        <is>
          <t>v2-cv-accuracy-13b988b18da8ea7d</t>
        </is>
      </c>
    </row>
    <row r="1161" ht="28" customHeight="1">
      <c r="A1161" s="12">
        <f>IF($L1161="applied","Applied",IF($L1161="interview","Interview",IF($L1161="offer","Offer",IF($L1161="rejected","Rejected",IF($L1161="ignore","Ignore",IF($L1161="archive","Archive",IF($L1161="closed","Closed",IF($B1161="","Unscored",IF(AND($B1161&gt;=8,OR($H1161="",$H1161-TODAY()&lt;=14)),"P1 Apply",IF($B1161&gt;=7,"P2 Strong",IF($B1161&gt;=5,"P3 Maybe","P4 Low")))))))))))</f>
        <v/>
      </c>
      <c r="B1161" s="13" t="n">
        <v>0.41</v>
      </c>
      <c r="C1161" s="12" t="inlineStr">
        <is>
          <t>Junior</t>
        </is>
      </c>
      <c r="D1161" s="8" t="inlineStr">
        <is>
          <t>Junior Developer</t>
        </is>
      </c>
      <c r="E1161" s="7" t="inlineStr">
        <is>
          <t>AAA Global</t>
        </is>
      </c>
      <c r="F1161" s="8" t="inlineStr">
        <is>
          <t>London Area, United Kingdom</t>
        </is>
      </c>
      <c r="G1161" s="8" t="n"/>
      <c r="H1161" s="14" t="n"/>
      <c r="I1161" s="15">
        <f>IF($H1161="","",$H1161-TODAY())</f>
        <v/>
      </c>
      <c r="J1161" s="16" t="inlineStr">
        <is>
          <t>Open posting</t>
        </is>
      </c>
      <c r="K1161" s="8" t="inlineStr">
        <is>
          <t>filtered by keyword pre-scan</t>
        </is>
      </c>
      <c r="L1161" s="17" t="inlineStr">
        <is>
          <t>new</t>
        </is>
      </c>
      <c r="M1161" s="18" t="inlineStr"/>
      <c r="N1161" s="7" t="inlineStr">
        <is>
          <t>b2b26951615f018528dc560b38b936714b9db3c8</t>
        </is>
      </c>
      <c r="O1161" s="14" t="n">
        <v>46164</v>
      </c>
      <c r="P1161" s="7" t="inlineStr">
        <is>
          <t>jobspy</t>
        </is>
      </c>
      <c r="Q1161" s="8" t="inlineStr"/>
      <c r="R1161" s="8" t="inlineStr">
        <is>
          <t>junior Graduate Software Developer</t>
        </is>
      </c>
      <c r="S1161" s="19" t="n"/>
      <c r="T1161" s="19" t="n"/>
      <c r="U1161" s="14" t="n">
        <v>46191</v>
      </c>
      <c r="V1161" s="7" t="inlineStr">
        <is>
          <t>v2-cv-accuracy-13b988b18da8ea7d</t>
        </is>
      </c>
    </row>
    <row r="1162" ht="28" customHeight="1">
      <c r="A1162" s="12">
        <f>IF($L1162="applied","Applied",IF($L1162="interview","Interview",IF($L1162="offer","Offer",IF($L1162="rejected","Rejected",IF($L1162="ignore","Ignore",IF($L1162="archive","Archive",IF($L1162="closed","Closed",IF($B1162="","Unscored",IF(AND($B1162&gt;=8,OR($H1162="",$H1162-TODAY()&lt;=14)),"P1 Apply",IF($B1162&gt;=7,"P2 Strong",IF($B1162&gt;=5,"P3 Maybe","P4 Low")))))))))))</f>
        <v/>
      </c>
      <c r="B1162" s="13" t="n">
        <v>0.41</v>
      </c>
      <c r="C1162" s="12" t="inlineStr">
        <is>
          <t>Mid-level</t>
        </is>
      </c>
      <c r="D1162" s="8" t="inlineStr">
        <is>
          <t>Software Engineer - NextGen Academy</t>
        </is>
      </c>
      <c r="E1162" s="7" t="inlineStr">
        <is>
          <t>Rocket Software</t>
        </is>
      </c>
      <c r="F1162" s="8" t="inlineStr">
        <is>
          <t>Newbury, England, UK</t>
        </is>
      </c>
      <c r="G1162" s="8" t="n"/>
      <c r="H1162" s="14" t="n"/>
      <c r="I1162" s="15">
        <f>IF($H1162="","",$H1162-TODAY())</f>
        <v/>
      </c>
      <c r="J1162" s="16" t="inlineStr">
        <is>
          <t>Open posting</t>
        </is>
      </c>
      <c r="K1162" s="8" t="inlineStr">
        <is>
          <t>filtered by keyword pre-scan</t>
        </is>
      </c>
      <c r="L1162" s="17" t="inlineStr">
        <is>
          <t>new</t>
        </is>
      </c>
      <c r="M1162" s="18" t="inlineStr"/>
      <c r="N1162" s="7" t="inlineStr">
        <is>
          <t>3fe6251f768ccfb7cbbe21bd07f7e4cd2ecca041</t>
        </is>
      </c>
      <c r="O1162" s="14" t="n">
        <v>46178</v>
      </c>
      <c r="P1162" s="7" t="inlineStr">
        <is>
          <t>jobspy</t>
        </is>
      </c>
      <c r="Q1162" s="8" t="inlineStr"/>
      <c r="R1162" s="8" t="inlineStr">
        <is>
          <t>entry level Graduate Software Developer</t>
        </is>
      </c>
      <c r="S1162" s="19" t="n"/>
      <c r="T1162" s="19" t="n"/>
      <c r="U1162" s="14" t="n">
        <v>46191</v>
      </c>
      <c r="V1162" s="7" t="inlineStr">
        <is>
          <t>v2-cv-accuracy-13b988b18da8ea7d</t>
        </is>
      </c>
    </row>
    <row r="1163" ht="28" customHeight="1">
      <c r="A1163" s="12">
        <f>IF($L1163="applied","Applied",IF($L1163="interview","Interview",IF($L1163="offer","Offer",IF($L1163="rejected","Rejected",IF($L1163="ignore","Ignore",IF($L1163="archive","Archive",IF($L1163="closed","Closed",IF($B1163="","Unscored",IF(AND($B1163&gt;=8,OR($H1163="",$H1163-TODAY()&lt;=14)),"P1 Apply",IF($B1163&gt;=7,"P2 Strong",IF($B1163&gt;=5,"P3 Maybe","P4 Low")))))))))))</f>
        <v/>
      </c>
      <c r="B1163" s="13" t="n">
        <v>0.41</v>
      </c>
      <c r="C1163" s="12" t="inlineStr">
        <is>
          <t>Unspecified</t>
        </is>
      </c>
      <c r="D1163" s="8" t="inlineStr">
        <is>
          <t>Frontend Engineer - Music</t>
        </is>
      </c>
      <c r="E1163" s="7" t="inlineStr">
        <is>
          <t>Spotify</t>
        </is>
      </c>
      <c r="F1163" s="8" t="inlineStr">
        <is>
          <t>London, England, UK</t>
        </is>
      </c>
      <c r="G1163" s="8" t="n"/>
      <c r="H1163" s="14" t="n"/>
      <c r="I1163" s="15">
        <f>IF($H1163="","",$H1163-TODAY())</f>
        <v/>
      </c>
      <c r="J1163" s="16" t="inlineStr">
        <is>
          <t>Open posting</t>
        </is>
      </c>
      <c r="K1163" s="8" t="inlineStr">
        <is>
          <t>filtered by keyword pre-scan</t>
        </is>
      </c>
      <c r="L1163" s="17" t="inlineStr">
        <is>
          <t>new</t>
        </is>
      </c>
      <c r="M1163" s="18" t="inlineStr"/>
      <c r="N1163" s="7" t="inlineStr">
        <is>
          <t>d26e584bc66a58d2a7ef5d445594a6bc5e5faa37</t>
        </is>
      </c>
      <c r="O1163" s="14" t="n">
        <v>46178</v>
      </c>
      <c r="P1163" s="7" t="inlineStr">
        <is>
          <t>jobspy</t>
        </is>
      </c>
      <c r="Q1163" s="8" t="inlineStr"/>
      <c r="R1163" s="8" t="inlineStr">
        <is>
          <t>Full Stack Developer</t>
        </is>
      </c>
      <c r="S1163" s="19" t="n"/>
      <c r="T1163" s="19" t="n"/>
      <c r="U1163" s="14" t="n">
        <v>46191</v>
      </c>
      <c r="V1163" s="7" t="inlineStr">
        <is>
          <t>v2-cv-accuracy-13b988b18da8ea7d</t>
        </is>
      </c>
    </row>
    <row r="1164" ht="28" customHeight="1">
      <c r="A1164" s="12">
        <f>IF($L1164="applied","Applied",IF($L1164="interview","Interview",IF($L1164="offer","Offer",IF($L1164="rejected","Rejected",IF($L1164="ignore","Ignore",IF($L1164="archive","Archive",IF($L1164="closed","Closed",IF($B1164="","Unscored",IF(AND($B1164&gt;=8,OR($H1164="",$H1164-TODAY()&lt;=14)),"P1 Apply",IF($B1164&gt;=7,"P2 Strong",IF($B1164&gt;=5,"P3 Maybe","P4 Low")))))))))))</f>
        <v/>
      </c>
      <c r="B1164" s="13" t="n">
        <v>0.32</v>
      </c>
      <c r="C1164" s="12" t="inlineStr">
        <is>
          <t>Unspecified</t>
        </is>
      </c>
      <c r="D1164" s="8" t="inlineStr">
        <is>
          <t>Embedded Software Engineer</t>
        </is>
      </c>
      <c r="E1164" s="7" t="inlineStr">
        <is>
          <t>Oho Group</t>
        </is>
      </c>
      <c r="F1164" s="8" t="inlineStr">
        <is>
          <t>Cambridgeshire, England, UK</t>
        </is>
      </c>
      <c r="G1164" s="8" t="n"/>
      <c r="H1164" s="14" t="n"/>
      <c r="I1164" s="15">
        <f>IF($H1164="","",$H1164-TODAY())</f>
        <v/>
      </c>
      <c r="J1164" s="16" t="inlineStr">
        <is>
          <t>Open posting</t>
        </is>
      </c>
      <c r="K1164" s="8" t="inlineStr">
        <is>
          <t>filtered by keyword pre-scan</t>
        </is>
      </c>
      <c r="L1164" s="17" t="inlineStr">
        <is>
          <t>new</t>
        </is>
      </c>
      <c r="M1164" s="18" t="inlineStr"/>
      <c r="N1164" s="7" t="inlineStr">
        <is>
          <t>478da0c58f40c11b4684761c8a53e7a0bf8400d6</t>
        </is>
      </c>
      <c r="O1164" s="14" t="n">
        <v>46171</v>
      </c>
      <c r="P1164" s="7" t="inlineStr">
        <is>
          <t>jobspy</t>
        </is>
      </c>
      <c r="Q1164" s="8" t="inlineStr">
        <is>
          <t>c</t>
        </is>
      </c>
      <c r="R1164" s="8" t="inlineStr">
        <is>
          <t>Embedded Systems Graduate Engineer IoT</t>
        </is>
      </c>
      <c r="S1164" s="19" t="n"/>
      <c r="T1164" s="19" t="n"/>
      <c r="U1164" s="14" t="n">
        <v>46193</v>
      </c>
      <c r="V1164" s="7" t="inlineStr">
        <is>
          <t>v2-cv-accuracy-13b988b18da8ea7d</t>
        </is>
      </c>
    </row>
    <row r="1165" ht="28" customHeight="1">
      <c r="A1165" s="12">
        <f>IF($L1165="applied","Applied",IF($L1165="interview","Interview",IF($L1165="offer","Offer",IF($L1165="rejected","Rejected",IF($L1165="ignore","Ignore",IF($L1165="archive","Archive",IF($L1165="closed","Closed",IF($B1165="","Unscored",IF(AND($B1165&gt;=8,OR($H1165="",$H1165-TODAY()&lt;=14)),"P1 Apply",IF($B1165&gt;=7,"P2 Strong",IF($B1165&gt;=5,"P3 Maybe","P4 Low")))))))))))</f>
        <v/>
      </c>
      <c r="B1165" s="13" t="n">
        <v>0.27</v>
      </c>
      <c r="C1165" s="12" t="inlineStr">
        <is>
          <t>Junior</t>
        </is>
      </c>
      <c r="D1165" s="8" t="inlineStr">
        <is>
          <t>Junior Systems Developer</t>
        </is>
      </c>
      <c r="E1165" s="7" t="inlineStr">
        <is>
          <t>Invertek Drives</t>
        </is>
      </c>
      <c r="F1165" s="8" t="inlineStr">
        <is>
          <t>Welshpool, WLS, GB</t>
        </is>
      </c>
      <c r="G1165" s="8" t="n"/>
      <c r="H1165" s="14" t="n"/>
      <c r="I1165" s="15">
        <f>IF($H1165="","",$H1165-TODAY())</f>
        <v/>
      </c>
      <c r="J1165" s="16" t="inlineStr">
        <is>
          <t>Open posting</t>
        </is>
      </c>
      <c r="K1165" s="8" t="inlineStr">
        <is>
          <t>filtered by keyword pre-scan</t>
        </is>
      </c>
      <c r="L1165" s="17" t="inlineStr">
        <is>
          <t>new</t>
        </is>
      </c>
      <c r="M1165" s="18" t="inlineStr"/>
      <c r="N1165" s="7" t="inlineStr">
        <is>
          <t>f66ed2145ece843b6e56515ad71d18e0bc8ec974</t>
        </is>
      </c>
      <c r="O1165" s="14" t="n">
        <v>46188</v>
      </c>
      <c r="P1165" s="7" t="inlineStr">
        <is>
          <t>jobspy</t>
        </is>
      </c>
      <c r="Q1165" s="8" t="inlineStr">
        <is>
          <t>python, sql, javascript, git, software development</t>
        </is>
      </c>
      <c r="R1165" s="8" t="inlineStr">
        <is>
          <t>Junior Python Developer</t>
        </is>
      </c>
      <c r="S1165" s="19" t="n"/>
      <c r="T1165" s="19" t="n"/>
      <c r="U1165" s="14" t="n">
        <v>46191</v>
      </c>
      <c r="V1165" s="7" t="inlineStr">
        <is>
          <t>v2-cv-accuracy-13b988b18da8ea7d</t>
        </is>
      </c>
    </row>
    <row r="1166" ht="28" customHeight="1">
      <c r="A1166" s="12">
        <f>IF($L1166="applied","Applied",IF($L1166="interview","Interview",IF($L1166="offer","Offer",IF($L1166="rejected","Rejected",IF($L1166="ignore","Ignore",IF($L1166="archive","Archive",IF($L1166="closed","Closed",IF($B1166="","Unscored",IF(AND($B1166&gt;=8,OR($H1166="",$H1166-TODAY()&lt;=14)),"P1 Apply",IF($B1166&gt;=7,"P2 Strong",IF($B1166&gt;=5,"P3 Maybe","P4 Low")))))))))))</f>
        <v/>
      </c>
      <c r="B1166" s="13" t="n">
        <v>0.27</v>
      </c>
      <c r="C1166" s="12" t="inlineStr">
        <is>
          <t>Junior</t>
        </is>
      </c>
      <c r="D1166" s="8" t="inlineStr">
        <is>
          <t>Python Engineer (0–2 Yrs)</t>
        </is>
      </c>
      <c r="E1166" s="7" t="inlineStr">
        <is>
          <t>Efficienza Business Solutions Pvt. Ltd</t>
        </is>
      </c>
      <c r="F1166" s="8" t="inlineStr">
        <is>
          <t>Chennai, Tamil Nadu, India</t>
        </is>
      </c>
      <c r="G1166" s="8" t="n"/>
      <c r="H1166" s="14" t="n"/>
      <c r="I1166" s="15">
        <f>IF($H1166="","",$H1166-TODAY())</f>
        <v/>
      </c>
      <c r="J1166" s="16" t="inlineStr">
        <is>
          <t>Open posting</t>
        </is>
      </c>
      <c r="K1166" s="8" t="inlineStr">
        <is>
          <t>filtered by keyword pre-scan</t>
        </is>
      </c>
      <c r="L1166" s="17" t="inlineStr">
        <is>
          <t>new</t>
        </is>
      </c>
      <c r="M1166" s="18" t="inlineStr"/>
      <c r="N1166" s="7" t="inlineStr">
        <is>
          <t>f2b01d5409d5109e5c1010fb544e61b22be03111</t>
        </is>
      </c>
      <c r="O1166" s="14" t="n">
        <v>46176</v>
      </c>
      <c r="P1166" s="7" t="inlineStr">
        <is>
          <t>jobspy</t>
        </is>
      </c>
      <c r="Q1166" s="8" t="inlineStr">
        <is>
          <t>python, sql, git</t>
        </is>
      </c>
      <c r="R1166" s="8" t="inlineStr">
        <is>
          <t>graduate Junior Python Developer</t>
        </is>
      </c>
      <c r="S1166" s="19" t="n"/>
      <c r="T1166" s="19" t="n"/>
      <c r="U1166" s="14" t="n">
        <v>46191</v>
      </c>
      <c r="V1166" s="7" t="inlineStr">
        <is>
          <t>v2-cv-accuracy-13b988b18da8ea7d</t>
        </is>
      </c>
    </row>
    <row r="1167" ht="28" customHeight="1">
      <c r="A1167" s="12">
        <f>IF($L1167="applied","Applied",IF($L1167="interview","Interview",IF($L1167="offer","Offer",IF($L1167="rejected","Rejected",IF($L1167="ignore","Ignore",IF($L1167="archive","Archive",IF($L1167="closed","Closed",IF($B1167="","Unscored",IF(AND($B1167&gt;=8,OR($H1167="",$H1167-TODAY()&lt;=14)),"P1 Apply",IF($B1167&gt;=7,"P2 Strong",IF($B1167&gt;=5,"P3 Maybe","P4 Low")))))))))))</f>
        <v/>
      </c>
      <c r="B1167" s="13" t="n">
        <v>0.27</v>
      </c>
      <c r="C1167" s="12" t="inlineStr">
        <is>
          <t>Junior</t>
        </is>
      </c>
      <c r="D1167" s="8" t="inlineStr">
        <is>
          <t>Junior Systems Developer</t>
        </is>
      </c>
      <c r="E1167" s="7" t="inlineStr">
        <is>
          <t>Sumitomo Drive Technologies EMEIA</t>
        </is>
      </c>
      <c r="F1167" s="8" t="inlineStr">
        <is>
          <t>Welshpool, Wales, UK</t>
        </is>
      </c>
      <c r="G1167" s="8" t="n"/>
      <c r="H1167" s="14" t="n"/>
      <c r="I1167" s="15">
        <f>IF($H1167="","",$H1167-TODAY())</f>
        <v/>
      </c>
      <c r="J1167" s="16" t="inlineStr">
        <is>
          <t>Open posting</t>
        </is>
      </c>
      <c r="K1167" s="8" t="inlineStr">
        <is>
          <t>filtered by keyword pre-scan</t>
        </is>
      </c>
      <c r="L1167" s="17" t="inlineStr">
        <is>
          <t>new</t>
        </is>
      </c>
      <c r="M1167" s="18" t="inlineStr"/>
      <c r="N1167" s="7" t="inlineStr">
        <is>
          <t>a2c0533dd713c01c212f3f8ff05b0d4d400d27cf</t>
        </is>
      </c>
      <c r="O1167" s="14" t="n">
        <v>46178</v>
      </c>
      <c r="P1167" s="7" t="inlineStr">
        <is>
          <t>jobspy</t>
        </is>
      </c>
      <c r="Q1167" s="8" t="inlineStr">
        <is>
          <t>python, sql, javascript, git, software development</t>
        </is>
      </c>
      <c r="R1167" s="8" t="inlineStr">
        <is>
          <t>entry level Graduate Software Developer</t>
        </is>
      </c>
      <c r="S1167" s="19" t="n"/>
      <c r="T1167" s="19" t="n"/>
      <c r="U1167" s="14" t="n">
        <v>46191</v>
      </c>
      <c r="V1167" s="7" t="inlineStr">
        <is>
          <t>v2-cv-accuracy-13b988b18da8ea7d</t>
        </is>
      </c>
    </row>
    <row r="1168" ht="28" customHeight="1">
      <c r="A1168" s="12">
        <f>IF($L1168="applied","Applied",IF($L1168="interview","Interview",IF($L1168="offer","Offer",IF($L1168="rejected","Rejected",IF($L1168="ignore","Ignore",IF($L1168="archive","Archive",IF($L1168="closed","Closed",IF($B1168="","Unscored",IF(AND($B1168&gt;=8,OR($H1168="",$H1168-TODAY()&lt;=14)),"P1 Apply",IF($B1168&gt;=7,"P2 Strong",IF($B1168&gt;=5,"P3 Maybe","P4 Low")))))))))))</f>
        <v/>
      </c>
      <c r="B1168" s="13" t="n">
        <v>0.27</v>
      </c>
      <c r="C1168" s="12" t="inlineStr">
        <is>
          <t>Junior</t>
        </is>
      </c>
      <c r="D1168" s="8" t="inlineStr">
        <is>
          <t>Junior Software Developer</t>
        </is>
      </c>
      <c r="E1168" s="7" t="inlineStr">
        <is>
          <t>Helic &amp; Co</t>
        </is>
      </c>
      <c r="F1168" s="8" t="inlineStr"/>
      <c r="G1168" s="8" t="n"/>
      <c r="H1168" s="14" t="n"/>
      <c r="I1168" s="15">
        <f>IF($H1168="","",$H1168-TODAY())</f>
        <v/>
      </c>
      <c r="J1168" s="16" t="inlineStr">
        <is>
          <t>Open posting</t>
        </is>
      </c>
      <c r="K1168" s="8" t="inlineStr">
        <is>
          <t>filtered by keyword pre-scan</t>
        </is>
      </c>
      <c r="L1168" s="17" t="inlineStr">
        <is>
          <t>new</t>
        </is>
      </c>
      <c r="M1168" s="18" t="inlineStr"/>
      <c r="N1168" s="7" t="inlineStr">
        <is>
          <t>9818a5753fb11925aaaa48336d6bea742638bd98</t>
        </is>
      </c>
      <c r="O1168" s="14" t="n"/>
      <c r="P1168" s="7" t="inlineStr">
        <is>
          <t>jobspy</t>
        </is>
      </c>
      <c r="Q1168" s="8" t="inlineStr">
        <is>
          <t>python, sql, javascript, git, software development</t>
        </is>
      </c>
      <c r="R1168" s="8" t="inlineStr">
        <is>
          <t>junior/graduate Junior Python Developer</t>
        </is>
      </c>
      <c r="S1168" s="19" t="n"/>
      <c r="T1168" s="19" t="n"/>
      <c r="U1168" s="14" t="n">
        <v>46191</v>
      </c>
      <c r="V1168" s="7" t="inlineStr">
        <is>
          <t>v2-cv-accuracy-13b988b18da8ea7d</t>
        </is>
      </c>
    </row>
    <row r="1169" ht="28" customHeight="1">
      <c r="A1169" s="12">
        <f>IF($L1169="applied","Applied",IF($L1169="interview","Interview",IF($L1169="offer","Offer",IF($L1169="rejected","Rejected",IF($L1169="ignore","Ignore",IF($L1169="archive","Archive",IF($L1169="closed","Closed",IF($B1169="","Unscored",IF(AND($B1169&gt;=8,OR($H1169="",$H1169-TODAY()&lt;=14)),"P1 Apply",IF($B1169&gt;=7,"P2 Strong",IF($B1169&gt;=5,"P3 Maybe","P4 Low")))))))))))</f>
        <v/>
      </c>
      <c r="B1169" s="13" t="n">
        <v>0.2</v>
      </c>
      <c r="C1169" s="12" t="inlineStr">
        <is>
          <t>Junior</t>
        </is>
      </c>
      <c r="D1169" s="8" t="inlineStr">
        <is>
          <t>Junior Web Developer</t>
        </is>
      </c>
      <c r="E1169" s="7" t="inlineStr">
        <is>
          <t>Haystack</t>
        </is>
      </c>
      <c r="F1169" s="8" t="inlineStr">
        <is>
          <t>Bristol, England, UK</t>
        </is>
      </c>
      <c r="G1169" s="8" t="n"/>
      <c r="H1169" s="14" t="n"/>
      <c r="I1169" s="15">
        <f>IF($H1169="","",$H1169-TODAY())</f>
        <v/>
      </c>
      <c r="J1169" s="16" t="inlineStr">
        <is>
          <t>Open posting</t>
        </is>
      </c>
      <c r="K1169" s="8" t="inlineStr">
        <is>
          <t>filtered by keyword pre-scan</t>
        </is>
      </c>
      <c r="L1169" s="17" t="inlineStr">
        <is>
          <t>new</t>
        </is>
      </c>
      <c r="M1169" s="18" t="inlineStr"/>
      <c r="N1169" s="7" t="inlineStr">
        <is>
          <t>010eda832b3680b388b4a5a5766b3301907a7df7</t>
        </is>
      </c>
      <c r="O1169" s="14" t="n"/>
      <c r="P1169" s="7" t="inlineStr">
        <is>
          <t>jobspy</t>
        </is>
      </c>
      <c r="Q1169" s="8" t="inlineStr"/>
      <c r="R1169" s="8" t="inlineStr">
        <is>
          <t>entry level Full Stack Developer</t>
        </is>
      </c>
      <c r="S1169" s="19" t="n"/>
      <c r="T1169" s="19" t="n"/>
      <c r="U1169" s="14" t="n">
        <v>46192</v>
      </c>
      <c r="V1169" s="7" t="inlineStr">
        <is>
          <t>v2-cv-accuracy-13b988b18da8ea7d</t>
        </is>
      </c>
    </row>
    <row r="1170" ht="28" customHeight="1">
      <c r="A1170" s="12">
        <f>IF($L1170="applied","Applied",IF($L1170="interview","Interview",IF($L1170="offer","Offer",IF($L1170="rejected","Rejected",IF($L1170="ignore","Ignore",IF($L1170="archive","Archive",IF($L1170="closed","Closed",IF($B1170="","Unscored",IF(AND($B1170&gt;=8,OR($H1170="",$H1170-TODAY()&lt;=14)),"P1 Apply",IF($B1170&gt;=7,"P2 Strong",IF($B1170&gt;=5,"P3 Maybe","P4 Low")))))))))))</f>
        <v/>
      </c>
      <c r="B1170" s="13" t="n">
        <v>0.2</v>
      </c>
      <c r="C1170" s="12" t="inlineStr">
        <is>
          <t>Senior/Lead</t>
        </is>
      </c>
      <c r="D1170" s="8" t="inlineStr">
        <is>
          <t>Customer Engineer, India (Based in Mumbai)</t>
        </is>
      </c>
      <c r="E1170" s="7" t="inlineStr">
        <is>
          <t>Cloudflare</t>
        </is>
      </c>
      <c r="F1170" s="8" t="inlineStr">
        <is>
          <t>Remote India</t>
        </is>
      </c>
      <c r="G1170" s="8" t="n"/>
      <c r="H1170" s="14" t="n"/>
      <c r="I1170" s="15">
        <f>IF($H1170="","",$H1170-TODAY())</f>
        <v/>
      </c>
      <c r="J1170" s="16" t="inlineStr">
        <is>
          <t>Open posting</t>
        </is>
      </c>
      <c r="K1170" s="8" t="inlineStr">
        <is>
          <t>filtered by keyword pre-scan</t>
        </is>
      </c>
      <c r="L1170" s="17" t="inlineStr">
        <is>
          <t>new</t>
        </is>
      </c>
      <c r="M1170" s="18" t="inlineStr"/>
      <c r="N1170" s="7" t="inlineStr">
        <is>
          <t>8dedab5034521864f8e0bf7d30b6c51adc707a61</t>
        </is>
      </c>
      <c r="O1170" s="14" t="n">
        <v>46176</v>
      </c>
      <c r="P1170" s="7" t="inlineStr">
        <is>
          <t>greenhouse:cloudflare</t>
        </is>
      </c>
      <c r="Q1170" s="8" t="inlineStr"/>
      <c r="R1170" s="8" t="n"/>
      <c r="S1170" s="19" t="n"/>
      <c r="T1170" s="19" t="n"/>
      <c r="U1170" s="14" t="n">
        <v>46191</v>
      </c>
      <c r="V1170" s="7" t="inlineStr">
        <is>
          <t>v2-cv-accuracy-13b988b18da8ea7d</t>
        </is>
      </c>
    </row>
    <row r="1171" ht="28" customHeight="1">
      <c r="A1171" s="12">
        <f>IF($L1171="applied","Applied",IF($L1171="interview","Interview",IF($L1171="offer","Offer",IF($L1171="rejected","Rejected",IF($L1171="ignore","Ignore",IF($L1171="archive","Archive",IF($L1171="closed","Closed",IF($B1171="","Unscored",IF(AND($B1171&gt;=8,OR($H1171="",$H1171-TODAY()&lt;=14)),"P1 Apply",IF($B1171&gt;=7,"P2 Strong",IF($B1171&gt;=5,"P3 Maybe","P4 Low")))))))))))</f>
        <v/>
      </c>
      <c r="B1171" s="13" t="n">
        <v>0.2</v>
      </c>
      <c r="C1171" s="12" t="inlineStr">
        <is>
          <t>Senior/Lead</t>
        </is>
      </c>
      <c r="D1171" s="8" t="inlineStr">
        <is>
          <t>Customer Engineer, Territory (Malaysia and Singapore)</t>
        </is>
      </c>
      <c r="E1171" s="7" t="inlineStr">
        <is>
          <t>Cloudflare</t>
        </is>
      </c>
      <c r="F1171" s="8" t="inlineStr">
        <is>
          <t>Hybrid</t>
        </is>
      </c>
      <c r="G1171" s="8" t="n"/>
      <c r="H1171" s="14" t="n"/>
      <c r="I1171" s="15">
        <f>IF($H1171="","",$H1171-TODAY())</f>
        <v/>
      </c>
      <c r="J1171" s="16" t="inlineStr">
        <is>
          <t>Open posting</t>
        </is>
      </c>
      <c r="K1171" s="8" t="inlineStr">
        <is>
          <t>filtered by keyword pre-scan</t>
        </is>
      </c>
      <c r="L1171" s="17" t="inlineStr">
        <is>
          <t>new</t>
        </is>
      </c>
      <c r="M1171" s="18" t="inlineStr"/>
      <c r="N1171" s="7" t="inlineStr">
        <is>
          <t>b27abf91de3811bf1a3f9baf27b901869565dcfb</t>
        </is>
      </c>
      <c r="O1171" s="14" t="n">
        <v>46184</v>
      </c>
      <c r="P1171" s="7" t="inlineStr">
        <is>
          <t>greenhouse:cloudflare</t>
        </is>
      </c>
      <c r="Q1171" s="8" t="inlineStr"/>
      <c r="R1171" s="8" t="n"/>
      <c r="S1171" s="19" t="n"/>
      <c r="T1171" s="19" t="n"/>
      <c r="U1171" s="14" t="n">
        <v>46191</v>
      </c>
      <c r="V1171" s="7" t="inlineStr">
        <is>
          <t>v2-cv-accuracy-13b988b18da8ea7d</t>
        </is>
      </c>
    </row>
    <row r="1172" ht="28" customHeight="1">
      <c r="A1172" s="12">
        <f>IF($L1172="applied","Applied",IF($L1172="interview","Interview",IF($L1172="offer","Offer",IF($L1172="rejected","Rejected",IF($L1172="ignore","Ignore",IF($L1172="archive","Archive",IF($L1172="closed","Closed",IF($B1172="","Unscored",IF(AND($B1172&gt;=8,OR($H1172="",$H1172-TODAY()&lt;=14)),"P1 Apply",IF($B1172&gt;=7,"P2 Strong",IF($B1172&gt;=5,"P3 Maybe","P4 Low")))))))))))</f>
        <v/>
      </c>
      <c r="B1172" s="13" t="n">
        <v>0.2</v>
      </c>
      <c r="C1172" s="12" t="inlineStr">
        <is>
          <t>Mid-level</t>
        </is>
      </c>
      <c r="D1172" s="8" t="inlineStr">
        <is>
          <t>Data Scientist</t>
        </is>
      </c>
      <c r="E1172" s="7" t="inlineStr">
        <is>
          <t>Cloudflare</t>
        </is>
      </c>
      <c r="F1172" s="8" t="inlineStr">
        <is>
          <t>In-Office</t>
        </is>
      </c>
      <c r="G1172" s="8" t="n"/>
      <c r="H1172" s="14" t="n"/>
      <c r="I1172" s="15">
        <f>IF($H1172="","",$H1172-TODAY())</f>
        <v/>
      </c>
      <c r="J1172" s="16" t="inlineStr">
        <is>
          <t>Open posting</t>
        </is>
      </c>
      <c r="K1172" s="8" t="inlineStr">
        <is>
          <t>filtered by keyword pre-scan</t>
        </is>
      </c>
      <c r="L1172" s="17" t="inlineStr">
        <is>
          <t>new</t>
        </is>
      </c>
      <c r="M1172" s="18" t="inlineStr"/>
      <c r="N1172" s="7" t="inlineStr">
        <is>
          <t>5ed606b561ee21ba538ee0e5d7b9fc40a80f4e51</t>
        </is>
      </c>
      <c r="O1172" s="14" t="n">
        <v>46186</v>
      </c>
      <c r="P1172" s="7" t="inlineStr">
        <is>
          <t>greenhouse:cloudflare</t>
        </is>
      </c>
      <c r="Q1172" s="8" t="inlineStr"/>
      <c r="R1172" s="8" t="n"/>
      <c r="S1172" s="19" t="n"/>
      <c r="T1172" s="19" t="n"/>
      <c r="U1172" s="14" t="n">
        <v>46191</v>
      </c>
      <c r="V1172" s="7" t="inlineStr">
        <is>
          <t>v2-cv-accuracy-13b988b18da8ea7d</t>
        </is>
      </c>
    </row>
    <row r="1173" ht="28" customHeight="1">
      <c r="A1173" s="12">
        <f>IF($L1173="applied","Applied",IF($L1173="interview","Interview",IF($L1173="offer","Offer",IF($L1173="rejected","Rejected",IF($L1173="ignore","Ignore",IF($L1173="archive","Archive",IF($L1173="closed","Closed",IF($B1173="","Unscored",IF(AND($B1173&gt;=8,OR($H1173="",$H1173-TODAY()&lt;=14)),"P1 Apply",IF($B1173&gt;=7,"P2 Strong",IF($B1173&gt;=5,"P3 Maybe","P4 Low")))))))))))</f>
        <v/>
      </c>
      <c r="B1173" s="13" t="n">
        <v>0.2</v>
      </c>
      <c r="C1173" s="12" t="inlineStr">
        <is>
          <t>Mid-level</t>
        </is>
      </c>
      <c r="D1173" s="8" t="inlineStr">
        <is>
          <t>Distributed Systems Engineer, Analytical Database Platform</t>
        </is>
      </c>
      <c r="E1173" s="7" t="inlineStr">
        <is>
          <t>Cloudflare</t>
        </is>
      </c>
      <c r="F1173" s="8" t="inlineStr">
        <is>
          <t>Hybrid</t>
        </is>
      </c>
      <c r="G1173" s="8" t="n"/>
      <c r="H1173" s="14" t="n"/>
      <c r="I1173" s="15">
        <f>IF($H1173="","",$H1173-TODAY())</f>
        <v/>
      </c>
      <c r="J1173" s="16" t="inlineStr">
        <is>
          <t>Open posting</t>
        </is>
      </c>
      <c r="K1173" s="8" t="inlineStr">
        <is>
          <t>filtered by keyword pre-scan</t>
        </is>
      </c>
      <c r="L1173" s="17" t="inlineStr">
        <is>
          <t>new</t>
        </is>
      </c>
      <c r="M1173" s="18" t="inlineStr"/>
      <c r="N1173" s="7" t="inlineStr">
        <is>
          <t>ec7a334789ceee2513ee9060883a020190fe23b7</t>
        </is>
      </c>
      <c r="O1173" s="14" t="n">
        <v>46185</v>
      </c>
      <c r="P1173" s="7" t="inlineStr">
        <is>
          <t>greenhouse:cloudflare</t>
        </is>
      </c>
      <c r="Q1173" s="8" t="inlineStr"/>
      <c r="R1173" s="8" t="n"/>
      <c r="S1173" s="19" t="n"/>
      <c r="T1173" s="19" t="n"/>
      <c r="U1173" s="14" t="n">
        <v>46191</v>
      </c>
      <c r="V1173" s="7" t="inlineStr">
        <is>
          <t>v2-cv-accuracy-13b988b18da8ea7d</t>
        </is>
      </c>
    </row>
    <row r="1174" ht="28" customHeight="1">
      <c r="A1174" s="12">
        <f>IF($L1174="applied","Applied",IF($L1174="interview","Interview",IF($L1174="offer","Offer",IF($L1174="rejected","Rejected",IF($L1174="ignore","Ignore",IF($L1174="archive","Archive",IF($L1174="closed","Closed",IF($B1174="","Unscored",IF(AND($B1174&gt;=8,OR($H1174="",$H1174-TODAY()&lt;=14)),"P1 Apply",IF($B1174&gt;=7,"P2 Strong",IF($B1174&gt;=5,"P3 Maybe","P4 Low")))))))))))</f>
        <v/>
      </c>
      <c r="B1174" s="13" t="n">
        <v>0.2</v>
      </c>
      <c r="C1174" s="12" t="inlineStr">
        <is>
          <t>Mid-level</t>
        </is>
      </c>
      <c r="D1174" s="8" t="inlineStr">
        <is>
          <t>Distributed Systems Engineer - Data Platform - Analytics and Alerts</t>
        </is>
      </c>
      <c r="E1174" s="7" t="inlineStr">
        <is>
          <t>Cloudflare</t>
        </is>
      </c>
      <c r="F1174" s="8" t="inlineStr">
        <is>
          <t>Hybrid</t>
        </is>
      </c>
      <c r="G1174" s="8" t="n"/>
      <c r="H1174" s="14" t="n"/>
      <c r="I1174" s="15">
        <f>IF($H1174="","",$H1174-TODAY())</f>
        <v/>
      </c>
      <c r="J1174" s="16" t="inlineStr">
        <is>
          <t>Open posting</t>
        </is>
      </c>
      <c r="K1174" s="8" t="inlineStr">
        <is>
          <t>filtered by keyword pre-scan</t>
        </is>
      </c>
      <c r="L1174" s="17" t="inlineStr">
        <is>
          <t>new</t>
        </is>
      </c>
      <c r="M1174" s="18" t="inlineStr"/>
      <c r="N1174" s="7" t="inlineStr">
        <is>
          <t>496f56749a0d2d4f1621e74e1d82231487c9efe1</t>
        </is>
      </c>
      <c r="O1174" s="14" t="n">
        <v>46185</v>
      </c>
      <c r="P1174" s="7" t="inlineStr">
        <is>
          <t>greenhouse:cloudflare</t>
        </is>
      </c>
      <c r="Q1174" s="8" t="inlineStr"/>
      <c r="R1174" s="8" t="n"/>
      <c r="S1174" s="19" t="n"/>
      <c r="T1174" s="19" t="n"/>
      <c r="U1174" s="14" t="n">
        <v>46191</v>
      </c>
      <c r="V1174" s="7" t="inlineStr">
        <is>
          <t>v2-cv-accuracy-13b988b18da8ea7d</t>
        </is>
      </c>
    </row>
    <row r="1175" ht="28" customHeight="1">
      <c r="A1175" s="12">
        <f>IF($L1175="applied","Applied",IF($L1175="interview","Interview",IF($L1175="offer","Offer",IF($L1175="rejected","Rejected",IF($L1175="ignore","Ignore",IF($L1175="archive","Archive",IF($L1175="closed","Closed",IF($B1175="","Unscored",IF(AND($B1175&gt;=8,OR($H1175="",$H1175-TODAY()&lt;=14)),"P1 Apply",IF($B1175&gt;=7,"P2 Strong",IF($B1175&gt;=5,"P3 Maybe","P4 Low")))))))))))</f>
        <v/>
      </c>
      <c r="B1175" s="13" t="n">
        <v>0.2</v>
      </c>
      <c r="C1175" s="12" t="inlineStr">
        <is>
          <t>Mid-level</t>
        </is>
      </c>
      <c r="D1175" s="8" t="inlineStr">
        <is>
          <t>Distributed Systems Engineer - Data Platform (Delivery, Database, Retrieval)</t>
        </is>
      </c>
      <c r="E1175" s="7" t="inlineStr">
        <is>
          <t>Cloudflare</t>
        </is>
      </c>
      <c r="F1175" s="8" t="inlineStr">
        <is>
          <t>Hybrid</t>
        </is>
      </c>
      <c r="G1175" s="8" t="n"/>
      <c r="H1175" s="14" t="n"/>
      <c r="I1175" s="15">
        <f>IF($H1175="","",$H1175-TODAY())</f>
        <v/>
      </c>
      <c r="J1175" s="16" t="inlineStr">
        <is>
          <t>Open posting</t>
        </is>
      </c>
      <c r="K1175" s="8" t="inlineStr">
        <is>
          <t>filtered by keyword pre-scan</t>
        </is>
      </c>
      <c r="L1175" s="17" t="inlineStr">
        <is>
          <t>new</t>
        </is>
      </c>
      <c r="M1175" s="18" t="inlineStr"/>
      <c r="N1175" s="7" t="inlineStr">
        <is>
          <t>8295aadd0eae7233909e3ee4921022bd4b8fc910</t>
        </is>
      </c>
      <c r="O1175" s="14" t="n">
        <v>46185</v>
      </c>
      <c r="P1175" s="7" t="inlineStr">
        <is>
          <t>greenhouse:cloudflare</t>
        </is>
      </c>
      <c r="Q1175" s="8" t="inlineStr"/>
      <c r="R1175" s="8" t="n"/>
      <c r="S1175" s="19" t="n"/>
      <c r="T1175" s="19" t="n"/>
      <c r="U1175" s="14" t="n">
        <v>46191</v>
      </c>
      <c r="V1175" s="7" t="inlineStr">
        <is>
          <t>v2-cv-accuracy-13b988b18da8ea7d</t>
        </is>
      </c>
    </row>
    <row r="1176" ht="28" customHeight="1">
      <c r="A1176" s="12">
        <f>IF($L1176="applied","Applied",IF($L1176="interview","Interview",IF($L1176="offer","Offer",IF($L1176="rejected","Rejected",IF($L1176="ignore","Ignore",IF($L1176="archive","Archive",IF($L1176="closed","Closed",IF($B1176="","Unscored",IF(AND($B1176&gt;=8,OR($H1176="",$H1176-TODAY()&lt;=14)),"P1 Apply",IF($B1176&gt;=7,"P2 Strong",IF($B1176&gt;=5,"P3 Maybe","P4 Low")))))))))))</f>
        <v/>
      </c>
      <c r="B1176" s="13" t="n">
        <v>0.2</v>
      </c>
      <c r="C1176" s="12" t="inlineStr">
        <is>
          <t>Mid-level</t>
        </is>
      </c>
      <c r="D1176" s="8" t="inlineStr">
        <is>
          <t>Distributed Systems Engineer - Data Platform - Logs and Audit Logs</t>
        </is>
      </c>
      <c r="E1176" s="7" t="inlineStr">
        <is>
          <t>Cloudflare</t>
        </is>
      </c>
      <c r="F1176" s="8" t="inlineStr">
        <is>
          <t>Hybrid</t>
        </is>
      </c>
      <c r="G1176" s="8" t="n"/>
      <c r="H1176" s="14" t="n"/>
      <c r="I1176" s="15">
        <f>IF($H1176="","",$H1176-TODAY())</f>
        <v/>
      </c>
      <c r="J1176" s="16" t="inlineStr">
        <is>
          <t>Open posting</t>
        </is>
      </c>
      <c r="K1176" s="8" t="inlineStr">
        <is>
          <t>filtered by keyword pre-scan</t>
        </is>
      </c>
      <c r="L1176" s="17" t="inlineStr">
        <is>
          <t>new</t>
        </is>
      </c>
      <c r="M1176" s="18" t="inlineStr"/>
      <c r="N1176" s="7" t="inlineStr">
        <is>
          <t>57d9a9628dc6f518d37cf703ff3fa8a73de26675</t>
        </is>
      </c>
      <c r="O1176" s="14" t="n">
        <v>46185</v>
      </c>
      <c r="P1176" s="7" t="inlineStr">
        <is>
          <t>greenhouse:cloudflare</t>
        </is>
      </c>
      <c r="Q1176" s="8" t="inlineStr"/>
      <c r="R1176" s="8" t="n"/>
      <c r="S1176" s="19" t="n"/>
      <c r="T1176" s="19" t="n"/>
      <c r="U1176" s="14" t="n">
        <v>46191</v>
      </c>
      <c r="V1176" s="7" t="inlineStr">
        <is>
          <t>v2-cv-accuracy-13b988b18da8ea7d</t>
        </is>
      </c>
    </row>
    <row r="1177" ht="28" customHeight="1">
      <c r="A1177" s="12">
        <f>IF($L1177="applied","Applied",IF($L1177="interview","Interview",IF($L1177="offer","Offer",IF($L1177="rejected","Rejected",IF($L1177="ignore","Ignore",IF($L1177="archive","Archive",IF($L1177="closed","Closed",IF($B1177="","Unscored",IF(AND($B1177&gt;=8,OR($H1177="",$H1177-TODAY()&lt;=14)),"P1 Apply",IF($B1177&gt;=7,"P2 Strong",IF($B1177&gt;=5,"P3 Maybe","P4 Low")))))))))))</f>
        <v/>
      </c>
      <c r="B1177" s="13" t="n">
        <v>0.2</v>
      </c>
      <c r="C1177" s="12" t="inlineStr">
        <is>
          <t>Senior/Lead</t>
        </is>
      </c>
      <c r="D1177" s="8" t="inlineStr">
        <is>
          <t>Enterprise Customer Engineer, Singapore</t>
        </is>
      </c>
      <c r="E1177" s="7" t="inlineStr">
        <is>
          <t>Cloudflare</t>
        </is>
      </c>
      <c r="F1177" s="8" t="inlineStr">
        <is>
          <t>Hybrid</t>
        </is>
      </c>
      <c r="G1177" s="8" t="n"/>
      <c r="H1177" s="14" t="n"/>
      <c r="I1177" s="15">
        <f>IF($H1177="","",$H1177-TODAY())</f>
        <v/>
      </c>
      <c r="J1177" s="16" t="inlineStr">
        <is>
          <t>Open posting</t>
        </is>
      </c>
      <c r="K1177" s="8" t="inlineStr">
        <is>
          <t>filtered by keyword pre-scan</t>
        </is>
      </c>
      <c r="L1177" s="17" t="inlineStr">
        <is>
          <t>new</t>
        </is>
      </c>
      <c r="M1177" s="18" t="inlineStr"/>
      <c r="N1177" s="7" t="inlineStr">
        <is>
          <t>b367aa37c4e14badeb6a88f36d5cc8179aced3b3</t>
        </is>
      </c>
      <c r="O1177" s="14" t="n">
        <v>46184</v>
      </c>
      <c r="P1177" s="7" t="inlineStr">
        <is>
          <t>greenhouse:cloudflare</t>
        </is>
      </c>
      <c r="Q1177" s="8" t="inlineStr"/>
      <c r="R1177" s="8" t="n"/>
      <c r="S1177" s="19" t="n"/>
      <c r="T1177" s="19" t="n"/>
      <c r="U1177" s="14" t="n">
        <v>46191</v>
      </c>
      <c r="V1177" s="7" t="inlineStr">
        <is>
          <t>v2-cv-accuracy-13b988b18da8ea7d</t>
        </is>
      </c>
    </row>
    <row r="1178" ht="28" customHeight="1">
      <c r="A1178" s="12">
        <f>IF($L1178="applied","Applied",IF($L1178="interview","Interview",IF($L1178="offer","Offer",IF($L1178="rejected","Rejected",IF($L1178="ignore","Ignore",IF($L1178="archive","Archive",IF($L1178="closed","Closed",IF($B1178="","Unscored",IF(AND($B1178&gt;=8,OR($H1178="",$H1178-TODAY()&lt;=14)),"P1 Apply",IF($B1178&gt;=7,"P2 Strong",IF($B1178&gt;=5,"P3 Maybe","P4 Low")))))))))))</f>
        <v/>
      </c>
      <c r="B1178" s="13" t="n">
        <v>0.2</v>
      </c>
      <c r="C1178" s="12" t="inlineStr">
        <is>
          <t>Senior/Lead</t>
        </is>
      </c>
      <c r="D1178" s="8" t="inlineStr">
        <is>
          <t>Enterprise Customer Engineer, Thailand</t>
        </is>
      </c>
      <c r="E1178" s="7" t="inlineStr">
        <is>
          <t>Cloudflare</t>
        </is>
      </c>
      <c r="F1178" s="8" t="inlineStr">
        <is>
          <t>Hybrid</t>
        </is>
      </c>
      <c r="G1178" s="8" t="n"/>
      <c r="H1178" s="14" t="n"/>
      <c r="I1178" s="15">
        <f>IF($H1178="","",$H1178-TODAY())</f>
        <v/>
      </c>
      <c r="J1178" s="16" t="inlineStr">
        <is>
          <t>Open posting</t>
        </is>
      </c>
      <c r="K1178" s="8" t="inlineStr">
        <is>
          <t>filtered by keyword pre-scan</t>
        </is>
      </c>
      <c r="L1178" s="17" t="inlineStr">
        <is>
          <t>new</t>
        </is>
      </c>
      <c r="M1178" s="18" t="inlineStr"/>
      <c r="N1178" s="7" t="inlineStr">
        <is>
          <t>2208aff402fcd73b8d4cccdea293cffffd8bdaf7</t>
        </is>
      </c>
      <c r="O1178" s="14" t="n">
        <v>46184</v>
      </c>
      <c r="P1178" s="7" t="inlineStr">
        <is>
          <t>greenhouse:cloudflare</t>
        </is>
      </c>
      <c r="Q1178" s="8" t="inlineStr"/>
      <c r="R1178" s="8" t="n"/>
      <c r="S1178" s="19" t="n"/>
      <c r="T1178" s="19" t="n"/>
      <c r="U1178" s="14" t="n">
        <v>46191</v>
      </c>
      <c r="V1178" s="7" t="inlineStr">
        <is>
          <t>v2-cv-accuracy-13b988b18da8ea7d</t>
        </is>
      </c>
    </row>
    <row r="1179" ht="28" customHeight="1">
      <c r="A1179" s="12">
        <f>IF($L1179="applied","Applied",IF($L1179="interview","Interview",IF($L1179="offer","Offer",IF($L1179="rejected","Rejected",IF($L1179="ignore","Ignore",IF($L1179="archive","Archive",IF($L1179="closed","Closed",IF($B1179="","Unscored",IF(AND($B1179&gt;=8,OR($H1179="",$H1179-TODAY()&lt;=14)),"P1 Apply",IF($B1179&gt;=7,"P2 Strong",IF($B1179&gt;=5,"P3 Maybe","P4 Low")))))))))))</f>
        <v/>
      </c>
      <c r="B1179" s="13" t="n">
        <v>0.2</v>
      </c>
      <c r="C1179" s="12" t="inlineStr">
        <is>
          <t>Unspecified</t>
        </is>
      </c>
      <c r="D1179" s="8" t="inlineStr">
        <is>
          <t>Forward Deployed Engineer</t>
        </is>
      </c>
      <c r="E1179" s="7" t="inlineStr">
        <is>
          <t>Cloudflare</t>
        </is>
      </c>
      <c r="F1179" s="8" t="inlineStr">
        <is>
          <t>Hybrid</t>
        </is>
      </c>
      <c r="G1179" s="8" t="n"/>
      <c r="H1179" s="14" t="n"/>
      <c r="I1179" s="15">
        <f>IF($H1179="","",$H1179-TODAY())</f>
        <v/>
      </c>
      <c r="J1179" s="16" t="inlineStr">
        <is>
          <t>Open posting</t>
        </is>
      </c>
      <c r="K1179" s="8" t="inlineStr">
        <is>
          <t>filtered by keyword pre-scan</t>
        </is>
      </c>
      <c r="L1179" s="17" t="inlineStr">
        <is>
          <t>new</t>
        </is>
      </c>
      <c r="M1179" s="18" t="inlineStr"/>
      <c r="N1179" s="7" t="inlineStr">
        <is>
          <t>f97b24db173011e4a0fad6c29430425e08f5b3f9</t>
        </is>
      </c>
      <c r="O1179" s="14" t="n">
        <v>46181</v>
      </c>
      <c r="P1179" s="7" t="inlineStr">
        <is>
          <t>greenhouse:cloudflare</t>
        </is>
      </c>
      <c r="Q1179" s="8" t="inlineStr"/>
      <c r="R1179" s="8" t="n"/>
      <c r="S1179" s="19" t="n"/>
      <c r="T1179" s="19" t="n"/>
      <c r="U1179" s="14" t="n">
        <v>46191</v>
      </c>
      <c r="V1179" s="7" t="inlineStr">
        <is>
          <t>v2-cv-accuracy-13b988b18da8ea7d</t>
        </is>
      </c>
    </row>
    <row r="1180" ht="28" customHeight="1">
      <c r="A1180" s="12">
        <f>IF($L1180="applied","Applied",IF($L1180="interview","Interview",IF($L1180="offer","Offer",IF($L1180="rejected","Rejected",IF($L1180="ignore","Ignore",IF($L1180="archive","Archive",IF($L1180="closed","Closed",IF($B1180="","Unscored",IF(AND($B1180&gt;=8,OR($H1180="",$H1180-TODAY()&lt;=14)),"P1 Apply",IF($B1180&gt;=7,"P2 Strong",IF($B1180&gt;=5,"P3 Maybe","P4 Low")))))))))))</f>
        <v/>
      </c>
      <c r="B1180" s="13" t="n">
        <v>0.2</v>
      </c>
      <c r="C1180" s="12" t="inlineStr">
        <is>
          <t>Internship</t>
        </is>
      </c>
      <c r="D1180" s="8" t="inlineStr">
        <is>
          <t>GRC Team Intern (Summer 2026)</t>
        </is>
      </c>
      <c r="E1180" s="7" t="inlineStr">
        <is>
          <t>Cloudflare</t>
        </is>
      </c>
      <c r="F1180" s="8" t="inlineStr">
        <is>
          <t>In-Office</t>
        </is>
      </c>
      <c r="G1180" s="8" t="n"/>
      <c r="H1180" s="14" t="n"/>
      <c r="I1180" s="15">
        <f>IF($H1180="","",$H1180-TODAY())</f>
        <v/>
      </c>
      <c r="J1180" s="16" t="inlineStr">
        <is>
          <t>Open posting</t>
        </is>
      </c>
      <c r="K1180" s="8" t="inlineStr">
        <is>
          <t>filtered by keyword pre-scan</t>
        </is>
      </c>
      <c r="L1180" s="17" t="inlineStr">
        <is>
          <t>new</t>
        </is>
      </c>
      <c r="M1180" s="18" t="inlineStr"/>
      <c r="N1180" s="7" t="inlineStr">
        <is>
          <t>b4193e76d0cab31afa16099418ee6f2f4551b706</t>
        </is>
      </c>
      <c r="O1180" s="14" t="n">
        <v>46171</v>
      </c>
      <c r="P1180" s="7" t="inlineStr">
        <is>
          <t>greenhouse:cloudflare</t>
        </is>
      </c>
      <c r="Q1180" s="8" t="inlineStr"/>
      <c r="R1180" s="8" t="n"/>
      <c r="S1180" s="19" t="n"/>
      <c r="T1180" s="19" t="n"/>
      <c r="U1180" s="14" t="n">
        <v>46191</v>
      </c>
      <c r="V1180" s="7" t="inlineStr">
        <is>
          <t>v2-cv-accuracy-13b988b18da8ea7d</t>
        </is>
      </c>
    </row>
    <row r="1181" ht="28" customHeight="1">
      <c r="A1181" s="12">
        <f>IF($L1181="applied","Applied",IF($L1181="interview","Interview",IF($L1181="offer","Offer",IF($L1181="rejected","Rejected",IF($L1181="ignore","Ignore",IF($L1181="archive","Archive",IF($L1181="closed","Closed",IF($B1181="","Unscored",IF(AND($B1181&gt;=8,OR($H1181="",$H1181-TODAY()&lt;=14)),"P1 Apply",IF($B1181&gt;=7,"P2 Strong",IF($B1181&gt;=5,"P3 Maybe","P4 Low")))))))))))</f>
        <v/>
      </c>
      <c r="B1181" s="13" t="n">
        <v>0.2</v>
      </c>
      <c r="C1181" s="12" t="inlineStr">
        <is>
          <t>Unspecified</t>
        </is>
      </c>
      <c r="D1181" s="8" t="inlineStr">
        <is>
          <t>GTM Engineer</t>
        </is>
      </c>
      <c r="E1181" s="7" t="inlineStr">
        <is>
          <t>Cloudflare</t>
        </is>
      </c>
      <c r="F1181" s="8" t="inlineStr">
        <is>
          <t>Hybrid</t>
        </is>
      </c>
      <c r="G1181" s="8" t="n"/>
      <c r="H1181" s="14" t="n"/>
      <c r="I1181" s="15">
        <f>IF($H1181="","",$H1181-TODAY())</f>
        <v/>
      </c>
      <c r="J1181" s="16" t="inlineStr">
        <is>
          <t>Open posting</t>
        </is>
      </c>
      <c r="K1181" s="8" t="inlineStr">
        <is>
          <t>filtered by keyword pre-scan</t>
        </is>
      </c>
      <c r="L1181" s="17" t="inlineStr">
        <is>
          <t>new</t>
        </is>
      </c>
      <c r="M1181" s="18" t="inlineStr"/>
      <c r="N1181" s="7" t="inlineStr">
        <is>
          <t>3c240e4b77f955a8731f7bed4305b4cf51ccc31c</t>
        </is>
      </c>
      <c r="O1181" s="14" t="n">
        <v>46181</v>
      </c>
      <c r="P1181" s="7" t="inlineStr">
        <is>
          <t>greenhouse:cloudflare</t>
        </is>
      </c>
      <c r="Q1181" s="8" t="inlineStr"/>
      <c r="R1181" s="8" t="n"/>
      <c r="S1181" s="19" t="n"/>
      <c r="T1181" s="19" t="n"/>
      <c r="U1181" s="14" t="n">
        <v>46191</v>
      </c>
      <c r="V1181" s="7" t="inlineStr">
        <is>
          <t>v2-cv-accuracy-13b988b18da8ea7d</t>
        </is>
      </c>
    </row>
    <row r="1182" ht="28" customHeight="1">
      <c r="A1182" s="12">
        <f>IF($L1182="applied","Applied",IF($L1182="interview","Interview",IF($L1182="offer","Offer",IF($L1182="rejected","Rejected",IF($L1182="ignore","Ignore",IF($L1182="archive","Archive",IF($L1182="closed","Closed",IF($B1182="","Unscored",IF(AND($B1182&gt;=8,OR($H1182="",$H1182-TODAY()&lt;=14)),"P1 Apply",IF($B1182&gt;=7,"P2 Strong",IF($B1182&gt;=5,"P3 Maybe","P4 Low")))))))))))</f>
        <v/>
      </c>
      <c r="B1182" s="13" t="n">
        <v>0.2</v>
      </c>
      <c r="C1182" s="12" t="inlineStr">
        <is>
          <t>Unspecified</t>
        </is>
      </c>
      <c r="D1182" s="8" t="inlineStr">
        <is>
          <t>Litigation Counsel</t>
        </is>
      </c>
      <c r="E1182" s="7" t="inlineStr">
        <is>
          <t>Cloudflare</t>
        </is>
      </c>
      <c r="F1182" s="8" t="inlineStr">
        <is>
          <t>Hybrid</t>
        </is>
      </c>
      <c r="G1182" s="8" t="n"/>
      <c r="H1182" s="14" t="n"/>
      <c r="I1182" s="15">
        <f>IF($H1182="","",$H1182-TODAY())</f>
        <v/>
      </c>
      <c r="J1182" s="16" t="inlineStr">
        <is>
          <t>Open posting</t>
        </is>
      </c>
      <c r="K1182" s="8" t="inlineStr">
        <is>
          <t>filtered by keyword pre-scan</t>
        </is>
      </c>
      <c r="L1182" s="17" t="inlineStr">
        <is>
          <t>new</t>
        </is>
      </c>
      <c r="M1182" s="18" t="inlineStr"/>
      <c r="N1182" s="7" t="inlineStr">
        <is>
          <t>1cc0f93e9467e797e0b25a94cd566ebade7f3d78</t>
        </is>
      </c>
      <c r="O1182" s="14" t="n">
        <v>46175</v>
      </c>
      <c r="P1182" s="7" t="inlineStr">
        <is>
          <t>greenhouse:cloudflare</t>
        </is>
      </c>
      <c r="Q1182" s="8" t="inlineStr"/>
      <c r="R1182" s="8" t="n"/>
      <c r="S1182" s="19" t="n"/>
      <c r="T1182" s="19" t="n"/>
      <c r="U1182" s="14" t="n">
        <v>46191</v>
      </c>
      <c r="V1182" s="7" t="inlineStr">
        <is>
          <t>v2-cv-accuracy-13b988b18da8ea7d</t>
        </is>
      </c>
    </row>
    <row r="1183" ht="28" customHeight="1">
      <c r="A1183" s="12">
        <f>IF($L1183="applied","Applied",IF($L1183="interview","Interview",IF($L1183="offer","Offer",IF($L1183="rejected","Rejected",IF($L1183="ignore","Ignore",IF($L1183="archive","Archive",IF($L1183="closed","Closed",IF($B1183="","Unscored",IF(AND($B1183&gt;=8,OR($H1183="",$H1183-TODAY()&lt;=14)),"P1 Apply",IF($B1183&gt;=7,"P2 Strong",IF($B1183&gt;=5,"P3 Maybe","P4 Low")))))))))))</f>
        <v/>
      </c>
      <c r="B1183" s="13" t="n">
        <v>0.2</v>
      </c>
      <c r="C1183" s="12" t="inlineStr">
        <is>
          <t>Mid-level</t>
        </is>
      </c>
      <c r="D1183" s="8" t="inlineStr">
        <is>
          <t>Network Reliability Engineer</t>
        </is>
      </c>
      <c r="E1183" s="7" t="inlineStr">
        <is>
          <t>Cloudflare</t>
        </is>
      </c>
      <c r="F1183" s="8" t="inlineStr">
        <is>
          <t>Hybrid</t>
        </is>
      </c>
      <c r="G1183" s="8" t="n"/>
      <c r="H1183" s="14" t="n"/>
      <c r="I1183" s="15">
        <f>IF($H1183="","",$H1183-TODAY())</f>
        <v/>
      </c>
      <c r="J1183" s="16" t="inlineStr">
        <is>
          <t>Open posting</t>
        </is>
      </c>
      <c r="K1183" s="8" t="inlineStr">
        <is>
          <t>filtered by keyword pre-scan</t>
        </is>
      </c>
      <c r="L1183" s="17" t="inlineStr">
        <is>
          <t>new</t>
        </is>
      </c>
      <c r="M1183" s="18" t="inlineStr"/>
      <c r="N1183" s="7" t="inlineStr">
        <is>
          <t>3439941238668dc56e5041fb7a3a6d5d5d3a912b</t>
        </is>
      </c>
      <c r="O1183" s="14" t="n">
        <v>46182</v>
      </c>
      <c r="P1183" s="7" t="inlineStr">
        <is>
          <t>greenhouse:cloudflare</t>
        </is>
      </c>
      <c r="Q1183" s="8" t="inlineStr"/>
      <c r="R1183" s="8" t="n"/>
      <c r="S1183" s="19" t="n"/>
      <c r="T1183" s="19" t="n"/>
      <c r="U1183" s="14" t="n">
        <v>46191</v>
      </c>
      <c r="V1183" s="7" t="inlineStr">
        <is>
          <t>v2-cv-accuracy-13b988b18da8ea7d</t>
        </is>
      </c>
    </row>
    <row r="1184" ht="28" customHeight="1">
      <c r="A1184" s="12">
        <f>IF($L1184="applied","Applied",IF($L1184="interview","Interview",IF($L1184="offer","Offer",IF($L1184="rejected","Rejected",IF($L1184="ignore","Ignore",IF($L1184="archive","Archive",IF($L1184="closed","Closed",IF($B1184="","Unscored",IF(AND($B1184&gt;=8,OR($H1184="",$H1184-TODAY()&lt;=14)),"P1 Apply",IF($B1184&gt;=7,"P2 Strong",IF($B1184&gt;=5,"P3 Maybe","P4 Low")))))))))))</f>
        <v/>
      </c>
      <c r="B1184" s="13" t="n">
        <v>0.2</v>
      </c>
      <c r="C1184" s="12" t="inlineStr">
        <is>
          <t>Internship</t>
        </is>
      </c>
      <c r="D1184" s="8" t="inlineStr">
        <is>
          <t>People Operations Intern (July to December 2026)</t>
        </is>
      </c>
      <c r="E1184" s="7" t="inlineStr">
        <is>
          <t>Cloudflare</t>
        </is>
      </c>
      <c r="F1184" s="8" t="inlineStr">
        <is>
          <t>In-Office</t>
        </is>
      </c>
      <c r="G1184" s="8" t="n"/>
      <c r="H1184" s="14" t="n"/>
      <c r="I1184" s="15">
        <f>IF($H1184="","",$H1184-TODAY())</f>
        <v/>
      </c>
      <c r="J1184" s="16" t="inlineStr">
        <is>
          <t>Open posting</t>
        </is>
      </c>
      <c r="K1184" s="8" t="inlineStr">
        <is>
          <t>filtered by keyword pre-scan</t>
        </is>
      </c>
      <c r="L1184" s="17" t="inlineStr">
        <is>
          <t>new</t>
        </is>
      </c>
      <c r="M1184" s="18" t="inlineStr"/>
      <c r="N1184" s="7" t="inlineStr">
        <is>
          <t>cbdfccdf33f47e9bd03dab08e1759af6326db9d0</t>
        </is>
      </c>
      <c r="O1184" s="14" t="n">
        <v>46171</v>
      </c>
      <c r="P1184" s="7" t="inlineStr">
        <is>
          <t>greenhouse:cloudflare</t>
        </is>
      </c>
      <c r="Q1184" s="8" t="inlineStr"/>
      <c r="R1184" s="8" t="n"/>
      <c r="S1184" s="19" t="n"/>
      <c r="T1184" s="19" t="n"/>
      <c r="U1184" s="14" t="n">
        <v>46191</v>
      </c>
      <c r="V1184" s="7" t="inlineStr">
        <is>
          <t>v2-cv-accuracy-13b988b18da8ea7d</t>
        </is>
      </c>
    </row>
    <row r="1185" ht="28" customHeight="1">
      <c r="A1185" s="12">
        <f>IF($L1185="applied","Applied",IF($L1185="interview","Interview",IF($L1185="offer","Offer",IF($L1185="rejected","Rejected",IF($L1185="ignore","Ignore",IF($L1185="archive","Archive",IF($L1185="closed","Closed",IF($B1185="","Unscored",IF(AND($B1185&gt;=8,OR($H1185="",$H1185-TODAY()&lt;=14)),"P1 Apply",IF($B1185&gt;=7,"P2 Strong",IF($B1185&gt;=5,"P3 Maybe","P4 Low")))))))))))</f>
        <v/>
      </c>
      <c r="B1185" s="13" t="n">
        <v>0.2</v>
      </c>
      <c r="C1185" s="12" t="inlineStr">
        <is>
          <t>Internship</t>
        </is>
      </c>
      <c r="D1185" s="8" t="inlineStr">
        <is>
          <t>People Team Business Partner intern (July to December 2026)</t>
        </is>
      </c>
      <c r="E1185" s="7" t="inlineStr">
        <is>
          <t>Cloudflare</t>
        </is>
      </c>
      <c r="F1185" s="8" t="inlineStr">
        <is>
          <t>In-Office</t>
        </is>
      </c>
      <c r="G1185" s="8" t="n"/>
      <c r="H1185" s="14" t="n"/>
      <c r="I1185" s="15">
        <f>IF($H1185="","",$H1185-TODAY())</f>
        <v/>
      </c>
      <c r="J1185" s="16" t="inlineStr">
        <is>
          <t>Open posting</t>
        </is>
      </c>
      <c r="K1185" s="8" t="inlineStr">
        <is>
          <t>filtered by keyword pre-scan</t>
        </is>
      </c>
      <c r="L1185" s="17" t="inlineStr">
        <is>
          <t>new</t>
        </is>
      </c>
      <c r="M1185" s="18" t="inlineStr"/>
      <c r="N1185" s="7" t="inlineStr">
        <is>
          <t>f917176332f9d0d2a6db2c5dc0612b6e9357a4d0</t>
        </is>
      </c>
      <c r="O1185" s="14" t="n">
        <v>46171</v>
      </c>
      <c r="P1185" s="7" t="inlineStr">
        <is>
          <t>greenhouse:cloudflare</t>
        </is>
      </c>
      <c r="Q1185" s="8" t="inlineStr"/>
      <c r="R1185" s="8" t="n"/>
      <c r="S1185" s="19" t="n"/>
      <c r="T1185" s="19" t="n"/>
      <c r="U1185" s="14" t="n">
        <v>46191</v>
      </c>
      <c r="V1185" s="7" t="inlineStr">
        <is>
          <t>v2-cv-accuracy-13b988b18da8ea7d</t>
        </is>
      </c>
    </row>
    <row r="1186" ht="28" customHeight="1">
      <c r="A1186" s="12">
        <f>IF($L1186="applied","Applied",IF($L1186="interview","Interview",IF($L1186="offer","Offer",IF($L1186="rejected","Rejected",IF($L1186="ignore","Ignore",IF($L1186="archive","Archive",IF($L1186="closed","Closed",IF($B1186="","Unscored",IF(AND($B1186&gt;=8,OR($H1186="",$H1186-TODAY()&lt;=14)),"P1 Apply",IF($B1186&gt;=7,"P2 Strong",IF($B1186&gt;=5,"P3 Maybe","P4 Low")))))))))))</f>
        <v/>
      </c>
      <c r="B1186" s="13" t="n">
        <v>0.2</v>
      </c>
      <c r="C1186" s="12" t="inlineStr">
        <is>
          <t>Internship</t>
        </is>
      </c>
      <c r="D1186" s="8" t="inlineStr">
        <is>
          <t>Public Policy Intern, APJC (July to December 2026)</t>
        </is>
      </c>
      <c r="E1186" s="7" t="inlineStr">
        <is>
          <t>Cloudflare</t>
        </is>
      </c>
      <c r="F1186" s="8" t="inlineStr">
        <is>
          <t>In-Office</t>
        </is>
      </c>
      <c r="G1186" s="8" t="n"/>
      <c r="H1186" s="14" t="n"/>
      <c r="I1186" s="15">
        <f>IF($H1186="","",$H1186-TODAY())</f>
        <v/>
      </c>
      <c r="J1186" s="16" t="inlineStr">
        <is>
          <t>Open posting</t>
        </is>
      </c>
      <c r="K1186" s="8" t="inlineStr">
        <is>
          <t>filtered by keyword pre-scan</t>
        </is>
      </c>
      <c r="L1186" s="17" t="inlineStr">
        <is>
          <t>new</t>
        </is>
      </c>
      <c r="M1186" s="18" t="inlineStr"/>
      <c r="N1186" s="7" t="inlineStr">
        <is>
          <t>a0f40ebc88dbb539c7fece9f2dea2691f19b5882</t>
        </is>
      </c>
      <c r="O1186" s="14" t="n">
        <v>46185</v>
      </c>
      <c r="P1186" s="7" t="inlineStr">
        <is>
          <t>greenhouse:cloudflare</t>
        </is>
      </c>
      <c r="Q1186" s="8" t="inlineStr"/>
      <c r="R1186" s="8" t="n"/>
      <c r="S1186" s="19" t="n"/>
      <c r="T1186" s="19" t="n"/>
      <c r="U1186" s="14" t="n">
        <v>46191</v>
      </c>
      <c r="V1186" s="7" t="inlineStr">
        <is>
          <t>v2-cv-accuracy-13b988b18da8ea7d</t>
        </is>
      </c>
    </row>
    <row r="1187" ht="28" customHeight="1">
      <c r="A1187" s="12">
        <f>IF($L1187="applied","Applied",IF($L1187="interview","Interview",IF($L1187="offer","Offer",IF($L1187="rejected","Rejected",IF($L1187="ignore","Ignore",IF($L1187="archive","Archive",IF($L1187="closed","Closed",IF($B1187="","Unscored",IF(AND($B1187&gt;=8,OR($H1187="",$H1187-TODAY()&lt;=14)),"P1 Apply",IF($B1187&gt;=7,"P2 Strong",IF($B1187&gt;=5,"P3 Maybe","P4 Low")))))))))))</f>
        <v/>
      </c>
      <c r="B1187" s="13" t="n">
        <v>0.2</v>
      </c>
      <c r="C1187" s="12" t="inlineStr">
        <is>
          <t>Unspecified</t>
        </is>
      </c>
      <c r="D1187" s="8" t="inlineStr">
        <is>
          <t>Solutions Architect, AI/Cloudflare Developer Platform</t>
        </is>
      </c>
      <c r="E1187" s="7" t="inlineStr">
        <is>
          <t>Cloudflare</t>
        </is>
      </c>
      <c r="F1187" s="8" t="inlineStr">
        <is>
          <t>Hybrid</t>
        </is>
      </c>
      <c r="G1187" s="8" t="n"/>
      <c r="H1187" s="14" t="n"/>
      <c r="I1187" s="15">
        <f>IF($H1187="","",$H1187-TODAY())</f>
        <v/>
      </c>
      <c r="J1187" s="16" t="inlineStr">
        <is>
          <t>Open posting</t>
        </is>
      </c>
      <c r="K1187" s="8" t="inlineStr">
        <is>
          <t>filtered by keyword pre-scan</t>
        </is>
      </c>
      <c r="L1187" s="17" t="inlineStr">
        <is>
          <t>new</t>
        </is>
      </c>
      <c r="M1187" s="18" t="inlineStr"/>
      <c r="N1187" s="7" t="inlineStr">
        <is>
          <t>38939d5f7e71a61b1b694710a48871bd2c8ed804</t>
        </is>
      </c>
      <c r="O1187" s="14" t="n">
        <v>46171</v>
      </c>
      <c r="P1187" s="7" t="inlineStr">
        <is>
          <t>greenhouse:cloudflare</t>
        </is>
      </c>
      <c r="Q1187" s="8" t="inlineStr"/>
      <c r="R1187" s="8" t="n"/>
      <c r="S1187" s="19" t="n"/>
      <c r="T1187" s="19" t="n"/>
      <c r="U1187" s="14" t="n">
        <v>46191</v>
      </c>
      <c r="V1187" s="7" t="inlineStr">
        <is>
          <t>v2-cv-accuracy-13b988b18da8ea7d</t>
        </is>
      </c>
    </row>
    <row r="1188" ht="28" customHeight="1">
      <c r="A1188" s="12">
        <f>IF($L1188="applied","Applied",IF($L1188="interview","Interview",IF($L1188="offer","Offer",IF($L1188="rejected","Rejected",IF($L1188="ignore","Ignore",IF($L1188="archive","Archive",IF($L1188="closed","Closed",IF($B1188="","Unscored",IF(AND($B1188&gt;=8,OR($H1188="",$H1188-TODAY()&lt;=14)),"P1 Apply",IF($B1188&gt;=7,"P2 Strong",IF($B1188&gt;=5,"P3 Maybe","P4 Low")))))))))))</f>
        <v/>
      </c>
      <c r="B1188" s="13" t="n">
        <v>0.2</v>
      </c>
      <c r="C1188" s="12" t="inlineStr">
        <is>
          <t>Unspecified</t>
        </is>
      </c>
      <c r="D1188" s="8" t="inlineStr">
        <is>
          <t>Solutions Engineer, Central &amp; Eastern Europe - Czech Speaking</t>
        </is>
      </c>
      <c r="E1188" s="7" t="inlineStr">
        <is>
          <t>Cloudflare</t>
        </is>
      </c>
      <c r="F1188" s="8" t="inlineStr">
        <is>
          <t>Hybrid</t>
        </is>
      </c>
      <c r="G1188" s="8" t="n"/>
      <c r="H1188" s="14" t="n"/>
      <c r="I1188" s="15">
        <f>IF($H1188="","",$H1188-TODAY())</f>
        <v/>
      </c>
      <c r="J1188" s="16" t="inlineStr">
        <is>
          <t>Open posting</t>
        </is>
      </c>
      <c r="K1188" s="8" t="inlineStr">
        <is>
          <t>filtered by keyword pre-scan</t>
        </is>
      </c>
      <c r="L1188" s="17" t="inlineStr">
        <is>
          <t>new</t>
        </is>
      </c>
      <c r="M1188" s="18" t="inlineStr"/>
      <c r="N1188" s="7" t="inlineStr">
        <is>
          <t>82d8e59854b8fbccc924b175c8ef35090af466f7</t>
        </is>
      </c>
      <c r="O1188" s="14" t="n">
        <v>46182</v>
      </c>
      <c r="P1188" s="7" t="inlineStr">
        <is>
          <t>greenhouse:cloudflare</t>
        </is>
      </c>
      <c r="Q1188" s="8" t="inlineStr"/>
      <c r="R1188" s="8" t="n"/>
      <c r="S1188" s="19" t="n"/>
      <c r="T1188" s="19" t="n"/>
      <c r="U1188" s="14" t="n">
        <v>46191</v>
      </c>
      <c r="V1188" s="7" t="inlineStr">
        <is>
          <t>v2-cv-accuracy-13b988b18da8ea7d</t>
        </is>
      </c>
    </row>
    <row r="1189" ht="28" customHeight="1">
      <c r="A1189" s="12">
        <f>IF($L1189="applied","Applied",IF($L1189="interview","Interview",IF($L1189="offer","Offer",IF($L1189="rejected","Rejected",IF($L1189="ignore","Ignore",IF($L1189="archive","Archive",IF($L1189="closed","Closed",IF($B1189="","Unscored",IF(AND($B1189&gt;=8,OR($H1189="",$H1189-TODAY()&lt;=14)),"P1 Apply",IF($B1189&gt;=7,"P2 Strong",IF($B1189&gt;=5,"P3 Maybe","P4 Low")))))))))))</f>
        <v/>
      </c>
      <c r="B1189" s="13" t="n">
        <v>0.2</v>
      </c>
      <c r="C1189" s="12" t="inlineStr">
        <is>
          <t>Unspecified</t>
        </is>
      </c>
      <c r="D1189" s="8" t="inlineStr">
        <is>
          <t>Solutions Engineer, Central &amp; Eastern Europe - Hebrew Speaking</t>
        </is>
      </c>
      <c r="E1189" s="7" t="inlineStr">
        <is>
          <t>Cloudflare</t>
        </is>
      </c>
      <c r="F1189" s="8" t="inlineStr">
        <is>
          <t>Hybrid</t>
        </is>
      </c>
      <c r="G1189" s="8" t="n"/>
      <c r="H1189" s="14" t="n"/>
      <c r="I1189" s="15">
        <f>IF($H1189="","",$H1189-TODAY())</f>
        <v/>
      </c>
      <c r="J1189" s="16" t="inlineStr">
        <is>
          <t>Open posting</t>
        </is>
      </c>
      <c r="K1189" s="8" t="inlineStr">
        <is>
          <t>filtered by keyword pre-scan</t>
        </is>
      </c>
      <c r="L1189" s="17" t="inlineStr">
        <is>
          <t>new</t>
        </is>
      </c>
      <c r="M1189" s="18" t="inlineStr"/>
      <c r="N1189" s="7" t="inlineStr">
        <is>
          <t>17ee79bcffcb13021266b9890fda012666830f5f</t>
        </is>
      </c>
      <c r="O1189" s="14" t="n">
        <v>46182</v>
      </c>
      <c r="P1189" s="7" t="inlineStr">
        <is>
          <t>greenhouse:cloudflare</t>
        </is>
      </c>
      <c r="Q1189" s="8" t="inlineStr"/>
      <c r="R1189" s="8" t="n"/>
      <c r="S1189" s="19" t="n"/>
      <c r="T1189" s="19" t="n"/>
      <c r="U1189" s="14" t="n">
        <v>46191</v>
      </c>
      <c r="V1189" s="7" t="inlineStr">
        <is>
          <t>v2-cv-accuracy-13b988b18da8ea7d</t>
        </is>
      </c>
    </row>
    <row r="1190" ht="28" customHeight="1">
      <c r="A1190" s="12">
        <f>IF($L1190="applied","Applied",IF($L1190="interview","Interview",IF($L1190="offer","Offer",IF($L1190="rejected","Rejected",IF($L1190="ignore","Ignore",IF($L1190="archive","Archive",IF($L1190="closed","Closed",IF($B1190="","Unscored",IF(AND($B1190&gt;=8,OR($H1190="",$H1190-TODAY()&lt;=14)),"P1 Apply",IF($B1190&gt;=7,"P2 Strong",IF($B1190&gt;=5,"P3 Maybe","P4 Low")))))))))))</f>
        <v/>
      </c>
      <c r="B1190" s="13" t="n">
        <v>0.2</v>
      </c>
      <c r="C1190" s="12" t="inlineStr">
        <is>
          <t>Unspecified</t>
        </is>
      </c>
      <c r="D1190" s="8" t="inlineStr">
        <is>
          <t>Systems Engineer, MAPS</t>
        </is>
      </c>
      <c r="E1190" s="7" t="inlineStr">
        <is>
          <t>Cloudflare</t>
        </is>
      </c>
      <c r="F1190" s="8" t="inlineStr">
        <is>
          <t>Hybrid</t>
        </is>
      </c>
      <c r="G1190" s="8" t="n"/>
      <c r="H1190" s="14" t="n"/>
      <c r="I1190" s="15">
        <f>IF($H1190="","",$H1190-TODAY())</f>
        <v/>
      </c>
      <c r="J1190" s="16" t="inlineStr">
        <is>
          <t>Open posting</t>
        </is>
      </c>
      <c r="K1190" s="8" t="inlineStr">
        <is>
          <t>filtered by keyword pre-scan</t>
        </is>
      </c>
      <c r="L1190" s="17" t="inlineStr">
        <is>
          <t>new</t>
        </is>
      </c>
      <c r="M1190" s="18" t="inlineStr"/>
      <c r="N1190" s="7" t="inlineStr">
        <is>
          <t>5a559cfd5fa326d1ceb492f8c5c7d1c60867090a</t>
        </is>
      </c>
      <c r="O1190" s="14" t="n">
        <v>46181</v>
      </c>
      <c r="P1190" s="7" t="inlineStr">
        <is>
          <t>greenhouse:cloudflare</t>
        </is>
      </c>
      <c r="Q1190" s="8" t="inlineStr"/>
      <c r="R1190" s="8" t="n"/>
      <c r="S1190" s="19" t="n"/>
      <c r="T1190" s="19" t="n"/>
      <c r="U1190" s="14" t="n">
        <v>46191</v>
      </c>
      <c r="V1190" s="7" t="inlineStr">
        <is>
          <t>v2-cv-accuracy-13b988b18da8ea7d</t>
        </is>
      </c>
    </row>
    <row r="1191" ht="28" customHeight="1">
      <c r="A1191" s="12">
        <f>IF($L1191="applied","Applied",IF($L1191="interview","Interview",IF($L1191="offer","Offer",IF($L1191="rejected","Rejected",IF($L1191="ignore","Ignore",IF($L1191="archive","Archive",IF($L1191="closed","Closed",IF($B1191="","Unscored",IF(AND($B1191&gt;=8,OR($H1191="",$H1191-TODAY()&lt;=14)),"P1 Apply",IF($B1191&gt;=7,"P2 Strong",IF($B1191&gt;=5,"P3 Maybe","P4 Low")))))))))))</f>
        <v/>
      </c>
      <c r="B1191" s="13" t="n">
        <v>0.2</v>
      </c>
      <c r="C1191" s="12" t="inlineStr">
        <is>
          <t>Graduate/Entry</t>
        </is>
      </c>
      <c r="D1191" s="8" t="inlineStr">
        <is>
          <t>Graduate Project Engineer</t>
        </is>
      </c>
      <c r="E1191" s="7" t="inlineStr">
        <is>
          <t>Crowder Consulting</t>
        </is>
      </c>
      <c r="F1191" s="8" t="inlineStr">
        <is>
          <t>Birkenhead, ENG, GB</t>
        </is>
      </c>
      <c r="G1191" s="8" t="n"/>
      <c r="H1191" s="14" t="n"/>
      <c r="I1191" s="15">
        <f>IF($H1191="","",$H1191-TODAY())</f>
        <v/>
      </c>
      <c r="J1191" s="16" t="inlineStr">
        <is>
          <t>Open posting</t>
        </is>
      </c>
      <c r="K1191" s="8" t="inlineStr">
        <is>
          <t>filtered by keyword pre-scan</t>
        </is>
      </c>
      <c r="L1191" s="17" t="inlineStr">
        <is>
          <t>new</t>
        </is>
      </c>
      <c r="M1191" s="18" t="inlineStr"/>
      <c r="N1191" s="7" t="inlineStr">
        <is>
          <t>65f8e3486b6eb01a587795db631a20c600c06014</t>
        </is>
      </c>
      <c r="O1191" s="14" t="n">
        <v>46189</v>
      </c>
      <c r="P1191" s="7" t="inlineStr">
        <is>
          <t>jobspy</t>
        </is>
      </c>
      <c r="Q1191" s="8" t="inlineStr"/>
      <c r="R1191" s="8" t="inlineStr">
        <is>
          <t>Graduate Software Developer</t>
        </is>
      </c>
      <c r="S1191" s="19" t="n"/>
      <c r="T1191" s="19" t="n"/>
      <c r="U1191" s="14" t="n">
        <v>46191</v>
      </c>
      <c r="V1191" s="7" t="inlineStr">
        <is>
          <t>v2-cv-accuracy-13b988b18da8ea7d</t>
        </is>
      </c>
    </row>
    <row r="1192" ht="28" customHeight="1">
      <c r="A1192" s="12">
        <f>IF($L1192="applied","Applied",IF($L1192="interview","Interview",IF($L1192="offer","Offer",IF($L1192="rejected","Rejected",IF($L1192="ignore","Ignore",IF($L1192="archive","Archive",IF($L1192="closed","Closed",IF($B1192="","Unscored",IF(AND($B1192&gt;=8,OR($H1192="",$H1192-TODAY()&lt;=14)),"P1 Apply",IF($B1192&gt;=7,"P2 Strong",IF($B1192&gt;=5,"P3 Maybe","P4 Low")))))))))))</f>
        <v/>
      </c>
      <c r="B1192" s="13" t="n">
        <v>0.2</v>
      </c>
      <c r="C1192" s="12" t="inlineStr">
        <is>
          <t>Senior/Lead</t>
        </is>
      </c>
      <c r="D1192" s="8" t="inlineStr">
        <is>
          <t>Accounts Payable Assistant</t>
        </is>
      </c>
      <c r="E1192" s="7" t="inlineStr">
        <is>
          <t>Rebellion</t>
        </is>
      </c>
      <c r="F1192" s="8" t="inlineStr">
        <is>
          <t>Oxford, ENG, GB</t>
        </is>
      </c>
      <c r="G1192" s="8" t="n"/>
      <c r="H1192" s="14" t="n"/>
      <c r="I1192" s="15">
        <f>IF($H1192="","",$H1192-TODAY())</f>
        <v/>
      </c>
      <c r="J1192" s="16" t="inlineStr">
        <is>
          <t>Open posting</t>
        </is>
      </c>
      <c r="K1192" s="8" t="inlineStr">
        <is>
          <t>filtered by keyword pre-scan</t>
        </is>
      </c>
      <c r="L1192" s="17" t="inlineStr">
        <is>
          <t>new</t>
        </is>
      </c>
      <c r="M1192" s="18" t="inlineStr"/>
      <c r="N1192" s="7" t="inlineStr">
        <is>
          <t>ad54505293f5577cd059f37d26671141d475cdba</t>
        </is>
      </c>
      <c r="O1192" s="14" t="n">
        <v>46189</v>
      </c>
      <c r="P1192" s="7" t="inlineStr">
        <is>
          <t>jobspy</t>
        </is>
      </c>
      <c r="Q1192" s="8" t="inlineStr"/>
      <c r="R1192" s="8" t="inlineStr">
        <is>
          <t>Graduate Software Developer</t>
        </is>
      </c>
      <c r="S1192" s="19" t="n"/>
      <c r="T1192" s="19" t="n"/>
      <c r="U1192" s="14" t="n">
        <v>46191</v>
      </c>
      <c r="V1192" s="7" t="inlineStr">
        <is>
          <t>v2-cv-accuracy-13b988b18da8ea7d</t>
        </is>
      </c>
    </row>
    <row r="1193" ht="28" customHeight="1">
      <c r="A1193" s="12">
        <f>IF($L1193="applied","Applied",IF($L1193="interview","Interview",IF($L1193="offer","Offer",IF($L1193="rejected","Rejected",IF($L1193="ignore","Ignore",IF($L1193="archive","Archive",IF($L1193="closed","Closed",IF($B1193="","Unscored",IF(AND($B1193&gt;=8,OR($H1193="",$H1193-TODAY()&lt;=14)),"P1 Apply",IF($B1193&gt;=7,"P2 Strong",IF($B1193&gt;=5,"P3 Maybe","P4 Low")))))))))))</f>
        <v/>
      </c>
      <c r="B1193" s="13" t="n">
        <v>0.2</v>
      </c>
      <c r="C1193" s="12" t="inlineStr">
        <is>
          <t>Junior</t>
        </is>
      </c>
      <c r="D1193" s="8" t="inlineStr">
        <is>
          <t>Chartered Structural Engineer</t>
        </is>
      </c>
      <c r="E1193" s="7" t="inlineStr">
        <is>
          <t>Continental Market Trading</t>
        </is>
      </c>
      <c r="F1193" s="8" t="inlineStr">
        <is>
          <t>London, ENG, GB</t>
        </is>
      </c>
      <c r="G1193" s="8" t="n"/>
      <c r="H1193" s="14" t="n"/>
      <c r="I1193" s="15">
        <f>IF($H1193="","",$H1193-TODAY())</f>
        <v/>
      </c>
      <c r="J1193" s="16" t="inlineStr">
        <is>
          <t>Open posting</t>
        </is>
      </c>
      <c r="K1193" s="8" t="inlineStr">
        <is>
          <t>filtered by keyword pre-scan</t>
        </is>
      </c>
      <c r="L1193" s="17" t="inlineStr">
        <is>
          <t>new</t>
        </is>
      </c>
      <c r="M1193" s="18" t="inlineStr"/>
      <c r="N1193" s="7" t="inlineStr">
        <is>
          <t>8888b568605a7857a5e772474cca905949ed7451</t>
        </is>
      </c>
      <c r="O1193" s="14" t="n">
        <v>46188</v>
      </c>
      <c r="P1193" s="7" t="inlineStr">
        <is>
          <t>jobspy</t>
        </is>
      </c>
      <c r="Q1193" s="8" t="inlineStr"/>
      <c r="R1193" s="8" t="inlineStr">
        <is>
          <t>Graduate Software Developer</t>
        </is>
      </c>
      <c r="S1193" s="19" t="n"/>
      <c r="T1193" s="19" t="n"/>
      <c r="U1193" s="14" t="n">
        <v>46191</v>
      </c>
      <c r="V1193" s="7" t="inlineStr">
        <is>
          <t>v2-cv-accuracy-13b988b18da8ea7d</t>
        </is>
      </c>
    </row>
    <row r="1194" ht="28" customHeight="1">
      <c r="A1194" s="12">
        <f>IF($L1194="applied","Applied",IF($L1194="interview","Interview",IF($L1194="offer","Offer",IF($L1194="rejected","Rejected",IF($L1194="ignore","Ignore",IF($L1194="archive","Archive",IF($L1194="closed","Closed",IF($B1194="","Unscored",IF(AND($B1194&gt;=8,OR($H1194="",$H1194-TODAY()&lt;=14)),"P1 Apply",IF($B1194&gt;=7,"P2 Strong",IF($B1194&gt;=5,"P3 Maybe","P4 Low")))))))))))</f>
        <v/>
      </c>
      <c r="B1194" s="13" t="n">
        <v>0.2</v>
      </c>
      <c r="C1194" s="12" t="inlineStr">
        <is>
          <t>Graduate/Entry</t>
        </is>
      </c>
      <c r="D1194" s="8" t="inlineStr">
        <is>
          <t>Graduate Software Engineer</t>
        </is>
      </c>
      <c r="E1194" s="7" t="inlineStr">
        <is>
          <t>CityGrad</t>
        </is>
      </c>
      <c r="F1194" s="8" t="inlineStr">
        <is>
          <t>London Area, United Kingdom</t>
        </is>
      </c>
      <c r="G1194" s="8" t="n"/>
      <c r="H1194" s="14" t="n"/>
      <c r="I1194" s="15">
        <f>IF($H1194="","",$H1194-TODAY())</f>
        <v/>
      </c>
      <c r="J1194" s="16" t="inlineStr">
        <is>
          <t>Open posting</t>
        </is>
      </c>
      <c r="K1194" s="8" t="inlineStr">
        <is>
          <t>filtered by keyword pre-scan</t>
        </is>
      </c>
      <c r="L1194" s="17" t="inlineStr">
        <is>
          <t>new</t>
        </is>
      </c>
      <c r="M1194" s="18" t="inlineStr"/>
      <c r="N1194" s="7" t="inlineStr">
        <is>
          <t>f5ef7a30f707340a82b1e12da1ad532db85c519b</t>
        </is>
      </c>
      <c r="O1194" s="14" t="n">
        <v>46183</v>
      </c>
      <c r="P1194" s="7" t="inlineStr">
        <is>
          <t>jobspy</t>
        </is>
      </c>
      <c r="Q1194" s="8" t="inlineStr"/>
      <c r="R1194" s="8" t="inlineStr">
        <is>
          <t>Graduate Software Developer</t>
        </is>
      </c>
      <c r="S1194" s="19" t="n"/>
      <c r="T1194" s="19" t="n"/>
      <c r="U1194" s="14" t="n">
        <v>46191</v>
      </c>
      <c r="V1194" s="7" t="inlineStr">
        <is>
          <t>v2-cv-accuracy-13b988b18da8ea7d</t>
        </is>
      </c>
    </row>
    <row r="1195" ht="28" customHeight="1">
      <c r="A1195" s="12">
        <f>IF($L1195="applied","Applied",IF($L1195="interview","Interview",IF($L1195="offer","Offer",IF($L1195="rejected","Rejected",IF($L1195="ignore","Ignore",IF($L1195="archive","Archive",IF($L1195="closed","Closed",IF($B1195="","Unscored",IF(AND($B1195&gt;=8,OR($H1195="",$H1195-TODAY()&lt;=14)),"P1 Apply",IF($B1195&gt;=7,"P2 Strong",IF($B1195&gt;=5,"P3 Maybe","P4 Low")))))))))))</f>
        <v/>
      </c>
      <c r="B1195" s="13" t="n">
        <v>0.2</v>
      </c>
      <c r="C1195" s="12" t="inlineStr">
        <is>
          <t>Junior</t>
        </is>
      </c>
      <c r="D1195" s="8" t="inlineStr">
        <is>
          <t>Junior Software Engineer</t>
        </is>
      </c>
      <c r="E1195" s="7" t="inlineStr">
        <is>
          <t>hackajob</t>
        </is>
      </c>
      <c r="F1195" s="8" t="inlineStr">
        <is>
          <t>London, England, UK</t>
        </is>
      </c>
      <c r="G1195" s="8" t="n"/>
      <c r="H1195" s="14" t="n"/>
      <c r="I1195" s="15">
        <f>IF($H1195="","",$H1195-TODAY())</f>
        <v/>
      </c>
      <c r="J1195" s="16" t="inlineStr">
        <is>
          <t>Open posting</t>
        </is>
      </c>
      <c r="K1195" s="8" t="inlineStr">
        <is>
          <t>filtered by keyword pre-scan</t>
        </is>
      </c>
      <c r="L1195" s="17" t="inlineStr">
        <is>
          <t>new</t>
        </is>
      </c>
      <c r="M1195" s="18" t="inlineStr"/>
      <c r="N1195" s="7" t="inlineStr">
        <is>
          <t>0487cf1fcab26cf000f4ef2ca5f2846059efa385</t>
        </is>
      </c>
      <c r="O1195" s="14" t="n">
        <v>46175</v>
      </c>
      <c r="P1195" s="7" t="inlineStr">
        <is>
          <t>jobspy</t>
        </is>
      </c>
      <c r="Q1195" s="8" t="inlineStr"/>
      <c r="R1195" s="8" t="inlineStr">
        <is>
          <t>Graduate Software Developer</t>
        </is>
      </c>
      <c r="S1195" s="19" t="n"/>
      <c r="T1195" s="19" t="n"/>
      <c r="U1195" s="14" t="n">
        <v>46191</v>
      </c>
      <c r="V1195" s="7" t="inlineStr">
        <is>
          <t>v2-cv-accuracy-13b988b18da8ea7d</t>
        </is>
      </c>
    </row>
    <row r="1196" ht="28" customHeight="1">
      <c r="A1196" s="12">
        <f>IF($L1196="applied","Applied",IF($L1196="interview","Interview",IF($L1196="offer","Offer",IF($L1196="rejected","Rejected",IF($L1196="ignore","Ignore",IF($L1196="archive","Archive",IF($L1196="closed","Closed",IF($B1196="","Unscored",IF(AND($B1196&gt;=8,OR($H1196="",$H1196-TODAY()&lt;=14)),"P1 Apply",IF($B1196&gt;=7,"P2 Strong",IF($B1196&gt;=5,"P3 Maybe","P4 Low")))))))))))</f>
        <v/>
      </c>
      <c r="B1196" s="13" t="n">
        <v>0.2</v>
      </c>
      <c r="C1196" s="12" t="inlineStr">
        <is>
          <t>Senior/Lead</t>
        </is>
      </c>
      <c r="D1196" s="8" t="inlineStr">
        <is>
          <t>Oracle HCM Engineer</t>
        </is>
      </c>
      <c r="E1196" s="7" t="inlineStr">
        <is>
          <t>Ocado Logistics</t>
        </is>
      </c>
      <c r="F1196" s="8" t="inlineStr">
        <is>
          <t>England, United Kingdom</t>
        </is>
      </c>
      <c r="G1196" s="8" t="n"/>
      <c r="H1196" s="14" t="n"/>
      <c r="I1196" s="15">
        <f>IF($H1196="","",$H1196-TODAY())</f>
        <v/>
      </c>
      <c r="J1196" s="16" t="inlineStr">
        <is>
          <t>Open posting</t>
        </is>
      </c>
      <c r="K1196" s="8" t="inlineStr">
        <is>
          <t>filtered by keyword pre-scan</t>
        </is>
      </c>
      <c r="L1196" s="17" t="inlineStr">
        <is>
          <t>new</t>
        </is>
      </c>
      <c r="M1196" s="18" t="inlineStr"/>
      <c r="N1196" s="7" t="inlineStr">
        <is>
          <t>ed99cf4b689a7ee857b6d4906400744af36ef35e</t>
        </is>
      </c>
      <c r="O1196" s="14" t="n">
        <v>46177</v>
      </c>
      <c r="P1196" s="7" t="inlineStr">
        <is>
          <t>jobspy</t>
        </is>
      </c>
      <c r="Q1196" s="8" t="inlineStr"/>
      <c r="R1196" s="8" t="inlineStr">
        <is>
          <t>entry level Graduate Software Developer</t>
        </is>
      </c>
      <c r="S1196" s="19" t="n"/>
      <c r="T1196" s="19" t="n"/>
      <c r="U1196" s="14" t="n">
        <v>46191</v>
      </c>
      <c r="V1196" s="7" t="inlineStr">
        <is>
          <t>v2-cv-accuracy-13b988b18da8ea7d</t>
        </is>
      </c>
    </row>
    <row r="1197" ht="28" customHeight="1">
      <c r="A1197" s="12">
        <f>IF($L1197="applied","Applied",IF($L1197="interview","Interview",IF($L1197="offer","Offer",IF($L1197="rejected","Rejected",IF($L1197="ignore","Ignore",IF($L1197="archive","Archive",IF($L1197="closed","Closed",IF($B1197="","Unscored",IF(AND($B1197&gt;=8,OR($H1197="",$H1197-TODAY()&lt;=14)),"P1 Apply",IF($B1197&gt;=7,"P2 Strong",IF($B1197&gt;=5,"P3 Maybe","P4 Low")))))))))))</f>
        <v/>
      </c>
      <c r="B1197" s="13" t="n">
        <v>0.2</v>
      </c>
      <c r="C1197" s="12" t="inlineStr">
        <is>
          <t>Junior</t>
        </is>
      </c>
      <c r="D1197" s="8" t="inlineStr">
        <is>
          <t>Integration Engineer</t>
        </is>
      </c>
      <c r="E1197" s="7" t="inlineStr">
        <is>
          <t>Oliver Bernard</t>
        </is>
      </c>
      <c r="F1197" s="8" t="inlineStr">
        <is>
          <t>London Area, United Kingdom</t>
        </is>
      </c>
      <c r="G1197" s="8" t="n"/>
      <c r="H1197" s="14" t="n"/>
      <c r="I1197" s="15">
        <f>IF($H1197="","",$H1197-TODAY())</f>
        <v/>
      </c>
      <c r="J1197" s="16" t="inlineStr">
        <is>
          <t>Open posting</t>
        </is>
      </c>
      <c r="K1197" s="8" t="inlineStr">
        <is>
          <t>filtered by keyword pre-scan</t>
        </is>
      </c>
      <c r="L1197" s="17" t="inlineStr">
        <is>
          <t>new</t>
        </is>
      </c>
      <c r="M1197" s="18" t="inlineStr"/>
      <c r="N1197" s="7" t="inlineStr">
        <is>
          <t>2fbbd9ddabd47cc96fc4931b7f2d29e39cdb74d0</t>
        </is>
      </c>
      <c r="O1197" s="14" t="n">
        <v>46174</v>
      </c>
      <c r="P1197" s="7" t="inlineStr">
        <is>
          <t>jobspy</t>
        </is>
      </c>
      <c r="Q1197" s="8" t="inlineStr"/>
      <c r="R1197" s="8" t="inlineStr">
        <is>
          <t>entry level Graduate Software Developer</t>
        </is>
      </c>
      <c r="S1197" s="19" t="n"/>
      <c r="T1197" s="19" t="n"/>
      <c r="U1197" s="14" t="n">
        <v>46191</v>
      </c>
      <c r="V1197" s="7" t="inlineStr">
        <is>
          <t>v2-cv-accuracy-13b988b18da8ea7d</t>
        </is>
      </c>
    </row>
    <row r="1198" ht="28" customHeight="1">
      <c r="A1198" s="12">
        <f>IF($L1198="applied","Applied",IF($L1198="interview","Interview",IF($L1198="offer","Offer",IF($L1198="rejected","Rejected",IF($L1198="ignore","Ignore",IF($L1198="archive","Archive",IF($L1198="closed","Closed",IF($B1198="","Unscored",IF(AND($B1198&gt;=8,OR($H1198="",$H1198-TODAY()&lt;=14)),"P1 Apply",IF($B1198&gt;=7,"P2 Strong",IF($B1198&gt;=5,"P3 Maybe","P4 Low")))))))))))</f>
        <v/>
      </c>
      <c r="B1198" s="13" t="n">
        <v>0.2</v>
      </c>
      <c r="C1198" s="12" t="inlineStr">
        <is>
          <t>Junior</t>
        </is>
      </c>
      <c r="D1198" s="8" t="inlineStr">
        <is>
          <t>Junior C++ Developer</t>
        </is>
      </c>
      <c r="E1198" s="7" t="inlineStr">
        <is>
          <t>Noir</t>
        </is>
      </c>
      <c r="F1198" s="8" t="inlineStr">
        <is>
          <t>Manchester, England, UK</t>
        </is>
      </c>
      <c r="G1198" s="8" t="n"/>
      <c r="H1198" s="14" t="n"/>
      <c r="I1198" s="15">
        <f>IF($H1198="","",$H1198-TODAY())</f>
        <v/>
      </c>
      <c r="J1198" s="16" t="inlineStr">
        <is>
          <t>Open posting</t>
        </is>
      </c>
      <c r="K1198" s="8" t="inlineStr">
        <is>
          <t>filtered by keyword pre-scan</t>
        </is>
      </c>
      <c r="L1198" s="17" t="inlineStr">
        <is>
          <t>new</t>
        </is>
      </c>
      <c r="M1198" s="18" t="inlineStr"/>
      <c r="N1198" s="7" t="inlineStr">
        <is>
          <t>44e8464b004a49efb29b1a7dcc20e4059d60bef1</t>
        </is>
      </c>
      <c r="O1198" s="14" t="n">
        <v>46182</v>
      </c>
      <c r="P1198" s="7" t="inlineStr">
        <is>
          <t>jobspy</t>
        </is>
      </c>
      <c r="Q1198" s="8" t="inlineStr"/>
      <c r="R1198" s="8" t="inlineStr">
        <is>
          <t>junior/graduate Junior Python Developer</t>
        </is>
      </c>
      <c r="S1198" s="19" t="n"/>
      <c r="T1198" s="19" t="n"/>
      <c r="U1198" s="14" t="n">
        <v>46191</v>
      </c>
      <c r="V1198" s="7" t="inlineStr">
        <is>
          <t>v2-cv-accuracy-13b988b18da8ea7d</t>
        </is>
      </c>
    </row>
    <row r="1199" ht="28" customHeight="1">
      <c r="A1199" s="12">
        <f>IF($L1199="applied","Applied",IF($L1199="interview","Interview",IF($L1199="offer","Offer",IF($L1199="rejected","Rejected",IF($L1199="ignore","Ignore",IF($L1199="archive","Archive",IF($L1199="closed","Closed",IF($B1199="","Unscored",IF(AND($B1199&gt;=8,OR($H1199="",$H1199-TODAY()&lt;=14)),"P1 Apply",IF($B1199&gt;=7,"P2 Strong",IF($B1199&gt;=5,"P3 Maybe","P4 Low")))))))))))</f>
        <v/>
      </c>
      <c r="B1199" s="13" t="n">
        <v>0.2</v>
      </c>
      <c r="C1199" s="12" t="inlineStr">
        <is>
          <t>Senior/Lead</t>
        </is>
      </c>
      <c r="D1199" s="8" t="inlineStr">
        <is>
          <t>React Developer</t>
        </is>
      </c>
      <c r="E1199" s="7" t="inlineStr">
        <is>
          <t>Deloitte</t>
        </is>
      </c>
      <c r="F1199" s="8" t="inlineStr">
        <is>
          <t>City Of London, England, UK</t>
        </is>
      </c>
      <c r="G1199" s="8" t="n"/>
      <c r="H1199" s="14" t="n"/>
      <c r="I1199" s="15">
        <f>IF($H1199="","",$H1199-TODAY())</f>
        <v/>
      </c>
      <c r="J1199" s="16" t="inlineStr">
        <is>
          <t>Open posting</t>
        </is>
      </c>
      <c r="K1199" s="8" t="inlineStr">
        <is>
          <t>filtered by keyword pre-scan</t>
        </is>
      </c>
      <c r="L1199" s="17" t="inlineStr">
        <is>
          <t>new</t>
        </is>
      </c>
      <c r="M1199" s="18" t="inlineStr"/>
      <c r="N1199" s="7" t="inlineStr">
        <is>
          <t>482ae70d784ff0776bc671aebe97f06d6aa0d745</t>
        </is>
      </c>
      <c r="O1199" s="14" t="n"/>
      <c r="P1199" s="7" t="inlineStr">
        <is>
          <t>jobspy</t>
        </is>
      </c>
      <c r="Q1199" s="8" t="inlineStr"/>
      <c r="R1199" s="8" t="inlineStr">
        <is>
          <t>Full Stack Developer Sheffield</t>
        </is>
      </c>
      <c r="S1199" s="19" t="n"/>
      <c r="T1199" s="19" t="n"/>
      <c r="U1199" s="14" t="n">
        <v>46191</v>
      </c>
      <c r="V1199" s="7" t="inlineStr">
        <is>
          <t>v2-cv-accuracy-13b988b18da8ea7d</t>
        </is>
      </c>
    </row>
    <row r="1200" ht="28" customHeight="1">
      <c r="A1200" s="12">
        <f>IF($L1200="applied","Applied",IF($L1200="interview","Interview",IF($L1200="offer","Offer",IF($L1200="rejected","Rejected",IF($L1200="ignore","Ignore",IF($L1200="archive","Archive",IF($L1200="closed","Closed",IF($B1200="","Unscored",IF(AND($B1200&gt;=8,OR($H1200="",$H1200-TODAY()&lt;=14)),"P1 Apply",IF($B1200&gt;=7,"P2 Strong",IF($B1200&gt;=5,"P3 Maybe","P4 Low")))))))))))</f>
        <v/>
      </c>
      <c r="B1200" s="13" t="n">
        <v>0.2</v>
      </c>
      <c r="C1200" s="12" t="inlineStr">
        <is>
          <t>Internship</t>
        </is>
      </c>
      <c r="D1200" s="8" t="inlineStr">
        <is>
          <t>Full-Stack Developer Intern, Music &amp; Audio</t>
        </is>
      </c>
      <c r="E1200" s="7" t="inlineStr">
        <is>
          <t>Melotech</t>
        </is>
      </c>
      <c r="F1200" s="8" t="inlineStr">
        <is>
          <t>London, England, UK</t>
        </is>
      </c>
      <c r="G1200" s="8" t="n"/>
      <c r="H1200" s="14" t="n"/>
      <c r="I1200" s="15">
        <f>IF($H1200="","",$H1200-TODAY())</f>
        <v/>
      </c>
      <c r="J1200" s="16" t="inlineStr">
        <is>
          <t>Open posting</t>
        </is>
      </c>
      <c r="K1200" s="8" t="inlineStr">
        <is>
          <t>filtered by keyword pre-scan</t>
        </is>
      </c>
      <c r="L1200" s="17" t="inlineStr">
        <is>
          <t>new</t>
        </is>
      </c>
      <c r="M1200" s="18" t="inlineStr"/>
      <c r="N1200" s="7" t="inlineStr">
        <is>
          <t>c401e76a1e484efcc6e1b7b06c4e4a12b76b7878</t>
        </is>
      </c>
      <c r="O1200" s="14" t="n">
        <v>46170</v>
      </c>
      <c r="P1200" s="7" t="inlineStr">
        <is>
          <t>jobspy</t>
        </is>
      </c>
      <c r="Q1200" s="8" t="inlineStr"/>
      <c r="R1200" s="8" t="inlineStr">
        <is>
          <t>junior Full Stack Developer</t>
        </is>
      </c>
      <c r="S1200" s="19" t="n"/>
      <c r="T1200" s="19" t="n"/>
      <c r="U1200" s="14" t="n">
        <v>46191</v>
      </c>
      <c r="V1200" s="7" t="inlineStr">
        <is>
          <t>v2-cv-accuracy-13b988b18da8ea7d</t>
        </is>
      </c>
    </row>
    <row r="1201" ht="28" customHeight="1">
      <c r="A1201" s="12">
        <f>IF($L1201="applied","Applied",IF($L1201="interview","Interview",IF($L1201="offer","Offer",IF($L1201="rejected","Rejected",IF($L1201="ignore","Ignore",IF($L1201="archive","Archive",IF($L1201="closed","Closed",IF($B1201="","Unscored",IF(AND($B1201&gt;=8,OR($H1201="",$H1201-TODAY()&lt;=14)),"P1 Apply",IF($B1201&gt;=7,"P2 Strong",IF($B1201&gt;=5,"P3 Maybe","P4 Low")))))))))))</f>
        <v/>
      </c>
      <c r="B1201" s="13" t="n">
        <v>0.2</v>
      </c>
      <c r="C1201" s="12" t="inlineStr">
        <is>
          <t>Mid-level</t>
        </is>
      </c>
      <c r="D1201" s="8" t="inlineStr">
        <is>
          <t>Service Delivery Engineer Fixed Term</t>
        </is>
      </c>
      <c r="E1201" s="7" t="inlineStr">
        <is>
          <t>CPM UK</t>
        </is>
      </c>
      <c r="F1201" s="8" t="inlineStr">
        <is>
          <t>Stokenchurch, England, UK</t>
        </is>
      </c>
      <c r="G1201" s="8" t="n"/>
      <c r="H1201" s="14" t="n"/>
      <c r="I1201" s="15">
        <f>IF($H1201="","",$H1201-TODAY())</f>
        <v/>
      </c>
      <c r="J1201" s="16" t="inlineStr">
        <is>
          <t>Open posting</t>
        </is>
      </c>
      <c r="K1201" s="8" t="inlineStr">
        <is>
          <t>filtered by keyword pre-scan</t>
        </is>
      </c>
      <c r="L1201" s="17" t="inlineStr">
        <is>
          <t>new</t>
        </is>
      </c>
      <c r="M1201" s="18" t="inlineStr"/>
      <c r="N1201" s="7" t="inlineStr">
        <is>
          <t>6972eb322a97fcd6e422231d2bd8fecf0cdf949b</t>
        </is>
      </c>
      <c r="O1201" s="14" t="n">
        <v>46187</v>
      </c>
      <c r="P1201" s="7" t="inlineStr">
        <is>
          <t>jobspy</t>
        </is>
      </c>
      <c r="Q1201" s="8" t="inlineStr"/>
      <c r="R1201" s="8" t="inlineStr">
        <is>
          <t>entry level Graduate Software Developer</t>
        </is>
      </c>
      <c r="S1201" s="19" t="n"/>
      <c r="T1201" s="19" t="n"/>
      <c r="U1201" s="14" t="n">
        <v>46191</v>
      </c>
      <c r="V1201" s="7" t="inlineStr">
        <is>
          <t>v2-cv-accuracy-13b988b18da8ea7d</t>
        </is>
      </c>
    </row>
    <row r="1202" ht="28" customHeight="1">
      <c r="A1202" s="12">
        <f>IF($L1202="applied","Applied",IF($L1202="interview","Interview",IF($L1202="offer","Offer",IF($L1202="rejected","Rejected",IF($L1202="ignore","Ignore",IF($L1202="archive","Archive",IF($L1202="closed","Closed",IF($B1202="","Unscored",IF(AND($B1202&gt;=8,OR($H1202="",$H1202-TODAY()&lt;=14)),"P1 Apply",IF($B1202&gt;=7,"P2 Strong",IF($B1202&gt;=5,"P3 Maybe","P4 Low")))))))))))</f>
        <v/>
      </c>
      <c r="B1202" s="13" t="n">
        <v>0.2</v>
      </c>
      <c r="C1202" s="12" t="inlineStr">
        <is>
          <t>Junior</t>
        </is>
      </c>
      <c r="D1202" s="8" t="inlineStr">
        <is>
          <t>Junior C# Full Stack Engineer (197637)</t>
        </is>
      </c>
      <c r="E1202" s="7" t="inlineStr">
        <is>
          <t>Harnham</t>
        </is>
      </c>
      <c r="F1202" s="8" t="inlineStr">
        <is>
          <t>London Area, United Kingdom</t>
        </is>
      </c>
      <c r="G1202" s="8" t="n"/>
      <c r="H1202" s="14" t="n"/>
      <c r="I1202" s="15">
        <f>IF($H1202="","",$H1202-TODAY())</f>
        <v/>
      </c>
      <c r="J1202" s="16" t="inlineStr">
        <is>
          <t>Open posting</t>
        </is>
      </c>
      <c r="K1202" s="8" t="inlineStr">
        <is>
          <t>filtered by keyword pre-scan</t>
        </is>
      </c>
      <c r="L1202" s="17" t="inlineStr">
        <is>
          <t>new</t>
        </is>
      </c>
      <c r="M1202" s="18" t="inlineStr"/>
      <c r="N1202" s="7" t="inlineStr">
        <is>
          <t>98f6847c4441430bba81e47a8ed9cf307d344710</t>
        </is>
      </c>
      <c r="O1202" s="14" t="n"/>
      <c r="P1202" s="7" t="inlineStr">
        <is>
          <t>jobspy</t>
        </is>
      </c>
      <c r="Q1202" s="8" t="inlineStr"/>
      <c r="R1202" s="8" t="inlineStr">
        <is>
          <t>entry level Full Stack Developer</t>
        </is>
      </c>
      <c r="S1202" s="19" t="n"/>
      <c r="T1202" s="19" t="n"/>
      <c r="U1202" s="14" t="n">
        <v>46191</v>
      </c>
      <c r="V1202" s="7" t="inlineStr">
        <is>
          <t>v2-cv-accuracy-13b988b18da8ea7d</t>
        </is>
      </c>
    </row>
    <row r="1203" ht="28" customHeight="1">
      <c r="A1203" s="12">
        <f>IF($L1203="applied","Applied",IF($L1203="interview","Interview",IF($L1203="offer","Offer",IF($L1203="rejected","Rejected",IF($L1203="ignore","Ignore",IF($L1203="archive","Archive",IF($L1203="closed","Closed",IF($B1203="","Unscored",IF(AND($B1203&gt;=8,OR($H1203="",$H1203-TODAY()&lt;=14)),"P1 Apply",IF($B1203&gt;=7,"P2 Strong",IF($B1203&gt;=5,"P3 Maybe","P4 Low")))))))))))</f>
        <v/>
      </c>
      <c r="B1203" s="13" t="n">
        <v>0.2</v>
      </c>
      <c r="C1203" s="12" t="inlineStr">
        <is>
          <t>Unspecified</t>
        </is>
      </c>
      <c r="D1203" s="8" t="inlineStr">
        <is>
          <t>Java Specialist</t>
        </is>
      </c>
      <c r="E1203" s="7" t="inlineStr">
        <is>
          <t>Q1 Technologies, Inc.</t>
        </is>
      </c>
      <c r="F1203" s="8" t="inlineStr">
        <is>
          <t>Bournemouth, England, UK</t>
        </is>
      </c>
      <c r="G1203" s="8" t="n"/>
      <c r="H1203" s="14" t="n"/>
      <c r="I1203" s="15">
        <f>IF($H1203="","",$H1203-TODAY())</f>
        <v/>
      </c>
      <c r="J1203" s="16" t="inlineStr">
        <is>
          <t>Open posting</t>
        </is>
      </c>
      <c r="K1203" s="8" t="inlineStr">
        <is>
          <t>filtered by keyword pre-scan</t>
        </is>
      </c>
      <c r="L1203" s="17" t="inlineStr">
        <is>
          <t>new</t>
        </is>
      </c>
      <c r="M1203" s="18" t="inlineStr"/>
      <c r="N1203" s="7" t="inlineStr">
        <is>
          <t>0865a833368a41ba3e3e9d5365c982d7766aa107</t>
        </is>
      </c>
      <c r="O1203" s="14" t="n">
        <v>46190</v>
      </c>
      <c r="P1203" s="7" t="inlineStr">
        <is>
          <t>jobspy</t>
        </is>
      </c>
      <c r="Q1203" s="8" t="inlineStr"/>
      <c r="R1203" s="8" t="inlineStr">
        <is>
          <t>graduate Full Stack Developer</t>
        </is>
      </c>
      <c r="S1203" s="19" t="n"/>
      <c r="T1203" s="19" t="n"/>
      <c r="U1203" s="14" t="n">
        <v>46191</v>
      </c>
      <c r="V1203" s="7" t="inlineStr">
        <is>
          <t>v2-cv-accuracy-13b988b18da8ea7d</t>
        </is>
      </c>
    </row>
    <row r="1204" ht="28" customHeight="1">
      <c r="A1204" s="12">
        <f>IF($L1204="applied","Applied",IF($L1204="interview","Interview",IF($L1204="offer","Offer",IF($L1204="rejected","Rejected",IF($L1204="ignore","Ignore",IF($L1204="archive","Archive",IF($L1204="closed","Closed",IF($B1204="","Unscored",IF(AND($B1204&gt;=8,OR($H1204="",$H1204-TODAY()&lt;=14)),"P1 Apply",IF($B1204&gt;=7,"P2 Strong",IF($B1204&gt;=5,"P3 Maybe","P4 Low")))))))))))</f>
        <v/>
      </c>
      <c r="B1204" s="13" t="n">
        <v>0.06</v>
      </c>
      <c r="C1204" s="12" t="inlineStr">
        <is>
          <t>Senior/Lead</t>
        </is>
      </c>
      <c r="D1204" s="8" t="inlineStr">
        <is>
          <t>Developer</t>
        </is>
      </c>
      <c r="E1204" s="7" t="inlineStr">
        <is>
          <t>SureView Systems</t>
        </is>
      </c>
      <c r="F1204" s="8" t="inlineStr">
        <is>
          <t>Swansea, Wales, UK</t>
        </is>
      </c>
      <c r="G1204" s="8" t="n"/>
      <c r="H1204" s="14" t="n"/>
      <c r="I1204" s="15">
        <f>IF($H1204="","",$H1204-TODAY())</f>
        <v/>
      </c>
      <c r="J1204" s="16" t="inlineStr">
        <is>
          <t>Open posting</t>
        </is>
      </c>
      <c r="K1204" s="8" t="inlineStr">
        <is>
          <t>filtered by keyword pre-scan</t>
        </is>
      </c>
      <c r="L1204" s="17" t="inlineStr">
        <is>
          <t>new</t>
        </is>
      </c>
      <c r="M1204" s="18" t="inlineStr"/>
      <c r="N1204" s="7" t="inlineStr">
        <is>
          <t>54ba3d7a77578b41a885e7d9a0c427aa0e631fd4</t>
        </is>
      </c>
      <c r="O1204" s="14" t="n">
        <v>46169</v>
      </c>
      <c r="P1204" s="7" t="inlineStr">
        <is>
          <t>jobspy</t>
        </is>
      </c>
      <c r="Q1204" s="8" t="inlineStr">
        <is>
          <t>sql, javascript, git, software development</t>
        </is>
      </c>
      <c r="R1204" s="8" t="inlineStr">
        <is>
          <t>graduate Graduate Software Developer</t>
        </is>
      </c>
      <c r="S1204" s="19" t="n"/>
      <c r="T1204" s="19" t="n"/>
      <c r="U1204" s="14" t="n">
        <v>46191</v>
      </c>
      <c r="V1204" s="7" t="inlineStr">
        <is>
          <t>v2-cv-accuracy-13b988b18da8ea7d</t>
        </is>
      </c>
    </row>
    <row r="1205" ht="28" customHeight="1">
      <c r="A1205" s="12">
        <f>IF($L1205="applied","Applied",IF($L1205="interview","Interview",IF($L1205="offer","Offer",IF($L1205="rejected","Rejected",IF($L1205="ignore","Ignore",IF($L1205="archive","Archive",IF($L1205="closed","Closed",IF($B1205="","Unscored",IF(AND($B1205&gt;=8,OR($H1205="",$H1205-TODAY()&lt;=14)),"P1 Apply",IF($B1205&gt;=7,"P2 Strong",IF($B1205&gt;=5,"P3 Maybe","P4 Low")))))))))))</f>
        <v/>
      </c>
      <c r="B1205" s="13" t="n">
        <v>0.06</v>
      </c>
      <c r="C1205" s="12" t="inlineStr">
        <is>
          <t>Mid-level</t>
        </is>
      </c>
      <c r="D1205" s="8" t="inlineStr">
        <is>
          <t>Mid-Level Full Stack Developer</t>
        </is>
      </c>
      <c r="E1205" s="7" t="inlineStr">
        <is>
          <t>Manchester Digital</t>
        </is>
      </c>
      <c r="F1205" s="8" t="inlineStr">
        <is>
          <t>Manchester, England, UK</t>
        </is>
      </c>
      <c r="G1205" s="8" t="n"/>
      <c r="H1205" s="14" t="n"/>
      <c r="I1205" s="15">
        <f>IF($H1205="","",$H1205-TODAY())</f>
        <v/>
      </c>
      <c r="J1205" s="16" t="inlineStr">
        <is>
          <t>Open posting</t>
        </is>
      </c>
      <c r="K1205" s="8" t="inlineStr">
        <is>
          <t>filtered by keyword pre-scan</t>
        </is>
      </c>
      <c r="L1205" s="17" t="inlineStr">
        <is>
          <t>new</t>
        </is>
      </c>
      <c r="M1205" s="18" t="inlineStr"/>
      <c r="N1205" s="7" t="inlineStr">
        <is>
          <t>6d31454640623d5905f9ce61b2922858c910bae4</t>
        </is>
      </c>
      <c r="O1205" s="14" t="n">
        <v>46188</v>
      </c>
      <c r="P1205" s="7" t="inlineStr">
        <is>
          <t>jobspy</t>
        </is>
      </c>
      <c r="Q1205" s="8" t="inlineStr">
        <is>
          <t>python, sql, software development</t>
        </is>
      </c>
      <c r="R1205" s="8" t="inlineStr">
        <is>
          <t>Full Stack Developer Sheffield</t>
        </is>
      </c>
      <c r="S1205" s="19" t="n"/>
      <c r="T1205" s="19" t="n"/>
      <c r="U1205" s="14" t="n">
        <v>46191</v>
      </c>
      <c r="V1205" s="7" t="inlineStr">
        <is>
          <t>v2-cv-accuracy-13b988b18da8ea7d</t>
        </is>
      </c>
    </row>
    <row r="1206" ht="28" customHeight="1">
      <c r="A1206" s="12">
        <f>IF($L1206="applied","Applied",IF($L1206="interview","Interview",IF($L1206="offer","Offer",IF($L1206="rejected","Rejected",IF($L1206="ignore","Ignore",IF($L1206="archive","Archive",IF($L1206="closed","Closed",IF($B1206="","Unscored",IF(AND($B1206&gt;=8,OR($H1206="",$H1206-TODAY()&lt;=14)),"P1 Apply",IF($B1206&gt;=7,"P2 Strong",IF($B1206&gt;=5,"P3 Maybe","P4 Low")))))))))))</f>
        <v/>
      </c>
      <c r="B1206" s="13" t="n">
        <v>0.06</v>
      </c>
      <c r="C1206" s="12" t="inlineStr">
        <is>
          <t>Mid-level</t>
        </is>
      </c>
      <c r="D1206" s="8" t="inlineStr">
        <is>
          <t>Mid Level Full Stack Developer</t>
        </is>
      </c>
      <c r="E1206" s="7" t="inlineStr">
        <is>
          <t>UK Biobank</t>
        </is>
      </c>
      <c r="F1206" s="8" t="inlineStr">
        <is>
          <t>Manchester Area, United Kingdom</t>
        </is>
      </c>
      <c r="G1206" s="8" t="n"/>
      <c r="H1206" s="14" t="n"/>
      <c r="I1206" s="15">
        <f>IF($H1206="","",$H1206-TODAY())</f>
        <v/>
      </c>
      <c r="J1206" s="16" t="inlineStr">
        <is>
          <t>Open posting</t>
        </is>
      </c>
      <c r="K1206" s="8" t="inlineStr">
        <is>
          <t>filtered by keyword pre-scan</t>
        </is>
      </c>
      <c r="L1206" s="17" t="inlineStr">
        <is>
          <t>new</t>
        </is>
      </c>
      <c r="M1206" s="18" t="inlineStr"/>
      <c r="N1206" s="7" t="inlineStr">
        <is>
          <t>0b3eba4dc9cdbbf5bf2c3870bd31b4a1424ac9d1</t>
        </is>
      </c>
      <c r="O1206" s="14" t="n">
        <v>46178</v>
      </c>
      <c r="P1206" s="7" t="inlineStr">
        <is>
          <t>jobspy</t>
        </is>
      </c>
      <c r="Q1206" s="8" t="inlineStr">
        <is>
          <t>python, sql, software development</t>
        </is>
      </c>
      <c r="R1206" s="8" t="inlineStr">
        <is>
          <t>Junior Python Developer Sheffield</t>
        </is>
      </c>
      <c r="S1206" s="19" t="n"/>
      <c r="T1206" s="19" t="n"/>
      <c r="U1206" s="14" t="n">
        <v>46191</v>
      </c>
      <c r="V1206" s="7" t="inlineStr">
        <is>
          <t>v2-cv-accuracy-13b988b18da8ea7d</t>
        </is>
      </c>
    </row>
    <row r="1207" ht="28" customHeight="1">
      <c r="A1207" s="12">
        <f>IF($L1207="applied","Applied",IF($L1207="interview","Interview",IF($L1207="offer","Offer",IF($L1207="rejected","Rejected",IF($L1207="ignore","Ignore",IF($L1207="archive","Archive",IF($L1207="closed","Closed",IF($B1207="","Unscored",IF(AND($B1207&gt;=8,OR($H1207="",$H1207-TODAY()&lt;=14)),"P1 Apply",IF($B1207&gt;=7,"P2 Strong",IF($B1207&gt;=5,"P3 Maybe","P4 Low")))))))))))</f>
        <v/>
      </c>
      <c r="B1207" s="13" t="n">
        <v>0</v>
      </c>
      <c r="C1207" s="12" t="inlineStr">
        <is>
          <t>Senior/Lead</t>
        </is>
      </c>
      <c r="D1207" s="8" t="inlineStr">
        <is>
          <t>Senior Front End Design Engineer (Microarchitecture)</t>
        </is>
      </c>
      <c r="E1207" s="7" t="inlineStr">
        <is>
          <t>Cerebras</t>
        </is>
      </c>
      <c r="F1207" s="8" t="inlineStr">
        <is>
          <t>Bengaluru, Karnataka, India</t>
        </is>
      </c>
      <c r="G1207" s="8" t="n"/>
      <c r="H1207" s="14" t="n"/>
      <c r="I1207" s="15">
        <f>IF($H1207="","",$H1207-TODAY())</f>
        <v/>
      </c>
      <c r="J1207" s="16" t="inlineStr">
        <is>
          <t>Open posting</t>
        </is>
      </c>
      <c r="K1207" s="8" t="inlineStr">
        <is>
          <t>filtered by keyword pre-scan</t>
        </is>
      </c>
      <c r="L1207" s="17" t="inlineStr">
        <is>
          <t>new</t>
        </is>
      </c>
      <c r="M1207" s="18" t="inlineStr"/>
      <c r="N1207" s="7" t="inlineStr">
        <is>
          <t>3d0da90a41fa14fcc41eb2f156b848a10936d815</t>
        </is>
      </c>
      <c r="O1207" s="14" t="n">
        <v>46192</v>
      </c>
      <c r="P1207" s="7" t="inlineStr">
        <is>
          <t>greenhouse:cerebrassystems</t>
        </is>
      </c>
      <c r="Q1207" s="8" t="inlineStr">
        <is>
          <t>python, fpga, c</t>
        </is>
      </c>
      <c r="R1207" s="8" t="n"/>
      <c r="S1207" s="19" t="n"/>
      <c r="T1207" s="19" t="n"/>
      <c r="U1207" s="14" t="n">
        <v>46193</v>
      </c>
      <c r="V1207" s="7" t="inlineStr">
        <is>
          <t>v2-cv-accuracy-13b988b18da8ea7d</t>
        </is>
      </c>
    </row>
    <row r="1208" ht="28" customHeight="1">
      <c r="A1208" s="12">
        <f>IF($L1208="applied","Applied",IF($L1208="interview","Interview",IF($L1208="offer","Offer",IF($L1208="rejected","Rejected",IF($L1208="ignore","Ignore",IF($L1208="archive","Archive",IF($L1208="closed","Closed",IF($B1208="","Unscored",IF(AND($B1208&gt;=8,OR($H1208="",$H1208-TODAY()&lt;=14)),"P1 Apply",IF($B1208&gt;=7,"P2 Strong",IF($B1208&gt;=5,"P3 Maybe","P4 Low")))))))))))</f>
        <v/>
      </c>
      <c r="B1208" s="13" t="n">
        <v>0</v>
      </c>
      <c r="C1208" s="12" t="inlineStr">
        <is>
          <t>Senior/Lead</t>
        </is>
      </c>
      <c r="D1208" s="8" t="inlineStr">
        <is>
          <t>Staff Software Engineer, Inference Platform</t>
        </is>
      </c>
      <c r="E1208" s="7" t="inlineStr">
        <is>
          <t>Cerebras</t>
        </is>
      </c>
      <c r="F1208" s="8" t="inlineStr">
        <is>
          <t>Sunnyvale, CA</t>
        </is>
      </c>
      <c r="G1208" s="8" t="n"/>
      <c r="H1208" s="14" t="n"/>
      <c r="I1208" s="15">
        <f>IF($H1208="","",$H1208-TODAY())</f>
        <v/>
      </c>
      <c r="J1208" s="16" t="inlineStr">
        <is>
          <t>Open posting</t>
        </is>
      </c>
      <c r="K1208" s="8" t="inlineStr">
        <is>
          <t>filtered by keyword pre-scan</t>
        </is>
      </c>
      <c r="L1208" s="17" t="inlineStr">
        <is>
          <t>new</t>
        </is>
      </c>
      <c r="M1208" s="18" t="inlineStr"/>
      <c r="N1208" s="7" t="inlineStr">
        <is>
          <t>15189e5af113c1ad2be4478308f045472959484d</t>
        </is>
      </c>
      <c r="O1208" s="14" t="n">
        <v>46192</v>
      </c>
      <c r="P1208" s="7" t="inlineStr">
        <is>
          <t>greenhouse:cerebrassystems</t>
        </is>
      </c>
      <c r="Q1208" s="8" t="inlineStr">
        <is>
          <t>c</t>
        </is>
      </c>
      <c r="R1208" s="8" t="n"/>
      <c r="S1208" s="19" t="n"/>
      <c r="T1208" s="19" t="n"/>
      <c r="U1208" s="14" t="n">
        <v>46193</v>
      </c>
      <c r="V1208" s="7" t="inlineStr">
        <is>
          <t>v2-cv-accuracy-13b988b18da8ea7d</t>
        </is>
      </c>
    </row>
    <row r="1209" ht="28" customHeight="1">
      <c r="A1209" s="12">
        <f>IF($L1209="applied","Applied",IF($L1209="interview","Interview",IF($L1209="offer","Offer",IF($L1209="rejected","Rejected",IF($L1209="ignore","Ignore",IF($L1209="archive","Archive",IF($L1209="closed","Closed",IF($B1209="","Unscored",IF(AND($B1209&gt;=8,OR($H1209="",$H1209-TODAY()&lt;=14)),"P1 Apply",IF($B1209&gt;=7,"P2 Strong",IF($B1209&gt;=5,"P3 Maybe","P4 Low")))))))))))</f>
        <v/>
      </c>
      <c r="B1209" s="13" t="n">
        <v>0</v>
      </c>
      <c r="C1209" s="12" t="inlineStr">
        <is>
          <t>Unspecified</t>
        </is>
      </c>
      <c r="D1209" s="8" t="inlineStr">
        <is>
          <t>Engineer 1</t>
        </is>
      </c>
      <c r="E1209" s="7" t="inlineStr">
        <is>
          <t>SiFive</t>
        </is>
      </c>
      <c r="F1209" s="8" t="inlineStr">
        <is>
          <t>Hyderabad, India</t>
        </is>
      </c>
      <c r="G1209" s="8" t="n"/>
      <c r="H1209" s="14" t="n"/>
      <c r="I1209" s="15">
        <f>IF($H1209="","",$H1209-TODAY())</f>
        <v/>
      </c>
      <c r="J1209" s="16" t="inlineStr">
        <is>
          <t>Open posting</t>
        </is>
      </c>
      <c r="K1209" s="8" t="inlineStr">
        <is>
          <t>filtered by keyword pre-scan</t>
        </is>
      </c>
      <c r="L1209" s="17" t="inlineStr">
        <is>
          <t>new</t>
        </is>
      </c>
      <c r="M1209" s="18" t="inlineStr"/>
      <c r="N1209" s="7" t="inlineStr">
        <is>
          <t>860d8eddf3dcb1ed279a88e79ea1006eede2abc9</t>
        </is>
      </c>
      <c r="O1209" s="14" t="n"/>
      <c r="P1209" s="7" t="inlineStr">
        <is>
          <t>workday</t>
        </is>
      </c>
      <c r="Q1209" s="8" t="inlineStr"/>
      <c r="R1209" s="8" t="n"/>
      <c r="S1209" s="19" t="n"/>
      <c r="T1209" s="19" t="n"/>
      <c r="U1209" s="14" t="n">
        <v>46193</v>
      </c>
      <c r="V1209" s="7" t="inlineStr">
        <is>
          <t>v2-cv-accuracy-13b988b18da8ea7d</t>
        </is>
      </c>
    </row>
    <row r="1210" ht="28" customHeight="1">
      <c r="A1210" s="12">
        <f>IF($L1210="applied","Applied",IF($L1210="interview","Interview",IF($L1210="offer","Offer",IF($L1210="rejected","Rejected",IF($L1210="ignore","Ignore",IF($L1210="archive","Archive",IF($L1210="closed","Closed",IF($B1210="","Unscored",IF(AND($B1210&gt;=8,OR($H1210="",$H1210-TODAY()&lt;=14)),"P1 Apply",IF($B1210&gt;=7,"P2 Strong",IF($B1210&gt;=5,"P3 Maybe","P4 Low")))))))))))</f>
        <v/>
      </c>
      <c r="B1210" s="13" t="n">
        <v>0</v>
      </c>
      <c r="C1210" s="12" t="inlineStr">
        <is>
          <t>Senior/Lead</t>
        </is>
      </c>
      <c r="D1210" s="8" t="inlineStr">
        <is>
          <t>Senior Systems Engineer, User Support</t>
        </is>
      </c>
      <c r="E1210" s="7" t="inlineStr">
        <is>
          <t>ARCH EUROPE INSURANCE SERVICES LTD</t>
        </is>
      </c>
      <c r="F1210" s="8" t="inlineStr">
        <is>
          <t>Sheffield, England, UK</t>
        </is>
      </c>
      <c r="G1210" s="8" t="n"/>
      <c r="H1210" s="14" t="n"/>
      <c r="I1210" s="15">
        <f>IF($H1210="","",$H1210-TODAY())</f>
        <v/>
      </c>
      <c r="J1210" s="16" t="inlineStr">
        <is>
          <t>Open posting</t>
        </is>
      </c>
      <c r="K1210" s="8" t="inlineStr">
        <is>
          <t>filtered by keyword pre-scan</t>
        </is>
      </c>
      <c r="L1210" s="17" t="inlineStr">
        <is>
          <t>new</t>
        </is>
      </c>
      <c r="M1210" s="18" t="inlineStr"/>
      <c r="N1210" s="7" t="inlineStr">
        <is>
          <t>e2a03300fdf38a9f1defbf0090f22653b997c4aa</t>
        </is>
      </c>
      <c r="O1210" s="14" t="n">
        <v>46189</v>
      </c>
      <c r="P1210" s="7" t="inlineStr">
        <is>
          <t>jobspy</t>
        </is>
      </c>
      <c r="Q1210" s="8" t="inlineStr">
        <is>
          <t>c</t>
        </is>
      </c>
      <c r="R1210" s="8" t="inlineStr">
        <is>
          <t>Graduate Systems Engineer hardware software Sheffield</t>
        </is>
      </c>
      <c r="S1210" s="19" t="n"/>
      <c r="T1210" s="19" t="n"/>
      <c r="U1210" s="14" t="n">
        <v>46193</v>
      </c>
      <c r="V1210" s="7" t="inlineStr">
        <is>
          <t>v2-cv-accuracy-13b988b18da8ea7d</t>
        </is>
      </c>
    </row>
    <row r="1211" ht="28" customHeight="1">
      <c r="A1211" s="12">
        <f>IF($L1211="applied","Applied",IF($L1211="interview","Interview",IF($L1211="offer","Offer",IF($L1211="rejected","Rejected",IF($L1211="ignore","Ignore",IF($L1211="archive","Archive",IF($L1211="closed","Closed",IF($B1211="","Unscored",IF(AND($B1211&gt;=8,OR($H1211="",$H1211-TODAY()&lt;=14)),"P1 Apply",IF($B1211&gt;=7,"P2 Strong",IF($B1211&gt;=5,"P3 Maybe","P4 Low")))))))))))</f>
        <v/>
      </c>
      <c r="B1211" s="13" t="n">
        <v>0</v>
      </c>
      <c r="C1211" s="12" t="inlineStr">
        <is>
          <t>Senior/Lead</t>
        </is>
      </c>
      <c r="D1211" s="8" t="inlineStr">
        <is>
          <t>Senior Cybersecurity Engineer, Enterprise Services</t>
        </is>
      </c>
      <c r="E1211" s="7" t="inlineStr">
        <is>
          <t>Thales</t>
        </is>
      </c>
      <c r="F1211" s="8" t="inlineStr">
        <is>
          <t>Belfast, NIR, GB</t>
        </is>
      </c>
      <c r="G1211" s="8" t="n"/>
      <c r="H1211" s="14" t="n"/>
      <c r="I1211" s="15">
        <f>IF($H1211="","",$H1211-TODAY())</f>
        <v/>
      </c>
      <c r="J1211" s="16" t="inlineStr">
        <is>
          <t>Open posting</t>
        </is>
      </c>
      <c r="K1211" s="8" t="inlineStr">
        <is>
          <t>filtered by keyword pre-scan</t>
        </is>
      </c>
      <c r="L1211" s="17" t="inlineStr">
        <is>
          <t>new</t>
        </is>
      </c>
      <c r="M1211" s="18" t="inlineStr"/>
      <c r="N1211" s="7" t="inlineStr">
        <is>
          <t>09265a50a602cbc4b3866ccc7140ddc5d5bfe1c6</t>
        </is>
      </c>
      <c r="O1211" s="14" t="n">
        <v>46190</v>
      </c>
      <c r="P1211" s="7" t="inlineStr">
        <is>
          <t>jobspy</t>
        </is>
      </c>
      <c r="Q1211" s="8" t="inlineStr">
        <is>
          <t>python, sql, mysql, git, c</t>
        </is>
      </c>
      <c r="R1211" s="8" t="inlineStr">
        <is>
          <t>Junior Data Engineer SQL Python MySQL</t>
        </is>
      </c>
      <c r="S1211" s="19" t="n"/>
      <c r="T1211" s="19" t="n"/>
      <c r="U1211" s="14" t="n">
        <v>46193</v>
      </c>
      <c r="V1211" s="7" t="inlineStr">
        <is>
          <t>v2-cv-accuracy-13b988b18da8ea7d</t>
        </is>
      </c>
    </row>
    <row r="1212" ht="28" customHeight="1">
      <c r="A1212" s="12">
        <f>IF($L1212="applied","Applied",IF($L1212="interview","Interview",IF($L1212="offer","Offer",IF($L1212="rejected","Rejected",IF($L1212="ignore","Ignore",IF($L1212="archive","Archive",IF($L1212="closed","Closed",IF($B1212="","Unscored",IF(AND($B1212&gt;=8,OR($H1212="",$H1212-TODAY()&lt;=14)),"P1 Apply",IF($B1212&gt;=7,"P2 Strong",IF($B1212&gt;=5,"P3 Maybe","P4 Low")))))))))))</f>
        <v/>
      </c>
      <c r="B1212" s="13" t="n">
        <v>0</v>
      </c>
      <c r="C1212" s="12" t="inlineStr">
        <is>
          <t>Senior/Lead</t>
        </is>
      </c>
      <c r="D1212" s="8" t="inlineStr">
        <is>
          <t>Senior Software Engineer</t>
        </is>
      </c>
      <c r="E1212" s="7" t="inlineStr">
        <is>
          <t>Zzoomm</t>
        </is>
      </c>
      <c r="F1212" s="8" t="inlineStr">
        <is>
          <t>Remote, GB</t>
        </is>
      </c>
      <c r="G1212" s="8" t="n"/>
      <c r="H1212" s="14" t="n"/>
      <c r="I1212" s="15">
        <f>IF($H1212="","",$H1212-TODAY())</f>
        <v/>
      </c>
      <c r="J1212" s="16" t="inlineStr">
        <is>
          <t>Open posting</t>
        </is>
      </c>
      <c r="K1212" s="8" t="inlineStr">
        <is>
          <t>filtered by keyword pre-scan</t>
        </is>
      </c>
      <c r="L1212" s="17" t="inlineStr">
        <is>
          <t>new</t>
        </is>
      </c>
      <c r="M1212" s="18" t="inlineStr"/>
      <c r="N1212" s="7" t="inlineStr">
        <is>
          <t>affccaeee7d206ba05bcff8a680d72cdc627b437</t>
        </is>
      </c>
      <c r="O1212" s="14" t="n">
        <v>46177</v>
      </c>
      <c r="P1212" s="7" t="inlineStr">
        <is>
          <t>jobspy</t>
        </is>
      </c>
      <c r="Q1212" s="8" t="inlineStr">
        <is>
          <t>python, sql, mysql, kubernetes, git</t>
        </is>
      </c>
      <c r="R1212" s="8" t="inlineStr">
        <is>
          <t>Junior Data Engineer SQL Python MySQL</t>
        </is>
      </c>
      <c r="S1212" s="19" t="n"/>
      <c r="T1212" s="19" t="n"/>
      <c r="U1212" s="14" t="n">
        <v>46193</v>
      </c>
      <c r="V1212" s="7" t="inlineStr">
        <is>
          <t>v2-cv-accuracy-13b988b18da8ea7d</t>
        </is>
      </c>
    </row>
    <row r="1213" ht="28" customHeight="1">
      <c r="A1213" s="12">
        <f>IF($L1213="applied","Applied",IF($L1213="interview","Interview",IF($L1213="offer","Offer",IF($L1213="rejected","Rejected",IF($L1213="ignore","Ignore",IF($L1213="archive","Archive",IF($L1213="closed","Closed",IF($B1213="","Unscored",IF(AND($B1213&gt;=8,OR($H1213="",$H1213-TODAY()&lt;=14)),"P1 Apply",IF($B1213&gt;=7,"P2 Strong",IF($B1213&gt;=5,"P3 Maybe","P4 Low")))))))))))</f>
        <v/>
      </c>
      <c r="B1213" s="13" t="n">
        <v>0</v>
      </c>
      <c r="C1213" s="12" t="inlineStr">
        <is>
          <t>Senior/Lead</t>
        </is>
      </c>
      <c r="D1213" s="8" t="inlineStr">
        <is>
          <t>Senior Data Engineer</t>
        </is>
      </c>
      <c r="E1213" s="7" t="inlineStr">
        <is>
          <t>GSF Car Parts</t>
        </is>
      </c>
      <c r="F1213" s="8" t="inlineStr">
        <is>
          <t>Shareshill, England, UK</t>
        </is>
      </c>
      <c r="G1213" s="8" t="n"/>
      <c r="H1213" s="14" t="n"/>
      <c r="I1213" s="15">
        <f>IF($H1213="","",$H1213-TODAY())</f>
        <v/>
      </c>
      <c r="J1213" s="16" t="inlineStr">
        <is>
          <t>Open posting</t>
        </is>
      </c>
      <c r="K1213" s="8" t="inlineStr">
        <is>
          <t>filtered by keyword pre-scan</t>
        </is>
      </c>
      <c r="L1213" s="17" t="inlineStr">
        <is>
          <t>new</t>
        </is>
      </c>
      <c r="M1213" s="18" t="inlineStr"/>
      <c r="N1213" s="7" t="inlineStr">
        <is>
          <t>702d6f2455a766c19f26dada56462765343639d3</t>
        </is>
      </c>
      <c r="O1213" s="14" t="n">
        <v>46192</v>
      </c>
      <c r="P1213" s="7" t="inlineStr">
        <is>
          <t>jobspy</t>
        </is>
      </c>
      <c r="Q1213" s="8" t="inlineStr">
        <is>
          <t>python, sql, mysql, git, c</t>
        </is>
      </c>
      <c r="R1213" s="8" t="inlineStr">
        <is>
          <t>Junior Data Engineer SQL Python MySQL</t>
        </is>
      </c>
      <c r="S1213" s="19" t="n"/>
      <c r="T1213" s="19" t="n"/>
      <c r="U1213" s="14" t="n">
        <v>46193</v>
      </c>
      <c r="V1213" s="7" t="inlineStr">
        <is>
          <t>v2-cv-accuracy-13b988b18da8ea7d</t>
        </is>
      </c>
    </row>
    <row r="1214" ht="28" customHeight="1">
      <c r="A1214" s="12">
        <f>IF($L1214="applied","Applied",IF($L1214="interview","Interview",IF($L1214="offer","Offer",IF($L1214="rejected","Rejected",IF($L1214="ignore","Ignore",IF($L1214="archive","Archive",IF($L1214="closed","Closed",IF($B1214="","Unscored",IF(AND($B1214&gt;=8,OR($H1214="",$H1214-TODAY()&lt;=14)),"P1 Apply",IF($B1214&gt;=7,"P2 Strong",IF($B1214&gt;=5,"P3 Maybe","P4 Low")))))))))))</f>
        <v/>
      </c>
      <c r="B1214" s="13" t="n">
        <v>0</v>
      </c>
      <c r="C1214" s="12" t="inlineStr">
        <is>
          <t>Senior/Lead</t>
        </is>
      </c>
      <c r="D1214" s="8" t="inlineStr">
        <is>
          <t>Senior Analytics Engineer</t>
        </is>
      </c>
      <c r="E1214" s="7" t="inlineStr">
        <is>
          <t>GetGround</t>
        </is>
      </c>
      <c r="F1214" s="8" t="inlineStr">
        <is>
          <t>London Area, United Kingdom</t>
        </is>
      </c>
      <c r="G1214" s="8" t="n"/>
      <c r="H1214" s="14" t="n"/>
      <c r="I1214" s="15">
        <f>IF($H1214="","",$H1214-TODAY())</f>
        <v/>
      </c>
      <c r="J1214" s="16" t="inlineStr">
        <is>
          <t>Open posting</t>
        </is>
      </c>
      <c r="K1214" s="8" t="inlineStr">
        <is>
          <t>filtered by keyword pre-scan</t>
        </is>
      </c>
      <c r="L1214" s="17" t="inlineStr">
        <is>
          <t>new</t>
        </is>
      </c>
      <c r="M1214" s="18" t="inlineStr"/>
      <c r="N1214" s="7" t="inlineStr">
        <is>
          <t>beb3a1d6b0b832f0c5a797dcf8cbf3d92260ffb2</t>
        </is>
      </c>
      <c r="O1214" s="14" t="n">
        <v>46190</v>
      </c>
      <c r="P1214" s="7" t="inlineStr">
        <is>
          <t>jobspy</t>
        </is>
      </c>
      <c r="Q1214" s="8" t="inlineStr">
        <is>
          <t>python, sql, c</t>
        </is>
      </c>
      <c r="R1214" s="8" t="inlineStr">
        <is>
          <t>Junior Data Engineer SQL Python MySQL</t>
        </is>
      </c>
      <c r="S1214" s="19" t="n"/>
      <c r="T1214" s="19" t="n"/>
      <c r="U1214" s="14" t="n">
        <v>46193</v>
      </c>
      <c r="V1214" s="7" t="inlineStr">
        <is>
          <t>v2-cv-accuracy-13b988b18da8ea7d</t>
        </is>
      </c>
    </row>
    <row r="1215" ht="28" customHeight="1">
      <c r="A1215" s="12">
        <f>IF($L1215="applied","Applied",IF($L1215="interview","Interview",IF($L1215="offer","Offer",IF($L1215="rejected","Rejected",IF($L1215="ignore","Ignore",IF($L1215="archive","Archive",IF($L1215="closed","Closed",IF($B1215="","Unscored",IF(AND($B1215&gt;=8,OR($H1215="",$H1215-TODAY()&lt;=14)),"P1 Apply",IF($B1215&gt;=7,"P2 Strong",IF($B1215&gt;=5,"P3 Maybe","P4 Low")))))))))))</f>
        <v/>
      </c>
      <c r="B1215" s="13" t="n">
        <v>0</v>
      </c>
      <c r="C1215" s="12" t="inlineStr">
        <is>
          <t>Senior/Lead</t>
        </is>
      </c>
      <c r="D1215" s="8" t="inlineStr">
        <is>
          <t>Senior Data Engineer</t>
        </is>
      </c>
      <c r="E1215" s="7" t="inlineStr">
        <is>
          <t>Mirai Talent</t>
        </is>
      </c>
      <c r="F1215" s="8" t="inlineStr">
        <is>
          <t>Manchester Area, United Kingdom</t>
        </is>
      </c>
      <c r="G1215" s="8" t="n"/>
      <c r="H1215" s="14" t="n"/>
      <c r="I1215" s="15">
        <f>IF($H1215="","",$H1215-TODAY())</f>
        <v/>
      </c>
      <c r="J1215" s="16" t="inlineStr">
        <is>
          <t>Open posting</t>
        </is>
      </c>
      <c r="K1215" s="8" t="inlineStr">
        <is>
          <t>filtered by keyword pre-scan</t>
        </is>
      </c>
      <c r="L1215" s="17" t="inlineStr">
        <is>
          <t>new</t>
        </is>
      </c>
      <c r="M1215" s="18" t="inlineStr"/>
      <c r="N1215" s="7" t="inlineStr">
        <is>
          <t>a4c9ce0e2ade2de0b44134b84d4b9af744160df1</t>
        </is>
      </c>
      <c r="O1215" s="14" t="n">
        <v>46189</v>
      </c>
      <c r="P1215" s="7" t="inlineStr">
        <is>
          <t>jobspy</t>
        </is>
      </c>
      <c r="Q1215" s="8" t="inlineStr">
        <is>
          <t>python, sql, mysql, c</t>
        </is>
      </c>
      <c r="R1215" s="8" t="inlineStr">
        <is>
          <t>Junior Data Engineer SQL Python MySQL</t>
        </is>
      </c>
      <c r="S1215" s="19" t="n"/>
      <c r="T1215" s="19" t="n"/>
      <c r="U1215" s="14" t="n">
        <v>46193</v>
      </c>
      <c r="V1215" s="7" t="inlineStr">
        <is>
          <t>v2-cv-accuracy-13b988b18da8ea7d</t>
        </is>
      </c>
    </row>
    <row r="1216" ht="28" customHeight="1">
      <c r="A1216" s="12">
        <f>IF($L1216="applied","Applied",IF($L1216="interview","Interview",IF($L1216="offer","Offer",IF($L1216="rejected","Rejected",IF($L1216="ignore","Ignore",IF($L1216="archive","Archive",IF($L1216="closed","Closed",IF($B1216="","Unscored",IF(AND($B1216&gt;=8,OR($H1216="",$H1216-TODAY()&lt;=14)),"P1 Apply",IF($B1216&gt;=7,"P2 Strong",IF($B1216&gt;=5,"P3 Maybe","P4 Low")))))))))))</f>
        <v/>
      </c>
      <c r="B1216" s="13" t="n">
        <v>0</v>
      </c>
      <c r="C1216" s="12" t="inlineStr">
        <is>
          <t>Senior/Lead</t>
        </is>
      </c>
      <c r="D1216" s="8" t="inlineStr">
        <is>
          <t>Senior Software Engineer - Data Applications</t>
        </is>
      </c>
      <c r="E1216" s="7" t="inlineStr">
        <is>
          <t>monday.com</t>
        </is>
      </c>
      <c r="F1216" s="8" t="inlineStr">
        <is>
          <t>London, England, UK</t>
        </is>
      </c>
      <c r="G1216" s="8" t="n"/>
      <c r="H1216" s="14" t="n"/>
      <c r="I1216" s="15">
        <f>IF($H1216="","",$H1216-TODAY())</f>
        <v/>
      </c>
      <c r="J1216" s="16" t="inlineStr">
        <is>
          <t>Open posting</t>
        </is>
      </c>
      <c r="K1216" s="8" t="inlineStr">
        <is>
          <t>filtered by keyword pre-scan</t>
        </is>
      </c>
      <c r="L1216" s="17" t="inlineStr">
        <is>
          <t>new</t>
        </is>
      </c>
      <c r="M1216" s="18" t="inlineStr"/>
      <c r="N1216" s="7" t="inlineStr">
        <is>
          <t>0d717cb0365694ba3995b29c69dc9162963ee2b5</t>
        </is>
      </c>
      <c r="O1216" s="14" t="n">
        <v>46184</v>
      </c>
      <c r="P1216" s="7" t="inlineStr">
        <is>
          <t>jobspy</t>
        </is>
      </c>
      <c r="Q1216" s="8" t="inlineStr">
        <is>
          <t>sql, mysql, c</t>
        </is>
      </c>
      <c r="R1216" s="8" t="inlineStr">
        <is>
          <t>Junior Data Engineer SQL Python MySQL</t>
        </is>
      </c>
      <c r="S1216" s="19" t="n"/>
      <c r="T1216" s="19" t="n"/>
      <c r="U1216" s="14" t="n">
        <v>46193</v>
      </c>
      <c r="V1216" s="7" t="inlineStr">
        <is>
          <t>v2-cv-accuracy-13b988b18da8ea7d</t>
        </is>
      </c>
    </row>
    <row r="1217" ht="28" customHeight="1">
      <c r="A1217" s="12">
        <f>IF($L1217="applied","Applied",IF($L1217="interview","Interview",IF($L1217="offer","Offer",IF($L1217="rejected","Rejected",IF($L1217="ignore","Ignore",IF($L1217="archive","Archive",IF($L1217="closed","Closed",IF($B1217="","Unscored",IF(AND($B1217&gt;=8,OR($H1217="",$H1217-TODAY()&lt;=14)),"P1 Apply",IF($B1217&gt;=7,"P2 Strong",IF($B1217&gt;=5,"P3 Maybe","P4 Low")))))))))))</f>
        <v/>
      </c>
      <c r="B1217" s="13" t="n">
        <v>0</v>
      </c>
      <c r="C1217" s="12" t="inlineStr">
        <is>
          <t>Senior/Lead</t>
        </is>
      </c>
      <c r="D1217" s="8" t="inlineStr">
        <is>
          <t>Senior Data Engineer</t>
        </is>
      </c>
      <c r="E1217" s="7" t="inlineStr">
        <is>
          <t>Transform</t>
        </is>
      </c>
      <c r="F1217" s="8" t="inlineStr">
        <is>
          <t>Manchester Area, United Kingdom</t>
        </is>
      </c>
      <c r="G1217" s="8" t="n"/>
      <c r="H1217" s="14" t="n"/>
      <c r="I1217" s="15">
        <f>IF($H1217="","",$H1217-TODAY())</f>
        <v/>
      </c>
      <c r="J1217" s="16" t="inlineStr">
        <is>
          <t>Open posting</t>
        </is>
      </c>
      <c r="K1217" s="8" t="inlineStr">
        <is>
          <t>filtered by keyword pre-scan</t>
        </is>
      </c>
      <c r="L1217" s="17" t="inlineStr">
        <is>
          <t>new</t>
        </is>
      </c>
      <c r="M1217" s="18" t="inlineStr"/>
      <c r="N1217" s="7" t="inlineStr">
        <is>
          <t>8f3df3d7486578f4c1002d147472c7bd7902a72e</t>
        </is>
      </c>
      <c r="O1217" s="14" t="n">
        <v>46174</v>
      </c>
      <c r="P1217" s="7" t="inlineStr">
        <is>
          <t>jobspy</t>
        </is>
      </c>
      <c r="Q1217" s="8" t="inlineStr">
        <is>
          <t>python, sql, mysql, c</t>
        </is>
      </c>
      <c r="R1217" s="8" t="inlineStr">
        <is>
          <t>Junior Data Engineer SQL Python MySQL</t>
        </is>
      </c>
      <c r="S1217" s="19" t="n"/>
      <c r="T1217" s="19" t="n"/>
      <c r="U1217" s="14" t="n">
        <v>46193</v>
      </c>
      <c r="V1217" s="7" t="inlineStr">
        <is>
          <t>v2-cv-accuracy-13b988b18da8ea7d</t>
        </is>
      </c>
    </row>
    <row r="1218" ht="28" customHeight="1">
      <c r="A1218" s="12">
        <f>IF($L1218="applied","Applied",IF($L1218="interview","Interview",IF($L1218="offer","Offer",IF($L1218="rejected","Rejected",IF($L1218="ignore","Ignore",IF($L1218="archive","Archive",IF($L1218="closed","Closed",IF($B1218="","Unscored",IF(AND($B1218&gt;=8,OR($H1218="",$H1218-TODAY()&lt;=14)),"P1 Apply",IF($B1218&gt;=7,"P2 Strong",IF($B1218&gt;=5,"P3 Maybe","P4 Low")))))))))))</f>
        <v/>
      </c>
      <c r="B1218" s="13" t="n">
        <v>0</v>
      </c>
      <c r="C1218" s="12" t="inlineStr">
        <is>
          <t>Senior/Lead</t>
        </is>
      </c>
      <c r="D1218" s="8" t="inlineStr">
        <is>
          <t>Senior Data Engineer</t>
        </is>
      </c>
      <c r="E1218" s="7" t="inlineStr">
        <is>
          <t>Novatus</t>
        </is>
      </c>
      <c r="F1218" s="8" t="inlineStr">
        <is>
          <t>London Area, United Kingdom</t>
        </is>
      </c>
      <c r="G1218" s="8" t="n"/>
      <c r="H1218" s="14" t="n"/>
      <c r="I1218" s="15">
        <f>IF($H1218="","",$H1218-TODAY())</f>
        <v/>
      </c>
      <c r="J1218" s="16" t="inlineStr">
        <is>
          <t>Open posting</t>
        </is>
      </c>
      <c r="K1218" s="8" t="inlineStr">
        <is>
          <t>filtered by keyword pre-scan</t>
        </is>
      </c>
      <c r="L1218" s="17" t="inlineStr">
        <is>
          <t>new</t>
        </is>
      </c>
      <c r="M1218" s="18" t="inlineStr"/>
      <c r="N1218" s="7" t="inlineStr">
        <is>
          <t>906620e2a84cde4cf0e54c72f1ac5667155d4240</t>
        </is>
      </c>
      <c r="O1218" s="14" t="n">
        <v>46168</v>
      </c>
      <c r="P1218" s="7" t="inlineStr">
        <is>
          <t>jobspy</t>
        </is>
      </c>
      <c r="Q1218" s="8" t="inlineStr">
        <is>
          <t>python, sql, mysql, c</t>
        </is>
      </c>
      <c r="R1218" s="8" t="inlineStr">
        <is>
          <t>Junior Data Engineer SQL Python MySQL</t>
        </is>
      </c>
      <c r="S1218" s="19" t="n"/>
      <c r="T1218" s="19" t="n"/>
      <c r="U1218" s="14" t="n">
        <v>46193</v>
      </c>
      <c r="V1218" s="7" t="inlineStr">
        <is>
          <t>v2-cv-accuracy-13b988b18da8ea7d</t>
        </is>
      </c>
    </row>
    <row r="1219" ht="28" customHeight="1">
      <c r="A1219" s="12">
        <f>IF($L1219="applied","Applied",IF($L1219="interview","Interview",IF($L1219="offer","Offer",IF($L1219="rejected","Rejected",IF($L1219="ignore","Ignore",IF($L1219="archive","Archive",IF($L1219="closed","Closed",IF($B1219="","Unscored",IF(AND($B1219&gt;=8,OR($H1219="",$H1219-TODAY()&lt;=14)),"P1 Apply",IF($B1219&gt;=7,"P2 Strong",IF($B1219&gt;=5,"P3 Maybe","P4 Low")))))))))))</f>
        <v/>
      </c>
      <c r="B1219" s="13" t="n">
        <v>0</v>
      </c>
      <c r="C1219" s="12" t="inlineStr">
        <is>
          <t>Senior/Lead</t>
        </is>
      </c>
      <c r="D1219" s="8" t="inlineStr">
        <is>
          <t>Senior Software Engineer - Data Applications</t>
        </is>
      </c>
      <c r="E1219" s="7" t="inlineStr">
        <is>
          <t>monday.com</t>
        </is>
      </c>
      <c r="F1219" s="8" t="inlineStr">
        <is>
          <t>London Area, United Kingdom</t>
        </is>
      </c>
      <c r="G1219" s="8" t="n"/>
      <c r="H1219" s="14" t="n"/>
      <c r="I1219" s="15">
        <f>IF($H1219="","",$H1219-TODAY())</f>
        <v/>
      </c>
      <c r="J1219" s="16" t="inlineStr">
        <is>
          <t>Open posting</t>
        </is>
      </c>
      <c r="K1219" s="8" t="inlineStr">
        <is>
          <t>filtered by keyword pre-scan</t>
        </is>
      </c>
      <c r="L1219" s="17" t="inlineStr">
        <is>
          <t>new</t>
        </is>
      </c>
      <c r="M1219" s="18" t="inlineStr"/>
      <c r="N1219" s="7" t="inlineStr">
        <is>
          <t>a479a1a062003d25c88c425b6676542f11b7d969</t>
        </is>
      </c>
      <c r="O1219" s="14" t="n">
        <v>46163</v>
      </c>
      <c r="P1219" s="7" t="inlineStr">
        <is>
          <t>jobspy</t>
        </is>
      </c>
      <c r="Q1219" s="8" t="inlineStr">
        <is>
          <t>sql, mysql, c</t>
        </is>
      </c>
      <c r="R1219" s="8" t="inlineStr">
        <is>
          <t>Junior Data Engineer SQL Python MySQL</t>
        </is>
      </c>
      <c r="S1219" s="19" t="n"/>
      <c r="T1219" s="19" t="n"/>
      <c r="U1219" s="14" t="n">
        <v>46193</v>
      </c>
      <c r="V1219" s="7" t="inlineStr">
        <is>
          <t>v2-cv-accuracy-13b988b18da8ea7d</t>
        </is>
      </c>
    </row>
    <row r="1220" ht="28" customHeight="1">
      <c r="A1220" s="12">
        <f>IF($L1220="applied","Applied",IF($L1220="interview","Interview",IF($L1220="offer","Offer",IF($L1220="rejected","Rejected",IF($L1220="ignore","Ignore",IF($L1220="archive","Archive",IF($L1220="closed","Closed",IF($B1220="","Unscored",IF(AND($B1220&gt;=8,OR($H1220="",$H1220-TODAY()&lt;=14)),"P1 Apply",IF($B1220&gt;=7,"P2 Strong",IF($B1220&gt;=5,"P3 Maybe","P4 Low")))))))))))</f>
        <v/>
      </c>
      <c r="B1220" s="13" t="n">
        <v>0</v>
      </c>
      <c r="C1220" s="12" t="inlineStr">
        <is>
          <t>Manager/Owner</t>
        </is>
      </c>
      <c r="D1220" s="8" t="inlineStr">
        <is>
          <t>Manager - Full-stack Developer - DE - TC - UKI - Belfast</t>
        </is>
      </c>
      <c r="E1220" s="7" t="inlineStr">
        <is>
          <t>EY</t>
        </is>
      </c>
      <c r="F1220" s="8" t="inlineStr">
        <is>
          <t>Belfast, NIR, GB</t>
        </is>
      </c>
      <c r="G1220" s="8" t="n"/>
      <c r="H1220" s="14" t="n"/>
      <c r="I1220" s="15">
        <f>IF($H1220="","",$H1220-TODAY())</f>
        <v/>
      </c>
      <c r="J1220" s="16" t="inlineStr">
        <is>
          <t>Open posting</t>
        </is>
      </c>
      <c r="K1220" s="8" t="inlineStr">
        <is>
          <t>filtered by keyword pre-scan</t>
        </is>
      </c>
      <c r="L1220" s="17" t="inlineStr">
        <is>
          <t>new</t>
        </is>
      </c>
      <c r="M1220" s="18" t="inlineStr"/>
      <c r="N1220" s="7" t="inlineStr">
        <is>
          <t>0663a68243b1667516065ef25a288560863af1ac</t>
        </is>
      </c>
      <c r="O1220" s="14" t="n">
        <v>46189</v>
      </c>
      <c r="P1220" s="7" t="inlineStr">
        <is>
          <t>jobspy</t>
        </is>
      </c>
      <c r="Q1220" s="8" t="inlineStr">
        <is>
          <t>sql, git, c, javascript</t>
        </is>
      </c>
      <c r="R1220" s="8" t="inlineStr">
        <is>
          <t>Junior Full Stack Developer JavaScript Node.js Python</t>
        </is>
      </c>
      <c r="S1220" s="19" t="n"/>
      <c r="T1220" s="19" t="n"/>
      <c r="U1220" s="14" t="n">
        <v>46193</v>
      </c>
      <c r="V1220" s="7" t="inlineStr">
        <is>
          <t>v2-cv-accuracy-13b988b18da8ea7d</t>
        </is>
      </c>
    </row>
    <row r="1221" ht="28" customHeight="1">
      <c r="A1221" s="12">
        <f>IF($L1221="applied","Applied",IF($L1221="interview","Interview",IF($L1221="offer","Offer",IF($L1221="rejected","Rejected",IF($L1221="ignore","Ignore",IF($L1221="archive","Archive",IF($L1221="closed","Closed",IF($B1221="","Unscored",IF(AND($B1221&gt;=8,OR($H1221="",$H1221-TODAY()&lt;=14)),"P1 Apply",IF($B1221&gt;=7,"P2 Strong",IF($B1221&gt;=5,"P3 Maybe","P4 Low")))))))))))</f>
        <v/>
      </c>
      <c r="B1221" s="13" t="n">
        <v>0</v>
      </c>
      <c r="C1221" s="12" t="inlineStr">
        <is>
          <t>Senior/Lead</t>
        </is>
      </c>
      <c r="D1221" s="8" t="inlineStr">
        <is>
          <t>Senior Developer – Enterprise Reporting &amp; Applications</t>
        </is>
      </c>
      <c r="E1221" s="7" t="inlineStr">
        <is>
          <t>SubSea Craft</t>
        </is>
      </c>
      <c r="F1221" s="8" t="inlineStr">
        <is>
          <t>Portsmouth, ENG, GB</t>
        </is>
      </c>
      <c r="G1221" s="8" t="n"/>
      <c r="H1221" s="14" t="n"/>
      <c r="I1221" s="15">
        <f>IF($H1221="","",$H1221-TODAY())</f>
        <v/>
      </c>
      <c r="J1221" s="16" t="inlineStr">
        <is>
          <t>Open posting</t>
        </is>
      </c>
      <c r="K1221" s="8" t="inlineStr">
        <is>
          <t>filtered by keyword pre-scan</t>
        </is>
      </c>
      <c r="L1221" s="17" t="inlineStr">
        <is>
          <t>new</t>
        </is>
      </c>
      <c r="M1221" s="18" t="inlineStr"/>
      <c r="N1221" s="7" t="inlineStr">
        <is>
          <t>0bd641442ff5401fdded510621540d3235f8e53f</t>
        </is>
      </c>
      <c r="O1221" s="14" t="n">
        <v>46171</v>
      </c>
      <c r="P1221" s="7" t="inlineStr">
        <is>
          <t>jobspy</t>
        </is>
      </c>
      <c r="Q1221" s="8" t="inlineStr">
        <is>
          <t>sql, c, javascript</t>
        </is>
      </c>
      <c r="R1221" s="8" t="inlineStr">
        <is>
          <t>Junior Full Stack Developer JavaScript Node.js Python</t>
        </is>
      </c>
      <c r="S1221" s="19" t="n"/>
      <c r="T1221" s="19" t="n"/>
      <c r="U1221" s="14" t="n">
        <v>46193</v>
      </c>
      <c r="V1221" s="7" t="inlineStr">
        <is>
          <t>v2-cv-accuracy-13b988b18da8ea7d</t>
        </is>
      </c>
    </row>
    <row r="1222" ht="28" customHeight="1">
      <c r="A1222" s="12">
        <f>IF($L1222="applied","Applied",IF($L1222="interview","Interview",IF($L1222="offer","Offer",IF($L1222="rejected","Rejected",IF($L1222="ignore","Ignore",IF($L1222="archive","Archive",IF($L1222="closed","Closed",IF($B1222="","Unscored",IF(AND($B1222&gt;=8,OR($H1222="",$H1222-TODAY()&lt;=14)),"P1 Apply",IF($B1222&gt;=7,"P2 Strong",IF($B1222&gt;=5,"P3 Maybe","P4 Low")))))))))))</f>
        <v/>
      </c>
      <c r="B1222" s="13" t="n">
        <v>0</v>
      </c>
      <c r="C1222" s="12" t="inlineStr">
        <is>
          <t>Unspecified</t>
        </is>
      </c>
      <c r="D1222" s="8" t="inlineStr">
        <is>
          <t>Frontend Developer | $70/hr Remote</t>
        </is>
      </c>
      <c r="E1222" s="7" t="inlineStr">
        <is>
          <t>Crossing Hurdles</t>
        </is>
      </c>
      <c r="F1222" s="8" t="inlineStr"/>
      <c r="G1222" s="8" t="n"/>
      <c r="H1222" s="14" t="n"/>
      <c r="I1222" s="15">
        <f>IF($H1222="","",$H1222-TODAY())</f>
        <v/>
      </c>
      <c r="J1222" s="16" t="inlineStr">
        <is>
          <t>Open posting</t>
        </is>
      </c>
      <c r="K1222" s="8" t="inlineStr">
        <is>
          <t>filtered by keyword pre-scan</t>
        </is>
      </c>
      <c r="L1222" s="17" t="inlineStr">
        <is>
          <t>new</t>
        </is>
      </c>
      <c r="M1222" s="18" t="inlineStr"/>
      <c r="N1222" s="7" t="inlineStr">
        <is>
          <t>f907f53cf4beafd937b42b1680c7622db7ce1a2d</t>
        </is>
      </c>
      <c r="O1222" s="14" t="n">
        <v>46178</v>
      </c>
      <c r="P1222" s="7" t="inlineStr">
        <is>
          <t>jobspy</t>
        </is>
      </c>
      <c r="Q1222" s="8" t="inlineStr">
        <is>
          <t>c, javascript</t>
        </is>
      </c>
      <c r="R1222" s="8" t="inlineStr">
        <is>
          <t>Junior Full Stack Developer JavaScript Node.js Python</t>
        </is>
      </c>
      <c r="S1222" s="19" t="n"/>
      <c r="T1222" s="19" t="n"/>
      <c r="U1222" s="14" t="n">
        <v>46193</v>
      </c>
      <c r="V1222" s="7" t="inlineStr">
        <is>
          <t>v2-cv-accuracy-13b988b18da8ea7d</t>
        </is>
      </c>
    </row>
    <row r="1223" ht="28" customHeight="1">
      <c r="A1223" s="12">
        <f>IF($L1223="applied","Applied",IF($L1223="interview","Interview",IF($L1223="offer","Offer",IF($L1223="rejected","Rejected",IF($L1223="ignore","Ignore",IF($L1223="archive","Archive",IF($L1223="closed","Closed",IF($B1223="","Unscored",IF(AND($B1223&gt;=8,OR($H1223="",$H1223-TODAY()&lt;=14)),"P1 Apply",IF($B1223&gt;=7,"P2 Strong",IF($B1223&gt;=5,"P3 Maybe","P4 Low")))))))))))</f>
        <v/>
      </c>
      <c r="B1223" s="13" t="n">
        <v>0</v>
      </c>
      <c r="C1223" s="12" t="inlineStr">
        <is>
          <t>Unspecified</t>
        </is>
      </c>
      <c r="D1223" s="8" t="inlineStr">
        <is>
          <t>Full-Stack Engineer (Frontend-focused) | $90/hr Remote</t>
        </is>
      </c>
      <c r="E1223" s="7" t="inlineStr">
        <is>
          <t>Crossing Hurdles</t>
        </is>
      </c>
      <c r="F1223" s="8" t="inlineStr"/>
      <c r="G1223" s="8" t="n"/>
      <c r="H1223" s="14" t="n"/>
      <c r="I1223" s="15">
        <f>IF($H1223="","",$H1223-TODAY())</f>
        <v/>
      </c>
      <c r="J1223" s="16" t="inlineStr">
        <is>
          <t>Open posting</t>
        </is>
      </c>
      <c r="K1223" s="8" t="inlineStr">
        <is>
          <t>filtered by keyword pre-scan</t>
        </is>
      </c>
      <c r="L1223" s="17" t="inlineStr">
        <is>
          <t>new</t>
        </is>
      </c>
      <c r="M1223" s="18" t="inlineStr"/>
      <c r="N1223" s="7" t="inlineStr">
        <is>
          <t>0ee53aad54f2b32e7667662e26d75728693b2f00</t>
        </is>
      </c>
      <c r="O1223" s="14" t="n">
        <v>46178</v>
      </c>
      <c r="P1223" s="7" t="inlineStr">
        <is>
          <t>jobspy</t>
        </is>
      </c>
      <c r="Q1223" s="8" t="inlineStr">
        <is>
          <t>python, c, backend development</t>
        </is>
      </c>
      <c r="R1223" s="8" t="inlineStr">
        <is>
          <t>Junior Full Stack Developer JavaScript Node.js Python</t>
        </is>
      </c>
      <c r="S1223" s="19" t="n"/>
      <c r="T1223" s="19" t="n"/>
      <c r="U1223" s="14" t="n">
        <v>46193</v>
      </c>
      <c r="V1223" s="7" t="inlineStr">
        <is>
          <t>v2-cv-accuracy-13b988b18da8ea7d</t>
        </is>
      </c>
    </row>
    <row r="1224" ht="28" customHeight="1">
      <c r="A1224" s="12">
        <f>IF($L1224="applied","Applied",IF($L1224="interview","Interview",IF($L1224="offer","Offer",IF($L1224="rejected","Rejected",IF($L1224="ignore","Ignore",IF($L1224="archive","Archive",IF($L1224="closed","Closed",IF($B1224="","Unscored",IF(AND($B1224&gt;=8,OR($H1224="",$H1224-TODAY()&lt;=14)),"P1 Apply",IF($B1224&gt;=7,"P2 Strong",IF($B1224&gt;=5,"P3 Maybe","P4 Low")))))))))))</f>
        <v/>
      </c>
      <c r="B1224" s="13" t="n">
        <v>0</v>
      </c>
      <c r="C1224" s="12" t="inlineStr">
        <is>
          <t>Senior/Lead</t>
        </is>
      </c>
      <c r="D1224" s="8" t="inlineStr">
        <is>
          <t>Staff Digital Design Engineer</t>
        </is>
      </c>
      <c r="E1224" s="7" t="inlineStr">
        <is>
          <t>IC Resources</t>
        </is>
      </c>
      <c r="F1224" s="8" t="inlineStr">
        <is>
          <t>Edinburgh, Scotland, UK</t>
        </is>
      </c>
      <c r="G1224" s="8" t="n"/>
      <c r="H1224" s="14" t="n"/>
      <c r="I1224" s="15">
        <f>IF($H1224="","",$H1224-TODAY())</f>
        <v/>
      </c>
      <c r="J1224" s="16" t="inlineStr">
        <is>
          <t>Open posting</t>
        </is>
      </c>
      <c r="K1224" s="8" t="inlineStr">
        <is>
          <t>filtered by keyword pre-scan</t>
        </is>
      </c>
      <c r="L1224" s="17" t="inlineStr">
        <is>
          <t>new</t>
        </is>
      </c>
      <c r="M1224" s="18" t="inlineStr"/>
      <c r="N1224" s="7" t="inlineStr">
        <is>
          <t>c0a8c2c3eb6f343cfa839dfa7ea6069d580b7a6f</t>
        </is>
      </c>
      <c r="O1224" s="14" t="n"/>
      <c r="P1224" s="7" t="inlineStr">
        <is>
          <t>jobspy</t>
        </is>
      </c>
      <c r="Q1224" s="8" t="inlineStr">
        <is>
          <t>verilog, git, c, digital design</t>
        </is>
      </c>
      <c r="R1224" s="8" t="inlineStr">
        <is>
          <t>Graduate Digital Design Engineer FPGA</t>
        </is>
      </c>
      <c r="S1224" s="19" t="n"/>
      <c r="T1224" s="19" t="n"/>
      <c r="U1224" s="14" t="n">
        <v>46193</v>
      </c>
      <c r="V1224" s="7" t="inlineStr">
        <is>
          <t>v2-cv-accuracy-13b988b18da8ea7d</t>
        </is>
      </c>
    </row>
    <row r="1225" ht="28" customHeight="1">
      <c r="A1225" s="12">
        <f>IF($L1225="applied","Applied",IF($L1225="interview","Interview",IF($L1225="offer","Offer",IF($L1225="rejected","Rejected",IF($L1225="ignore","Ignore",IF($L1225="archive","Archive",IF($L1225="closed","Closed",IF($B1225="","Unscored",IF(AND($B1225&gt;=8,OR($H1225="",$H1225-TODAY()&lt;=14)),"P1 Apply",IF($B1225&gt;=7,"P2 Strong",IF($B1225&gt;=5,"P3 Maybe","P4 Low")))))))))))</f>
        <v/>
      </c>
      <c r="B1225" s="13" t="n">
        <v>0</v>
      </c>
      <c r="C1225" s="12" t="inlineStr">
        <is>
          <t>Senior/Lead</t>
        </is>
      </c>
      <c r="D1225" s="8" t="inlineStr">
        <is>
          <t>Principal DSP Engineer</t>
        </is>
      </c>
      <c r="E1225" s="7" t="inlineStr">
        <is>
          <t>Platform Recruitment</t>
        </is>
      </c>
      <c r="F1225" s="8" t="inlineStr">
        <is>
          <t>Cambridge, England, UK</t>
        </is>
      </c>
      <c r="G1225" s="8" t="n"/>
      <c r="H1225" s="14" t="n"/>
      <c r="I1225" s="15">
        <f>IF($H1225="","",$H1225-TODAY())</f>
        <v/>
      </c>
      <c r="J1225" s="16" t="inlineStr">
        <is>
          <t>Open posting</t>
        </is>
      </c>
      <c r="K1225" s="8" t="inlineStr">
        <is>
          <t>filtered by keyword pre-scan</t>
        </is>
      </c>
      <c r="L1225" s="17" t="inlineStr">
        <is>
          <t>new</t>
        </is>
      </c>
      <c r="M1225" s="18" t="inlineStr"/>
      <c r="N1225" s="7" t="inlineStr">
        <is>
          <t>165ab61f9ee4e70e2370202d14e4dc5714d0e015</t>
        </is>
      </c>
      <c r="O1225" s="14" t="n">
        <v>46191</v>
      </c>
      <c r="P1225" s="7" t="inlineStr">
        <is>
          <t>jobspy</t>
        </is>
      </c>
      <c r="Q1225" s="8" t="inlineStr">
        <is>
          <t>python, c, dsp</t>
        </is>
      </c>
      <c r="R1225" s="8" t="inlineStr">
        <is>
          <t>Graduate Signal Processing Engineer DSP</t>
        </is>
      </c>
      <c r="S1225" s="19" t="n"/>
      <c r="T1225" s="19" t="n"/>
      <c r="U1225" s="14" t="n">
        <v>46193</v>
      </c>
      <c r="V1225" s="7" t="inlineStr">
        <is>
          <t>v2-cv-accuracy-13b988b18da8ea7d</t>
        </is>
      </c>
    </row>
    <row r="1226" ht="28" customHeight="1">
      <c r="A1226" s="12">
        <f>IF($L1226="applied","Applied",IF($L1226="interview","Interview",IF($L1226="offer","Offer",IF($L1226="rejected","Rejected",IF($L1226="ignore","Ignore",IF($L1226="archive","Archive",IF($L1226="closed","Closed",IF($B1226="","Unscored",IF(AND($B1226&gt;=8,OR($H1226="",$H1226-TODAY()&lt;=14)),"P1 Apply",IF($B1226&gt;=7,"P2 Strong",IF($B1226&gt;=5,"P3 Maybe","P4 Low")))))))))))</f>
        <v/>
      </c>
      <c r="B1226" s="13" t="n">
        <v>0</v>
      </c>
      <c r="C1226" s="12" t="inlineStr">
        <is>
          <t>Senior/Lead</t>
        </is>
      </c>
      <c r="D1226" s="8" t="inlineStr">
        <is>
          <t>Embedded Software Technical Lead</t>
        </is>
      </c>
      <c r="E1226" s="7" t="inlineStr">
        <is>
          <t>Spectrum IT Recruitment</t>
        </is>
      </c>
      <c r="F1226" s="8" t="inlineStr">
        <is>
          <t>Fareham, England, UK</t>
        </is>
      </c>
      <c r="G1226" s="8" t="n"/>
      <c r="H1226" s="14" t="n"/>
      <c r="I1226" s="15">
        <f>IF($H1226="","",$H1226-TODAY())</f>
        <v/>
      </c>
      <c r="J1226" s="16" t="inlineStr">
        <is>
          <t>Open posting</t>
        </is>
      </c>
      <c r="K1226" s="8" t="inlineStr">
        <is>
          <t>filtered by keyword pre-scan</t>
        </is>
      </c>
      <c r="L1226" s="17" t="inlineStr">
        <is>
          <t>new</t>
        </is>
      </c>
      <c r="M1226" s="18" t="inlineStr"/>
      <c r="N1226" s="7" t="inlineStr">
        <is>
          <t>6b583f1fee6cb71fe6f2c0c844507d75e9cd0b46</t>
        </is>
      </c>
      <c r="O1226" s="14" t="n">
        <v>46181</v>
      </c>
      <c r="P1226" s="7" t="inlineStr">
        <is>
          <t>jobspy</t>
        </is>
      </c>
      <c r="Q1226" s="8" t="inlineStr">
        <is>
          <t>c, dsp</t>
        </is>
      </c>
      <c r="R1226" s="8" t="inlineStr">
        <is>
          <t>Graduate Signal Processing Engineer DSP</t>
        </is>
      </c>
      <c r="S1226" s="19" t="n"/>
      <c r="T1226" s="19" t="n"/>
      <c r="U1226" s="14" t="n">
        <v>46193</v>
      </c>
      <c r="V1226" s="7" t="inlineStr">
        <is>
          <t>v2-cv-accuracy-13b988b18da8ea7d</t>
        </is>
      </c>
    </row>
    <row r="1227" ht="28" customHeight="1">
      <c r="A1227" s="12">
        <f>IF($L1227="applied","Applied",IF($L1227="interview","Interview",IF($L1227="offer","Offer",IF($L1227="rejected","Rejected",IF($L1227="ignore","Ignore",IF($L1227="archive","Archive",IF($L1227="closed","Closed",IF($B1227="","Unscored",IF(AND($B1227&gt;=8,OR($H1227="",$H1227-TODAY()&lt;=14)),"P1 Apply",IF($B1227&gt;=7,"P2 Strong",IF($B1227&gt;=5,"P3 Maybe","P4 Low")))))))))))</f>
        <v/>
      </c>
      <c r="B1227" s="13" t="n">
        <v>0</v>
      </c>
      <c r="C1227" s="12" t="inlineStr">
        <is>
          <t>Senior/Lead</t>
        </is>
      </c>
      <c r="D1227" s="8" t="inlineStr">
        <is>
          <t>Senior Data Engineer</t>
        </is>
      </c>
      <c r="E1227" s="7" t="inlineStr">
        <is>
          <t>Bionic Group</t>
        </is>
      </c>
      <c r="F1227" s="8" t="inlineStr">
        <is>
          <t>London, ENG, GB</t>
        </is>
      </c>
      <c r="G1227" s="8" t="n"/>
      <c r="H1227" s="14" t="n"/>
      <c r="I1227" s="15">
        <f>IF($H1227="","",$H1227-TODAY())</f>
        <v/>
      </c>
      <c r="J1227" s="16" t="inlineStr">
        <is>
          <t>Open posting</t>
        </is>
      </c>
      <c r="K1227" s="8" t="inlineStr">
        <is>
          <t>filtered by keyword pre-scan</t>
        </is>
      </c>
      <c r="L1227" s="17" t="inlineStr">
        <is>
          <t>new</t>
        </is>
      </c>
      <c r="M1227" s="18" t="inlineStr"/>
      <c r="N1227" s="7" t="inlineStr">
        <is>
          <t>9cf97ff82b4e95391bbc62be92dceada5f4f331d</t>
        </is>
      </c>
      <c r="O1227" s="14" t="n">
        <v>46192</v>
      </c>
      <c r="P1227" s="7" t="inlineStr">
        <is>
          <t>jobspy</t>
        </is>
      </c>
      <c r="Q1227" s="8" t="inlineStr">
        <is>
          <t>python, sql, api integration, git, c</t>
        </is>
      </c>
      <c r="R1227" s="8" t="inlineStr">
        <is>
          <t>Junior Data Engineer Python SQL pipeline</t>
        </is>
      </c>
      <c r="S1227" s="19" t="n"/>
      <c r="T1227" s="19" t="n"/>
      <c r="U1227" s="14" t="n">
        <v>46193</v>
      </c>
      <c r="V1227" s="7" t="inlineStr">
        <is>
          <t>v2-cv-accuracy-13b988b18da8ea7d</t>
        </is>
      </c>
    </row>
    <row r="1228" ht="28" customHeight="1">
      <c r="A1228" s="12">
        <f>IF($L1228="applied","Applied",IF($L1228="interview","Interview",IF($L1228="offer","Offer",IF($L1228="rejected","Rejected",IF($L1228="ignore","Ignore",IF($L1228="archive","Archive",IF($L1228="closed","Closed",IF($B1228="","Unscored",IF(AND($B1228&gt;=8,OR($H1228="",$H1228-TODAY()&lt;=14)),"P1 Apply",IF($B1228&gt;=7,"P2 Strong",IF($B1228&gt;=5,"P3 Maybe","P4 Low")))))))))))</f>
        <v/>
      </c>
      <c r="B1228" s="13" t="n">
        <v>0</v>
      </c>
      <c r="C1228" s="12" t="inlineStr">
        <is>
          <t>Senior/Lead</t>
        </is>
      </c>
      <c r="D1228" s="8" t="inlineStr">
        <is>
          <t>Senior Data Scientist</t>
        </is>
      </c>
      <c r="E1228" s="7" t="inlineStr">
        <is>
          <t>nan</t>
        </is>
      </c>
      <c r="F1228" s="8" t="inlineStr">
        <is>
          <t>Reading, ENG, GB</t>
        </is>
      </c>
      <c r="G1228" s="8" t="n"/>
      <c r="H1228" s="14" t="n"/>
      <c r="I1228" s="15">
        <f>IF($H1228="","",$H1228-TODAY())</f>
        <v/>
      </c>
      <c r="J1228" s="16" t="inlineStr">
        <is>
          <t>Open posting</t>
        </is>
      </c>
      <c r="K1228" s="8" t="inlineStr">
        <is>
          <t>filtered by keyword pre-scan</t>
        </is>
      </c>
      <c r="L1228" s="17" t="inlineStr">
        <is>
          <t>new</t>
        </is>
      </c>
      <c r="M1228" s="18" t="inlineStr"/>
      <c r="N1228" s="7" t="inlineStr">
        <is>
          <t>6317c392a28b8c05f0f8771d66fb1583163541ff</t>
        </is>
      </c>
      <c r="O1228" s="14" t="n">
        <v>46192</v>
      </c>
      <c r="P1228" s="7" t="inlineStr">
        <is>
          <t>jobspy</t>
        </is>
      </c>
      <c r="Q1228" s="8" t="inlineStr">
        <is>
          <t>c</t>
        </is>
      </c>
      <c r="R1228" s="8" t="inlineStr">
        <is>
          <t>Junior Data Engineer Python SQL pipeline</t>
        </is>
      </c>
      <c r="S1228" s="19" t="n"/>
      <c r="T1228" s="19" t="n"/>
      <c r="U1228" s="14" t="n">
        <v>46193</v>
      </c>
      <c r="V1228" s="7" t="inlineStr">
        <is>
          <t>v2-cv-accuracy-13b988b18da8ea7d</t>
        </is>
      </c>
    </row>
    <row r="1229" ht="28" customHeight="1">
      <c r="A1229" s="12">
        <f>IF($L1229="applied","Applied",IF($L1229="interview","Interview",IF($L1229="offer","Offer",IF($L1229="rejected","Rejected",IF($L1229="ignore","Ignore",IF($L1229="archive","Archive",IF($L1229="closed","Closed",IF($B1229="","Unscored",IF(AND($B1229&gt;=8,OR($H1229="",$H1229-TODAY()&lt;=14)),"P1 Apply",IF($B1229&gt;=7,"P2 Strong",IF($B1229&gt;=5,"P3 Maybe","P4 Low")))))))))))</f>
        <v/>
      </c>
      <c r="B1229" s="13" t="n">
        <v>0</v>
      </c>
      <c r="C1229" s="12" t="inlineStr">
        <is>
          <t>Manager/Owner</t>
        </is>
      </c>
      <c r="D1229" s="8" t="inlineStr">
        <is>
          <t>Data Science Manager</t>
        </is>
      </c>
      <c r="E1229" s="7" t="inlineStr">
        <is>
          <t>JMAN Group</t>
        </is>
      </c>
      <c r="F1229" s="8" t="inlineStr">
        <is>
          <t>London, ENG, GB</t>
        </is>
      </c>
      <c r="G1229" s="8" t="n"/>
      <c r="H1229" s="14" t="n"/>
      <c r="I1229" s="15">
        <f>IF($H1229="","",$H1229-TODAY())</f>
        <v/>
      </c>
      <c r="J1229" s="16" t="inlineStr">
        <is>
          <t>Open posting</t>
        </is>
      </c>
      <c r="K1229" s="8" t="inlineStr">
        <is>
          <t>filtered by keyword pre-scan</t>
        </is>
      </c>
      <c r="L1229" s="17" t="inlineStr">
        <is>
          <t>new</t>
        </is>
      </c>
      <c r="M1229" s="18" t="inlineStr"/>
      <c r="N1229" s="7" t="inlineStr">
        <is>
          <t>cc565c5e4637075a8fe5005693271d9730bd55f5</t>
        </is>
      </c>
      <c r="O1229" s="14" t="n">
        <v>46190</v>
      </c>
      <c r="P1229" s="7" t="inlineStr">
        <is>
          <t>jobspy</t>
        </is>
      </c>
      <c r="Q1229" s="8" t="inlineStr">
        <is>
          <t>python, sql, git, c</t>
        </is>
      </c>
      <c r="R1229" s="8" t="inlineStr">
        <is>
          <t>Junior Data Engineer Python SQL pipeline</t>
        </is>
      </c>
      <c r="S1229" s="19" t="n"/>
      <c r="T1229" s="19" t="n"/>
      <c r="U1229" s="14" t="n">
        <v>46193</v>
      </c>
      <c r="V1229" s="7" t="inlineStr">
        <is>
          <t>v2-cv-accuracy-13b988b18da8ea7d</t>
        </is>
      </c>
    </row>
    <row r="1230" ht="28" customHeight="1">
      <c r="A1230" s="12">
        <f>IF($L1230="applied","Applied",IF($L1230="interview","Interview",IF($L1230="offer","Offer",IF($L1230="rejected","Rejected",IF($L1230="ignore","Ignore",IF($L1230="archive","Archive",IF($L1230="closed","Closed",IF($B1230="","Unscored",IF(AND($B1230&gt;=8,OR($H1230="",$H1230-TODAY()&lt;=14)),"P1 Apply",IF($B1230&gt;=7,"P2 Strong",IF($B1230&gt;=5,"P3 Maybe","P4 Low")))))))))))</f>
        <v/>
      </c>
      <c r="B1230" s="13" t="n">
        <v>0</v>
      </c>
      <c r="C1230" s="12" t="inlineStr">
        <is>
          <t>Senior/Lead</t>
        </is>
      </c>
      <c r="D1230" s="8" t="inlineStr">
        <is>
          <t>Senior Data Engineer</t>
        </is>
      </c>
      <c r="E1230" s="7" t="inlineStr">
        <is>
          <t>NHBC</t>
        </is>
      </c>
      <c r="F1230" s="8" t="inlineStr">
        <is>
          <t>Milton Keynes, ENG, GB</t>
        </is>
      </c>
      <c r="G1230" s="8" t="n"/>
      <c r="H1230" s="14" t="n"/>
      <c r="I1230" s="15">
        <f>IF($H1230="","",$H1230-TODAY())</f>
        <v/>
      </c>
      <c r="J1230" s="16" t="inlineStr">
        <is>
          <t>Open posting</t>
        </is>
      </c>
      <c r="K1230" s="8" t="inlineStr">
        <is>
          <t>filtered by keyword pre-scan</t>
        </is>
      </c>
      <c r="L1230" s="17" t="inlineStr">
        <is>
          <t>new</t>
        </is>
      </c>
      <c r="M1230" s="18" t="inlineStr"/>
      <c r="N1230" s="7" t="inlineStr">
        <is>
          <t>1eee6cb51d63c4a752002f88169791fc36b244f4</t>
        </is>
      </c>
      <c r="O1230" s="14" t="n">
        <v>46189</v>
      </c>
      <c r="P1230" s="7" t="inlineStr">
        <is>
          <t>jobspy</t>
        </is>
      </c>
      <c r="Q1230" s="8" t="inlineStr">
        <is>
          <t>python, sql, c</t>
        </is>
      </c>
      <c r="R1230" s="8" t="inlineStr">
        <is>
          <t>Junior Data Engineer Python SQL pipeline</t>
        </is>
      </c>
      <c r="S1230" s="19" t="n"/>
      <c r="T1230" s="19" t="n"/>
      <c r="U1230" s="14" t="n">
        <v>46193</v>
      </c>
      <c r="V1230" s="7" t="inlineStr">
        <is>
          <t>v2-cv-accuracy-13b988b18da8ea7d</t>
        </is>
      </c>
    </row>
    <row r="1231" ht="28" customHeight="1">
      <c r="A1231" s="12">
        <f>IF($L1231="applied","Applied",IF($L1231="interview","Interview",IF($L1231="offer","Offer",IF($L1231="rejected","Rejected",IF($L1231="ignore","Ignore",IF($L1231="archive","Archive",IF($L1231="closed","Closed",IF($B1231="","Unscored",IF(AND($B1231&gt;=8,OR($H1231="",$H1231-TODAY()&lt;=14)),"P1 Apply",IF($B1231&gt;=7,"P2 Strong",IF($B1231&gt;=5,"P3 Maybe","P4 Low")))))))))))</f>
        <v/>
      </c>
      <c r="B1231" s="13" t="n">
        <v>0</v>
      </c>
      <c r="C1231" s="12" t="inlineStr">
        <is>
          <t>Senior/Lead</t>
        </is>
      </c>
      <c r="D1231" s="8" t="inlineStr">
        <is>
          <t>Senior Data Engineer</t>
        </is>
      </c>
      <c r="E1231" s="7" t="inlineStr">
        <is>
          <t>SSE PLC</t>
        </is>
      </c>
      <c r="F1231" s="8" t="inlineStr">
        <is>
          <t>Portsmouth, ENG, GB</t>
        </is>
      </c>
      <c r="G1231" s="8" t="n"/>
      <c r="H1231" s="14" t="n"/>
      <c r="I1231" s="15">
        <f>IF($H1231="","",$H1231-TODAY())</f>
        <v/>
      </c>
      <c r="J1231" s="16" t="inlineStr">
        <is>
          <t>Open posting</t>
        </is>
      </c>
      <c r="K1231" s="8" t="inlineStr">
        <is>
          <t>filtered by keyword pre-scan</t>
        </is>
      </c>
      <c r="L1231" s="17" t="inlineStr">
        <is>
          <t>new</t>
        </is>
      </c>
      <c r="M1231" s="18" t="inlineStr"/>
      <c r="N1231" s="7" t="inlineStr">
        <is>
          <t>e2a9ff2e12f020fb3be34325822498b1da49cc4a</t>
        </is>
      </c>
      <c r="O1231" s="14" t="n">
        <v>46189</v>
      </c>
      <c r="P1231" s="7" t="inlineStr">
        <is>
          <t>jobspy</t>
        </is>
      </c>
      <c r="Q1231" s="8" t="inlineStr">
        <is>
          <t>python, sql, c</t>
        </is>
      </c>
      <c r="R1231" s="8" t="inlineStr">
        <is>
          <t>Junior Data Engineer Python SQL pipeline</t>
        </is>
      </c>
      <c r="S1231" s="19" t="n"/>
      <c r="T1231" s="19" t="n"/>
      <c r="U1231" s="14" t="n">
        <v>46193</v>
      </c>
      <c r="V1231" s="7" t="inlineStr">
        <is>
          <t>v2-cv-accuracy-13b988b18da8ea7d</t>
        </is>
      </c>
    </row>
    <row r="1232" ht="28" customHeight="1">
      <c r="A1232" s="12">
        <f>IF($L1232="applied","Applied",IF($L1232="interview","Interview",IF($L1232="offer","Offer",IF($L1232="rejected","Rejected",IF($L1232="ignore","Ignore",IF($L1232="archive","Archive",IF($L1232="closed","Closed",IF($B1232="","Unscored",IF(AND($B1232&gt;=8,OR($H1232="",$H1232-TODAY()&lt;=14)),"P1 Apply",IF($B1232&gt;=7,"P2 Strong",IF($B1232&gt;=5,"P3 Maybe","P4 Low")))))))))))</f>
        <v/>
      </c>
      <c r="B1232" s="13" t="n">
        <v>0</v>
      </c>
      <c r="C1232" s="12" t="inlineStr">
        <is>
          <t>Senior/Lead</t>
        </is>
      </c>
      <c r="D1232" s="8" t="inlineStr">
        <is>
          <t>Senior Data Engineer - Full Stack</t>
        </is>
      </c>
      <c r="E1232" s="7" t="inlineStr">
        <is>
          <t>ESL FACEIT GROUP</t>
        </is>
      </c>
      <c r="F1232" s="8" t="inlineStr">
        <is>
          <t>London, ENG, GB</t>
        </is>
      </c>
      <c r="G1232" s="8" t="n"/>
      <c r="H1232" s="14" t="n"/>
      <c r="I1232" s="15">
        <f>IF($H1232="","",$H1232-TODAY())</f>
        <v/>
      </c>
      <c r="J1232" s="16" t="inlineStr">
        <is>
          <t>Open posting</t>
        </is>
      </c>
      <c r="K1232" s="8" t="inlineStr">
        <is>
          <t>filtered by keyword pre-scan</t>
        </is>
      </c>
      <c r="L1232" s="17" t="inlineStr">
        <is>
          <t>new</t>
        </is>
      </c>
      <c r="M1232" s="18" t="inlineStr"/>
      <c r="N1232" s="7" t="inlineStr">
        <is>
          <t>bc435d2d1fb7cb12a23e107280d22413b5e09399</t>
        </is>
      </c>
      <c r="O1232" s="14" t="n">
        <v>46189</v>
      </c>
      <c r="P1232" s="7" t="inlineStr">
        <is>
          <t>jobspy</t>
        </is>
      </c>
      <c r="Q1232" s="8" t="inlineStr">
        <is>
          <t>python, sql, c</t>
        </is>
      </c>
      <c r="R1232" s="8" t="inlineStr">
        <is>
          <t>Junior Data Engineer Python SQL pipeline</t>
        </is>
      </c>
      <c r="S1232" s="19" t="n"/>
      <c r="T1232" s="19" t="n"/>
      <c r="U1232" s="14" t="n">
        <v>46193</v>
      </c>
      <c r="V1232" s="7" t="inlineStr">
        <is>
          <t>v2-cv-accuracy-13b988b18da8ea7d</t>
        </is>
      </c>
    </row>
    <row r="1233" ht="28" customHeight="1">
      <c r="A1233" s="12">
        <f>IF($L1233="applied","Applied",IF($L1233="interview","Interview",IF($L1233="offer","Offer",IF($L1233="rejected","Rejected",IF($L1233="ignore","Ignore",IF($L1233="archive","Archive",IF($L1233="closed","Closed",IF($B1233="","Unscored",IF(AND($B1233&gt;=8,OR($H1233="",$H1233-TODAY()&lt;=14)),"P1 Apply",IF($B1233&gt;=7,"P2 Strong",IF($B1233&gt;=5,"P3 Maybe","P4 Low")))))))))))</f>
        <v/>
      </c>
      <c r="B1233" s="13" t="n">
        <v>0</v>
      </c>
      <c r="C1233" s="12" t="inlineStr">
        <is>
          <t>Senior/Lead</t>
        </is>
      </c>
      <c r="D1233" s="8" t="inlineStr">
        <is>
          <t>Senior Data Engineer</t>
        </is>
      </c>
      <c r="E1233" s="7" t="inlineStr">
        <is>
          <t>Barclays</t>
        </is>
      </c>
      <c r="F1233" s="8" t="inlineStr">
        <is>
          <t>London, ENG, GB</t>
        </is>
      </c>
      <c r="G1233" s="8" t="n"/>
      <c r="H1233" s="14" t="n"/>
      <c r="I1233" s="15">
        <f>IF($H1233="","",$H1233-TODAY())</f>
        <v/>
      </c>
      <c r="J1233" s="16" t="inlineStr">
        <is>
          <t>Open posting</t>
        </is>
      </c>
      <c r="K1233" s="8" t="inlineStr">
        <is>
          <t>filtered by keyword pre-scan</t>
        </is>
      </c>
      <c r="L1233" s="17" t="inlineStr">
        <is>
          <t>new</t>
        </is>
      </c>
      <c r="M1233" s="18" t="inlineStr"/>
      <c r="N1233" s="7" t="inlineStr">
        <is>
          <t>b4b067b88f3fa27ea581f7935dcd47c8a510af65</t>
        </is>
      </c>
      <c r="O1233" s="14" t="n">
        <v>46188</v>
      </c>
      <c r="P1233" s="7" t="inlineStr">
        <is>
          <t>jobspy</t>
        </is>
      </c>
      <c r="Q1233" s="8" t="inlineStr">
        <is>
          <t>python, sql, git, c</t>
        </is>
      </c>
      <c r="R1233" s="8" t="inlineStr">
        <is>
          <t>Junior Data Engineer Python SQL pipeline</t>
        </is>
      </c>
      <c r="S1233" s="19" t="n"/>
      <c r="T1233" s="19" t="n"/>
      <c r="U1233" s="14" t="n">
        <v>46193</v>
      </c>
      <c r="V1233" s="7" t="inlineStr">
        <is>
          <t>v2-cv-accuracy-13b988b18da8ea7d</t>
        </is>
      </c>
    </row>
    <row r="1234" ht="28" customHeight="1">
      <c r="A1234" s="12">
        <f>IF($L1234="applied","Applied",IF($L1234="interview","Interview",IF($L1234="offer","Offer",IF($L1234="rejected","Rejected",IF($L1234="ignore","Ignore",IF($L1234="archive","Archive",IF($L1234="closed","Closed",IF($B1234="","Unscored",IF(AND($B1234&gt;=8,OR($H1234="",$H1234-TODAY()&lt;=14)),"P1 Apply",IF($B1234&gt;=7,"P2 Strong",IF($B1234&gt;=5,"P3 Maybe","P4 Low")))))))))))</f>
        <v/>
      </c>
      <c r="B1234" s="13" t="n">
        <v>0</v>
      </c>
      <c r="C1234" s="12" t="inlineStr">
        <is>
          <t>Senior/Lead</t>
        </is>
      </c>
      <c r="D1234" s="8" t="inlineStr">
        <is>
          <t>Lead Data Engineer</t>
        </is>
      </c>
      <c r="E1234" s="7" t="inlineStr">
        <is>
          <t>Scrumconnect Consulting</t>
        </is>
      </c>
      <c r="F1234" s="8" t="inlineStr">
        <is>
          <t>Coventry, ENG, GB</t>
        </is>
      </c>
      <c r="G1234" s="8" t="n"/>
      <c r="H1234" s="14" t="n"/>
      <c r="I1234" s="15">
        <f>IF($H1234="","",$H1234-TODAY())</f>
        <v/>
      </c>
      <c r="J1234" s="16" t="inlineStr">
        <is>
          <t>Open posting</t>
        </is>
      </c>
      <c r="K1234" s="8" t="inlineStr">
        <is>
          <t>filtered by keyword pre-scan</t>
        </is>
      </c>
      <c r="L1234" s="17" t="inlineStr">
        <is>
          <t>new</t>
        </is>
      </c>
      <c r="M1234" s="18" t="inlineStr"/>
      <c r="N1234" s="7" t="inlineStr">
        <is>
          <t>c77588e2e03313d4e00da278714a7c00a41bda6a</t>
        </is>
      </c>
      <c r="O1234" s="14" t="n">
        <v>46188</v>
      </c>
      <c r="P1234" s="7" t="inlineStr">
        <is>
          <t>jobspy</t>
        </is>
      </c>
      <c r="Q1234" s="8" t="inlineStr">
        <is>
          <t>python, sql, git, c</t>
        </is>
      </c>
      <c r="R1234" s="8" t="inlineStr">
        <is>
          <t>Junior Data Engineer Python SQL pipeline</t>
        </is>
      </c>
      <c r="S1234" s="19" t="n"/>
      <c r="T1234" s="19" t="n"/>
      <c r="U1234" s="14" t="n">
        <v>46193</v>
      </c>
      <c r="V1234" s="7" t="inlineStr">
        <is>
          <t>v2-cv-accuracy-13b988b18da8ea7d</t>
        </is>
      </c>
    </row>
    <row r="1235" ht="28" customHeight="1">
      <c r="A1235" s="12">
        <f>IF($L1235="applied","Applied",IF($L1235="interview","Interview",IF($L1235="offer","Offer",IF($L1235="rejected","Rejected",IF($L1235="ignore","Ignore",IF($L1235="archive","Archive",IF($L1235="closed","Closed",IF($B1235="","Unscored",IF(AND($B1235&gt;=8,OR($H1235="",$H1235-TODAY()&lt;=14)),"P1 Apply",IF($B1235&gt;=7,"P2 Strong",IF($B1235&gt;=5,"P3 Maybe","P4 Low")))))))))))</f>
        <v/>
      </c>
      <c r="B1235" s="13" t="n">
        <v>0</v>
      </c>
      <c r="C1235" s="12" t="inlineStr">
        <is>
          <t>Junior</t>
        </is>
      </c>
      <c r="D1235" s="8" t="inlineStr">
        <is>
          <t>Data Engineering Leader</t>
        </is>
      </c>
      <c r="E1235" s="7" t="inlineStr">
        <is>
          <t>Cognite - AI for Industry</t>
        </is>
      </c>
      <c r="F1235" s="8" t="inlineStr">
        <is>
          <t>London, ENG, GB</t>
        </is>
      </c>
      <c r="G1235" s="8" t="n"/>
      <c r="H1235" s="14" t="n"/>
      <c r="I1235" s="15">
        <f>IF($H1235="","",$H1235-TODAY())</f>
        <v/>
      </c>
      <c r="J1235" s="16" t="inlineStr">
        <is>
          <t>Open posting</t>
        </is>
      </c>
      <c r="K1235" s="8" t="inlineStr">
        <is>
          <t>filtered by keyword pre-scan</t>
        </is>
      </c>
      <c r="L1235" s="17" t="inlineStr">
        <is>
          <t>new</t>
        </is>
      </c>
      <c r="M1235" s="18" t="inlineStr"/>
      <c r="N1235" s="7" t="inlineStr">
        <is>
          <t>0f981d42e4d1192024bb56d475233c393f8cd8c2</t>
        </is>
      </c>
      <c r="O1235" s="14" t="n">
        <v>46185</v>
      </c>
      <c r="P1235" s="7" t="inlineStr">
        <is>
          <t>jobspy</t>
        </is>
      </c>
      <c r="Q1235" s="8" t="inlineStr">
        <is>
          <t>git, c</t>
        </is>
      </c>
      <c r="R1235" s="8" t="inlineStr">
        <is>
          <t>Junior Data Engineer Python SQL pipeline</t>
        </is>
      </c>
      <c r="S1235" s="19" t="n"/>
      <c r="T1235" s="19" t="n"/>
      <c r="U1235" s="14" t="n">
        <v>46193</v>
      </c>
      <c r="V1235" s="7" t="inlineStr">
        <is>
          <t>v2-cv-accuracy-13b988b18da8ea7d</t>
        </is>
      </c>
    </row>
    <row r="1236" ht="28" customHeight="1">
      <c r="A1236" s="12">
        <f>IF($L1236="applied","Applied",IF($L1236="interview","Interview",IF($L1236="offer","Offer",IF($L1236="rejected","Rejected",IF($L1236="ignore","Ignore",IF($L1236="archive","Archive",IF($L1236="closed","Closed",IF($B1236="","Unscored",IF(AND($B1236&gt;=8,OR($H1236="",$H1236-TODAY()&lt;=14)),"P1 Apply",IF($B1236&gt;=7,"P2 Strong",IF($B1236&gt;=5,"P3 Maybe","P4 Low")))))))))))</f>
        <v/>
      </c>
      <c r="B1236" s="13" t="n">
        <v>0</v>
      </c>
      <c r="C1236" s="12" t="inlineStr">
        <is>
          <t>Senior/Lead</t>
        </is>
      </c>
      <c r="D1236" s="8" t="inlineStr">
        <is>
          <t>Senior Data Engineer</t>
        </is>
      </c>
      <c r="E1236" s="7" t="inlineStr">
        <is>
          <t>Legal 500</t>
        </is>
      </c>
      <c r="F1236" s="8" t="inlineStr">
        <is>
          <t>London Area, United Kingdom</t>
        </is>
      </c>
      <c r="G1236" s="8" t="n"/>
      <c r="H1236" s="14" t="n"/>
      <c r="I1236" s="15">
        <f>IF($H1236="","",$H1236-TODAY())</f>
        <v/>
      </c>
      <c r="J1236" s="16" t="inlineStr">
        <is>
          <t>Open posting</t>
        </is>
      </c>
      <c r="K1236" s="8" t="inlineStr">
        <is>
          <t>filtered by keyword pre-scan</t>
        </is>
      </c>
      <c r="L1236" s="17" t="inlineStr">
        <is>
          <t>new</t>
        </is>
      </c>
      <c r="M1236" s="18" t="inlineStr"/>
      <c r="N1236" s="7" t="inlineStr">
        <is>
          <t>aa1297f219a1756931712c40b4045f67dbe86f7e</t>
        </is>
      </c>
      <c r="O1236" s="14" t="n">
        <v>46192</v>
      </c>
      <c r="P1236" s="7" t="inlineStr">
        <is>
          <t>jobspy</t>
        </is>
      </c>
      <c r="Q1236" s="8" t="inlineStr">
        <is>
          <t>python, sql, git, c</t>
        </is>
      </c>
      <c r="R1236" s="8" t="inlineStr">
        <is>
          <t>Junior Data Engineer Python SQL pipeline</t>
        </is>
      </c>
      <c r="S1236" s="19" t="n"/>
      <c r="T1236" s="19" t="n"/>
      <c r="U1236" s="14" t="n">
        <v>46193</v>
      </c>
      <c r="V1236" s="7" t="inlineStr">
        <is>
          <t>v2-cv-accuracy-13b988b18da8ea7d</t>
        </is>
      </c>
    </row>
    <row r="1237" ht="28" customHeight="1">
      <c r="A1237" s="12">
        <f>IF($L1237="applied","Applied",IF($L1237="interview","Interview",IF($L1237="offer","Offer",IF($L1237="rejected","Rejected",IF($L1237="ignore","Ignore",IF($L1237="archive","Archive",IF($L1237="closed","Closed",IF($B1237="","Unscored",IF(AND($B1237&gt;=8,OR($H1237="",$H1237-TODAY()&lt;=14)),"P1 Apply",IF($B1237&gt;=7,"P2 Strong",IF($B1237&gt;=5,"P3 Maybe","P4 Low")))))))))))</f>
        <v/>
      </c>
      <c r="B1237" s="13" t="n">
        <v>0</v>
      </c>
      <c r="C1237" s="12" t="inlineStr">
        <is>
          <t>Senior/Lead</t>
        </is>
      </c>
      <c r="D1237" s="8" t="inlineStr">
        <is>
          <t>Senior Security Data Engineer</t>
        </is>
      </c>
      <c r="E1237" s="7" t="inlineStr">
        <is>
          <t>Obsidian Security</t>
        </is>
      </c>
      <c r="F1237" s="8" t="inlineStr">
        <is>
          <t>Cheltenham, England, UK</t>
        </is>
      </c>
      <c r="G1237" s="8" t="n"/>
      <c r="H1237" s="14" t="n"/>
      <c r="I1237" s="15">
        <f>IF($H1237="","",$H1237-TODAY())</f>
        <v/>
      </c>
      <c r="J1237" s="16" t="inlineStr">
        <is>
          <t>Open posting</t>
        </is>
      </c>
      <c r="K1237" s="8" t="inlineStr">
        <is>
          <t>filtered by keyword pre-scan</t>
        </is>
      </c>
      <c r="L1237" s="17" t="inlineStr">
        <is>
          <t>new</t>
        </is>
      </c>
      <c r="M1237" s="18" t="inlineStr"/>
      <c r="N1237" s="7" t="inlineStr">
        <is>
          <t>18edd1c029b365bf4142f6adf9d79e5cd2e3a7f0</t>
        </is>
      </c>
      <c r="O1237" s="14" t="n">
        <v>46189</v>
      </c>
      <c r="P1237" s="7" t="inlineStr">
        <is>
          <t>jobspy</t>
        </is>
      </c>
      <c r="Q1237" s="8" t="inlineStr">
        <is>
          <t>python, sql, c</t>
        </is>
      </c>
      <c r="R1237" s="8" t="inlineStr">
        <is>
          <t>Junior Data Engineer Python SQL pipeline</t>
        </is>
      </c>
      <c r="S1237" s="19" t="n"/>
      <c r="T1237" s="19" t="n"/>
      <c r="U1237" s="14" t="n">
        <v>46193</v>
      </c>
      <c r="V1237" s="7" t="inlineStr">
        <is>
          <t>v2-cv-accuracy-13b988b18da8ea7d</t>
        </is>
      </c>
    </row>
    <row r="1238" ht="28" customHeight="1">
      <c r="A1238" s="12">
        <f>IF($L1238="applied","Applied",IF($L1238="interview","Interview",IF($L1238="offer","Offer",IF($L1238="rejected","Rejected",IF($L1238="ignore","Ignore",IF($L1238="archive","Archive",IF($L1238="closed","Closed",IF($B1238="","Unscored",IF(AND($B1238&gt;=8,OR($H1238="",$H1238-TODAY()&lt;=14)),"P1 Apply",IF($B1238&gt;=7,"P2 Strong",IF($B1238&gt;=5,"P3 Maybe","P4 Low")))))))))))</f>
        <v/>
      </c>
      <c r="B1238" s="13" t="n">
        <v>0</v>
      </c>
      <c r="C1238" s="12" t="inlineStr">
        <is>
          <t>Senior/Lead</t>
        </is>
      </c>
      <c r="D1238" s="8" t="inlineStr">
        <is>
          <t>Senior Security Data Engineer</t>
        </is>
      </c>
      <c r="E1238" s="7" t="inlineStr">
        <is>
          <t>Obsidian Security</t>
        </is>
      </c>
      <c r="F1238" s="8" t="inlineStr">
        <is>
          <t>Salford, England, UK</t>
        </is>
      </c>
      <c r="G1238" s="8" t="n"/>
      <c r="H1238" s="14" t="n"/>
      <c r="I1238" s="15">
        <f>IF($H1238="","",$H1238-TODAY())</f>
        <v/>
      </c>
      <c r="J1238" s="16" t="inlineStr">
        <is>
          <t>Open posting</t>
        </is>
      </c>
      <c r="K1238" s="8" t="inlineStr">
        <is>
          <t>filtered by keyword pre-scan</t>
        </is>
      </c>
      <c r="L1238" s="17" t="inlineStr">
        <is>
          <t>new</t>
        </is>
      </c>
      <c r="M1238" s="18" t="inlineStr"/>
      <c r="N1238" s="7" t="inlineStr">
        <is>
          <t>35e466f931011bbbdb4a1fc2ebf9991af384bd17</t>
        </is>
      </c>
      <c r="O1238" s="14" t="n">
        <v>46189</v>
      </c>
      <c r="P1238" s="7" t="inlineStr">
        <is>
          <t>jobspy</t>
        </is>
      </c>
      <c r="Q1238" s="8" t="inlineStr">
        <is>
          <t>python, sql, c</t>
        </is>
      </c>
      <c r="R1238" s="8" t="inlineStr">
        <is>
          <t>Junior Data Engineer Python SQL pipeline</t>
        </is>
      </c>
      <c r="S1238" s="19" t="n"/>
      <c r="T1238" s="19" t="n"/>
      <c r="U1238" s="14" t="n">
        <v>46193</v>
      </c>
      <c r="V1238" s="7" t="inlineStr">
        <is>
          <t>v2-cv-accuracy-13b988b18da8ea7d</t>
        </is>
      </c>
    </row>
    <row r="1239" ht="28" customHeight="1">
      <c r="A1239" s="12">
        <f>IF($L1239="applied","Applied",IF($L1239="interview","Interview",IF($L1239="offer","Offer",IF($L1239="rejected","Rejected",IF($L1239="ignore","Ignore",IF($L1239="archive","Archive",IF($L1239="closed","Closed",IF($B1239="","Unscored",IF(AND($B1239&gt;=8,OR($H1239="",$H1239-TODAY()&lt;=14)),"P1 Apply",IF($B1239&gt;=7,"P2 Strong",IF($B1239&gt;=5,"P3 Maybe","P4 Low")))))))))))</f>
        <v/>
      </c>
      <c r="B1239" s="13" t="n">
        <v>0</v>
      </c>
      <c r="C1239" s="12" t="inlineStr">
        <is>
          <t>Senior/Lead</t>
        </is>
      </c>
      <c r="D1239" s="8" t="inlineStr">
        <is>
          <t>Senior Data Engineer</t>
        </is>
      </c>
      <c r="E1239" s="7" t="inlineStr">
        <is>
          <t>Softwire</t>
        </is>
      </c>
      <c r="F1239" s="8" t="inlineStr">
        <is>
          <t>London Area, United Kingdom</t>
        </is>
      </c>
      <c r="G1239" s="8" t="n"/>
      <c r="H1239" s="14" t="n"/>
      <c r="I1239" s="15">
        <f>IF($H1239="","",$H1239-TODAY())</f>
        <v/>
      </c>
      <c r="J1239" s="16" t="inlineStr">
        <is>
          <t>Open posting</t>
        </is>
      </c>
      <c r="K1239" s="8" t="inlineStr">
        <is>
          <t>filtered by keyword pre-scan</t>
        </is>
      </c>
      <c r="L1239" s="17" t="inlineStr">
        <is>
          <t>new</t>
        </is>
      </c>
      <c r="M1239" s="18" t="inlineStr"/>
      <c r="N1239" s="7" t="inlineStr">
        <is>
          <t>1fddc1346943ecff314c4a663708446b528f605b</t>
        </is>
      </c>
      <c r="O1239" s="14" t="n">
        <v>46188</v>
      </c>
      <c r="P1239" s="7" t="inlineStr">
        <is>
          <t>jobspy</t>
        </is>
      </c>
      <c r="Q1239" s="8" t="inlineStr">
        <is>
          <t>git, c</t>
        </is>
      </c>
      <c r="R1239" s="8" t="inlineStr">
        <is>
          <t>Junior Data Engineer Python SQL pipeline</t>
        </is>
      </c>
      <c r="S1239" s="19" t="n"/>
      <c r="T1239" s="19" t="n"/>
      <c r="U1239" s="14" t="n">
        <v>46193</v>
      </c>
      <c r="V1239" s="7" t="inlineStr">
        <is>
          <t>v2-cv-accuracy-13b988b18da8ea7d</t>
        </is>
      </c>
    </row>
    <row r="1240" ht="28" customHeight="1">
      <c r="A1240" s="12">
        <f>IF($L1240="applied","Applied",IF($L1240="interview","Interview",IF($L1240="offer","Offer",IF($L1240="rejected","Rejected",IF($L1240="ignore","Ignore",IF($L1240="archive","Archive",IF($L1240="closed","Closed",IF($B1240="","Unscored",IF(AND($B1240&gt;=8,OR($H1240="",$H1240-TODAY()&lt;=14)),"P1 Apply",IF($B1240&gt;=7,"P2 Strong",IF($B1240&gt;=5,"P3 Maybe","P4 Low")))))))))))</f>
        <v/>
      </c>
      <c r="B1240" s="13" t="n">
        <v>0</v>
      </c>
      <c r="C1240" s="12" t="inlineStr">
        <is>
          <t>Senior/Lead</t>
        </is>
      </c>
      <c r="D1240" s="8" t="inlineStr">
        <is>
          <t>Senior Software Engineer - Graph Analytics for Snowflake</t>
        </is>
      </c>
      <c r="E1240" s="7" t="inlineStr">
        <is>
          <t>Neo4j</t>
        </is>
      </c>
      <c r="F1240" s="8" t="inlineStr">
        <is>
          <t>London Area, United Kingdom</t>
        </is>
      </c>
      <c r="G1240" s="8" t="n"/>
      <c r="H1240" s="14" t="n"/>
      <c r="I1240" s="15">
        <f>IF($H1240="","",$H1240-TODAY())</f>
        <v/>
      </c>
      <c r="J1240" s="16" t="inlineStr">
        <is>
          <t>Open posting</t>
        </is>
      </c>
      <c r="K1240" s="8" t="inlineStr">
        <is>
          <t>filtered by keyword pre-scan</t>
        </is>
      </c>
      <c r="L1240" s="17" t="inlineStr">
        <is>
          <t>new</t>
        </is>
      </c>
      <c r="M1240" s="18" t="inlineStr"/>
      <c r="N1240" s="7" t="inlineStr">
        <is>
          <t>312a8228f4c65338243ffdca48358ba3cb83451e</t>
        </is>
      </c>
      <c r="O1240" s="14" t="n">
        <v>46186</v>
      </c>
      <c r="P1240" s="7" t="inlineStr">
        <is>
          <t>jobspy</t>
        </is>
      </c>
      <c r="Q1240" s="8" t="inlineStr">
        <is>
          <t>python, sql, docker, c</t>
        </is>
      </c>
      <c r="R1240" s="8" t="inlineStr">
        <is>
          <t>Junior Data Engineer Python SQL pipeline</t>
        </is>
      </c>
      <c r="S1240" s="19" t="n"/>
      <c r="T1240" s="19" t="n"/>
      <c r="U1240" s="14" t="n">
        <v>46193</v>
      </c>
      <c r="V1240" s="7" t="inlineStr">
        <is>
          <t>v2-cv-accuracy-13b988b18da8ea7d</t>
        </is>
      </c>
    </row>
    <row r="1241" ht="28" customHeight="1">
      <c r="A1241" s="12">
        <f>IF($L1241="applied","Applied",IF($L1241="interview","Interview",IF($L1241="offer","Offer",IF($L1241="rejected","Rejected",IF($L1241="ignore","Ignore",IF($L1241="archive","Archive",IF($L1241="closed","Closed",IF($B1241="","Unscored",IF(AND($B1241&gt;=8,OR($H1241="",$H1241-TODAY()&lt;=14)),"P1 Apply",IF($B1241&gt;=7,"P2 Strong",IF($B1241&gt;=5,"P3 Maybe","P4 Low")))))))))))</f>
        <v/>
      </c>
      <c r="B1241" s="13" t="n">
        <v>0</v>
      </c>
      <c r="C1241" s="12" t="inlineStr">
        <is>
          <t>Senior/Lead</t>
        </is>
      </c>
      <c r="D1241" s="8" t="inlineStr">
        <is>
          <t>Senior Data Engineer - Global People Data</t>
        </is>
      </c>
      <c r="E1241" s="7" t="inlineStr">
        <is>
          <t>WPP</t>
        </is>
      </c>
      <c r="F1241" s="8" t="inlineStr">
        <is>
          <t>London, England, UK</t>
        </is>
      </c>
      <c r="G1241" s="8" t="n"/>
      <c r="H1241" s="14" t="n"/>
      <c r="I1241" s="15">
        <f>IF($H1241="","",$H1241-TODAY())</f>
        <v/>
      </c>
      <c r="J1241" s="16" t="inlineStr">
        <is>
          <t>Open posting</t>
        </is>
      </c>
      <c r="K1241" s="8" t="inlineStr">
        <is>
          <t>filtered by keyword pre-scan</t>
        </is>
      </c>
      <c r="L1241" s="17" t="inlineStr">
        <is>
          <t>new</t>
        </is>
      </c>
      <c r="M1241" s="18" t="inlineStr"/>
      <c r="N1241" s="7" t="inlineStr">
        <is>
          <t>c387c9d20d5cefdadc3c50b473c4d2675e00cabc</t>
        </is>
      </c>
      <c r="O1241" s="14" t="n">
        <v>46178</v>
      </c>
      <c r="P1241" s="7" t="inlineStr">
        <is>
          <t>jobspy</t>
        </is>
      </c>
      <c r="Q1241" s="8" t="inlineStr">
        <is>
          <t>c</t>
        </is>
      </c>
      <c r="R1241" s="8" t="inlineStr">
        <is>
          <t>Junior Data Engineer Python SQL pipeline</t>
        </is>
      </c>
      <c r="S1241" s="19" t="n"/>
      <c r="T1241" s="19" t="n"/>
      <c r="U1241" s="14" t="n">
        <v>46193</v>
      </c>
      <c r="V1241" s="7" t="inlineStr">
        <is>
          <t>v2-cv-accuracy-13b988b18da8ea7d</t>
        </is>
      </c>
    </row>
    <row r="1242" ht="28" customHeight="1">
      <c r="A1242" s="12">
        <f>IF($L1242="applied","Applied",IF($L1242="interview","Interview",IF($L1242="offer","Offer",IF($L1242="rejected","Rejected",IF($L1242="ignore","Ignore",IF($L1242="archive","Archive",IF($L1242="closed","Closed",IF($B1242="","Unscored",IF(AND($B1242&gt;=8,OR($H1242="",$H1242-TODAY()&lt;=14)),"P1 Apply",IF($B1242&gt;=7,"P2 Strong",IF($B1242&gt;=5,"P3 Maybe","P4 Low")))))))))))</f>
        <v/>
      </c>
      <c r="B1242" s="13" t="n">
        <v>0</v>
      </c>
      <c r="C1242" s="12" t="inlineStr">
        <is>
          <t>Senior/Lead</t>
        </is>
      </c>
      <c r="D1242" s="8" t="inlineStr">
        <is>
          <t>Senior Data Engineer | Betty CA</t>
        </is>
      </c>
      <c r="E1242" s="7" t="inlineStr">
        <is>
          <t>Betty</t>
        </is>
      </c>
      <c r="F1242" s="8" t="inlineStr">
        <is>
          <t>London Area, United Kingdom</t>
        </is>
      </c>
      <c r="G1242" s="8" t="n"/>
      <c r="H1242" s="14" t="n"/>
      <c r="I1242" s="15">
        <f>IF($H1242="","",$H1242-TODAY())</f>
        <v/>
      </c>
      <c r="J1242" s="16" t="inlineStr">
        <is>
          <t>Open posting</t>
        </is>
      </c>
      <c r="K1242" s="8" t="inlineStr">
        <is>
          <t>filtered by keyword pre-scan</t>
        </is>
      </c>
      <c r="L1242" s="17" t="inlineStr">
        <is>
          <t>new</t>
        </is>
      </c>
      <c r="M1242" s="18" t="inlineStr"/>
      <c r="N1242" s="7" t="inlineStr">
        <is>
          <t>150529e8069d90e9c83607e5fa149476474ab477</t>
        </is>
      </c>
      <c r="O1242" s="14" t="n">
        <v>46177</v>
      </c>
      <c r="P1242" s="7" t="inlineStr">
        <is>
          <t>jobspy</t>
        </is>
      </c>
      <c r="Q1242" s="8" t="inlineStr">
        <is>
          <t>python, sql, docker, kubernetes, c</t>
        </is>
      </c>
      <c r="R1242" s="8" t="inlineStr">
        <is>
          <t>Junior Data Engineer Python SQL pipeline</t>
        </is>
      </c>
      <c r="S1242" s="19" t="n"/>
      <c r="T1242" s="19" t="n"/>
      <c r="U1242" s="14" t="n">
        <v>46193</v>
      </c>
      <c r="V1242" s="7" t="inlineStr">
        <is>
          <t>v2-cv-accuracy-13b988b18da8ea7d</t>
        </is>
      </c>
    </row>
    <row r="1243" ht="28" customHeight="1">
      <c r="A1243" s="12">
        <f>IF($L1243="applied","Applied",IF($L1243="interview","Interview",IF($L1243="offer","Offer",IF($L1243="rejected","Rejected",IF($L1243="ignore","Ignore",IF($L1243="archive","Archive",IF($L1243="closed","Closed",IF($B1243="","Unscored",IF(AND($B1243&gt;=8,OR($H1243="",$H1243-TODAY()&lt;=14)),"P1 Apply",IF($B1243&gt;=7,"P2 Strong",IF($B1243&gt;=5,"P3 Maybe","P4 Low")))))))))))</f>
        <v/>
      </c>
      <c r="B1243" s="13" t="n">
        <v>0</v>
      </c>
      <c r="C1243" s="12" t="inlineStr">
        <is>
          <t>Senior/Lead</t>
        </is>
      </c>
      <c r="D1243" s="8" t="inlineStr">
        <is>
          <t>Senior Site Reliability Engineer (Data &amp; Automation Focus)</t>
        </is>
      </c>
      <c r="E1243" s="7" t="inlineStr">
        <is>
          <t>SS&amp;C Technologies</t>
        </is>
      </c>
      <c r="F1243" s="8" t="inlineStr">
        <is>
          <t>England, United Kingdom</t>
        </is>
      </c>
      <c r="G1243" s="8" t="n"/>
      <c r="H1243" s="14" t="n"/>
      <c r="I1243" s="15">
        <f>IF($H1243="","",$H1243-TODAY())</f>
        <v/>
      </c>
      <c r="J1243" s="16" t="inlineStr">
        <is>
          <t>Open posting</t>
        </is>
      </c>
      <c r="K1243" s="8" t="inlineStr">
        <is>
          <t>filtered by keyword pre-scan</t>
        </is>
      </c>
      <c r="L1243" s="17" t="inlineStr">
        <is>
          <t>new</t>
        </is>
      </c>
      <c r="M1243" s="18" t="inlineStr"/>
      <c r="N1243" s="7" t="inlineStr">
        <is>
          <t>765e528d5ff4097681b9541bd568aedd7a501ad6</t>
        </is>
      </c>
      <c r="O1243" s="14" t="n">
        <v>46177</v>
      </c>
      <c r="P1243" s="7" t="inlineStr">
        <is>
          <t>jobspy</t>
        </is>
      </c>
      <c r="Q1243" s="8" t="inlineStr">
        <is>
          <t>python, sql, docker, kubernetes, git</t>
        </is>
      </c>
      <c r="R1243" s="8" t="inlineStr">
        <is>
          <t>Junior Data Engineer Python SQL pipeline</t>
        </is>
      </c>
      <c r="S1243" s="19" t="n"/>
      <c r="T1243" s="19" t="n"/>
      <c r="U1243" s="14" t="n">
        <v>46193</v>
      </c>
      <c r="V1243" s="7" t="inlineStr">
        <is>
          <t>v2-cv-accuracy-13b988b18da8ea7d</t>
        </is>
      </c>
    </row>
    <row r="1244" ht="28" customHeight="1">
      <c r="A1244" s="12">
        <f>IF($L1244="applied","Applied",IF($L1244="interview","Interview",IF($L1244="offer","Offer",IF($L1244="rejected","Rejected",IF($L1244="ignore","Ignore",IF($L1244="archive","Archive",IF($L1244="closed","Closed",IF($B1244="","Unscored",IF(AND($B1244&gt;=8,OR($H1244="",$H1244-TODAY()&lt;=14)),"P1 Apply",IF($B1244&gt;=7,"P2 Strong",IF($B1244&gt;=5,"P3 Maybe","P4 Low")))))))))))</f>
        <v/>
      </c>
      <c r="B1244" s="13" t="n">
        <v>0</v>
      </c>
      <c r="C1244" s="12" t="inlineStr">
        <is>
          <t>Senior/Lead</t>
        </is>
      </c>
      <c r="D1244" s="8" t="inlineStr">
        <is>
          <t>Senior Azure Data Engineer - Managed Services</t>
        </is>
      </c>
      <c r="E1244" s="7" t="inlineStr">
        <is>
          <t>Hippo</t>
        </is>
      </c>
      <c r="F1244" s="8" t="inlineStr">
        <is>
          <t>Leeds, England, UK</t>
        </is>
      </c>
      <c r="G1244" s="8" t="n"/>
      <c r="H1244" s="14" t="n"/>
      <c r="I1244" s="15">
        <f>IF($H1244="","",$H1244-TODAY())</f>
        <v/>
      </c>
      <c r="J1244" s="16" t="inlineStr">
        <is>
          <t>Open posting</t>
        </is>
      </c>
      <c r="K1244" s="8" t="inlineStr">
        <is>
          <t>filtered by keyword pre-scan</t>
        </is>
      </c>
      <c r="L1244" s="17" t="inlineStr">
        <is>
          <t>new</t>
        </is>
      </c>
      <c r="M1244" s="18" t="inlineStr"/>
      <c r="N1244" s="7" t="inlineStr">
        <is>
          <t>75c88faa443259cdaf0df44369d596f2f09ef0f3</t>
        </is>
      </c>
      <c r="O1244" s="14" t="n">
        <v>46174</v>
      </c>
      <c r="P1244" s="7" t="inlineStr">
        <is>
          <t>jobspy</t>
        </is>
      </c>
      <c r="Q1244" s="8" t="inlineStr">
        <is>
          <t>python, sql, git, c</t>
        </is>
      </c>
      <c r="R1244" s="8" t="inlineStr">
        <is>
          <t>Junior Data Engineer Python SQL pipeline</t>
        </is>
      </c>
      <c r="S1244" s="19" t="n"/>
      <c r="T1244" s="19" t="n"/>
      <c r="U1244" s="14" t="n">
        <v>46193</v>
      </c>
      <c r="V1244" s="7" t="inlineStr">
        <is>
          <t>v2-cv-accuracy-13b988b18da8ea7d</t>
        </is>
      </c>
    </row>
    <row r="1245" ht="28" customHeight="1">
      <c r="A1245" s="12">
        <f>IF($L1245="applied","Applied",IF($L1245="interview","Interview",IF($L1245="offer","Offer",IF($L1245="rejected","Rejected",IF($L1245="ignore","Ignore",IF($L1245="archive","Archive",IF($L1245="closed","Closed",IF($B1245="","Unscored",IF(AND($B1245&gt;=8,OR($H1245="",$H1245-TODAY()&lt;=14)),"P1 Apply",IF($B1245&gt;=7,"P2 Strong",IF($B1245&gt;=5,"P3 Maybe","P4 Low")))))))))))</f>
        <v/>
      </c>
      <c r="B1245" s="13" t="n">
        <v>0</v>
      </c>
      <c r="C1245" s="12" t="inlineStr">
        <is>
          <t>Senior/Lead</t>
        </is>
      </c>
      <c r="D1245" s="8" t="inlineStr">
        <is>
          <t>Senior Data Engineer (Databricks)</t>
        </is>
      </c>
      <c r="E1245" s="7" t="inlineStr">
        <is>
          <t>DATAPAO</t>
        </is>
      </c>
      <c r="F1245" s="8" t="inlineStr"/>
      <c r="G1245" s="8" t="n"/>
      <c r="H1245" s="14" t="n"/>
      <c r="I1245" s="15">
        <f>IF($H1245="","",$H1245-TODAY())</f>
        <v/>
      </c>
      <c r="J1245" s="16" t="inlineStr">
        <is>
          <t>Open posting</t>
        </is>
      </c>
      <c r="K1245" s="8" t="inlineStr">
        <is>
          <t>filtered by keyword pre-scan</t>
        </is>
      </c>
      <c r="L1245" s="17" t="inlineStr">
        <is>
          <t>new</t>
        </is>
      </c>
      <c r="M1245" s="18" t="inlineStr"/>
      <c r="N1245" s="7" t="inlineStr">
        <is>
          <t>652d8597536a0aadda0c7b47866af317c74857d8</t>
        </is>
      </c>
      <c r="O1245" s="14" t="n">
        <v>46169</v>
      </c>
      <c r="P1245" s="7" t="inlineStr">
        <is>
          <t>jobspy</t>
        </is>
      </c>
      <c r="Q1245" s="8" t="inlineStr">
        <is>
          <t>python, sql, c</t>
        </is>
      </c>
      <c r="R1245" s="8" t="inlineStr">
        <is>
          <t>Junior Data Engineer Python SQL pipeline</t>
        </is>
      </c>
      <c r="S1245" s="19" t="n"/>
      <c r="T1245" s="19" t="n"/>
      <c r="U1245" s="14" t="n">
        <v>46193</v>
      </c>
      <c r="V1245" s="7" t="inlineStr">
        <is>
          <t>v2-cv-accuracy-13b988b18da8ea7d</t>
        </is>
      </c>
    </row>
    <row r="1246" ht="28" customHeight="1">
      <c r="A1246" s="12">
        <f>IF($L1246="applied","Applied",IF($L1246="interview","Interview",IF($L1246="offer","Offer",IF($L1246="rejected","Rejected",IF($L1246="ignore","Ignore",IF($L1246="archive","Archive",IF($L1246="closed","Closed",IF($B1246="","Unscored",IF(AND($B1246&gt;=8,OR($H1246="",$H1246-TODAY()&lt;=14)),"P1 Apply",IF($B1246&gt;=7,"P2 Strong",IF($B1246&gt;=5,"P3 Maybe","P4 Low")))))))))))</f>
        <v/>
      </c>
      <c r="B1246" s="13" t="n">
        <v>0</v>
      </c>
      <c r="C1246" s="12" t="inlineStr">
        <is>
          <t>Unspecified</t>
        </is>
      </c>
      <c r="D1246" s="8" t="inlineStr">
        <is>
          <t>Application Developer</t>
        </is>
      </c>
      <c r="E1246" s="7" t="inlineStr">
        <is>
          <t>Thatcham Research</t>
        </is>
      </c>
      <c r="F1246" s="8" t="inlineStr">
        <is>
          <t>Thatcham, England, UK</t>
        </is>
      </c>
      <c r="G1246" s="8" t="n"/>
      <c r="H1246" s="14" t="n"/>
      <c r="I1246" s="15">
        <f>IF($H1246="","",$H1246-TODAY())</f>
        <v/>
      </c>
      <c r="J1246" s="16" t="inlineStr">
        <is>
          <t>Open posting</t>
        </is>
      </c>
      <c r="K1246" s="8" t="inlineStr">
        <is>
          <t>filtered by keyword pre-scan</t>
        </is>
      </c>
      <c r="L1246" s="17" t="inlineStr">
        <is>
          <t>new</t>
        </is>
      </c>
      <c r="M1246" s="18" t="inlineStr"/>
      <c r="N1246" s="7" t="inlineStr">
        <is>
          <t>a71c6a435ddc49858a9ce12d777b421da6fc081a</t>
        </is>
      </c>
      <c r="O1246" s="14" t="n">
        <v>46176</v>
      </c>
      <c r="P1246" s="7" t="inlineStr">
        <is>
          <t>jobspy</t>
        </is>
      </c>
      <c r="Q1246" s="8" t="inlineStr">
        <is>
          <t>python, sql, docker, kubernetes, git</t>
        </is>
      </c>
      <c r="R1246" s="8" t="inlineStr">
        <is>
          <t>Graduate Software Engineer Python Docker</t>
        </is>
      </c>
      <c r="S1246" s="19" t="n"/>
      <c r="T1246" s="19" t="n"/>
      <c r="U1246" s="14" t="n">
        <v>46193</v>
      </c>
      <c r="V1246" s="7" t="inlineStr">
        <is>
          <t>v2-cv-accuracy-13b988b18da8ea7d</t>
        </is>
      </c>
    </row>
    <row r="1247" ht="28" customHeight="1">
      <c r="A1247" s="12">
        <f>IF($L1247="applied","Applied",IF($L1247="interview","Interview",IF($L1247="offer","Offer",IF($L1247="rejected","Rejected",IF($L1247="ignore","Ignore",IF($L1247="archive","Archive",IF($L1247="closed","Closed",IF($B1247="","Unscored",IF(AND($B1247&gt;=8,OR($H1247="",$H1247-TODAY()&lt;=14)),"P1 Apply",IF($B1247&gt;=7,"P2 Strong",IF($B1247&gt;=5,"P3 Maybe","P4 Low")))))))))))</f>
        <v/>
      </c>
      <c r="B1247" s="13" t="n">
        <v>0</v>
      </c>
      <c r="C1247" s="12" t="inlineStr">
        <is>
          <t>Senior/Lead</t>
        </is>
      </c>
      <c r="D1247" s="8" t="inlineStr">
        <is>
          <t>Embedded Systems Lead</t>
        </is>
      </c>
      <c r="E1247" s="7" t="inlineStr">
        <is>
          <t>Unicorn Biotechnologies Ltd</t>
        </is>
      </c>
      <c r="F1247" s="8" t="inlineStr">
        <is>
          <t>Sheffield, ENG, GB</t>
        </is>
      </c>
      <c r="G1247" s="8" t="n"/>
      <c r="H1247" s="14" t="n"/>
      <c r="I1247" s="15">
        <f>IF($H1247="","",$H1247-TODAY())</f>
        <v/>
      </c>
      <c r="J1247" s="16" t="inlineStr">
        <is>
          <t>Open posting</t>
        </is>
      </c>
      <c r="K1247" s="8" t="inlineStr">
        <is>
          <t>filtered by keyword pre-scan</t>
        </is>
      </c>
      <c r="L1247" s="17" t="inlineStr">
        <is>
          <t>new</t>
        </is>
      </c>
      <c r="M1247" s="18" t="inlineStr"/>
      <c r="N1247" s="7" t="inlineStr">
        <is>
          <t>5e41428daaae6c2dd31b76e2f1d26df4e762eaca</t>
        </is>
      </c>
      <c r="O1247" s="14" t="n">
        <v>46177</v>
      </c>
      <c r="P1247" s="7" t="inlineStr">
        <is>
          <t>jobspy</t>
        </is>
      </c>
      <c r="Q1247" s="8" t="inlineStr">
        <is>
          <t>stm32, c, embedded systems, hardware design</t>
        </is>
      </c>
      <c r="R1247" s="8" t="inlineStr">
        <is>
          <t>Firmware Engineer Embedded C Microcontroller</t>
        </is>
      </c>
      <c r="S1247" s="19" t="n"/>
      <c r="T1247" s="19" t="n"/>
      <c r="U1247" s="14" t="n">
        <v>46193</v>
      </c>
      <c r="V1247" s="7" t="inlineStr">
        <is>
          <t>v2-cv-accuracy-13b988b18da8ea7d</t>
        </is>
      </c>
    </row>
    <row r="1248" ht="28" customHeight="1">
      <c r="A1248" s="12">
        <f>IF($L1248="applied","Applied",IF($L1248="interview","Interview",IF($L1248="offer","Offer",IF($L1248="rejected","Rejected",IF($L1248="ignore","Ignore",IF($L1248="archive","Archive",IF($L1248="closed","Closed",IF($B1248="","Unscored",IF(AND($B1248&gt;=8,OR($H1248="",$H1248-TODAY()&lt;=14)),"P1 Apply",IF($B1248&gt;=7,"P2 Strong",IF($B1248&gt;=5,"P3 Maybe","P4 Low")))))))))))</f>
        <v/>
      </c>
      <c r="B1248" s="13" t="n">
        <v>0</v>
      </c>
      <c r="C1248" s="12" t="inlineStr">
        <is>
          <t>Senior/Lead</t>
        </is>
      </c>
      <c r="D1248" s="8" t="inlineStr">
        <is>
          <t>Principal Embedded Crypto Software Developer (m/f/d)</t>
        </is>
      </c>
      <c r="E1248" s="7" t="inlineStr">
        <is>
          <t>NXP Semiconductors</t>
        </is>
      </c>
      <c r="F1248" s="8" t="inlineStr">
        <is>
          <t>Glasgow, Scotland, UK</t>
        </is>
      </c>
      <c r="G1248" s="8" t="n"/>
      <c r="H1248" s="14" t="n"/>
      <c r="I1248" s="15">
        <f>IF($H1248="","",$H1248-TODAY())</f>
        <v/>
      </c>
      <c r="J1248" s="16" t="inlineStr">
        <is>
          <t>Open posting</t>
        </is>
      </c>
      <c r="K1248" s="8" t="inlineStr">
        <is>
          <t>filtered by keyword pre-scan</t>
        </is>
      </c>
      <c r="L1248" s="17" t="inlineStr">
        <is>
          <t>new</t>
        </is>
      </c>
      <c r="M1248" s="18" t="inlineStr"/>
      <c r="N1248" s="7" t="inlineStr">
        <is>
          <t>69279a1960763378e0141321028623b429528f25</t>
        </is>
      </c>
      <c r="O1248" s="14" t="n">
        <v>46184</v>
      </c>
      <c r="P1248" s="7" t="inlineStr">
        <is>
          <t>jobspy</t>
        </is>
      </c>
      <c r="Q1248" s="8" t="inlineStr">
        <is>
          <t>c</t>
        </is>
      </c>
      <c r="R1248" s="8" t="inlineStr">
        <is>
          <t>Firmware Engineer Embedded C Microcontroller</t>
        </is>
      </c>
      <c r="S1248" s="19" t="n"/>
      <c r="T1248" s="19" t="n"/>
      <c r="U1248" s="14" t="n">
        <v>46193</v>
      </c>
      <c r="V1248" s="7" t="inlineStr">
        <is>
          <t>v2-cv-accuracy-13b988b18da8ea7d</t>
        </is>
      </c>
    </row>
    <row r="1249" ht="28" customHeight="1">
      <c r="A1249" s="12">
        <f>IF($L1249="applied","Applied",IF($L1249="interview","Interview",IF($L1249="offer","Offer",IF($L1249="rejected","Rejected",IF($L1249="ignore","Ignore",IF($L1249="archive","Archive",IF($L1249="closed","Closed",IF($B1249="","Unscored",IF(AND($B1249&gt;=8,OR($H1249="",$H1249-TODAY()&lt;=14)),"P1 Apply",IF($B1249&gt;=7,"P2 Strong",IF($B1249&gt;=5,"P3 Maybe","P4 Low")))))))))))</f>
        <v/>
      </c>
      <c r="B1249" s="13" t="n">
        <v>0</v>
      </c>
      <c r="C1249" s="12" t="inlineStr">
        <is>
          <t>Senior/Lead</t>
        </is>
      </c>
      <c r="D1249" s="8" t="inlineStr">
        <is>
          <t>Senior Design Engineer</t>
        </is>
      </c>
      <c r="E1249" s="7" t="inlineStr">
        <is>
          <t>Microchip Technology Inc.</t>
        </is>
      </c>
      <c r="F1249" s="8" t="inlineStr">
        <is>
          <t>Whiteley, England, UK</t>
        </is>
      </c>
      <c r="G1249" s="8" t="n"/>
      <c r="H1249" s="14" t="n"/>
      <c r="I1249" s="15">
        <f>IF($H1249="","",$H1249-TODAY())</f>
        <v/>
      </c>
      <c r="J1249" s="16" t="inlineStr">
        <is>
          <t>Open posting</t>
        </is>
      </c>
      <c r="K1249" s="8" t="inlineStr">
        <is>
          <t>filtered by keyword pre-scan</t>
        </is>
      </c>
      <c r="L1249" s="17" t="inlineStr">
        <is>
          <t>new</t>
        </is>
      </c>
      <c r="M1249" s="18" t="inlineStr"/>
      <c r="N1249" s="7" t="inlineStr">
        <is>
          <t>f4dd5c1aedac47fa5d47e9e5ac475f7281466a11</t>
        </is>
      </c>
      <c r="O1249" s="14" t="n">
        <v>46182</v>
      </c>
      <c r="P1249" s="7" t="inlineStr">
        <is>
          <t>jobspy</t>
        </is>
      </c>
      <c r="Q1249" s="8" t="inlineStr">
        <is>
          <t>python, verilog, git, c, embedded systems</t>
        </is>
      </c>
      <c r="R1249" s="8" t="inlineStr">
        <is>
          <t>Firmware Engineer Embedded C Microcontroller</t>
        </is>
      </c>
      <c r="S1249" s="19" t="n"/>
      <c r="T1249" s="19" t="n"/>
      <c r="U1249" s="14" t="n">
        <v>46193</v>
      </c>
      <c r="V1249" s="7" t="inlineStr">
        <is>
          <t>v2-cv-accuracy-13b988b18da8ea7d</t>
        </is>
      </c>
    </row>
    <row r="1250" ht="28" customHeight="1">
      <c r="A1250" s="12">
        <f>IF($L1250="applied","Applied",IF($L1250="interview","Interview",IF($L1250="offer","Offer",IF($L1250="rejected","Rejected",IF($L1250="ignore","Ignore",IF($L1250="archive","Archive",IF($L1250="closed","Closed",IF($B1250="","Unscored",IF(AND($B1250&gt;=8,OR($H1250="",$H1250-TODAY()&lt;=14)),"P1 Apply",IF($B1250&gt;=7,"P2 Strong",IF($B1250&gt;=5,"P3 Maybe","P4 Low")))))))))))</f>
        <v/>
      </c>
      <c r="B1250" s="13" t="n">
        <v>0</v>
      </c>
      <c r="C1250" s="12" t="inlineStr">
        <is>
          <t>Senior/Lead</t>
        </is>
      </c>
      <c r="D1250" s="8" t="inlineStr">
        <is>
          <t>Senior Embedded Systems Engineer</t>
        </is>
      </c>
      <c r="E1250" s="7" t="inlineStr">
        <is>
          <t>TipTopJob</t>
        </is>
      </c>
      <c r="F1250" s="8" t="inlineStr">
        <is>
          <t>Bicester, England, UK</t>
        </is>
      </c>
      <c r="G1250" s="8" t="n"/>
      <c r="H1250" s="14" t="n"/>
      <c r="I1250" s="15">
        <f>IF($H1250="","",$H1250-TODAY())</f>
        <v/>
      </c>
      <c r="J1250" s="16" t="inlineStr">
        <is>
          <t>Open posting</t>
        </is>
      </c>
      <c r="K1250" s="8" t="inlineStr">
        <is>
          <t>filtered by keyword pre-scan</t>
        </is>
      </c>
      <c r="L1250" s="17" t="inlineStr">
        <is>
          <t>new</t>
        </is>
      </c>
      <c r="M1250" s="18" t="inlineStr"/>
      <c r="N1250" s="7" t="inlineStr">
        <is>
          <t>f457f6467ef19d61e36607973e881b5fe67361c2</t>
        </is>
      </c>
      <c r="O1250" s="14" t="n">
        <v>46180</v>
      </c>
      <c r="P1250" s="7" t="inlineStr">
        <is>
          <t>jobspy</t>
        </is>
      </c>
      <c r="Q1250" s="8" t="inlineStr">
        <is>
          <t>git, c, embedded systems</t>
        </is>
      </c>
      <c r="R1250" s="8" t="inlineStr">
        <is>
          <t>Firmware Engineer Embedded C Microcontroller</t>
        </is>
      </c>
      <c r="S1250" s="19" t="n"/>
      <c r="T1250" s="19" t="n"/>
      <c r="U1250" s="14" t="n">
        <v>46193</v>
      </c>
      <c r="V1250" s="7" t="inlineStr">
        <is>
          <t>v2-cv-accuracy-13b988b18da8ea7d</t>
        </is>
      </c>
    </row>
    <row r="1251" ht="28" customHeight="1">
      <c r="A1251" s="12">
        <f>IF($L1251="applied","Applied",IF($L1251="interview","Interview",IF($L1251="offer","Offer",IF($L1251="rejected","Rejected",IF($L1251="ignore","Ignore",IF($L1251="archive","Archive",IF($L1251="closed","Closed",IF($B1251="","Unscored",IF(AND($B1251&gt;=8,OR($H1251="",$H1251-TODAY()&lt;=14)),"P1 Apply",IF($B1251&gt;=7,"P2 Strong",IF($B1251&gt;=5,"P3 Maybe","P4 Low")))))))))))</f>
        <v/>
      </c>
      <c r="B1251" s="13" t="n">
        <v>0</v>
      </c>
      <c r="C1251" s="12" t="inlineStr">
        <is>
          <t>Senior/Lead</t>
        </is>
      </c>
      <c r="D1251" s="8" t="inlineStr">
        <is>
          <t>Senior Software Developer</t>
        </is>
      </c>
      <c r="E1251" s="7" t="inlineStr">
        <is>
          <t>IKM Consultants</t>
        </is>
      </c>
      <c r="F1251" s="8" t="inlineStr">
        <is>
          <t>Aberdeen, SCT, GB</t>
        </is>
      </c>
      <c r="G1251" s="8" t="n"/>
      <c r="H1251" s="14" t="n"/>
      <c r="I1251" s="15">
        <f>IF($H1251="","",$H1251-TODAY())</f>
        <v/>
      </c>
      <c r="J1251" s="16" t="inlineStr">
        <is>
          <t>Open posting</t>
        </is>
      </c>
      <c r="K1251" s="8" t="inlineStr">
        <is>
          <t>filtered by keyword pre-scan</t>
        </is>
      </c>
      <c r="L1251" s="17" t="inlineStr">
        <is>
          <t>new</t>
        </is>
      </c>
      <c r="M1251" s="18" t="inlineStr"/>
      <c r="N1251" s="7" t="inlineStr">
        <is>
          <t>7247ade95cb6dcf6bb0cb340d22d45cb956d0919</t>
        </is>
      </c>
      <c r="O1251" s="14" t="n">
        <v>46192</v>
      </c>
      <c r="P1251" s="7" t="inlineStr">
        <is>
          <t>jobspy</t>
        </is>
      </c>
      <c r="Q1251" s="8" t="inlineStr">
        <is>
          <t>python, sql, docker, kubernetes, git</t>
        </is>
      </c>
      <c r="R1251" s="8" t="inlineStr">
        <is>
          <t>Junior Python Developer SQL Docker</t>
        </is>
      </c>
      <c r="S1251" s="19" t="n"/>
      <c r="T1251" s="19" t="n"/>
      <c r="U1251" s="14" t="n">
        <v>46193</v>
      </c>
      <c r="V1251" s="7" t="inlineStr">
        <is>
          <t>v2-cv-accuracy-13b988b18da8ea7d</t>
        </is>
      </c>
    </row>
    <row r="1252" ht="28" customHeight="1">
      <c r="A1252" s="12">
        <f>IF($L1252="applied","Applied",IF($L1252="interview","Interview",IF($L1252="offer","Offer",IF($L1252="rejected","Rejected",IF($L1252="ignore","Ignore",IF($L1252="archive","Archive",IF($L1252="closed","Closed",IF($B1252="","Unscored",IF(AND($B1252&gt;=8,OR($H1252="",$H1252-TODAY()&lt;=14)),"P1 Apply",IF($B1252&gt;=7,"P2 Strong",IF($B1252&gt;=5,"P3 Maybe","P4 Low")))))))))))</f>
        <v/>
      </c>
      <c r="B1252" s="13" t="n">
        <v>0</v>
      </c>
      <c r="C1252" s="12" t="inlineStr">
        <is>
          <t>Senior/Lead</t>
        </is>
      </c>
      <c r="D1252" s="8" t="inlineStr">
        <is>
          <t>Senior Software Developer</t>
        </is>
      </c>
      <c r="E1252" s="7" t="inlineStr">
        <is>
          <t>Once For All</t>
        </is>
      </c>
      <c r="F1252" s="8" t="inlineStr">
        <is>
          <t>Basingstoke, ENG, GB</t>
        </is>
      </c>
      <c r="G1252" s="8" t="n"/>
      <c r="H1252" s="14" t="n"/>
      <c r="I1252" s="15">
        <f>IF($H1252="","",$H1252-TODAY())</f>
        <v/>
      </c>
      <c r="J1252" s="16" t="inlineStr">
        <is>
          <t>Open posting</t>
        </is>
      </c>
      <c r="K1252" s="8" t="inlineStr">
        <is>
          <t>filtered by keyword pre-scan</t>
        </is>
      </c>
      <c r="L1252" s="17" t="inlineStr">
        <is>
          <t>new</t>
        </is>
      </c>
      <c r="M1252" s="18" t="inlineStr"/>
      <c r="N1252" s="7" t="inlineStr">
        <is>
          <t>a1ba4f45710d7236b7135132e34664b8439e69c1</t>
        </is>
      </c>
      <c r="O1252" s="14" t="n">
        <v>46169</v>
      </c>
      <c r="P1252" s="7" t="inlineStr">
        <is>
          <t>jobspy</t>
        </is>
      </c>
      <c r="Q1252" s="8" t="inlineStr">
        <is>
          <t>python, sql, docker, kubernetes, git</t>
        </is>
      </c>
      <c r="R1252" s="8" t="inlineStr">
        <is>
          <t>Junior Python Developer SQL Docker</t>
        </is>
      </c>
      <c r="S1252" s="19" t="n"/>
      <c r="T1252" s="19" t="n"/>
      <c r="U1252" s="14" t="n">
        <v>46193</v>
      </c>
      <c r="V1252" s="7" t="inlineStr">
        <is>
          <t>v2-cv-accuracy-13b988b18da8ea7d</t>
        </is>
      </c>
    </row>
    <row r="1253" ht="28" customHeight="1">
      <c r="A1253" s="12">
        <f>IF($L1253="applied","Applied",IF($L1253="interview","Interview",IF($L1253="offer","Offer",IF($L1253="rejected","Rejected",IF($L1253="ignore","Ignore",IF($L1253="archive","Archive",IF($L1253="closed","Closed",IF($B1253="","Unscored",IF(AND($B1253&gt;=8,OR($H1253="",$H1253-TODAY()&lt;=14)),"P1 Apply",IF($B1253&gt;=7,"P2 Strong",IF($B1253&gt;=5,"P3 Maybe","P4 Low")))))))))))</f>
        <v/>
      </c>
      <c r="B1253" s="13" t="n">
        <v>0</v>
      </c>
      <c r="C1253" s="12" t="inlineStr">
        <is>
          <t>Senior/Lead</t>
        </is>
      </c>
      <c r="D1253" s="8" t="inlineStr">
        <is>
          <t>Senior Backend Developer</t>
        </is>
      </c>
      <c r="E1253" s="7" t="inlineStr">
        <is>
          <t>Narwhal Labs</t>
        </is>
      </c>
      <c r="F1253" s="8" t="inlineStr">
        <is>
          <t>Bristol, ENG, GB</t>
        </is>
      </c>
      <c r="G1253" s="8" t="n"/>
      <c r="H1253" s="14" t="n"/>
      <c r="I1253" s="15">
        <f>IF($H1253="","",$H1253-TODAY())</f>
        <v/>
      </c>
      <c r="J1253" s="16" t="inlineStr">
        <is>
          <t>Open posting</t>
        </is>
      </c>
      <c r="K1253" s="8" t="inlineStr">
        <is>
          <t>filtered by keyword pre-scan</t>
        </is>
      </c>
      <c r="L1253" s="17" t="inlineStr">
        <is>
          <t>new</t>
        </is>
      </c>
      <c r="M1253" s="18" t="inlineStr"/>
      <c r="N1253" s="7" t="inlineStr">
        <is>
          <t>523ebdd27516a36e8151ef27292eb89c841f19f2</t>
        </is>
      </c>
      <c r="O1253" s="14" t="n">
        <v>46169</v>
      </c>
      <c r="P1253" s="7" t="inlineStr">
        <is>
          <t>jobspy</t>
        </is>
      </c>
      <c r="Q1253" s="8" t="inlineStr">
        <is>
          <t>python, sql, docker, kubernetes, c</t>
        </is>
      </c>
      <c r="R1253" s="8" t="inlineStr">
        <is>
          <t>Junior Python Developer SQL Docker</t>
        </is>
      </c>
      <c r="S1253" s="19" t="n"/>
      <c r="T1253" s="19" t="n"/>
      <c r="U1253" s="14" t="n">
        <v>46193</v>
      </c>
      <c r="V1253" s="7" t="inlineStr">
        <is>
          <t>v2-cv-accuracy-13b988b18da8ea7d</t>
        </is>
      </c>
    </row>
    <row r="1254" ht="28" customHeight="1">
      <c r="A1254" s="12">
        <f>IF($L1254="applied","Applied",IF($L1254="interview","Interview",IF($L1254="offer","Offer",IF($L1254="rejected","Rejected",IF($L1254="ignore","Ignore",IF($L1254="archive","Archive",IF($L1254="closed","Closed",IF($B1254="","Unscored",IF(AND($B1254&gt;=8,OR($H1254="",$H1254-TODAY()&lt;=14)),"P1 Apply",IF($B1254&gt;=7,"P2 Strong",IF($B1254&gt;=5,"P3 Maybe","P4 Low")))))))))))</f>
        <v/>
      </c>
      <c r="B1254" s="13" t="n">
        <v>0</v>
      </c>
      <c r="C1254" s="12" t="inlineStr">
        <is>
          <t>Senior/Lead</t>
        </is>
      </c>
      <c r="D1254" s="8" t="inlineStr">
        <is>
          <t>Principal Engineer</t>
        </is>
      </c>
      <c r="E1254" s="7" t="inlineStr">
        <is>
          <t>Coda Octopus Products Ltd</t>
        </is>
      </c>
      <c r="F1254" s="8" t="inlineStr">
        <is>
          <t>Edinburgh, SCT, GB</t>
        </is>
      </c>
      <c r="G1254" s="8" t="n"/>
      <c r="H1254" s="14" t="n"/>
      <c r="I1254" s="15">
        <f>IF($H1254="","",$H1254-TODAY())</f>
        <v/>
      </c>
      <c r="J1254" s="16" t="inlineStr">
        <is>
          <t>Open posting</t>
        </is>
      </c>
      <c r="K1254" s="8" t="inlineStr">
        <is>
          <t>filtered by keyword pre-scan</t>
        </is>
      </c>
      <c r="L1254" s="17" t="inlineStr">
        <is>
          <t>new</t>
        </is>
      </c>
      <c r="M1254" s="18" t="inlineStr"/>
      <c r="N1254" s="7" t="inlineStr">
        <is>
          <t>4911de1a0362173e60d550953357bcddd141dd12</t>
        </is>
      </c>
      <c r="O1254" s="14" t="n">
        <v>46192</v>
      </c>
      <c r="P1254" s="7" t="inlineStr">
        <is>
          <t>jobspy</t>
        </is>
      </c>
      <c r="Q1254" s="8" t="inlineStr">
        <is>
          <t>fpga, git, c, embedded systems, dsp</t>
        </is>
      </c>
      <c r="R1254" s="8" t="inlineStr">
        <is>
          <t>Embedded Systems Engineer FPGA DSP</t>
        </is>
      </c>
      <c r="S1254" s="19" t="n"/>
      <c r="T1254" s="19" t="n"/>
      <c r="U1254" s="14" t="n">
        <v>46193</v>
      </c>
      <c r="V1254" s="7" t="inlineStr">
        <is>
          <t>v2-cv-accuracy-13b988b18da8ea7d</t>
        </is>
      </c>
    </row>
    <row r="1255" ht="28" customHeight="1">
      <c r="A1255" s="12">
        <f>IF($L1255="applied","Applied",IF($L1255="interview","Interview",IF($L1255="offer","Offer",IF($L1255="rejected","Rejected",IF($L1255="ignore","Ignore",IF($L1255="archive","Archive",IF($L1255="closed","Closed",IF($B1255="","Unscored",IF(AND($B1255&gt;=8,OR($H1255="",$H1255-TODAY()&lt;=14)),"P1 Apply",IF($B1255&gt;=7,"P2 Strong",IF($B1255&gt;=5,"P3 Maybe","P4 Low")))))))))))</f>
        <v/>
      </c>
      <c r="B1255" s="13" t="n">
        <v>0</v>
      </c>
      <c r="C1255" s="12" t="inlineStr">
        <is>
          <t>Senior/Lead</t>
        </is>
      </c>
      <c r="D1255" s="8" t="inlineStr">
        <is>
          <t>Senior RF Engineer</t>
        </is>
      </c>
      <c r="E1255" s="7" t="inlineStr">
        <is>
          <t>IC Resources</t>
        </is>
      </c>
      <c r="F1255" s="8" t="inlineStr">
        <is>
          <t>Bristol, England, UK</t>
        </is>
      </c>
      <c r="G1255" s="8" t="n"/>
      <c r="H1255" s="14" t="n"/>
      <c r="I1255" s="15">
        <f>IF($H1255="","",$H1255-TODAY())</f>
        <v/>
      </c>
      <c r="J1255" s="16" t="inlineStr">
        <is>
          <t>Open posting</t>
        </is>
      </c>
      <c r="K1255" s="8" t="inlineStr">
        <is>
          <t>filtered by keyword pre-scan</t>
        </is>
      </c>
      <c r="L1255" s="17" t="inlineStr">
        <is>
          <t>new</t>
        </is>
      </c>
      <c r="M1255" s="18" t="inlineStr"/>
      <c r="N1255" s="7" t="inlineStr">
        <is>
          <t>3fe5d661d23da7dff9f3659699840ee3ed3170fd</t>
        </is>
      </c>
      <c r="O1255" s="14" t="n">
        <v>46189</v>
      </c>
      <c r="P1255" s="7" t="inlineStr">
        <is>
          <t>jobspy</t>
        </is>
      </c>
      <c r="Q1255" s="8" t="inlineStr">
        <is>
          <t>fpga, c, hardware design, dsp</t>
        </is>
      </c>
      <c r="R1255" s="8" t="inlineStr">
        <is>
          <t>Embedded Systems Engineer FPGA DSP</t>
        </is>
      </c>
      <c r="S1255" s="19" t="n"/>
      <c r="T1255" s="19" t="n"/>
      <c r="U1255" s="14" t="n">
        <v>46193</v>
      </c>
      <c r="V1255" s="7" t="inlineStr">
        <is>
          <t>v2-cv-accuracy-13b988b18da8ea7d</t>
        </is>
      </c>
    </row>
    <row r="1256" ht="28" customHeight="1">
      <c r="A1256" s="12">
        <f>IF($L1256="applied","Applied",IF($L1256="interview","Interview",IF($L1256="offer","Offer",IF($L1256="rejected","Rejected",IF($L1256="ignore","Ignore",IF($L1256="archive","Archive",IF($L1256="closed","Closed",IF($B1256="","Unscored",IF(AND($B1256&gt;=8,OR($H1256="",$H1256-TODAY()&lt;=14)),"P1 Apply",IF($B1256&gt;=7,"P2 Strong",IF($B1256&gt;=5,"P3 Maybe","P4 Low")))))))))))</f>
        <v/>
      </c>
      <c r="B1256" s="13" t="n">
        <v>0</v>
      </c>
      <c r="C1256" s="12" t="inlineStr">
        <is>
          <t>Senior/Lead</t>
        </is>
      </c>
      <c r="D1256" s="8" t="inlineStr">
        <is>
          <t>Lead Engineer</t>
        </is>
      </c>
      <c r="E1256" s="7" t="inlineStr">
        <is>
          <t>Advanced Energy</t>
        </is>
      </c>
      <c r="F1256" s="8" t="inlineStr">
        <is>
          <t>Littlehampton, England, UK</t>
        </is>
      </c>
      <c r="G1256" s="8" t="n"/>
      <c r="H1256" s="14" t="n"/>
      <c r="I1256" s="15">
        <f>IF($H1256="","",$H1256-TODAY())</f>
        <v/>
      </c>
      <c r="J1256" s="16" t="inlineStr">
        <is>
          <t>Open posting</t>
        </is>
      </c>
      <c r="K1256" s="8" t="inlineStr">
        <is>
          <t>filtered by keyword pre-scan</t>
        </is>
      </c>
      <c r="L1256" s="17" t="inlineStr">
        <is>
          <t>new</t>
        </is>
      </c>
      <c r="M1256" s="18" t="inlineStr"/>
      <c r="N1256" s="7" t="inlineStr">
        <is>
          <t>a98eca501a784472a8a0443946644ce5eecf579e</t>
        </is>
      </c>
      <c r="O1256" s="14" t="n">
        <v>46181</v>
      </c>
      <c r="P1256" s="7" t="inlineStr">
        <is>
          <t>jobspy</t>
        </is>
      </c>
      <c r="Q1256" s="8" t="inlineStr">
        <is>
          <t>fpga, stm32, git, c, digital design</t>
        </is>
      </c>
      <c r="R1256" s="8" t="inlineStr">
        <is>
          <t>Embedded Systems Engineer FPGA DSP</t>
        </is>
      </c>
      <c r="S1256" s="19" t="n"/>
      <c r="T1256" s="19" t="n"/>
      <c r="U1256" s="14" t="n">
        <v>46193</v>
      </c>
      <c r="V1256" s="7" t="inlineStr">
        <is>
          <t>v2-cv-accuracy-13b988b18da8ea7d</t>
        </is>
      </c>
    </row>
    <row r="1257" ht="28" customHeight="1">
      <c r="A1257" s="12">
        <f>IF($L1257="applied","Applied",IF($L1257="interview","Interview",IF($L1257="offer","Offer",IF($L1257="rejected","Rejected",IF($L1257="ignore","Ignore",IF($L1257="archive","Archive",IF($L1257="closed","Closed",IF($B1257="","Unscored",IF(AND($B1257&gt;=8,OR($H1257="",$H1257-TODAY()&lt;=14)),"P1 Apply",IF($B1257&gt;=7,"P2 Strong",IF($B1257&gt;=5,"P3 Maybe","P4 Low")))))))))))</f>
        <v/>
      </c>
      <c r="B1257" s="13" t="n">
        <v>0</v>
      </c>
      <c r="C1257" s="12" t="inlineStr">
        <is>
          <t>Senior/Lead</t>
        </is>
      </c>
      <c r="D1257" s="8" t="inlineStr">
        <is>
          <t>Mid/Senior Solution Architect</t>
        </is>
      </c>
      <c r="E1257" s="7" t="inlineStr">
        <is>
          <t>Multiverse Computing</t>
        </is>
      </c>
      <c r="F1257" s="8" t="inlineStr">
        <is>
          <t>London, ENG, GB</t>
        </is>
      </c>
      <c r="G1257" s="8" t="n"/>
      <c r="H1257" s="14" t="n"/>
      <c r="I1257" s="15">
        <f>IF($H1257="","",$H1257-TODAY())</f>
        <v/>
      </c>
      <c r="J1257" s="16" t="inlineStr">
        <is>
          <t>Open posting</t>
        </is>
      </c>
      <c r="K1257" s="8" t="inlineStr">
        <is>
          <t>filtered by keyword pre-scan</t>
        </is>
      </c>
      <c r="L1257" s="17" t="inlineStr">
        <is>
          <t>new</t>
        </is>
      </c>
      <c r="M1257" s="18" t="inlineStr"/>
      <c r="N1257" s="7" t="inlineStr">
        <is>
          <t>37537db5d37615dbf98143c25afaa254f460cbed</t>
        </is>
      </c>
      <c r="O1257" s="14" t="n">
        <v>46192</v>
      </c>
      <c r="P1257" s="7" t="inlineStr">
        <is>
          <t>jobspy</t>
        </is>
      </c>
      <c r="Q1257" s="8" t="inlineStr">
        <is>
          <t>python, sql, docker, kubernetes, c</t>
        </is>
      </c>
      <c r="R1257" s="8" t="inlineStr">
        <is>
          <t>Platform Engineer Docker Kubernetes Python</t>
        </is>
      </c>
      <c r="S1257" s="19" t="n"/>
      <c r="T1257" s="19" t="n"/>
      <c r="U1257" s="14" t="n">
        <v>46193</v>
      </c>
      <c r="V1257" s="7" t="inlineStr">
        <is>
          <t>v2-cv-accuracy-13b988b18da8ea7d</t>
        </is>
      </c>
    </row>
    <row r="1258" ht="28" customHeight="1">
      <c r="A1258" s="12">
        <f>IF($L1258="applied","Applied",IF($L1258="interview","Interview",IF($L1258="offer","Offer",IF($L1258="rejected","Rejected",IF($L1258="ignore","Ignore",IF($L1258="archive","Archive",IF($L1258="closed","Closed",IF($B1258="","Unscored",IF(AND($B1258&gt;=8,OR($H1258="",$H1258-TODAY()&lt;=14)),"P1 Apply",IF($B1258&gt;=7,"P2 Strong",IF($B1258&gt;=5,"P3 Maybe","P4 Low")))))))))))</f>
        <v/>
      </c>
      <c r="B1258" s="13" t="n">
        <v>0</v>
      </c>
      <c r="C1258" s="12" t="inlineStr">
        <is>
          <t>Senior/Lead</t>
        </is>
      </c>
      <c r="D1258" s="8" t="inlineStr">
        <is>
          <t>Senior Infrastructure Operations Engineer, Sovereign Operations, Wiltshire</t>
        </is>
      </c>
      <c r="E1258" s="7" t="inlineStr">
        <is>
          <t>Google</t>
        </is>
      </c>
      <c r="F1258" s="8" t="inlineStr">
        <is>
          <t>London, ENG, GB</t>
        </is>
      </c>
      <c r="G1258" s="8" t="n"/>
      <c r="H1258" s="14" t="n"/>
      <c r="I1258" s="15">
        <f>IF($H1258="","",$H1258-TODAY())</f>
        <v/>
      </c>
      <c r="J1258" s="16" t="inlineStr">
        <is>
          <t>Open posting</t>
        </is>
      </c>
      <c r="K1258" s="8" t="inlineStr">
        <is>
          <t>filtered by keyword pre-scan</t>
        </is>
      </c>
      <c r="L1258" s="17" t="inlineStr">
        <is>
          <t>new</t>
        </is>
      </c>
      <c r="M1258" s="18" t="inlineStr"/>
      <c r="N1258" s="7" t="inlineStr">
        <is>
          <t>c85edeb6571d70e95feaf5c4f68dd3c904c70272</t>
        </is>
      </c>
      <c r="O1258" s="14" t="n">
        <v>46192</v>
      </c>
      <c r="P1258" s="7" t="inlineStr">
        <is>
          <t>jobspy</t>
        </is>
      </c>
      <c r="Q1258" s="8" t="inlineStr">
        <is>
          <t>python, docker, kubernetes, c</t>
        </is>
      </c>
      <c r="R1258" s="8" t="inlineStr">
        <is>
          <t>Platform Engineer Docker Kubernetes Python</t>
        </is>
      </c>
      <c r="S1258" s="19" t="n"/>
      <c r="T1258" s="19" t="n"/>
      <c r="U1258" s="14" t="n">
        <v>46193</v>
      </c>
      <c r="V1258" s="7" t="inlineStr">
        <is>
          <t>v2-cv-accuracy-13b988b18da8ea7d</t>
        </is>
      </c>
    </row>
    <row r="1259" ht="28" customHeight="1">
      <c r="A1259" s="12">
        <f>IF($L1259="applied","Applied",IF($L1259="interview","Interview",IF($L1259="offer","Offer",IF($L1259="rejected","Rejected",IF($L1259="ignore","Ignore",IF($L1259="archive","Archive",IF($L1259="closed","Closed",IF($B1259="","Unscored",IF(AND($B1259&gt;=8,OR($H1259="",$H1259-TODAY()&lt;=14)),"P1 Apply",IF($B1259&gt;=7,"P2 Strong",IF($B1259&gt;=5,"P3 Maybe","P4 Low")))))))))))</f>
        <v/>
      </c>
      <c r="B1259" s="13" t="n">
        <v>0</v>
      </c>
      <c r="C1259" s="12" t="inlineStr">
        <is>
          <t>Senior/Lead</t>
        </is>
      </c>
      <c r="D1259" s="8" t="inlineStr">
        <is>
          <t>Senior Platform Engineer</t>
        </is>
      </c>
      <c r="E1259" s="7" t="inlineStr">
        <is>
          <t>Morgan Stanley</t>
        </is>
      </c>
      <c r="F1259" s="8" t="inlineStr">
        <is>
          <t>Glasgow, SCT, GB</t>
        </is>
      </c>
      <c r="G1259" s="8" t="n"/>
      <c r="H1259" s="14" t="n"/>
      <c r="I1259" s="15">
        <f>IF($H1259="","",$H1259-TODAY())</f>
        <v/>
      </c>
      <c r="J1259" s="16" t="inlineStr">
        <is>
          <t>Open posting</t>
        </is>
      </c>
      <c r="K1259" s="8" t="inlineStr">
        <is>
          <t>filtered by keyword pre-scan</t>
        </is>
      </c>
      <c r="L1259" s="17" t="inlineStr">
        <is>
          <t>new</t>
        </is>
      </c>
      <c r="M1259" s="18" t="inlineStr"/>
      <c r="N1259" s="7" t="inlineStr">
        <is>
          <t>5b23028707ecb3e2fe5a447d518ee883aea15867</t>
        </is>
      </c>
      <c r="O1259" s="14" t="n">
        <v>46192</v>
      </c>
      <c r="P1259" s="7" t="inlineStr">
        <is>
          <t>jobspy</t>
        </is>
      </c>
      <c r="Q1259" s="8" t="inlineStr">
        <is>
          <t>python, docker, kubernetes, git, c</t>
        </is>
      </c>
      <c r="R1259" s="8" t="inlineStr">
        <is>
          <t>Platform Engineer Docker Kubernetes Python</t>
        </is>
      </c>
      <c r="S1259" s="19" t="n"/>
      <c r="T1259" s="19" t="n"/>
      <c r="U1259" s="14" t="n">
        <v>46193</v>
      </c>
      <c r="V1259" s="7" t="inlineStr">
        <is>
          <t>v2-cv-accuracy-13b988b18da8ea7d</t>
        </is>
      </c>
    </row>
    <row r="1260" ht="28" customHeight="1">
      <c r="A1260" s="12">
        <f>IF($L1260="applied","Applied",IF($L1260="interview","Interview",IF($L1260="offer","Offer",IF($L1260="rejected","Rejected",IF($L1260="ignore","Ignore",IF($L1260="archive","Archive",IF($L1260="closed","Closed",IF($B1260="","Unscored",IF(AND($B1260&gt;=8,OR($H1260="",$H1260-TODAY()&lt;=14)),"P1 Apply",IF($B1260&gt;=7,"P2 Strong",IF($B1260&gt;=5,"P3 Maybe","P4 Low")))))))))))</f>
        <v/>
      </c>
      <c r="B1260" s="13" t="n">
        <v>0</v>
      </c>
      <c r="C1260" s="12" t="inlineStr">
        <is>
          <t>Senior/Lead</t>
        </is>
      </c>
      <c r="D1260" s="8" t="inlineStr">
        <is>
          <t>Senior HPC Engineer</t>
        </is>
      </c>
      <c r="E1260" s="7" t="inlineStr">
        <is>
          <t>Viridien</t>
        </is>
      </c>
      <c r="F1260" s="8" t="inlineStr">
        <is>
          <t>Haywards Heath, ENG, GB</t>
        </is>
      </c>
      <c r="G1260" s="8" t="n"/>
      <c r="H1260" s="14" t="n"/>
      <c r="I1260" s="15">
        <f>IF($H1260="","",$H1260-TODAY())</f>
        <v/>
      </c>
      <c r="J1260" s="16" t="inlineStr">
        <is>
          <t>Open posting</t>
        </is>
      </c>
      <c r="K1260" s="8" t="inlineStr">
        <is>
          <t>filtered by keyword pre-scan</t>
        </is>
      </c>
      <c r="L1260" s="17" t="inlineStr">
        <is>
          <t>new</t>
        </is>
      </c>
      <c r="M1260" s="18" t="inlineStr"/>
      <c r="N1260" s="7" t="inlineStr">
        <is>
          <t>6be54095faae14938a9dcbdb6a67c0f8cbc1f1e8</t>
        </is>
      </c>
      <c r="O1260" s="14" t="n">
        <v>46192</v>
      </c>
      <c r="P1260" s="7" t="inlineStr">
        <is>
          <t>jobspy</t>
        </is>
      </c>
      <c r="Q1260" s="8" t="inlineStr">
        <is>
          <t>python, docker, kubernetes, git, c</t>
        </is>
      </c>
      <c r="R1260" s="8" t="inlineStr">
        <is>
          <t>Platform Engineer Docker Kubernetes Python</t>
        </is>
      </c>
      <c r="S1260" s="19" t="n"/>
      <c r="T1260" s="19" t="n"/>
      <c r="U1260" s="14" t="n">
        <v>46193</v>
      </c>
      <c r="V1260" s="7" t="inlineStr">
        <is>
          <t>v2-cv-accuracy-13b988b18da8ea7d</t>
        </is>
      </c>
    </row>
    <row r="1261" ht="28" customHeight="1">
      <c r="A1261" s="12">
        <f>IF($L1261="applied","Applied",IF($L1261="interview","Interview",IF($L1261="offer","Offer",IF($L1261="rejected","Rejected",IF($L1261="ignore","Ignore",IF($L1261="archive","Archive",IF($L1261="closed","Closed",IF($B1261="","Unscored",IF(AND($B1261&gt;=8,OR($H1261="",$H1261-TODAY()&lt;=14)),"P1 Apply",IF($B1261&gt;=7,"P2 Strong",IF($B1261&gt;=5,"P3 Maybe","P4 Low")))))))))))</f>
        <v/>
      </c>
      <c r="B1261" s="13" t="n">
        <v>0</v>
      </c>
      <c r="C1261" s="12" t="inlineStr">
        <is>
          <t>Senior/Lead</t>
        </is>
      </c>
      <c r="D1261" s="8" t="inlineStr">
        <is>
          <t>Senior Data Engineer</t>
        </is>
      </c>
      <c r="E1261" s="7" t="inlineStr">
        <is>
          <t>MBDA</t>
        </is>
      </c>
      <c r="F1261" s="8" t="inlineStr">
        <is>
          <t>Bolton, ENG, GB</t>
        </is>
      </c>
      <c r="G1261" s="8" t="n"/>
      <c r="H1261" s="14" t="n"/>
      <c r="I1261" s="15">
        <f>IF($H1261="","",$H1261-TODAY())</f>
        <v/>
      </c>
      <c r="J1261" s="16" t="inlineStr">
        <is>
          <t>Open posting</t>
        </is>
      </c>
      <c r="K1261" s="8" t="inlineStr">
        <is>
          <t>filtered by keyword pre-scan</t>
        </is>
      </c>
      <c r="L1261" s="17" t="inlineStr">
        <is>
          <t>new</t>
        </is>
      </c>
      <c r="M1261" s="18" t="inlineStr"/>
      <c r="N1261" s="7" t="inlineStr">
        <is>
          <t>9113e2f630a4a686f4414960a38cbaa8a3013fd1</t>
        </is>
      </c>
      <c r="O1261" s="14" t="n">
        <v>46192</v>
      </c>
      <c r="P1261" s="7" t="inlineStr">
        <is>
          <t>jobspy</t>
        </is>
      </c>
      <c r="Q1261" s="8" t="inlineStr">
        <is>
          <t>python, sql, docker, kubernetes, git</t>
        </is>
      </c>
      <c r="R1261" s="8" t="inlineStr">
        <is>
          <t>Platform Engineer Docker Kubernetes Python</t>
        </is>
      </c>
      <c r="S1261" s="19" t="n"/>
      <c r="T1261" s="19" t="n"/>
      <c r="U1261" s="14" t="n">
        <v>46193</v>
      </c>
      <c r="V1261" s="7" t="inlineStr">
        <is>
          <t>v2-cv-accuracy-13b988b18da8ea7d</t>
        </is>
      </c>
    </row>
    <row r="1262" ht="28" customHeight="1">
      <c r="A1262" s="12">
        <f>IF($L1262="applied","Applied",IF($L1262="interview","Interview",IF($L1262="offer","Offer",IF($L1262="rejected","Rejected",IF($L1262="ignore","Ignore",IF($L1262="archive","Archive",IF($L1262="closed","Closed",IF($B1262="","Unscored",IF(AND($B1262&gt;=8,OR($H1262="",$H1262-TODAY()&lt;=14)),"P1 Apply",IF($B1262&gt;=7,"P2 Strong",IF($B1262&gt;=5,"P3 Maybe","P4 Low")))))))))))</f>
        <v/>
      </c>
      <c r="B1262" s="13" t="n">
        <v>0</v>
      </c>
      <c r="C1262" s="12" t="inlineStr">
        <is>
          <t>Senior/Lead</t>
        </is>
      </c>
      <c r="D1262" s="8" t="inlineStr">
        <is>
          <t>Senior Data Pipeline Engineer</t>
        </is>
      </c>
      <c r="E1262" s="7" t="inlineStr">
        <is>
          <t>Netbuilder</t>
        </is>
      </c>
      <c r="F1262" s="8" t="inlineStr">
        <is>
          <t>London, ENG, GB</t>
        </is>
      </c>
      <c r="G1262" s="8" t="n"/>
      <c r="H1262" s="14" t="n"/>
      <c r="I1262" s="15">
        <f>IF($H1262="","",$H1262-TODAY())</f>
        <v/>
      </c>
      <c r="J1262" s="16" t="inlineStr">
        <is>
          <t>Open posting</t>
        </is>
      </c>
      <c r="K1262" s="8" t="inlineStr">
        <is>
          <t>filtered by keyword pre-scan</t>
        </is>
      </c>
      <c r="L1262" s="17" t="inlineStr">
        <is>
          <t>new</t>
        </is>
      </c>
      <c r="M1262" s="18" t="inlineStr"/>
      <c r="N1262" s="7" t="inlineStr">
        <is>
          <t>36e68fa362e54a843846fd225e2dd617d665d336</t>
        </is>
      </c>
      <c r="O1262" s="14" t="n">
        <v>46192</v>
      </c>
      <c r="P1262" s="7" t="inlineStr">
        <is>
          <t>jobspy</t>
        </is>
      </c>
      <c r="Q1262" s="8" t="inlineStr">
        <is>
          <t>docker, kubernetes, git, c</t>
        </is>
      </c>
      <c r="R1262" s="8" t="inlineStr">
        <is>
          <t>Platform Engineer Docker Kubernetes Python</t>
        </is>
      </c>
      <c r="S1262" s="19" t="n"/>
      <c r="T1262" s="19" t="n"/>
      <c r="U1262" s="14" t="n">
        <v>46193</v>
      </c>
      <c r="V1262" s="7" t="inlineStr">
        <is>
          <t>v2-cv-accuracy-13b988b18da8ea7d</t>
        </is>
      </c>
    </row>
    <row r="1263" ht="28" customHeight="1">
      <c r="A1263" s="12">
        <f>IF($L1263="applied","Applied",IF($L1263="interview","Interview",IF($L1263="offer","Offer",IF($L1263="rejected","Rejected",IF($L1263="ignore","Ignore",IF($L1263="archive","Archive",IF($L1263="closed","Closed",IF($B1263="","Unscored",IF(AND($B1263&gt;=8,OR($H1263="",$H1263-TODAY()&lt;=14)),"P1 Apply",IF($B1263&gt;=7,"P2 Strong",IF($B1263&gt;=5,"P3 Maybe","P4 Low")))))))))))</f>
        <v/>
      </c>
      <c r="B1263" s="13" t="n">
        <v>0</v>
      </c>
      <c r="C1263" s="12" t="inlineStr">
        <is>
          <t>Senior/Lead</t>
        </is>
      </c>
      <c r="D1263" s="8" t="inlineStr">
        <is>
          <t>Senior Software Engineer - Cyber Security Configuration Assurance</t>
        </is>
      </c>
      <c r="E1263" s="7" t="inlineStr">
        <is>
          <t>Lloyds Banking Group</t>
        </is>
      </c>
      <c r="F1263" s="8" t="inlineStr">
        <is>
          <t>Leeds, ENG, GB</t>
        </is>
      </c>
      <c r="G1263" s="8" t="n"/>
      <c r="H1263" s="14" t="n"/>
      <c r="I1263" s="15">
        <f>IF($H1263="","",$H1263-TODAY())</f>
        <v/>
      </c>
      <c r="J1263" s="16" t="inlineStr">
        <is>
          <t>Open posting</t>
        </is>
      </c>
      <c r="K1263" s="8" t="inlineStr">
        <is>
          <t>filtered by keyword pre-scan</t>
        </is>
      </c>
      <c r="L1263" s="17" t="inlineStr">
        <is>
          <t>new</t>
        </is>
      </c>
      <c r="M1263" s="18" t="inlineStr"/>
      <c r="N1263" s="7" t="inlineStr">
        <is>
          <t>53889b35d69209eeaf305096fab98c5f50a2313b</t>
        </is>
      </c>
      <c r="O1263" s="14" t="n">
        <v>46191</v>
      </c>
      <c r="P1263" s="7" t="inlineStr">
        <is>
          <t>jobspy</t>
        </is>
      </c>
      <c r="Q1263" s="8" t="inlineStr">
        <is>
          <t>python, docker, kubernetes, git, c</t>
        </is>
      </c>
      <c r="R1263" s="8" t="inlineStr">
        <is>
          <t>Platform Engineer Docker Kubernetes Python</t>
        </is>
      </c>
      <c r="S1263" s="19" t="n"/>
      <c r="T1263" s="19" t="n"/>
      <c r="U1263" s="14" t="n">
        <v>46193</v>
      </c>
      <c r="V1263" s="7" t="inlineStr">
        <is>
          <t>v2-cv-accuracy-13b988b18da8ea7d</t>
        </is>
      </c>
    </row>
    <row r="1264" ht="28" customHeight="1">
      <c r="A1264" s="12">
        <f>IF($L1264="applied","Applied",IF($L1264="interview","Interview",IF($L1264="offer","Offer",IF($L1264="rejected","Rejected",IF($L1264="ignore","Ignore",IF($L1264="archive","Archive",IF($L1264="closed","Closed",IF($B1264="","Unscored",IF(AND($B1264&gt;=8,OR($H1264="",$H1264-TODAY()&lt;=14)),"P1 Apply",IF($B1264&gt;=7,"P2 Strong",IF($B1264&gt;=5,"P3 Maybe","P4 Low")))))))))))</f>
        <v/>
      </c>
      <c r="B1264" s="13" t="n">
        <v>0</v>
      </c>
      <c r="C1264" s="12" t="inlineStr">
        <is>
          <t>Senior/Lead</t>
        </is>
      </c>
      <c r="D1264" s="8" t="inlineStr">
        <is>
          <t>DevOps/Site Reliability Engineer, Junior/Mid/Senior (m/f/*)</t>
        </is>
      </c>
      <c r="E1264" s="7" t="inlineStr">
        <is>
          <t>Quaisr</t>
        </is>
      </c>
      <c r="F1264" s="8" t="inlineStr">
        <is>
          <t>London, ENG, GB</t>
        </is>
      </c>
      <c r="G1264" s="8" t="n"/>
      <c r="H1264" s="14" t="n"/>
      <c r="I1264" s="15">
        <f>IF($H1264="","",$H1264-TODAY())</f>
        <v/>
      </c>
      <c r="J1264" s="16" t="inlineStr">
        <is>
          <t>Open posting</t>
        </is>
      </c>
      <c r="K1264" s="8" t="inlineStr">
        <is>
          <t>filtered by keyword pre-scan</t>
        </is>
      </c>
      <c r="L1264" s="17" t="inlineStr">
        <is>
          <t>new</t>
        </is>
      </c>
      <c r="M1264" s="18" t="inlineStr"/>
      <c r="N1264" s="7" t="inlineStr">
        <is>
          <t>660c72d9359806de6ac0469a0c518577ca1fab3b</t>
        </is>
      </c>
      <c r="O1264" s="14" t="n">
        <v>46190</v>
      </c>
      <c r="P1264" s="7" t="inlineStr">
        <is>
          <t>jobspy</t>
        </is>
      </c>
      <c r="Q1264" s="8" t="inlineStr">
        <is>
          <t>python, docker, kubernetes, git, c</t>
        </is>
      </c>
      <c r="R1264" s="8" t="inlineStr">
        <is>
          <t>Platform Engineer Docker Kubernetes Python</t>
        </is>
      </c>
      <c r="S1264" s="19" t="n"/>
      <c r="T1264" s="19" t="n"/>
      <c r="U1264" s="14" t="n">
        <v>46193</v>
      </c>
      <c r="V1264" s="7" t="inlineStr">
        <is>
          <t>v2-cv-accuracy-13b988b18da8ea7d</t>
        </is>
      </c>
    </row>
    <row r="1265" ht="28" customHeight="1">
      <c r="A1265" s="12">
        <f>IF($L1265="applied","Applied",IF($L1265="interview","Interview",IF($L1265="offer","Offer",IF($L1265="rejected","Rejected",IF($L1265="ignore","Ignore",IF($L1265="archive","Archive",IF($L1265="closed","Closed",IF($B1265="","Unscored",IF(AND($B1265&gt;=8,OR($H1265="",$H1265-TODAY()&lt;=14)),"P1 Apply",IF($B1265&gt;=7,"P2 Strong",IF($B1265&gt;=5,"P3 Maybe","P4 Low")))))))))))</f>
        <v/>
      </c>
      <c r="B1265" s="13" t="n">
        <v>0</v>
      </c>
      <c r="C1265" s="12" t="inlineStr">
        <is>
          <t>Senior/Lead</t>
        </is>
      </c>
      <c r="D1265" s="8" t="inlineStr">
        <is>
          <t>Member of Technical Staff (Backend/Infrastructure Engineer, Search)</t>
        </is>
      </c>
      <c r="E1265" s="7" t="inlineStr">
        <is>
          <t>Perplexity</t>
        </is>
      </c>
      <c r="F1265" s="8" t="inlineStr">
        <is>
          <t>London, England, UK</t>
        </is>
      </c>
      <c r="G1265" s="8" t="n"/>
      <c r="H1265" s="14" t="n"/>
      <c r="I1265" s="15">
        <f>IF($H1265="","",$H1265-TODAY())</f>
        <v/>
      </c>
      <c r="J1265" s="16" t="inlineStr">
        <is>
          <t>Open posting</t>
        </is>
      </c>
      <c r="K1265" s="8" t="inlineStr">
        <is>
          <t>filtered by keyword pre-scan</t>
        </is>
      </c>
      <c r="L1265" s="17" t="inlineStr">
        <is>
          <t>new</t>
        </is>
      </c>
      <c r="M1265" s="18" t="inlineStr"/>
      <c r="N1265" s="7" t="inlineStr">
        <is>
          <t>08234785cb59c3c61f9537d298a1fc69ab335298</t>
        </is>
      </c>
      <c r="O1265" s="14" t="n">
        <v>46189</v>
      </c>
      <c r="P1265" s="7" t="inlineStr">
        <is>
          <t>jobspy</t>
        </is>
      </c>
      <c r="Q1265" s="8" t="inlineStr">
        <is>
          <t>python, c</t>
        </is>
      </c>
      <c r="R1265" s="8" t="inlineStr">
        <is>
          <t>Platform Engineer Docker Kubernetes Python</t>
        </is>
      </c>
      <c r="S1265" s="19" t="n"/>
      <c r="T1265" s="19" t="n"/>
      <c r="U1265" s="14" t="n">
        <v>46193</v>
      </c>
      <c r="V1265" s="7" t="inlineStr">
        <is>
          <t>v2-cv-accuracy-13b988b18da8ea7d</t>
        </is>
      </c>
    </row>
    <row r="1266" ht="28" customHeight="1">
      <c r="A1266" s="12">
        <f>IF($L1266="applied","Applied",IF($L1266="interview","Interview",IF($L1266="offer","Offer",IF($L1266="rejected","Rejected",IF($L1266="ignore","Ignore",IF($L1266="archive","Archive",IF($L1266="closed","Closed",IF($B1266="","Unscored",IF(AND($B1266&gt;=8,OR($H1266="",$H1266-TODAY()&lt;=14)),"P1 Apply",IF($B1266&gt;=7,"P2 Strong",IF($B1266&gt;=5,"P3 Maybe","P4 Low")))))))))))</f>
        <v/>
      </c>
      <c r="B1266" s="13" t="n">
        <v>0</v>
      </c>
      <c r="C1266" s="12" t="inlineStr">
        <is>
          <t>Senior/Lead</t>
        </is>
      </c>
      <c r="D1266" s="8" t="inlineStr">
        <is>
          <t>Senior Platform Engineer</t>
        </is>
      </c>
      <c r="E1266" s="7" t="inlineStr">
        <is>
          <t>Atarus</t>
        </is>
      </c>
      <c r="F1266" s="8" t="inlineStr">
        <is>
          <t>London Area, United Kingdom</t>
        </is>
      </c>
      <c r="G1266" s="8" t="n"/>
      <c r="H1266" s="14" t="n"/>
      <c r="I1266" s="15">
        <f>IF($H1266="","",$H1266-TODAY())</f>
        <v/>
      </c>
      <c r="J1266" s="16" t="inlineStr">
        <is>
          <t>Open posting</t>
        </is>
      </c>
      <c r="K1266" s="8" t="inlineStr">
        <is>
          <t>filtered by keyword pre-scan</t>
        </is>
      </c>
      <c r="L1266" s="17" t="inlineStr">
        <is>
          <t>new</t>
        </is>
      </c>
      <c r="M1266" s="18" t="inlineStr"/>
      <c r="N1266" s="7" t="inlineStr">
        <is>
          <t>73e4f87a16fbccd5b19bb76803127a39cf7a7cc5</t>
        </is>
      </c>
      <c r="O1266" s="14" t="n">
        <v>46189</v>
      </c>
      <c r="P1266" s="7" t="inlineStr">
        <is>
          <t>jobspy</t>
        </is>
      </c>
      <c r="Q1266" s="8" t="inlineStr">
        <is>
          <t>python, kubernetes, c</t>
        </is>
      </c>
      <c r="R1266" s="8" t="inlineStr">
        <is>
          <t>Platform Engineer Docker Kubernetes Python</t>
        </is>
      </c>
      <c r="S1266" s="19" t="n"/>
      <c r="T1266" s="19" t="n"/>
      <c r="U1266" s="14" t="n">
        <v>46193</v>
      </c>
      <c r="V1266" s="7" t="inlineStr">
        <is>
          <t>v2-cv-accuracy-13b988b18da8ea7d</t>
        </is>
      </c>
    </row>
    <row r="1267" ht="28" customHeight="1">
      <c r="A1267" s="12">
        <f>IF($L1267="applied","Applied",IF($L1267="interview","Interview",IF($L1267="offer","Offer",IF($L1267="rejected","Rejected",IF($L1267="ignore","Ignore",IF($L1267="archive","Archive",IF($L1267="closed","Closed",IF($B1267="","Unscored",IF(AND($B1267&gt;=8,OR($H1267="",$H1267-TODAY()&lt;=14)),"P1 Apply",IF($B1267&gt;=7,"P2 Strong",IF($B1267&gt;=5,"P3 Maybe","P4 Low")))))))))))</f>
        <v/>
      </c>
      <c r="B1267" s="13" t="n">
        <v>0</v>
      </c>
      <c r="C1267" s="12" t="inlineStr">
        <is>
          <t>Senior/Lead</t>
        </is>
      </c>
      <c r="D1267" s="8" t="inlineStr">
        <is>
          <t>Senior Platform Engineer</t>
        </is>
      </c>
      <c r="E1267" s="7" t="inlineStr">
        <is>
          <t>Automata</t>
        </is>
      </c>
      <c r="F1267" s="8" t="inlineStr">
        <is>
          <t>London, England, UK</t>
        </is>
      </c>
      <c r="G1267" s="8" t="n"/>
      <c r="H1267" s="14" t="n"/>
      <c r="I1267" s="15">
        <f>IF($H1267="","",$H1267-TODAY())</f>
        <v/>
      </c>
      <c r="J1267" s="16" t="inlineStr">
        <is>
          <t>Open posting</t>
        </is>
      </c>
      <c r="K1267" s="8" t="inlineStr">
        <is>
          <t>filtered by keyword pre-scan</t>
        </is>
      </c>
      <c r="L1267" s="17" t="inlineStr">
        <is>
          <t>new</t>
        </is>
      </c>
      <c r="M1267" s="18" t="inlineStr"/>
      <c r="N1267" s="7" t="inlineStr">
        <is>
          <t>aac85e684b736f85c924f5aeca47e8b1e8151a46</t>
        </is>
      </c>
      <c r="O1267" s="14" t="n"/>
      <c r="P1267" s="7" t="inlineStr">
        <is>
          <t>jobspy</t>
        </is>
      </c>
      <c r="Q1267" s="8" t="inlineStr">
        <is>
          <t>python, kubernetes, git, c</t>
        </is>
      </c>
      <c r="R1267" s="8" t="inlineStr">
        <is>
          <t>Platform Engineer Docker Kubernetes Python</t>
        </is>
      </c>
      <c r="S1267" s="19" t="n"/>
      <c r="T1267" s="19" t="n"/>
      <c r="U1267" s="14" t="n">
        <v>46193</v>
      </c>
      <c r="V1267" s="7" t="inlineStr">
        <is>
          <t>v2-cv-accuracy-13b988b18da8ea7d</t>
        </is>
      </c>
    </row>
    <row r="1268" ht="28" customHeight="1">
      <c r="A1268" s="12">
        <f>IF($L1268="applied","Applied",IF($L1268="interview","Interview",IF($L1268="offer","Offer",IF($L1268="rejected","Rejected",IF($L1268="ignore","Ignore",IF($L1268="archive","Archive",IF($L1268="closed","Closed",IF($B1268="","Unscored",IF(AND($B1268&gt;=8,OR($H1268="",$H1268-TODAY()&lt;=14)),"P1 Apply",IF($B1268&gt;=7,"P2 Strong",IF($B1268&gt;=5,"P3 Maybe","P4 Low")))))))))))</f>
        <v/>
      </c>
      <c r="B1268" s="13" t="n">
        <v>0</v>
      </c>
      <c r="C1268" s="12" t="inlineStr">
        <is>
          <t>Senior/Lead</t>
        </is>
      </c>
      <c r="D1268" s="8" t="inlineStr">
        <is>
          <t>Staff SerDes Design Engineer - DSP</t>
        </is>
      </c>
      <c r="E1268" s="7" t="inlineStr">
        <is>
          <t>AMD</t>
        </is>
      </c>
      <c r="F1268" s="8" t="inlineStr">
        <is>
          <t>Penicuik, Scotland, UK</t>
        </is>
      </c>
      <c r="G1268" s="8" t="n"/>
      <c r="H1268" s="14" t="n"/>
      <c r="I1268" s="15">
        <f>IF($H1268="","",$H1268-TODAY())</f>
        <v/>
      </c>
      <c r="J1268" s="16" t="inlineStr">
        <is>
          <t>Open posting</t>
        </is>
      </c>
      <c r="K1268" s="8" t="inlineStr">
        <is>
          <t>filtered by keyword pre-scan</t>
        </is>
      </c>
      <c r="L1268" s="17" t="inlineStr">
        <is>
          <t>new</t>
        </is>
      </c>
      <c r="M1268" s="18" t="inlineStr"/>
      <c r="N1268" s="7" t="inlineStr">
        <is>
          <t>67c20f3a13c429493f1d486cc7a3c4a8b6088a2a</t>
        </is>
      </c>
      <c r="O1268" s="14" t="n">
        <v>46191</v>
      </c>
      <c r="P1268" s="7" t="inlineStr">
        <is>
          <t>jobspy</t>
        </is>
      </c>
      <c r="Q1268" s="8" t="inlineStr">
        <is>
          <t>verilog, git, c, embedded systems, digital design</t>
        </is>
      </c>
      <c r="R1268" s="8" t="inlineStr">
        <is>
          <t>Signal Processing Engineer DSP FPGA</t>
        </is>
      </c>
      <c r="S1268" s="19" t="n"/>
      <c r="T1268" s="19" t="n"/>
      <c r="U1268" s="14" t="n">
        <v>46193</v>
      </c>
      <c r="V1268" s="7" t="inlineStr">
        <is>
          <t>v2-cv-accuracy-13b988b18da8ea7d</t>
        </is>
      </c>
    </row>
    <row r="1269" ht="28" customHeight="1">
      <c r="A1269" s="12">
        <f>IF($L1269="applied","Applied",IF($L1269="interview","Interview",IF($L1269="offer","Offer",IF($L1269="rejected","Rejected",IF($L1269="ignore","Ignore",IF($L1269="archive","Archive",IF($L1269="closed","Closed",IF($B1269="","Unscored",IF(AND($B1269&gt;=8,OR($H1269="",$H1269-TODAY()&lt;=14)),"P1 Apply",IF($B1269&gt;=7,"P2 Strong",IF($B1269&gt;=5,"P3 Maybe","P4 Low")))))))))))</f>
        <v/>
      </c>
      <c r="B1269" s="13" t="n">
        <v>0</v>
      </c>
      <c r="C1269" s="12" t="inlineStr">
        <is>
          <t>Senior/Lead</t>
        </is>
      </c>
      <c r="D1269" s="8" t="inlineStr">
        <is>
          <t>Verification / Senior Verification Engineer</t>
        </is>
      </c>
      <c r="E1269" s="7" t="inlineStr">
        <is>
          <t>Riverlane</t>
        </is>
      </c>
      <c r="F1269" s="8" t="inlineStr">
        <is>
          <t>Cambridge, England, UK</t>
        </is>
      </c>
      <c r="G1269" s="8" t="n"/>
      <c r="H1269" s="14" t="n"/>
      <c r="I1269" s="15">
        <f>IF($H1269="","",$H1269-TODAY())</f>
        <v/>
      </c>
      <c r="J1269" s="16" t="inlineStr">
        <is>
          <t>Open posting</t>
        </is>
      </c>
      <c r="K1269" s="8" t="inlineStr">
        <is>
          <t>filtered by keyword pre-scan</t>
        </is>
      </c>
      <c r="L1269" s="17" t="inlineStr">
        <is>
          <t>new</t>
        </is>
      </c>
      <c r="M1269" s="18" t="inlineStr"/>
      <c r="N1269" s="7" t="inlineStr">
        <is>
          <t>11147f440fdff86440475a8e2588cda047d99f95</t>
        </is>
      </c>
      <c r="O1269" s="14" t="n">
        <v>46184</v>
      </c>
      <c r="P1269" s="7" t="inlineStr">
        <is>
          <t>jobspy</t>
        </is>
      </c>
      <c r="Q1269" s="8" t="inlineStr">
        <is>
          <t>python, verilog, c, hardware design</t>
        </is>
      </c>
      <c r="R1269" s="8" t="inlineStr">
        <is>
          <t>Verification Engineer FPGA Verilog digital</t>
        </is>
      </c>
      <c r="S1269" s="19" t="n"/>
      <c r="T1269" s="19" t="n"/>
      <c r="U1269" s="14" t="n">
        <v>46193</v>
      </c>
      <c r="V1269" s="7" t="inlineStr">
        <is>
          <t>v2-cv-accuracy-13b988b18da8ea7d</t>
        </is>
      </c>
    </row>
    <row r="1270" ht="28" customHeight="1">
      <c r="A1270" s="12">
        <f>IF($L1270="applied","Applied",IF($L1270="interview","Interview",IF($L1270="offer","Offer",IF($L1270="rejected","Rejected",IF($L1270="ignore","Ignore",IF($L1270="archive","Archive",IF($L1270="closed","Closed",IF($B1270="","Unscored",IF(AND($B1270&gt;=8,OR($H1270="",$H1270-TODAY()&lt;=14)),"P1 Apply",IF($B1270&gt;=7,"P2 Strong",IF($B1270&gt;=5,"P3 Maybe","P4 Low")))))))))))</f>
        <v/>
      </c>
      <c r="B1270" s="13" t="n">
        <v>0</v>
      </c>
      <c r="C1270" s="12" t="inlineStr">
        <is>
          <t>Senior/Lead</t>
        </is>
      </c>
      <c r="D1270" s="8" t="inlineStr">
        <is>
          <t>Senior Backend Software Engineer (Python)</t>
        </is>
      </c>
      <c r="E1270" s="7" t="inlineStr">
        <is>
          <t>Anaplan</t>
        </is>
      </c>
      <c r="F1270" s="8" t="inlineStr">
        <is>
          <t>Manchester, ENG, GB</t>
        </is>
      </c>
      <c r="G1270" s="8" t="n"/>
      <c r="H1270" s="14" t="n"/>
      <c r="I1270" s="15">
        <f>IF($H1270="","",$H1270-TODAY())</f>
        <v/>
      </c>
      <c r="J1270" s="16" t="inlineStr">
        <is>
          <t>Open posting</t>
        </is>
      </c>
      <c r="K1270" s="8" t="inlineStr">
        <is>
          <t>filtered by keyword pre-scan</t>
        </is>
      </c>
      <c r="L1270" s="17" t="inlineStr">
        <is>
          <t>new</t>
        </is>
      </c>
      <c r="M1270" s="18" t="inlineStr"/>
      <c r="N1270" s="7" t="inlineStr">
        <is>
          <t>c0449476fe95b0caba969723b260aa9b608e86ed</t>
        </is>
      </c>
      <c r="O1270" s="14" t="n">
        <v>46185</v>
      </c>
      <c r="P1270" s="7" t="inlineStr">
        <is>
          <t>jobspy</t>
        </is>
      </c>
      <c r="Q1270" s="8" t="inlineStr">
        <is>
          <t>python, kubernetes, c</t>
        </is>
      </c>
      <c r="R1270" s="8" t="inlineStr">
        <is>
          <t>Junior Software Engineer Python backend</t>
        </is>
      </c>
      <c r="S1270" s="19" t="n"/>
      <c r="T1270" s="19" t="n"/>
      <c r="U1270" s="14" t="n">
        <v>46193</v>
      </c>
      <c r="V1270" s="7" t="inlineStr">
        <is>
          <t>v2-cv-accuracy-13b988b18da8ea7d</t>
        </is>
      </c>
    </row>
    <row r="1271" ht="28" customHeight="1">
      <c r="A1271" s="12">
        <f>IF($L1271="applied","Applied",IF($L1271="interview","Interview",IF($L1271="offer","Offer",IF($L1271="rejected","Rejected",IF($L1271="ignore","Ignore",IF($L1271="archive","Archive",IF($L1271="closed","Closed",IF($B1271="","Unscored",IF(AND($B1271&gt;=8,OR($H1271="",$H1271-TODAY()&lt;=14)),"P1 Apply",IF($B1271&gt;=7,"P2 Strong",IF($B1271&gt;=5,"P3 Maybe","P4 Low")))))))))))</f>
        <v/>
      </c>
      <c r="B1271" s="13" t="n">
        <v>0</v>
      </c>
      <c r="C1271" s="12" t="inlineStr">
        <is>
          <t>Senior/Lead</t>
        </is>
      </c>
      <c r="D1271" s="8" t="inlineStr">
        <is>
          <t>Senior Golang Software Engineer</t>
        </is>
      </c>
      <c r="E1271" s="7" t="inlineStr">
        <is>
          <t>Infosum</t>
        </is>
      </c>
      <c r="F1271" s="8" t="inlineStr">
        <is>
          <t>Basingstoke, ENG, GB</t>
        </is>
      </c>
      <c r="G1271" s="8" t="n"/>
      <c r="H1271" s="14" t="n"/>
      <c r="I1271" s="15">
        <f>IF($H1271="","",$H1271-TODAY())</f>
        <v/>
      </c>
      <c r="J1271" s="16" t="inlineStr">
        <is>
          <t>Open posting</t>
        </is>
      </c>
      <c r="K1271" s="8" t="inlineStr">
        <is>
          <t>filtered by keyword pre-scan</t>
        </is>
      </c>
      <c r="L1271" s="17" t="inlineStr">
        <is>
          <t>new</t>
        </is>
      </c>
      <c r="M1271" s="18" t="inlineStr"/>
      <c r="N1271" s="7" t="inlineStr">
        <is>
          <t>87b37f1588af2b2c6b19eec7ca312efb341e49d3</t>
        </is>
      </c>
      <c r="O1271" s="14" t="n">
        <v>46183</v>
      </c>
      <c r="P1271" s="7" t="inlineStr">
        <is>
          <t>jobspy</t>
        </is>
      </c>
      <c r="Q1271" s="8" t="inlineStr">
        <is>
          <t>python, sql, docker, kubernetes, c</t>
        </is>
      </c>
      <c r="R1271" s="8" t="inlineStr">
        <is>
          <t>Junior Software Engineer Python backend</t>
        </is>
      </c>
      <c r="S1271" s="19" t="n"/>
      <c r="T1271" s="19" t="n"/>
      <c r="U1271" s="14" t="n">
        <v>46193</v>
      </c>
      <c r="V1271" s="7" t="inlineStr">
        <is>
          <t>v2-cv-accuracy-13b988b18da8ea7d</t>
        </is>
      </c>
    </row>
    <row r="1272" ht="28" customHeight="1">
      <c r="A1272" s="12">
        <f>IF($L1272="applied","Applied",IF($L1272="interview","Interview",IF($L1272="offer","Offer",IF($L1272="rejected","Rejected",IF($L1272="ignore","Ignore",IF($L1272="archive","Archive",IF($L1272="closed","Closed",IF($B1272="","Unscored",IF(AND($B1272&gt;=8,OR($H1272="",$H1272-TODAY()&lt;=14)),"P1 Apply",IF($B1272&gt;=7,"P2 Strong",IF($B1272&gt;=5,"P3 Maybe","P4 Low")))))))))))</f>
        <v/>
      </c>
      <c r="B1272" s="13" t="n">
        <v>0</v>
      </c>
      <c r="C1272" s="12" t="inlineStr">
        <is>
          <t>Senior/Lead</t>
        </is>
      </c>
      <c r="D1272" s="8" t="inlineStr">
        <is>
          <t>Staff Software Engineer, Platform Engineering</t>
        </is>
      </c>
      <c r="E1272" s="7" t="inlineStr">
        <is>
          <t>CommandLink</t>
        </is>
      </c>
      <c r="F1272" s="8" t="inlineStr">
        <is>
          <t>Remote, GB</t>
        </is>
      </c>
      <c r="G1272" s="8" t="n"/>
      <c r="H1272" s="14" t="n"/>
      <c r="I1272" s="15">
        <f>IF($H1272="","",$H1272-TODAY())</f>
        <v/>
      </c>
      <c r="J1272" s="16" t="inlineStr">
        <is>
          <t>Open posting</t>
        </is>
      </c>
      <c r="K1272" s="8" t="inlineStr">
        <is>
          <t>filtered by keyword pre-scan</t>
        </is>
      </c>
      <c r="L1272" s="17" t="inlineStr">
        <is>
          <t>new</t>
        </is>
      </c>
      <c r="M1272" s="18" t="inlineStr"/>
      <c r="N1272" s="7" t="inlineStr">
        <is>
          <t>a213c780307c88eed3361d944a60dc87499d260d</t>
        </is>
      </c>
      <c r="O1272" s="14" t="n">
        <v>46183</v>
      </c>
      <c r="P1272" s="7" t="inlineStr">
        <is>
          <t>jobspy</t>
        </is>
      </c>
      <c r="Q1272" s="8" t="inlineStr">
        <is>
          <t>python, c</t>
        </is>
      </c>
      <c r="R1272" s="8" t="inlineStr">
        <is>
          <t>Junior Software Engineer Python backend</t>
        </is>
      </c>
      <c r="S1272" s="19" t="n"/>
      <c r="T1272" s="19" t="n"/>
      <c r="U1272" s="14" t="n">
        <v>46193</v>
      </c>
      <c r="V1272" s="7" t="inlineStr">
        <is>
          <t>v2-cv-accuracy-13b988b18da8ea7d</t>
        </is>
      </c>
    </row>
    <row r="1273" ht="28" customHeight="1">
      <c r="A1273" s="12">
        <f>IF($L1273="applied","Applied",IF($L1273="interview","Interview",IF($L1273="offer","Offer",IF($L1273="rejected","Rejected",IF($L1273="ignore","Ignore",IF($L1273="archive","Archive",IF($L1273="closed","Closed",IF($B1273="","Unscored",IF(AND($B1273&gt;=8,OR($H1273="",$H1273-TODAY()&lt;=14)),"P1 Apply",IF($B1273&gt;=7,"P2 Strong",IF($B1273&gt;=5,"P3 Maybe","P4 Low")))))))))))</f>
        <v/>
      </c>
      <c r="B1273" s="13" t="n">
        <v>0</v>
      </c>
      <c r="C1273" s="12" t="inlineStr">
        <is>
          <t>Senior/Lead</t>
        </is>
      </c>
      <c r="D1273" s="8" t="inlineStr">
        <is>
          <t>Staff Software Engineer - Data Solutions &amp; Measurement</t>
        </is>
      </c>
      <c r="E1273" s="7" t="inlineStr">
        <is>
          <t>CINT</t>
        </is>
      </c>
      <c r="F1273" s="8" t="inlineStr">
        <is>
          <t>Remote, GB</t>
        </is>
      </c>
      <c r="G1273" s="8" t="n"/>
      <c r="H1273" s="14" t="n"/>
      <c r="I1273" s="15">
        <f>IF($H1273="","",$H1273-TODAY())</f>
        <v/>
      </c>
      <c r="J1273" s="16" t="inlineStr">
        <is>
          <t>Open posting</t>
        </is>
      </c>
      <c r="K1273" s="8" t="inlineStr">
        <is>
          <t>filtered by keyword pre-scan</t>
        </is>
      </c>
      <c r="L1273" s="17" t="inlineStr">
        <is>
          <t>new</t>
        </is>
      </c>
      <c r="M1273" s="18" t="inlineStr"/>
      <c r="N1273" s="7" t="inlineStr">
        <is>
          <t>a40c94b062da9d54cf2335155079eb73de1acd33</t>
        </is>
      </c>
      <c r="O1273" s="14" t="n">
        <v>46178</v>
      </c>
      <c r="P1273" s="7" t="inlineStr">
        <is>
          <t>jobspy</t>
        </is>
      </c>
      <c r="Q1273" s="8" t="inlineStr">
        <is>
          <t>python, sql, docker, git, c</t>
        </is>
      </c>
      <c r="R1273" s="8" t="inlineStr">
        <is>
          <t>Junior Software Engineer Python backend</t>
        </is>
      </c>
      <c r="S1273" s="19" t="n"/>
      <c r="T1273" s="19" t="n"/>
      <c r="U1273" s="14" t="n">
        <v>46193</v>
      </c>
      <c r="V1273" s="7" t="inlineStr">
        <is>
          <t>v2-cv-accuracy-13b988b18da8ea7d</t>
        </is>
      </c>
    </row>
    <row r="1274" ht="28" customHeight="1">
      <c r="A1274" s="12">
        <f>IF($L1274="applied","Applied",IF($L1274="interview","Interview",IF($L1274="offer","Offer",IF($L1274="rejected","Rejected",IF($L1274="ignore","Ignore",IF($L1274="archive","Archive",IF($L1274="closed","Closed",IF($B1274="","Unscored",IF(AND($B1274&gt;=8,OR($H1274="",$H1274-TODAY()&lt;=14)),"P1 Apply",IF($B1274&gt;=7,"P2 Strong",IF($B1274&gt;=5,"P3 Maybe","P4 Low")))))))))))</f>
        <v/>
      </c>
      <c r="B1274" s="13" t="n">
        <v>0</v>
      </c>
      <c r="C1274" s="12" t="inlineStr">
        <is>
          <t>Senior/Lead</t>
        </is>
      </c>
      <c r="D1274" s="8" t="inlineStr">
        <is>
          <t>Staff Software Engineer</t>
        </is>
      </c>
      <c r="E1274" s="7" t="inlineStr">
        <is>
          <t>Opus 2 International</t>
        </is>
      </c>
      <c r="F1274" s="8" t="inlineStr">
        <is>
          <t>Edinburgh, SCT, GB</t>
        </is>
      </c>
      <c r="G1274" s="8" t="n"/>
      <c r="H1274" s="14" t="n"/>
      <c r="I1274" s="15">
        <f>IF($H1274="","",$H1274-TODAY())</f>
        <v/>
      </c>
      <c r="J1274" s="16" t="inlineStr">
        <is>
          <t>Open posting</t>
        </is>
      </c>
      <c r="K1274" s="8" t="inlineStr">
        <is>
          <t>filtered by keyword pre-scan</t>
        </is>
      </c>
      <c r="L1274" s="17" t="inlineStr">
        <is>
          <t>new</t>
        </is>
      </c>
      <c r="M1274" s="18" t="inlineStr"/>
      <c r="N1274" s="7" t="inlineStr">
        <is>
          <t>883c916d644f0950415c610b31e64dc0fa54d560</t>
        </is>
      </c>
      <c r="O1274" s="14" t="n">
        <v>46178</v>
      </c>
      <c r="P1274" s="7" t="inlineStr">
        <is>
          <t>jobspy</t>
        </is>
      </c>
      <c r="Q1274" s="8" t="inlineStr">
        <is>
          <t>python, kubernetes, c</t>
        </is>
      </c>
      <c r="R1274" s="8" t="inlineStr">
        <is>
          <t>Junior Software Engineer Python backend</t>
        </is>
      </c>
      <c r="S1274" s="19" t="n"/>
      <c r="T1274" s="19" t="n"/>
      <c r="U1274" s="14" t="n">
        <v>46193</v>
      </c>
      <c r="V1274" s="7" t="inlineStr">
        <is>
          <t>v2-cv-accuracy-13b988b18da8ea7d</t>
        </is>
      </c>
    </row>
    <row r="1275" ht="28" customHeight="1">
      <c r="A1275" s="12">
        <f>IF($L1275="applied","Applied",IF($L1275="interview","Interview",IF($L1275="offer","Offer",IF($L1275="rejected","Rejected",IF($L1275="ignore","Ignore",IF($L1275="archive","Archive",IF($L1275="closed","Closed",IF($B1275="","Unscored",IF(AND($B1275&gt;=8,OR($H1275="",$H1275-TODAY()&lt;=14)),"P1 Apply",IF($B1275&gt;=7,"P2 Strong",IF($B1275&gt;=5,"P3 Maybe","P4 Low")))))))))))</f>
        <v/>
      </c>
      <c r="B1275" s="13" t="n">
        <v>0</v>
      </c>
      <c r="C1275" s="12" t="inlineStr">
        <is>
          <t>Senior/Lead</t>
        </is>
      </c>
      <c r="D1275" s="8" t="inlineStr">
        <is>
          <t>Senior Software Engineer</t>
        </is>
      </c>
      <c r="E1275" s="7" t="inlineStr">
        <is>
          <t>Opus 2 International</t>
        </is>
      </c>
      <c r="F1275" s="8" t="inlineStr">
        <is>
          <t>Edinburgh, SCT, GB</t>
        </is>
      </c>
      <c r="G1275" s="8" t="n"/>
      <c r="H1275" s="14" t="n"/>
      <c r="I1275" s="15">
        <f>IF($H1275="","",$H1275-TODAY())</f>
        <v/>
      </c>
      <c r="J1275" s="16" t="inlineStr">
        <is>
          <t>Open posting</t>
        </is>
      </c>
      <c r="K1275" s="8" t="inlineStr">
        <is>
          <t>filtered by keyword pre-scan</t>
        </is>
      </c>
      <c r="L1275" s="17" t="inlineStr">
        <is>
          <t>new</t>
        </is>
      </c>
      <c r="M1275" s="18" t="inlineStr"/>
      <c r="N1275" s="7" t="inlineStr">
        <is>
          <t>46efa3642cb27be765fadc92a2b287de6a58ead6</t>
        </is>
      </c>
      <c r="O1275" s="14" t="n">
        <v>46178</v>
      </c>
      <c r="P1275" s="7" t="inlineStr">
        <is>
          <t>jobspy</t>
        </is>
      </c>
      <c r="Q1275" s="8" t="inlineStr">
        <is>
          <t>python, kubernetes, c</t>
        </is>
      </c>
      <c r="R1275" s="8" t="inlineStr">
        <is>
          <t>Junior Software Engineer Python backend</t>
        </is>
      </c>
      <c r="S1275" s="19" t="n"/>
      <c r="T1275" s="19" t="n"/>
      <c r="U1275" s="14" t="n">
        <v>46193</v>
      </c>
      <c r="V1275" s="7" t="inlineStr">
        <is>
          <t>v2-cv-accuracy-13b988b18da8ea7d</t>
        </is>
      </c>
    </row>
    <row r="1276" ht="28" customHeight="1">
      <c r="A1276" s="12">
        <f>IF($L1276="applied","Applied",IF($L1276="interview","Interview",IF($L1276="offer","Offer",IF($L1276="rejected","Rejected",IF($L1276="ignore","Ignore",IF($L1276="archive","Archive",IF($L1276="closed","Closed",IF($B1276="","Unscored",IF(AND($B1276&gt;=8,OR($H1276="",$H1276-TODAY()&lt;=14)),"P1 Apply",IF($B1276&gt;=7,"P2 Strong",IF($B1276&gt;=5,"P3 Maybe","P4 Low")))))))))))</f>
        <v/>
      </c>
      <c r="B1276" s="13" t="n">
        <v>0</v>
      </c>
      <c r="C1276" s="12" t="inlineStr">
        <is>
          <t>Senior/Lead</t>
        </is>
      </c>
      <c r="D1276" s="8" t="inlineStr">
        <is>
          <t>Senior Platform Engineer - Core - Platform (UK)</t>
        </is>
      </c>
      <c r="E1276" s="7" t="inlineStr">
        <is>
          <t>Fanatics Betting &amp; Gaming</t>
        </is>
      </c>
      <c r="F1276" s="8" t="inlineStr">
        <is>
          <t>London, ENG, GB</t>
        </is>
      </c>
      <c r="G1276" s="8" t="n"/>
      <c r="H1276" s="14" t="n"/>
      <c r="I1276" s="15">
        <f>IF($H1276="","",$H1276-TODAY())</f>
        <v/>
      </c>
      <c r="J1276" s="16" t="inlineStr">
        <is>
          <t>Open posting</t>
        </is>
      </c>
      <c r="K1276" s="8" t="inlineStr">
        <is>
          <t>filtered by keyword pre-scan</t>
        </is>
      </c>
      <c r="L1276" s="17" t="inlineStr">
        <is>
          <t>new</t>
        </is>
      </c>
      <c r="M1276" s="18" t="inlineStr"/>
      <c r="N1276" s="7" t="inlineStr">
        <is>
          <t>7816a5e3dc750c0b8b43141368f8b736eeefba22</t>
        </is>
      </c>
      <c r="O1276" s="14" t="n">
        <v>46178</v>
      </c>
      <c r="P1276" s="7" t="inlineStr">
        <is>
          <t>jobspy</t>
        </is>
      </c>
      <c r="Q1276" s="8" t="inlineStr">
        <is>
          <t>python, kubernetes, git, c, backend development</t>
        </is>
      </c>
      <c r="R1276" s="8" t="inlineStr">
        <is>
          <t>Junior Software Engineer Python backend</t>
        </is>
      </c>
      <c r="S1276" s="19" t="n"/>
      <c r="T1276" s="19" t="n"/>
      <c r="U1276" s="14" t="n">
        <v>46193</v>
      </c>
      <c r="V1276" s="7" t="inlineStr">
        <is>
          <t>v2-cv-accuracy-13b988b18da8ea7d</t>
        </is>
      </c>
    </row>
    <row r="1277" ht="28" customHeight="1">
      <c r="A1277" s="12">
        <f>IF($L1277="applied","Applied",IF($L1277="interview","Interview",IF($L1277="offer","Offer",IF($L1277="rejected","Rejected",IF($L1277="ignore","Ignore",IF($L1277="archive","Archive",IF($L1277="closed","Closed",IF($B1277="","Unscored",IF(AND($B1277&gt;=8,OR($H1277="",$H1277-TODAY()&lt;=14)),"P1 Apply",IF($B1277&gt;=7,"P2 Strong",IF($B1277&gt;=5,"P3 Maybe","P4 Low")))))))))))</f>
        <v/>
      </c>
      <c r="B1277" s="13" t="n">
        <v>0</v>
      </c>
      <c r="C1277" s="12" t="inlineStr">
        <is>
          <t>Senior/Lead</t>
        </is>
      </c>
      <c r="D1277" s="8" t="inlineStr">
        <is>
          <t>Senior Software Engineer (Backend)</t>
        </is>
      </c>
      <c r="E1277" s="7" t="inlineStr">
        <is>
          <t>4C Strategies</t>
        </is>
      </c>
      <c r="F1277" s="8" t="inlineStr">
        <is>
          <t>Warminster, ENG, GB</t>
        </is>
      </c>
      <c r="G1277" s="8" t="n"/>
      <c r="H1277" s="14" t="n"/>
      <c r="I1277" s="15">
        <f>IF($H1277="","",$H1277-TODAY())</f>
        <v/>
      </c>
      <c r="J1277" s="16" t="inlineStr">
        <is>
          <t>Open posting</t>
        </is>
      </c>
      <c r="K1277" s="8" t="inlineStr">
        <is>
          <t>filtered by keyword pre-scan</t>
        </is>
      </c>
      <c r="L1277" s="17" t="inlineStr">
        <is>
          <t>new</t>
        </is>
      </c>
      <c r="M1277" s="18" t="inlineStr"/>
      <c r="N1277" s="7" t="inlineStr">
        <is>
          <t>3c759d513afbbeb80fb98a56a0f58dc2e9405f73</t>
        </is>
      </c>
      <c r="O1277" s="14" t="n">
        <v>46176</v>
      </c>
      <c r="P1277" s="7" t="inlineStr">
        <is>
          <t>jobspy</t>
        </is>
      </c>
      <c r="Q1277" s="8" t="inlineStr">
        <is>
          <t>python, sql, c</t>
        </is>
      </c>
      <c r="R1277" s="8" t="inlineStr">
        <is>
          <t>Junior Software Engineer Python backend</t>
        </is>
      </c>
      <c r="S1277" s="19" t="n"/>
      <c r="T1277" s="19" t="n"/>
      <c r="U1277" s="14" t="n">
        <v>46193</v>
      </c>
      <c r="V1277" s="7" t="inlineStr">
        <is>
          <t>v2-cv-accuracy-13b988b18da8ea7d</t>
        </is>
      </c>
    </row>
    <row r="1278" ht="28" customHeight="1">
      <c r="A1278" s="12">
        <f>IF($L1278="applied","Applied",IF($L1278="interview","Interview",IF($L1278="offer","Offer",IF($L1278="rejected","Rejected",IF($L1278="ignore","Ignore",IF($L1278="archive","Archive",IF($L1278="closed","Closed",IF($B1278="","Unscored",IF(AND($B1278&gt;=8,OR($H1278="",$H1278-TODAY()&lt;=14)),"P1 Apply",IF($B1278&gt;=7,"P2 Strong",IF($B1278&gt;=5,"P3 Maybe","P4 Low")))))))))))</f>
        <v/>
      </c>
      <c r="B1278" s="13" t="n">
        <v>0</v>
      </c>
      <c r="C1278" s="12" t="inlineStr">
        <is>
          <t>Senior/Lead</t>
        </is>
      </c>
      <c r="D1278" s="8" t="inlineStr">
        <is>
          <t>Principal AI Performance Engineer</t>
        </is>
      </c>
      <c r="E1278" s="7" t="inlineStr">
        <is>
          <t>Graphcore</t>
        </is>
      </c>
      <c r="F1278" s="8" t="inlineStr">
        <is>
          <t>US - Milpitas</t>
        </is>
      </c>
      <c r="G1278" s="8" t="n"/>
      <c r="H1278" s="14" t="n"/>
      <c r="I1278" s="15">
        <f>IF($H1278="","",$H1278-TODAY())</f>
        <v/>
      </c>
      <c r="J1278" s="16" t="inlineStr">
        <is>
          <t>Open posting</t>
        </is>
      </c>
      <c r="K1278" s="8" t="inlineStr">
        <is>
          <t>filtered by keyword pre-scan</t>
        </is>
      </c>
      <c r="L1278" s="17" t="inlineStr">
        <is>
          <t>new</t>
        </is>
      </c>
      <c r="M1278" s="18" t="inlineStr"/>
      <c r="N1278" s="7" t="inlineStr">
        <is>
          <t>0ced0185cd58032d2a7fe2a4c33413ce5381d6a7</t>
        </is>
      </c>
      <c r="O1278" s="14" t="n">
        <v>46191</v>
      </c>
      <c r="P1278" s="7" t="inlineStr">
        <is>
          <t>greenhouse:graphcore</t>
        </is>
      </c>
      <c r="Q1278" s="8" t="inlineStr">
        <is>
          <t>python</t>
        </is>
      </c>
      <c r="R1278" s="8" t="n"/>
      <c r="S1278" s="19" t="n"/>
      <c r="T1278" s="19" t="n"/>
      <c r="U1278" s="14" t="n">
        <v>46192</v>
      </c>
      <c r="V1278" s="7" t="inlineStr">
        <is>
          <t>v2-cv-accuracy-13b988b18da8ea7d</t>
        </is>
      </c>
    </row>
    <row r="1279" ht="28" customHeight="1">
      <c r="A1279" s="12">
        <f>IF($L1279="applied","Applied",IF($L1279="interview","Interview",IF($L1279="offer","Offer",IF($L1279="rejected","Rejected",IF($L1279="ignore","Ignore",IF($L1279="archive","Archive",IF($L1279="closed","Closed",IF($B1279="","Unscored",IF(AND($B1279&gt;=8,OR($H1279="",$H1279-TODAY()&lt;=14)),"P1 Apply",IF($B1279&gt;=7,"P2 Strong",IF($B1279&gt;=5,"P3 Maybe","P4 Low")))))))))))</f>
        <v/>
      </c>
      <c r="B1279" s="13" t="n">
        <v>0</v>
      </c>
      <c r="C1279" s="12" t="inlineStr">
        <is>
          <t>Senior/Lead</t>
        </is>
      </c>
      <c r="D1279" s="8" t="inlineStr">
        <is>
          <t>Staff Debug Validation Engineer</t>
        </is>
      </c>
      <c r="E1279" s="7" t="inlineStr">
        <is>
          <t>Graphcore</t>
        </is>
      </c>
      <c r="F1279" s="8" t="inlineStr">
        <is>
          <t>Bengaluru, India</t>
        </is>
      </c>
      <c r="G1279" s="8" t="n"/>
      <c r="H1279" s="14" t="n"/>
      <c r="I1279" s="15">
        <f>IF($H1279="","",$H1279-TODAY())</f>
        <v/>
      </c>
      <c r="J1279" s="16" t="inlineStr">
        <is>
          <t>Open posting</t>
        </is>
      </c>
      <c r="K1279" s="8" t="inlineStr">
        <is>
          <t>filtered by keyword pre-scan</t>
        </is>
      </c>
      <c r="L1279" s="17" t="inlineStr">
        <is>
          <t>new</t>
        </is>
      </c>
      <c r="M1279" s="18" t="inlineStr"/>
      <c r="N1279" s="7" t="inlineStr">
        <is>
          <t>7a6fac8ff40a8349a00d1a54df76268825489225</t>
        </is>
      </c>
      <c r="O1279" s="14" t="n">
        <v>46192</v>
      </c>
      <c r="P1279" s="7" t="inlineStr">
        <is>
          <t>greenhouse:graphcore</t>
        </is>
      </c>
      <c r="Q1279" s="8" t="inlineStr">
        <is>
          <t>python, git</t>
        </is>
      </c>
      <c r="R1279" s="8" t="n"/>
      <c r="S1279" s="19" t="n"/>
      <c r="T1279" s="19" t="n"/>
      <c r="U1279" s="14" t="n">
        <v>46192</v>
      </c>
      <c r="V1279" s="7" t="inlineStr">
        <is>
          <t>v2-cv-accuracy-13b988b18da8ea7d</t>
        </is>
      </c>
    </row>
    <row r="1280" ht="28" customHeight="1">
      <c r="A1280" s="12">
        <f>IF($L1280="applied","Applied",IF($L1280="interview","Interview",IF($L1280="offer","Offer",IF($L1280="rejected","Rejected",IF($L1280="ignore","Ignore",IF($L1280="archive","Archive",IF($L1280="closed","Closed",IF($B1280="","Unscored",IF(AND($B1280&gt;=8,OR($H1280="",$H1280-TODAY()&lt;=14)),"P1 Apply",IF($B1280&gt;=7,"P2 Strong",IF($B1280&gt;=5,"P3 Maybe","P4 Low")))))))))))</f>
        <v/>
      </c>
      <c r="B1280" s="13" t="n">
        <v>0</v>
      </c>
      <c r="C1280" s="12" t="inlineStr">
        <is>
          <t>Senior/Lead</t>
        </is>
      </c>
      <c r="D1280" s="8" t="inlineStr">
        <is>
          <t>Senior Controls Manager, FTC</t>
        </is>
      </c>
      <c r="E1280" s="7" t="inlineStr">
        <is>
          <t>Monzo</t>
        </is>
      </c>
      <c r="F1280" s="8" t="inlineStr">
        <is>
          <t>London; Remote (UK)</t>
        </is>
      </c>
      <c r="G1280" s="8" t="n"/>
      <c r="H1280" s="14" t="n"/>
      <c r="I1280" s="15">
        <f>IF($H1280="","",$H1280-TODAY())</f>
        <v/>
      </c>
      <c r="J1280" s="16" t="inlineStr">
        <is>
          <t>Open posting</t>
        </is>
      </c>
      <c r="K1280" s="8" t="inlineStr">
        <is>
          <t>filtered by keyword pre-scan</t>
        </is>
      </c>
      <c r="L1280" s="17" t="inlineStr">
        <is>
          <t>new</t>
        </is>
      </c>
      <c r="M1280" s="18" t="inlineStr"/>
      <c r="N1280" s="7" t="inlineStr">
        <is>
          <t>87ba848be2f8782ef90bde6880b87519171e7a6d</t>
        </is>
      </c>
      <c r="O1280" s="14" t="n">
        <v>46192</v>
      </c>
      <c r="P1280" s="7" t="inlineStr">
        <is>
          <t>greenhouse:monzo</t>
        </is>
      </c>
      <c r="Q1280" s="8" t="inlineStr"/>
      <c r="R1280" s="8" t="n"/>
      <c r="S1280" s="19" t="n"/>
      <c r="T1280" s="19" t="n"/>
      <c r="U1280" s="14" t="n">
        <v>46192</v>
      </c>
      <c r="V1280" s="7" t="inlineStr">
        <is>
          <t>v2-cv-accuracy-13b988b18da8ea7d</t>
        </is>
      </c>
    </row>
    <row r="1281" ht="28" customHeight="1">
      <c r="A1281" s="12">
        <f>IF($L1281="applied","Applied",IF($L1281="interview","Interview",IF($L1281="offer","Offer",IF($L1281="rejected","Rejected",IF($L1281="ignore","Ignore",IF($L1281="archive","Archive",IF($L1281="closed","Closed",IF($B1281="","Unscored",IF(AND($B1281&gt;=8,OR($H1281="",$H1281-TODAY()&lt;=14)),"P1 Apply",IF($B1281&gt;=7,"P2 Strong",IF($B1281&gt;=5,"P3 Maybe","P4 Low")))))))))))</f>
        <v/>
      </c>
      <c r="B1281" s="13" t="n">
        <v>0</v>
      </c>
      <c r="C1281" s="12" t="inlineStr">
        <is>
          <t>Senior/Lead</t>
        </is>
      </c>
      <c r="D1281" s="8" t="inlineStr">
        <is>
          <t>Senior Data Engineer</t>
        </is>
      </c>
      <c r="E1281" s="7" t="inlineStr">
        <is>
          <t>Cloudflare</t>
        </is>
      </c>
      <c r="F1281" s="8" t="inlineStr">
        <is>
          <t>In-Office</t>
        </is>
      </c>
      <c r="G1281" s="8" t="n"/>
      <c r="H1281" s="14" t="n"/>
      <c r="I1281" s="15">
        <f>IF($H1281="","",$H1281-TODAY())</f>
        <v/>
      </c>
      <c r="J1281" s="16" t="inlineStr">
        <is>
          <t>Open posting</t>
        </is>
      </c>
      <c r="K1281" s="8" t="inlineStr">
        <is>
          <t>filtered by keyword pre-scan</t>
        </is>
      </c>
      <c r="L1281" s="17" t="inlineStr">
        <is>
          <t>new</t>
        </is>
      </c>
      <c r="M1281" s="18" t="inlineStr"/>
      <c r="N1281" s="7" t="inlineStr">
        <is>
          <t>c6059f850c138326c9bf18a1b78cac7a7a4a9df8</t>
        </is>
      </c>
      <c r="O1281" s="14" t="n">
        <v>46192</v>
      </c>
      <c r="P1281" s="7" t="inlineStr">
        <is>
          <t>greenhouse:cloudflare</t>
        </is>
      </c>
      <c r="Q1281" s="8" t="inlineStr"/>
      <c r="R1281" s="8" t="n"/>
      <c r="S1281" s="19" t="n"/>
      <c r="T1281" s="19" t="n"/>
      <c r="U1281" s="14" t="n">
        <v>46192</v>
      </c>
      <c r="V1281" s="7" t="inlineStr">
        <is>
          <t>v2-cv-accuracy-13b988b18da8ea7d</t>
        </is>
      </c>
    </row>
    <row r="1282" ht="28" customHeight="1">
      <c r="A1282" s="12">
        <f>IF($L1282="applied","Applied",IF($L1282="interview","Interview",IF($L1282="offer","Offer",IF($L1282="rejected","Rejected",IF($L1282="ignore","Ignore",IF($L1282="archive","Archive",IF($L1282="closed","Closed",IF($B1282="","Unscored",IF(AND($B1282&gt;=8,OR($H1282="",$H1282-TODAY()&lt;=14)),"P1 Apply",IF($B1282&gt;=7,"P2 Strong",IF($B1282&gt;=5,"P3 Maybe","P4 Low")))))))))))</f>
        <v/>
      </c>
      <c r="B1282" s="13" t="n">
        <v>0</v>
      </c>
      <c r="C1282" s="12" t="inlineStr">
        <is>
          <t>Unspecified</t>
        </is>
      </c>
      <c r="D1282" s="8" t="inlineStr">
        <is>
          <t>Engijneer 1</t>
        </is>
      </c>
      <c r="E1282" s="7" t="inlineStr">
        <is>
          <t>SiFive</t>
        </is>
      </c>
      <c r="F1282" s="8" t="inlineStr">
        <is>
          <t>Hyderabad, India</t>
        </is>
      </c>
      <c r="G1282" s="8" t="n"/>
      <c r="H1282" s="14" t="n"/>
      <c r="I1282" s="15">
        <f>IF($H1282="","",$H1282-TODAY())</f>
        <v/>
      </c>
      <c r="J1282" s="16" t="inlineStr">
        <is>
          <t>Open posting</t>
        </is>
      </c>
      <c r="K1282" s="8" t="inlineStr">
        <is>
          <t>filtered by keyword pre-scan</t>
        </is>
      </c>
      <c r="L1282" s="17" t="inlineStr">
        <is>
          <t>new</t>
        </is>
      </c>
      <c r="M1282" s="18" t="inlineStr"/>
      <c r="N1282" s="7" t="inlineStr">
        <is>
          <t>bde47c514bf19804c482c503dda2ee6c9da476ff</t>
        </is>
      </c>
      <c r="O1282" s="14" t="n"/>
      <c r="P1282" s="7" t="inlineStr">
        <is>
          <t>workday</t>
        </is>
      </c>
      <c r="Q1282" s="8" t="inlineStr"/>
      <c r="R1282" s="8" t="n"/>
      <c r="S1282" s="19" t="n"/>
      <c r="T1282" s="19" t="n"/>
      <c r="U1282" s="14" t="n">
        <v>46192</v>
      </c>
      <c r="V1282" s="7" t="inlineStr">
        <is>
          <t>v2-cv-accuracy-13b988b18da8ea7d</t>
        </is>
      </c>
    </row>
    <row r="1283" ht="28" customHeight="1">
      <c r="A1283" s="12">
        <f>IF($L1283="applied","Applied",IF($L1283="interview","Interview",IF($L1283="offer","Offer",IF($L1283="rejected","Rejected",IF($L1283="ignore","Ignore",IF($L1283="archive","Archive",IF($L1283="closed","Closed",IF($B1283="","Unscored",IF(AND($B1283&gt;=8,OR($H1283="",$H1283-TODAY()&lt;=14)),"P1 Apply",IF($B1283&gt;=7,"P2 Strong",IF($B1283&gt;=5,"P3 Maybe","P4 Low")))))))))))</f>
        <v/>
      </c>
      <c r="B1283" s="13" t="n">
        <v>0</v>
      </c>
      <c r="C1283" s="12" t="inlineStr">
        <is>
          <t>Senior/Lead</t>
        </is>
      </c>
      <c r="D1283" s="8" t="inlineStr">
        <is>
          <t>Staff Engineer - Formal Verification</t>
        </is>
      </c>
      <c r="E1283" s="7" t="inlineStr">
        <is>
          <t>SiFive</t>
        </is>
      </c>
      <c r="F1283" s="8" t="inlineStr">
        <is>
          <t>Bengaluru, Karnataka, India</t>
        </is>
      </c>
      <c r="G1283" s="8" t="n"/>
      <c r="H1283" s="14" t="n"/>
      <c r="I1283" s="15">
        <f>IF($H1283="","",$H1283-TODAY())</f>
        <v/>
      </c>
      <c r="J1283" s="16" t="inlineStr">
        <is>
          <t>Open posting</t>
        </is>
      </c>
      <c r="K1283" s="8" t="inlineStr">
        <is>
          <t>filtered by keyword pre-scan</t>
        </is>
      </c>
      <c r="L1283" s="17" t="inlineStr">
        <is>
          <t>new</t>
        </is>
      </c>
      <c r="M1283" s="18" t="inlineStr"/>
      <c r="N1283" s="7" t="inlineStr">
        <is>
          <t>574f32e3897508a4b1c6ae2799ea3f5bac39943b</t>
        </is>
      </c>
      <c r="O1283" s="14" t="n"/>
      <c r="P1283" s="7" t="inlineStr">
        <is>
          <t>workday</t>
        </is>
      </c>
      <c r="Q1283" s="8" t="inlineStr"/>
      <c r="R1283" s="8" t="n"/>
      <c r="S1283" s="19" t="n"/>
      <c r="T1283" s="19" t="n"/>
      <c r="U1283" s="14" t="n">
        <v>46192</v>
      </c>
      <c r="V1283" s="7" t="inlineStr">
        <is>
          <t>v2-cv-accuracy-13b988b18da8ea7d</t>
        </is>
      </c>
    </row>
    <row r="1284" ht="28" customHeight="1">
      <c r="A1284" s="12">
        <f>IF($L1284="applied","Applied",IF($L1284="interview","Interview",IF($L1284="offer","Offer",IF($L1284="rejected","Rejected",IF($L1284="ignore","Ignore",IF($L1284="archive","Archive",IF($L1284="closed","Closed",IF($B1284="","Unscored",IF(AND($B1284&gt;=8,OR($H1284="",$H1284-TODAY()&lt;=14)),"P1 Apply",IF($B1284&gt;=7,"P2 Strong",IF($B1284&gt;=5,"P3 Maybe","P4 Low")))))))))))</f>
        <v/>
      </c>
      <c r="B1284" s="13" t="n">
        <v>0</v>
      </c>
      <c r="C1284" s="12" t="inlineStr">
        <is>
          <t>Unspecified</t>
        </is>
      </c>
      <c r="D1284" s="8" t="inlineStr">
        <is>
          <t>Rewards Partner – EMEA  (m/v/x)</t>
        </is>
      </c>
      <c r="E1284" s="7" t="inlineStr">
        <is>
          <t>Dyson</t>
        </is>
      </c>
      <c r="F1284" s="8" t="inlineStr">
        <is>
          <t>Netherlands - Amsterdam Office</t>
        </is>
      </c>
      <c r="G1284" s="8" t="n"/>
      <c r="H1284" s="14" t="n"/>
      <c r="I1284" s="15">
        <f>IF($H1284="","",$H1284-TODAY())</f>
        <v/>
      </c>
      <c r="J1284" s="16" t="inlineStr">
        <is>
          <t>Open posting</t>
        </is>
      </c>
      <c r="K1284" s="8" t="inlineStr">
        <is>
          <t>filtered by keyword pre-scan</t>
        </is>
      </c>
      <c r="L1284" s="17" t="inlineStr">
        <is>
          <t>new</t>
        </is>
      </c>
      <c r="M1284" s="18" t="inlineStr"/>
      <c r="N1284" s="7" t="inlineStr">
        <is>
          <t>7dd47d724d3125574f2b5d62ea211f2fd807d5d0</t>
        </is>
      </c>
      <c r="O1284" s="14" t="n"/>
      <c r="P1284" s="7" t="inlineStr">
        <is>
          <t>workday</t>
        </is>
      </c>
      <c r="Q1284" s="8" t="inlineStr"/>
      <c r="R1284" s="8" t="n"/>
      <c r="S1284" s="19" t="n"/>
      <c r="T1284" s="19" t="n"/>
      <c r="U1284" s="14" t="n">
        <v>46192</v>
      </c>
      <c r="V1284" s="7" t="inlineStr">
        <is>
          <t>v2-cv-accuracy-13b988b18da8ea7d</t>
        </is>
      </c>
    </row>
    <row r="1285" ht="28" customHeight="1">
      <c r="A1285" s="12">
        <f>IF($L1285="applied","Applied",IF($L1285="interview","Interview",IF($L1285="offer","Offer",IF($L1285="rejected","Rejected",IF($L1285="ignore","Ignore",IF($L1285="archive","Archive",IF($L1285="closed","Closed",IF($B1285="","Unscored",IF(AND($B1285&gt;=8,OR($H1285="",$H1285-TODAY()&lt;=14)),"P1 Apply",IF($B1285&gt;=7,"P2 Strong",IF($B1285&gt;=5,"P3 Maybe","P4 Low")))))))))))</f>
        <v/>
      </c>
      <c r="B1285" s="13" t="n">
        <v>0</v>
      </c>
      <c r="C1285" s="12" t="inlineStr">
        <is>
          <t>Manager/Owner</t>
        </is>
      </c>
      <c r="D1285" s="8" t="inlineStr">
        <is>
          <t>Profit Protection Manager (m/v/x)</t>
        </is>
      </c>
      <c r="E1285" s="7" t="inlineStr">
        <is>
          <t>Dyson</t>
        </is>
      </c>
      <c r="F1285" s="8" t="inlineStr">
        <is>
          <t>Netherlands - Amsterdam Office</t>
        </is>
      </c>
      <c r="G1285" s="8" t="n"/>
      <c r="H1285" s="14" t="n"/>
      <c r="I1285" s="15">
        <f>IF($H1285="","",$H1285-TODAY())</f>
        <v/>
      </c>
      <c r="J1285" s="16" t="inlineStr">
        <is>
          <t>Open posting</t>
        </is>
      </c>
      <c r="K1285" s="8" t="inlineStr">
        <is>
          <t>filtered by keyword pre-scan</t>
        </is>
      </c>
      <c r="L1285" s="17" t="inlineStr">
        <is>
          <t>new</t>
        </is>
      </c>
      <c r="M1285" s="18" t="inlineStr"/>
      <c r="N1285" s="7" t="inlineStr">
        <is>
          <t>e5d201f83a369ebdb6300c4aee4af8c61f9f579b</t>
        </is>
      </c>
      <c r="O1285" s="14" t="n"/>
      <c r="P1285" s="7" t="inlineStr">
        <is>
          <t>workday</t>
        </is>
      </c>
      <c r="Q1285" s="8" t="inlineStr"/>
      <c r="R1285" s="8" t="n"/>
      <c r="S1285" s="19" t="n"/>
      <c r="T1285" s="19" t="n"/>
      <c r="U1285" s="14" t="n">
        <v>46192</v>
      </c>
      <c r="V1285" s="7" t="inlineStr">
        <is>
          <t>v2-cv-accuracy-13b988b18da8ea7d</t>
        </is>
      </c>
    </row>
    <row r="1286" ht="28" customHeight="1">
      <c r="A1286" s="12">
        <f>IF($L1286="applied","Applied",IF($L1286="interview","Interview",IF($L1286="offer","Offer",IF($L1286="rejected","Rejected",IF($L1286="ignore","Ignore",IF($L1286="archive","Archive",IF($L1286="closed","Closed",IF($B1286="","Unscored",IF(AND($B1286&gt;=8,OR($H1286="",$H1286-TODAY()&lt;=14)),"P1 Apply",IF($B1286&gt;=7,"P2 Strong",IF($B1286&gt;=5,"P3 Maybe","P4 Low")))))))))))</f>
        <v/>
      </c>
      <c r="B1286" s="13" t="n">
        <v>0</v>
      </c>
      <c r="C1286" s="12" t="inlineStr">
        <is>
          <t>Unspecified</t>
        </is>
      </c>
      <c r="D1286" s="8" t="inlineStr">
        <is>
          <t>Platform Content Specialist - Dyson.com</t>
        </is>
      </c>
      <c r="E1286" s="7" t="inlineStr">
        <is>
          <t>Dyson</t>
        </is>
      </c>
      <c r="F1286" s="8" t="inlineStr">
        <is>
          <t>Netherlands - Amsterdam Office</t>
        </is>
      </c>
      <c r="G1286" s="8" t="n"/>
      <c r="H1286" s="14" t="n"/>
      <c r="I1286" s="15">
        <f>IF($H1286="","",$H1286-TODAY())</f>
        <v/>
      </c>
      <c r="J1286" s="16" t="inlineStr">
        <is>
          <t>Open posting</t>
        </is>
      </c>
      <c r="K1286" s="8" t="inlineStr">
        <is>
          <t>filtered by keyword pre-scan</t>
        </is>
      </c>
      <c r="L1286" s="17" t="inlineStr">
        <is>
          <t>new</t>
        </is>
      </c>
      <c r="M1286" s="18" t="inlineStr"/>
      <c r="N1286" s="7" t="inlineStr">
        <is>
          <t>57a393f2c4e6f1e3ee8fd0535eeaec4d563851ba</t>
        </is>
      </c>
      <c r="O1286" s="14" t="n"/>
      <c r="P1286" s="7" t="inlineStr">
        <is>
          <t>workday</t>
        </is>
      </c>
      <c r="Q1286" s="8" t="inlineStr"/>
      <c r="R1286" s="8" t="n"/>
      <c r="S1286" s="19" t="n"/>
      <c r="T1286" s="19" t="n"/>
      <c r="U1286" s="14" t="n">
        <v>46192</v>
      </c>
      <c r="V1286" s="7" t="inlineStr">
        <is>
          <t>v2-cv-accuracy-13b988b18da8ea7d</t>
        </is>
      </c>
    </row>
    <row r="1287" ht="28" customHeight="1">
      <c r="A1287" s="12">
        <f>IF($L1287="applied","Applied",IF($L1287="interview","Interview",IF($L1287="offer","Offer",IF($L1287="rejected","Rejected",IF($L1287="ignore","Ignore",IF($L1287="archive","Archive",IF($L1287="closed","Closed",IF($B1287="","Unscored",IF(AND($B1287&gt;=8,OR($H1287="",$H1287-TODAY()&lt;=14)),"P1 Apply",IF($B1287&gt;=7,"P2 Strong",IF($B1287&gt;=5,"P3 Maybe","P4 Low")))))))))))</f>
        <v/>
      </c>
      <c r="B1287" s="13" t="n">
        <v>0</v>
      </c>
      <c r="C1287" s="12" t="inlineStr">
        <is>
          <t>Senior/Lead</t>
        </is>
      </c>
      <c r="D1287" s="8" t="inlineStr">
        <is>
          <t>Order to Cash Lead</t>
        </is>
      </c>
      <c r="E1287" s="7" t="inlineStr">
        <is>
          <t>Dyson</t>
        </is>
      </c>
      <c r="F1287" s="8" t="inlineStr">
        <is>
          <t>Poland - Krakow Office</t>
        </is>
      </c>
      <c r="G1287" s="8" t="n"/>
      <c r="H1287" s="14" t="n"/>
      <c r="I1287" s="15">
        <f>IF($H1287="","",$H1287-TODAY())</f>
        <v/>
      </c>
      <c r="J1287" s="16" t="inlineStr">
        <is>
          <t>Open posting</t>
        </is>
      </c>
      <c r="K1287" s="8" t="inlineStr">
        <is>
          <t>filtered by keyword pre-scan</t>
        </is>
      </c>
      <c r="L1287" s="17" t="inlineStr">
        <is>
          <t>new</t>
        </is>
      </c>
      <c r="M1287" s="18" t="inlineStr"/>
      <c r="N1287" s="7" t="inlineStr">
        <is>
          <t>f6d4c50295078f7f24f09844481902cfbe7e1cc2</t>
        </is>
      </c>
      <c r="O1287" s="14" t="n"/>
      <c r="P1287" s="7" t="inlineStr">
        <is>
          <t>workday</t>
        </is>
      </c>
      <c r="Q1287" s="8" t="inlineStr"/>
      <c r="R1287" s="8" t="n"/>
      <c r="S1287" s="19" t="n"/>
      <c r="T1287" s="19" t="n"/>
      <c r="U1287" s="14" t="n">
        <v>46192</v>
      </c>
      <c r="V1287" s="7" t="inlineStr">
        <is>
          <t>v2-cv-accuracy-13b988b18da8ea7d</t>
        </is>
      </c>
    </row>
    <row r="1288" ht="28" customHeight="1">
      <c r="A1288" s="12">
        <f>IF($L1288="applied","Applied",IF($L1288="interview","Interview",IF($L1288="offer","Offer",IF($L1288="rejected","Rejected",IF($L1288="ignore","Ignore",IF($L1288="archive","Archive",IF($L1288="closed","Closed",IF($B1288="","Unscored",IF(AND($B1288&gt;=8,OR($H1288="",$H1288-TODAY()&lt;=14)),"P1 Apply",IF($B1288&gt;=7,"P2 Strong",IF($B1288&gt;=5,"P3 Maybe","P4 Low")))))))))))</f>
        <v/>
      </c>
      <c r="B1288" s="13" t="n">
        <v>0</v>
      </c>
      <c r="C1288" s="12" t="inlineStr">
        <is>
          <t>Manager/Owner</t>
        </is>
      </c>
      <c r="D1288" s="8" t="inlineStr">
        <is>
          <t>Performance Media Manager</t>
        </is>
      </c>
      <c r="E1288" s="7" t="inlineStr">
        <is>
          <t>Dyson</t>
        </is>
      </c>
      <c r="F1288" s="8" t="inlineStr">
        <is>
          <t>France - Paris Office</t>
        </is>
      </c>
      <c r="G1288" s="8" t="n"/>
      <c r="H1288" s="14" t="n"/>
      <c r="I1288" s="15">
        <f>IF($H1288="","",$H1288-TODAY())</f>
        <v/>
      </c>
      <c r="J1288" s="16" t="inlineStr">
        <is>
          <t>Open posting</t>
        </is>
      </c>
      <c r="K1288" s="8" t="inlineStr">
        <is>
          <t>filtered by keyword pre-scan</t>
        </is>
      </c>
      <c r="L1288" s="17" t="inlineStr">
        <is>
          <t>new</t>
        </is>
      </c>
      <c r="M1288" s="18" t="inlineStr"/>
      <c r="N1288" s="7" t="inlineStr">
        <is>
          <t>6bc0d9af715e4299be462f955393ca9eb63c9892</t>
        </is>
      </c>
      <c r="O1288" s="14" t="n"/>
      <c r="P1288" s="7" t="inlineStr">
        <is>
          <t>workday</t>
        </is>
      </c>
      <c r="Q1288" s="8" t="inlineStr"/>
      <c r="R1288" s="8" t="n"/>
      <c r="S1288" s="19" t="n"/>
      <c r="T1288" s="19" t="n"/>
      <c r="U1288" s="14" t="n">
        <v>46192</v>
      </c>
      <c r="V1288" s="7" t="inlineStr">
        <is>
          <t>v2-cv-accuracy-13b988b18da8ea7d</t>
        </is>
      </c>
    </row>
    <row r="1289" ht="28" customHeight="1">
      <c r="A1289" s="12">
        <f>IF($L1289="applied","Applied",IF($L1289="interview","Interview",IF($L1289="offer","Offer",IF($L1289="rejected","Rejected",IF($L1289="ignore","Ignore",IF($L1289="archive","Archive",IF($L1289="closed","Closed",IF($B1289="","Unscored",IF(AND($B1289&gt;=8,OR($H1289="",$H1289-TODAY()&lt;=14)),"P1 Apply",IF($B1289&gt;=7,"P2 Strong",IF($B1289&gt;=5,"P3 Maybe","P4 Low")))))))))))</f>
        <v/>
      </c>
      <c r="B1289" s="13" t="n">
        <v>0</v>
      </c>
      <c r="C1289" s="12" t="inlineStr">
        <is>
          <t>Manager/Owner</t>
        </is>
      </c>
      <c r="D1289" s="8" t="inlineStr">
        <is>
          <t>Jr Area Manager</t>
        </is>
      </c>
      <c r="E1289" s="7" t="inlineStr">
        <is>
          <t>Dyson</t>
        </is>
      </c>
      <c r="F1289" s="8" t="inlineStr">
        <is>
          <t>Germany - Hessen Remote</t>
        </is>
      </c>
      <c r="G1289" s="8" t="n"/>
      <c r="H1289" s="14" t="n"/>
      <c r="I1289" s="15">
        <f>IF($H1289="","",$H1289-TODAY())</f>
        <v/>
      </c>
      <c r="J1289" s="16" t="inlineStr">
        <is>
          <t>Open posting</t>
        </is>
      </c>
      <c r="K1289" s="8" t="inlineStr">
        <is>
          <t>filtered by keyword pre-scan</t>
        </is>
      </c>
      <c r="L1289" s="17" t="inlineStr">
        <is>
          <t>new</t>
        </is>
      </c>
      <c r="M1289" s="18" t="inlineStr"/>
      <c r="N1289" s="7" t="inlineStr">
        <is>
          <t>183d969521b754059913fd3f7a6e5f068dc9cea8</t>
        </is>
      </c>
      <c r="O1289" s="14" t="n"/>
      <c r="P1289" s="7" t="inlineStr">
        <is>
          <t>workday</t>
        </is>
      </c>
      <c r="Q1289" s="8" t="inlineStr"/>
      <c r="R1289" s="8" t="n"/>
      <c r="S1289" s="19" t="n"/>
      <c r="T1289" s="19" t="n"/>
      <c r="U1289" s="14" t="n">
        <v>46192</v>
      </c>
      <c r="V1289" s="7" t="inlineStr">
        <is>
          <t>v2-cv-accuracy-13b988b18da8ea7d</t>
        </is>
      </c>
    </row>
    <row r="1290" ht="28" customHeight="1">
      <c r="A1290" s="12">
        <f>IF($L1290="applied","Applied",IF($L1290="interview","Interview",IF($L1290="offer","Offer",IF($L1290="rejected","Rejected",IF($L1290="ignore","Ignore",IF($L1290="archive","Archive",IF($L1290="closed","Closed",IF($B1290="","Unscored",IF(AND($B1290&gt;=8,OR($H1290="",$H1290-TODAY()&lt;=14)),"P1 Apply",IF($B1290&gt;=7,"P2 Strong",IF($B1290&gt;=5,"P3 Maybe","P4 Low")))))))))))</f>
        <v/>
      </c>
      <c r="B1290" s="13" t="n">
        <v>0</v>
      </c>
      <c r="C1290" s="12" t="inlineStr">
        <is>
          <t>Unspecified</t>
        </is>
      </c>
      <c r="D1290" s="8" t="inlineStr">
        <is>
          <t>Dyson Expert - Middlesbrough Teesside (Part Time)</t>
        </is>
      </c>
      <c r="E1290" s="7" t="inlineStr">
        <is>
          <t>Dyson</t>
        </is>
      </c>
      <c r="F1290" s="8" t="inlineStr">
        <is>
          <t>United Kingdom - England Remote</t>
        </is>
      </c>
      <c r="G1290" s="8" t="n"/>
      <c r="H1290" s="14" t="n"/>
      <c r="I1290" s="15">
        <f>IF($H1290="","",$H1290-TODAY())</f>
        <v/>
      </c>
      <c r="J1290" s="16" t="inlineStr">
        <is>
          <t>Open posting</t>
        </is>
      </c>
      <c r="K1290" s="8" t="inlineStr">
        <is>
          <t>filtered by keyword pre-scan</t>
        </is>
      </c>
      <c r="L1290" s="17" t="inlineStr">
        <is>
          <t>new</t>
        </is>
      </c>
      <c r="M1290" s="18" t="inlineStr"/>
      <c r="N1290" s="7" t="inlineStr">
        <is>
          <t>2b42b106e11787ef761f272e2fc34d8fe6d27799</t>
        </is>
      </c>
      <c r="O1290" s="14" t="n"/>
      <c r="P1290" s="7" t="inlineStr">
        <is>
          <t>workday</t>
        </is>
      </c>
      <c r="Q1290" s="8" t="inlineStr"/>
      <c r="R1290" s="8" t="n"/>
      <c r="S1290" s="19" t="n"/>
      <c r="T1290" s="19" t="n"/>
      <c r="U1290" s="14" t="n">
        <v>46192</v>
      </c>
      <c r="V1290" s="7" t="inlineStr">
        <is>
          <t>v2-cv-accuracy-13b988b18da8ea7d</t>
        </is>
      </c>
    </row>
    <row r="1291" ht="28" customHeight="1">
      <c r="A1291" s="12">
        <f>IF($L1291="applied","Applied",IF($L1291="interview","Interview",IF($L1291="offer","Offer",IF($L1291="rejected","Rejected",IF($L1291="ignore","Ignore",IF($L1291="archive","Archive",IF($L1291="closed","Closed",IF($B1291="","Unscored",IF(AND($B1291&gt;=8,OR($H1291="",$H1291-TODAY()&lt;=14)),"P1 Apply",IF($B1291&gt;=7,"P2 Strong",IF($B1291&gt;=5,"P3 Maybe","P4 Low")))))))))))</f>
        <v/>
      </c>
      <c r="B1291" s="13" t="n">
        <v>0</v>
      </c>
      <c r="C1291" s="12" t="inlineStr">
        <is>
          <t>Unspecified</t>
        </is>
      </c>
      <c r="D1291" s="8" t="inlineStr">
        <is>
          <t>Dyson Hair Stylist - Brown Thomas Cork</t>
        </is>
      </c>
      <c r="E1291" s="7" t="inlineStr">
        <is>
          <t>Dyson</t>
        </is>
      </c>
      <c r="F1291" s="8" t="inlineStr">
        <is>
          <t>Ireland - Country Remote</t>
        </is>
      </c>
      <c r="G1291" s="8" t="n"/>
      <c r="H1291" s="14" t="n"/>
      <c r="I1291" s="15">
        <f>IF($H1291="","",$H1291-TODAY())</f>
        <v/>
      </c>
      <c r="J1291" s="16" t="inlineStr">
        <is>
          <t>Open posting</t>
        </is>
      </c>
      <c r="K1291" s="8" t="inlineStr">
        <is>
          <t>filtered by keyword pre-scan</t>
        </is>
      </c>
      <c r="L1291" s="17" t="inlineStr">
        <is>
          <t>new</t>
        </is>
      </c>
      <c r="M1291" s="18" t="inlineStr"/>
      <c r="N1291" s="7" t="inlineStr">
        <is>
          <t>557bf003a4c6f37d2c4d5ea49a6c9ddfa33183ba</t>
        </is>
      </c>
      <c r="O1291" s="14" t="n"/>
      <c r="P1291" s="7" t="inlineStr">
        <is>
          <t>workday</t>
        </is>
      </c>
      <c r="Q1291" s="8" t="inlineStr"/>
      <c r="R1291" s="8" t="n"/>
      <c r="S1291" s="19" t="n"/>
      <c r="T1291" s="19" t="n"/>
      <c r="U1291" s="14" t="n">
        <v>46192</v>
      </c>
      <c r="V1291" s="7" t="inlineStr">
        <is>
          <t>v2-cv-accuracy-13b988b18da8ea7d</t>
        </is>
      </c>
    </row>
    <row r="1292" ht="28" customHeight="1">
      <c r="A1292" s="12">
        <f>IF($L1292="applied","Applied",IF($L1292="interview","Interview",IF($L1292="offer","Offer",IF($L1292="rejected","Rejected",IF($L1292="ignore","Ignore",IF($L1292="archive","Archive",IF($L1292="closed","Closed",IF($B1292="","Unscored",IF(AND($B1292&gt;=8,OR($H1292="",$H1292-TODAY()&lt;=14)),"P1 Apply",IF($B1292&gt;=7,"P2 Strong",IF($B1292&gt;=5,"P3 Maybe","P4 Low")))))))))))</f>
        <v/>
      </c>
      <c r="B1292" s="13" t="n">
        <v>0</v>
      </c>
      <c r="C1292" s="12" t="inlineStr">
        <is>
          <t>Manager/Owner</t>
        </is>
      </c>
      <c r="D1292" s="8" t="inlineStr">
        <is>
          <t>eCommerce Experience Manager</t>
        </is>
      </c>
      <c r="E1292" s="7" t="inlineStr">
        <is>
          <t>Dyson</t>
        </is>
      </c>
      <c r="F1292" s="8" t="inlineStr">
        <is>
          <t>Netherlands - Amsterdam Office</t>
        </is>
      </c>
      <c r="G1292" s="8" t="n"/>
      <c r="H1292" s="14" t="n"/>
      <c r="I1292" s="15">
        <f>IF($H1292="","",$H1292-TODAY())</f>
        <v/>
      </c>
      <c r="J1292" s="16" t="inlineStr">
        <is>
          <t>Open posting</t>
        </is>
      </c>
      <c r="K1292" s="8" t="inlineStr">
        <is>
          <t>filtered by keyword pre-scan</t>
        </is>
      </c>
      <c r="L1292" s="17" t="inlineStr">
        <is>
          <t>new</t>
        </is>
      </c>
      <c r="M1292" s="18" t="inlineStr"/>
      <c r="N1292" s="7" t="inlineStr">
        <is>
          <t>bf116d701dd67d8adcbdb96dd9bdf8109058ea4e</t>
        </is>
      </c>
      <c r="O1292" s="14" t="n"/>
      <c r="P1292" s="7" t="inlineStr">
        <is>
          <t>workday</t>
        </is>
      </c>
      <c r="Q1292" s="8" t="inlineStr"/>
      <c r="R1292" s="8" t="n"/>
      <c r="S1292" s="19" t="n"/>
      <c r="T1292" s="19" t="n"/>
      <c r="U1292" s="14" t="n">
        <v>46192</v>
      </c>
      <c r="V1292" s="7" t="inlineStr">
        <is>
          <t>v2-cv-accuracy-13b988b18da8ea7d</t>
        </is>
      </c>
    </row>
    <row r="1293" ht="28" customHeight="1">
      <c r="A1293" s="12">
        <f>IF($L1293="applied","Applied",IF($L1293="interview","Interview",IF($L1293="offer","Offer",IF($L1293="rejected","Rejected",IF($L1293="ignore","Ignore",IF($L1293="archive","Archive",IF($L1293="closed","Closed",IF($B1293="","Unscored",IF(AND($B1293&gt;=8,OR($H1293="",$H1293-TODAY()&lt;=14)),"P1 Apply",IF($B1293&gt;=7,"P2 Strong",IF($B1293&gt;=5,"P3 Maybe","P4 Low")))))))))))</f>
        <v/>
      </c>
      <c r="B1293" s="13" t="n">
        <v>0</v>
      </c>
      <c r="C1293" s="12" t="inlineStr">
        <is>
          <t>Unspecified</t>
        </is>
      </c>
      <c r="D1293" s="8" t="inlineStr">
        <is>
          <t>Workday Specialist</t>
        </is>
      </c>
      <c r="E1293" s="7" t="inlineStr">
        <is>
          <t>Dyson</t>
        </is>
      </c>
      <c r="F1293" s="8" t="inlineStr">
        <is>
          <t>Poland - Krakow Office</t>
        </is>
      </c>
      <c r="G1293" s="8" t="n"/>
      <c r="H1293" s="14" t="n"/>
      <c r="I1293" s="15">
        <f>IF($H1293="","",$H1293-TODAY())</f>
        <v/>
      </c>
      <c r="J1293" s="16" t="inlineStr">
        <is>
          <t>Open posting</t>
        </is>
      </c>
      <c r="K1293" s="8" t="inlineStr">
        <is>
          <t>filtered by keyword pre-scan</t>
        </is>
      </c>
      <c r="L1293" s="17" t="inlineStr">
        <is>
          <t>new</t>
        </is>
      </c>
      <c r="M1293" s="18" t="inlineStr"/>
      <c r="N1293" s="7" t="inlineStr">
        <is>
          <t>35507e3b1fdfa706b55dbb456a3d71f0b1b73648</t>
        </is>
      </c>
      <c r="O1293" s="14" t="n"/>
      <c r="P1293" s="7" t="inlineStr">
        <is>
          <t>workday</t>
        </is>
      </c>
      <c r="Q1293" s="8" t="inlineStr"/>
      <c r="R1293" s="8" t="n"/>
      <c r="S1293" s="19" t="n"/>
      <c r="T1293" s="19" t="n"/>
      <c r="U1293" s="14" t="n">
        <v>46192</v>
      </c>
      <c r="V1293" s="7" t="inlineStr">
        <is>
          <t>v2-cv-accuracy-13b988b18da8ea7d</t>
        </is>
      </c>
    </row>
    <row r="1294" ht="28" customHeight="1">
      <c r="A1294" s="12">
        <f>IF($L1294="applied","Applied",IF($L1294="interview","Interview",IF($L1294="offer","Offer",IF($L1294="rejected","Rejected",IF($L1294="ignore","Ignore",IF($L1294="archive","Archive",IF($L1294="closed","Closed",IF($B1294="","Unscored",IF(AND($B1294&gt;=8,OR($H1294="",$H1294-TODAY()&lt;=14)),"P1 Apply",IF($B1294&gt;=7,"P2 Strong",IF($B1294&gt;=5,"P3 Maybe","P4 Low")))))))))))</f>
        <v/>
      </c>
      <c r="B1294" s="13" t="n">
        <v>0</v>
      </c>
      <c r="C1294" s="12" t="inlineStr">
        <is>
          <t>Graduate/Entry</t>
        </is>
      </c>
      <c r="D1294" s="8" t="inlineStr">
        <is>
          <t>SKU Range Graduate Engineer</t>
        </is>
      </c>
      <c r="E1294" s="7" t="inlineStr">
        <is>
          <t>Dyson</t>
        </is>
      </c>
      <c r="F1294" s="8" t="inlineStr">
        <is>
          <t>Malaysia - Global Development Campus, Johor Bahru</t>
        </is>
      </c>
      <c r="G1294" s="8" t="n"/>
      <c r="H1294" s="14" t="n"/>
      <c r="I1294" s="15">
        <f>IF($H1294="","",$H1294-TODAY())</f>
        <v/>
      </c>
      <c r="J1294" s="16" t="inlineStr">
        <is>
          <t>Open posting</t>
        </is>
      </c>
      <c r="K1294" s="8" t="inlineStr">
        <is>
          <t>filtered by keyword pre-scan</t>
        </is>
      </c>
      <c r="L1294" s="17" t="inlineStr">
        <is>
          <t>new</t>
        </is>
      </c>
      <c r="M1294" s="18" t="inlineStr"/>
      <c r="N1294" s="7" t="inlineStr">
        <is>
          <t>b6d9f48d8ab68b80a3a46e2a8e9031ffae0c826c</t>
        </is>
      </c>
      <c r="O1294" s="14" t="n"/>
      <c r="P1294" s="7" t="inlineStr">
        <is>
          <t>workday</t>
        </is>
      </c>
      <c r="Q1294" s="8" t="inlineStr"/>
      <c r="R1294" s="8" t="n"/>
      <c r="S1294" s="19" t="n"/>
      <c r="T1294" s="19" t="n"/>
      <c r="U1294" s="14" t="n">
        <v>46192</v>
      </c>
      <c r="V1294" s="7" t="inlineStr">
        <is>
          <t>v2-cv-accuracy-13b988b18da8ea7d</t>
        </is>
      </c>
    </row>
    <row r="1295" ht="28" customHeight="1">
      <c r="A1295" s="12">
        <f>IF($L1295="applied","Applied",IF($L1295="interview","Interview",IF($L1295="offer","Offer",IF($L1295="rejected","Rejected",IF($L1295="ignore","Ignore",IF($L1295="archive","Archive",IF($L1295="closed","Closed",IF($B1295="","Unscored",IF(AND($B1295&gt;=8,OR($H1295="",$H1295-TODAY()&lt;=14)),"P1 Apply",IF($B1295&gt;=7,"P2 Strong",IF($B1295&gt;=5,"P3 Maybe","P4 Low")))))))))))</f>
        <v/>
      </c>
      <c r="B1295" s="13" t="n">
        <v>0</v>
      </c>
      <c r="C1295" s="12" t="inlineStr">
        <is>
          <t>Graduate/Entry</t>
        </is>
      </c>
      <c r="D1295" s="8" t="inlineStr">
        <is>
          <t>Graduate Product Engineer</t>
        </is>
      </c>
      <c r="E1295" s="7" t="inlineStr">
        <is>
          <t>Dyson</t>
        </is>
      </c>
      <c r="F1295" s="8" t="inlineStr">
        <is>
          <t>Malaysia - Global Development Campus, Johor Bahru</t>
        </is>
      </c>
      <c r="G1295" s="8" t="n"/>
      <c r="H1295" s="14" t="n"/>
      <c r="I1295" s="15">
        <f>IF($H1295="","",$H1295-TODAY())</f>
        <v/>
      </c>
      <c r="J1295" s="16" t="inlineStr">
        <is>
          <t>Open posting</t>
        </is>
      </c>
      <c r="K1295" s="8" t="inlineStr">
        <is>
          <t>filtered by keyword pre-scan</t>
        </is>
      </c>
      <c r="L1295" s="17" t="inlineStr">
        <is>
          <t>new</t>
        </is>
      </c>
      <c r="M1295" s="18" t="inlineStr"/>
      <c r="N1295" s="7" t="inlineStr">
        <is>
          <t>2ebf7a3f27bd9dab141b4a0709be8a32aff9e88e</t>
        </is>
      </c>
      <c r="O1295" s="14" t="n"/>
      <c r="P1295" s="7" t="inlineStr">
        <is>
          <t>workday</t>
        </is>
      </c>
      <c r="Q1295" s="8" t="inlineStr"/>
      <c r="R1295" s="8" t="n"/>
      <c r="S1295" s="19" t="n"/>
      <c r="T1295" s="19" t="n"/>
      <c r="U1295" s="14" t="n">
        <v>46192</v>
      </c>
      <c r="V1295" s="7" t="inlineStr">
        <is>
          <t>v2-cv-accuracy-13b988b18da8ea7d</t>
        </is>
      </c>
    </row>
    <row r="1296" ht="28" customHeight="1">
      <c r="A1296" s="12">
        <f>IF($L1296="applied","Applied",IF($L1296="interview","Interview",IF($L1296="offer","Offer",IF($L1296="rejected","Rejected",IF($L1296="ignore","Ignore",IF($L1296="archive","Archive",IF($L1296="closed","Closed",IF($B1296="","Unscored",IF(AND($B1296&gt;=8,OR($H1296="",$H1296-TODAY()&lt;=14)),"P1 Apply",IF($B1296&gt;=7,"P2 Strong",IF($B1296&gt;=5,"P3 Maybe","P4 Low")))))))))))</f>
        <v/>
      </c>
      <c r="B1296" s="13" t="n">
        <v>0</v>
      </c>
      <c r="C1296" s="12" t="inlineStr">
        <is>
          <t>Unspecified</t>
        </is>
      </c>
      <c r="D1296" s="8" t="inlineStr">
        <is>
          <t>C#/ .Net Software Developer (New Role)</t>
        </is>
      </c>
      <c r="E1296" s="7" t="inlineStr">
        <is>
          <t>RedRock Resourcing</t>
        </is>
      </c>
      <c r="F1296" s="8" t="inlineStr">
        <is>
          <t>Sheffield, England, UK</t>
        </is>
      </c>
      <c r="G1296" s="8" t="n"/>
      <c r="H1296" s="14" t="n"/>
      <c r="I1296" s="15">
        <f>IF($H1296="","",$H1296-TODAY())</f>
        <v/>
      </c>
      <c r="J1296" s="16" t="inlineStr">
        <is>
          <t>Open posting</t>
        </is>
      </c>
      <c r="K1296" s="8" t="inlineStr">
        <is>
          <t>filtered by keyword pre-scan</t>
        </is>
      </c>
      <c r="L1296" s="17" t="inlineStr">
        <is>
          <t>new</t>
        </is>
      </c>
      <c r="M1296" s="18" t="inlineStr"/>
      <c r="N1296" s="7" t="inlineStr">
        <is>
          <t>6ee990b47f70edff4eb5daab41f36b0cd40c23a9</t>
        </is>
      </c>
      <c r="O1296" s="14" t="n"/>
      <c r="P1296" s="7" t="inlineStr">
        <is>
          <t>jobspy</t>
        </is>
      </c>
      <c r="Q1296" s="8" t="inlineStr"/>
      <c r="R1296" s="8" t="inlineStr">
        <is>
          <t>Graduate Software Developer Sheffield</t>
        </is>
      </c>
      <c r="S1296" s="19" t="n"/>
      <c r="T1296" s="19" t="n"/>
      <c r="U1296" s="14" t="n">
        <v>46192</v>
      </c>
      <c r="V1296" s="7" t="inlineStr">
        <is>
          <t>v2-cv-accuracy-13b988b18da8ea7d</t>
        </is>
      </c>
    </row>
    <row r="1297" ht="28" customHeight="1">
      <c r="A1297" s="12">
        <f>IF($L1297="applied","Applied",IF($L1297="interview","Interview",IF($L1297="offer","Offer",IF($L1297="rejected","Rejected",IF($L1297="ignore","Ignore",IF($L1297="archive","Archive",IF($L1297="closed","Closed",IF($B1297="","Unscored",IF(AND($B1297&gt;=8,OR($H1297="",$H1297-TODAY()&lt;=14)),"P1 Apply",IF($B1297&gt;=7,"P2 Strong",IF($B1297&gt;=5,"P3 Maybe","P4 Low")))))))))))</f>
        <v/>
      </c>
      <c r="B1297" s="13" t="n">
        <v>0</v>
      </c>
      <c r="C1297" s="12" t="inlineStr">
        <is>
          <t>Unspecified</t>
        </is>
      </c>
      <c r="D1297" s="8" t="inlineStr">
        <is>
          <t>Software Developer (Angular) - Up to £55k</t>
        </is>
      </c>
      <c r="E1297" s="7" t="inlineStr">
        <is>
          <t>RedRock Resourcing</t>
        </is>
      </c>
      <c r="F1297" s="8" t="inlineStr">
        <is>
          <t>Sheffield, England, UK</t>
        </is>
      </c>
      <c r="G1297" s="8" t="n"/>
      <c r="H1297" s="14" t="n"/>
      <c r="I1297" s="15">
        <f>IF($H1297="","",$H1297-TODAY())</f>
        <v/>
      </c>
      <c r="J1297" s="16" t="inlineStr">
        <is>
          <t>Open posting</t>
        </is>
      </c>
      <c r="K1297" s="8" t="inlineStr">
        <is>
          <t>filtered by keyword pre-scan</t>
        </is>
      </c>
      <c r="L1297" s="17" t="inlineStr">
        <is>
          <t>new</t>
        </is>
      </c>
      <c r="M1297" s="18" t="inlineStr"/>
      <c r="N1297" s="7" t="inlineStr">
        <is>
          <t>52771db68ae984ff377055c2b61a035e8be8c4a5</t>
        </is>
      </c>
      <c r="O1297" s="14" t="n"/>
      <c r="P1297" s="7" t="inlineStr">
        <is>
          <t>jobspy</t>
        </is>
      </c>
      <c r="Q1297" s="8" t="inlineStr"/>
      <c r="R1297" s="8" t="inlineStr">
        <is>
          <t>Graduate Software Developer Sheffield</t>
        </is>
      </c>
      <c r="S1297" s="19" t="n"/>
      <c r="T1297" s="19" t="n"/>
      <c r="U1297" s="14" t="n">
        <v>46192</v>
      </c>
      <c r="V1297" s="7" t="inlineStr">
        <is>
          <t>v2-cv-accuracy-13b988b18da8ea7d</t>
        </is>
      </c>
    </row>
    <row r="1298" ht="28" customHeight="1">
      <c r="A1298" s="12">
        <f>IF($L1298="applied","Applied",IF($L1298="interview","Interview",IF($L1298="offer","Offer",IF($L1298="rejected","Rejected",IF($L1298="ignore","Ignore",IF($L1298="archive","Archive",IF($L1298="closed","Closed",IF($B1298="","Unscored",IF(AND($B1298&gt;=8,OR($H1298="",$H1298-TODAY()&lt;=14)),"P1 Apply",IF($B1298&gt;=7,"P2 Strong",IF($B1298&gt;=5,"P3 Maybe","P4 Low")))))))))))</f>
        <v/>
      </c>
      <c r="B1298" s="13" t="n">
        <v>0</v>
      </c>
      <c r="C1298" s="12" t="inlineStr">
        <is>
          <t>Senior/Lead</t>
        </is>
      </c>
      <c r="D1298" s="8" t="inlineStr">
        <is>
          <t>Automation Test Lead</t>
        </is>
      </c>
      <c r="E1298" s="7" t="inlineStr">
        <is>
          <t>Coforge</t>
        </is>
      </c>
      <c r="F1298" s="8" t="inlineStr">
        <is>
          <t>Sheffield, England, UK</t>
        </is>
      </c>
      <c r="G1298" s="8" t="n"/>
      <c r="H1298" s="14" t="n"/>
      <c r="I1298" s="15">
        <f>IF($H1298="","",$H1298-TODAY())</f>
        <v/>
      </c>
      <c r="J1298" s="16" t="inlineStr">
        <is>
          <t>Open posting</t>
        </is>
      </c>
      <c r="K1298" s="8" t="inlineStr">
        <is>
          <t>filtered by keyword pre-scan</t>
        </is>
      </c>
      <c r="L1298" s="17" t="inlineStr">
        <is>
          <t>new</t>
        </is>
      </c>
      <c r="M1298" s="18" t="inlineStr"/>
      <c r="N1298" s="7" t="inlineStr">
        <is>
          <t>cc3a0edc18b5d0f37d013ba68220eeb3562b08b2</t>
        </is>
      </c>
      <c r="O1298" s="14" t="n"/>
      <c r="P1298" s="7" t="inlineStr">
        <is>
          <t>jobspy</t>
        </is>
      </c>
      <c r="Q1298" s="8" t="inlineStr">
        <is>
          <t>sql</t>
        </is>
      </c>
      <c r="R1298" s="8" t="inlineStr">
        <is>
          <t>Graduate Software Developer Sheffield</t>
        </is>
      </c>
      <c r="S1298" s="19" t="n"/>
      <c r="T1298" s="19" t="n"/>
      <c r="U1298" s="14" t="n">
        <v>46192</v>
      </c>
      <c r="V1298" s="7" t="inlineStr">
        <is>
          <t>v2-cv-accuracy-13b988b18da8ea7d</t>
        </is>
      </c>
    </row>
    <row r="1299" ht="28" customHeight="1">
      <c r="A1299" s="12">
        <f>IF($L1299="applied","Applied",IF($L1299="interview","Interview",IF($L1299="offer","Offer",IF($L1299="rejected","Rejected",IF($L1299="ignore","Ignore",IF($L1299="archive","Archive",IF($L1299="closed","Closed",IF($B1299="","Unscored",IF(AND($B1299&gt;=8,OR($H1299="",$H1299-TODAY()&lt;=14)),"P1 Apply",IF($B1299&gt;=7,"P2 Strong",IF($B1299&gt;=5,"P3 Maybe","P4 Low")))))))))))</f>
        <v/>
      </c>
      <c r="B1299" s="13" t="n">
        <v>0</v>
      </c>
      <c r="C1299" s="12" t="inlineStr">
        <is>
          <t>Senior/Lead</t>
        </is>
      </c>
      <c r="D1299" s="8" t="inlineStr">
        <is>
          <t>Senior Developer</t>
        </is>
      </c>
      <c r="E1299" s="7" t="inlineStr">
        <is>
          <t>UK Home Office</t>
        </is>
      </c>
      <c r="F1299" s="8" t="inlineStr">
        <is>
          <t>Sheffield, England, UK</t>
        </is>
      </c>
      <c r="G1299" s="8" t="n"/>
      <c r="H1299" s="14" t="n"/>
      <c r="I1299" s="15">
        <f>IF($H1299="","",$H1299-TODAY())</f>
        <v/>
      </c>
      <c r="J1299" s="16" t="inlineStr">
        <is>
          <t>Open posting</t>
        </is>
      </c>
      <c r="K1299" s="8" t="inlineStr">
        <is>
          <t>filtered by keyword pre-scan</t>
        </is>
      </c>
      <c r="L1299" s="17" t="inlineStr">
        <is>
          <t>new</t>
        </is>
      </c>
      <c r="M1299" s="18" t="inlineStr"/>
      <c r="N1299" s="7" t="inlineStr">
        <is>
          <t>d81df86137c5dae47002ade4e6cca3fd45086b3a</t>
        </is>
      </c>
      <c r="O1299" s="14" t="n"/>
      <c r="P1299" s="7" t="inlineStr">
        <is>
          <t>jobspy</t>
        </is>
      </c>
      <c r="Q1299" s="8" t="inlineStr">
        <is>
          <t>python, sql, javascript, git</t>
        </is>
      </c>
      <c r="R1299" s="8" t="inlineStr">
        <is>
          <t>Graduate Software Developer Sheffield</t>
        </is>
      </c>
      <c r="S1299" s="19" t="n"/>
      <c r="T1299" s="19" t="n"/>
      <c r="U1299" s="14" t="n">
        <v>46192</v>
      </c>
      <c r="V1299" s="7" t="inlineStr">
        <is>
          <t>v2-cv-accuracy-13b988b18da8ea7d</t>
        </is>
      </c>
    </row>
    <row r="1300" ht="28" customHeight="1">
      <c r="A1300" s="12">
        <f>IF($L1300="applied","Applied",IF($L1300="interview","Interview",IF($L1300="offer","Offer",IF($L1300="rejected","Rejected",IF($L1300="ignore","Ignore",IF($L1300="archive","Archive",IF($L1300="closed","Closed",IF($B1300="","Unscored",IF(AND($B1300&gt;=8,OR($H1300="",$H1300-TODAY()&lt;=14)),"P1 Apply",IF($B1300&gt;=7,"P2 Strong",IF($B1300&gt;=5,"P3 Maybe","P4 Low")))))))))))</f>
        <v/>
      </c>
      <c r="B1300" s="13" t="n">
        <v>0</v>
      </c>
      <c r="C1300" s="12" t="inlineStr">
        <is>
          <t>Senior/Lead</t>
        </is>
      </c>
      <c r="D1300" s="8" t="inlineStr">
        <is>
          <t>Senior Developer</t>
        </is>
      </c>
      <c r="E1300" s="7" t="inlineStr">
        <is>
          <t>nan</t>
        </is>
      </c>
      <c r="F1300" s="8" t="inlineStr">
        <is>
          <t>East Kilbride, SCT, GB</t>
        </is>
      </c>
      <c r="G1300" s="8" t="n"/>
      <c r="H1300" s="14" t="n"/>
      <c r="I1300" s="15">
        <f>IF($H1300="","",$H1300-TODAY())</f>
        <v/>
      </c>
      <c r="J1300" s="16" t="inlineStr">
        <is>
          <t>Open posting</t>
        </is>
      </c>
      <c r="K1300" s="8" t="inlineStr">
        <is>
          <t>filtered by keyword pre-scan</t>
        </is>
      </c>
      <c r="L1300" s="17" t="inlineStr">
        <is>
          <t>new</t>
        </is>
      </c>
      <c r="M1300" s="18" t="inlineStr"/>
      <c r="N1300" s="7" t="inlineStr">
        <is>
          <t>c09afd44fcf71d0753f4d786822ddce53ec7ca86</t>
        </is>
      </c>
      <c r="O1300" s="14" t="n">
        <v>46178</v>
      </c>
      <c r="P1300" s="7" t="inlineStr">
        <is>
          <t>jobspy</t>
        </is>
      </c>
      <c r="Q1300" s="8" t="inlineStr">
        <is>
          <t>git, software development</t>
        </is>
      </c>
      <c r="R1300" s="8" t="inlineStr">
        <is>
          <t>junior Full Stack Developer</t>
        </is>
      </c>
      <c r="S1300" s="19" t="n"/>
      <c r="T1300" s="19" t="n"/>
      <c r="U1300" s="14" t="n">
        <v>46192</v>
      </c>
      <c r="V1300" s="7" t="inlineStr">
        <is>
          <t>v2-cv-accuracy-13b988b18da8ea7d</t>
        </is>
      </c>
    </row>
    <row r="1301" ht="28" customHeight="1">
      <c r="A1301" s="12">
        <f>IF($L1301="applied","Applied",IF($L1301="interview","Interview",IF($L1301="offer","Offer",IF($L1301="rejected","Rejected",IF($L1301="ignore","Ignore",IF($L1301="archive","Archive",IF($L1301="closed","Closed",IF($B1301="","Unscored",IF(AND($B1301&gt;=8,OR($H1301="",$H1301-TODAY()&lt;=14)),"P1 Apply",IF($B1301&gt;=7,"P2 Strong",IF($B1301&gt;=5,"P3 Maybe","P4 Low")))))))))))</f>
        <v/>
      </c>
      <c r="B1301" s="13" t="n">
        <v>0</v>
      </c>
      <c r="C1301" s="12" t="inlineStr">
        <is>
          <t>Manager/Owner</t>
        </is>
      </c>
      <c r="D1301" s="8" t="inlineStr">
        <is>
          <t>CRM Manager, Core Banking</t>
        </is>
      </c>
      <c r="E1301" s="7" t="inlineStr">
        <is>
          <t>Monzo</t>
        </is>
      </c>
      <c r="F1301" s="8" t="inlineStr">
        <is>
          <t>Cardiff, London or Remote (UK)</t>
        </is>
      </c>
      <c r="G1301" s="8" t="n"/>
      <c r="H1301" s="14" t="n"/>
      <c r="I1301" s="15">
        <f>IF($H1301="","",$H1301-TODAY())</f>
        <v/>
      </c>
      <c r="J1301" s="16" t="inlineStr">
        <is>
          <t>Open posting</t>
        </is>
      </c>
      <c r="K1301" s="8" t="inlineStr">
        <is>
          <t>filtered by keyword pre-scan</t>
        </is>
      </c>
      <c r="L1301" s="17" t="inlineStr">
        <is>
          <t>new</t>
        </is>
      </c>
      <c r="M1301" s="18" t="inlineStr"/>
      <c r="N1301" s="7" t="inlineStr">
        <is>
          <t>8562bd7b3eccba61073f3297d1ace1a88a13ff6d</t>
        </is>
      </c>
      <c r="O1301" s="14" t="n">
        <v>46192</v>
      </c>
      <c r="P1301" s="7" t="inlineStr">
        <is>
          <t>greenhouse:monzo</t>
        </is>
      </c>
      <c r="Q1301" s="8" t="inlineStr">
        <is>
          <t>c</t>
        </is>
      </c>
      <c r="R1301" s="8" t="n"/>
      <c r="S1301" s="19" t="n"/>
      <c r="T1301" s="19" t="n"/>
      <c r="U1301" s="14" t="n">
        <v>46192</v>
      </c>
      <c r="V1301" s="7" t="inlineStr">
        <is>
          <t>v2-cv-accuracy-13b988b18da8ea7d</t>
        </is>
      </c>
    </row>
    <row r="1302" ht="28" customHeight="1">
      <c r="A1302" s="12">
        <f>IF($L1302="applied","Applied",IF($L1302="interview","Interview",IF($L1302="offer","Offer",IF($L1302="rejected","Rejected",IF($L1302="ignore","Ignore",IF($L1302="archive","Archive",IF($L1302="closed","Closed",IF($B1302="","Unscored",IF(AND($B1302&gt;=8,OR($H1302="",$H1302-TODAY()&lt;=14)),"P1 Apply",IF($B1302&gt;=7,"P2 Strong",IF($B1302&gt;=5,"P3 Maybe","P4 Low")))))))))))</f>
        <v/>
      </c>
      <c r="B1302" s="13" t="n">
        <v>0</v>
      </c>
      <c r="C1302" s="12" t="inlineStr">
        <is>
          <t>Senior/Lead</t>
        </is>
      </c>
      <c r="D1302" s="8" t="inlineStr">
        <is>
          <t>Senior Influencer Strategist</t>
        </is>
      </c>
      <c r="E1302" s="7" t="inlineStr">
        <is>
          <t>Dyson</t>
        </is>
      </c>
      <c r="F1302" s="8" t="inlineStr">
        <is>
          <t>United Kingdom - London Press Office</t>
        </is>
      </c>
      <c r="G1302" s="8" t="n"/>
      <c r="H1302" s="14" t="n"/>
      <c r="I1302" s="15">
        <f>IF($H1302="","",$H1302-TODAY())</f>
        <v/>
      </c>
      <c r="J1302" s="16" t="inlineStr">
        <is>
          <t>Open posting</t>
        </is>
      </c>
      <c r="K1302" s="8" t="inlineStr">
        <is>
          <t>filtered by keyword pre-scan</t>
        </is>
      </c>
      <c r="L1302" s="17" t="inlineStr">
        <is>
          <t>new</t>
        </is>
      </c>
      <c r="M1302" s="18" t="inlineStr"/>
      <c r="N1302" s="7" t="inlineStr">
        <is>
          <t>9afd72317e36d4f1025d7e7fae7d62115d6b6795</t>
        </is>
      </c>
      <c r="O1302" s="14" t="n"/>
      <c r="P1302" s="7" t="inlineStr">
        <is>
          <t>workday</t>
        </is>
      </c>
      <c r="Q1302" s="8" t="inlineStr">
        <is>
          <t>c</t>
        </is>
      </c>
      <c r="R1302" s="8" t="n"/>
      <c r="S1302" s="19" t="n"/>
      <c r="T1302" s="19" t="n"/>
      <c r="U1302" s="14" t="n">
        <v>46192</v>
      </c>
      <c r="V1302" s="7" t="inlineStr">
        <is>
          <t>v2-cv-accuracy-13b988b18da8ea7d</t>
        </is>
      </c>
    </row>
    <row r="1303" ht="28" customHeight="1">
      <c r="A1303" s="12">
        <f>IF($L1303="applied","Applied",IF($L1303="interview","Interview",IF($L1303="offer","Offer",IF($L1303="rejected","Rejected",IF($L1303="ignore","Ignore",IF($L1303="archive","Archive",IF($L1303="closed","Closed",IF($B1303="","Unscored",IF(AND($B1303&gt;=8,OR($H1303="",$H1303-TODAY()&lt;=14)),"P1 Apply",IF($B1303&gt;=7,"P2 Strong",IF($B1303&gt;=5,"P3 Maybe","P4 Low")))))))))))</f>
        <v/>
      </c>
      <c r="B1303" s="13" t="n">
        <v>0</v>
      </c>
      <c r="C1303" s="12" t="inlineStr">
        <is>
          <t>Senior/Lead</t>
        </is>
      </c>
      <c r="D1303" s="8" t="inlineStr">
        <is>
          <t>Senior Embedded Software Engineer</t>
        </is>
      </c>
      <c r="E1303" s="7" t="inlineStr">
        <is>
          <t>Handicare</t>
        </is>
      </c>
      <c r="F1303" s="8" t="inlineStr">
        <is>
          <t>Kingswinford, ENG, GB</t>
        </is>
      </c>
      <c r="G1303" s="8" t="n"/>
      <c r="H1303" s="14" t="n"/>
      <c r="I1303" s="15">
        <f>IF($H1303="","",$H1303-TODAY())</f>
        <v/>
      </c>
      <c r="J1303" s="16" t="inlineStr">
        <is>
          <t>Open posting</t>
        </is>
      </c>
      <c r="K1303" s="8" t="inlineStr">
        <is>
          <t>filtered by keyword pre-scan</t>
        </is>
      </c>
      <c r="L1303" s="17" t="inlineStr">
        <is>
          <t>new</t>
        </is>
      </c>
      <c r="M1303" s="18" t="inlineStr"/>
      <c r="N1303" s="7" t="inlineStr">
        <is>
          <t>9399023d8fb211555a85947741facd2befd05c54</t>
        </is>
      </c>
      <c r="O1303" s="14" t="n">
        <v>46190</v>
      </c>
      <c r="P1303" s="7" t="inlineStr">
        <is>
          <t>jobspy</t>
        </is>
      </c>
      <c r="Q1303" s="8" t="inlineStr">
        <is>
          <t>stm32, git, c, embedded systems</t>
        </is>
      </c>
      <c r="R1303" s="8" t="inlineStr">
        <is>
          <t>Junior Embedded Software Engineer STM32 C</t>
        </is>
      </c>
      <c r="S1303" s="19" t="n"/>
      <c r="T1303" s="19" t="n"/>
      <c r="U1303" s="14" t="n">
        <v>46192</v>
      </c>
      <c r="V1303" s="7" t="inlineStr">
        <is>
          <t>v2-cv-accuracy-13b988b18da8ea7d</t>
        </is>
      </c>
    </row>
    <row r="1304" ht="28" customHeight="1">
      <c r="A1304" s="12">
        <f>IF($L1304="applied","Applied",IF($L1304="interview","Interview",IF($L1304="offer","Offer",IF($L1304="rejected","Rejected",IF($L1304="ignore","Ignore",IF($L1304="archive","Archive",IF($L1304="closed","Closed",IF($B1304="","Unscored",IF(AND($B1304&gt;=8,OR($H1304="",$H1304-TODAY()&lt;=14)),"P1 Apply",IF($B1304&gt;=7,"P2 Strong",IF($B1304&gt;=5,"P3 Maybe","P4 Low")))))))))))</f>
        <v/>
      </c>
      <c r="B1304" s="13" t="n">
        <v>0</v>
      </c>
      <c r="C1304" s="12" t="inlineStr">
        <is>
          <t>Senior/Lead</t>
        </is>
      </c>
      <c r="D1304" s="8" t="inlineStr">
        <is>
          <t>Senior Digital Design Engineer</t>
        </is>
      </c>
      <c r="E1304" s="7" t="inlineStr">
        <is>
          <t>Edison Smart®</t>
        </is>
      </c>
      <c r="F1304" s="8" t="inlineStr"/>
      <c r="G1304" s="8" t="n"/>
      <c r="H1304" s="14" t="n"/>
      <c r="I1304" s="15">
        <f>IF($H1304="","",$H1304-TODAY())</f>
        <v/>
      </c>
      <c r="J1304" s="16" t="inlineStr">
        <is>
          <t>Open posting</t>
        </is>
      </c>
      <c r="K1304" s="8" t="inlineStr">
        <is>
          <t>filtered by keyword pre-scan</t>
        </is>
      </c>
      <c r="L1304" s="17" t="inlineStr">
        <is>
          <t>new</t>
        </is>
      </c>
      <c r="M1304" s="18" t="inlineStr"/>
      <c r="N1304" s="7" t="inlineStr">
        <is>
          <t>6efd037e33df2cd6cacec9b676625a92a130d1de</t>
        </is>
      </c>
      <c r="O1304" s="14" t="n">
        <v>46181</v>
      </c>
      <c r="P1304" s="7" t="inlineStr">
        <is>
          <t>jobspy</t>
        </is>
      </c>
      <c r="Q1304" s="8" t="inlineStr">
        <is>
          <t>verilog, fpga, git, c, digital design</t>
        </is>
      </c>
      <c r="R1304" s="8" t="inlineStr">
        <is>
          <t>Graduate Digital Design Engineer FPGA Verilog</t>
        </is>
      </c>
      <c r="S1304" s="19" t="n"/>
      <c r="T1304" s="19" t="n"/>
      <c r="U1304" s="14" t="n">
        <v>46192</v>
      </c>
      <c r="V1304" s="7" t="inlineStr">
        <is>
          <t>v2-cv-accuracy-13b988b18da8ea7d</t>
        </is>
      </c>
    </row>
    <row r="1305" ht="28" customHeight="1">
      <c r="A1305" s="12">
        <f>IF($L1305="applied","Applied",IF($L1305="interview","Interview",IF($L1305="offer","Offer",IF($L1305="rejected","Rejected",IF($L1305="ignore","Ignore",IF($L1305="archive","Archive",IF($L1305="closed","Closed",IF($B1305="","Unscored",IF(AND($B1305&gt;=8,OR($H1305="",$H1305-TODAY()&lt;=14)),"P1 Apply",IF($B1305&gt;=7,"P2 Strong",IF($B1305&gt;=5,"P3 Maybe","P4 Low")))))))))))</f>
        <v/>
      </c>
      <c r="B1305" s="13" t="n">
        <v>0</v>
      </c>
      <c r="C1305" s="12" t="inlineStr">
        <is>
          <t>Senior/Lead</t>
        </is>
      </c>
      <c r="D1305" s="8" t="inlineStr">
        <is>
          <t>Staff Digital Design Engineer</t>
        </is>
      </c>
      <c r="E1305" s="7" t="inlineStr">
        <is>
          <t>AMD</t>
        </is>
      </c>
      <c r="F1305" s="8" t="inlineStr">
        <is>
          <t>Edinburgh, Scotland, UK</t>
        </is>
      </c>
      <c r="G1305" s="8" t="n"/>
      <c r="H1305" s="14" t="n"/>
      <c r="I1305" s="15">
        <f>IF($H1305="","",$H1305-TODAY())</f>
        <v/>
      </c>
      <c r="J1305" s="16" t="inlineStr">
        <is>
          <t>Open posting</t>
        </is>
      </c>
      <c r="K1305" s="8" t="inlineStr">
        <is>
          <t>filtered by keyword pre-scan</t>
        </is>
      </c>
      <c r="L1305" s="17" t="inlineStr">
        <is>
          <t>new</t>
        </is>
      </c>
      <c r="M1305" s="18" t="inlineStr"/>
      <c r="N1305" s="7" t="inlineStr">
        <is>
          <t>c80832a181133a75fc30b2f6c9056489595dbdc4</t>
        </is>
      </c>
      <c r="O1305" s="14" t="n">
        <v>46175</v>
      </c>
      <c r="P1305" s="7" t="inlineStr">
        <is>
          <t>jobspy</t>
        </is>
      </c>
      <c r="Q1305" s="8" t="inlineStr">
        <is>
          <t>python, verilog, fpga, git, c</t>
        </is>
      </c>
      <c r="R1305" s="8" t="inlineStr">
        <is>
          <t>Graduate Digital Design Engineer FPGA Verilog</t>
        </is>
      </c>
      <c r="S1305" s="19" t="n"/>
      <c r="T1305" s="19" t="n"/>
      <c r="U1305" s="14" t="n">
        <v>46192</v>
      </c>
      <c r="V1305" s="7" t="inlineStr">
        <is>
          <t>v2-cv-accuracy-13b988b18da8ea7d</t>
        </is>
      </c>
    </row>
    <row r="1306" ht="28" customHeight="1">
      <c r="A1306" s="12">
        <f>IF($L1306="applied","Applied",IF($L1306="interview","Interview",IF($L1306="offer","Offer",IF($L1306="rejected","Rejected",IF($L1306="ignore","Ignore",IF($L1306="archive","Archive",IF($L1306="closed","Closed",IF($B1306="","Unscored",IF(AND($B1306&gt;=8,OR($H1306="",$H1306-TODAY()&lt;=14)),"P1 Apply",IF($B1306&gt;=7,"P2 Strong",IF($B1306&gt;=5,"P3 Maybe","P4 Low")))))))))))</f>
        <v/>
      </c>
      <c r="B1306" s="13" t="n">
        <v>0</v>
      </c>
      <c r="C1306" s="12" t="inlineStr">
        <is>
          <t>Senior/Lead</t>
        </is>
      </c>
      <c r="D1306" s="8" t="inlineStr">
        <is>
          <t>Staff Linux Support Engineer</t>
        </is>
      </c>
      <c r="E1306" s="7" t="inlineStr">
        <is>
          <t>Arm</t>
        </is>
      </c>
      <c r="F1306" s="8" t="inlineStr">
        <is>
          <t>Cambridge, England, UK</t>
        </is>
      </c>
      <c r="G1306" s="8" t="n"/>
      <c r="H1306" s="14" t="n"/>
      <c r="I1306" s="15">
        <f>IF($H1306="","",$H1306-TODAY())</f>
        <v/>
      </c>
      <c r="J1306" s="16" t="inlineStr">
        <is>
          <t>Open posting</t>
        </is>
      </c>
      <c r="K1306" s="8" t="inlineStr">
        <is>
          <t>filtered by keyword pre-scan</t>
        </is>
      </c>
      <c r="L1306" s="17" t="inlineStr">
        <is>
          <t>new</t>
        </is>
      </c>
      <c r="M1306" s="18" t="inlineStr"/>
      <c r="N1306" s="7" t="inlineStr">
        <is>
          <t>784603b5a616c18a21874b3ec064b0fc6587b2fe</t>
        </is>
      </c>
      <c r="O1306" s="14" t="n">
        <v>46190</v>
      </c>
      <c r="P1306" s="7" t="inlineStr">
        <is>
          <t>jobspy</t>
        </is>
      </c>
      <c r="Q1306" s="8" t="inlineStr">
        <is>
          <t>c</t>
        </is>
      </c>
      <c r="R1306" s="8" t="inlineStr">
        <is>
          <t>Graduate Systems Engineer embedded hardware software</t>
        </is>
      </c>
      <c r="S1306" s="19" t="n"/>
      <c r="T1306" s="19" t="n"/>
      <c r="U1306" s="14" t="n">
        <v>46192</v>
      </c>
      <c r="V1306" s="7" t="inlineStr">
        <is>
          <t>v2-cv-accuracy-13b988b18da8ea7d</t>
        </is>
      </c>
    </row>
    <row r="1307" ht="28" customHeight="1">
      <c r="A1307" s="12">
        <f>IF($L1307="applied","Applied",IF($L1307="interview","Interview",IF($L1307="offer","Offer",IF($L1307="rejected","Rejected",IF($L1307="ignore","Ignore",IF($L1307="archive","Archive",IF($L1307="closed","Closed",IF($B1307="","Unscored",IF(AND($B1307&gt;=8,OR($H1307="",$H1307-TODAY()&lt;=14)),"P1 Apply",IF($B1307&gt;=7,"P2 Strong",IF($B1307&gt;=5,"P3 Maybe","P4 Low")))))))))))</f>
        <v/>
      </c>
      <c r="B1307" s="13" t="n">
        <v>0</v>
      </c>
      <c r="C1307" s="12" t="inlineStr">
        <is>
          <t>Senior/Lead</t>
        </is>
      </c>
      <c r="D1307" s="8" t="inlineStr">
        <is>
          <t>Senior Systems / Solutions Engineer</t>
        </is>
      </c>
      <c r="E1307" s="7" t="inlineStr">
        <is>
          <t>Auterion</t>
        </is>
      </c>
      <c r="F1307" s="8" t="inlineStr">
        <is>
          <t>London, England, UK</t>
        </is>
      </c>
      <c r="G1307" s="8" t="n"/>
      <c r="H1307" s="14" t="n"/>
      <c r="I1307" s="15">
        <f>IF($H1307="","",$H1307-TODAY())</f>
        <v/>
      </c>
      <c r="J1307" s="16" t="inlineStr">
        <is>
          <t>Open posting</t>
        </is>
      </c>
      <c r="K1307" s="8" t="inlineStr">
        <is>
          <t>filtered by keyword pre-scan</t>
        </is>
      </c>
      <c r="L1307" s="17" t="inlineStr">
        <is>
          <t>new</t>
        </is>
      </c>
      <c r="M1307" s="18" t="inlineStr"/>
      <c r="N1307" s="7" t="inlineStr">
        <is>
          <t>d438cde8fcfc4da482efebbf0eb220d2df01c98c</t>
        </is>
      </c>
      <c r="O1307" s="14" t="n">
        <v>46169</v>
      </c>
      <c r="P1307" s="7" t="inlineStr">
        <is>
          <t>jobspy</t>
        </is>
      </c>
      <c r="Q1307" s="8" t="inlineStr">
        <is>
          <t>c, embedded systems</t>
        </is>
      </c>
      <c r="R1307" s="8" t="inlineStr">
        <is>
          <t>Graduate Systems Engineer embedded hardware software</t>
        </is>
      </c>
      <c r="S1307" s="19" t="n"/>
      <c r="T1307" s="19" t="n"/>
      <c r="U1307" s="14" t="n">
        <v>46192</v>
      </c>
      <c r="V1307" s="7" t="inlineStr">
        <is>
          <t>v2-cv-accuracy-13b988b18da8ea7d</t>
        </is>
      </c>
    </row>
    <row r="1308" ht="28" customHeight="1">
      <c r="A1308" s="12">
        <f>IF($L1308="applied","Applied",IF($L1308="interview","Interview",IF($L1308="offer","Offer",IF($L1308="rejected","Rejected",IF($L1308="ignore","Ignore",IF($L1308="archive","Archive",IF($L1308="closed","Closed",IF($B1308="","Unscored",IF(AND($B1308&gt;=8,OR($H1308="",$H1308-TODAY()&lt;=14)),"P1 Apply",IF($B1308&gt;=7,"P2 Strong",IF($B1308&gt;=5,"P3 Maybe","P4 Low")))))))))))</f>
        <v/>
      </c>
      <c r="B1308" s="13" t="n">
        <v>0</v>
      </c>
      <c r="C1308" s="12" t="inlineStr">
        <is>
          <t>Junior</t>
        </is>
      </c>
      <c r="D1308" s="8" t="inlineStr">
        <is>
          <t>Data Engineer</t>
        </is>
      </c>
      <c r="E1308" s="7" t="inlineStr">
        <is>
          <t>Experis UK</t>
        </is>
      </c>
      <c r="F1308" s="8" t="inlineStr">
        <is>
          <t>Newcastle Upon Tyne, England, UK</t>
        </is>
      </c>
      <c r="G1308" s="8" t="n"/>
      <c r="H1308" s="14" t="n"/>
      <c r="I1308" s="15">
        <f>IF($H1308="","",$H1308-TODAY())</f>
        <v/>
      </c>
      <c r="J1308" s="16" t="inlineStr">
        <is>
          <t>Open posting</t>
        </is>
      </c>
      <c r="K1308" s="8" t="inlineStr">
        <is>
          <t>filtered by keyword pre-scan</t>
        </is>
      </c>
      <c r="L1308" s="17" t="inlineStr">
        <is>
          <t>new</t>
        </is>
      </c>
      <c r="M1308" s="18" t="inlineStr"/>
      <c r="N1308" s="7" t="inlineStr">
        <is>
          <t>02b4fa67c46d7e3ffe153f2efa189aed85a4fb5d</t>
        </is>
      </c>
      <c r="O1308" s="14" t="n">
        <v>46189</v>
      </c>
      <c r="P1308" s="7" t="inlineStr">
        <is>
          <t>jobspy</t>
        </is>
      </c>
      <c r="Q1308" s="8" t="inlineStr">
        <is>
          <t>python, sql, c</t>
        </is>
      </c>
      <c r="R1308" s="8" t="inlineStr">
        <is>
          <t>Graduate Data Engineer SQL Python pipeline</t>
        </is>
      </c>
      <c r="S1308" s="19" t="n"/>
      <c r="T1308" s="19" t="n"/>
      <c r="U1308" s="14" t="n">
        <v>46192</v>
      </c>
      <c r="V1308" s="7" t="inlineStr">
        <is>
          <t>v2-cv-accuracy-13b988b18da8ea7d</t>
        </is>
      </c>
    </row>
    <row r="1309" ht="28" customHeight="1">
      <c r="A1309" s="12">
        <f>IF($L1309="applied","Applied",IF($L1309="interview","Interview",IF($L1309="offer","Offer",IF($L1309="rejected","Rejected",IF($L1309="ignore","Ignore",IF($L1309="archive","Archive",IF($L1309="closed","Closed",IF($B1309="","Unscored",IF(AND($B1309&gt;=8,OR($H1309="",$H1309-TODAY()&lt;=14)),"P1 Apply",IF($B1309&gt;=7,"P2 Strong",IF($B1309&gt;=5,"P3 Maybe","P4 Low")))))))))))</f>
        <v/>
      </c>
      <c r="B1309" s="13" t="n">
        <v>0</v>
      </c>
      <c r="C1309" s="12" t="inlineStr">
        <is>
          <t>Unspecified</t>
        </is>
      </c>
      <c r="D1309" s="8" t="inlineStr">
        <is>
          <t>Data Engineer</t>
        </is>
      </c>
      <c r="E1309" s="7" t="inlineStr">
        <is>
          <t>Cyberteam</t>
        </is>
      </c>
      <c r="F1309" s="8" t="inlineStr">
        <is>
          <t>London Area, United Kingdom</t>
        </is>
      </c>
      <c r="G1309" s="8" t="n"/>
      <c r="H1309" s="14" t="n"/>
      <c r="I1309" s="15">
        <f>IF($H1309="","",$H1309-TODAY())</f>
        <v/>
      </c>
      <c r="J1309" s="16" t="inlineStr">
        <is>
          <t>Open posting</t>
        </is>
      </c>
      <c r="K1309" s="8" t="inlineStr">
        <is>
          <t>filtered by keyword pre-scan</t>
        </is>
      </c>
      <c r="L1309" s="17" t="inlineStr">
        <is>
          <t>new</t>
        </is>
      </c>
      <c r="M1309" s="18" t="inlineStr"/>
      <c r="N1309" s="7" t="inlineStr">
        <is>
          <t>5d01530962deb03687c030106f81acfbf59099c3</t>
        </is>
      </c>
      <c r="O1309" s="14" t="n">
        <v>46184</v>
      </c>
      <c r="P1309" s="7" t="inlineStr">
        <is>
          <t>jobspy</t>
        </is>
      </c>
      <c r="Q1309" s="8" t="inlineStr">
        <is>
          <t>python, sql, c</t>
        </is>
      </c>
      <c r="R1309" s="8" t="inlineStr">
        <is>
          <t>Graduate Data Engineer SQL Python pipeline</t>
        </is>
      </c>
      <c r="S1309" s="19" t="n"/>
      <c r="T1309" s="19" t="n"/>
      <c r="U1309" s="14" t="n">
        <v>46192</v>
      </c>
      <c r="V1309" s="7" t="inlineStr">
        <is>
          <t>v2-cv-accuracy-13b988b18da8ea7d</t>
        </is>
      </c>
    </row>
    <row r="1310" ht="28" customHeight="1">
      <c r="A1310" s="12">
        <f>IF($L1310="applied","Applied",IF($L1310="interview","Interview",IF($L1310="offer","Offer",IF($L1310="rejected","Rejected",IF($L1310="ignore","Ignore",IF($L1310="archive","Archive",IF($L1310="closed","Closed",IF($B1310="","Unscored",IF(AND($B1310&gt;=8,OR($H1310="",$H1310-TODAY()&lt;=14)),"P1 Apply",IF($B1310&gt;=7,"P2 Strong",IF($B1310&gt;=5,"P3 Maybe","P4 Low")))))))))))</f>
        <v/>
      </c>
      <c r="B1310" s="13" t="n">
        <v>0</v>
      </c>
      <c r="C1310" s="12" t="inlineStr">
        <is>
          <t>Senior/Lead</t>
        </is>
      </c>
      <c r="D1310" s="8" t="inlineStr">
        <is>
          <t>Lead Thermal Engineer</t>
        </is>
      </c>
      <c r="E1310" s="7" t="inlineStr">
        <is>
          <t>MBDA</t>
        </is>
      </c>
      <c r="F1310" s="8" t="inlineStr">
        <is>
          <t>Stevenage, ENG, GB</t>
        </is>
      </c>
      <c r="G1310" s="8" t="n"/>
      <c r="H1310" s="14" t="n"/>
      <c r="I1310" s="15">
        <f>IF($H1310="","",$H1310-TODAY())</f>
        <v/>
      </c>
      <c r="J1310" s="16" t="inlineStr">
        <is>
          <t>Open posting</t>
        </is>
      </c>
      <c r="K1310" s="8" t="inlineStr">
        <is>
          <t>filtered by keyword pre-scan</t>
        </is>
      </c>
      <c r="L1310" s="17" t="inlineStr">
        <is>
          <t>new</t>
        </is>
      </c>
      <c r="M1310" s="18" t="inlineStr"/>
      <c r="N1310" s="7" t="inlineStr">
        <is>
          <t>0f42285c19bc1812fd9f35109fdf95dc06bcbf4c</t>
        </is>
      </c>
      <c r="O1310" s="14" t="n">
        <v>46181</v>
      </c>
      <c r="P1310" s="7" t="inlineStr">
        <is>
          <t>jobspy</t>
        </is>
      </c>
      <c r="Q1310" s="8" t="inlineStr">
        <is>
          <t>python, c</t>
        </is>
      </c>
      <c r="R1310" s="8" t="inlineStr">
        <is>
          <t>Graduate Electronics Engineer remote UK</t>
        </is>
      </c>
      <c r="S1310" s="19" t="n"/>
      <c r="T1310" s="19" t="n"/>
      <c r="U1310" s="14" t="n">
        <v>46192</v>
      </c>
      <c r="V1310" s="7" t="inlineStr">
        <is>
          <t>v2-cv-accuracy-13b988b18da8ea7d</t>
        </is>
      </c>
    </row>
    <row r="1311" ht="28" customHeight="1">
      <c r="A1311" s="12">
        <f>IF($L1311="applied","Applied",IF($L1311="interview","Interview",IF($L1311="offer","Offer",IF($L1311="rejected","Rejected",IF($L1311="ignore","Ignore",IF($L1311="archive","Archive",IF($L1311="closed","Closed",IF($B1311="","Unscored",IF(AND($B1311&gt;=8,OR($H1311="",$H1311-TODAY()&lt;=14)),"P1 Apply",IF($B1311&gt;=7,"P2 Strong",IF($B1311&gt;=5,"P3 Maybe","P4 Low")))))))))))</f>
        <v/>
      </c>
      <c r="B1311" s="13" t="n">
        <v>0</v>
      </c>
      <c r="C1311" s="12" t="inlineStr">
        <is>
          <t>Senior/Lead</t>
        </is>
      </c>
      <c r="D1311" s="8" t="inlineStr">
        <is>
          <t>Senior Embedded Systems Engineer</t>
        </is>
      </c>
      <c r="E1311" s="7" t="inlineStr">
        <is>
          <t>Enterprise Recruitment Ltd</t>
        </is>
      </c>
      <c r="F1311" s="8" t="inlineStr">
        <is>
          <t>Nottingham, England, UK</t>
        </is>
      </c>
      <c r="G1311" s="8" t="n"/>
      <c r="H1311" s="14" t="n"/>
      <c r="I1311" s="15">
        <f>IF($H1311="","",$H1311-TODAY())</f>
        <v/>
      </c>
      <c r="J1311" s="16" t="inlineStr">
        <is>
          <t>Open posting</t>
        </is>
      </c>
      <c r="K1311" s="8" t="inlineStr">
        <is>
          <t>filtered by keyword pre-scan</t>
        </is>
      </c>
      <c r="L1311" s="17" t="inlineStr">
        <is>
          <t>new</t>
        </is>
      </c>
      <c r="M1311" s="18" t="inlineStr"/>
      <c r="N1311" s="7" t="inlineStr">
        <is>
          <t>627202878cb5bcc65a1cddff3be75aed533d9ca5</t>
        </is>
      </c>
      <c r="O1311" s="14" t="n"/>
      <c r="P1311" s="7" t="inlineStr">
        <is>
          <t>jobspy</t>
        </is>
      </c>
      <c r="Q1311" s="8" t="inlineStr">
        <is>
          <t>python, docker, c, embedded systems</t>
        </is>
      </c>
      <c r="R1311" s="8" t="inlineStr">
        <is>
          <t>Embedded Software Engineer Python C Raspberry Pi</t>
        </is>
      </c>
      <c r="S1311" s="19" t="n"/>
      <c r="T1311" s="19" t="n"/>
      <c r="U1311" s="14" t="n">
        <v>46192</v>
      </c>
      <c r="V1311" s="7" t="inlineStr">
        <is>
          <t>v2-cv-accuracy-13b988b18da8ea7d</t>
        </is>
      </c>
    </row>
    <row r="1312" ht="28" customHeight="1">
      <c r="A1312" s="12">
        <f>IF($L1312="applied","Applied",IF($L1312="interview","Interview",IF($L1312="offer","Offer",IF($L1312="rejected","Rejected",IF($L1312="ignore","Ignore",IF($L1312="archive","Archive",IF($L1312="closed","Closed",IF($B1312="","Unscored",IF(AND($B1312&gt;=8,OR($H1312="",$H1312-TODAY()&lt;=14)),"P1 Apply",IF($B1312&gt;=7,"P2 Strong",IF($B1312&gt;=5,"P3 Maybe","P4 Low")))))))))))</f>
        <v/>
      </c>
      <c r="B1312" s="13" t="n">
        <v>0</v>
      </c>
      <c r="C1312" s="12" t="inlineStr">
        <is>
          <t>Senior/Lead</t>
        </is>
      </c>
      <c r="D1312" s="8" t="inlineStr">
        <is>
          <t>Engineering Lab Infrastructure Lead</t>
        </is>
      </c>
      <c r="E1312" s="7" t="inlineStr">
        <is>
          <t>Graphcore</t>
        </is>
      </c>
      <c r="F1312" s="8" t="inlineStr">
        <is>
          <t>Bristol, UK</t>
        </is>
      </c>
      <c r="G1312" s="8" t="n"/>
      <c r="H1312" s="14" t="n"/>
      <c r="I1312" s="15">
        <f>IF($H1312="","",$H1312-TODAY())</f>
        <v/>
      </c>
      <c r="J1312" s="16" t="inlineStr">
        <is>
          <t>Open posting</t>
        </is>
      </c>
      <c r="K1312" s="8" t="inlineStr">
        <is>
          <t>filtered by keyword pre-scan</t>
        </is>
      </c>
      <c r="L1312" s="17" t="inlineStr">
        <is>
          <t>new</t>
        </is>
      </c>
      <c r="M1312" s="18" t="inlineStr"/>
      <c r="N1312" s="7" t="inlineStr">
        <is>
          <t>b8fa03857556ae7770a957daacc37403628c0ce6</t>
        </is>
      </c>
      <c r="O1312" s="14" t="n">
        <v>46192</v>
      </c>
      <c r="P1312" s="7" t="inlineStr">
        <is>
          <t>greenhouse:graphcore</t>
        </is>
      </c>
      <c r="Q1312" s="8" t="inlineStr">
        <is>
          <t>python, docker, kubernetes, git, c</t>
        </is>
      </c>
      <c r="R1312" s="8" t="n"/>
      <c r="S1312" s="19" t="n"/>
      <c r="T1312" s="19" t="n"/>
      <c r="U1312" s="14" t="n">
        <v>46192</v>
      </c>
      <c r="V1312" s="7" t="inlineStr">
        <is>
          <t>v2-cv-accuracy-13b988b18da8ea7d</t>
        </is>
      </c>
    </row>
    <row r="1313" ht="28" customHeight="1">
      <c r="A1313" s="12">
        <f>IF($L1313="applied","Applied",IF($L1313="interview","Interview",IF($L1313="offer","Offer",IF($L1313="rejected","Rejected",IF($L1313="ignore","Ignore",IF($L1313="archive","Archive",IF($L1313="closed","Closed",IF($B1313="","Unscored",IF(AND($B1313&gt;=8,OR($H1313="",$H1313-TODAY()&lt;=14)),"P1 Apply",IF($B1313&gt;=7,"P2 Strong",IF($B1313&gt;=5,"P3 Maybe","P4 Low")))))))))))</f>
        <v/>
      </c>
      <c r="B1313" s="13" t="n">
        <v>0</v>
      </c>
      <c r="C1313" s="12" t="inlineStr">
        <is>
          <t>Senior/Lead</t>
        </is>
      </c>
      <c r="D1313" s="8" t="inlineStr">
        <is>
          <t>Linux Engineering Lead</t>
        </is>
      </c>
      <c r="E1313" s="7" t="inlineStr">
        <is>
          <t>Graphcore</t>
        </is>
      </c>
      <c r="F1313" s="8" t="inlineStr">
        <is>
          <t>Bristol, UK</t>
        </is>
      </c>
      <c r="G1313" s="8" t="n"/>
      <c r="H1313" s="14" t="n"/>
      <c r="I1313" s="15">
        <f>IF($H1313="","",$H1313-TODAY())</f>
        <v/>
      </c>
      <c r="J1313" s="16" t="inlineStr">
        <is>
          <t>Open posting</t>
        </is>
      </c>
      <c r="K1313" s="8" t="inlineStr">
        <is>
          <t>filtered by keyword pre-scan</t>
        </is>
      </c>
      <c r="L1313" s="17" t="inlineStr">
        <is>
          <t>new</t>
        </is>
      </c>
      <c r="M1313" s="18" t="inlineStr"/>
      <c r="N1313" s="7" t="inlineStr">
        <is>
          <t>7b02ffc7f3fb7ed2158bd38cafd89e441d0c845d</t>
        </is>
      </c>
      <c r="O1313" s="14" t="n">
        <v>46192</v>
      </c>
      <c r="P1313" s="7" t="inlineStr">
        <is>
          <t>greenhouse:graphcore</t>
        </is>
      </c>
      <c r="Q1313" s="8" t="inlineStr">
        <is>
          <t>python, git, c</t>
        </is>
      </c>
      <c r="R1313" s="8" t="n"/>
      <c r="S1313" s="19" t="n"/>
      <c r="T1313" s="19" t="n"/>
      <c r="U1313" s="14" t="n">
        <v>46192</v>
      </c>
      <c r="V1313" s="7" t="inlineStr">
        <is>
          <t>v2-cv-accuracy-13b988b18da8ea7d</t>
        </is>
      </c>
    </row>
    <row r="1314" ht="28" customHeight="1">
      <c r="A1314" s="12">
        <f>IF($L1314="applied","Applied",IF($L1314="interview","Interview",IF($L1314="offer","Offer",IF($L1314="rejected","Rejected",IF($L1314="ignore","Ignore",IF($L1314="archive","Archive",IF($L1314="closed","Closed",IF($B1314="","Unscored",IF(AND($B1314&gt;=8,OR($H1314="",$H1314-TODAY()&lt;=14)),"P1 Apply",IF($B1314&gt;=7,"P2 Strong",IF($B1314&gt;=5,"P3 Maybe","P4 Low")))))))))))</f>
        <v/>
      </c>
      <c r="B1314" s="13" t="n">
        <v>0</v>
      </c>
      <c r="C1314" s="12" t="inlineStr">
        <is>
          <t>Senior/Lead</t>
        </is>
      </c>
      <c r="D1314" s="8" t="inlineStr">
        <is>
          <t>Senior Financial Crime Investigator - Business Banking</t>
        </is>
      </c>
      <c r="E1314" s="7" t="inlineStr">
        <is>
          <t>Monzo</t>
        </is>
      </c>
      <c r="F1314" s="8" t="inlineStr">
        <is>
          <t>Remote (UK)</t>
        </is>
      </c>
      <c r="G1314" s="8" t="n"/>
      <c r="H1314" s="14" t="n"/>
      <c r="I1314" s="15">
        <f>IF($H1314="","",$H1314-TODAY())</f>
        <v/>
      </c>
      <c r="J1314" s="16" t="inlineStr">
        <is>
          <t>Open posting</t>
        </is>
      </c>
      <c r="K1314" s="8" t="inlineStr">
        <is>
          <t>filtered by keyword pre-scan</t>
        </is>
      </c>
      <c r="L1314" s="17" t="inlineStr">
        <is>
          <t>new</t>
        </is>
      </c>
      <c r="M1314" s="18" t="inlineStr"/>
      <c r="N1314" s="7" t="inlineStr">
        <is>
          <t>44d200adad6558500e8d08d95e9868d13939720f</t>
        </is>
      </c>
      <c r="O1314" s="14" t="n">
        <v>46192</v>
      </c>
      <c r="P1314" s="7" t="inlineStr">
        <is>
          <t>greenhouse:monzo</t>
        </is>
      </c>
      <c r="Q1314" s="8" t="inlineStr">
        <is>
          <t>c</t>
        </is>
      </c>
      <c r="R1314" s="8" t="n"/>
      <c r="S1314" s="19" t="n"/>
      <c r="T1314" s="19" t="n"/>
      <c r="U1314" s="14" t="n">
        <v>46192</v>
      </c>
      <c r="V1314" s="7" t="inlineStr">
        <is>
          <t>v2-cv-accuracy-13b988b18da8ea7d</t>
        </is>
      </c>
    </row>
    <row r="1315" ht="28" customHeight="1">
      <c r="A1315" s="12">
        <f>IF($L1315="applied","Applied",IF($L1315="interview","Interview",IF($L1315="offer","Offer",IF($L1315="rejected","Rejected",IF($L1315="ignore","Ignore",IF($L1315="archive","Archive",IF($L1315="closed","Closed",IF($B1315="","Unscored",IF(AND($B1315&gt;=8,OR($H1315="",$H1315-TODAY()&lt;=14)),"P1 Apply",IF($B1315&gt;=7,"P2 Strong",IF($B1315&gt;=5,"P3 Maybe","P4 Low")))))))))))</f>
        <v/>
      </c>
      <c r="B1315" s="13" t="n">
        <v>0</v>
      </c>
      <c r="C1315" s="12" t="inlineStr">
        <is>
          <t>Manager/Owner</t>
        </is>
      </c>
      <c r="D1315" s="8" t="inlineStr">
        <is>
          <t>Treasury Risk Manager</t>
        </is>
      </c>
      <c r="E1315" s="7" t="inlineStr">
        <is>
          <t>Monzo</t>
        </is>
      </c>
      <c r="F1315" s="8" t="inlineStr">
        <is>
          <t>Cardiff, London or Remote (UK)</t>
        </is>
      </c>
      <c r="G1315" s="8" t="n"/>
      <c r="H1315" s="14" t="n"/>
      <c r="I1315" s="15">
        <f>IF($H1315="","",$H1315-TODAY())</f>
        <v/>
      </c>
      <c r="J1315" s="16" t="inlineStr">
        <is>
          <t>Open posting</t>
        </is>
      </c>
      <c r="K1315" s="8" t="inlineStr">
        <is>
          <t>filtered by keyword pre-scan</t>
        </is>
      </c>
      <c r="L1315" s="17" t="inlineStr">
        <is>
          <t>new</t>
        </is>
      </c>
      <c r="M1315" s="18" t="inlineStr"/>
      <c r="N1315" s="7" t="inlineStr">
        <is>
          <t>d617ea9318f5a8f045c3bf9a76928fb7fd3abd10</t>
        </is>
      </c>
      <c r="O1315" s="14" t="n">
        <v>46192</v>
      </c>
      <c r="P1315" s="7" t="inlineStr">
        <is>
          <t>greenhouse:monzo</t>
        </is>
      </c>
      <c r="Q1315" s="8" t="inlineStr">
        <is>
          <t>c</t>
        </is>
      </c>
      <c r="R1315" s="8" t="n"/>
      <c r="S1315" s="19" t="n"/>
      <c r="T1315" s="19" t="n"/>
      <c r="U1315" s="14" t="n">
        <v>46192</v>
      </c>
      <c r="V1315" s="7" t="inlineStr">
        <is>
          <t>v2-cv-accuracy-13b988b18da8ea7d</t>
        </is>
      </c>
    </row>
    <row r="1316" ht="28" customHeight="1">
      <c r="A1316" s="12">
        <f>IF($L1316="applied","Applied",IF($L1316="interview","Interview",IF($L1316="offer","Offer",IF($L1316="rejected","Rejected",IF($L1316="ignore","Ignore",IF($L1316="archive","Archive",IF($L1316="closed","Closed",IF($B1316="","Unscored",IF(AND($B1316&gt;=8,OR($H1316="",$H1316-TODAY()&lt;=14)),"P1 Apply",IF($B1316&gt;=7,"P2 Strong",IF($B1316&gt;=5,"P3 Maybe","P4 Low")))))))))))</f>
        <v/>
      </c>
      <c r="B1316" s="13" t="n">
        <v>0</v>
      </c>
      <c r="C1316" s="12" t="inlineStr">
        <is>
          <t>Senior/Lead</t>
        </is>
      </c>
      <c r="D1316" s="8" t="inlineStr">
        <is>
          <t>Systems Engineer - Time and synchronisation</t>
        </is>
      </c>
      <c r="E1316" s="7" t="inlineStr">
        <is>
          <t>GMV</t>
        </is>
      </c>
      <c r="F1316" s="8" t="inlineStr">
        <is>
          <t>Oxfordshire, England, UK</t>
        </is>
      </c>
      <c r="G1316" s="8" t="n"/>
      <c r="H1316" s="14" t="n"/>
      <c r="I1316" s="15">
        <f>IF($H1316="","",$H1316-TODAY())</f>
        <v/>
      </c>
      <c r="J1316" s="16" t="inlineStr">
        <is>
          <t>Open posting</t>
        </is>
      </c>
      <c r="K1316" s="8" t="inlineStr">
        <is>
          <t>filtered by keyword pre-scan</t>
        </is>
      </c>
      <c r="L1316" s="17" t="inlineStr">
        <is>
          <t>new</t>
        </is>
      </c>
      <c r="M1316" s="18" t="inlineStr"/>
      <c r="N1316" s="7" t="inlineStr">
        <is>
          <t>5a34a07c8437c6010621683f012b96ae8baaf4ef</t>
        </is>
      </c>
      <c r="O1316" s="14" t="n">
        <v>46184</v>
      </c>
      <c r="P1316" s="7" t="inlineStr">
        <is>
          <t>jobspy</t>
        </is>
      </c>
      <c r="Q1316" s="8" t="inlineStr">
        <is>
          <t>python, docker, git, c</t>
        </is>
      </c>
      <c r="R1316" s="8" t="inlineStr">
        <is>
          <t>Graduate Systems Engineer hardware software</t>
        </is>
      </c>
      <c r="S1316" s="19" t="n"/>
      <c r="T1316" s="19" t="n"/>
      <c r="U1316" s="14" t="n">
        <v>46192</v>
      </c>
      <c r="V1316" s="7" t="inlineStr">
        <is>
          <t>v2-cv-accuracy-13b988b18da8ea7d</t>
        </is>
      </c>
    </row>
    <row r="1317" ht="28" customHeight="1">
      <c r="A1317" s="12">
        <f>IF($L1317="applied","Applied",IF($L1317="interview","Interview",IF($L1317="offer","Offer",IF($L1317="rejected","Rejected",IF($L1317="ignore","Ignore",IF($L1317="archive","Archive",IF($L1317="closed","Closed",IF($B1317="","Unscored",IF(AND($B1317&gt;=8,OR($H1317="",$H1317-TODAY()&lt;=14)),"P1 Apply",IF($B1317&gt;=7,"P2 Strong",IF($B1317&gt;=5,"P3 Maybe","P4 Low")))))))))))</f>
        <v/>
      </c>
      <c r="B1317" s="13" t="n">
        <v>0</v>
      </c>
      <c r="C1317" s="12" t="inlineStr">
        <is>
          <t>Senior/Lead</t>
        </is>
      </c>
      <c r="D1317" s="8" t="inlineStr">
        <is>
          <t>Senior Systems Engineer</t>
        </is>
      </c>
      <c r="E1317" s="7" t="inlineStr">
        <is>
          <t>General Dynamics UK Limited</t>
        </is>
      </c>
      <c r="F1317" s="8" t="inlineStr">
        <is>
          <t>Hastings, England, UK</t>
        </is>
      </c>
      <c r="G1317" s="8" t="n"/>
      <c r="H1317" s="14" t="n"/>
      <c r="I1317" s="15">
        <f>IF($H1317="","",$H1317-TODAY())</f>
        <v/>
      </c>
      <c r="J1317" s="16" t="inlineStr">
        <is>
          <t>Open posting</t>
        </is>
      </c>
      <c r="K1317" s="8" t="inlineStr">
        <is>
          <t>filtered by keyword pre-scan</t>
        </is>
      </c>
      <c r="L1317" s="17" t="inlineStr">
        <is>
          <t>new</t>
        </is>
      </c>
      <c r="M1317" s="18" t="inlineStr"/>
      <c r="N1317" s="7" t="inlineStr">
        <is>
          <t>8f53f7e596b2cee66edbb27045e7f3a7c0d1eb2c</t>
        </is>
      </c>
      <c r="O1317" s="14" t="n">
        <v>46181</v>
      </c>
      <c r="P1317" s="7" t="inlineStr">
        <is>
          <t>jobspy</t>
        </is>
      </c>
      <c r="Q1317" s="8" t="inlineStr">
        <is>
          <t>c</t>
        </is>
      </c>
      <c r="R1317" s="8" t="inlineStr">
        <is>
          <t>Graduate Systems Engineer hardware software</t>
        </is>
      </c>
      <c r="S1317" s="19" t="n"/>
      <c r="T1317" s="19" t="n"/>
      <c r="U1317" s="14" t="n">
        <v>46192</v>
      </c>
      <c r="V1317" s="7" t="inlineStr">
        <is>
          <t>v2-cv-accuracy-13b988b18da8ea7d</t>
        </is>
      </c>
    </row>
    <row r="1318" ht="28" customHeight="1">
      <c r="A1318" s="12">
        <f>IF($L1318="applied","Applied",IF($L1318="interview","Interview",IF($L1318="offer","Offer",IF($L1318="rejected","Rejected",IF($L1318="ignore","Ignore",IF($L1318="archive","Archive",IF($L1318="closed","Closed",IF($B1318="","Unscored",IF(AND($B1318&gt;=8,OR($H1318="",$H1318-TODAY()&lt;=14)),"P1 Apply",IF($B1318&gt;=7,"P2 Strong",IF($B1318&gt;=5,"P3 Maybe","P4 Low")))))))))))</f>
        <v/>
      </c>
      <c r="B1318" s="13" t="n">
        <v>0</v>
      </c>
      <c r="C1318" s="12" t="inlineStr">
        <is>
          <t>Senior/Lead</t>
        </is>
      </c>
      <c r="D1318" s="8" t="inlineStr">
        <is>
          <t>Senior Systems Engineer</t>
        </is>
      </c>
      <c r="E1318" s="7" t="inlineStr">
        <is>
          <t>Indra Group UK &amp; Ireland</t>
        </is>
      </c>
      <c r="F1318" s="8" t="inlineStr">
        <is>
          <t>Market Deeping, England, UK</t>
        </is>
      </c>
      <c r="G1318" s="8" t="n"/>
      <c r="H1318" s="14" t="n"/>
      <c r="I1318" s="15">
        <f>IF($H1318="","",$H1318-TODAY())</f>
        <v/>
      </c>
      <c r="J1318" s="16" t="inlineStr">
        <is>
          <t>Open posting</t>
        </is>
      </c>
      <c r="K1318" s="8" t="inlineStr">
        <is>
          <t>filtered by keyword pre-scan</t>
        </is>
      </c>
      <c r="L1318" s="17" t="inlineStr">
        <is>
          <t>new</t>
        </is>
      </c>
      <c r="M1318" s="18" t="inlineStr"/>
      <c r="N1318" s="7" t="inlineStr">
        <is>
          <t>42b0adc07b1b256d60338be8fa4acf2982b32e30</t>
        </is>
      </c>
      <c r="O1318" s="14" t="n">
        <v>46178</v>
      </c>
      <c r="P1318" s="7" t="inlineStr">
        <is>
          <t>jobspy</t>
        </is>
      </c>
      <c r="Q1318" s="8" t="inlineStr">
        <is>
          <t>c, hardware design</t>
        </is>
      </c>
      <c r="R1318" s="8" t="inlineStr">
        <is>
          <t>Graduate Systems Engineer hardware software</t>
        </is>
      </c>
      <c r="S1318" s="19" t="n"/>
      <c r="T1318" s="19" t="n"/>
      <c r="U1318" s="14" t="n">
        <v>46192</v>
      </c>
      <c r="V1318" s="7" t="inlineStr">
        <is>
          <t>v2-cv-accuracy-13b988b18da8ea7d</t>
        </is>
      </c>
    </row>
    <row r="1319" ht="28" customHeight="1">
      <c r="A1319" s="12">
        <f>IF($L1319="applied","Applied",IF($L1319="interview","Interview",IF($L1319="offer","Offer",IF($L1319="rejected","Rejected",IF($L1319="ignore","Ignore",IF($L1319="archive","Archive",IF($L1319="closed","Closed",IF($B1319="","Unscored",IF(AND($B1319&gt;=8,OR($H1319="",$H1319-TODAY()&lt;=14)),"P1 Apply",IF($B1319&gt;=7,"P2 Strong",IF($B1319&gt;=5,"P3 Maybe","P4 Low")))))))))))</f>
        <v/>
      </c>
      <c r="B1319" s="13" t="n">
        <v>0</v>
      </c>
      <c r="C1319" s="12" t="inlineStr">
        <is>
          <t>Senior/Lead</t>
        </is>
      </c>
      <c r="D1319" s="8" t="inlineStr">
        <is>
          <t>Senior Support Systems Engineer</t>
        </is>
      </c>
      <c r="E1319" s="7" t="inlineStr">
        <is>
          <t>NewSpace Technical</t>
        </is>
      </c>
      <c r="F1319" s="8" t="inlineStr">
        <is>
          <t>Glasgow, Scotland, UK</t>
        </is>
      </c>
      <c r="G1319" s="8" t="n"/>
      <c r="H1319" s="14" t="n"/>
      <c r="I1319" s="15">
        <f>IF($H1319="","",$H1319-TODAY())</f>
        <v/>
      </c>
      <c r="J1319" s="16" t="inlineStr">
        <is>
          <t>Open posting</t>
        </is>
      </c>
      <c r="K1319" s="8" t="inlineStr">
        <is>
          <t>filtered by keyword pre-scan</t>
        </is>
      </c>
      <c r="L1319" s="17" t="inlineStr">
        <is>
          <t>new</t>
        </is>
      </c>
      <c r="M1319" s="18" t="inlineStr"/>
      <c r="N1319" s="7" t="inlineStr">
        <is>
          <t>833d9a5e50963a4d5561eac4bc5a8bf227a18712</t>
        </is>
      </c>
      <c r="O1319" s="14" t="n">
        <v>46177</v>
      </c>
      <c r="P1319" s="7" t="inlineStr">
        <is>
          <t>jobspy</t>
        </is>
      </c>
      <c r="Q1319" s="8" t="inlineStr">
        <is>
          <t>c</t>
        </is>
      </c>
      <c r="R1319" s="8" t="inlineStr">
        <is>
          <t>Graduate Systems Engineer hardware software</t>
        </is>
      </c>
      <c r="S1319" s="19" t="n"/>
      <c r="T1319" s="19" t="n"/>
      <c r="U1319" s="14" t="n">
        <v>46192</v>
      </c>
      <c r="V1319" s="7" t="inlineStr">
        <is>
          <t>v2-cv-accuracy-13b988b18da8ea7d</t>
        </is>
      </c>
    </row>
    <row r="1320" ht="28" customHeight="1">
      <c r="A1320" s="12">
        <f>IF($L1320="applied","Applied",IF($L1320="interview","Interview",IF($L1320="offer","Offer",IF($L1320="rejected","Rejected",IF($L1320="ignore","Ignore",IF($L1320="archive","Archive",IF($L1320="closed","Closed",IF($B1320="","Unscored",IF(AND($B1320&gt;=8,OR($H1320="",$H1320-TODAY()&lt;=14)),"P1 Apply",IF($B1320&gt;=7,"P2 Strong",IF($B1320&gt;=5,"P3 Maybe","P4 Low")))))))))))</f>
        <v/>
      </c>
      <c r="B1320" s="13" t="n">
        <v>0</v>
      </c>
      <c r="C1320" s="12" t="inlineStr">
        <is>
          <t>Senior/Lead</t>
        </is>
      </c>
      <c r="D1320" s="8" t="inlineStr">
        <is>
          <t>Senior System Engineer</t>
        </is>
      </c>
      <c r="E1320" s="7" t="inlineStr">
        <is>
          <t>HCLTech</t>
        </is>
      </c>
      <c r="F1320" s="8" t="inlineStr">
        <is>
          <t>Rocester, England, UK</t>
        </is>
      </c>
      <c r="G1320" s="8" t="n"/>
      <c r="H1320" s="14" t="n"/>
      <c r="I1320" s="15">
        <f>IF($H1320="","",$H1320-TODAY())</f>
        <v/>
      </c>
      <c r="J1320" s="16" t="inlineStr">
        <is>
          <t>Open posting</t>
        </is>
      </c>
      <c r="K1320" s="8" t="inlineStr">
        <is>
          <t>filtered by keyword pre-scan</t>
        </is>
      </c>
      <c r="L1320" s="17" t="inlineStr">
        <is>
          <t>new</t>
        </is>
      </c>
      <c r="M1320" s="18" t="inlineStr"/>
      <c r="N1320" s="7" t="inlineStr">
        <is>
          <t>5180665752e81da9981e955e4112bcb6a1cf368a</t>
        </is>
      </c>
      <c r="O1320" s="14" t="n">
        <v>46169</v>
      </c>
      <c r="P1320" s="7" t="inlineStr">
        <is>
          <t>jobspy</t>
        </is>
      </c>
      <c r="Q1320" s="8" t="inlineStr">
        <is>
          <t>git, c, embedded systems</t>
        </is>
      </c>
      <c r="R1320" s="8" t="inlineStr">
        <is>
          <t>Graduate Systems Engineer hardware software</t>
        </is>
      </c>
      <c r="S1320" s="19" t="n"/>
      <c r="T1320" s="19" t="n"/>
      <c r="U1320" s="14" t="n">
        <v>46192</v>
      </c>
      <c r="V1320" s="7" t="inlineStr">
        <is>
          <t>v2-cv-accuracy-13b988b18da8ea7d</t>
        </is>
      </c>
    </row>
    <row r="1321" ht="28" customHeight="1">
      <c r="A1321" s="12">
        <f>IF($L1321="applied","Applied",IF($L1321="interview","Interview",IF($L1321="offer","Offer",IF($L1321="rejected","Rejected",IF($L1321="ignore","Ignore",IF($L1321="archive","Archive",IF($L1321="closed","Closed",IF($B1321="","Unscored",IF(AND($B1321&gt;=8,OR($H1321="",$H1321-TODAY()&lt;=14)),"P1 Apply",IF($B1321&gt;=7,"P2 Strong",IF($B1321&gt;=5,"P3 Maybe","P4 Low")))))))))))</f>
        <v/>
      </c>
      <c r="B1321" s="13" t="n">
        <v>0</v>
      </c>
      <c r="C1321" s="12" t="inlineStr">
        <is>
          <t>Senior/Lead</t>
        </is>
      </c>
      <c r="D1321" s="8" t="inlineStr">
        <is>
          <t>Senior Embedded Software Engineer</t>
        </is>
      </c>
      <c r="E1321" s="7" t="inlineStr">
        <is>
          <t>X4 Technology</t>
        </is>
      </c>
      <c r="F1321" s="8" t="inlineStr">
        <is>
          <t>Birmingham, England, UK</t>
        </is>
      </c>
      <c r="G1321" s="8" t="n"/>
      <c r="H1321" s="14" t="n"/>
      <c r="I1321" s="15">
        <f>IF($H1321="","",$H1321-TODAY())</f>
        <v/>
      </c>
      <c r="J1321" s="16" t="inlineStr">
        <is>
          <t>Open posting</t>
        </is>
      </c>
      <c r="K1321" s="8" t="inlineStr">
        <is>
          <t>filtered by keyword pre-scan</t>
        </is>
      </c>
      <c r="L1321" s="17" t="inlineStr">
        <is>
          <t>new</t>
        </is>
      </c>
      <c r="M1321" s="18" t="inlineStr"/>
      <c r="N1321" s="7" t="inlineStr">
        <is>
          <t>f88f26ab3fd58e8223f1d3872830ce0e948f6aa3</t>
        </is>
      </c>
      <c r="O1321" s="14" t="n">
        <v>46191</v>
      </c>
      <c r="P1321" s="7" t="inlineStr">
        <is>
          <t>jobspy</t>
        </is>
      </c>
      <c r="Q1321" s="8" t="inlineStr">
        <is>
          <t>stm32, git, c</t>
        </is>
      </c>
      <c r="R1321" s="8" t="inlineStr">
        <is>
          <t>Junior Embedded Software Engineer STM32</t>
        </is>
      </c>
      <c r="S1321" s="19" t="n"/>
      <c r="T1321" s="19" t="n"/>
      <c r="U1321" s="14" t="n">
        <v>46192</v>
      </c>
      <c r="V1321" s="7" t="inlineStr">
        <is>
          <t>v2-cv-accuracy-13b988b18da8ea7d</t>
        </is>
      </c>
    </row>
    <row r="1322" ht="28" customHeight="1">
      <c r="A1322" s="12">
        <f>IF($L1322="applied","Applied",IF($L1322="interview","Interview",IF($L1322="offer","Offer",IF($L1322="rejected","Rejected",IF($L1322="ignore","Ignore",IF($L1322="archive","Archive",IF($L1322="closed","Closed",IF($B1322="","Unscored",IF(AND($B1322&gt;=8,OR($H1322="",$H1322-TODAY()&lt;=14)),"P1 Apply",IF($B1322&gt;=7,"P2 Strong",IF($B1322&gt;=5,"P3 Maybe","P4 Low")))))))))))</f>
        <v/>
      </c>
      <c r="B1322" s="13" t="n">
        <v>0</v>
      </c>
      <c r="C1322" s="12" t="inlineStr">
        <is>
          <t>Senior/Lead</t>
        </is>
      </c>
      <c r="D1322" s="8" t="inlineStr">
        <is>
          <t>Senior Embedded Software Engineer</t>
        </is>
      </c>
      <c r="E1322" s="7" t="inlineStr">
        <is>
          <t>KO2 Embedded Recruitment Solutions Ltd</t>
        </is>
      </c>
      <c r="F1322" s="8" t="inlineStr">
        <is>
          <t>Worthing, England, UK</t>
        </is>
      </c>
      <c r="G1322" s="8" t="n"/>
      <c r="H1322" s="14" t="n"/>
      <c r="I1322" s="15">
        <f>IF($H1322="","",$H1322-TODAY())</f>
        <v/>
      </c>
      <c r="J1322" s="16" t="inlineStr">
        <is>
          <t>Open posting</t>
        </is>
      </c>
      <c r="K1322" s="8" t="inlineStr">
        <is>
          <t>filtered by keyword pre-scan</t>
        </is>
      </c>
      <c r="L1322" s="17" t="inlineStr">
        <is>
          <t>new</t>
        </is>
      </c>
      <c r="M1322" s="18" t="inlineStr"/>
      <c r="N1322" s="7" t="inlineStr">
        <is>
          <t>26064c26f4ca2e1ce66716f49d7b1cf02c93d375</t>
        </is>
      </c>
      <c r="O1322" s="14" t="n"/>
      <c r="P1322" s="7" t="inlineStr">
        <is>
          <t>jobspy</t>
        </is>
      </c>
      <c r="Q1322" s="8" t="inlineStr">
        <is>
          <t>stm32, c, embedded systems</t>
        </is>
      </c>
      <c r="R1322" s="8" t="inlineStr">
        <is>
          <t>Junior Embedded Software Engineer STM32</t>
        </is>
      </c>
      <c r="S1322" s="19" t="n"/>
      <c r="T1322" s="19" t="n"/>
      <c r="U1322" s="14" t="n">
        <v>46192</v>
      </c>
      <c r="V1322" s="7" t="inlineStr">
        <is>
          <t>v2-cv-accuracy-13b988b18da8ea7d</t>
        </is>
      </c>
    </row>
    <row r="1323" ht="28" customHeight="1">
      <c r="A1323" s="12">
        <f>IF($L1323="applied","Applied",IF($L1323="interview","Interview",IF($L1323="offer","Offer",IF($L1323="rejected","Rejected",IF($L1323="ignore","Ignore",IF($L1323="archive","Archive",IF($L1323="closed","Closed",IF($B1323="","Unscored",IF(AND($B1323&gt;=8,OR($H1323="",$H1323-TODAY()&lt;=14)),"P1 Apply",IF($B1323&gt;=7,"P2 Strong",IF($B1323&gt;=5,"P3 Maybe","P4 Low")))))))))))</f>
        <v/>
      </c>
      <c r="B1323" s="13" t="n">
        <v>0</v>
      </c>
      <c r="C1323" s="12" t="inlineStr">
        <is>
          <t>Senior/Lead</t>
        </is>
      </c>
      <c r="D1323" s="8" t="inlineStr">
        <is>
          <t>Senior Embedded Software Engineer</t>
        </is>
      </c>
      <c r="E1323" s="7" t="inlineStr">
        <is>
          <t>X4 Technology</t>
        </is>
      </c>
      <c r="F1323" s="8" t="inlineStr">
        <is>
          <t>Birmingham, England, UK</t>
        </is>
      </c>
      <c r="G1323" s="8" t="n"/>
      <c r="H1323" s="14" t="n"/>
      <c r="I1323" s="15">
        <f>IF($H1323="","",$H1323-TODAY())</f>
        <v/>
      </c>
      <c r="J1323" s="16" t="inlineStr">
        <is>
          <t>Open posting</t>
        </is>
      </c>
      <c r="K1323" s="8" t="inlineStr">
        <is>
          <t>filtered by keyword pre-scan</t>
        </is>
      </c>
      <c r="L1323" s="17" t="inlineStr">
        <is>
          <t>new</t>
        </is>
      </c>
      <c r="M1323" s="18" t="inlineStr"/>
      <c r="N1323" s="7" t="inlineStr">
        <is>
          <t>2840d17db209c776cba9b1d966281ccc50174723</t>
        </is>
      </c>
      <c r="O1323" s="14" t="n"/>
      <c r="P1323" s="7" t="inlineStr">
        <is>
          <t>jobspy</t>
        </is>
      </c>
      <c r="Q1323" s="8" t="inlineStr">
        <is>
          <t>stm32, git, c</t>
        </is>
      </c>
      <c r="R1323" s="8" t="inlineStr">
        <is>
          <t>Junior Embedded Software Engineer STM32</t>
        </is>
      </c>
      <c r="S1323" s="19" t="n"/>
      <c r="T1323" s="19" t="n"/>
      <c r="U1323" s="14" t="n">
        <v>46192</v>
      </c>
      <c r="V1323" s="7" t="inlineStr">
        <is>
          <t>v2-cv-accuracy-13b988b18da8ea7d</t>
        </is>
      </c>
    </row>
    <row r="1324" ht="28" customHeight="1">
      <c r="A1324" s="12">
        <f>IF($L1324="applied","Applied",IF($L1324="interview","Interview",IF($L1324="offer","Offer",IF($L1324="rejected","Rejected",IF($L1324="ignore","Ignore",IF($L1324="archive","Archive",IF($L1324="closed","Closed",IF($B1324="","Unscored",IF(AND($B1324&gt;=8,OR($H1324="",$H1324-TODAY()&lt;=14)),"P1 Apply",IF($B1324&gt;=7,"P2 Strong",IF($B1324&gt;=5,"P3 Maybe","P4 Low")))))))))))</f>
        <v/>
      </c>
      <c r="B1324" s="13" t="n">
        <v>0</v>
      </c>
      <c r="C1324" s="12" t="inlineStr">
        <is>
          <t>Senior/Lead</t>
        </is>
      </c>
      <c r="D1324" s="8" t="inlineStr">
        <is>
          <t>Principal Design &amp; Verification Engineer - Datapath &amp; Algorithms</t>
        </is>
      </c>
      <c r="E1324" s="7" t="inlineStr">
        <is>
          <t>IC Resources</t>
        </is>
      </c>
      <c r="F1324" s="8" t="inlineStr">
        <is>
          <t>Cambridgeshire, England, UK</t>
        </is>
      </c>
      <c r="G1324" s="8" t="n"/>
      <c r="H1324" s="14" t="n"/>
      <c r="I1324" s="15">
        <f>IF($H1324="","",$H1324-TODAY())</f>
        <v/>
      </c>
      <c r="J1324" s="16" t="inlineStr">
        <is>
          <t>Open posting</t>
        </is>
      </c>
      <c r="K1324" s="8" t="inlineStr">
        <is>
          <t>filtered by keyword pre-scan</t>
        </is>
      </c>
      <c r="L1324" s="17" t="inlineStr">
        <is>
          <t>new</t>
        </is>
      </c>
      <c r="M1324" s="18" t="inlineStr"/>
      <c r="N1324" s="7" t="inlineStr">
        <is>
          <t>3a4d1d3beb09d0044b7c92223b19b7a593962ef6</t>
        </is>
      </c>
      <c r="O1324" s="14" t="n">
        <v>46189</v>
      </c>
      <c r="P1324" s="7" t="inlineStr">
        <is>
          <t>jobspy</t>
        </is>
      </c>
      <c r="Q1324" s="8" t="inlineStr">
        <is>
          <t>verilog, c</t>
        </is>
      </c>
      <c r="R1324" s="8" t="inlineStr">
        <is>
          <t>Graduate Digital Design Engineer FPGA</t>
        </is>
      </c>
      <c r="S1324" s="19" t="n"/>
      <c r="T1324" s="19" t="n"/>
      <c r="U1324" s="14" t="n">
        <v>46192</v>
      </c>
      <c r="V1324" s="7" t="inlineStr">
        <is>
          <t>v2-cv-accuracy-13b988b18da8ea7d</t>
        </is>
      </c>
    </row>
    <row r="1325" ht="28" customHeight="1">
      <c r="A1325" s="12">
        <f>IF($L1325="applied","Applied",IF($L1325="interview","Interview",IF($L1325="offer","Offer",IF($L1325="rejected","Rejected",IF($L1325="ignore","Ignore",IF($L1325="archive","Archive",IF($L1325="closed","Closed",IF($B1325="","Unscored",IF(AND($B1325&gt;=8,OR($H1325="",$H1325-TODAY()&lt;=14)),"P1 Apply",IF($B1325&gt;=7,"P2 Strong",IF($B1325&gt;=5,"P3 Maybe","P4 Low")))))))))))</f>
        <v/>
      </c>
      <c r="B1325" s="13" t="n">
        <v>0</v>
      </c>
      <c r="C1325" s="12" t="inlineStr">
        <is>
          <t>Senior/Lead</t>
        </is>
      </c>
      <c r="D1325" s="8" t="inlineStr">
        <is>
          <t>Principal Digital Design Engineer, Automotive</t>
        </is>
      </c>
      <c r="E1325" s="7" t="inlineStr">
        <is>
          <t>NXP Semiconductors</t>
        </is>
      </c>
      <c r="F1325" s="8" t="inlineStr">
        <is>
          <t>Glasgow, Scotland, UK</t>
        </is>
      </c>
      <c r="G1325" s="8" t="n"/>
      <c r="H1325" s="14" t="n"/>
      <c r="I1325" s="15">
        <f>IF($H1325="","",$H1325-TODAY())</f>
        <v/>
      </c>
      <c r="J1325" s="16" t="inlineStr">
        <is>
          <t>Open posting</t>
        </is>
      </c>
      <c r="K1325" s="8" t="inlineStr">
        <is>
          <t>filtered by keyword pre-scan</t>
        </is>
      </c>
      <c r="L1325" s="17" t="inlineStr">
        <is>
          <t>new</t>
        </is>
      </c>
      <c r="M1325" s="18" t="inlineStr"/>
      <c r="N1325" s="7" t="inlineStr">
        <is>
          <t>caf50a1ee1c5d438013e386ab543b77127fb8a99</t>
        </is>
      </c>
      <c r="O1325" s="14" t="n">
        <v>46185</v>
      </c>
      <c r="P1325" s="7" t="inlineStr">
        <is>
          <t>jobspy</t>
        </is>
      </c>
      <c r="Q1325" s="8" t="inlineStr">
        <is>
          <t>verilog, git, c, digital design</t>
        </is>
      </c>
      <c r="R1325" s="8" t="inlineStr">
        <is>
          <t>Graduate Digital Design Engineer FPGA</t>
        </is>
      </c>
      <c r="S1325" s="19" t="n"/>
      <c r="T1325" s="19" t="n"/>
      <c r="U1325" s="14" t="n">
        <v>46192</v>
      </c>
      <c r="V1325" s="7" t="inlineStr">
        <is>
          <t>v2-cv-accuracy-13b988b18da8ea7d</t>
        </is>
      </c>
    </row>
    <row r="1326" ht="28" customHeight="1">
      <c r="A1326" s="12">
        <f>IF($L1326="applied","Applied",IF($L1326="interview","Interview",IF($L1326="offer","Offer",IF($L1326="rejected","Rejected",IF($L1326="ignore","Ignore",IF($L1326="archive","Archive",IF($L1326="closed","Closed",IF($B1326="","Unscored",IF(AND($B1326&gt;=8,OR($H1326="",$H1326-TODAY()&lt;=14)),"P1 Apply",IF($B1326&gt;=7,"P2 Strong",IF($B1326&gt;=5,"P3 Maybe","P4 Low")))))))))))</f>
        <v/>
      </c>
      <c r="B1326" s="13" t="n">
        <v>0</v>
      </c>
      <c r="C1326" s="12" t="inlineStr">
        <is>
          <t>Senior/Lead</t>
        </is>
      </c>
      <c r="D1326" s="8" t="inlineStr">
        <is>
          <t>Digital Infrastructure Design - Senior Engineer</t>
        </is>
      </c>
      <c r="E1326" s="7" t="inlineStr">
        <is>
          <t>WSP in the UK &amp; Ireland</t>
        </is>
      </c>
      <c r="F1326" s="8" t="inlineStr">
        <is>
          <t>Surrey, England, UK</t>
        </is>
      </c>
      <c r="G1326" s="8" t="n"/>
      <c r="H1326" s="14" t="n"/>
      <c r="I1326" s="15">
        <f>IF($H1326="","",$H1326-TODAY())</f>
        <v/>
      </c>
      <c r="J1326" s="16" t="inlineStr">
        <is>
          <t>Open posting</t>
        </is>
      </c>
      <c r="K1326" s="8" t="inlineStr">
        <is>
          <t>filtered by keyword pre-scan</t>
        </is>
      </c>
      <c r="L1326" s="17" t="inlineStr">
        <is>
          <t>new</t>
        </is>
      </c>
      <c r="M1326" s="18" t="inlineStr"/>
      <c r="N1326" s="7" t="inlineStr">
        <is>
          <t>770060ec92408da773bfeb29d483366929b86c22</t>
        </is>
      </c>
      <c r="O1326" s="14" t="n">
        <v>46181</v>
      </c>
      <c r="P1326" s="7" t="inlineStr">
        <is>
          <t>jobspy</t>
        </is>
      </c>
      <c r="Q1326" s="8" t="inlineStr">
        <is>
          <t>git, c, digital design</t>
        </is>
      </c>
      <c r="R1326" s="8" t="inlineStr">
        <is>
          <t>Graduate Digital Design Engineer FPGA</t>
        </is>
      </c>
      <c r="S1326" s="19" t="n"/>
      <c r="T1326" s="19" t="n"/>
      <c r="U1326" s="14" t="n">
        <v>46192</v>
      </c>
      <c r="V1326" s="7" t="inlineStr">
        <is>
          <t>v2-cv-accuracy-13b988b18da8ea7d</t>
        </is>
      </c>
    </row>
    <row r="1327" ht="28" customHeight="1">
      <c r="A1327" s="12">
        <f>IF($L1327="applied","Applied",IF($L1327="interview","Interview",IF($L1327="offer","Offer",IF($L1327="rejected","Rejected",IF($L1327="ignore","Ignore",IF($L1327="archive","Archive",IF($L1327="closed","Closed",IF($B1327="","Unscored",IF(AND($B1327&gt;=8,OR($H1327="",$H1327-TODAY()&lt;=14)),"P1 Apply",IF($B1327&gt;=7,"P2 Strong",IF($B1327&gt;=5,"P3 Maybe","P4 Low")))))))))))</f>
        <v/>
      </c>
      <c r="B1327" s="13" t="n">
        <v>0</v>
      </c>
      <c r="C1327" s="12" t="inlineStr">
        <is>
          <t>Senior/Lead</t>
        </is>
      </c>
      <c r="D1327" s="8" t="inlineStr">
        <is>
          <t>Senior Software Engineer, Cloud Applications and Services</t>
        </is>
      </c>
      <c r="E1327" s="7" t="inlineStr">
        <is>
          <t>Autodesk</t>
        </is>
      </c>
      <c r="F1327" s="8" t="inlineStr">
        <is>
          <t>Sheffield, England, UK</t>
        </is>
      </c>
      <c r="G1327" s="8" t="n"/>
      <c r="H1327" s="14" t="n"/>
      <c r="I1327" s="15">
        <f>IF($H1327="","",$H1327-TODAY())</f>
        <v/>
      </c>
      <c r="J1327" s="16" t="inlineStr">
        <is>
          <t>Open posting</t>
        </is>
      </c>
      <c r="K1327" s="8" t="inlineStr">
        <is>
          <t>filtered by keyword pre-scan</t>
        </is>
      </c>
      <c r="L1327" s="17" t="inlineStr">
        <is>
          <t>new</t>
        </is>
      </c>
      <c r="M1327" s="18" t="inlineStr"/>
      <c r="N1327" s="7" t="inlineStr">
        <is>
          <t>2ce186b35a1a8e80c155a930df5289173209158b</t>
        </is>
      </c>
      <c r="O1327" s="14" t="n">
        <v>46191</v>
      </c>
      <c r="P1327" s="7" t="inlineStr">
        <is>
          <t>jobspy</t>
        </is>
      </c>
      <c r="Q1327" s="8" t="inlineStr">
        <is>
          <t>python, sql, mysql, git, c</t>
        </is>
      </c>
      <c r="R1327" s="8" t="inlineStr">
        <is>
          <t>Graduate Software Engineer Python Sheffield</t>
        </is>
      </c>
      <c r="S1327" s="19" t="n"/>
      <c r="T1327" s="19" t="n"/>
      <c r="U1327" s="14" t="n">
        <v>46192</v>
      </c>
      <c r="V1327" s="7" t="inlineStr">
        <is>
          <t>v2-cv-accuracy-13b988b18da8ea7d</t>
        </is>
      </c>
    </row>
    <row r="1328" ht="28" customHeight="1">
      <c r="A1328" s="12">
        <f>IF($L1328="applied","Applied",IF($L1328="interview","Interview",IF($L1328="offer","Offer",IF($L1328="rejected","Rejected",IF($L1328="ignore","Ignore",IF($L1328="archive","Archive",IF($L1328="closed","Closed",IF($B1328="","Unscored",IF(AND($B1328&gt;=8,OR($H1328="",$H1328-TODAY()&lt;=14)),"P1 Apply",IF($B1328&gt;=7,"P2 Strong",IF($B1328&gt;=5,"P3 Maybe","P4 Low")))))))))))</f>
        <v/>
      </c>
      <c r="B1328" s="13" t="n">
        <v>0</v>
      </c>
      <c r="C1328" s="12" t="inlineStr">
        <is>
          <t>Senior/Lead</t>
        </is>
      </c>
      <c r="D1328" s="8" t="inlineStr">
        <is>
          <t>Lead Engineer / Tech Lead</t>
        </is>
      </c>
      <c r="E1328" s="7" t="inlineStr">
        <is>
          <t>Grant Thornton UK</t>
        </is>
      </c>
      <c r="F1328" s="8" t="inlineStr">
        <is>
          <t>Sheffield, England, UK</t>
        </is>
      </c>
      <c r="G1328" s="8" t="n"/>
      <c r="H1328" s="14" t="n"/>
      <c r="I1328" s="15">
        <f>IF($H1328="","",$H1328-TODAY())</f>
        <v/>
      </c>
      <c r="J1328" s="16" t="inlineStr">
        <is>
          <t>Open posting</t>
        </is>
      </c>
      <c r="K1328" s="8" t="inlineStr">
        <is>
          <t>filtered by keyword pre-scan</t>
        </is>
      </c>
      <c r="L1328" s="17" t="inlineStr">
        <is>
          <t>new</t>
        </is>
      </c>
      <c r="M1328" s="18" t="inlineStr"/>
      <c r="N1328" s="7" t="inlineStr">
        <is>
          <t>7ef114a832cb3ae57b1baec4747bd9ca082bee46</t>
        </is>
      </c>
      <c r="O1328" s="14" t="n">
        <v>46186</v>
      </c>
      <c r="P1328" s="7" t="inlineStr">
        <is>
          <t>jobspy</t>
        </is>
      </c>
      <c r="Q1328" s="8" t="inlineStr">
        <is>
          <t>python, git, c</t>
        </is>
      </c>
      <c r="R1328" s="8" t="inlineStr">
        <is>
          <t>Graduate Software Engineer Python Sheffield</t>
        </is>
      </c>
      <c r="S1328" s="19" t="n"/>
      <c r="T1328" s="19" t="n"/>
      <c r="U1328" s="14" t="n">
        <v>46192</v>
      </c>
      <c r="V1328" s="7" t="inlineStr">
        <is>
          <t>v2-cv-accuracy-13b988b18da8ea7d</t>
        </is>
      </c>
    </row>
    <row r="1329" ht="28" customHeight="1">
      <c r="A1329" s="12">
        <f>IF($L1329="applied","Applied",IF($L1329="interview","Interview",IF($L1329="offer","Offer",IF($L1329="rejected","Rejected",IF($L1329="ignore","Ignore",IF($L1329="archive","Archive",IF($L1329="closed","Closed",IF($B1329="","Unscored",IF(AND($B1329&gt;=8,OR($H1329="",$H1329-TODAY()&lt;=14)),"P1 Apply",IF($B1329&gt;=7,"P2 Strong",IF($B1329&gt;=5,"P3 Maybe","P4 Low")))))))))))</f>
        <v/>
      </c>
      <c r="B1329" s="13" t="n">
        <v>0</v>
      </c>
      <c r="C1329" s="12" t="inlineStr">
        <is>
          <t>Senior/Lead</t>
        </is>
      </c>
      <c r="D1329" s="8" t="inlineStr">
        <is>
          <t>Principal Software Engineer - Web Team</t>
        </is>
      </c>
      <c r="E1329" s="7" t="inlineStr">
        <is>
          <t>Raspberry Pi</t>
        </is>
      </c>
      <c r="F1329" s="8" t="inlineStr">
        <is>
          <t>Cambridge, England, UK</t>
        </is>
      </c>
      <c r="G1329" s="8" t="n"/>
      <c r="H1329" s="14" t="n"/>
      <c r="I1329" s="15">
        <f>IF($H1329="","",$H1329-TODAY())</f>
        <v/>
      </c>
      <c r="J1329" s="16" t="inlineStr">
        <is>
          <t>Open posting</t>
        </is>
      </c>
      <c r="K1329" s="8" t="inlineStr">
        <is>
          <t>filtered by keyword pre-scan</t>
        </is>
      </c>
      <c r="L1329" s="17" t="inlineStr">
        <is>
          <t>new</t>
        </is>
      </c>
      <c r="M1329" s="18" t="inlineStr"/>
      <c r="N1329" s="7" t="inlineStr">
        <is>
          <t>a68725ef9ffd015c484e5371f21bffd724a6607e</t>
        </is>
      </c>
      <c r="O1329" s="14" t="n">
        <v>46189</v>
      </c>
      <c r="P1329" s="7" t="inlineStr">
        <is>
          <t>jobspy</t>
        </is>
      </c>
      <c r="Q1329" s="8" t="inlineStr">
        <is>
          <t>sql, raspberry pi, c, javascript</t>
        </is>
      </c>
      <c r="R1329" s="8" t="inlineStr">
        <is>
          <t>Firmware Engineer Raspberry Pi embedded</t>
        </is>
      </c>
      <c r="S1329" s="19" t="n"/>
      <c r="T1329" s="19" t="n"/>
      <c r="U1329" s="14" t="n">
        <v>46192</v>
      </c>
      <c r="V1329" s="7" t="inlineStr">
        <is>
          <t>v2-cv-accuracy-13b988b18da8ea7d</t>
        </is>
      </c>
    </row>
    <row r="1330" ht="28" customHeight="1">
      <c r="A1330" s="12">
        <f>IF($L1330="applied","Applied",IF($L1330="interview","Interview",IF($L1330="offer","Offer",IF($L1330="rejected","Rejected",IF($L1330="ignore","Ignore",IF($L1330="archive","Archive",IF($L1330="closed","Closed",IF($B1330="","Unscored",IF(AND($B1330&gt;=8,OR($H1330="",$H1330-TODAY()&lt;=14)),"P1 Apply",IF($B1330&gt;=7,"P2 Strong",IF($B1330&gt;=5,"P3 Maybe","P4 Low")))))))))))</f>
        <v/>
      </c>
      <c r="B1330" s="13" t="n">
        <v>0</v>
      </c>
      <c r="C1330" s="12" t="inlineStr">
        <is>
          <t>Senior/Lead</t>
        </is>
      </c>
      <c r="D1330" s="8" t="inlineStr">
        <is>
          <t>DevOps Engineer</t>
        </is>
      </c>
      <c r="E1330" s="7" t="inlineStr">
        <is>
          <t>Montash</t>
        </is>
      </c>
      <c r="F1330" s="8" t="inlineStr"/>
      <c r="G1330" s="8" t="n"/>
      <c r="H1330" s="14" t="n"/>
      <c r="I1330" s="15">
        <f>IF($H1330="","",$H1330-TODAY())</f>
        <v/>
      </c>
      <c r="J1330" s="16" t="inlineStr">
        <is>
          <t>Open posting</t>
        </is>
      </c>
      <c r="K1330" s="8" t="inlineStr">
        <is>
          <t>filtered by keyword pre-scan</t>
        </is>
      </c>
      <c r="L1330" s="17" t="inlineStr">
        <is>
          <t>new</t>
        </is>
      </c>
      <c r="M1330" s="18" t="inlineStr"/>
      <c r="N1330" s="7" t="inlineStr">
        <is>
          <t>75384e47706bcd329cac0acbff9761760d46c5a9</t>
        </is>
      </c>
      <c r="O1330" s="14" t="n">
        <v>46164</v>
      </c>
      <c r="P1330" s="7" t="inlineStr">
        <is>
          <t>jobspy</t>
        </is>
      </c>
      <c r="Q1330" s="8" t="inlineStr">
        <is>
          <t>python, docker, kubernetes, git, c</t>
        </is>
      </c>
      <c r="R1330" s="8" t="inlineStr">
        <is>
          <t>Graduate DevOps Engineer Docker Kubernetes Git</t>
        </is>
      </c>
      <c r="S1330" s="19" t="n"/>
      <c r="T1330" s="19" t="n"/>
      <c r="U1330" s="14" t="n">
        <v>46192</v>
      </c>
      <c r="V1330" s="7" t="inlineStr">
        <is>
          <t>v2-cv-accuracy-13b988b18da8ea7d</t>
        </is>
      </c>
    </row>
    <row r="1331" ht="28" customHeight="1">
      <c r="A1331" s="12">
        <f>IF($L1331="applied","Applied",IF($L1331="interview","Interview",IF($L1331="offer","Offer",IF($L1331="rejected","Rejected",IF($L1331="ignore","Ignore",IF($L1331="archive","Archive",IF($L1331="closed","Closed",IF($B1331="","Unscored",IF(AND($B1331&gt;=8,OR($H1331="",$H1331-TODAY()&lt;=14)),"P1 Apply",IF($B1331&gt;=7,"P2 Strong",IF($B1331&gt;=5,"P3 Maybe","P4 Low")))))))))))</f>
        <v/>
      </c>
      <c r="B1331" s="13" t="n">
        <v>0</v>
      </c>
      <c r="C1331" s="12" t="inlineStr">
        <is>
          <t>Unspecified</t>
        </is>
      </c>
      <c r="D1331" s="8" t="inlineStr">
        <is>
          <t>DDR &amp; HBM Validation Engineer</t>
        </is>
      </c>
      <c r="E1331" s="7" t="inlineStr">
        <is>
          <t>Graphcore</t>
        </is>
      </c>
      <c r="F1331" s="8" t="inlineStr">
        <is>
          <t>Bengaluru, India</t>
        </is>
      </c>
      <c r="G1331" s="8" t="n"/>
      <c r="H1331" s="14" t="n"/>
      <c r="I1331" s="15">
        <f>IF($H1331="","",$H1331-TODAY())</f>
        <v/>
      </c>
      <c r="J1331" s="16" t="inlineStr">
        <is>
          <t>Open posting</t>
        </is>
      </c>
      <c r="K1331" s="8" t="inlineStr">
        <is>
          <t>filtered by keyword pre-scan</t>
        </is>
      </c>
      <c r="L1331" s="17" t="inlineStr">
        <is>
          <t>new</t>
        </is>
      </c>
      <c r="M1331" s="18" t="inlineStr"/>
      <c r="N1331" s="7" t="inlineStr">
        <is>
          <t>c915ba6ff2417b173b6b14a05b6840eca87ee6bd</t>
        </is>
      </c>
      <c r="O1331" s="14" t="n">
        <v>46191</v>
      </c>
      <c r="P1331" s="7" t="inlineStr">
        <is>
          <t>greenhouse:graphcore</t>
        </is>
      </c>
      <c r="Q1331" s="8" t="inlineStr">
        <is>
          <t>python</t>
        </is>
      </c>
      <c r="R1331" s="8" t="n"/>
      <c r="S1331" s="19" t="n"/>
      <c r="T1331" s="19" t="n"/>
      <c r="U1331" s="14" t="n">
        <v>46191</v>
      </c>
      <c r="V1331" s="7" t="inlineStr">
        <is>
          <t>v2-cv-accuracy-13b988b18da8ea7d</t>
        </is>
      </c>
    </row>
    <row r="1332" ht="28" customHeight="1">
      <c r="A1332" s="12">
        <f>IF($L1332="applied","Applied",IF($L1332="interview","Interview",IF($L1332="offer","Offer",IF($L1332="rejected","Rejected",IF($L1332="ignore","Ignore",IF($L1332="archive","Archive",IF($L1332="closed","Closed",IF($B1332="","Unscored",IF(AND($B1332&gt;=8,OR($H1332="",$H1332-TODAY()&lt;=14)),"P1 Apply",IF($B1332&gt;=7,"P2 Strong",IF($B1332&gt;=5,"P3 Maybe","P4 Low")))))))))))</f>
        <v/>
      </c>
      <c r="B1332" s="13" t="n">
        <v>0</v>
      </c>
      <c r="C1332" s="12" t="inlineStr">
        <is>
          <t>Senior/Lead</t>
        </is>
      </c>
      <c r="D1332" s="8" t="inlineStr">
        <is>
          <t>Senior Execution and Quality Validation Engineer</t>
        </is>
      </c>
      <c r="E1332" s="7" t="inlineStr">
        <is>
          <t>Graphcore</t>
        </is>
      </c>
      <c r="F1332" s="8" t="inlineStr">
        <is>
          <t>Bengaluru, India</t>
        </is>
      </c>
      <c r="G1332" s="8" t="n"/>
      <c r="H1332" s="14" t="n"/>
      <c r="I1332" s="15">
        <f>IF($H1332="","",$H1332-TODAY())</f>
        <v/>
      </c>
      <c r="J1332" s="16" t="inlineStr">
        <is>
          <t>Open posting</t>
        </is>
      </c>
      <c r="K1332" s="8" t="inlineStr">
        <is>
          <t>filtered by keyword pre-scan</t>
        </is>
      </c>
      <c r="L1332" s="17" t="inlineStr">
        <is>
          <t>new</t>
        </is>
      </c>
      <c r="M1332" s="18" t="inlineStr"/>
      <c r="N1332" s="7" t="inlineStr">
        <is>
          <t>5d2d11c9c4566bc189998e163a890b89fa0ed22d</t>
        </is>
      </c>
      <c r="O1332" s="14" t="n">
        <v>46191</v>
      </c>
      <c r="P1332" s="7" t="inlineStr">
        <is>
          <t>greenhouse:graphcore</t>
        </is>
      </c>
      <c r="Q1332" s="8" t="inlineStr">
        <is>
          <t>python, software development, data analysis</t>
        </is>
      </c>
      <c r="R1332" s="8" t="n"/>
      <c r="S1332" s="19" t="n"/>
      <c r="T1332" s="19" t="n"/>
      <c r="U1332" s="14" t="n">
        <v>46191</v>
      </c>
      <c r="V1332" s="7" t="inlineStr">
        <is>
          <t>v2-cv-accuracy-13b988b18da8ea7d</t>
        </is>
      </c>
    </row>
    <row r="1333" ht="28" customHeight="1">
      <c r="A1333" s="12">
        <f>IF($L1333="applied","Applied",IF($L1333="interview","Interview",IF($L1333="offer","Offer",IF($L1333="rejected","Rejected",IF($L1333="ignore","Ignore",IF($L1333="archive","Archive",IF($L1333="closed","Closed",IF($B1333="","Unscored",IF(AND($B1333&gt;=8,OR($H1333="",$H1333-TODAY()&lt;=14)),"P1 Apply",IF($B1333&gt;=7,"P2 Strong",IF($B1333&gt;=5,"P3 Maybe","P4 Low")))))))))))</f>
        <v/>
      </c>
      <c r="B1333" s="13" t="n">
        <v>0</v>
      </c>
      <c r="C1333" s="12" t="inlineStr">
        <is>
          <t>Senior/Lead</t>
        </is>
      </c>
      <c r="D1333" s="8" t="inlineStr">
        <is>
          <t>Staff DDR &amp; HBM Validation Engineer</t>
        </is>
      </c>
      <c r="E1333" s="7" t="inlineStr">
        <is>
          <t>Graphcore</t>
        </is>
      </c>
      <c r="F1333" s="8" t="inlineStr">
        <is>
          <t>Bengaluru, India</t>
        </is>
      </c>
      <c r="G1333" s="8" t="n"/>
      <c r="H1333" s="14" t="n"/>
      <c r="I1333" s="15">
        <f>IF($H1333="","",$H1333-TODAY())</f>
        <v/>
      </c>
      <c r="J1333" s="16" t="inlineStr">
        <is>
          <t>Open posting</t>
        </is>
      </c>
      <c r="K1333" s="8" t="inlineStr">
        <is>
          <t>filtered by keyword pre-scan</t>
        </is>
      </c>
      <c r="L1333" s="17" t="inlineStr">
        <is>
          <t>new</t>
        </is>
      </c>
      <c r="M1333" s="18" t="inlineStr"/>
      <c r="N1333" s="7" t="inlineStr">
        <is>
          <t>615fd0f5ba765766fd55efd5dd46b8cef81586d4</t>
        </is>
      </c>
      <c r="O1333" s="14" t="n">
        <v>46191</v>
      </c>
      <c r="P1333" s="7" t="inlineStr">
        <is>
          <t>greenhouse:graphcore</t>
        </is>
      </c>
      <c r="Q1333" s="8" t="inlineStr">
        <is>
          <t>python</t>
        </is>
      </c>
      <c r="R1333" s="8" t="n"/>
      <c r="S1333" s="19" t="n"/>
      <c r="T1333" s="19" t="n"/>
      <c r="U1333" s="14" t="n">
        <v>46191</v>
      </c>
      <c r="V1333" s="7" t="inlineStr">
        <is>
          <t>v2-cv-accuracy-13b988b18da8ea7d</t>
        </is>
      </c>
    </row>
    <row r="1334" ht="28" customHeight="1">
      <c r="A1334" s="12">
        <f>IF($L1334="applied","Applied",IF($L1334="interview","Interview",IF($L1334="offer","Offer",IF($L1334="rejected","Rejected",IF($L1334="ignore","Ignore",IF($L1334="archive","Archive",IF($L1334="closed","Closed",IF($B1334="","Unscored",IF(AND($B1334&gt;=8,OR($H1334="",$H1334-TODAY()&lt;=14)),"P1 Apply",IF($B1334&gt;=7,"P2 Strong",IF($B1334&gt;=5,"P3 Maybe","P4 Low")))))))))))</f>
        <v/>
      </c>
      <c r="B1334" s="13" t="n">
        <v>0</v>
      </c>
      <c r="C1334" s="12" t="inlineStr">
        <is>
          <t>Senior/Lead</t>
        </is>
      </c>
      <c r="D1334" s="8" t="inlineStr">
        <is>
          <t>Android Engineer</t>
        </is>
      </c>
      <c r="E1334" s="7" t="inlineStr">
        <is>
          <t>Monzo</t>
        </is>
      </c>
      <c r="F1334" s="8" t="inlineStr">
        <is>
          <t>Barcelona</t>
        </is>
      </c>
      <c r="G1334" s="8" t="n"/>
      <c r="H1334" s="14" t="n"/>
      <c r="I1334" s="15">
        <f>IF($H1334="","",$H1334-TODAY())</f>
        <v/>
      </c>
      <c r="J1334" s="16" t="inlineStr">
        <is>
          <t>Open posting</t>
        </is>
      </c>
      <c r="K1334" s="8" t="inlineStr">
        <is>
          <t>filtered by keyword pre-scan</t>
        </is>
      </c>
      <c r="L1334" s="17" t="inlineStr">
        <is>
          <t>new</t>
        </is>
      </c>
      <c r="M1334" s="18" t="inlineStr"/>
      <c r="N1334" s="7" t="inlineStr">
        <is>
          <t>a525aa152849da09a2278820ca826eee101ade34</t>
        </is>
      </c>
      <c r="O1334" s="14" t="n">
        <v>46170</v>
      </c>
      <c r="P1334" s="7" t="inlineStr">
        <is>
          <t>greenhouse:monzo</t>
        </is>
      </c>
      <c r="Q1334" s="8" t="inlineStr"/>
      <c r="R1334" s="8" t="n"/>
      <c r="S1334" s="19" t="n"/>
      <c r="T1334" s="19" t="n"/>
      <c r="U1334" s="14" t="n">
        <v>46191</v>
      </c>
      <c r="V1334" s="7" t="inlineStr">
        <is>
          <t>v2-cv-accuracy-13b988b18da8ea7d</t>
        </is>
      </c>
    </row>
    <row r="1335" ht="28" customHeight="1">
      <c r="A1335" s="12">
        <f>IF($L1335="applied","Applied",IF($L1335="interview","Interview",IF($L1335="offer","Offer",IF($L1335="rejected","Rejected",IF($L1335="ignore","Ignore",IF($L1335="archive","Archive",IF($L1335="closed","Closed",IF($B1335="","Unscored",IF(AND($B1335&gt;=8,OR($H1335="",$H1335-TODAY()&lt;=14)),"P1 Apply",IF($B1335&gt;=7,"P2 Strong",IF($B1335&gt;=5,"P3 Maybe","P4 Low")))))))))))</f>
        <v/>
      </c>
      <c r="B1335" s="13" t="n">
        <v>0</v>
      </c>
      <c r="C1335" s="12" t="inlineStr">
        <is>
          <t>Senior/Lead</t>
        </is>
      </c>
      <c r="D1335" s="8" t="inlineStr">
        <is>
          <t>Backend Engineer III</t>
        </is>
      </c>
      <c r="E1335" s="7" t="inlineStr">
        <is>
          <t>Monzo</t>
        </is>
      </c>
      <c r="F1335" s="8" t="inlineStr">
        <is>
          <t>Cardiff, London or Remote (UK)</t>
        </is>
      </c>
      <c r="G1335" s="8" t="n"/>
      <c r="H1335" s="14" t="n"/>
      <c r="I1335" s="15">
        <f>IF($H1335="","",$H1335-TODAY())</f>
        <v/>
      </c>
      <c r="J1335" s="16" t="inlineStr">
        <is>
          <t>Open posting</t>
        </is>
      </c>
      <c r="K1335" s="8" t="inlineStr">
        <is>
          <t>filtered by keyword pre-scan</t>
        </is>
      </c>
      <c r="L1335" s="17" t="inlineStr">
        <is>
          <t>new</t>
        </is>
      </c>
      <c r="M1335" s="18" t="inlineStr"/>
      <c r="N1335" s="7" t="inlineStr">
        <is>
          <t>ed21b6619db89e9864dfc34418198196d0adbc49</t>
        </is>
      </c>
      <c r="O1335" s="14" t="n">
        <v>46191</v>
      </c>
      <c r="P1335" s="7" t="inlineStr">
        <is>
          <t>greenhouse:monzo</t>
        </is>
      </c>
      <c r="Q1335" s="8" t="inlineStr"/>
      <c r="R1335" s="8" t="n"/>
      <c r="S1335" s="19" t="n"/>
      <c r="T1335" s="19" t="n"/>
      <c r="U1335" s="14" t="n">
        <v>46191</v>
      </c>
      <c r="V1335" s="7" t="inlineStr">
        <is>
          <t>v2-cv-accuracy-13b988b18da8ea7d</t>
        </is>
      </c>
    </row>
    <row r="1336" ht="28" customHeight="1">
      <c r="A1336" s="12">
        <f>IF($L1336="applied","Applied",IF($L1336="interview","Interview",IF($L1336="offer","Offer",IF($L1336="rejected","Rejected",IF($L1336="ignore","Ignore",IF($L1336="archive","Archive",IF($L1336="closed","Closed",IF($B1336="","Unscored",IF(AND($B1336&gt;=8,OR($H1336="",$H1336-TODAY()&lt;=14)),"P1 Apply",IF($B1336&gt;=7,"P2 Strong",IF($B1336&gt;=5,"P3 Maybe","P4 Low")))))))))))</f>
        <v/>
      </c>
      <c r="B1336" s="13" t="n">
        <v>0</v>
      </c>
      <c r="C1336" s="12" t="inlineStr">
        <is>
          <t>Senior/Lead</t>
        </is>
      </c>
      <c r="D1336" s="8" t="inlineStr">
        <is>
          <t>Card Acquiring, Business Banking Customer Operations Advisor</t>
        </is>
      </c>
      <c r="E1336" s="7" t="inlineStr">
        <is>
          <t>Monzo</t>
        </is>
      </c>
      <c r="F1336" s="8" t="inlineStr">
        <is>
          <t>Cardiff, London or Remote (UK)</t>
        </is>
      </c>
      <c r="G1336" s="8" t="n"/>
      <c r="H1336" s="14" t="n"/>
      <c r="I1336" s="15">
        <f>IF($H1336="","",$H1336-TODAY())</f>
        <v/>
      </c>
      <c r="J1336" s="16" t="inlineStr">
        <is>
          <t>Open posting</t>
        </is>
      </c>
      <c r="K1336" s="8" t="inlineStr">
        <is>
          <t>filtered by keyword pre-scan</t>
        </is>
      </c>
      <c r="L1336" s="17" t="inlineStr">
        <is>
          <t>new</t>
        </is>
      </c>
      <c r="M1336" s="18" t="inlineStr"/>
      <c r="N1336" s="7" t="inlineStr">
        <is>
          <t>93013b0e33a105e78a7890e1f83907729960e563</t>
        </is>
      </c>
      <c r="O1336" s="14" t="n">
        <v>46184</v>
      </c>
      <c r="P1336" s="7" t="inlineStr">
        <is>
          <t>greenhouse:monzo</t>
        </is>
      </c>
      <c r="Q1336" s="8" t="inlineStr"/>
      <c r="R1336" s="8" t="n"/>
      <c r="S1336" s="19" t="n"/>
      <c r="T1336" s="19" t="n"/>
      <c r="U1336" s="14" t="n">
        <v>46191</v>
      </c>
      <c r="V1336" s="7" t="inlineStr">
        <is>
          <t>v2-cv-accuracy-13b988b18da8ea7d</t>
        </is>
      </c>
    </row>
    <row r="1337" ht="28" customHeight="1">
      <c r="A1337" s="12">
        <f>IF($L1337="applied","Applied",IF($L1337="interview","Interview",IF($L1337="offer","Offer",IF($L1337="rejected","Rejected",IF($L1337="ignore","Ignore",IF($L1337="archive","Archive",IF($L1337="closed","Closed",IF($B1337="","Unscored",IF(AND($B1337&gt;=8,OR($H1337="",$H1337-TODAY()&lt;=14)),"P1 Apply",IF($B1337&gt;=7,"P2 Strong",IF($B1337&gt;=5,"P3 Maybe","P4 Low")))))))))))</f>
        <v/>
      </c>
      <c r="B1337" s="13" t="n">
        <v>0</v>
      </c>
      <c r="C1337" s="12" t="inlineStr">
        <is>
          <t>Manager/Owner</t>
        </is>
      </c>
      <c r="D1337" s="8" t="inlineStr">
        <is>
          <t>Credit Risk Manager, EU</t>
        </is>
      </c>
      <c r="E1337" s="7" t="inlineStr">
        <is>
          <t>Monzo</t>
        </is>
      </c>
      <c r="F1337" s="8" t="inlineStr">
        <is>
          <t>Barcelona; Madrid</t>
        </is>
      </c>
      <c r="G1337" s="8" t="n"/>
      <c r="H1337" s="14" t="n"/>
      <c r="I1337" s="15">
        <f>IF($H1337="","",$H1337-TODAY())</f>
        <v/>
      </c>
      <c r="J1337" s="16" t="inlineStr">
        <is>
          <t>Open posting</t>
        </is>
      </c>
      <c r="K1337" s="8" t="inlineStr">
        <is>
          <t>filtered by keyword pre-scan</t>
        </is>
      </c>
      <c r="L1337" s="17" t="inlineStr">
        <is>
          <t>new</t>
        </is>
      </c>
      <c r="M1337" s="18" t="inlineStr"/>
      <c r="N1337" s="7" t="inlineStr">
        <is>
          <t>d62d8b9982b06a50b828796b29a6a1e3b2b54345</t>
        </is>
      </c>
      <c r="O1337" s="14" t="n">
        <v>46170</v>
      </c>
      <c r="P1337" s="7" t="inlineStr">
        <is>
          <t>greenhouse:monzo</t>
        </is>
      </c>
      <c r="Q1337" s="8" t="inlineStr"/>
      <c r="R1337" s="8" t="n"/>
      <c r="S1337" s="19" t="n"/>
      <c r="T1337" s="19" t="n"/>
      <c r="U1337" s="14" t="n">
        <v>46191</v>
      </c>
      <c r="V1337" s="7" t="inlineStr">
        <is>
          <t>v2-cv-accuracy-13b988b18da8ea7d</t>
        </is>
      </c>
    </row>
    <row r="1338" ht="28" customHeight="1">
      <c r="A1338" s="12">
        <f>IF($L1338="applied","Applied",IF($L1338="interview","Interview",IF($L1338="offer","Offer",IF($L1338="rejected","Rejected",IF($L1338="ignore","Ignore",IF($L1338="archive","Archive",IF($L1338="closed","Closed",IF($B1338="","Unscored",IF(AND($B1338&gt;=8,OR($H1338="",$H1338-TODAY()&lt;=14)),"P1 Apply",IF($B1338&gt;=7,"P2 Strong",IF($B1338&gt;=5,"P3 Maybe","P4 Low")))))))))))</f>
        <v/>
      </c>
      <c r="B1338" s="13" t="n">
        <v>0</v>
      </c>
      <c r="C1338" s="12" t="inlineStr">
        <is>
          <t>Manager/Owner</t>
        </is>
      </c>
      <c r="D1338" s="8" t="inlineStr">
        <is>
          <t>Credit Risk Manager, EU</t>
        </is>
      </c>
      <c r="E1338" s="7" t="inlineStr">
        <is>
          <t>Monzo</t>
        </is>
      </c>
      <c r="F1338" s="8" t="inlineStr">
        <is>
          <t>Dublin</t>
        </is>
      </c>
      <c r="G1338" s="8" t="n"/>
      <c r="H1338" s="14" t="n"/>
      <c r="I1338" s="15">
        <f>IF($H1338="","",$H1338-TODAY())</f>
        <v/>
      </c>
      <c r="J1338" s="16" t="inlineStr">
        <is>
          <t>Open posting</t>
        </is>
      </c>
      <c r="K1338" s="8" t="inlineStr">
        <is>
          <t>filtered by keyword pre-scan</t>
        </is>
      </c>
      <c r="L1338" s="17" t="inlineStr">
        <is>
          <t>new</t>
        </is>
      </c>
      <c r="M1338" s="18" t="inlineStr"/>
      <c r="N1338" s="7" t="inlineStr">
        <is>
          <t>b5de47eead20a540e5350dc8d816308ffa19490a</t>
        </is>
      </c>
      <c r="O1338" s="14" t="n">
        <v>46170</v>
      </c>
      <c r="P1338" s="7" t="inlineStr">
        <is>
          <t>greenhouse:monzo</t>
        </is>
      </c>
      <c r="Q1338" s="8" t="inlineStr"/>
      <c r="R1338" s="8" t="n"/>
      <c r="S1338" s="19" t="n"/>
      <c r="T1338" s="19" t="n"/>
      <c r="U1338" s="14" t="n">
        <v>46191</v>
      </c>
      <c r="V1338" s="7" t="inlineStr">
        <is>
          <t>v2-cv-accuracy-13b988b18da8ea7d</t>
        </is>
      </c>
    </row>
    <row r="1339" ht="28" customHeight="1">
      <c r="A1339" s="12">
        <f>IF($L1339="applied","Applied",IF($L1339="interview","Interview",IF($L1339="offer","Offer",IF($L1339="rejected","Rejected",IF($L1339="ignore","Ignore",IF($L1339="archive","Archive",IF($L1339="closed","Closed",IF($B1339="","Unscored",IF(AND($B1339&gt;=8,OR($H1339="",$H1339-TODAY()&lt;=14)),"P1 Apply",IF($B1339&gt;=7,"P2 Strong",IF($B1339&gt;=5,"P3 Maybe","P4 Low")))))))))))</f>
        <v/>
      </c>
      <c r="B1339" s="13" t="n">
        <v>0</v>
      </c>
      <c r="C1339" s="12" t="inlineStr">
        <is>
          <t>Manager/Owner</t>
        </is>
      </c>
      <c r="D1339" s="8" t="inlineStr">
        <is>
          <t>Credit Risk Manager, Flex Originations</t>
        </is>
      </c>
      <c r="E1339" s="7" t="inlineStr">
        <is>
          <t>Monzo</t>
        </is>
      </c>
      <c r="F1339" s="8" t="inlineStr">
        <is>
          <t>Cardiff, London or Remote (UK)</t>
        </is>
      </c>
      <c r="G1339" s="8" t="n"/>
      <c r="H1339" s="14" t="n"/>
      <c r="I1339" s="15">
        <f>IF($H1339="","",$H1339-TODAY())</f>
        <v/>
      </c>
      <c r="J1339" s="16" t="inlineStr">
        <is>
          <t>Open posting</t>
        </is>
      </c>
      <c r="K1339" s="8" t="inlineStr">
        <is>
          <t>filtered by keyword pre-scan</t>
        </is>
      </c>
      <c r="L1339" s="17" t="inlineStr">
        <is>
          <t>new</t>
        </is>
      </c>
      <c r="M1339" s="18" t="inlineStr"/>
      <c r="N1339" s="7" t="inlineStr">
        <is>
          <t>4d7fe2ba201223815d64e0706451c63989155b90</t>
        </is>
      </c>
      <c r="O1339" s="14" t="n">
        <v>46182</v>
      </c>
      <c r="P1339" s="7" t="inlineStr">
        <is>
          <t>greenhouse:monzo</t>
        </is>
      </c>
      <c r="Q1339" s="8" t="inlineStr">
        <is>
          <t>python, sql</t>
        </is>
      </c>
      <c r="R1339" s="8" t="n"/>
      <c r="S1339" s="19" t="n"/>
      <c r="T1339" s="19" t="n"/>
      <c r="U1339" s="14" t="n">
        <v>46191</v>
      </c>
      <c r="V1339" s="7" t="inlineStr">
        <is>
          <t>v2-cv-accuracy-13b988b18da8ea7d</t>
        </is>
      </c>
    </row>
    <row r="1340" ht="28" customHeight="1">
      <c r="A1340" s="12">
        <f>IF($L1340="applied","Applied",IF($L1340="interview","Interview",IF($L1340="offer","Offer",IF($L1340="rejected","Rejected",IF($L1340="ignore","Ignore",IF($L1340="archive","Archive",IF($L1340="closed","Closed",IF($B1340="","Unscored",IF(AND($B1340&gt;=8,OR($H1340="",$H1340-TODAY()&lt;=14)),"P1 Apply",IF($B1340&gt;=7,"P2 Strong",IF($B1340&gt;=5,"P3 Maybe","P4 Low")))))))))))</f>
        <v/>
      </c>
      <c r="B1340" s="13" t="n">
        <v>0</v>
      </c>
      <c r="C1340" s="12" t="inlineStr">
        <is>
          <t>Manager/Owner</t>
        </is>
      </c>
      <c r="D1340" s="8" t="inlineStr">
        <is>
          <t>Credit Risk Manager, Portfolio Management</t>
        </is>
      </c>
      <c r="E1340" s="7" t="inlineStr">
        <is>
          <t>Monzo</t>
        </is>
      </c>
      <c r="F1340" s="8" t="inlineStr">
        <is>
          <t>London; Remote (UK)</t>
        </is>
      </c>
      <c r="G1340" s="8" t="n"/>
      <c r="H1340" s="14" t="n"/>
      <c r="I1340" s="15">
        <f>IF($H1340="","",$H1340-TODAY())</f>
        <v/>
      </c>
      <c r="J1340" s="16" t="inlineStr">
        <is>
          <t>Open posting</t>
        </is>
      </c>
      <c r="K1340" s="8" t="inlineStr">
        <is>
          <t>filtered by keyword pre-scan</t>
        </is>
      </c>
      <c r="L1340" s="17" t="inlineStr">
        <is>
          <t>new</t>
        </is>
      </c>
      <c r="M1340" s="18" t="inlineStr"/>
      <c r="N1340" s="7" t="inlineStr">
        <is>
          <t>e4b5a7947cbd2a31a7a0668832b2f40cf9b819a8</t>
        </is>
      </c>
      <c r="O1340" s="14" t="n">
        <v>46182</v>
      </c>
      <c r="P1340" s="7" t="inlineStr">
        <is>
          <t>greenhouse:monzo</t>
        </is>
      </c>
      <c r="Q1340" s="8" t="inlineStr">
        <is>
          <t>python, sql</t>
        </is>
      </c>
      <c r="R1340" s="8" t="n"/>
      <c r="S1340" s="19" t="n"/>
      <c r="T1340" s="19" t="n"/>
      <c r="U1340" s="14" t="n">
        <v>46191</v>
      </c>
      <c r="V1340" s="7" t="inlineStr">
        <is>
          <t>v2-cv-accuracy-13b988b18da8ea7d</t>
        </is>
      </c>
    </row>
    <row r="1341" ht="28" customHeight="1">
      <c r="A1341" s="12">
        <f>IF($L1341="applied","Applied",IF($L1341="interview","Interview",IF($L1341="offer","Offer",IF($L1341="rejected","Rejected",IF($L1341="ignore","Ignore",IF($L1341="archive","Archive",IF($L1341="closed","Closed",IF($B1341="","Unscored",IF(AND($B1341&gt;=8,OR($H1341="",$H1341-TODAY()&lt;=14)),"P1 Apply",IF($B1341&gt;=7,"P2 Strong",IF($B1341&gt;=5,"P3 Maybe","P4 Low")))))))))))</f>
        <v/>
      </c>
      <c r="B1341" s="13" t="n">
        <v>0</v>
      </c>
      <c r="C1341" s="12" t="inlineStr">
        <is>
          <t>Senior/Lead</t>
        </is>
      </c>
      <c r="D1341" s="8" t="inlineStr">
        <is>
          <t>Director of Fraud</t>
        </is>
      </c>
      <c r="E1341" s="7" t="inlineStr">
        <is>
          <t>Monzo</t>
        </is>
      </c>
      <c r="F1341" s="8" t="inlineStr">
        <is>
          <t>Cardiff, London or Remote (UK)</t>
        </is>
      </c>
      <c r="G1341" s="8" t="n"/>
      <c r="H1341" s="14" t="n"/>
      <c r="I1341" s="15">
        <f>IF($H1341="","",$H1341-TODAY())</f>
        <v/>
      </c>
      <c r="J1341" s="16" t="inlineStr">
        <is>
          <t>Open posting</t>
        </is>
      </c>
      <c r="K1341" s="8" t="inlineStr">
        <is>
          <t>filtered by keyword pre-scan</t>
        </is>
      </c>
      <c r="L1341" s="17" t="inlineStr">
        <is>
          <t>new</t>
        </is>
      </c>
      <c r="M1341" s="18" t="inlineStr"/>
      <c r="N1341" s="7" t="inlineStr">
        <is>
          <t>71950c46efc4e50f6f1410dc679b584a87e87910</t>
        </is>
      </c>
      <c r="O1341" s="14" t="n">
        <v>46190</v>
      </c>
      <c r="P1341" s="7" t="inlineStr">
        <is>
          <t>greenhouse:monzo</t>
        </is>
      </c>
      <c r="Q1341" s="8" t="inlineStr"/>
      <c r="R1341" s="8" t="n"/>
      <c r="S1341" s="19" t="n"/>
      <c r="T1341" s="19" t="n"/>
      <c r="U1341" s="14" t="n">
        <v>46191</v>
      </c>
      <c r="V1341" s="7" t="inlineStr">
        <is>
          <t>v2-cv-accuracy-13b988b18da8ea7d</t>
        </is>
      </c>
    </row>
    <row r="1342" ht="28" customHeight="1">
      <c r="A1342" s="12">
        <f>IF($L1342="applied","Applied",IF($L1342="interview","Interview",IF($L1342="offer","Offer",IF($L1342="rejected","Rejected",IF($L1342="ignore","Ignore",IF($L1342="archive","Archive",IF($L1342="closed","Closed",IF($B1342="","Unscored",IF(AND($B1342&gt;=8,OR($H1342="",$H1342-TODAY()&lt;=14)),"P1 Apply",IF($B1342&gt;=7,"P2 Strong",IF($B1342&gt;=5,"P3 Maybe","P4 Low")))))))))))</f>
        <v/>
      </c>
      <c r="B1342" s="13" t="n">
        <v>0</v>
      </c>
      <c r="C1342" s="12" t="inlineStr">
        <is>
          <t>Senior/Lead</t>
        </is>
      </c>
      <c r="D1342" s="8" t="inlineStr">
        <is>
          <t>Engineering Director, Security</t>
        </is>
      </c>
      <c r="E1342" s="7" t="inlineStr">
        <is>
          <t>Monzo</t>
        </is>
      </c>
      <c r="F1342" s="8" t="inlineStr">
        <is>
          <t>Cardiff, London or Remote (UK)</t>
        </is>
      </c>
      <c r="G1342" s="8" t="n"/>
      <c r="H1342" s="14" t="n"/>
      <c r="I1342" s="15">
        <f>IF($H1342="","",$H1342-TODAY())</f>
        <v/>
      </c>
      <c r="J1342" s="16" t="inlineStr">
        <is>
          <t>Open posting</t>
        </is>
      </c>
      <c r="K1342" s="8" t="inlineStr">
        <is>
          <t>filtered by keyword pre-scan</t>
        </is>
      </c>
      <c r="L1342" s="17" t="inlineStr">
        <is>
          <t>new</t>
        </is>
      </c>
      <c r="M1342" s="18" t="inlineStr"/>
      <c r="N1342" s="7" t="inlineStr">
        <is>
          <t>5670be2631b5ec83dbbdea1274ebdc799ac86750</t>
        </is>
      </c>
      <c r="O1342" s="14" t="n">
        <v>46191</v>
      </c>
      <c r="P1342" s="7" t="inlineStr">
        <is>
          <t>greenhouse:monzo</t>
        </is>
      </c>
      <c r="Q1342" s="8" t="inlineStr"/>
      <c r="R1342" s="8" t="n"/>
      <c r="S1342" s="19" t="n"/>
      <c r="T1342" s="19" t="n"/>
      <c r="U1342" s="14" t="n">
        <v>46191</v>
      </c>
      <c r="V1342" s="7" t="inlineStr">
        <is>
          <t>v2-cv-accuracy-13b988b18da8ea7d</t>
        </is>
      </c>
    </row>
    <row r="1343" ht="28" customHeight="1">
      <c r="A1343" s="12">
        <f>IF($L1343="applied","Applied",IF($L1343="interview","Interview",IF($L1343="offer","Offer",IF($L1343="rejected","Rejected",IF($L1343="ignore","Ignore",IF($L1343="archive","Archive",IF($L1343="closed","Closed",IF($B1343="","Unscored",IF(AND($B1343&gt;=8,OR($H1343="",$H1343-TODAY()&lt;=14)),"P1 Apply",IF($B1343&gt;=7,"P2 Strong",IF($B1343&gt;=5,"P3 Maybe","P4 Low")))))))))))</f>
        <v/>
      </c>
      <c r="B1343" s="13" t="n">
        <v>0</v>
      </c>
      <c r="C1343" s="12" t="inlineStr">
        <is>
          <t>Manager/Owner</t>
        </is>
      </c>
      <c r="D1343" s="8" t="inlineStr">
        <is>
          <t>Engineering Manager</t>
        </is>
      </c>
      <c r="E1343" s="7" t="inlineStr">
        <is>
          <t>Monzo</t>
        </is>
      </c>
      <c r="F1343" s="8" t="inlineStr">
        <is>
          <t>Cardiff, London or Remote (UK)</t>
        </is>
      </c>
      <c r="G1343" s="8" t="n"/>
      <c r="H1343" s="14" t="n"/>
      <c r="I1343" s="15">
        <f>IF($H1343="","",$H1343-TODAY())</f>
        <v/>
      </c>
      <c r="J1343" s="16" t="inlineStr">
        <is>
          <t>Open posting</t>
        </is>
      </c>
      <c r="K1343" s="8" t="inlineStr">
        <is>
          <t>filtered by keyword pre-scan</t>
        </is>
      </c>
      <c r="L1343" s="17" t="inlineStr">
        <is>
          <t>new</t>
        </is>
      </c>
      <c r="M1343" s="18" t="inlineStr"/>
      <c r="N1343" s="7" t="inlineStr">
        <is>
          <t>09477e435db4a9798da1f28ffbea8c9958d186c2</t>
        </is>
      </c>
      <c r="O1343" s="14" t="n">
        <v>46191</v>
      </c>
      <c r="P1343" s="7" t="inlineStr">
        <is>
          <t>greenhouse:monzo</t>
        </is>
      </c>
      <c r="Q1343" s="8" t="inlineStr"/>
      <c r="R1343" s="8" t="n"/>
      <c r="S1343" s="19" t="n"/>
      <c r="T1343" s="19" t="n"/>
      <c r="U1343" s="14" t="n">
        <v>46191</v>
      </c>
      <c r="V1343" s="7" t="inlineStr">
        <is>
          <t>v2-cv-accuracy-13b988b18da8ea7d</t>
        </is>
      </c>
    </row>
    <row r="1344" ht="28" customHeight="1">
      <c r="A1344" s="12">
        <f>IF($L1344="applied","Applied",IF($L1344="interview","Interview",IF($L1344="offer","Offer",IF($L1344="rejected","Rejected",IF($L1344="ignore","Ignore",IF($L1344="archive","Archive",IF($L1344="closed","Closed",IF($B1344="","Unscored",IF(AND($B1344&gt;=8,OR($H1344="",$H1344-TODAY()&lt;=14)),"P1 Apply",IF($B1344&gt;=7,"P2 Strong",IF($B1344&gt;=5,"P3 Maybe","P4 Low")))))))))))</f>
        <v/>
      </c>
      <c r="B1344" s="13" t="n">
        <v>0</v>
      </c>
      <c r="C1344" s="12" t="inlineStr">
        <is>
          <t>Manager/Owner</t>
        </is>
      </c>
      <c r="D1344" s="8" t="inlineStr">
        <is>
          <t>Engineering Manager</t>
        </is>
      </c>
      <c r="E1344" s="7" t="inlineStr">
        <is>
          <t>Monzo</t>
        </is>
      </c>
      <c r="F1344" s="8" t="inlineStr">
        <is>
          <t>Barcelona</t>
        </is>
      </c>
      <c r="G1344" s="8" t="n"/>
      <c r="H1344" s="14" t="n"/>
      <c r="I1344" s="15">
        <f>IF($H1344="","",$H1344-TODAY())</f>
        <v/>
      </c>
      <c r="J1344" s="16" t="inlineStr">
        <is>
          <t>Open posting</t>
        </is>
      </c>
      <c r="K1344" s="8" t="inlineStr">
        <is>
          <t>filtered by keyword pre-scan</t>
        </is>
      </c>
      <c r="L1344" s="17" t="inlineStr">
        <is>
          <t>new</t>
        </is>
      </c>
      <c r="M1344" s="18" t="inlineStr"/>
      <c r="N1344" s="7" t="inlineStr">
        <is>
          <t>b8276361e21f56b27dfb4ab76a67ba24a6d5e248</t>
        </is>
      </c>
      <c r="O1344" s="14" t="n">
        <v>46178</v>
      </c>
      <c r="P1344" s="7" t="inlineStr">
        <is>
          <t>greenhouse:monzo</t>
        </is>
      </c>
      <c r="Q1344" s="8" t="inlineStr"/>
      <c r="R1344" s="8" t="n"/>
      <c r="S1344" s="19" t="n"/>
      <c r="T1344" s="19" t="n"/>
      <c r="U1344" s="14" t="n">
        <v>46191</v>
      </c>
      <c r="V1344" s="7" t="inlineStr">
        <is>
          <t>v2-cv-accuracy-13b988b18da8ea7d</t>
        </is>
      </c>
    </row>
    <row r="1345" ht="28" customHeight="1">
      <c r="A1345" s="12">
        <f>IF($L1345="applied","Applied",IF($L1345="interview","Interview",IF($L1345="offer","Offer",IF($L1345="rejected","Rejected",IF($L1345="ignore","Ignore",IF($L1345="archive","Archive",IF($L1345="closed","Closed",IF($B1345="","Unscored",IF(AND($B1345&gt;=8,OR($H1345="",$H1345-TODAY()&lt;=14)),"P1 Apply",IF($B1345&gt;=7,"P2 Strong",IF($B1345&gt;=5,"P3 Maybe","P4 Low")))))))))))</f>
        <v/>
      </c>
      <c r="B1345" s="13" t="n">
        <v>0</v>
      </c>
      <c r="C1345" s="12" t="inlineStr">
        <is>
          <t>Manager/Owner</t>
        </is>
      </c>
      <c r="D1345" s="8" t="inlineStr">
        <is>
          <t>Enterprise Risk Manager</t>
        </is>
      </c>
      <c r="E1345" s="7" t="inlineStr">
        <is>
          <t>Monzo</t>
        </is>
      </c>
      <c r="F1345" s="8" t="inlineStr">
        <is>
          <t>Dublin</t>
        </is>
      </c>
      <c r="G1345" s="8" t="n"/>
      <c r="H1345" s="14" t="n"/>
      <c r="I1345" s="15">
        <f>IF($H1345="","",$H1345-TODAY())</f>
        <v/>
      </c>
      <c r="J1345" s="16" t="inlineStr">
        <is>
          <t>Open posting</t>
        </is>
      </c>
      <c r="K1345" s="8" t="inlineStr">
        <is>
          <t>filtered by keyword pre-scan</t>
        </is>
      </c>
      <c r="L1345" s="17" t="inlineStr">
        <is>
          <t>new</t>
        </is>
      </c>
      <c r="M1345" s="18" t="inlineStr"/>
      <c r="N1345" s="7" t="inlineStr">
        <is>
          <t>20474d42f6363f36fedd7042bc1fd533e83a2f63</t>
        </is>
      </c>
      <c r="O1345" s="14" t="n">
        <v>46177</v>
      </c>
      <c r="P1345" s="7" t="inlineStr">
        <is>
          <t>greenhouse:monzo</t>
        </is>
      </c>
      <c r="Q1345" s="8" t="inlineStr"/>
      <c r="R1345" s="8" t="n"/>
      <c r="S1345" s="19" t="n"/>
      <c r="T1345" s="19" t="n"/>
      <c r="U1345" s="14" t="n">
        <v>46191</v>
      </c>
      <c r="V1345" s="7" t="inlineStr">
        <is>
          <t>v2-cv-accuracy-13b988b18da8ea7d</t>
        </is>
      </c>
    </row>
    <row r="1346" ht="28" customHeight="1">
      <c r="A1346" s="12">
        <f>IF($L1346="applied","Applied",IF($L1346="interview","Interview",IF($L1346="offer","Offer",IF($L1346="rejected","Rejected",IF($L1346="ignore","Ignore",IF($L1346="archive","Archive",IF($L1346="closed","Closed",IF($B1346="","Unscored",IF(AND($B1346&gt;=8,OR($H1346="",$H1346-TODAY()&lt;=14)),"P1 Apply",IF($B1346&gt;=7,"P2 Strong",IF($B1346&gt;=5,"P3 Maybe","P4 Low")))))))))))</f>
        <v/>
      </c>
      <c r="B1346" s="13" t="n">
        <v>0</v>
      </c>
      <c r="C1346" s="12" t="inlineStr">
        <is>
          <t>Manager/Owner</t>
        </is>
      </c>
      <c r="D1346" s="8" t="inlineStr">
        <is>
          <t>Enterprise Risk Manager</t>
        </is>
      </c>
      <c r="E1346" s="7" t="inlineStr">
        <is>
          <t>Monzo</t>
        </is>
      </c>
      <c r="F1346" s="8" t="inlineStr">
        <is>
          <t>Barcelona; Madrid</t>
        </is>
      </c>
      <c r="G1346" s="8" t="n"/>
      <c r="H1346" s="14" t="n"/>
      <c r="I1346" s="15">
        <f>IF($H1346="","",$H1346-TODAY())</f>
        <v/>
      </c>
      <c r="J1346" s="16" t="inlineStr">
        <is>
          <t>Open posting</t>
        </is>
      </c>
      <c r="K1346" s="8" t="inlineStr">
        <is>
          <t>filtered by keyword pre-scan</t>
        </is>
      </c>
      <c r="L1346" s="17" t="inlineStr">
        <is>
          <t>new</t>
        </is>
      </c>
      <c r="M1346" s="18" t="inlineStr"/>
      <c r="N1346" s="7" t="inlineStr">
        <is>
          <t>fe7c622d7637cda9193bd74fe2c7c5b2855dbf66</t>
        </is>
      </c>
      <c r="O1346" s="14" t="n">
        <v>46177</v>
      </c>
      <c r="P1346" s="7" t="inlineStr">
        <is>
          <t>greenhouse:monzo</t>
        </is>
      </c>
      <c r="Q1346" s="8" t="inlineStr"/>
      <c r="R1346" s="8" t="n"/>
      <c r="S1346" s="19" t="n"/>
      <c r="T1346" s="19" t="n"/>
      <c r="U1346" s="14" t="n">
        <v>46191</v>
      </c>
      <c r="V1346" s="7" t="inlineStr">
        <is>
          <t>v2-cv-accuracy-13b988b18da8ea7d</t>
        </is>
      </c>
    </row>
    <row r="1347" ht="28" customHeight="1">
      <c r="A1347" s="12">
        <f>IF($L1347="applied","Applied",IF($L1347="interview","Interview",IF($L1347="offer","Offer",IF($L1347="rejected","Rejected",IF($L1347="ignore","Ignore",IF($L1347="archive","Archive",IF($L1347="closed","Closed",IF($B1347="","Unscored",IF(AND($B1347&gt;=8,OR($H1347="",$H1347-TODAY()&lt;=14)),"P1 Apply",IF($B1347&gt;=7,"P2 Strong",IF($B1347&gt;=5,"P3 Maybe","P4 Low")))))))))))</f>
        <v/>
      </c>
      <c r="B1347" s="13" t="n">
        <v>0</v>
      </c>
      <c r="C1347" s="12" t="inlineStr">
        <is>
          <t>Manager/Owner</t>
        </is>
      </c>
      <c r="D1347" s="8" t="inlineStr">
        <is>
          <t>Errors Manager</t>
        </is>
      </c>
      <c r="E1347" s="7" t="inlineStr">
        <is>
          <t>Monzo</t>
        </is>
      </c>
      <c r="F1347" s="8" t="inlineStr">
        <is>
          <t>Dublin</t>
        </is>
      </c>
      <c r="G1347" s="8" t="n"/>
      <c r="H1347" s="14" t="n"/>
      <c r="I1347" s="15">
        <f>IF($H1347="","",$H1347-TODAY())</f>
        <v/>
      </c>
      <c r="J1347" s="16" t="inlineStr">
        <is>
          <t>Open posting</t>
        </is>
      </c>
      <c r="K1347" s="8" t="inlineStr">
        <is>
          <t>filtered by keyword pre-scan</t>
        </is>
      </c>
      <c r="L1347" s="17" t="inlineStr">
        <is>
          <t>new</t>
        </is>
      </c>
      <c r="M1347" s="18" t="inlineStr"/>
      <c r="N1347" s="7" t="inlineStr">
        <is>
          <t>65fc5e59161438b328acc80ee015de3ccf34202f</t>
        </is>
      </c>
      <c r="O1347" s="14" t="n">
        <v>46170</v>
      </c>
      <c r="P1347" s="7" t="inlineStr">
        <is>
          <t>greenhouse:monzo</t>
        </is>
      </c>
      <c r="Q1347" s="8" t="inlineStr"/>
      <c r="R1347" s="8" t="n"/>
      <c r="S1347" s="19" t="n"/>
      <c r="T1347" s="19" t="n"/>
      <c r="U1347" s="14" t="n">
        <v>46191</v>
      </c>
      <c r="V1347" s="7" t="inlineStr">
        <is>
          <t>v2-cv-accuracy-13b988b18da8ea7d</t>
        </is>
      </c>
    </row>
    <row r="1348" ht="28" customHeight="1">
      <c r="A1348" s="12">
        <f>IF($L1348="applied","Applied",IF($L1348="interview","Interview",IF($L1348="offer","Offer",IF($L1348="rejected","Rejected",IF($L1348="ignore","Ignore",IF($L1348="archive","Archive",IF($L1348="closed","Closed",IF($B1348="","Unscored",IF(AND($B1348&gt;=8,OR($H1348="",$H1348-TODAY()&lt;=14)),"P1 Apply",IF($B1348&gt;=7,"P2 Strong",IF($B1348&gt;=5,"P3 Maybe","P4 Low")))))))))))</f>
        <v/>
      </c>
      <c r="B1348" s="13" t="n">
        <v>0</v>
      </c>
      <c r="C1348" s="12" t="inlineStr">
        <is>
          <t>Senior/Lead</t>
        </is>
      </c>
      <c r="D1348" s="8" t="inlineStr">
        <is>
          <t>Head of Prudential Risk</t>
        </is>
      </c>
      <c r="E1348" s="7" t="inlineStr">
        <is>
          <t>Monzo</t>
        </is>
      </c>
      <c r="F1348" s="8" t="inlineStr">
        <is>
          <t>Cardiff, London or Remote (UK)</t>
        </is>
      </c>
      <c r="G1348" s="8" t="n"/>
      <c r="H1348" s="14" t="n"/>
      <c r="I1348" s="15">
        <f>IF($H1348="","",$H1348-TODAY())</f>
        <v/>
      </c>
      <c r="J1348" s="16" t="inlineStr">
        <is>
          <t>Open posting</t>
        </is>
      </c>
      <c r="K1348" s="8" t="inlineStr">
        <is>
          <t>filtered by keyword pre-scan</t>
        </is>
      </c>
      <c r="L1348" s="17" t="inlineStr">
        <is>
          <t>new</t>
        </is>
      </c>
      <c r="M1348" s="18" t="inlineStr"/>
      <c r="N1348" s="7" t="inlineStr">
        <is>
          <t>e2c2c5354ed20c21d1b43d142a3b3cad975ae00f</t>
        </is>
      </c>
      <c r="O1348" s="14" t="n">
        <v>46185</v>
      </c>
      <c r="P1348" s="7" t="inlineStr">
        <is>
          <t>greenhouse:monzo</t>
        </is>
      </c>
      <c r="Q1348" s="8" t="inlineStr"/>
      <c r="R1348" s="8" t="n"/>
      <c r="S1348" s="19" t="n"/>
      <c r="T1348" s="19" t="n"/>
      <c r="U1348" s="14" t="n">
        <v>46191</v>
      </c>
      <c r="V1348" s="7" t="inlineStr">
        <is>
          <t>v2-cv-accuracy-13b988b18da8ea7d</t>
        </is>
      </c>
    </row>
    <row r="1349" ht="28" customHeight="1">
      <c r="A1349" s="12">
        <f>IF($L1349="applied","Applied",IF($L1349="interview","Interview",IF($L1349="offer","Offer",IF($L1349="rejected","Rejected",IF($L1349="ignore","Ignore",IF($L1349="archive","Archive",IF($L1349="closed","Closed",IF($B1349="","Unscored",IF(AND($B1349&gt;=8,OR($H1349="",$H1349-TODAY()&lt;=14)),"P1 Apply",IF($B1349&gt;=7,"P2 Strong",IF($B1349&gt;=5,"P3 Maybe","P4 Low")))))))))))</f>
        <v/>
      </c>
      <c r="B1349" s="13" t="n">
        <v>0</v>
      </c>
      <c r="C1349" s="12" t="inlineStr">
        <is>
          <t>Senior/Lead</t>
        </is>
      </c>
      <c r="D1349" s="8" t="inlineStr">
        <is>
          <t>International Public Policy, Senior Manager</t>
        </is>
      </c>
      <c r="E1349" s="7" t="inlineStr">
        <is>
          <t>Monzo</t>
        </is>
      </c>
      <c r="F1349" s="8" t="inlineStr">
        <is>
          <t>Cardiff, London or Remote (UK)</t>
        </is>
      </c>
      <c r="G1349" s="8" t="n"/>
      <c r="H1349" s="14" t="n"/>
      <c r="I1349" s="15">
        <f>IF($H1349="","",$H1349-TODAY())</f>
        <v/>
      </c>
      <c r="J1349" s="16" t="inlineStr">
        <is>
          <t>Open posting</t>
        </is>
      </c>
      <c r="K1349" s="8" t="inlineStr">
        <is>
          <t>filtered by keyword pre-scan</t>
        </is>
      </c>
      <c r="L1349" s="17" t="inlineStr">
        <is>
          <t>new</t>
        </is>
      </c>
      <c r="M1349" s="18" t="inlineStr"/>
      <c r="N1349" s="7" t="inlineStr">
        <is>
          <t>8b91c0d0476e65739cd995997fdb1d3691628aa5</t>
        </is>
      </c>
      <c r="O1349" s="14" t="n">
        <v>46185</v>
      </c>
      <c r="P1349" s="7" t="inlineStr">
        <is>
          <t>greenhouse:monzo</t>
        </is>
      </c>
      <c r="Q1349" s="8" t="inlineStr">
        <is>
          <t>git</t>
        </is>
      </c>
      <c r="R1349" s="8" t="n"/>
      <c r="S1349" s="19" t="n"/>
      <c r="T1349" s="19" t="n"/>
      <c r="U1349" s="14" t="n">
        <v>46191</v>
      </c>
      <c r="V1349" s="7" t="inlineStr">
        <is>
          <t>v2-cv-accuracy-13b988b18da8ea7d</t>
        </is>
      </c>
    </row>
    <row r="1350" ht="28" customHeight="1">
      <c r="A1350" s="12">
        <f>IF($L1350="applied","Applied",IF($L1350="interview","Interview",IF($L1350="offer","Offer",IF($L1350="rejected","Rejected",IF($L1350="ignore","Ignore",IF($L1350="archive","Archive",IF($L1350="closed","Closed",IF($B1350="","Unscored",IF(AND($B1350&gt;=8,OR($H1350="",$H1350-TODAY()&lt;=14)),"P1 Apply",IF($B1350&gt;=7,"P2 Strong",IF($B1350&gt;=5,"P3 Maybe","P4 Low")))))))))))</f>
        <v/>
      </c>
      <c r="B1350" s="13" t="n">
        <v>0</v>
      </c>
      <c r="C1350" s="12" t="inlineStr">
        <is>
          <t>Senior/Lead</t>
        </is>
      </c>
      <c r="D1350" s="8" t="inlineStr">
        <is>
          <t>Lead Analytics Engineer, Borrowing</t>
        </is>
      </c>
      <c r="E1350" s="7" t="inlineStr">
        <is>
          <t>Monzo</t>
        </is>
      </c>
      <c r="F1350" s="8" t="inlineStr">
        <is>
          <t>Cardiff, London or Remote (UK)</t>
        </is>
      </c>
      <c r="G1350" s="8" t="n"/>
      <c r="H1350" s="14" t="n"/>
      <c r="I1350" s="15">
        <f>IF($H1350="","",$H1350-TODAY())</f>
        <v/>
      </c>
      <c r="J1350" s="16" t="inlineStr">
        <is>
          <t>Open posting</t>
        </is>
      </c>
      <c r="K1350" s="8" t="inlineStr">
        <is>
          <t>filtered by keyword pre-scan</t>
        </is>
      </c>
      <c r="L1350" s="17" t="inlineStr">
        <is>
          <t>new</t>
        </is>
      </c>
      <c r="M1350" s="18" t="inlineStr"/>
      <c r="N1350" s="7" t="inlineStr">
        <is>
          <t>9087bba2759bd01514da3b872cf19239f004bdee</t>
        </is>
      </c>
      <c r="O1350" s="14" t="n">
        <v>46170</v>
      </c>
      <c r="P1350" s="7" t="inlineStr">
        <is>
          <t>greenhouse:monzo</t>
        </is>
      </c>
      <c r="Q1350" s="8" t="inlineStr"/>
      <c r="R1350" s="8" t="n"/>
      <c r="S1350" s="19" t="n"/>
      <c r="T1350" s="19" t="n"/>
      <c r="U1350" s="14" t="n">
        <v>46191</v>
      </c>
      <c r="V1350" s="7" t="inlineStr">
        <is>
          <t>v2-cv-accuracy-13b988b18da8ea7d</t>
        </is>
      </c>
    </row>
    <row r="1351" ht="28" customHeight="1">
      <c r="A1351" s="12">
        <f>IF($L1351="applied","Applied",IF($L1351="interview","Interview",IF($L1351="offer","Offer",IF($L1351="rejected","Rejected",IF($L1351="ignore","Ignore",IF($L1351="archive","Archive",IF($L1351="closed","Closed",IF($B1351="","Unscored",IF(AND($B1351&gt;=8,OR($H1351="",$H1351-TODAY()&lt;=14)),"P1 Apply",IF($B1351&gt;=7,"P2 Strong",IF($B1351&gt;=5,"P3 Maybe","P4 Low")))))))))))</f>
        <v/>
      </c>
      <c r="B1351" s="13" t="n">
        <v>0</v>
      </c>
      <c r="C1351" s="12" t="inlineStr">
        <is>
          <t>Senior/Lead</t>
        </is>
      </c>
      <c r="D1351" s="8" t="inlineStr">
        <is>
          <t>Lead Data Scientist</t>
        </is>
      </c>
      <c r="E1351" s="7" t="inlineStr">
        <is>
          <t>Monzo</t>
        </is>
      </c>
      <c r="F1351" s="8" t="inlineStr">
        <is>
          <t>Barcelona</t>
        </is>
      </c>
      <c r="G1351" s="8" t="n"/>
      <c r="H1351" s="14" t="n"/>
      <c r="I1351" s="15">
        <f>IF($H1351="","",$H1351-TODAY())</f>
        <v/>
      </c>
      <c r="J1351" s="16" t="inlineStr">
        <is>
          <t>Open posting</t>
        </is>
      </c>
      <c r="K1351" s="8" t="inlineStr">
        <is>
          <t>filtered by keyword pre-scan</t>
        </is>
      </c>
      <c r="L1351" s="17" t="inlineStr">
        <is>
          <t>new</t>
        </is>
      </c>
      <c r="M1351" s="18" t="inlineStr"/>
      <c r="N1351" s="7" t="inlineStr">
        <is>
          <t>c56c9fb3211af067d47d4d63b76f67de2f8bdb06</t>
        </is>
      </c>
      <c r="O1351" s="14" t="n">
        <v>46170</v>
      </c>
      <c r="P1351" s="7" t="inlineStr">
        <is>
          <t>greenhouse:monzo</t>
        </is>
      </c>
      <c r="Q1351" s="8" t="inlineStr"/>
      <c r="R1351" s="8" t="n"/>
      <c r="S1351" s="19" t="n"/>
      <c r="T1351" s="19" t="n"/>
      <c r="U1351" s="14" t="n">
        <v>46191</v>
      </c>
      <c r="V1351" s="7" t="inlineStr">
        <is>
          <t>v2-cv-accuracy-13b988b18da8ea7d</t>
        </is>
      </c>
    </row>
    <row r="1352" ht="28" customHeight="1">
      <c r="A1352" s="12">
        <f>IF($L1352="applied","Applied",IF($L1352="interview","Interview",IF($L1352="offer","Offer",IF($L1352="rejected","Rejected",IF($L1352="ignore","Ignore",IF($L1352="archive","Archive",IF($L1352="closed","Closed",IF($B1352="","Unscored",IF(AND($B1352&gt;=8,OR($H1352="",$H1352-TODAY()&lt;=14)),"P1 Apply",IF($B1352&gt;=7,"P2 Strong",IF($B1352&gt;=5,"P3 Maybe","P4 Low")))))))))))</f>
        <v/>
      </c>
      <c r="B1352" s="13" t="n">
        <v>0</v>
      </c>
      <c r="C1352" s="12" t="inlineStr">
        <is>
          <t>Senior/Lead</t>
        </is>
      </c>
      <c r="D1352" s="8" t="inlineStr">
        <is>
          <t>Lead Product Designer</t>
        </is>
      </c>
      <c r="E1352" s="7" t="inlineStr">
        <is>
          <t>Monzo</t>
        </is>
      </c>
      <c r="F1352" s="8" t="inlineStr">
        <is>
          <t>Cardiff, London or Remote (UK)</t>
        </is>
      </c>
      <c r="G1352" s="8" t="n"/>
      <c r="H1352" s="14" t="n"/>
      <c r="I1352" s="15">
        <f>IF($H1352="","",$H1352-TODAY())</f>
        <v/>
      </c>
      <c r="J1352" s="16" t="inlineStr">
        <is>
          <t>Open posting</t>
        </is>
      </c>
      <c r="K1352" s="8" t="inlineStr">
        <is>
          <t>filtered by keyword pre-scan</t>
        </is>
      </c>
      <c r="L1352" s="17" t="inlineStr">
        <is>
          <t>new</t>
        </is>
      </c>
      <c r="M1352" s="18" t="inlineStr"/>
      <c r="N1352" s="7" t="inlineStr">
        <is>
          <t>cf9b90107850f98aa89569b88a1e4b4541e8700a</t>
        </is>
      </c>
      <c r="O1352" s="14" t="n">
        <v>46170</v>
      </c>
      <c r="P1352" s="7" t="inlineStr">
        <is>
          <t>greenhouse:monzo</t>
        </is>
      </c>
      <c r="Q1352" s="8" t="inlineStr"/>
      <c r="R1352" s="8" t="n"/>
      <c r="S1352" s="19" t="n"/>
      <c r="T1352" s="19" t="n"/>
      <c r="U1352" s="14" t="n">
        <v>46191</v>
      </c>
      <c r="V1352" s="7" t="inlineStr">
        <is>
          <t>v2-cv-accuracy-13b988b18da8ea7d</t>
        </is>
      </c>
    </row>
    <row r="1353" ht="28" customHeight="1">
      <c r="A1353" s="12">
        <f>IF($L1353="applied","Applied",IF($L1353="interview","Interview",IF($L1353="offer","Offer",IF($L1353="rejected","Rejected",IF($L1353="ignore","Ignore",IF($L1353="archive","Archive",IF($L1353="closed","Closed",IF($B1353="","Unscored",IF(AND($B1353&gt;=8,OR($H1353="",$H1353-TODAY()&lt;=14)),"P1 Apply",IF($B1353&gt;=7,"P2 Strong",IF($B1353&gt;=5,"P3 Maybe","P4 Low")))))))))))</f>
        <v/>
      </c>
      <c r="B1353" s="13" t="n">
        <v>0</v>
      </c>
      <c r="C1353" s="12" t="inlineStr">
        <is>
          <t>Senior/Lead</t>
        </is>
      </c>
      <c r="D1353" s="8" t="inlineStr">
        <is>
          <t>Lead User Researcher</t>
        </is>
      </c>
      <c r="E1353" s="7" t="inlineStr">
        <is>
          <t>Monzo</t>
        </is>
      </c>
      <c r="F1353" s="8" t="inlineStr">
        <is>
          <t>Dublin</t>
        </is>
      </c>
      <c r="G1353" s="8" t="n"/>
      <c r="H1353" s="14" t="n"/>
      <c r="I1353" s="15">
        <f>IF($H1353="","",$H1353-TODAY())</f>
        <v/>
      </c>
      <c r="J1353" s="16" t="inlineStr">
        <is>
          <t>Open posting</t>
        </is>
      </c>
      <c r="K1353" s="8" t="inlineStr">
        <is>
          <t>filtered by keyword pre-scan</t>
        </is>
      </c>
      <c r="L1353" s="17" t="inlineStr">
        <is>
          <t>new</t>
        </is>
      </c>
      <c r="M1353" s="18" t="inlineStr"/>
      <c r="N1353" s="7" t="inlineStr">
        <is>
          <t>caba78d22173b8f834550233e0f7dbc6ca00e061</t>
        </is>
      </c>
      <c r="O1353" s="14" t="n">
        <v>46170</v>
      </c>
      <c r="P1353" s="7" t="inlineStr">
        <is>
          <t>greenhouse:monzo</t>
        </is>
      </c>
      <c r="Q1353" s="8" t="inlineStr"/>
      <c r="R1353" s="8" t="n"/>
      <c r="S1353" s="19" t="n"/>
      <c r="T1353" s="19" t="n"/>
      <c r="U1353" s="14" t="n">
        <v>46191</v>
      </c>
      <c r="V1353" s="7" t="inlineStr">
        <is>
          <t>v2-cv-accuracy-13b988b18da8ea7d</t>
        </is>
      </c>
    </row>
    <row r="1354" ht="28" customHeight="1">
      <c r="A1354" s="12">
        <f>IF($L1354="applied","Applied",IF($L1354="interview","Interview",IF($L1354="offer","Offer",IF($L1354="rejected","Rejected",IF($L1354="ignore","Ignore",IF($L1354="archive","Archive",IF($L1354="closed","Closed",IF($B1354="","Unscored",IF(AND($B1354&gt;=8,OR($H1354="",$H1354-TODAY()&lt;=14)),"P1 Apply",IF($B1354&gt;=7,"P2 Strong",IF($B1354&gt;=5,"P3 Maybe","P4 Low")))))))))))</f>
        <v/>
      </c>
      <c r="B1354" s="13" t="n">
        <v>0</v>
      </c>
      <c r="C1354" s="12" t="inlineStr">
        <is>
          <t>Manager/Owner</t>
        </is>
      </c>
      <c r="D1354" s="8" t="inlineStr">
        <is>
          <t>Machine Learning Manager, Fincrime</t>
        </is>
      </c>
      <c r="E1354" s="7" t="inlineStr">
        <is>
          <t>Monzo</t>
        </is>
      </c>
      <c r="F1354" s="8" t="inlineStr">
        <is>
          <t>Cardiff, London or Remote (UK)</t>
        </is>
      </c>
      <c r="G1354" s="8" t="n"/>
      <c r="H1354" s="14" t="n"/>
      <c r="I1354" s="15">
        <f>IF($H1354="","",$H1354-TODAY())</f>
        <v/>
      </c>
      <c r="J1354" s="16" t="inlineStr">
        <is>
          <t>Open posting</t>
        </is>
      </c>
      <c r="K1354" s="8" t="inlineStr">
        <is>
          <t>filtered by keyword pre-scan</t>
        </is>
      </c>
      <c r="L1354" s="17" t="inlineStr">
        <is>
          <t>new</t>
        </is>
      </c>
      <c r="M1354" s="18" t="inlineStr"/>
      <c r="N1354" s="7" t="inlineStr">
        <is>
          <t>7ef629ed9ee4867d7fa5fe0fffa90d76115ffe29</t>
        </is>
      </c>
      <c r="O1354" s="14" t="n">
        <v>46185</v>
      </c>
      <c r="P1354" s="7" t="inlineStr">
        <is>
          <t>greenhouse:monzo</t>
        </is>
      </c>
      <c r="Q1354" s="8" t="inlineStr"/>
      <c r="R1354" s="8" t="n"/>
      <c r="S1354" s="19" t="n"/>
      <c r="T1354" s="19" t="n"/>
      <c r="U1354" s="14" t="n">
        <v>46191</v>
      </c>
      <c r="V1354" s="7" t="inlineStr">
        <is>
          <t>v2-cv-accuracy-13b988b18da8ea7d</t>
        </is>
      </c>
    </row>
    <row r="1355" ht="28" customHeight="1">
      <c r="A1355" s="12">
        <f>IF($L1355="applied","Applied",IF($L1355="interview","Interview",IF($L1355="offer","Offer",IF($L1355="rejected","Rejected",IF($L1355="ignore","Ignore",IF($L1355="archive","Archive",IF($L1355="closed","Closed",IF($B1355="","Unscored",IF(AND($B1355&gt;=8,OR($H1355="",$H1355-TODAY()&lt;=14)),"P1 Apply",IF($B1355&gt;=7,"P2 Strong",IF($B1355&gt;=5,"P3 Maybe","P4 Low")))))))))))</f>
        <v/>
      </c>
      <c r="B1355" s="13" t="n">
        <v>0</v>
      </c>
      <c r="C1355" s="12" t="inlineStr">
        <is>
          <t>Senior/Lead</t>
        </is>
      </c>
      <c r="D1355" s="8" t="inlineStr">
        <is>
          <t>Operations Leadership, Financial Crime (Multilingual)</t>
        </is>
      </c>
      <c r="E1355" s="7" t="inlineStr">
        <is>
          <t>Monzo</t>
        </is>
      </c>
      <c r="F1355" s="8" t="inlineStr">
        <is>
          <t>Remote (UK)</t>
        </is>
      </c>
      <c r="G1355" s="8" t="n"/>
      <c r="H1355" s="14" t="n"/>
      <c r="I1355" s="15">
        <f>IF($H1355="","",$H1355-TODAY())</f>
        <v/>
      </c>
      <c r="J1355" s="16" t="inlineStr">
        <is>
          <t>Open posting</t>
        </is>
      </c>
      <c r="K1355" s="8" t="inlineStr">
        <is>
          <t>filtered by keyword pre-scan</t>
        </is>
      </c>
      <c r="L1355" s="17" t="inlineStr">
        <is>
          <t>new</t>
        </is>
      </c>
      <c r="M1355" s="18" t="inlineStr"/>
      <c r="N1355" s="7" t="inlineStr">
        <is>
          <t>7663fecb205f2788cc37a72d213ec514b12e7acb</t>
        </is>
      </c>
      <c r="O1355" s="14" t="n">
        <v>46184</v>
      </c>
      <c r="P1355" s="7" t="inlineStr">
        <is>
          <t>greenhouse:monzo</t>
        </is>
      </c>
      <c r="Q1355" s="8" t="inlineStr"/>
      <c r="R1355" s="8" t="n"/>
      <c r="S1355" s="19" t="n"/>
      <c r="T1355" s="19" t="n"/>
      <c r="U1355" s="14" t="n">
        <v>46191</v>
      </c>
      <c r="V1355" s="7" t="inlineStr">
        <is>
          <t>v2-cv-accuracy-13b988b18da8ea7d</t>
        </is>
      </c>
    </row>
    <row r="1356" ht="28" customHeight="1">
      <c r="A1356" s="12">
        <f>IF($L1356="applied","Applied",IF($L1356="interview","Interview",IF($L1356="offer","Offer",IF($L1356="rejected","Rejected",IF($L1356="ignore","Ignore",IF($L1356="archive","Archive",IF($L1356="closed","Closed",IF($B1356="","Unscored",IF(AND($B1356&gt;=8,OR($H1356="",$H1356-TODAY()&lt;=14)),"P1 Apply",IF($B1356&gt;=7,"P2 Strong",IF($B1356&gt;=5,"P3 Maybe","P4 Low")))))))))))</f>
        <v/>
      </c>
      <c r="B1356" s="13" t="n">
        <v>0</v>
      </c>
      <c r="C1356" s="12" t="inlineStr">
        <is>
          <t>Senior/Lead</t>
        </is>
      </c>
      <c r="D1356" s="8" t="inlineStr">
        <is>
          <t>Product Director, Flex (Borrowing)</t>
        </is>
      </c>
      <c r="E1356" s="7" t="inlineStr">
        <is>
          <t>Monzo</t>
        </is>
      </c>
      <c r="F1356" s="8" t="inlineStr">
        <is>
          <t>London</t>
        </is>
      </c>
      <c r="G1356" s="8" t="n"/>
      <c r="H1356" s="14" t="n"/>
      <c r="I1356" s="15">
        <f>IF($H1356="","",$H1356-TODAY())</f>
        <v/>
      </c>
      <c r="J1356" s="16" t="inlineStr">
        <is>
          <t>Open posting</t>
        </is>
      </c>
      <c r="K1356" s="8" t="inlineStr">
        <is>
          <t>filtered by keyword pre-scan</t>
        </is>
      </c>
      <c r="L1356" s="17" t="inlineStr">
        <is>
          <t>new</t>
        </is>
      </c>
      <c r="M1356" s="18" t="inlineStr"/>
      <c r="N1356" s="7" t="inlineStr">
        <is>
          <t>6bf9e714b51d33659b4c82f78b4cefb7625f7674</t>
        </is>
      </c>
      <c r="O1356" s="14" t="n">
        <v>46170</v>
      </c>
      <c r="P1356" s="7" t="inlineStr">
        <is>
          <t>greenhouse:monzo</t>
        </is>
      </c>
      <c r="Q1356" s="8" t="inlineStr"/>
      <c r="R1356" s="8" t="n"/>
      <c r="S1356" s="19" t="n"/>
      <c r="T1356" s="19" t="n"/>
      <c r="U1356" s="14" t="n">
        <v>46191</v>
      </c>
      <c r="V1356" s="7" t="inlineStr">
        <is>
          <t>v2-cv-accuracy-13b988b18da8ea7d</t>
        </is>
      </c>
    </row>
    <row r="1357" ht="28" customHeight="1">
      <c r="A1357" s="12">
        <f>IF($L1357="applied","Applied",IF($L1357="interview","Interview",IF($L1357="offer","Offer",IF($L1357="rejected","Rejected",IF($L1357="ignore","Ignore",IF($L1357="archive","Archive",IF($L1357="closed","Closed",IF($B1357="","Unscored",IF(AND($B1357&gt;=8,OR($H1357="",$H1357-TODAY()&lt;=14)),"P1 Apply",IF($B1357&gt;=7,"P2 Strong",IF($B1357&gt;=5,"P3 Maybe","P4 Low")))))))))))</f>
        <v/>
      </c>
      <c r="B1357" s="13" t="n">
        <v>0</v>
      </c>
      <c r="C1357" s="12" t="inlineStr">
        <is>
          <t>Senior/Lead</t>
        </is>
      </c>
      <c r="D1357" s="8" t="inlineStr">
        <is>
          <t>Regulatory Reporting Analyst</t>
        </is>
      </c>
      <c r="E1357" s="7" t="inlineStr">
        <is>
          <t>Monzo</t>
        </is>
      </c>
      <c r="F1357" s="8" t="inlineStr">
        <is>
          <t>Dublin</t>
        </is>
      </c>
      <c r="G1357" s="8" t="n"/>
      <c r="H1357" s="14" t="n"/>
      <c r="I1357" s="15">
        <f>IF($H1357="","",$H1357-TODAY())</f>
        <v/>
      </c>
      <c r="J1357" s="16" t="inlineStr">
        <is>
          <t>Open posting</t>
        </is>
      </c>
      <c r="K1357" s="8" t="inlineStr">
        <is>
          <t>filtered by keyword pre-scan</t>
        </is>
      </c>
      <c r="L1357" s="17" t="inlineStr">
        <is>
          <t>new</t>
        </is>
      </c>
      <c r="M1357" s="18" t="inlineStr"/>
      <c r="N1357" s="7" t="inlineStr">
        <is>
          <t>1759b76cd505935ef71b8e35cb75207f8c30cfcc</t>
        </is>
      </c>
      <c r="O1357" s="14" t="n">
        <v>46170</v>
      </c>
      <c r="P1357" s="7" t="inlineStr">
        <is>
          <t>greenhouse:monzo</t>
        </is>
      </c>
      <c r="Q1357" s="8" t="inlineStr"/>
      <c r="R1357" s="8" t="n"/>
      <c r="S1357" s="19" t="n"/>
      <c r="T1357" s="19" t="n"/>
      <c r="U1357" s="14" t="n">
        <v>46191</v>
      </c>
      <c r="V1357" s="7" t="inlineStr">
        <is>
          <t>v2-cv-accuracy-13b988b18da8ea7d</t>
        </is>
      </c>
    </row>
    <row r="1358" ht="28" customHeight="1">
      <c r="A1358" s="12">
        <f>IF($L1358="applied","Applied",IF($L1358="interview","Interview",IF($L1358="offer","Offer",IF($L1358="rejected","Rejected",IF($L1358="ignore","Ignore",IF($L1358="archive","Archive",IF($L1358="closed","Closed",IF($B1358="","Unscored",IF(AND($B1358&gt;=8,OR($H1358="",$H1358-TODAY()&lt;=14)),"P1 Apply",IF($B1358&gt;=7,"P2 Strong",IF($B1358&gt;=5,"P3 Maybe","P4 Low")))))))))))</f>
        <v/>
      </c>
      <c r="B1358" s="13" t="n">
        <v>0</v>
      </c>
      <c r="C1358" s="12" t="inlineStr">
        <is>
          <t>Manager/Owner</t>
        </is>
      </c>
      <c r="D1358" s="8" t="inlineStr">
        <is>
          <t>Regulatory Reporting Manager</t>
        </is>
      </c>
      <c r="E1358" s="7" t="inlineStr">
        <is>
          <t>Monzo</t>
        </is>
      </c>
      <c r="F1358" s="8" t="inlineStr">
        <is>
          <t>Madrid</t>
        </is>
      </c>
      <c r="G1358" s="8" t="n"/>
      <c r="H1358" s="14" t="n"/>
      <c r="I1358" s="15">
        <f>IF($H1358="","",$H1358-TODAY())</f>
        <v/>
      </c>
      <c r="J1358" s="16" t="inlineStr">
        <is>
          <t>Open posting</t>
        </is>
      </c>
      <c r="K1358" s="8" t="inlineStr">
        <is>
          <t>filtered by keyword pre-scan</t>
        </is>
      </c>
      <c r="L1358" s="17" t="inlineStr">
        <is>
          <t>new</t>
        </is>
      </c>
      <c r="M1358" s="18" t="inlineStr"/>
      <c r="N1358" s="7" t="inlineStr">
        <is>
          <t>f3018c2144ec206e58fa27ef0e9b4621117f5e2a</t>
        </is>
      </c>
      <c r="O1358" s="14" t="n">
        <v>46170</v>
      </c>
      <c r="P1358" s="7" t="inlineStr">
        <is>
          <t>greenhouse:monzo</t>
        </is>
      </c>
      <c r="Q1358" s="8" t="inlineStr"/>
      <c r="R1358" s="8" t="n"/>
      <c r="S1358" s="19" t="n"/>
      <c r="T1358" s="19" t="n"/>
      <c r="U1358" s="14" t="n">
        <v>46191</v>
      </c>
      <c r="V1358" s="7" t="inlineStr">
        <is>
          <t>v2-cv-accuracy-13b988b18da8ea7d</t>
        </is>
      </c>
    </row>
    <row r="1359" ht="28" customHeight="1">
      <c r="A1359" s="12">
        <f>IF($L1359="applied","Applied",IF($L1359="interview","Interview",IF($L1359="offer","Offer",IF($L1359="rejected","Rejected",IF($L1359="ignore","Ignore",IF($L1359="archive","Archive",IF($L1359="closed","Closed",IF($B1359="","Unscored",IF(AND($B1359&gt;=8,OR($H1359="",$H1359-TODAY()&lt;=14)),"P1 Apply",IF($B1359&gt;=7,"P2 Strong",IF($B1359&gt;=5,"P3 Maybe","P4 Low")))))))))))</f>
        <v/>
      </c>
      <c r="B1359" s="13" t="n">
        <v>0</v>
      </c>
      <c r="C1359" s="12" t="inlineStr">
        <is>
          <t>Manager/Owner</t>
        </is>
      </c>
      <c r="D1359" s="8" t="inlineStr">
        <is>
          <t>Risk Assurance Manager</t>
        </is>
      </c>
      <c r="E1359" s="7" t="inlineStr">
        <is>
          <t>Monzo</t>
        </is>
      </c>
      <c r="F1359" s="8" t="inlineStr">
        <is>
          <t>Dublin</t>
        </is>
      </c>
      <c r="G1359" s="8" t="n"/>
      <c r="H1359" s="14" t="n"/>
      <c r="I1359" s="15">
        <f>IF($H1359="","",$H1359-TODAY())</f>
        <v/>
      </c>
      <c r="J1359" s="16" t="inlineStr">
        <is>
          <t>Open posting</t>
        </is>
      </c>
      <c r="K1359" s="8" t="inlineStr">
        <is>
          <t>filtered by keyword pre-scan</t>
        </is>
      </c>
      <c r="L1359" s="17" t="inlineStr">
        <is>
          <t>new</t>
        </is>
      </c>
      <c r="M1359" s="18" t="inlineStr"/>
      <c r="N1359" s="7" t="inlineStr">
        <is>
          <t>3ed9383c14e9dfe4a7dedceaf510d991dc9d3555</t>
        </is>
      </c>
      <c r="O1359" s="14" t="n">
        <v>46178</v>
      </c>
      <c r="P1359" s="7" t="inlineStr">
        <is>
          <t>greenhouse:monzo</t>
        </is>
      </c>
      <c r="Q1359" s="8" t="inlineStr"/>
      <c r="R1359" s="8" t="n"/>
      <c r="S1359" s="19" t="n"/>
      <c r="T1359" s="19" t="n"/>
      <c r="U1359" s="14" t="n">
        <v>46191</v>
      </c>
      <c r="V1359" s="7" t="inlineStr">
        <is>
          <t>v2-cv-accuracy-13b988b18da8ea7d</t>
        </is>
      </c>
    </row>
    <row r="1360" ht="28" customHeight="1">
      <c r="A1360" s="12">
        <f>IF($L1360="applied","Applied",IF($L1360="interview","Interview",IF($L1360="offer","Offer",IF($L1360="rejected","Rejected",IF($L1360="ignore","Ignore",IF($L1360="archive","Archive",IF($L1360="closed","Closed",IF($B1360="","Unscored",IF(AND($B1360&gt;=8,OR($H1360="",$H1360-TODAY()&lt;=14)),"P1 Apply",IF($B1360&gt;=7,"P2 Strong",IF($B1360&gt;=5,"P3 Maybe","P4 Low")))))))))))</f>
        <v/>
      </c>
      <c r="B1360" s="13" t="n">
        <v>0</v>
      </c>
      <c r="C1360" s="12" t="inlineStr">
        <is>
          <t>Senior/Lead</t>
        </is>
      </c>
      <c r="D1360" s="8" t="inlineStr">
        <is>
          <t>Senior Analytics Engineering Manager</t>
        </is>
      </c>
      <c r="E1360" s="7" t="inlineStr">
        <is>
          <t>Monzo</t>
        </is>
      </c>
      <c r="F1360" s="8" t="inlineStr">
        <is>
          <t>Barcelona</t>
        </is>
      </c>
      <c r="G1360" s="8" t="n"/>
      <c r="H1360" s="14" t="n"/>
      <c r="I1360" s="15">
        <f>IF($H1360="","",$H1360-TODAY())</f>
        <v/>
      </c>
      <c r="J1360" s="16" t="inlineStr">
        <is>
          <t>Open posting</t>
        </is>
      </c>
      <c r="K1360" s="8" t="inlineStr">
        <is>
          <t>filtered by keyword pre-scan</t>
        </is>
      </c>
      <c r="L1360" s="17" t="inlineStr">
        <is>
          <t>new</t>
        </is>
      </c>
      <c r="M1360" s="18" t="inlineStr"/>
      <c r="N1360" s="7" t="inlineStr">
        <is>
          <t>0c44481eb287e6b857e3fc67dbae89b8a2308815</t>
        </is>
      </c>
      <c r="O1360" s="14" t="n">
        <v>46170</v>
      </c>
      <c r="P1360" s="7" t="inlineStr">
        <is>
          <t>greenhouse:monzo</t>
        </is>
      </c>
      <c r="Q1360" s="8" t="inlineStr"/>
      <c r="R1360" s="8" t="n"/>
      <c r="S1360" s="19" t="n"/>
      <c r="T1360" s="19" t="n"/>
      <c r="U1360" s="14" t="n">
        <v>46191</v>
      </c>
      <c r="V1360" s="7" t="inlineStr">
        <is>
          <t>v2-cv-accuracy-13b988b18da8ea7d</t>
        </is>
      </c>
    </row>
    <row r="1361" ht="28" customHeight="1">
      <c r="A1361" s="12">
        <f>IF($L1361="applied","Applied",IF($L1361="interview","Interview",IF($L1361="offer","Offer",IF($L1361="rejected","Rejected",IF($L1361="ignore","Ignore",IF($L1361="archive","Archive",IF($L1361="closed","Closed",IF($B1361="","Unscored",IF(AND($B1361&gt;=8,OR($H1361="",$H1361-TODAY()&lt;=14)),"P1 Apply",IF($B1361&gt;=7,"P2 Strong",IF($B1361&gt;=5,"P3 Maybe","P4 Low")))))))))))</f>
        <v/>
      </c>
      <c r="B1361" s="13" t="n">
        <v>0</v>
      </c>
      <c r="C1361" s="12" t="inlineStr">
        <is>
          <t>Senior/Lead</t>
        </is>
      </c>
      <c r="D1361" s="8" t="inlineStr">
        <is>
          <t>Senior Backend Engineer</t>
        </is>
      </c>
      <c r="E1361" s="7" t="inlineStr">
        <is>
          <t>Monzo</t>
        </is>
      </c>
      <c r="F1361" s="8" t="inlineStr">
        <is>
          <t>Cardiff, London or Remote (UK)</t>
        </is>
      </c>
      <c r="G1361" s="8" t="n"/>
      <c r="H1361" s="14" t="n"/>
      <c r="I1361" s="15">
        <f>IF($H1361="","",$H1361-TODAY())</f>
        <v/>
      </c>
      <c r="J1361" s="16" t="inlineStr">
        <is>
          <t>Open posting</t>
        </is>
      </c>
      <c r="K1361" s="8" t="inlineStr">
        <is>
          <t>filtered by keyword pre-scan</t>
        </is>
      </c>
      <c r="L1361" s="17" t="inlineStr">
        <is>
          <t>new</t>
        </is>
      </c>
      <c r="M1361" s="18" t="inlineStr"/>
      <c r="N1361" s="7" t="inlineStr">
        <is>
          <t>821ba6c387aae920938f09c233264be1ac4d23b3</t>
        </is>
      </c>
      <c r="O1361" s="14" t="n">
        <v>46191</v>
      </c>
      <c r="P1361" s="7" t="inlineStr">
        <is>
          <t>greenhouse:monzo</t>
        </is>
      </c>
      <c r="Q1361" s="8" t="inlineStr">
        <is>
          <t>git</t>
        </is>
      </c>
      <c r="R1361" s="8" t="n"/>
      <c r="S1361" s="19" t="n"/>
      <c r="T1361" s="19" t="n"/>
      <c r="U1361" s="14" t="n">
        <v>46191</v>
      </c>
      <c r="V1361" s="7" t="inlineStr">
        <is>
          <t>v2-cv-accuracy-13b988b18da8ea7d</t>
        </is>
      </c>
    </row>
    <row r="1362" ht="28" customHeight="1">
      <c r="A1362" s="12">
        <f>IF($L1362="applied","Applied",IF($L1362="interview","Interview",IF($L1362="offer","Offer",IF($L1362="rejected","Rejected",IF($L1362="ignore","Ignore",IF($L1362="archive","Archive",IF($L1362="closed","Closed",IF($B1362="","Unscored",IF(AND($B1362&gt;=8,OR($H1362="",$H1362-TODAY()&lt;=14)),"P1 Apply",IF($B1362&gt;=7,"P2 Strong",IF($B1362&gt;=5,"P3 Maybe","P4 Low")))))))))))</f>
        <v/>
      </c>
      <c r="B1362" s="13" t="n">
        <v>0</v>
      </c>
      <c r="C1362" s="12" t="inlineStr">
        <is>
          <t>Senior/Lead</t>
        </is>
      </c>
      <c r="D1362" s="8" t="inlineStr">
        <is>
          <t>Senior Controls Manager</t>
        </is>
      </c>
      <c r="E1362" s="7" t="inlineStr">
        <is>
          <t>Monzo</t>
        </is>
      </c>
      <c r="F1362" s="8" t="inlineStr">
        <is>
          <t>London; Remote (UK)</t>
        </is>
      </c>
      <c r="G1362" s="8" t="n"/>
      <c r="H1362" s="14" t="n"/>
      <c r="I1362" s="15">
        <f>IF($H1362="","",$H1362-TODAY())</f>
        <v/>
      </c>
      <c r="J1362" s="16" t="inlineStr">
        <is>
          <t>Open posting</t>
        </is>
      </c>
      <c r="K1362" s="8" t="inlineStr">
        <is>
          <t>filtered by keyword pre-scan</t>
        </is>
      </c>
      <c r="L1362" s="17" t="inlineStr">
        <is>
          <t>new</t>
        </is>
      </c>
      <c r="M1362" s="18" t="inlineStr"/>
      <c r="N1362" s="7" t="inlineStr">
        <is>
          <t>dc6c9e4dcad7db75be6e5a2a1a322b8f1df7917b</t>
        </is>
      </c>
      <c r="O1362" s="14" t="n">
        <v>46181</v>
      </c>
      <c r="P1362" s="7" t="inlineStr">
        <is>
          <t>greenhouse:monzo</t>
        </is>
      </c>
      <c r="Q1362" s="8" t="inlineStr"/>
      <c r="R1362" s="8" t="n"/>
      <c r="S1362" s="19" t="n"/>
      <c r="T1362" s="19" t="n"/>
      <c r="U1362" s="14" t="n">
        <v>46191</v>
      </c>
      <c r="V1362" s="7" t="inlineStr">
        <is>
          <t>v2-cv-accuracy-13b988b18da8ea7d</t>
        </is>
      </c>
    </row>
    <row r="1363" ht="28" customHeight="1">
      <c r="A1363" s="12">
        <f>IF($L1363="applied","Applied",IF($L1363="interview","Interview",IF($L1363="offer","Offer",IF($L1363="rejected","Rejected",IF($L1363="ignore","Ignore",IF($L1363="archive","Archive",IF($L1363="closed","Closed",IF($B1363="","Unscored",IF(AND($B1363&gt;=8,OR($H1363="",$H1363-TODAY()&lt;=14)),"P1 Apply",IF($B1363&gt;=7,"P2 Strong",IF($B1363&gt;=5,"P3 Maybe","P4 Low")))))))))))</f>
        <v/>
      </c>
      <c r="B1363" s="13" t="n">
        <v>0</v>
      </c>
      <c r="C1363" s="12" t="inlineStr">
        <is>
          <t>Senior/Lead</t>
        </is>
      </c>
      <c r="D1363" s="8" t="inlineStr">
        <is>
          <t>Senior Controls Manager, ERMF</t>
        </is>
      </c>
      <c r="E1363" s="7" t="inlineStr">
        <is>
          <t>Monzo</t>
        </is>
      </c>
      <c r="F1363" s="8" t="inlineStr">
        <is>
          <t>London; Remote (UK)</t>
        </is>
      </c>
      <c r="G1363" s="8" t="n"/>
      <c r="H1363" s="14" t="n"/>
      <c r="I1363" s="15">
        <f>IF($H1363="","",$H1363-TODAY())</f>
        <v/>
      </c>
      <c r="J1363" s="16" t="inlineStr">
        <is>
          <t>Open posting</t>
        </is>
      </c>
      <c r="K1363" s="8" t="inlineStr">
        <is>
          <t>filtered by keyword pre-scan</t>
        </is>
      </c>
      <c r="L1363" s="17" t="inlineStr">
        <is>
          <t>new</t>
        </is>
      </c>
      <c r="M1363" s="18" t="inlineStr"/>
      <c r="N1363" s="7" t="inlineStr">
        <is>
          <t>d8c13edc57624be7a0e0ec5a39d518662d7dc8dc</t>
        </is>
      </c>
      <c r="O1363" s="14" t="n">
        <v>46188</v>
      </c>
      <c r="P1363" s="7" t="inlineStr">
        <is>
          <t>greenhouse:monzo</t>
        </is>
      </c>
      <c r="Q1363" s="8" t="inlineStr"/>
      <c r="R1363" s="8" t="n"/>
      <c r="S1363" s="19" t="n"/>
      <c r="T1363" s="19" t="n"/>
      <c r="U1363" s="14" t="n">
        <v>46191</v>
      </c>
      <c r="V1363" s="7" t="inlineStr">
        <is>
          <t>v2-cv-accuracy-13b988b18da8ea7d</t>
        </is>
      </c>
    </row>
    <row r="1364" ht="28" customHeight="1">
      <c r="A1364" s="12">
        <f>IF($L1364="applied","Applied",IF($L1364="interview","Interview",IF($L1364="offer","Offer",IF($L1364="rejected","Rejected",IF($L1364="ignore","Ignore",IF($L1364="archive","Archive",IF($L1364="closed","Closed",IF($B1364="","Unscored",IF(AND($B1364&gt;=8,OR($H1364="",$H1364-TODAY()&lt;=14)),"P1 Apply",IF($B1364&gt;=7,"P2 Strong",IF($B1364&gt;=5,"P3 Maybe","P4 Low")))))))))))</f>
        <v/>
      </c>
      <c r="B1364" s="13" t="n">
        <v>0</v>
      </c>
      <c r="C1364" s="12" t="inlineStr">
        <is>
          <t>Senior/Lead</t>
        </is>
      </c>
      <c r="D1364" s="8" t="inlineStr">
        <is>
          <t>Senior Credit Analyst</t>
        </is>
      </c>
      <c r="E1364" s="7" t="inlineStr">
        <is>
          <t>Monzo</t>
        </is>
      </c>
      <c r="F1364" s="8" t="inlineStr">
        <is>
          <t>Cardiff, London or Remote (UK)</t>
        </is>
      </c>
      <c r="G1364" s="8" t="n"/>
      <c r="H1364" s="14" t="n"/>
      <c r="I1364" s="15">
        <f>IF($H1364="","",$H1364-TODAY())</f>
        <v/>
      </c>
      <c r="J1364" s="16" t="inlineStr">
        <is>
          <t>Open posting</t>
        </is>
      </c>
      <c r="K1364" s="8" t="inlineStr">
        <is>
          <t>filtered by keyword pre-scan</t>
        </is>
      </c>
      <c r="L1364" s="17" t="inlineStr">
        <is>
          <t>new</t>
        </is>
      </c>
      <c r="M1364" s="18" t="inlineStr"/>
      <c r="N1364" s="7" t="inlineStr">
        <is>
          <t>b18b27ec2500852f6ed82c11b06bad5b01c4359f</t>
        </is>
      </c>
      <c r="O1364" s="14" t="n">
        <v>46170</v>
      </c>
      <c r="P1364" s="7" t="inlineStr">
        <is>
          <t>greenhouse:monzo</t>
        </is>
      </c>
      <c r="Q1364" s="8" t="inlineStr"/>
      <c r="R1364" s="8" t="n"/>
      <c r="S1364" s="19" t="n"/>
      <c r="T1364" s="19" t="n"/>
      <c r="U1364" s="14" t="n">
        <v>46191</v>
      </c>
      <c r="V1364" s="7" t="inlineStr">
        <is>
          <t>v2-cv-accuracy-13b988b18da8ea7d</t>
        </is>
      </c>
    </row>
    <row r="1365" ht="28" customHeight="1">
      <c r="A1365" s="12">
        <f>IF($L1365="applied","Applied",IF($L1365="interview","Interview",IF($L1365="offer","Offer",IF($L1365="rejected","Rejected",IF($L1365="ignore","Ignore",IF($L1365="archive","Archive",IF($L1365="closed","Closed",IF($B1365="","Unscored",IF(AND($B1365&gt;=8,OR($H1365="",$H1365-TODAY()&lt;=14)),"P1 Apply",IF($B1365&gt;=7,"P2 Strong",IF($B1365&gt;=5,"P3 Maybe","P4 Low")))))))))))</f>
        <v/>
      </c>
      <c r="B1365" s="13" t="n">
        <v>0</v>
      </c>
      <c r="C1365" s="12" t="inlineStr">
        <is>
          <t>Senior/Lead</t>
        </is>
      </c>
      <c r="D1365" s="8" t="inlineStr">
        <is>
          <t>Senior Engineering Manager</t>
        </is>
      </c>
      <c r="E1365" s="7" t="inlineStr">
        <is>
          <t>Monzo</t>
        </is>
      </c>
      <c r="F1365" s="8" t="inlineStr">
        <is>
          <t>Cardiff, London or Remote (UK)</t>
        </is>
      </c>
      <c r="G1365" s="8" t="n"/>
      <c r="H1365" s="14" t="n"/>
      <c r="I1365" s="15">
        <f>IF($H1365="","",$H1365-TODAY())</f>
        <v/>
      </c>
      <c r="J1365" s="16" t="inlineStr">
        <is>
          <t>Open posting</t>
        </is>
      </c>
      <c r="K1365" s="8" t="inlineStr">
        <is>
          <t>filtered by keyword pre-scan</t>
        </is>
      </c>
      <c r="L1365" s="17" t="inlineStr">
        <is>
          <t>new</t>
        </is>
      </c>
      <c r="M1365" s="18" t="inlineStr"/>
      <c r="N1365" s="7" t="inlineStr">
        <is>
          <t>0a6bd382fac3a1b94f294e62057beb5603add2f9</t>
        </is>
      </c>
      <c r="O1365" s="14" t="n">
        <v>46191</v>
      </c>
      <c r="P1365" s="7" t="inlineStr">
        <is>
          <t>greenhouse:monzo</t>
        </is>
      </c>
      <c r="Q1365" s="8" t="inlineStr"/>
      <c r="R1365" s="8" t="n"/>
      <c r="S1365" s="19" t="n"/>
      <c r="T1365" s="19" t="n"/>
      <c r="U1365" s="14" t="n">
        <v>46191</v>
      </c>
      <c r="V1365" s="7" t="inlineStr">
        <is>
          <t>v2-cv-accuracy-13b988b18da8ea7d</t>
        </is>
      </c>
    </row>
    <row r="1366" ht="28" customHeight="1">
      <c r="A1366" s="12">
        <f>IF($L1366="applied","Applied",IF($L1366="interview","Interview",IF($L1366="offer","Offer",IF($L1366="rejected","Rejected",IF($L1366="ignore","Ignore",IF($L1366="archive","Archive",IF($L1366="closed","Closed",IF($B1366="","Unscored",IF(AND($B1366&gt;=8,OR($H1366="",$H1366-TODAY()&lt;=14)),"P1 Apply",IF($B1366&gt;=7,"P2 Strong",IF($B1366&gt;=5,"P3 Maybe","P4 Low")))))))))))</f>
        <v/>
      </c>
      <c r="B1366" s="13" t="n">
        <v>0</v>
      </c>
      <c r="C1366" s="12" t="inlineStr">
        <is>
          <t>Senior/Lead</t>
        </is>
      </c>
      <c r="D1366" s="8" t="inlineStr">
        <is>
          <t>Senior Financial Risk Manager</t>
        </is>
      </c>
      <c r="E1366" s="7" t="inlineStr">
        <is>
          <t>Monzo</t>
        </is>
      </c>
      <c r="F1366" s="8" t="inlineStr">
        <is>
          <t>Dublin</t>
        </is>
      </c>
      <c r="G1366" s="8" t="n"/>
      <c r="H1366" s="14" t="n"/>
      <c r="I1366" s="15">
        <f>IF($H1366="","",$H1366-TODAY())</f>
        <v/>
      </c>
      <c r="J1366" s="16" t="inlineStr">
        <is>
          <t>Open posting</t>
        </is>
      </c>
      <c r="K1366" s="8" t="inlineStr">
        <is>
          <t>filtered by keyword pre-scan</t>
        </is>
      </c>
      <c r="L1366" s="17" t="inlineStr">
        <is>
          <t>new</t>
        </is>
      </c>
      <c r="M1366" s="18" t="inlineStr"/>
      <c r="N1366" s="7" t="inlineStr">
        <is>
          <t>e93bf00ac7f0d463d58b741eb0ac1f2fe8cae687</t>
        </is>
      </c>
      <c r="O1366" s="14" t="n">
        <v>46178</v>
      </c>
      <c r="P1366" s="7" t="inlineStr">
        <is>
          <t>greenhouse:monzo</t>
        </is>
      </c>
      <c r="Q1366" s="8" t="inlineStr"/>
      <c r="R1366" s="8" t="n"/>
      <c r="S1366" s="19" t="n"/>
      <c r="T1366" s="19" t="n"/>
      <c r="U1366" s="14" t="n">
        <v>46191</v>
      </c>
      <c r="V1366" s="7" t="inlineStr">
        <is>
          <t>v2-cv-accuracy-13b988b18da8ea7d</t>
        </is>
      </c>
    </row>
    <row r="1367" ht="28" customHeight="1">
      <c r="A1367" s="12">
        <f>IF($L1367="applied","Applied",IF($L1367="interview","Interview",IF($L1367="offer","Offer",IF($L1367="rejected","Rejected",IF($L1367="ignore","Ignore",IF($L1367="archive","Archive",IF($L1367="closed","Closed",IF($B1367="","Unscored",IF(AND($B1367&gt;=8,OR($H1367="",$H1367-TODAY()&lt;=14)),"P1 Apply",IF($B1367&gt;=7,"P2 Strong",IF($B1367&gt;=5,"P3 Maybe","P4 Low")))))))))))</f>
        <v/>
      </c>
      <c r="B1367" s="13" t="n">
        <v>0</v>
      </c>
      <c r="C1367" s="12" t="inlineStr">
        <is>
          <t>Senior/Lead</t>
        </is>
      </c>
      <c r="D1367" s="8" t="inlineStr">
        <is>
          <t>Senior Fraud Investigator, EU - English &amp; Spanish Speaking</t>
        </is>
      </c>
      <c r="E1367" s="7" t="inlineStr">
        <is>
          <t>Monzo</t>
        </is>
      </c>
      <c r="F1367" s="8" t="inlineStr">
        <is>
          <t>Remote (UK)</t>
        </is>
      </c>
      <c r="G1367" s="8" t="n"/>
      <c r="H1367" s="14" t="n"/>
      <c r="I1367" s="15">
        <f>IF($H1367="","",$H1367-TODAY())</f>
        <v/>
      </c>
      <c r="J1367" s="16" t="inlineStr">
        <is>
          <t>Open posting</t>
        </is>
      </c>
      <c r="K1367" s="8" t="inlineStr">
        <is>
          <t>filtered by keyword pre-scan</t>
        </is>
      </c>
      <c r="L1367" s="17" t="inlineStr">
        <is>
          <t>new</t>
        </is>
      </c>
      <c r="M1367" s="18" t="inlineStr"/>
      <c r="N1367" s="7" t="inlineStr">
        <is>
          <t>59ac952b02d1fe229bf684dfebdf096cdb9ad949</t>
        </is>
      </c>
      <c r="O1367" s="14" t="n">
        <v>46183</v>
      </c>
      <c r="P1367" s="7" t="inlineStr">
        <is>
          <t>greenhouse:monzo</t>
        </is>
      </c>
      <c r="Q1367" s="8" t="inlineStr"/>
      <c r="R1367" s="8" t="n"/>
      <c r="S1367" s="19" t="n"/>
      <c r="T1367" s="19" t="n"/>
      <c r="U1367" s="14" t="n">
        <v>46191</v>
      </c>
      <c r="V1367" s="7" t="inlineStr">
        <is>
          <t>v2-cv-accuracy-13b988b18da8ea7d</t>
        </is>
      </c>
    </row>
    <row r="1368" ht="28" customHeight="1">
      <c r="A1368" s="12">
        <f>IF($L1368="applied","Applied",IF($L1368="interview","Interview",IF($L1368="offer","Offer",IF($L1368="rejected","Rejected",IF($L1368="ignore","Ignore",IF($L1368="archive","Archive",IF($L1368="closed","Closed",IF($B1368="","Unscored",IF(AND($B1368&gt;=8,OR($H1368="",$H1368-TODAY()&lt;=14)),"P1 Apply",IF($B1368&gt;=7,"P2 Strong",IF($B1368&gt;=5,"P3 Maybe","P4 Low")))))))))))</f>
        <v/>
      </c>
      <c r="B1368" s="13" t="n">
        <v>0</v>
      </c>
      <c r="C1368" s="12" t="inlineStr">
        <is>
          <t>Senior/Lead</t>
        </is>
      </c>
      <c r="D1368" s="8" t="inlineStr">
        <is>
          <t>Senior Full Stack Engineer</t>
        </is>
      </c>
      <c r="E1368" s="7" t="inlineStr">
        <is>
          <t>Monzo</t>
        </is>
      </c>
      <c r="F1368" s="8" t="inlineStr">
        <is>
          <t>Cardiff, London or Remote (UK)</t>
        </is>
      </c>
      <c r="G1368" s="8" t="n"/>
      <c r="H1368" s="14" t="n"/>
      <c r="I1368" s="15">
        <f>IF($H1368="","",$H1368-TODAY())</f>
        <v/>
      </c>
      <c r="J1368" s="16" t="inlineStr">
        <is>
          <t>Open posting</t>
        </is>
      </c>
      <c r="K1368" s="8" t="inlineStr">
        <is>
          <t>filtered by keyword pre-scan</t>
        </is>
      </c>
      <c r="L1368" s="17" t="inlineStr">
        <is>
          <t>new</t>
        </is>
      </c>
      <c r="M1368" s="18" t="inlineStr"/>
      <c r="N1368" s="7" t="inlineStr">
        <is>
          <t>2482f4b4f5717b5ea6a43341849aded08a71be38</t>
        </is>
      </c>
      <c r="O1368" s="14" t="n">
        <v>46191</v>
      </c>
      <c r="P1368" s="7" t="inlineStr">
        <is>
          <t>greenhouse:monzo</t>
        </is>
      </c>
      <c r="Q1368" s="8" t="inlineStr">
        <is>
          <t>git</t>
        </is>
      </c>
      <c r="R1368" s="8" t="n"/>
      <c r="S1368" s="19" t="n"/>
      <c r="T1368" s="19" t="n"/>
      <c r="U1368" s="14" t="n">
        <v>46191</v>
      </c>
      <c r="V1368" s="7" t="inlineStr">
        <is>
          <t>v2-cv-accuracy-13b988b18da8ea7d</t>
        </is>
      </c>
    </row>
    <row r="1369" ht="28" customHeight="1">
      <c r="A1369" s="12">
        <f>IF($L1369="applied","Applied",IF($L1369="interview","Interview",IF($L1369="offer","Offer",IF($L1369="rejected","Rejected",IF($L1369="ignore","Ignore",IF($L1369="archive","Archive",IF($L1369="closed","Closed",IF($B1369="","Unscored",IF(AND($B1369&gt;=8,OR($H1369="",$H1369-TODAY()&lt;=14)),"P1 Apply",IF($B1369&gt;=7,"P2 Strong",IF($B1369&gt;=5,"P3 Maybe","P4 Low")))))))))))</f>
        <v/>
      </c>
      <c r="B1369" s="13" t="n">
        <v>0</v>
      </c>
      <c r="C1369" s="12" t="inlineStr">
        <is>
          <t>Senior/Lead</t>
        </is>
      </c>
      <c r="D1369" s="8" t="inlineStr">
        <is>
          <t>Senior Investigator, Operations Analyst, Financial Crime (Multilingual)</t>
        </is>
      </c>
      <c r="E1369" s="7" t="inlineStr">
        <is>
          <t>Monzo</t>
        </is>
      </c>
      <c r="F1369" s="8" t="inlineStr">
        <is>
          <t>Remote (UK)</t>
        </is>
      </c>
      <c r="G1369" s="8" t="n"/>
      <c r="H1369" s="14" t="n"/>
      <c r="I1369" s="15">
        <f>IF($H1369="","",$H1369-TODAY())</f>
        <v/>
      </c>
      <c r="J1369" s="16" t="inlineStr">
        <is>
          <t>Open posting</t>
        </is>
      </c>
      <c r="K1369" s="8" t="inlineStr">
        <is>
          <t>filtered by keyword pre-scan</t>
        </is>
      </c>
      <c r="L1369" s="17" t="inlineStr">
        <is>
          <t>new</t>
        </is>
      </c>
      <c r="M1369" s="18" t="inlineStr"/>
      <c r="N1369" s="7" t="inlineStr">
        <is>
          <t>0906f95222a9273cf091c92aa47558a3bb2ebb94</t>
        </is>
      </c>
      <c r="O1369" s="14" t="n">
        <v>46189</v>
      </c>
      <c r="P1369" s="7" t="inlineStr">
        <is>
          <t>greenhouse:monzo</t>
        </is>
      </c>
      <c r="Q1369" s="8" t="inlineStr"/>
      <c r="R1369" s="8" t="n"/>
      <c r="S1369" s="19" t="n"/>
      <c r="T1369" s="19" t="n"/>
      <c r="U1369" s="14" t="n">
        <v>46191</v>
      </c>
      <c r="V1369" s="7" t="inlineStr">
        <is>
          <t>v2-cv-accuracy-13b988b18da8ea7d</t>
        </is>
      </c>
    </row>
    <row r="1370" ht="28" customHeight="1">
      <c r="A1370" s="12">
        <f>IF($L1370="applied","Applied",IF($L1370="interview","Interview",IF($L1370="offer","Offer",IF($L1370="rejected","Rejected",IF($L1370="ignore","Ignore",IF($L1370="archive","Archive",IF($L1370="closed","Closed",IF($B1370="","Unscored",IF(AND($B1370&gt;=8,OR($H1370="",$H1370-TODAY()&lt;=14)),"P1 Apply",IF($B1370&gt;=7,"P2 Strong",IF($B1370&gt;=5,"P3 Maybe","P4 Low")))))))))))</f>
        <v/>
      </c>
      <c r="B1370" s="13" t="n">
        <v>0</v>
      </c>
      <c r="C1370" s="12" t="inlineStr">
        <is>
          <t>Senior/Lead</t>
        </is>
      </c>
      <c r="D1370" s="8" t="inlineStr">
        <is>
          <t>Senior Machine Learning Scientist, Borrowing</t>
        </is>
      </c>
      <c r="E1370" s="7" t="inlineStr">
        <is>
          <t>Monzo</t>
        </is>
      </c>
      <c r="F1370" s="8" t="inlineStr">
        <is>
          <t>Cardiff, London or Remote (UK)</t>
        </is>
      </c>
      <c r="G1370" s="8" t="n"/>
      <c r="H1370" s="14" t="n"/>
      <c r="I1370" s="15">
        <f>IF($H1370="","",$H1370-TODAY())</f>
        <v/>
      </c>
      <c r="J1370" s="16" t="inlineStr">
        <is>
          <t>Open posting</t>
        </is>
      </c>
      <c r="K1370" s="8" t="inlineStr">
        <is>
          <t>filtered by keyword pre-scan</t>
        </is>
      </c>
      <c r="L1370" s="17" t="inlineStr">
        <is>
          <t>new</t>
        </is>
      </c>
      <c r="M1370" s="18" t="inlineStr"/>
      <c r="N1370" s="7" t="inlineStr">
        <is>
          <t>48b8d252e0b724057d7c8d5294e9fac6d38d3486</t>
        </is>
      </c>
      <c r="O1370" s="14" t="n">
        <v>46170</v>
      </c>
      <c r="P1370" s="7" t="inlineStr">
        <is>
          <t>greenhouse:monzo</t>
        </is>
      </c>
      <c r="Q1370" s="8" t="inlineStr"/>
      <c r="R1370" s="8" t="n"/>
      <c r="S1370" s="19" t="n"/>
      <c r="T1370" s="19" t="n"/>
      <c r="U1370" s="14" t="n">
        <v>46191</v>
      </c>
      <c r="V1370" s="7" t="inlineStr">
        <is>
          <t>v2-cv-accuracy-13b988b18da8ea7d</t>
        </is>
      </c>
    </row>
    <row r="1371" ht="28" customHeight="1">
      <c r="A1371" s="12">
        <f>IF($L1371="applied","Applied",IF($L1371="interview","Interview",IF($L1371="offer","Offer",IF($L1371="rejected","Rejected",IF($L1371="ignore","Ignore",IF($L1371="archive","Archive",IF($L1371="closed","Closed",IF($B1371="","Unscored",IF(AND($B1371&gt;=8,OR($H1371="",$H1371-TODAY()&lt;=14)),"P1 Apply",IF($B1371&gt;=7,"P2 Strong",IF($B1371&gt;=5,"P3 Maybe","P4 Low")))))))))))</f>
        <v/>
      </c>
      <c r="B1371" s="13" t="n">
        <v>0</v>
      </c>
      <c r="C1371" s="12" t="inlineStr">
        <is>
          <t>Senior/Lead</t>
        </is>
      </c>
      <c r="D1371" s="8" t="inlineStr">
        <is>
          <t>Senior Manager, Control Process Automation &amp; Data</t>
        </is>
      </c>
      <c r="E1371" s="7" t="inlineStr">
        <is>
          <t>Monzo</t>
        </is>
      </c>
      <c r="F1371" s="8" t="inlineStr">
        <is>
          <t>London; Remote (UK)</t>
        </is>
      </c>
      <c r="G1371" s="8" t="n"/>
      <c r="H1371" s="14" t="n"/>
      <c r="I1371" s="15">
        <f>IF($H1371="","",$H1371-TODAY())</f>
        <v/>
      </c>
      <c r="J1371" s="16" t="inlineStr">
        <is>
          <t>Open posting</t>
        </is>
      </c>
      <c r="K1371" s="8" t="inlineStr">
        <is>
          <t>filtered by keyword pre-scan</t>
        </is>
      </c>
      <c r="L1371" s="17" t="inlineStr">
        <is>
          <t>new</t>
        </is>
      </c>
      <c r="M1371" s="18" t="inlineStr"/>
      <c r="N1371" s="7" t="inlineStr">
        <is>
          <t>bfaf6ae87226bd22d09fceddf09b1274e8f37929</t>
        </is>
      </c>
      <c r="O1371" s="14" t="n">
        <v>46181</v>
      </c>
      <c r="P1371" s="7" t="inlineStr">
        <is>
          <t>greenhouse:monzo</t>
        </is>
      </c>
      <c r="Q1371" s="8" t="inlineStr"/>
      <c r="R1371" s="8" t="n"/>
      <c r="S1371" s="19" t="n"/>
      <c r="T1371" s="19" t="n"/>
      <c r="U1371" s="14" t="n">
        <v>46191</v>
      </c>
      <c r="V1371" s="7" t="inlineStr">
        <is>
          <t>v2-cv-accuracy-13b988b18da8ea7d</t>
        </is>
      </c>
    </row>
    <row r="1372" ht="28" customHeight="1">
      <c r="A1372" s="12">
        <f>IF($L1372="applied","Applied",IF($L1372="interview","Interview",IF($L1372="offer","Offer",IF($L1372="rejected","Rejected",IF($L1372="ignore","Ignore",IF($L1372="archive","Archive",IF($L1372="closed","Closed",IF($B1372="","Unscored",IF(AND($B1372&gt;=8,OR($H1372="",$H1372-TODAY()&lt;=14)),"P1 Apply",IF($B1372&gt;=7,"P2 Strong",IF($B1372&gt;=5,"P3 Maybe","P4 Low")))))))))))</f>
        <v/>
      </c>
      <c r="B1372" s="13" t="n">
        <v>0</v>
      </c>
      <c r="C1372" s="12" t="inlineStr">
        <is>
          <t>Senior/Lead</t>
        </is>
      </c>
      <c r="D1372" s="8" t="inlineStr">
        <is>
          <t>Senior Offensive Security Engineer</t>
        </is>
      </c>
      <c r="E1372" s="7" t="inlineStr">
        <is>
          <t>Monzo</t>
        </is>
      </c>
      <c r="F1372" s="8" t="inlineStr">
        <is>
          <t>Cardiff, London or Remote (UK)</t>
        </is>
      </c>
      <c r="G1372" s="8" t="n"/>
      <c r="H1372" s="14" t="n"/>
      <c r="I1372" s="15">
        <f>IF($H1372="","",$H1372-TODAY())</f>
        <v/>
      </c>
      <c r="J1372" s="16" t="inlineStr">
        <is>
          <t>Open posting</t>
        </is>
      </c>
      <c r="K1372" s="8" t="inlineStr">
        <is>
          <t>filtered by keyword pre-scan</t>
        </is>
      </c>
      <c r="L1372" s="17" t="inlineStr">
        <is>
          <t>new</t>
        </is>
      </c>
      <c r="M1372" s="18" t="inlineStr"/>
      <c r="N1372" s="7" t="inlineStr">
        <is>
          <t>a862f0e8e95a6e032edb40f938b71b92249991b8</t>
        </is>
      </c>
      <c r="O1372" s="14" t="n">
        <v>46178</v>
      </c>
      <c r="P1372" s="7" t="inlineStr">
        <is>
          <t>greenhouse:monzo</t>
        </is>
      </c>
      <c r="Q1372" s="8" t="inlineStr"/>
      <c r="R1372" s="8" t="n"/>
      <c r="S1372" s="19" t="n"/>
      <c r="T1372" s="19" t="n"/>
      <c r="U1372" s="14" t="n">
        <v>46191</v>
      </c>
      <c r="V1372" s="7" t="inlineStr">
        <is>
          <t>v2-cv-accuracy-13b988b18da8ea7d</t>
        </is>
      </c>
    </row>
    <row r="1373" ht="28" customHeight="1">
      <c r="A1373" s="12">
        <f>IF($L1373="applied","Applied",IF($L1373="interview","Interview",IF($L1373="offer","Offer",IF($L1373="rejected","Rejected",IF($L1373="ignore","Ignore",IF($L1373="archive","Archive",IF($L1373="closed","Closed",IF($B1373="","Unscored",IF(AND($B1373&gt;=8,OR($H1373="",$H1373-TODAY()&lt;=14)),"P1 Apply",IF($B1373&gt;=7,"P2 Strong",IF($B1373&gt;=5,"P3 Maybe","P4 Low")))))))))))</f>
        <v/>
      </c>
      <c r="B1373" s="13" t="n">
        <v>0</v>
      </c>
      <c r="C1373" s="12" t="inlineStr">
        <is>
          <t>Senior/Lead</t>
        </is>
      </c>
      <c r="D1373" s="8" t="inlineStr">
        <is>
          <t>Senior Product Director, Business Banking</t>
        </is>
      </c>
      <c r="E1373" s="7" t="inlineStr">
        <is>
          <t>Monzo</t>
        </is>
      </c>
      <c r="F1373" s="8" t="inlineStr">
        <is>
          <t>London</t>
        </is>
      </c>
      <c r="G1373" s="8" t="n"/>
      <c r="H1373" s="14" t="n"/>
      <c r="I1373" s="15">
        <f>IF($H1373="","",$H1373-TODAY())</f>
        <v/>
      </c>
      <c r="J1373" s="16" t="inlineStr">
        <is>
          <t>Open posting</t>
        </is>
      </c>
      <c r="K1373" s="8" t="inlineStr">
        <is>
          <t>filtered by keyword pre-scan</t>
        </is>
      </c>
      <c r="L1373" s="17" t="inlineStr">
        <is>
          <t>new</t>
        </is>
      </c>
      <c r="M1373" s="18" t="inlineStr"/>
      <c r="N1373" s="7" t="inlineStr">
        <is>
          <t>a0f51bab68ad95f5ba34263a20cd716dd413aaeb</t>
        </is>
      </c>
      <c r="O1373" s="14" t="n">
        <v>46170</v>
      </c>
      <c r="P1373" s="7" t="inlineStr">
        <is>
          <t>greenhouse:monzo</t>
        </is>
      </c>
      <c r="Q1373" s="8" t="inlineStr"/>
      <c r="R1373" s="8" t="n"/>
      <c r="S1373" s="19" t="n"/>
      <c r="T1373" s="19" t="n"/>
      <c r="U1373" s="14" t="n">
        <v>46191</v>
      </c>
      <c r="V1373" s="7" t="inlineStr">
        <is>
          <t>v2-cv-accuracy-13b988b18da8ea7d</t>
        </is>
      </c>
    </row>
    <row r="1374" ht="28" customHeight="1">
      <c r="A1374" s="12">
        <f>IF($L1374="applied","Applied",IF($L1374="interview","Interview",IF($L1374="offer","Offer",IF($L1374="rejected","Rejected",IF($L1374="ignore","Ignore",IF($L1374="archive","Archive",IF($L1374="closed","Closed",IF($B1374="","Unscored",IF(AND($B1374&gt;=8,OR($H1374="",$H1374-TODAY()&lt;=14)),"P1 Apply",IF($B1374&gt;=7,"P2 Strong",IF($B1374&gt;=5,"P3 Maybe","P4 Low")))))))))))</f>
        <v/>
      </c>
      <c r="B1374" s="13" t="n">
        <v>0</v>
      </c>
      <c r="C1374" s="12" t="inlineStr">
        <is>
          <t>Senior/Lead</t>
        </is>
      </c>
      <c r="D1374" s="8" t="inlineStr">
        <is>
          <t>Senior Software Engineer</t>
        </is>
      </c>
      <c r="E1374" s="7" t="inlineStr">
        <is>
          <t>Monzo</t>
        </is>
      </c>
      <c r="F1374" s="8" t="inlineStr">
        <is>
          <t>Barcelona</t>
        </is>
      </c>
      <c r="G1374" s="8" t="n"/>
      <c r="H1374" s="14" t="n"/>
      <c r="I1374" s="15">
        <f>IF($H1374="","",$H1374-TODAY())</f>
        <v/>
      </c>
      <c r="J1374" s="16" t="inlineStr">
        <is>
          <t>Open posting</t>
        </is>
      </c>
      <c r="K1374" s="8" t="inlineStr">
        <is>
          <t>filtered by keyword pre-scan</t>
        </is>
      </c>
      <c r="L1374" s="17" t="inlineStr">
        <is>
          <t>new</t>
        </is>
      </c>
      <c r="M1374" s="18" t="inlineStr"/>
      <c r="N1374" s="7" t="inlineStr">
        <is>
          <t>e22e7b2452be4fc3a89c2df835735bd12276999c</t>
        </is>
      </c>
      <c r="O1374" s="14" t="n">
        <v>46170</v>
      </c>
      <c r="P1374" s="7" t="inlineStr">
        <is>
          <t>greenhouse:monzo</t>
        </is>
      </c>
      <c r="Q1374" s="8" t="inlineStr">
        <is>
          <t>git</t>
        </is>
      </c>
      <c r="R1374" s="8" t="n"/>
      <c r="S1374" s="19" t="n"/>
      <c r="T1374" s="19" t="n"/>
      <c r="U1374" s="14" t="n">
        <v>46191</v>
      </c>
      <c r="V1374" s="7" t="inlineStr">
        <is>
          <t>v2-cv-accuracy-13b988b18da8ea7d</t>
        </is>
      </c>
    </row>
    <row r="1375" ht="28" customHeight="1">
      <c r="A1375" s="12">
        <f>IF($L1375="applied","Applied",IF($L1375="interview","Interview",IF($L1375="offer","Offer",IF($L1375="rejected","Rejected",IF($L1375="ignore","Ignore",IF($L1375="archive","Archive",IF($L1375="closed","Closed",IF($B1375="","Unscored",IF(AND($B1375&gt;=8,OR($H1375="",$H1375-TODAY()&lt;=14)),"P1 Apply",IF($B1375&gt;=7,"P2 Strong",IF($B1375&gt;=5,"P3 Maybe","P4 Low")))))))))))</f>
        <v/>
      </c>
      <c r="B1375" s="13" t="n">
        <v>0</v>
      </c>
      <c r="C1375" s="12" t="inlineStr">
        <is>
          <t>Senior/Lead</t>
        </is>
      </c>
      <c r="D1375" s="8" t="inlineStr">
        <is>
          <t>Senior Staff Backend Engineer</t>
        </is>
      </c>
      <c r="E1375" s="7" t="inlineStr">
        <is>
          <t>Monzo</t>
        </is>
      </c>
      <c r="F1375" s="8" t="inlineStr">
        <is>
          <t>Cardiff, London or Remote (UK)</t>
        </is>
      </c>
      <c r="G1375" s="8" t="n"/>
      <c r="H1375" s="14" t="n"/>
      <c r="I1375" s="15">
        <f>IF($H1375="","",$H1375-TODAY())</f>
        <v/>
      </c>
      <c r="J1375" s="16" t="inlineStr">
        <is>
          <t>Open posting</t>
        </is>
      </c>
      <c r="K1375" s="8" t="inlineStr">
        <is>
          <t>filtered by keyword pre-scan</t>
        </is>
      </c>
      <c r="L1375" s="17" t="inlineStr">
        <is>
          <t>new</t>
        </is>
      </c>
      <c r="M1375" s="18" t="inlineStr"/>
      <c r="N1375" s="7" t="inlineStr">
        <is>
          <t>e2b6c7e0574e695ae53c5a06af13649148277d6f</t>
        </is>
      </c>
      <c r="O1375" s="14" t="n">
        <v>46191</v>
      </c>
      <c r="P1375" s="7" t="inlineStr">
        <is>
          <t>greenhouse:monzo</t>
        </is>
      </c>
      <c r="Q1375" s="8" t="inlineStr">
        <is>
          <t>git</t>
        </is>
      </c>
      <c r="R1375" s="8" t="n"/>
      <c r="S1375" s="19" t="n"/>
      <c r="T1375" s="19" t="n"/>
      <c r="U1375" s="14" t="n">
        <v>46191</v>
      </c>
      <c r="V1375" s="7" t="inlineStr">
        <is>
          <t>v2-cv-accuracy-13b988b18da8ea7d</t>
        </is>
      </c>
    </row>
    <row r="1376" ht="28" customHeight="1">
      <c r="A1376" s="12">
        <f>IF($L1376="applied","Applied",IF($L1376="interview","Interview",IF($L1376="offer","Offer",IF($L1376="rejected","Rejected",IF($L1376="ignore","Ignore",IF($L1376="archive","Archive",IF($L1376="closed","Closed",IF($B1376="","Unscored",IF(AND($B1376&gt;=8,OR($H1376="",$H1376-TODAY()&lt;=14)),"P1 Apply",IF($B1376&gt;=7,"P2 Strong",IF($B1376&gt;=5,"P3 Maybe","P4 Low")))))))))))</f>
        <v/>
      </c>
      <c r="B1376" s="13" t="n">
        <v>0</v>
      </c>
      <c r="C1376" s="12" t="inlineStr">
        <is>
          <t>Senior/Lead</t>
        </is>
      </c>
      <c r="D1376" s="8" t="inlineStr">
        <is>
          <t>Senior Sustainability Manager</t>
        </is>
      </c>
      <c r="E1376" s="7" t="inlineStr">
        <is>
          <t>Monzo</t>
        </is>
      </c>
      <c r="F1376" s="8" t="inlineStr">
        <is>
          <t>London</t>
        </is>
      </c>
      <c r="G1376" s="8" t="n"/>
      <c r="H1376" s="14" t="n"/>
      <c r="I1376" s="15">
        <f>IF($H1376="","",$H1376-TODAY())</f>
        <v/>
      </c>
      <c r="J1376" s="16" t="inlineStr">
        <is>
          <t>Open posting</t>
        </is>
      </c>
      <c r="K1376" s="8" t="inlineStr">
        <is>
          <t>filtered by keyword pre-scan</t>
        </is>
      </c>
      <c r="L1376" s="17" t="inlineStr">
        <is>
          <t>new</t>
        </is>
      </c>
      <c r="M1376" s="18" t="inlineStr"/>
      <c r="N1376" s="7" t="inlineStr">
        <is>
          <t>93877b49ce20901666638d8202c7544faa1914d3</t>
        </is>
      </c>
      <c r="O1376" s="14" t="n">
        <v>46188</v>
      </c>
      <c r="P1376" s="7" t="inlineStr">
        <is>
          <t>greenhouse:monzo</t>
        </is>
      </c>
      <c r="Q1376" s="8" t="inlineStr"/>
      <c r="R1376" s="8" t="n"/>
      <c r="S1376" s="19" t="n"/>
      <c r="T1376" s="19" t="n"/>
      <c r="U1376" s="14" t="n">
        <v>46191</v>
      </c>
      <c r="V1376" s="7" t="inlineStr">
        <is>
          <t>v2-cv-accuracy-13b988b18da8ea7d</t>
        </is>
      </c>
    </row>
    <row r="1377" ht="28" customHeight="1">
      <c r="A1377" s="12">
        <f>IF($L1377="applied","Applied",IF($L1377="interview","Interview",IF($L1377="offer","Offer",IF($L1377="rejected","Rejected",IF($L1377="ignore","Ignore",IF($L1377="archive","Archive",IF($L1377="closed","Closed",IF($B1377="","Unscored",IF(AND($B1377&gt;=8,OR($H1377="",$H1377-TODAY()&lt;=14)),"P1 Apply",IF($B1377&gt;=7,"P2 Strong",IF($B1377&gt;=5,"P3 Maybe","P4 Low")))))))))))</f>
        <v/>
      </c>
      <c r="B1377" s="13" t="n">
        <v>0</v>
      </c>
      <c r="C1377" s="12" t="inlineStr">
        <is>
          <t>Senior/Lead</t>
        </is>
      </c>
      <c r="D1377" s="8" t="inlineStr">
        <is>
          <t>Staff Backend Engineer</t>
        </is>
      </c>
      <c r="E1377" s="7" t="inlineStr">
        <is>
          <t>Monzo</t>
        </is>
      </c>
      <c r="F1377" s="8" t="inlineStr">
        <is>
          <t>Barcelona</t>
        </is>
      </c>
      <c r="G1377" s="8" t="n"/>
      <c r="H1377" s="14" t="n"/>
      <c r="I1377" s="15">
        <f>IF($H1377="","",$H1377-TODAY())</f>
        <v/>
      </c>
      <c r="J1377" s="16" t="inlineStr">
        <is>
          <t>Open posting</t>
        </is>
      </c>
      <c r="K1377" s="8" t="inlineStr">
        <is>
          <t>filtered by keyword pre-scan</t>
        </is>
      </c>
      <c r="L1377" s="17" t="inlineStr">
        <is>
          <t>new</t>
        </is>
      </c>
      <c r="M1377" s="18" t="inlineStr"/>
      <c r="N1377" s="7" t="inlineStr">
        <is>
          <t>05d768ef6bed39d23dbc35f6712703622b24f5dc</t>
        </is>
      </c>
      <c r="O1377" s="14" t="n">
        <v>46170</v>
      </c>
      <c r="P1377" s="7" t="inlineStr">
        <is>
          <t>greenhouse:monzo</t>
        </is>
      </c>
      <c r="Q1377" s="8" t="inlineStr">
        <is>
          <t>git</t>
        </is>
      </c>
      <c r="R1377" s="8" t="n"/>
      <c r="S1377" s="19" t="n"/>
      <c r="T1377" s="19" t="n"/>
      <c r="U1377" s="14" t="n">
        <v>46191</v>
      </c>
      <c r="V1377" s="7" t="inlineStr">
        <is>
          <t>v2-cv-accuracy-13b988b18da8ea7d</t>
        </is>
      </c>
    </row>
    <row r="1378" ht="28" customHeight="1">
      <c r="A1378" s="12">
        <f>IF($L1378="applied","Applied",IF($L1378="interview","Interview",IF($L1378="offer","Offer",IF($L1378="rejected","Rejected",IF($L1378="ignore","Ignore",IF($L1378="archive","Archive",IF($L1378="closed","Closed",IF($B1378="","Unscored",IF(AND($B1378&gt;=8,OR($H1378="",$H1378-TODAY()&lt;=14)),"P1 Apply",IF($B1378&gt;=7,"P2 Strong",IF($B1378&gt;=5,"P3 Maybe","P4 Low")))))))))))</f>
        <v/>
      </c>
      <c r="B1378" s="13" t="n">
        <v>0</v>
      </c>
      <c r="C1378" s="12" t="inlineStr">
        <is>
          <t>Senior/Lead</t>
        </is>
      </c>
      <c r="D1378" s="8" t="inlineStr">
        <is>
          <t>Staff Backend Engineer</t>
        </is>
      </c>
      <c r="E1378" s="7" t="inlineStr">
        <is>
          <t>Monzo</t>
        </is>
      </c>
      <c r="F1378" s="8" t="inlineStr">
        <is>
          <t>Cardiff, London or Remote (UK)</t>
        </is>
      </c>
      <c r="G1378" s="8" t="n"/>
      <c r="H1378" s="14" t="n"/>
      <c r="I1378" s="15">
        <f>IF($H1378="","",$H1378-TODAY())</f>
        <v/>
      </c>
      <c r="J1378" s="16" t="inlineStr">
        <is>
          <t>Open posting</t>
        </is>
      </c>
      <c r="K1378" s="8" t="inlineStr">
        <is>
          <t>filtered by keyword pre-scan</t>
        </is>
      </c>
      <c r="L1378" s="17" t="inlineStr">
        <is>
          <t>new</t>
        </is>
      </c>
      <c r="M1378" s="18" t="inlineStr"/>
      <c r="N1378" s="7" t="inlineStr">
        <is>
          <t>fc4939db5b4f0532389516fdec622f4039e43911</t>
        </is>
      </c>
      <c r="O1378" s="14" t="n">
        <v>46191</v>
      </c>
      <c r="P1378" s="7" t="inlineStr">
        <is>
          <t>greenhouse:monzo</t>
        </is>
      </c>
      <c r="Q1378" s="8" t="inlineStr">
        <is>
          <t>git</t>
        </is>
      </c>
      <c r="R1378" s="8" t="n"/>
      <c r="S1378" s="19" t="n"/>
      <c r="T1378" s="19" t="n"/>
      <c r="U1378" s="14" t="n">
        <v>46191</v>
      </c>
      <c r="V1378" s="7" t="inlineStr">
        <is>
          <t>v2-cv-accuracy-13b988b18da8ea7d</t>
        </is>
      </c>
    </row>
    <row r="1379" ht="28" customHeight="1">
      <c r="A1379" s="12">
        <f>IF($L1379="applied","Applied",IF($L1379="interview","Interview",IF($L1379="offer","Offer",IF($L1379="rejected","Rejected",IF($L1379="ignore","Ignore",IF($L1379="archive","Archive",IF($L1379="closed","Closed",IF($B1379="","Unscored",IF(AND($B1379&gt;=8,OR($H1379="",$H1379-TODAY()&lt;=14)),"P1 Apply",IF($B1379&gt;=7,"P2 Strong",IF($B1379&gt;=5,"P3 Maybe","P4 Low")))))))))))</f>
        <v/>
      </c>
      <c r="B1379" s="13" t="n">
        <v>0</v>
      </c>
      <c r="C1379" s="12" t="inlineStr">
        <is>
          <t>Senior/Lead</t>
        </is>
      </c>
      <c r="D1379" s="8" t="inlineStr">
        <is>
          <t>Staff Product Designer</t>
        </is>
      </c>
      <c r="E1379" s="7" t="inlineStr">
        <is>
          <t>Monzo</t>
        </is>
      </c>
      <c r="F1379" s="8" t="inlineStr">
        <is>
          <t>Cardiff, London or Remote (UK)</t>
        </is>
      </c>
      <c r="G1379" s="8" t="n"/>
      <c r="H1379" s="14" t="n"/>
      <c r="I1379" s="15">
        <f>IF($H1379="","",$H1379-TODAY())</f>
        <v/>
      </c>
      <c r="J1379" s="16" t="inlineStr">
        <is>
          <t>Open posting</t>
        </is>
      </c>
      <c r="K1379" s="8" t="inlineStr">
        <is>
          <t>filtered by keyword pre-scan</t>
        </is>
      </c>
      <c r="L1379" s="17" t="inlineStr">
        <is>
          <t>new</t>
        </is>
      </c>
      <c r="M1379" s="18" t="inlineStr"/>
      <c r="N1379" s="7" t="inlineStr">
        <is>
          <t>76b32274afe3d3ce7095bbe68c5006ed9695faab</t>
        </is>
      </c>
      <c r="O1379" s="14" t="n">
        <v>46174</v>
      </c>
      <c r="P1379" s="7" t="inlineStr">
        <is>
          <t>greenhouse:monzo</t>
        </is>
      </c>
      <c r="Q1379" s="8" t="inlineStr"/>
      <c r="R1379" s="8" t="n"/>
      <c r="S1379" s="19" t="n"/>
      <c r="T1379" s="19" t="n"/>
      <c r="U1379" s="14" t="n">
        <v>46191</v>
      </c>
      <c r="V1379" s="7" t="inlineStr">
        <is>
          <t>v2-cv-accuracy-13b988b18da8ea7d</t>
        </is>
      </c>
    </row>
    <row r="1380" ht="28" customHeight="1">
      <c r="A1380" s="12">
        <f>IF($L1380="applied","Applied",IF($L1380="interview","Interview",IF($L1380="offer","Offer",IF($L1380="rejected","Rejected",IF($L1380="ignore","Ignore",IF($L1380="archive","Archive",IF($L1380="closed","Closed",IF($B1380="","Unscored",IF(AND($B1380&gt;=8,OR($H1380="",$H1380-TODAY()&lt;=14)),"P1 Apply",IF($B1380&gt;=7,"P2 Strong",IF($B1380&gt;=5,"P3 Maybe","P4 Low")))))))))))</f>
        <v/>
      </c>
      <c r="B1380" s="13" t="n">
        <v>0</v>
      </c>
      <c r="C1380" s="12" t="inlineStr">
        <is>
          <t>Senior/Lead</t>
        </is>
      </c>
      <c r="D1380" s="8" t="inlineStr">
        <is>
          <t>Staff User Researcher, Wealth</t>
        </is>
      </c>
      <c r="E1380" s="7" t="inlineStr">
        <is>
          <t>Monzo</t>
        </is>
      </c>
      <c r="F1380" s="8" t="inlineStr">
        <is>
          <t>Cardiff, London or Remote (UK)</t>
        </is>
      </c>
      <c r="G1380" s="8" t="n"/>
      <c r="H1380" s="14" t="n"/>
      <c r="I1380" s="15">
        <f>IF($H1380="","",$H1380-TODAY())</f>
        <v/>
      </c>
      <c r="J1380" s="16" t="inlineStr">
        <is>
          <t>Open posting</t>
        </is>
      </c>
      <c r="K1380" s="8" t="inlineStr">
        <is>
          <t>filtered by keyword pre-scan</t>
        </is>
      </c>
      <c r="L1380" s="17" t="inlineStr">
        <is>
          <t>new</t>
        </is>
      </c>
      <c r="M1380" s="18" t="inlineStr"/>
      <c r="N1380" s="7" t="inlineStr">
        <is>
          <t>31fc0ca06d255fe5975439c0c0425de333a4c860</t>
        </is>
      </c>
      <c r="O1380" s="14" t="n">
        <v>46184</v>
      </c>
      <c r="P1380" s="7" t="inlineStr">
        <is>
          <t>greenhouse:monzo</t>
        </is>
      </c>
      <c r="Q1380" s="8" t="inlineStr"/>
      <c r="R1380" s="8" t="n"/>
      <c r="S1380" s="19" t="n"/>
      <c r="T1380" s="19" t="n"/>
      <c r="U1380" s="14" t="n">
        <v>46191</v>
      </c>
      <c r="V1380" s="7" t="inlineStr">
        <is>
          <t>v2-cv-accuracy-13b988b18da8ea7d</t>
        </is>
      </c>
    </row>
    <row r="1381" ht="28" customHeight="1">
      <c r="A1381" s="12">
        <f>IF($L1381="applied","Applied",IF($L1381="interview","Interview",IF($L1381="offer","Offer",IF($L1381="rejected","Rejected",IF($L1381="ignore","Ignore",IF($L1381="archive","Archive",IF($L1381="closed","Closed",IF($B1381="","Unscored",IF(AND($B1381&gt;=8,OR($H1381="",$H1381-TODAY()&lt;=14)),"P1 Apply",IF($B1381&gt;=7,"P2 Strong",IF($B1381&gt;=5,"P3 Maybe","P4 Low")))))))))))</f>
        <v/>
      </c>
      <c r="B1381" s="13" t="n">
        <v>0</v>
      </c>
      <c r="C1381" s="12" t="inlineStr">
        <is>
          <t>Manager/Owner</t>
        </is>
      </c>
      <c r="D1381" s="8" t="inlineStr">
        <is>
          <t>Third Party Risk Manager (FTC)</t>
        </is>
      </c>
      <c r="E1381" s="7" t="inlineStr">
        <is>
          <t>Monzo</t>
        </is>
      </c>
      <c r="F1381" s="8" t="inlineStr">
        <is>
          <t>London; Remote (UK)</t>
        </is>
      </c>
      <c r="G1381" s="8" t="n"/>
      <c r="H1381" s="14" t="n"/>
      <c r="I1381" s="15">
        <f>IF($H1381="","",$H1381-TODAY())</f>
        <v/>
      </c>
      <c r="J1381" s="16" t="inlineStr">
        <is>
          <t>Open posting</t>
        </is>
      </c>
      <c r="K1381" s="8" t="inlineStr">
        <is>
          <t>filtered by keyword pre-scan</t>
        </is>
      </c>
      <c r="L1381" s="17" t="inlineStr">
        <is>
          <t>new</t>
        </is>
      </c>
      <c r="M1381" s="18" t="inlineStr"/>
      <c r="N1381" s="7" t="inlineStr">
        <is>
          <t>181ab009b1264b70c71b071c620ef4312a6ae257</t>
        </is>
      </c>
      <c r="O1381" s="14" t="n">
        <v>46177</v>
      </c>
      <c r="P1381" s="7" t="inlineStr">
        <is>
          <t>greenhouse:monzo</t>
        </is>
      </c>
      <c r="Q1381" s="8" t="inlineStr">
        <is>
          <t>git</t>
        </is>
      </c>
      <c r="R1381" s="8" t="n"/>
      <c r="S1381" s="19" t="n"/>
      <c r="T1381" s="19" t="n"/>
      <c r="U1381" s="14" t="n">
        <v>46191</v>
      </c>
      <c r="V1381" s="7" t="inlineStr">
        <is>
          <t>v2-cv-accuracy-13b988b18da8ea7d</t>
        </is>
      </c>
    </row>
    <row r="1382" ht="28" customHeight="1">
      <c r="A1382" s="12">
        <f>IF($L1382="applied","Applied",IF($L1382="interview","Interview",IF($L1382="offer","Offer",IF($L1382="rejected","Rejected",IF($L1382="ignore","Ignore",IF($L1382="archive","Archive",IF($L1382="closed","Closed",IF($B1382="","Unscored",IF(AND($B1382&gt;=8,OR($H1382="",$H1382-TODAY()&lt;=14)),"P1 Apply",IF($B1382&gt;=7,"P2 Strong",IF($B1382&gt;=5,"P3 Maybe","P4 Low")))))))))))</f>
        <v/>
      </c>
      <c r="B1382" s="13" t="n">
        <v>0</v>
      </c>
      <c r="C1382" s="12" t="inlineStr">
        <is>
          <t>Senior/Lead</t>
        </is>
      </c>
      <c r="D1382" s="8" t="inlineStr">
        <is>
          <t>Senior Data Platform Engineer</t>
        </is>
      </c>
      <c r="E1382" s="7" t="inlineStr">
        <is>
          <t>Typeform</t>
        </is>
      </c>
      <c r="F1382" s="8" t="inlineStr">
        <is>
          <t>Germany (Remote) ; Ireland (Remote); Netherlands (Remote) ; Spain (Remote) ; United Kingdom (Remote)</t>
        </is>
      </c>
      <c r="G1382" s="8" t="n"/>
      <c r="H1382" s="14" t="n"/>
      <c r="I1382" s="15">
        <f>IF($H1382="","",$H1382-TODAY())</f>
        <v/>
      </c>
      <c r="J1382" s="16" t="inlineStr">
        <is>
          <t>Open posting</t>
        </is>
      </c>
      <c r="K1382" s="8" t="inlineStr">
        <is>
          <t>filtered by keyword pre-scan</t>
        </is>
      </c>
      <c r="L1382" s="17" t="inlineStr">
        <is>
          <t>new</t>
        </is>
      </c>
      <c r="M1382" s="18" t="inlineStr"/>
      <c r="N1382" s="7" t="inlineStr">
        <is>
          <t>8e5139c6f6399ec1fe99a1d5feb53d541d94d0ea</t>
        </is>
      </c>
      <c r="O1382" s="14" t="n">
        <v>46183</v>
      </c>
      <c r="P1382" s="7" t="inlineStr">
        <is>
          <t>greenhouse:typeform</t>
        </is>
      </c>
      <c r="Q1382" s="8" t="inlineStr">
        <is>
          <t>python, sql</t>
        </is>
      </c>
      <c r="R1382" s="8" t="n"/>
      <c r="S1382" s="19" t="n"/>
      <c r="T1382" s="19" t="n"/>
      <c r="U1382" s="14" t="n">
        <v>46191</v>
      </c>
      <c r="V1382" s="7" t="inlineStr">
        <is>
          <t>v2-cv-accuracy-13b988b18da8ea7d</t>
        </is>
      </c>
    </row>
    <row r="1383" ht="28" customHeight="1">
      <c r="A1383" s="12">
        <f>IF($L1383="applied","Applied",IF($L1383="interview","Interview",IF($L1383="offer","Offer",IF($L1383="rejected","Rejected",IF($L1383="ignore","Ignore",IF($L1383="archive","Archive",IF($L1383="closed","Closed",IF($B1383="","Unscored",IF(AND($B1383&gt;=8,OR($H1383="",$H1383-TODAY()&lt;=14)),"P1 Apply",IF($B1383&gt;=7,"P2 Strong",IF($B1383&gt;=5,"P3 Maybe","P4 Low")))))))))))</f>
        <v/>
      </c>
      <c r="B1383" s="13" t="n">
        <v>0</v>
      </c>
      <c r="C1383" s="12" t="inlineStr">
        <is>
          <t>Senior/Lead</t>
        </is>
      </c>
      <c r="D1383" s="8" t="inlineStr">
        <is>
          <t>Senior FP&amp;A Analyst</t>
        </is>
      </c>
      <c r="E1383" s="7" t="inlineStr">
        <is>
          <t>Typeform</t>
        </is>
      </c>
      <c r="F1383" s="8" t="inlineStr">
        <is>
          <t>United Kingdom (Remote)</t>
        </is>
      </c>
      <c r="G1383" s="8" t="n"/>
      <c r="H1383" s="14" t="n"/>
      <c r="I1383" s="15">
        <f>IF($H1383="","",$H1383-TODAY())</f>
        <v/>
      </c>
      <c r="J1383" s="16" t="inlineStr">
        <is>
          <t>Open posting</t>
        </is>
      </c>
      <c r="K1383" s="8" t="inlineStr">
        <is>
          <t>filtered by keyword pre-scan</t>
        </is>
      </c>
      <c r="L1383" s="17" t="inlineStr">
        <is>
          <t>new</t>
        </is>
      </c>
      <c r="M1383" s="18" t="inlineStr"/>
      <c r="N1383" s="7" t="inlineStr">
        <is>
          <t>2e75b00ecb256f8f2344caa1132306dcde9019d1</t>
        </is>
      </c>
      <c r="O1383" s="14" t="n">
        <v>46168</v>
      </c>
      <c r="P1383" s="7" t="inlineStr">
        <is>
          <t>greenhouse:typeform</t>
        </is>
      </c>
      <c r="Q1383" s="8" t="inlineStr">
        <is>
          <t>sql</t>
        </is>
      </c>
      <c r="R1383" s="8" t="n"/>
      <c r="S1383" s="19" t="n"/>
      <c r="T1383" s="19" t="n"/>
      <c r="U1383" s="14" t="n">
        <v>46191</v>
      </c>
      <c r="V1383" s="7" t="inlineStr">
        <is>
          <t>v2-cv-accuracy-13b988b18da8ea7d</t>
        </is>
      </c>
    </row>
    <row r="1384" ht="28" customHeight="1">
      <c r="A1384" s="12">
        <f>IF($L1384="applied","Applied",IF($L1384="interview","Interview",IF($L1384="offer","Offer",IF($L1384="rejected","Rejected",IF($L1384="ignore","Ignore",IF($L1384="archive","Archive",IF($L1384="closed","Closed",IF($B1384="","Unscored",IF(AND($B1384&gt;=8,OR($H1384="",$H1384-TODAY()&lt;=14)),"P1 Apply",IF($B1384&gt;=7,"P2 Strong",IF($B1384&gt;=5,"P3 Maybe","P4 Low")))))))))))</f>
        <v/>
      </c>
      <c r="B1384" s="13" t="n">
        <v>0</v>
      </c>
      <c r="C1384" s="12" t="inlineStr">
        <is>
          <t>Senior/Lead</t>
        </is>
      </c>
      <c r="D1384" s="8" t="inlineStr">
        <is>
          <t>Senior Web Strategist</t>
        </is>
      </c>
      <c r="E1384" s="7" t="inlineStr">
        <is>
          <t>Typeform</t>
        </is>
      </c>
      <c r="F1384" s="8" t="inlineStr">
        <is>
          <t>Germany (Remote) ; Ireland (Remote); Netherlands (Remote) ; Portugal (Remote) ; Spain (Remote) ; United Kingdom (Remote)</t>
        </is>
      </c>
      <c r="G1384" s="8" t="n"/>
      <c r="H1384" s="14" t="n"/>
      <c r="I1384" s="15">
        <f>IF($H1384="","",$H1384-TODAY())</f>
        <v/>
      </c>
      <c r="J1384" s="16" t="inlineStr">
        <is>
          <t>Open posting</t>
        </is>
      </c>
      <c r="K1384" s="8" t="inlineStr">
        <is>
          <t>filtered by keyword pre-scan</t>
        </is>
      </c>
      <c r="L1384" s="17" t="inlineStr">
        <is>
          <t>new</t>
        </is>
      </c>
      <c r="M1384" s="18" t="inlineStr"/>
      <c r="N1384" s="7" t="inlineStr">
        <is>
          <t>66a044711f4aa3a52627d3106b98ca924e35c79e</t>
        </is>
      </c>
      <c r="O1384" s="14" t="n">
        <v>46174</v>
      </c>
      <c r="P1384" s="7" t="inlineStr">
        <is>
          <t>greenhouse:typeform</t>
        </is>
      </c>
      <c r="Q1384" s="8" t="inlineStr"/>
      <c r="R1384" s="8" t="n"/>
      <c r="S1384" s="19" t="n"/>
      <c r="T1384" s="19" t="n"/>
      <c r="U1384" s="14" t="n">
        <v>46191</v>
      </c>
      <c r="V1384" s="7" t="inlineStr">
        <is>
          <t>v2-cv-accuracy-13b988b18da8ea7d</t>
        </is>
      </c>
    </row>
    <row r="1385" ht="28" customHeight="1">
      <c r="A1385" s="12">
        <f>IF($L1385="applied","Applied",IF($L1385="interview","Interview",IF($L1385="offer","Offer",IF($L1385="rejected","Rejected",IF($L1385="ignore","Ignore",IF($L1385="archive","Archive",IF($L1385="closed","Closed",IF($B1385="","Unscored",IF(AND($B1385&gt;=8,OR($H1385="",$H1385-TODAY()&lt;=14)),"P1 Apply",IF($B1385&gt;=7,"P2 Strong",IF($B1385&gt;=5,"P3 Maybe","P4 Low")))))))))))</f>
        <v/>
      </c>
      <c r="B1385" s="13" t="n">
        <v>0</v>
      </c>
      <c r="C1385" s="12" t="inlineStr">
        <is>
          <t>Unspecified</t>
        </is>
      </c>
      <c r="D1385" s="8" t="inlineStr">
        <is>
          <t>Brand Designer</t>
        </is>
      </c>
      <c r="E1385" s="7" t="inlineStr">
        <is>
          <t>GoCardless</t>
        </is>
      </c>
      <c r="F1385" s="8" t="inlineStr">
        <is>
          <t>Leeds, UK</t>
        </is>
      </c>
      <c r="G1385" s="8" t="n"/>
      <c r="H1385" s="14" t="n"/>
      <c r="I1385" s="15">
        <f>IF($H1385="","",$H1385-TODAY())</f>
        <v/>
      </c>
      <c r="J1385" s="16" t="inlineStr">
        <is>
          <t>Open posting</t>
        </is>
      </c>
      <c r="K1385" s="8" t="inlineStr">
        <is>
          <t>filtered by keyword pre-scan</t>
        </is>
      </c>
      <c r="L1385" s="17" t="inlineStr">
        <is>
          <t>new</t>
        </is>
      </c>
      <c r="M1385" s="18" t="inlineStr"/>
      <c r="N1385" s="7" t="inlineStr">
        <is>
          <t>34f4a3c19a04fa647856733e703581ccd2bb44f1</t>
        </is>
      </c>
      <c r="O1385" s="14" t="n">
        <v>46189</v>
      </c>
      <c r="P1385" s="7" t="inlineStr">
        <is>
          <t>greenhouse:gocardless</t>
        </is>
      </c>
      <c r="Q1385" s="8" t="inlineStr"/>
      <c r="R1385" s="8" t="n"/>
      <c r="S1385" s="19" t="n"/>
      <c r="T1385" s="19" t="n"/>
      <c r="U1385" s="14" t="n">
        <v>46191</v>
      </c>
      <c r="V1385" s="7" t="inlineStr">
        <is>
          <t>v2-cv-accuracy-13b988b18da8ea7d</t>
        </is>
      </c>
    </row>
    <row r="1386" ht="28" customHeight="1">
      <c r="A1386" s="12">
        <f>IF($L1386="applied","Applied",IF($L1386="interview","Interview",IF($L1386="offer","Offer",IF($L1386="rejected","Rejected",IF($L1386="ignore","Ignore",IF($L1386="archive","Archive",IF($L1386="closed","Closed",IF($B1386="","Unscored",IF(AND($B1386&gt;=8,OR($H1386="",$H1386-TODAY()&lt;=14)),"P1 Apply",IF($B1386&gt;=7,"P2 Strong",IF($B1386&gt;=5,"P3 Maybe","P4 Low")))))))))))</f>
        <v/>
      </c>
      <c r="B1386" s="13" t="n">
        <v>0</v>
      </c>
      <c r="C1386" s="12" t="inlineStr">
        <is>
          <t>Senior/Lead</t>
        </is>
      </c>
      <c r="D1386" s="8" t="inlineStr">
        <is>
          <t>KYC Screening Representative (3 month FTC)</t>
        </is>
      </c>
      <c r="E1386" s="7" t="inlineStr">
        <is>
          <t>GoCardless</t>
        </is>
      </c>
      <c r="F1386" s="8" t="inlineStr">
        <is>
          <t>Riga, Latvia</t>
        </is>
      </c>
      <c r="G1386" s="8" t="n"/>
      <c r="H1386" s="14" t="n"/>
      <c r="I1386" s="15">
        <f>IF($H1386="","",$H1386-TODAY())</f>
        <v/>
      </c>
      <c r="J1386" s="16" t="inlineStr">
        <is>
          <t>Open posting</t>
        </is>
      </c>
      <c r="K1386" s="8" t="inlineStr">
        <is>
          <t>filtered by keyword pre-scan</t>
        </is>
      </c>
      <c r="L1386" s="17" t="inlineStr">
        <is>
          <t>new</t>
        </is>
      </c>
      <c r="M1386" s="18" t="inlineStr"/>
      <c r="N1386" s="7" t="inlineStr">
        <is>
          <t>d040fb79d314ee09a969fb45be4547e378e32504</t>
        </is>
      </c>
      <c r="O1386" s="14" t="n">
        <v>46168</v>
      </c>
      <c r="P1386" s="7" t="inlineStr">
        <is>
          <t>greenhouse:gocardless</t>
        </is>
      </c>
      <c r="Q1386" s="8" t="inlineStr"/>
      <c r="R1386" s="8" t="n"/>
      <c r="S1386" s="19" t="n"/>
      <c r="T1386" s="19" t="n"/>
      <c r="U1386" s="14" t="n">
        <v>46191</v>
      </c>
      <c r="V1386" s="7" t="inlineStr">
        <is>
          <t>v2-cv-accuracy-13b988b18da8ea7d</t>
        </is>
      </c>
    </row>
    <row r="1387" ht="28" customHeight="1">
      <c r="A1387" s="12">
        <f>IF($L1387="applied","Applied",IF($L1387="interview","Interview",IF($L1387="offer","Offer",IF($L1387="rejected","Rejected",IF($L1387="ignore","Ignore",IF($L1387="archive","Archive",IF($L1387="closed","Closed",IF($B1387="","Unscored",IF(AND($B1387&gt;=8,OR($H1387="",$H1387-TODAY()&lt;=14)),"P1 Apply",IF($B1387&gt;=7,"P2 Strong",IF($B1387&gt;=5,"P3 Maybe","P4 Low")))))))))))</f>
        <v/>
      </c>
      <c r="B1387" s="13" t="n">
        <v>0</v>
      </c>
      <c r="C1387" s="12" t="inlineStr">
        <is>
          <t>Junior</t>
        </is>
      </c>
      <c r="D1387" s="8" t="inlineStr">
        <is>
          <t>Regulatory Compliance Associate</t>
        </is>
      </c>
      <c r="E1387" s="7" t="inlineStr">
        <is>
          <t>GoCardless</t>
        </is>
      </c>
      <c r="F1387" s="8" t="inlineStr">
        <is>
          <t>Leeds, UK</t>
        </is>
      </c>
      <c r="G1387" s="8" t="n"/>
      <c r="H1387" s="14" t="n"/>
      <c r="I1387" s="15">
        <f>IF($H1387="","",$H1387-TODAY())</f>
        <v/>
      </c>
      <c r="J1387" s="16" t="inlineStr">
        <is>
          <t>Open posting</t>
        </is>
      </c>
      <c r="K1387" s="8" t="inlineStr">
        <is>
          <t>filtered by keyword pre-scan</t>
        </is>
      </c>
      <c r="L1387" s="17" t="inlineStr">
        <is>
          <t>new</t>
        </is>
      </c>
      <c r="M1387" s="18" t="inlineStr"/>
      <c r="N1387" s="7" t="inlineStr">
        <is>
          <t>a1271c7842827e272e38042cb3d613ec9839c9eb</t>
        </is>
      </c>
      <c r="O1387" s="14" t="n">
        <v>46182</v>
      </c>
      <c r="P1387" s="7" t="inlineStr">
        <is>
          <t>greenhouse:gocardless</t>
        </is>
      </c>
      <c r="Q1387" s="8" t="inlineStr"/>
      <c r="R1387" s="8" t="n"/>
      <c r="S1387" s="19" t="n"/>
      <c r="T1387" s="19" t="n"/>
      <c r="U1387" s="14" t="n">
        <v>46191</v>
      </c>
      <c r="V1387" s="7" t="inlineStr">
        <is>
          <t>v2-cv-accuracy-13b988b18da8ea7d</t>
        </is>
      </c>
    </row>
    <row r="1388" ht="28" customHeight="1">
      <c r="A1388" s="12">
        <f>IF($L1388="applied","Applied",IF($L1388="interview","Interview",IF($L1388="offer","Offer",IF($L1388="rejected","Rejected",IF($L1388="ignore","Ignore",IF($L1388="archive","Archive",IF($L1388="closed","Closed",IF($B1388="","Unscored",IF(AND($B1388&gt;=8,OR($H1388="",$H1388-TODAY()&lt;=14)),"P1 Apply",IF($B1388&gt;=7,"P2 Strong",IF($B1388&gt;=5,"P3 Maybe","P4 Low")))))))))))</f>
        <v/>
      </c>
      <c r="B1388" s="13" t="n">
        <v>0</v>
      </c>
      <c r="C1388" s="12" t="inlineStr">
        <is>
          <t>Unspecified</t>
        </is>
      </c>
      <c r="D1388" s="8" t="inlineStr">
        <is>
          <t>Systems Engineer</t>
        </is>
      </c>
      <c r="E1388" s="7" t="inlineStr">
        <is>
          <t>GoCardless</t>
        </is>
      </c>
      <c r="F1388" s="8" t="inlineStr">
        <is>
          <t>Lisbon, Portugal</t>
        </is>
      </c>
      <c r="G1388" s="8" t="n"/>
      <c r="H1388" s="14" t="n"/>
      <c r="I1388" s="15">
        <f>IF($H1388="","",$H1388-TODAY())</f>
        <v/>
      </c>
      <c r="J1388" s="16" t="inlineStr">
        <is>
          <t>Open posting</t>
        </is>
      </c>
      <c r="K1388" s="8" t="inlineStr">
        <is>
          <t>filtered by keyword pre-scan</t>
        </is>
      </c>
      <c r="L1388" s="17" t="inlineStr">
        <is>
          <t>new</t>
        </is>
      </c>
      <c r="M1388" s="18" t="inlineStr"/>
      <c r="N1388" s="7" t="inlineStr">
        <is>
          <t>313e7c765b39bb83fe23c2cff146f4cc9cd335a6</t>
        </is>
      </c>
      <c r="O1388" s="14" t="n">
        <v>46190</v>
      </c>
      <c r="P1388" s="7" t="inlineStr">
        <is>
          <t>greenhouse:gocardless</t>
        </is>
      </c>
      <c r="Q1388" s="8" t="inlineStr"/>
      <c r="R1388" s="8" t="n"/>
      <c r="S1388" s="19" t="n"/>
      <c r="T1388" s="19" t="n"/>
      <c r="U1388" s="14" t="n">
        <v>46191</v>
      </c>
      <c r="V1388" s="7" t="inlineStr">
        <is>
          <t>v2-cv-accuracy-13b988b18da8ea7d</t>
        </is>
      </c>
    </row>
    <row r="1389" ht="28" customHeight="1">
      <c r="A1389" s="12">
        <f>IF($L1389="applied","Applied",IF($L1389="interview","Interview",IF($L1389="offer","Offer",IF($L1389="rejected","Rejected",IF($L1389="ignore","Ignore",IF($L1389="archive","Archive",IF($L1389="closed","Closed",IF($B1389="","Unscored",IF(AND($B1389&gt;=8,OR($H1389="",$H1389-TODAY()&lt;=14)),"P1 Apply",IF($B1389&gt;=7,"P2 Strong",IF($B1389&gt;=5,"P3 Maybe","P4 Low")))))))))))</f>
        <v/>
      </c>
      <c r="B1389" s="13" t="n">
        <v>0</v>
      </c>
      <c r="C1389" s="12" t="inlineStr">
        <is>
          <t>Senior/Lead</t>
        </is>
      </c>
      <c r="D1389" s="8" t="inlineStr">
        <is>
          <t>Business Development Representative (BDR)</t>
        </is>
      </c>
      <c r="E1389" s="7" t="inlineStr">
        <is>
          <t>Cloudflare</t>
        </is>
      </c>
      <c r="F1389" s="8" t="inlineStr">
        <is>
          <t>Hybrid</t>
        </is>
      </c>
      <c r="G1389" s="8" t="n"/>
      <c r="H1389" s="14" t="n"/>
      <c r="I1389" s="15">
        <f>IF($H1389="","",$H1389-TODAY())</f>
        <v/>
      </c>
      <c r="J1389" s="16" t="inlineStr">
        <is>
          <t>Open posting</t>
        </is>
      </c>
      <c r="K1389" s="8" t="inlineStr">
        <is>
          <t>filtered by keyword pre-scan</t>
        </is>
      </c>
      <c r="L1389" s="17" t="inlineStr">
        <is>
          <t>new</t>
        </is>
      </c>
      <c r="M1389" s="18" t="inlineStr"/>
      <c r="N1389" s="7" t="inlineStr">
        <is>
          <t>8c6bd763103bbfe248e5679b6d8371f653609f84</t>
        </is>
      </c>
      <c r="O1389" s="14" t="n">
        <v>46185</v>
      </c>
      <c r="P1389" s="7" t="inlineStr">
        <is>
          <t>greenhouse:cloudflare</t>
        </is>
      </c>
      <c r="Q1389" s="8" t="inlineStr"/>
      <c r="R1389" s="8" t="n"/>
      <c r="S1389" s="19" t="n"/>
      <c r="T1389" s="19" t="n"/>
      <c r="U1389" s="14" t="n">
        <v>46191</v>
      </c>
      <c r="V1389" s="7" t="inlineStr">
        <is>
          <t>v2-cv-accuracy-13b988b18da8ea7d</t>
        </is>
      </c>
    </row>
    <row r="1390" ht="28" customHeight="1">
      <c r="A1390" s="12">
        <f>IF($L1390="applied","Applied",IF($L1390="interview","Interview",IF($L1390="offer","Offer",IF($L1390="rejected","Rejected",IF($L1390="ignore","Ignore",IF($L1390="archive","Archive",IF($L1390="closed","Closed",IF($B1390="","Unscored",IF(AND($B1390&gt;=8,OR($H1390="",$H1390-TODAY()&lt;=14)),"P1 Apply",IF($B1390&gt;=7,"P2 Strong",IF($B1390&gt;=5,"P3 Maybe","P4 Low")))))))))))</f>
        <v/>
      </c>
      <c r="B1390" s="13" t="n">
        <v>0</v>
      </c>
      <c r="C1390" s="12" t="inlineStr">
        <is>
          <t>Senior/Lead</t>
        </is>
      </c>
      <c r="D1390" s="8" t="inlineStr">
        <is>
          <t>Business Development Representative (BDR), LATAM Spanish Speaking</t>
        </is>
      </c>
      <c r="E1390" s="7" t="inlineStr">
        <is>
          <t>Cloudflare</t>
        </is>
      </c>
      <c r="F1390" s="8" t="inlineStr">
        <is>
          <t>Hybrid</t>
        </is>
      </c>
      <c r="G1390" s="8" t="n"/>
      <c r="H1390" s="14" t="n"/>
      <c r="I1390" s="15">
        <f>IF($H1390="","",$H1390-TODAY())</f>
        <v/>
      </c>
      <c r="J1390" s="16" t="inlineStr">
        <is>
          <t>Open posting</t>
        </is>
      </c>
      <c r="K1390" s="8" t="inlineStr">
        <is>
          <t>filtered by keyword pre-scan</t>
        </is>
      </c>
      <c r="L1390" s="17" t="inlineStr">
        <is>
          <t>new</t>
        </is>
      </c>
      <c r="M1390" s="18" t="inlineStr"/>
      <c r="N1390" s="7" t="inlineStr">
        <is>
          <t>5506d9a341521e1a6978c8b5207b30289c6cb55d</t>
        </is>
      </c>
      <c r="O1390" s="14" t="n">
        <v>46184</v>
      </c>
      <c r="P1390" s="7" t="inlineStr">
        <is>
          <t>greenhouse:cloudflare</t>
        </is>
      </c>
      <c r="Q1390" s="8" t="inlineStr"/>
      <c r="R1390" s="8" t="n"/>
      <c r="S1390" s="19" t="n"/>
      <c r="T1390" s="19" t="n"/>
      <c r="U1390" s="14" t="n">
        <v>46191</v>
      </c>
      <c r="V1390" s="7" t="inlineStr">
        <is>
          <t>v2-cv-accuracy-13b988b18da8ea7d</t>
        </is>
      </c>
    </row>
    <row r="1391" ht="28" customHeight="1">
      <c r="A1391" s="12">
        <f>IF($L1391="applied","Applied",IF($L1391="interview","Interview",IF($L1391="offer","Offer",IF($L1391="rejected","Rejected",IF($L1391="ignore","Ignore",IF($L1391="archive","Archive",IF($L1391="closed","Closed",IF($B1391="","Unscored",IF(AND($B1391&gt;=8,OR($H1391="",$H1391-TODAY()&lt;=14)),"P1 Apply",IF($B1391&gt;=7,"P2 Strong",IF($B1391&gt;=5,"P3 Maybe","P4 Low")))))))))))</f>
        <v/>
      </c>
      <c r="B1391" s="13" t="n">
        <v>0</v>
      </c>
      <c r="C1391" s="12" t="inlineStr">
        <is>
          <t>Unspecified</t>
        </is>
      </c>
      <c r="D1391" s="8" t="inlineStr">
        <is>
          <t>Business Development Representative, Bengaluru</t>
        </is>
      </c>
      <c r="E1391" s="7" t="inlineStr">
        <is>
          <t>Cloudflare</t>
        </is>
      </c>
      <c r="F1391" s="8" t="inlineStr">
        <is>
          <t>Hybrid</t>
        </is>
      </c>
      <c r="G1391" s="8" t="n"/>
      <c r="H1391" s="14" t="n"/>
      <c r="I1391" s="15">
        <f>IF($H1391="","",$H1391-TODAY())</f>
        <v/>
      </c>
      <c r="J1391" s="16" t="inlineStr">
        <is>
          <t>Open posting</t>
        </is>
      </c>
      <c r="K1391" s="8" t="inlineStr">
        <is>
          <t>filtered by keyword pre-scan</t>
        </is>
      </c>
      <c r="L1391" s="17" t="inlineStr">
        <is>
          <t>new</t>
        </is>
      </c>
      <c r="M1391" s="18" t="inlineStr"/>
      <c r="N1391" s="7" t="inlineStr">
        <is>
          <t>09edc40e49c1ec0a0d82ced3c1b4e868eaadfb99</t>
        </is>
      </c>
      <c r="O1391" s="14" t="n">
        <v>46178</v>
      </c>
      <c r="P1391" s="7" t="inlineStr">
        <is>
          <t>greenhouse:cloudflare</t>
        </is>
      </c>
      <c r="Q1391" s="8" t="inlineStr"/>
      <c r="R1391" s="8" t="n"/>
      <c r="S1391" s="19" t="n"/>
      <c r="T1391" s="19" t="n"/>
      <c r="U1391" s="14" t="n">
        <v>46191</v>
      </c>
      <c r="V1391" s="7" t="inlineStr">
        <is>
          <t>v2-cv-accuracy-13b988b18da8ea7d</t>
        </is>
      </c>
    </row>
    <row r="1392" ht="28" customHeight="1">
      <c r="A1392" s="12">
        <f>IF($L1392="applied","Applied",IF($L1392="interview","Interview",IF($L1392="offer","Offer",IF($L1392="rejected","Rejected",IF($L1392="ignore","Ignore",IF($L1392="archive","Archive",IF($L1392="closed","Closed",IF($B1392="","Unscored",IF(AND($B1392&gt;=8,OR($H1392="",$H1392-TODAY()&lt;=14)),"P1 Apply",IF($B1392&gt;=7,"P2 Strong",IF($B1392&gt;=5,"P3 Maybe","P4 Low")))))))))))</f>
        <v/>
      </c>
      <c r="B1392" s="13" t="n">
        <v>0</v>
      </c>
      <c r="C1392" s="12" t="inlineStr">
        <is>
          <t>Senior/Lead</t>
        </is>
      </c>
      <c r="D1392" s="8" t="inlineStr">
        <is>
          <t>Country Director, India</t>
        </is>
      </c>
      <c r="E1392" s="7" t="inlineStr">
        <is>
          <t>Cloudflare</t>
        </is>
      </c>
      <c r="F1392" s="8" t="inlineStr">
        <is>
          <t>Remote India</t>
        </is>
      </c>
      <c r="G1392" s="8" t="n"/>
      <c r="H1392" s="14" t="n"/>
      <c r="I1392" s="15">
        <f>IF($H1392="","",$H1392-TODAY())</f>
        <v/>
      </c>
      <c r="J1392" s="16" t="inlineStr">
        <is>
          <t>Open posting</t>
        </is>
      </c>
      <c r="K1392" s="8" t="inlineStr">
        <is>
          <t>filtered by keyword pre-scan</t>
        </is>
      </c>
      <c r="L1392" s="17" t="inlineStr">
        <is>
          <t>new</t>
        </is>
      </c>
      <c r="M1392" s="18" t="inlineStr"/>
      <c r="N1392" s="7" t="inlineStr">
        <is>
          <t>923c64cc8d8311c2766cdfce4a3baa1d6e2fe698</t>
        </is>
      </c>
      <c r="O1392" s="14" t="n">
        <v>46181</v>
      </c>
      <c r="P1392" s="7" t="inlineStr">
        <is>
          <t>greenhouse:cloudflare</t>
        </is>
      </c>
      <c r="Q1392" s="8" t="inlineStr"/>
      <c r="R1392" s="8" t="n"/>
      <c r="S1392" s="19" t="n"/>
      <c r="T1392" s="19" t="n"/>
      <c r="U1392" s="14" t="n">
        <v>46191</v>
      </c>
      <c r="V1392" s="7" t="inlineStr">
        <is>
          <t>v2-cv-accuracy-13b988b18da8ea7d</t>
        </is>
      </c>
    </row>
    <row r="1393" ht="28" customHeight="1">
      <c r="A1393" s="12">
        <f>IF($L1393="applied","Applied",IF($L1393="interview","Interview",IF($L1393="offer","Offer",IF($L1393="rejected","Rejected",IF($L1393="ignore","Ignore",IF($L1393="archive","Archive",IF($L1393="closed","Closed",IF($B1393="","Unscored",IF(AND($B1393&gt;=8,OR($H1393="",$H1393-TODAY()&lt;=14)),"P1 Apply",IF($B1393&gt;=7,"P2 Strong",IF($B1393&gt;=5,"P3 Maybe","P4 Low")))))))))))</f>
        <v/>
      </c>
      <c r="B1393" s="13" t="n">
        <v>0</v>
      </c>
      <c r="C1393" s="12" t="inlineStr">
        <is>
          <t>Manager/Owner</t>
        </is>
      </c>
      <c r="D1393" s="8" t="inlineStr">
        <is>
          <t>Customer Experience Manager</t>
        </is>
      </c>
      <c r="E1393" s="7" t="inlineStr">
        <is>
          <t>Cloudflare</t>
        </is>
      </c>
      <c r="F1393" s="8" t="inlineStr">
        <is>
          <t>Hybrid</t>
        </is>
      </c>
      <c r="G1393" s="8" t="n"/>
      <c r="H1393" s="14" t="n"/>
      <c r="I1393" s="15">
        <f>IF($H1393="","",$H1393-TODAY())</f>
        <v/>
      </c>
      <c r="J1393" s="16" t="inlineStr">
        <is>
          <t>Open posting</t>
        </is>
      </c>
      <c r="K1393" s="8" t="inlineStr">
        <is>
          <t>filtered by keyword pre-scan</t>
        </is>
      </c>
      <c r="L1393" s="17" t="inlineStr">
        <is>
          <t>new</t>
        </is>
      </c>
      <c r="M1393" s="18" t="inlineStr"/>
      <c r="N1393" s="7" t="inlineStr">
        <is>
          <t>55d07763205bf4bff9c00304a9db75afb29a7229</t>
        </is>
      </c>
      <c r="O1393" s="14" t="n">
        <v>46190</v>
      </c>
      <c r="P1393" s="7" t="inlineStr">
        <is>
          <t>greenhouse:cloudflare</t>
        </is>
      </c>
      <c r="Q1393" s="8" t="inlineStr">
        <is>
          <t>data analysis</t>
        </is>
      </c>
      <c r="R1393" s="8" t="n"/>
      <c r="S1393" s="19" t="n"/>
      <c r="T1393" s="19" t="n"/>
      <c r="U1393" s="14" t="n">
        <v>46191</v>
      </c>
      <c r="V1393" s="7" t="inlineStr">
        <is>
          <t>v2-cv-accuracy-13b988b18da8ea7d</t>
        </is>
      </c>
    </row>
    <row r="1394" ht="28" customHeight="1">
      <c r="A1394" s="12">
        <f>IF($L1394="applied","Applied",IF($L1394="interview","Interview",IF($L1394="offer","Offer",IF($L1394="rejected","Rejected",IF($L1394="ignore","Ignore",IF($L1394="archive","Archive",IF($L1394="closed","Closed",IF($B1394="","Unscored",IF(AND($B1394&gt;=8,OR($H1394="",$H1394-TODAY()&lt;=14)),"P1 Apply",IF($B1394&gt;=7,"P2 Strong",IF($B1394&gt;=5,"P3 Maybe","P4 Low")))))))))))</f>
        <v/>
      </c>
      <c r="B1394" s="13" t="n">
        <v>0</v>
      </c>
      <c r="C1394" s="12" t="inlineStr">
        <is>
          <t>Mid-level</t>
        </is>
      </c>
      <c r="D1394" s="8" t="inlineStr">
        <is>
          <t>Data Center DCIM Program Leader - Infrastructure Operations</t>
        </is>
      </c>
      <c r="E1394" s="7" t="inlineStr">
        <is>
          <t>Cloudflare</t>
        </is>
      </c>
      <c r="F1394" s="8" t="inlineStr">
        <is>
          <t>Hybrid</t>
        </is>
      </c>
      <c r="G1394" s="8" t="n"/>
      <c r="H1394" s="14" t="n"/>
      <c r="I1394" s="15">
        <f>IF($H1394="","",$H1394-TODAY())</f>
        <v/>
      </c>
      <c r="J1394" s="16" t="inlineStr">
        <is>
          <t>Open posting</t>
        </is>
      </c>
      <c r="K1394" s="8" t="inlineStr">
        <is>
          <t>filtered by keyword pre-scan</t>
        </is>
      </c>
      <c r="L1394" s="17" t="inlineStr">
        <is>
          <t>new</t>
        </is>
      </c>
      <c r="M1394" s="18" t="inlineStr"/>
      <c r="N1394" s="7" t="inlineStr">
        <is>
          <t>b31f8c0b6b9921d47607514482c4f6311ca7f4d5</t>
        </is>
      </c>
      <c r="O1394" s="14" t="n">
        <v>46171</v>
      </c>
      <c r="P1394" s="7" t="inlineStr">
        <is>
          <t>greenhouse:cloudflare</t>
        </is>
      </c>
      <c r="Q1394" s="8" t="inlineStr"/>
      <c r="R1394" s="8" t="n"/>
      <c r="S1394" s="19" t="n"/>
      <c r="T1394" s="19" t="n"/>
      <c r="U1394" s="14" t="n">
        <v>46191</v>
      </c>
      <c r="V1394" s="7" t="inlineStr">
        <is>
          <t>v2-cv-accuracy-13b988b18da8ea7d</t>
        </is>
      </c>
    </row>
    <row r="1395" ht="28" customHeight="1">
      <c r="A1395" s="12">
        <f>IF($L1395="applied","Applied",IF($L1395="interview","Interview",IF($L1395="offer","Offer",IF($L1395="rejected","Rejected",IF($L1395="ignore","Ignore",IF($L1395="archive","Archive",IF($L1395="closed","Closed",IF($B1395="","Unscored",IF(AND($B1395&gt;=8,OR($H1395="",$H1395-TODAY()&lt;=14)),"P1 Apply",IF($B1395&gt;=7,"P2 Strong",IF($B1395&gt;=5,"P3 Maybe","P4 Low")))))))))))</f>
        <v/>
      </c>
      <c r="B1395" s="13" t="n">
        <v>0</v>
      </c>
      <c r="C1395" s="12" t="inlineStr">
        <is>
          <t>Manager/Owner</t>
        </is>
      </c>
      <c r="D1395" s="8" t="inlineStr">
        <is>
          <t>Delivery Manager</t>
        </is>
      </c>
      <c r="E1395" s="7" t="inlineStr">
        <is>
          <t>Cloudflare</t>
        </is>
      </c>
      <c r="F1395" s="8" t="inlineStr">
        <is>
          <t>In-Office</t>
        </is>
      </c>
      <c r="G1395" s="8" t="n"/>
      <c r="H1395" s="14" t="n"/>
      <c r="I1395" s="15">
        <f>IF($H1395="","",$H1395-TODAY())</f>
        <v/>
      </c>
      <c r="J1395" s="16" t="inlineStr">
        <is>
          <t>Open posting</t>
        </is>
      </c>
      <c r="K1395" s="8" t="inlineStr">
        <is>
          <t>filtered by keyword pre-scan</t>
        </is>
      </c>
      <c r="L1395" s="17" t="inlineStr">
        <is>
          <t>new</t>
        </is>
      </c>
      <c r="M1395" s="18" t="inlineStr"/>
      <c r="N1395" s="7" t="inlineStr">
        <is>
          <t>55a758ee3a57d57bd6f70de842da0fca0472b487</t>
        </is>
      </c>
      <c r="O1395" s="14" t="n">
        <v>46176</v>
      </c>
      <c r="P1395" s="7" t="inlineStr">
        <is>
          <t>greenhouse:cloudflare</t>
        </is>
      </c>
      <c r="Q1395" s="8" t="inlineStr"/>
      <c r="R1395" s="8" t="n"/>
      <c r="S1395" s="19" t="n"/>
      <c r="T1395" s="19" t="n"/>
      <c r="U1395" s="14" t="n">
        <v>46191</v>
      </c>
      <c r="V1395" s="7" t="inlineStr">
        <is>
          <t>v2-cv-accuracy-13b988b18da8ea7d</t>
        </is>
      </c>
    </row>
    <row r="1396" ht="28" customHeight="1">
      <c r="A1396" s="12">
        <f>IF($L1396="applied","Applied",IF($L1396="interview","Interview",IF($L1396="offer","Offer",IF($L1396="rejected","Rejected",IF($L1396="ignore","Ignore",IF($L1396="archive","Archive",IF($L1396="closed","Closed",IF($B1396="","Unscored",IF(AND($B1396&gt;=8,OR($H1396="",$H1396-TODAY()&lt;=14)),"P1 Apply",IF($B1396&gt;=7,"P2 Strong",IF($B1396&gt;=5,"P3 Maybe","P4 Low")))))))))))</f>
        <v/>
      </c>
      <c r="B1396" s="13" t="n">
        <v>0</v>
      </c>
      <c r="C1396" s="12" t="inlineStr">
        <is>
          <t>Senior/Lead</t>
        </is>
      </c>
      <c r="D1396" s="8" t="inlineStr">
        <is>
          <t>Director of Developer Events</t>
        </is>
      </c>
      <c r="E1396" s="7" t="inlineStr">
        <is>
          <t>Cloudflare</t>
        </is>
      </c>
      <c r="F1396" s="8" t="inlineStr">
        <is>
          <t>In-Office</t>
        </is>
      </c>
      <c r="G1396" s="8" t="n"/>
      <c r="H1396" s="14" t="n"/>
      <c r="I1396" s="15">
        <f>IF($H1396="","",$H1396-TODAY())</f>
        <v/>
      </c>
      <c r="J1396" s="16" t="inlineStr">
        <is>
          <t>Open posting</t>
        </is>
      </c>
      <c r="K1396" s="8" t="inlineStr">
        <is>
          <t>filtered by keyword pre-scan</t>
        </is>
      </c>
      <c r="L1396" s="17" t="inlineStr">
        <is>
          <t>new</t>
        </is>
      </c>
      <c r="M1396" s="18" t="inlineStr"/>
      <c r="N1396" s="7" t="inlineStr">
        <is>
          <t>b63a6cd7b01242c00d0cf5272b9028033973383a</t>
        </is>
      </c>
      <c r="O1396" s="14" t="n">
        <v>46183</v>
      </c>
      <c r="P1396" s="7" t="inlineStr">
        <is>
          <t>greenhouse:cloudflare</t>
        </is>
      </c>
      <c r="Q1396" s="8" t="inlineStr"/>
      <c r="R1396" s="8" t="n"/>
      <c r="S1396" s="19" t="n"/>
      <c r="T1396" s="19" t="n"/>
      <c r="U1396" s="14" t="n">
        <v>46191</v>
      </c>
      <c r="V1396" s="7" t="inlineStr">
        <is>
          <t>v2-cv-accuracy-13b988b18da8ea7d</t>
        </is>
      </c>
    </row>
    <row r="1397" ht="28" customHeight="1">
      <c r="A1397" s="12">
        <f>IF($L1397="applied","Applied",IF($L1397="interview","Interview",IF($L1397="offer","Offer",IF($L1397="rejected","Rejected",IF($L1397="ignore","Ignore",IF($L1397="archive","Archive",IF($L1397="closed","Closed",IF($B1397="","Unscored",IF(AND($B1397&gt;=8,OR($H1397="",$H1397-TODAY()&lt;=14)),"P1 Apply",IF($B1397&gt;=7,"P2 Strong",IF($B1397&gt;=5,"P3 Maybe","P4 Low")))))))))))</f>
        <v/>
      </c>
      <c r="B1397" s="13" t="n">
        <v>0</v>
      </c>
      <c r="C1397" s="12" t="inlineStr">
        <is>
          <t>Manager/Owner</t>
        </is>
      </c>
      <c r="D1397" s="8" t="inlineStr">
        <is>
          <t>Engineering Manager, Linux Team</t>
        </is>
      </c>
      <c r="E1397" s="7" t="inlineStr">
        <is>
          <t>Cloudflare</t>
        </is>
      </c>
      <c r="F1397" s="8" t="inlineStr">
        <is>
          <t>Hybrid</t>
        </is>
      </c>
      <c r="G1397" s="8" t="n"/>
      <c r="H1397" s="14" t="n"/>
      <c r="I1397" s="15">
        <f>IF($H1397="","",$H1397-TODAY())</f>
        <v/>
      </c>
      <c r="J1397" s="16" t="inlineStr">
        <is>
          <t>Open posting</t>
        </is>
      </c>
      <c r="K1397" s="8" t="inlineStr">
        <is>
          <t>filtered by keyword pre-scan</t>
        </is>
      </c>
      <c r="L1397" s="17" t="inlineStr">
        <is>
          <t>new</t>
        </is>
      </c>
      <c r="M1397" s="18" t="inlineStr"/>
      <c r="N1397" s="7" t="inlineStr">
        <is>
          <t>84128f86fe6c2711b2c1ff69ceb7d707e50f6ba5</t>
        </is>
      </c>
      <c r="O1397" s="14" t="n">
        <v>46178</v>
      </c>
      <c r="P1397" s="7" t="inlineStr">
        <is>
          <t>greenhouse:cloudflare</t>
        </is>
      </c>
      <c r="Q1397" s="8" t="inlineStr"/>
      <c r="R1397" s="8" t="n"/>
      <c r="S1397" s="19" t="n"/>
      <c r="T1397" s="19" t="n"/>
      <c r="U1397" s="14" t="n">
        <v>46191</v>
      </c>
      <c r="V1397" s="7" t="inlineStr">
        <is>
          <t>v2-cv-accuracy-13b988b18da8ea7d</t>
        </is>
      </c>
    </row>
    <row r="1398" ht="28" customHeight="1">
      <c r="A1398" s="12">
        <f>IF($L1398="applied","Applied",IF($L1398="interview","Interview",IF($L1398="offer","Offer",IF($L1398="rejected","Rejected",IF($L1398="ignore","Ignore",IF($L1398="archive","Archive",IF($L1398="closed","Closed",IF($B1398="","Unscored",IF(AND($B1398&gt;=8,OR($H1398="",$H1398-TODAY()&lt;=14)),"P1 Apply",IF($B1398&gt;=7,"P2 Strong",IF($B1398&gt;=5,"P3 Maybe","P4 Low")))))))))))</f>
        <v/>
      </c>
      <c r="B1398" s="13" t="n">
        <v>0</v>
      </c>
      <c r="C1398" s="12" t="inlineStr">
        <is>
          <t>Internship</t>
        </is>
      </c>
      <c r="D1398" s="8" t="inlineStr">
        <is>
          <t>Global Trade Compliance Intern (Summer 2026)</t>
        </is>
      </c>
      <c r="E1398" s="7" t="inlineStr">
        <is>
          <t>Cloudflare</t>
        </is>
      </c>
      <c r="F1398" s="8" t="inlineStr">
        <is>
          <t>In-Office</t>
        </is>
      </c>
      <c r="G1398" s="8" t="n"/>
      <c r="H1398" s="14" t="n"/>
      <c r="I1398" s="15">
        <f>IF($H1398="","",$H1398-TODAY())</f>
        <v/>
      </c>
      <c r="J1398" s="16" t="inlineStr">
        <is>
          <t>Open posting</t>
        </is>
      </c>
      <c r="K1398" s="8" t="inlineStr">
        <is>
          <t>filtered by keyword pre-scan</t>
        </is>
      </c>
      <c r="L1398" s="17" t="inlineStr">
        <is>
          <t>new</t>
        </is>
      </c>
      <c r="M1398" s="18" t="inlineStr"/>
      <c r="N1398" s="7" t="inlineStr">
        <is>
          <t>e5501b1ed0c567fa324de1b1e9e0b17efecb8c85</t>
        </is>
      </c>
      <c r="O1398" s="14" t="n">
        <v>46171</v>
      </c>
      <c r="P1398" s="7" t="inlineStr">
        <is>
          <t>greenhouse:cloudflare</t>
        </is>
      </c>
      <c r="Q1398" s="8" t="inlineStr">
        <is>
          <t>data analysis</t>
        </is>
      </c>
      <c r="R1398" s="8" t="n"/>
      <c r="S1398" s="19" t="n"/>
      <c r="T1398" s="19" t="n"/>
      <c r="U1398" s="14" t="n">
        <v>46191</v>
      </c>
      <c r="V1398" s="7" t="inlineStr">
        <is>
          <t>v2-cv-accuracy-13b988b18da8ea7d</t>
        </is>
      </c>
    </row>
    <row r="1399" ht="28" customHeight="1">
      <c r="A1399" s="12">
        <f>IF($L1399="applied","Applied",IF($L1399="interview","Interview",IF($L1399="offer","Offer",IF($L1399="rejected","Rejected",IF($L1399="ignore","Ignore",IF($L1399="archive","Archive",IF($L1399="closed","Closed",IF($B1399="","Unscored",IF(AND($B1399&gt;=8,OR($H1399="",$H1399-TODAY()&lt;=14)),"P1 Apply",IF($B1399&gt;=7,"P2 Strong",IF($B1399&gt;=5,"P3 Maybe","P4 Low")))))))))))</f>
        <v/>
      </c>
      <c r="B1399" s="13" t="n">
        <v>0</v>
      </c>
      <c r="C1399" s="12" t="inlineStr">
        <is>
          <t>Senior/Lead</t>
        </is>
      </c>
      <c r="D1399" s="8" t="inlineStr">
        <is>
          <t>Head of GTM, AI Inference</t>
        </is>
      </c>
      <c r="E1399" s="7" t="inlineStr">
        <is>
          <t>Cloudflare</t>
        </is>
      </c>
      <c r="F1399" s="8" t="inlineStr">
        <is>
          <t>Hybrid</t>
        </is>
      </c>
      <c r="G1399" s="8" t="n"/>
      <c r="H1399" s="14" t="n"/>
      <c r="I1399" s="15">
        <f>IF($H1399="","",$H1399-TODAY())</f>
        <v/>
      </c>
      <c r="J1399" s="16" t="inlineStr">
        <is>
          <t>Open posting</t>
        </is>
      </c>
      <c r="K1399" s="8" t="inlineStr">
        <is>
          <t>filtered by keyword pre-scan</t>
        </is>
      </c>
      <c r="L1399" s="17" t="inlineStr">
        <is>
          <t>new</t>
        </is>
      </c>
      <c r="M1399" s="18" t="inlineStr"/>
      <c r="N1399" s="7" t="inlineStr">
        <is>
          <t>59656ef642f889fab60eea4506eb7ae5adc08140</t>
        </is>
      </c>
      <c r="O1399" s="14" t="n">
        <v>46171</v>
      </c>
      <c r="P1399" s="7" t="inlineStr">
        <is>
          <t>greenhouse:cloudflare</t>
        </is>
      </c>
      <c r="Q1399" s="8" t="inlineStr"/>
      <c r="R1399" s="8" t="n"/>
      <c r="S1399" s="19" t="n"/>
      <c r="T1399" s="19" t="n"/>
      <c r="U1399" s="14" t="n">
        <v>46191</v>
      </c>
      <c r="V1399" s="7" t="inlineStr">
        <is>
          <t>v2-cv-accuracy-13b988b18da8ea7d</t>
        </is>
      </c>
    </row>
    <row r="1400" ht="28" customHeight="1">
      <c r="A1400" s="12">
        <f>IF($L1400="applied","Applied",IF($L1400="interview","Interview",IF($L1400="offer","Offer",IF($L1400="rejected","Rejected",IF($L1400="ignore","Ignore",IF($L1400="archive","Archive",IF($L1400="closed","Closed",IF($B1400="","Unscored",IF(AND($B1400&gt;=8,OR($H1400="",$H1400-TODAY()&lt;=14)),"P1 Apply",IF($B1400&gt;=7,"P2 Strong",IF($B1400&gt;=5,"P3 Maybe","P4 Low")))))))))))</f>
        <v/>
      </c>
      <c r="B1400" s="13" t="n">
        <v>0</v>
      </c>
      <c r="C1400" s="12" t="inlineStr">
        <is>
          <t>Manager/Owner</t>
        </is>
      </c>
      <c r="D1400" s="8" t="inlineStr">
        <is>
          <t>Manager, BDR - SAARC</t>
        </is>
      </c>
      <c r="E1400" s="7" t="inlineStr">
        <is>
          <t>Cloudflare</t>
        </is>
      </c>
      <c r="F1400" s="8" t="inlineStr">
        <is>
          <t>Distributed</t>
        </is>
      </c>
      <c r="G1400" s="8" t="n"/>
      <c r="H1400" s="14" t="n"/>
      <c r="I1400" s="15">
        <f>IF($H1400="","",$H1400-TODAY())</f>
        <v/>
      </c>
      <c r="J1400" s="16" t="inlineStr">
        <is>
          <t>Open posting</t>
        </is>
      </c>
      <c r="K1400" s="8" t="inlineStr">
        <is>
          <t>filtered by keyword pre-scan</t>
        </is>
      </c>
      <c r="L1400" s="17" t="inlineStr">
        <is>
          <t>new</t>
        </is>
      </c>
      <c r="M1400" s="18" t="inlineStr"/>
      <c r="N1400" s="7" t="inlineStr">
        <is>
          <t>ad1f766b225d7d198f7d578532ccf7273901b4d6</t>
        </is>
      </c>
      <c r="O1400" s="14" t="n">
        <v>46175</v>
      </c>
      <c r="P1400" s="7" t="inlineStr">
        <is>
          <t>greenhouse:cloudflare</t>
        </is>
      </c>
      <c r="Q1400" s="8" t="inlineStr"/>
      <c r="R1400" s="8" t="n"/>
      <c r="S1400" s="19" t="n"/>
      <c r="T1400" s="19" t="n"/>
      <c r="U1400" s="14" t="n">
        <v>46191</v>
      </c>
      <c r="V1400" s="7" t="inlineStr">
        <is>
          <t>v2-cv-accuracy-13b988b18da8ea7d</t>
        </is>
      </c>
    </row>
    <row r="1401" ht="28" customHeight="1">
      <c r="A1401" s="12">
        <f>IF($L1401="applied","Applied",IF($L1401="interview","Interview",IF($L1401="offer","Offer",IF($L1401="rejected","Rejected",IF($L1401="ignore","Ignore",IF($L1401="archive","Archive",IF($L1401="closed","Closed",IF($B1401="","Unscored",IF(AND($B1401&gt;=8,OR($H1401="",$H1401-TODAY()&lt;=14)),"P1 Apply",IF($B1401&gt;=7,"P2 Strong",IF($B1401&gt;=5,"P3 Maybe","P4 Low")))))))))))</f>
        <v/>
      </c>
      <c r="B1401" s="13" t="n">
        <v>0</v>
      </c>
      <c r="C1401" s="12" t="inlineStr">
        <is>
          <t>Internship</t>
        </is>
      </c>
      <c r="D1401" s="8" t="inlineStr">
        <is>
          <t>Network Engineering Intern (Summer 2026)</t>
        </is>
      </c>
      <c r="E1401" s="7" t="inlineStr">
        <is>
          <t>Cloudflare</t>
        </is>
      </c>
      <c r="F1401" s="8" t="inlineStr">
        <is>
          <t>In-Office</t>
        </is>
      </c>
      <c r="G1401" s="8" t="n"/>
      <c r="H1401" s="14" t="n"/>
      <c r="I1401" s="15">
        <f>IF($H1401="","",$H1401-TODAY())</f>
        <v/>
      </c>
      <c r="J1401" s="16" t="inlineStr">
        <is>
          <t>Open posting</t>
        </is>
      </c>
      <c r="K1401" s="8" t="inlineStr">
        <is>
          <t>filtered by keyword pre-scan</t>
        </is>
      </c>
      <c r="L1401" s="17" t="inlineStr">
        <is>
          <t>new</t>
        </is>
      </c>
      <c r="M1401" s="18" t="inlineStr"/>
      <c r="N1401" s="7" t="inlineStr">
        <is>
          <t>a03720ceb278a1f014df502a786cbe38ff7c5533</t>
        </is>
      </c>
      <c r="O1401" s="14" t="n">
        <v>46171</v>
      </c>
      <c r="P1401" s="7" t="inlineStr">
        <is>
          <t>greenhouse:cloudflare</t>
        </is>
      </c>
      <c r="Q1401" s="8" t="inlineStr"/>
      <c r="R1401" s="8" t="n"/>
      <c r="S1401" s="19" t="n"/>
      <c r="T1401" s="19" t="n"/>
      <c r="U1401" s="14" t="n">
        <v>46191</v>
      </c>
      <c r="V1401" s="7" t="inlineStr">
        <is>
          <t>v2-cv-accuracy-13b988b18da8ea7d</t>
        </is>
      </c>
    </row>
    <row r="1402" ht="28" customHeight="1">
      <c r="A1402" s="12">
        <f>IF($L1402="applied","Applied",IF($L1402="interview","Interview",IF($L1402="offer","Offer",IF($L1402="rejected","Rejected",IF($L1402="ignore","Ignore",IF($L1402="archive","Archive",IF($L1402="closed","Closed",IF($B1402="","Unscored",IF(AND($B1402&gt;=8,OR($H1402="",$H1402-TODAY()&lt;=14)),"P1 Apply",IF($B1402&gt;=7,"P2 Strong",IF($B1402&gt;=5,"P3 Maybe","P4 Low")))))))))))</f>
        <v/>
      </c>
      <c r="B1402" s="13" t="n">
        <v>0</v>
      </c>
      <c r="C1402" s="12" t="inlineStr">
        <is>
          <t>Internship</t>
        </is>
      </c>
      <c r="D1402" s="8" t="inlineStr">
        <is>
          <t>People Team Intern - HR Operations &amp; AI Innovation (Fall 2026)</t>
        </is>
      </c>
      <c r="E1402" s="7" t="inlineStr">
        <is>
          <t>Cloudflare</t>
        </is>
      </c>
      <c r="F1402" s="8" t="inlineStr">
        <is>
          <t>In-Office</t>
        </is>
      </c>
      <c r="G1402" s="8" t="n"/>
      <c r="H1402" s="14" t="n"/>
      <c r="I1402" s="15">
        <f>IF($H1402="","",$H1402-TODAY())</f>
        <v/>
      </c>
      <c r="J1402" s="16" t="inlineStr">
        <is>
          <t>Open posting</t>
        </is>
      </c>
      <c r="K1402" s="8" t="inlineStr">
        <is>
          <t>filtered by keyword pre-scan</t>
        </is>
      </c>
      <c r="L1402" s="17" t="inlineStr">
        <is>
          <t>new</t>
        </is>
      </c>
      <c r="M1402" s="18" t="inlineStr"/>
      <c r="N1402" s="7" t="inlineStr">
        <is>
          <t>1c0ef52b0e4a890ea4f04c1f59fc4cee6c19ce6a</t>
        </is>
      </c>
      <c r="O1402" s="14" t="n">
        <v>46171</v>
      </c>
      <c r="P1402" s="7" t="inlineStr">
        <is>
          <t>greenhouse:cloudflare</t>
        </is>
      </c>
      <c r="Q1402" s="8" t="inlineStr"/>
      <c r="R1402" s="8" t="n"/>
      <c r="S1402" s="19" t="n"/>
      <c r="T1402" s="19" t="n"/>
      <c r="U1402" s="14" t="n">
        <v>46191</v>
      </c>
      <c r="V1402" s="7" t="inlineStr">
        <is>
          <t>v2-cv-accuracy-13b988b18da8ea7d</t>
        </is>
      </c>
    </row>
    <row r="1403" ht="28" customHeight="1">
      <c r="A1403" s="12">
        <f>IF($L1403="applied","Applied",IF($L1403="interview","Interview",IF($L1403="offer","Offer",IF($L1403="rejected","Rejected",IF($L1403="ignore","Ignore",IF($L1403="archive","Archive",IF($L1403="closed","Closed",IF($B1403="","Unscored",IF(AND($B1403&gt;=8,OR($H1403="",$H1403-TODAY()&lt;=14)),"P1 Apply",IF($B1403&gt;=7,"P2 Strong",IF($B1403&gt;=5,"P3 Maybe","P4 Low")))))))))))</f>
        <v/>
      </c>
      <c r="B1403" s="13" t="n">
        <v>0</v>
      </c>
      <c r="C1403" s="12" t="inlineStr">
        <is>
          <t>Senior/Lead</t>
        </is>
      </c>
      <c r="D1403" s="8" t="inlineStr">
        <is>
          <t>Principal Software Engineer</t>
        </is>
      </c>
      <c r="E1403" s="7" t="inlineStr">
        <is>
          <t>Cloudflare</t>
        </is>
      </c>
      <c r="F1403" s="8" t="inlineStr">
        <is>
          <t>Hybrid</t>
        </is>
      </c>
      <c r="G1403" s="8" t="n"/>
      <c r="H1403" s="14" t="n"/>
      <c r="I1403" s="15">
        <f>IF($H1403="","",$H1403-TODAY())</f>
        <v/>
      </c>
      <c r="J1403" s="16" t="inlineStr">
        <is>
          <t>Open posting</t>
        </is>
      </c>
      <c r="K1403" s="8" t="inlineStr">
        <is>
          <t>filtered by keyword pre-scan</t>
        </is>
      </c>
      <c r="L1403" s="17" t="inlineStr">
        <is>
          <t>new</t>
        </is>
      </c>
      <c r="M1403" s="18" t="inlineStr"/>
      <c r="N1403" s="7" t="inlineStr">
        <is>
          <t>37e60a1f5cb1dfdc5eb03e2aa8bf91e396d2fe02</t>
        </is>
      </c>
      <c r="O1403" s="14" t="n">
        <v>46182</v>
      </c>
      <c r="P1403" s="7" t="inlineStr">
        <is>
          <t>greenhouse:cloudflare</t>
        </is>
      </c>
      <c r="Q1403" s="8" t="inlineStr"/>
      <c r="R1403" s="8" t="n"/>
      <c r="S1403" s="19" t="n"/>
      <c r="T1403" s="19" t="n"/>
      <c r="U1403" s="14" t="n">
        <v>46191</v>
      </c>
      <c r="V1403" s="7" t="inlineStr">
        <is>
          <t>v2-cv-accuracy-13b988b18da8ea7d</t>
        </is>
      </c>
    </row>
    <row r="1404" ht="28" customHeight="1">
      <c r="A1404" s="12">
        <f>IF($L1404="applied","Applied",IF($L1404="interview","Interview",IF($L1404="offer","Offer",IF($L1404="rejected","Rejected",IF($L1404="ignore","Ignore",IF($L1404="archive","Archive",IF($L1404="closed","Closed",IF($B1404="","Unscored",IF(AND($B1404&gt;=8,OR($H1404="",$H1404-TODAY()&lt;=14)),"P1 Apply",IF($B1404&gt;=7,"P2 Strong",IF($B1404&gt;=5,"P3 Maybe","P4 Low")))))))))))</f>
        <v/>
      </c>
      <c r="B1404" s="13" t="n">
        <v>0</v>
      </c>
      <c r="C1404" s="12" t="inlineStr">
        <is>
          <t>Senior/Lead</t>
        </is>
      </c>
      <c r="D1404" s="8" t="inlineStr">
        <is>
          <t>Senior Atlassian System Admin</t>
        </is>
      </c>
      <c r="E1404" s="7" t="inlineStr">
        <is>
          <t>Cloudflare</t>
        </is>
      </c>
      <c r="F1404" s="8" t="inlineStr">
        <is>
          <t>Hybrid</t>
        </is>
      </c>
      <c r="G1404" s="8" t="n"/>
      <c r="H1404" s="14" t="n"/>
      <c r="I1404" s="15">
        <f>IF($H1404="","",$H1404-TODAY())</f>
        <v/>
      </c>
      <c r="J1404" s="16" t="inlineStr">
        <is>
          <t>Open posting</t>
        </is>
      </c>
      <c r="K1404" s="8" t="inlineStr">
        <is>
          <t>filtered by keyword pre-scan</t>
        </is>
      </c>
      <c r="L1404" s="17" t="inlineStr">
        <is>
          <t>new</t>
        </is>
      </c>
      <c r="M1404" s="18" t="inlineStr"/>
      <c r="N1404" s="7" t="inlineStr">
        <is>
          <t>7b374e24784e3fbd16ada034c82afb96c554139c</t>
        </is>
      </c>
      <c r="O1404" s="14" t="n">
        <v>46183</v>
      </c>
      <c r="P1404" s="7" t="inlineStr">
        <is>
          <t>greenhouse:cloudflare</t>
        </is>
      </c>
      <c r="Q1404" s="8" t="inlineStr"/>
      <c r="R1404" s="8" t="n"/>
      <c r="S1404" s="19" t="n"/>
      <c r="T1404" s="19" t="n"/>
      <c r="U1404" s="14" t="n">
        <v>46191</v>
      </c>
      <c r="V1404" s="7" t="inlineStr">
        <is>
          <t>v2-cv-accuracy-13b988b18da8ea7d</t>
        </is>
      </c>
    </row>
    <row r="1405" ht="28" customHeight="1">
      <c r="A1405" s="12">
        <f>IF($L1405="applied","Applied",IF($L1405="interview","Interview",IF($L1405="offer","Offer",IF($L1405="rejected","Rejected",IF($L1405="ignore","Ignore",IF($L1405="archive","Archive",IF($L1405="closed","Closed",IF($B1405="","Unscored",IF(AND($B1405&gt;=8,OR($H1405="",$H1405-TODAY()&lt;=14)),"P1 Apply",IF($B1405&gt;=7,"P2 Strong",IF($B1405&gt;=5,"P3 Maybe","P4 Low")))))))))))</f>
        <v/>
      </c>
      <c r="B1405" s="13" t="n">
        <v>0</v>
      </c>
      <c r="C1405" s="12" t="inlineStr">
        <is>
          <t>Senior/Lead</t>
        </is>
      </c>
      <c r="D1405" s="8" t="inlineStr">
        <is>
          <t>Senior Customer Engineer, Web3</t>
        </is>
      </c>
      <c r="E1405" s="7" t="inlineStr">
        <is>
          <t>Cloudflare</t>
        </is>
      </c>
      <c r="F1405" s="8" t="inlineStr">
        <is>
          <t>Hybrid</t>
        </is>
      </c>
      <c r="G1405" s="8" t="n"/>
      <c r="H1405" s="14" t="n"/>
      <c r="I1405" s="15">
        <f>IF($H1405="","",$H1405-TODAY())</f>
        <v/>
      </c>
      <c r="J1405" s="16" t="inlineStr">
        <is>
          <t>Open posting</t>
        </is>
      </c>
      <c r="K1405" s="8" t="inlineStr">
        <is>
          <t>filtered by keyword pre-scan</t>
        </is>
      </c>
      <c r="L1405" s="17" t="inlineStr">
        <is>
          <t>new</t>
        </is>
      </c>
      <c r="M1405" s="18" t="inlineStr"/>
      <c r="N1405" s="7" t="inlineStr">
        <is>
          <t>5a6b431bdd55e72f7ecab187445ca29f1dc4ac60</t>
        </is>
      </c>
      <c r="O1405" s="14" t="n">
        <v>46174</v>
      </c>
      <c r="P1405" s="7" t="inlineStr">
        <is>
          <t>greenhouse:cloudflare</t>
        </is>
      </c>
      <c r="Q1405" s="8" t="inlineStr"/>
      <c r="R1405" s="8" t="n"/>
      <c r="S1405" s="19" t="n"/>
      <c r="T1405" s="19" t="n"/>
      <c r="U1405" s="14" t="n">
        <v>46191</v>
      </c>
      <c r="V1405" s="7" t="inlineStr">
        <is>
          <t>v2-cv-accuracy-13b988b18da8ea7d</t>
        </is>
      </c>
    </row>
    <row r="1406" ht="28" customHeight="1">
      <c r="A1406" s="12">
        <f>IF($L1406="applied","Applied",IF($L1406="interview","Interview",IF($L1406="offer","Offer",IF($L1406="rejected","Rejected",IF($L1406="ignore","Ignore",IF($L1406="archive","Archive",IF($L1406="closed","Closed",IF($B1406="","Unscored",IF(AND($B1406&gt;=8,OR($H1406="",$H1406-TODAY()&lt;=14)),"P1 Apply",IF($B1406&gt;=7,"P2 Strong",IF($B1406&gt;=5,"P3 Maybe","P4 Low")))))))))))</f>
        <v/>
      </c>
      <c r="B1406" s="13" t="n">
        <v>0</v>
      </c>
      <c r="C1406" s="12" t="inlineStr">
        <is>
          <t>Senior/Lead</t>
        </is>
      </c>
      <c r="D1406" s="8" t="inlineStr">
        <is>
          <t>Senior Design Engineer</t>
        </is>
      </c>
      <c r="E1406" s="7" t="inlineStr">
        <is>
          <t>Cloudflare</t>
        </is>
      </c>
      <c r="F1406" s="8" t="inlineStr">
        <is>
          <t>Hybrid</t>
        </is>
      </c>
      <c r="G1406" s="8" t="n"/>
      <c r="H1406" s="14" t="n"/>
      <c r="I1406" s="15">
        <f>IF($H1406="","",$H1406-TODAY())</f>
        <v/>
      </c>
      <c r="J1406" s="16" t="inlineStr">
        <is>
          <t>Open posting</t>
        </is>
      </c>
      <c r="K1406" s="8" t="inlineStr">
        <is>
          <t>filtered by keyword pre-scan</t>
        </is>
      </c>
      <c r="L1406" s="17" t="inlineStr">
        <is>
          <t>new</t>
        </is>
      </c>
      <c r="M1406" s="18" t="inlineStr"/>
      <c r="N1406" s="7" t="inlineStr">
        <is>
          <t>00ef14fac1544411106db484864f23ab6a80da41</t>
        </is>
      </c>
      <c r="O1406" s="14" t="n">
        <v>46177</v>
      </c>
      <c r="P1406" s="7" t="inlineStr">
        <is>
          <t>greenhouse:cloudflare</t>
        </is>
      </c>
      <c r="Q1406" s="8" t="inlineStr"/>
      <c r="R1406" s="8" t="n"/>
      <c r="S1406" s="19" t="n"/>
      <c r="T1406" s="19" t="n"/>
      <c r="U1406" s="14" t="n">
        <v>46191</v>
      </c>
      <c r="V1406" s="7" t="inlineStr">
        <is>
          <t>v2-cv-accuracy-13b988b18da8ea7d</t>
        </is>
      </c>
    </row>
    <row r="1407" ht="28" customHeight="1">
      <c r="A1407" s="12">
        <f>IF($L1407="applied","Applied",IF($L1407="interview","Interview",IF($L1407="offer","Offer",IF($L1407="rejected","Rejected",IF($L1407="ignore","Ignore",IF($L1407="archive","Archive",IF($L1407="closed","Closed",IF($B1407="","Unscored",IF(AND($B1407&gt;=8,OR($H1407="",$H1407-TODAY()&lt;=14)),"P1 Apply",IF($B1407&gt;=7,"P2 Strong",IF($B1407&gt;=5,"P3 Maybe","P4 Low")))))))))))</f>
        <v/>
      </c>
      <c r="B1407" s="13" t="n">
        <v>0</v>
      </c>
      <c r="C1407" s="12" t="inlineStr">
        <is>
          <t>Senior/Lead</t>
        </is>
      </c>
      <c r="D1407" s="8" t="inlineStr">
        <is>
          <t>Senior Employee Relations Partner</t>
        </is>
      </c>
      <c r="E1407" s="7" t="inlineStr">
        <is>
          <t>Cloudflare</t>
        </is>
      </c>
      <c r="F1407" s="8" t="inlineStr">
        <is>
          <t>Hybrid</t>
        </is>
      </c>
      <c r="G1407" s="8" t="n"/>
      <c r="H1407" s="14" t="n"/>
      <c r="I1407" s="15">
        <f>IF($H1407="","",$H1407-TODAY())</f>
        <v/>
      </c>
      <c r="J1407" s="16" t="inlineStr">
        <is>
          <t>Open posting</t>
        </is>
      </c>
      <c r="K1407" s="8" t="inlineStr">
        <is>
          <t>filtered by keyword pre-scan</t>
        </is>
      </c>
      <c r="L1407" s="17" t="inlineStr">
        <is>
          <t>new</t>
        </is>
      </c>
      <c r="M1407" s="18" t="inlineStr"/>
      <c r="N1407" s="7" t="inlineStr">
        <is>
          <t>a1fa209bcb4e4d4dbc6a0a6300755fb93ae75070</t>
        </is>
      </c>
      <c r="O1407" s="14" t="n">
        <v>46190</v>
      </c>
      <c r="P1407" s="7" t="inlineStr">
        <is>
          <t>greenhouse:cloudflare</t>
        </is>
      </c>
      <c r="Q1407" s="8" t="inlineStr"/>
      <c r="R1407" s="8" t="n"/>
      <c r="S1407" s="19" t="n"/>
      <c r="T1407" s="19" t="n"/>
      <c r="U1407" s="14" t="n">
        <v>46191</v>
      </c>
      <c r="V1407" s="7" t="inlineStr">
        <is>
          <t>v2-cv-accuracy-13b988b18da8ea7d</t>
        </is>
      </c>
    </row>
    <row r="1408" ht="28" customHeight="1">
      <c r="A1408" s="12">
        <f>IF($L1408="applied","Applied",IF($L1408="interview","Interview",IF($L1408="offer","Offer",IF($L1408="rejected","Rejected",IF($L1408="ignore","Ignore",IF($L1408="archive","Archive",IF($L1408="closed","Closed",IF($B1408="","Unscored",IF(AND($B1408&gt;=8,OR($H1408="",$H1408-TODAY()&lt;=14)),"P1 Apply",IF($B1408&gt;=7,"P2 Strong",IF($B1408&gt;=5,"P3 Maybe","P4 Low")))))))))))</f>
        <v/>
      </c>
      <c r="B1408" s="13" t="n">
        <v>0</v>
      </c>
      <c r="C1408" s="12" t="inlineStr">
        <is>
          <t>Senior/Lead</t>
        </is>
      </c>
      <c r="D1408" s="8" t="inlineStr">
        <is>
          <t>Senior Engineering Manager, AI Gateway</t>
        </is>
      </c>
      <c r="E1408" s="7" t="inlineStr">
        <is>
          <t>Cloudflare</t>
        </is>
      </c>
      <c r="F1408" s="8" t="inlineStr">
        <is>
          <t>Hybrid</t>
        </is>
      </c>
      <c r="G1408" s="8" t="n"/>
      <c r="H1408" s="14" t="n"/>
      <c r="I1408" s="15">
        <f>IF($H1408="","",$H1408-TODAY())</f>
        <v/>
      </c>
      <c r="J1408" s="16" t="inlineStr">
        <is>
          <t>Open posting</t>
        </is>
      </c>
      <c r="K1408" s="8" t="inlineStr">
        <is>
          <t>filtered by keyword pre-scan</t>
        </is>
      </c>
      <c r="L1408" s="17" t="inlineStr">
        <is>
          <t>new</t>
        </is>
      </c>
      <c r="M1408" s="18" t="inlineStr"/>
      <c r="N1408" s="7" t="inlineStr">
        <is>
          <t>38bb390c1d2fb0bc36fdd768ecba3796a43b5083</t>
        </is>
      </c>
      <c r="O1408" s="14" t="n">
        <v>46188</v>
      </c>
      <c r="P1408" s="7" t="inlineStr">
        <is>
          <t>greenhouse:cloudflare</t>
        </is>
      </c>
      <c r="Q1408" s="8" t="inlineStr"/>
      <c r="R1408" s="8" t="n"/>
      <c r="S1408" s="19" t="n"/>
      <c r="T1408" s="19" t="n"/>
      <c r="U1408" s="14" t="n">
        <v>46191</v>
      </c>
      <c r="V1408" s="7" t="inlineStr">
        <is>
          <t>v2-cv-accuracy-13b988b18da8ea7d</t>
        </is>
      </c>
    </row>
    <row r="1409" ht="28" customHeight="1">
      <c r="A1409" s="12">
        <f>IF($L1409="applied","Applied",IF($L1409="interview","Interview",IF($L1409="offer","Offer",IF($L1409="rejected","Rejected",IF($L1409="ignore","Ignore",IF($L1409="archive","Archive",IF($L1409="closed","Closed",IF($B1409="","Unscored",IF(AND($B1409&gt;=8,OR($H1409="",$H1409-TODAY()&lt;=14)),"P1 Apply",IF($B1409&gt;=7,"P2 Strong",IF($B1409&gt;=5,"P3 Maybe","P4 Low")))))))))))</f>
        <v/>
      </c>
      <c r="B1409" s="13" t="n">
        <v>0</v>
      </c>
      <c r="C1409" s="12" t="inlineStr">
        <is>
          <t>Senior/Lead</t>
        </is>
      </c>
      <c r="D1409" s="8" t="inlineStr">
        <is>
          <t>Senior Forward Deployed Engineer</t>
        </is>
      </c>
      <c r="E1409" s="7" t="inlineStr">
        <is>
          <t>Cloudflare</t>
        </is>
      </c>
      <c r="F1409" s="8" t="inlineStr">
        <is>
          <t>Hybrid</t>
        </is>
      </c>
      <c r="G1409" s="8" t="n"/>
      <c r="H1409" s="14" t="n"/>
      <c r="I1409" s="15">
        <f>IF($H1409="","",$H1409-TODAY())</f>
        <v/>
      </c>
      <c r="J1409" s="16" t="inlineStr">
        <is>
          <t>Open posting</t>
        </is>
      </c>
      <c r="K1409" s="8" t="inlineStr">
        <is>
          <t>filtered by keyword pre-scan</t>
        </is>
      </c>
      <c r="L1409" s="17" t="inlineStr">
        <is>
          <t>new</t>
        </is>
      </c>
      <c r="M1409" s="18" t="inlineStr"/>
      <c r="N1409" s="7" t="inlineStr">
        <is>
          <t>031fa3d26fa057a27ab69125b2f201cfbb90cc92</t>
        </is>
      </c>
      <c r="O1409" s="14" t="n">
        <v>46171</v>
      </c>
      <c r="P1409" s="7" t="inlineStr">
        <is>
          <t>greenhouse:cloudflare</t>
        </is>
      </c>
      <c r="Q1409" s="8" t="inlineStr"/>
      <c r="R1409" s="8" t="n"/>
      <c r="S1409" s="19" t="n"/>
      <c r="T1409" s="19" t="n"/>
      <c r="U1409" s="14" t="n">
        <v>46191</v>
      </c>
      <c r="V1409" s="7" t="inlineStr">
        <is>
          <t>v2-cv-accuracy-13b988b18da8ea7d</t>
        </is>
      </c>
    </row>
    <row r="1410" ht="28" customHeight="1">
      <c r="A1410" s="12">
        <f>IF($L1410="applied","Applied",IF($L1410="interview","Interview",IF($L1410="offer","Offer",IF($L1410="rejected","Rejected",IF($L1410="ignore","Ignore",IF($L1410="archive","Archive",IF($L1410="closed","Closed",IF($B1410="","Unscored",IF(AND($B1410&gt;=8,OR($H1410="",$H1410-TODAY()&lt;=14)),"P1 Apply",IF($B1410&gt;=7,"P2 Strong",IF($B1410&gt;=5,"P3 Maybe","P4 Low")))))))))))</f>
        <v/>
      </c>
      <c r="B1410" s="13" t="n">
        <v>0</v>
      </c>
      <c r="C1410" s="12" t="inlineStr">
        <is>
          <t>Senior/Lead</t>
        </is>
      </c>
      <c r="D1410" s="8" t="inlineStr">
        <is>
          <t>Senior Forward Deployed Engineer</t>
        </is>
      </c>
      <c r="E1410" s="7" t="inlineStr">
        <is>
          <t>Cloudflare</t>
        </is>
      </c>
      <c r="F1410" s="8" t="inlineStr">
        <is>
          <t>Hybrid</t>
        </is>
      </c>
      <c r="G1410" s="8" t="n"/>
      <c r="H1410" s="14" t="n"/>
      <c r="I1410" s="15">
        <f>IF($H1410="","",$H1410-TODAY())</f>
        <v/>
      </c>
      <c r="J1410" s="16" t="inlineStr">
        <is>
          <t>Open posting</t>
        </is>
      </c>
      <c r="K1410" s="8" t="inlineStr">
        <is>
          <t>filtered by keyword pre-scan</t>
        </is>
      </c>
      <c r="L1410" s="17" t="inlineStr">
        <is>
          <t>new</t>
        </is>
      </c>
      <c r="M1410" s="18" t="inlineStr"/>
      <c r="N1410" s="7" t="inlineStr">
        <is>
          <t>6588e4d4d84f91c27e415d73fa076f09036ffb15</t>
        </is>
      </c>
      <c r="O1410" s="14" t="n">
        <v>46171</v>
      </c>
      <c r="P1410" s="7" t="inlineStr">
        <is>
          <t>greenhouse:cloudflare</t>
        </is>
      </c>
      <c r="Q1410" s="8" t="inlineStr"/>
      <c r="R1410" s="8" t="n"/>
      <c r="S1410" s="19" t="n"/>
      <c r="T1410" s="19" t="n"/>
      <c r="U1410" s="14" t="n">
        <v>46191</v>
      </c>
      <c r="V1410" s="7" t="inlineStr">
        <is>
          <t>v2-cv-accuracy-13b988b18da8ea7d</t>
        </is>
      </c>
    </row>
    <row r="1411" ht="28" customHeight="1">
      <c r="A1411" s="12">
        <f>IF($L1411="applied","Applied",IF($L1411="interview","Interview",IF($L1411="offer","Offer",IF($L1411="rejected","Rejected",IF($L1411="ignore","Ignore",IF($L1411="archive","Archive",IF($L1411="closed","Closed",IF($B1411="","Unscored",IF(AND($B1411&gt;=8,OR($H1411="",$H1411-TODAY()&lt;=14)),"P1 Apply",IF($B1411&gt;=7,"P2 Strong",IF($B1411&gt;=5,"P3 Maybe","P4 Low")))))))))))</f>
        <v/>
      </c>
      <c r="B1411" s="13" t="n">
        <v>0</v>
      </c>
      <c r="C1411" s="12" t="inlineStr">
        <is>
          <t>Senior/Lead</t>
        </is>
      </c>
      <c r="D1411" s="8" t="inlineStr">
        <is>
          <t>Senior Forward Deployed Engineer</t>
        </is>
      </c>
      <c r="E1411" s="7" t="inlineStr">
        <is>
          <t>Cloudflare</t>
        </is>
      </c>
      <c r="F1411" s="8" t="inlineStr">
        <is>
          <t>Hybrid</t>
        </is>
      </c>
      <c r="G1411" s="8" t="n"/>
      <c r="H1411" s="14" t="n"/>
      <c r="I1411" s="15">
        <f>IF($H1411="","",$H1411-TODAY())</f>
        <v/>
      </c>
      <c r="J1411" s="16" t="inlineStr">
        <is>
          <t>Open posting</t>
        </is>
      </c>
      <c r="K1411" s="8" t="inlineStr">
        <is>
          <t>filtered by keyword pre-scan</t>
        </is>
      </c>
      <c r="L1411" s="17" t="inlineStr">
        <is>
          <t>new</t>
        </is>
      </c>
      <c r="M1411" s="18" t="inlineStr"/>
      <c r="N1411" s="7" t="inlineStr">
        <is>
          <t>41de0b69edd8845f90eba2bbe548d1af72b832b9</t>
        </is>
      </c>
      <c r="O1411" s="14" t="n">
        <v>46171</v>
      </c>
      <c r="P1411" s="7" t="inlineStr">
        <is>
          <t>greenhouse:cloudflare</t>
        </is>
      </c>
      <c r="Q1411" s="8" t="inlineStr"/>
      <c r="R1411" s="8" t="n"/>
      <c r="S1411" s="19" t="n"/>
      <c r="T1411" s="19" t="n"/>
      <c r="U1411" s="14" t="n">
        <v>46191</v>
      </c>
      <c r="V1411" s="7" t="inlineStr">
        <is>
          <t>v2-cv-accuracy-13b988b18da8ea7d</t>
        </is>
      </c>
    </row>
    <row r="1412" ht="28" customHeight="1">
      <c r="A1412" s="12">
        <f>IF($L1412="applied","Applied",IF($L1412="interview","Interview",IF($L1412="offer","Offer",IF($L1412="rejected","Rejected",IF($L1412="ignore","Ignore",IF($L1412="archive","Archive",IF($L1412="closed","Closed",IF($B1412="","Unscored",IF(AND($B1412&gt;=8,OR($H1412="",$H1412-TODAY()&lt;=14)),"P1 Apply",IF($B1412&gt;=7,"P2 Strong",IF($B1412&gt;=5,"P3 Maybe","P4 Low")))))))))))</f>
        <v/>
      </c>
      <c r="B1412" s="13" t="n">
        <v>0</v>
      </c>
      <c r="C1412" s="12" t="inlineStr">
        <is>
          <t>Senior/Lead</t>
        </is>
      </c>
      <c r="D1412" s="8" t="inlineStr">
        <is>
          <t>Senior Manager, Solutions Architecture, AI &amp; Developer Platform</t>
        </is>
      </c>
      <c r="E1412" s="7" t="inlineStr">
        <is>
          <t>Cloudflare</t>
        </is>
      </c>
      <c r="F1412" s="8" t="inlineStr">
        <is>
          <t>Hybrid</t>
        </is>
      </c>
      <c r="G1412" s="8" t="n"/>
      <c r="H1412" s="14" t="n"/>
      <c r="I1412" s="15">
        <f>IF($H1412="","",$H1412-TODAY())</f>
        <v/>
      </c>
      <c r="J1412" s="16" t="inlineStr">
        <is>
          <t>Open posting</t>
        </is>
      </c>
      <c r="K1412" s="8" t="inlineStr">
        <is>
          <t>filtered by keyword pre-scan</t>
        </is>
      </c>
      <c r="L1412" s="17" t="inlineStr">
        <is>
          <t>new</t>
        </is>
      </c>
      <c r="M1412" s="18" t="inlineStr"/>
      <c r="N1412" s="7" t="inlineStr">
        <is>
          <t>de3a4ea4ebd683c0ab6c09edeeb0150fd33b5462</t>
        </is>
      </c>
      <c r="O1412" s="14" t="n">
        <v>46171</v>
      </c>
      <c r="P1412" s="7" t="inlineStr">
        <is>
          <t>greenhouse:cloudflare</t>
        </is>
      </c>
      <c r="Q1412" s="8" t="inlineStr"/>
      <c r="R1412" s="8" t="n"/>
      <c r="S1412" s="19" t="n"/>
      <c r="T1412" s="19" t="n"/>
      <c r="U1412" s="14" t="n">
        <v>46191</v>
      </c>
      <c r="V1412" s="7" t="inlineStr">
        <is>
          <t>v2-cv-accuracy-13b988b18da8ea7d</t>
        </is>
      </c>
    </row>
    <row r="1413" ht="28" customHeight="1">
      <c r="A1413" s="12">
        <f>IF($L1413="applied","Applied",IF($L1413="interview","Interview",IF($L1413="offer","Offer",IF($L1413="rejected","Rejected",IF($L1413="ignore","Ignore",IF($L1413="archive","Archive",IF($L1413="closed","Closed",IF($B1413="","Unscored",IF(AND($B1413&gt;=8,OR($H1413="",$H1413-TODAY()&lt;=14)),"P1 Apply",IF($B1413&gt;=7,"P2 Strong",IF($B1413&gt;=5,"P3 Maybe","P4 Low")))))))))))</f>
        <v/>
      </c>
      <c r="B1413" s="13" t="n">
        <v>0</v>
      </c>
      <c r="C1413" s="12" t="inlineStr">
        <is>
          <t>Senior/Lead</t>
        </is>
      </c>
      <c r="D1413" s="8" t="inlineStr">
        <is>
          <t>Senior Manager, Solutions Engineering</t>
        </is>
      </c>
      <c r="E1413" s="7" t="inlineStr">
        <is>
          <t>Cloudflare</t>
        </is>
      </c>
      <c r="F1413" s="8" t="inlineStr">
        <is>
          <t>Distributed</t>
        </is>
      </c>
      <c r="G1413" s="8" t="n"/>
      <c r="H1413" s="14" t="n"/>
      <c r="I1413" s="15">
        <f>IF($H1413="","",$H1413-TODAY())</f>
        <v/>
      </c>
      <c r="J1413" s="16" t="inlineStr">
        <is>
          <t>Open posting</t>
        </is>
      </c>
      <c r="K1413" s="8" t="inlineStr">
        <is>
          <t>filtered by keyword pre-scan</t>
        </is>
      </c>
      <c r="L1413" s="17" t="inlineStr">
        <is>
          <t>new</t>
        </is>
      </c>
      <c r="M1413" s="18" t="inlineStr"/>
      <c r="N1413" s="7" t="inlineStr">
        <is>
          <t>9ba27946b6361db8e3f9d736221f59532c03039e</t>
        </is>
      </c>
      <c r="O1413" s="14" t="n">
        <v>46171</v>
      </c>
      <c r="P1413" s="7" t="inlineStr">
        <is>
          <t>greenhouse:cloudflare</t>
        </is>
      </c>
      <c r="Q1413" s="8" t="inlineStr"/>
      <c r="R1413" s="8" t="n"/>
      <c r="S1413" s="19" t="n"/>
      <c r="T1413" s="19" t="n"/>
      <c r="U1413" s="14" t="n">
        <v>46191</v>
      </c>
      <c r="V1413" s="7" t="inlineStr">
        <is>
          <t>v2-cv-accuracy-13b988b18da8ea7d</t>
        </is>
      </c>
    </row>
    <row r="1414" ht="28" customHeight="1">
      <c r="A1414" s="12">
        <f>IF($L1414="applied","Applied",IF($L1414="interview","Interview",IF($L1414="offer","Offer",IF($L1414="rejected","Rejected",IF($L1414="ignore","Ignore",IF($L1414="archive","Archive",IF($L1414="closed","Closed",IF($B1414="","Unscored",IF(AND($B1414&gt;=8,OR($H1414="",$H1414-TODAY()&lt;=14)),"P1 Apply",IF($B1414&gt;=7,"P2 Strong",IF($B1414&gt;=5,"P3 Maybe","P4 Low")))))))))))</f>
        <v/>
      </c>
      <c r="B1414" s="13" t="n">
        <v>0</v>
      </c>
      <c r="C1414" s="12" t="inlineStr">
        <is>
          <t>Senior/Lead</t>
        </is>
      </c>
      <c r="D1414" s="8" t="inlineStr">
        <is>
          <t>Senior OIC and OPA Developer</t>
        </is>
      </c>
      <c r="E1414" s="7" t="inlineStr">
        <is>
          <t>Cloudflare</t>
        </is>
      </c>
      <c r="F1414" s="8" t="inlineStr">
        <is>
          <t>In-Office</t>
        </is>
      </c>
      <c r="G1414" s="8" t="n"/>
      <c r="H1414" s="14" t="n"/>
      <c r="I1414" s="15">
        <f>IF($H1414="","",$H1414-TODAY())</f>
        <v/>
      </c>
      <c r="J1414" s="16" t="inlineStr">
        <is>
          <t>Open posting</t>
        </is>
      </c>
      <c r="K1414" s="8" t="inlineStr">
        <is>
          <t>filtered by keyword pre-scan</t>
        </is>
      </c>
      <c r="L1414" s="17" t="inlineStr">
        <is>
          <t>new</t>
        </is>
      </c>
      <c r="M1414" s="18" t="inlineStr"/>
      <c r="N1414" s="7" t="inlineStr">
        <is>
          <t>0395291d3f3b417730e3e81f118203de16536a17</t>
        </is>
      </c>
      <c r="O1414" s="14" t="n">
        <v>46171</v>
      </c>
      <c r="P1414" s="7" t="inlineStr">
        <is>
          <t>greenhouse:cloudflare</t>
        </is>
      </c>
      <c r="Q1414" s="8" t="inlineStr"/>
      <c r="R1414" s="8" t="n"/>
      <c r="S1414" s="19" t="n"/>
      <c r="T1414" s="19" t="n"/>
      <c r="U1414" s="14" t="n">
        <v>46191</v>
      </c>
      <c r="V1414" s="7" t="inlineStr">
        <is>
          <t>v2-cv-accuracy-13b988b18da8ea7d</t>
        </is>
      </c>
    </row>
    <row r="1415" ht="28" customHeight="1">
      <c r="A1415" s="12">
        <f>IF($L1415="applied","Applied",IF($L1415="interview","Interview",IF($L1415="offer","Offer",IF($L1415="rejected","Rejected",IF($L1415="ignore","Ignore",IF($L1415="archive","Archive",IF($L1415="closed","Closed",IF($B1415="","Unscored",IF(AND($B1415&gt;=8,OR($H1415="",$H1415-TODAY()&lt;=14)),"P1 Apply",IF($B1415&gt;=7,"P2 Strong",IF($B1415&gt;=5,"P3 Maybe","P4 Low")))))))))))</f>
        <v/>
      </c>
      <c r="B1415" s="13" t="n">
        <v>0</v>
      </c>
      <c r="C1415" s="12" t="inlineStr">
        <is>
          <t>Senior/Lead</t>
        </is>
      </c>
      <c r="D1415" s="8" t="inlineStr">
        <is>
          <t>Senior Oracle Fusion Developer</t>
        </is>
      </c>
      <c r="E1415" s="7" t="inlineStr">
        <is>
          <t>Cloudflare</t>
        </is>
      </c>
      <c r="F1415" s="8" t="inlineStr">
        <is>
          <t>In-Office</t>
        </is>
      </c>
      <c r="G1415" s="8" t="n"/>
      <c r="H1415" s="14" t="n"/>
      <c r="I1415" s="15">
        <f>IF($H1415="","",$H1415-TODAY())</f>
        <v/>
      </c>
      <c r="J1415" s="16" t="inlineStr">
        <is>
          <t>Open posting</t>
        </is>
      </c>
      <c r="K1415" s="8" t="inlineStr">
        <is>
          <t>filtered by keyword pre-scan</t>
        </is>
      </c>
      <c r="L1415" s="17" t="inlineStr">
        <is>
          <t>new</t>
        </is>
      </c>
      <c r="M1415" s="18" t="inlineStr"/>
      <c r="N1415" s="7" t="inlineStr">
        <is>
          <t>79c862fa9086d18e850c8541d1cb3e93e5f40532</t>
        </is>
      </c>
      <c r="O1415" s="14" t="n">
        <v>46176</v>
      </c>
      <c r="P1415" s="7" t="inlineStr">
        <is>
          <t>greenhouse:cloudflare</t>
        </is>
      </c>
      <c r="Q1415" s="8" t="inlineStr"/>
      <c r="R1415" s="8" t="n"/>
      <c r="S1415" s="19" t="n"/>
      <c r="T1415" s="19" t="n"/>
      <c r="U1415" s="14" t="n">
        <v>46191</v>
      </c>
      <c r="V1415" s="7" t="inlineStr">
        <is>
          <t>v2-cv-accuracy-13b988b18da8ea7d</t>
        </is>
      </c>
    </row>
    <row r="1416" ht="28" customHeight="1">
      <c r="A1416" s="12">
        <f>IF($L1416="applied","Applied",IF($L1416="interview","Interview",IF($L1416="offer","Offer",IF($L1416="rejected","Rejected",IF($L1416="ignore","Ignore",IF($L1416="archive","Archive",IF($L1416="closed","Closed",IF($B1416="","Unscored",IF(AND($B1416&gt;=8,OR($H1416="",$H1416-TODAY()&lt;=14)),"P1 Apply",IF($B1416&gt;=7,"P2 Strong",IF($B1416&gt;=5,"P3 Maybe","P4 Low")))))))))))</f>
        <v/>
      </c>
      <c r="B1416" s="13" t="n">
        <v>0</v>
      </c>
      <c r="C1416" s="12" t="inlineStr">
        <is>
          <t>Senior/Lead</t>
        </is>
      </c>
      <c r="D1416" s="8" t="inlineStr">
        <is>
          <t>Senior Recruiter (Go To Market)</t>
        </is>
      </c>
      <c r="E1416" s="7" t="inlineStr">
        <is>
          <t>Cloudflare</t>
        </is>
      </c>
      <c r="F1416" s="8" t="inlineStr">
        <is>
          <t>Hybrid</t>
        </is>
      </c>
      <c r="G1416" s="8" t="n"/>
      <c r="H1416" s="14" t="n"/>
      <c r="I1416" s="15">
        <f>IF($H1416="","",$H1416-TODAY())</f>
        <v/>
      </c>
      <c r="J1416" s="16" t="inlineStr">
        <is>
          <t>Open posting</t>
        </is>
      </c>
      <c r="K1416" s="8" t="inlineStr">
        <is>
          <t>filtered by keyword pre-scan</t>
        </is>
      </c>
      <c r="L1416" s="17" t="inlineStr">
        <is>
          <t>new</t>
        </is>
      </c>
      <c r="M1416" s="18" t="inlineStr"/>
      <c r="N1416" s="7" t="inlineStr">
        <is>
          <t>8679afed0830efaadb1941e2a21d677281b306bd</t>
        </is>
      </c>
      <c r="O1416" s="14" t="n">
        <v>46181</v>
      </c>
      <c r="P1416" s="7" t="inlineStr">
        <is>
          <t>greenhouse:cloudflare</t>
        </is>
      </c>
      <c r="Q1416" s="8" t="inlineStr"/>
      <c r="R1416" s="8" t="n"/>
      <c r="S1416" s="19" t="n"/>
      <c r="T1416" s="19" t="n"/>
      <c r="U1416" s="14" t="n">
        <v>46191</v>
      </c>
      <c r="V1416" s="7" t="inlineStr">
        <is>
          <t>v2-cv-accuracy-13b988b18da8ea7d</t>
        </is>
      </c>
    </row>
    <row r="1417" ht="28" customHeight="1">
      <c r="A1417" s="12">
        <f>IF($L1417="applied","Applied",IF($L1417="interview","Interview",IF($L1417="offer","Offer",IF($L1417="rejected","Rejected",IF($L1417="ignore","Ignore",IF($L1417="archive","Archive",IF($L1417="closed","Closed",IF($B1417="","Unscored",IF(AND($B1417&gt;=8,OR($H1417="",$H1417-TODAY()&lt;=14)),"P1 Apply",IF($B1417&gt;=7,"P2 Strong",IF($B1417&gt;=5,"P3 Maybe","P4 Low")))))))))))</f>
        <v/>
      </c>
      <c r="B1417" s="13" t="n">
        <v>0</v>
      </c>
      <c r="C1417" s="12" t="inlineStr">
        <is>
          <t>Senior/Lead</t>
        </is>
      </c>
      <c r="D1417" s="8" t="inlineStr">
        <is>
          <t>Senior SASE Specialist, Enterprise (Central or East)</t>
        </is>
      </c>
      <c r="E1417" s="7" t="inlineStr">
        <is>
          <t>Cloudflare</t>
        </is>
      </c>
      <c r="F1417" s="8" t="inlineStr">
        <is>
          <t>Hybrid</t>
        </is>
      </c>
      <c r="G1417" s="8" t="n"/>
      <c r="H1417" s="14" t="n"/>
      <c r="I1417" s="15">
        <f>IF($H1417="","",$H1417-TODAY())</f>
        <v/>
      </c>
      <c r="J1417" s="16" t="inlineStr">
        <is>
          <t>Open posting</t>
        </is>
      </c>
      <c r="K1417" s="8" t="inlineStr">
        <is>
          <t>filtered by keyword pre-scan</t>
        </is>
      </c>
      <c r="L1417" s="17" t="inlineStr">
        <is>
          <t>new</t>
        </is>
      </c>
      <c r="M1417" s="18" t="inlineStr"/>
      <c r="N1417" s="7" t="inlineStr">
        <is>
          <t>2cf362d352780cc475fd8c79cb86e516b5be7222</t>
        </is>
      </c>
      <c r="O1417" s="14" t="n">
        <v>46188</v>
      </c>
      <c r="P1417" s="7" t="inlineStr">
        <is>
          <t>greenhouse:cloudflare</t>
        </is>
      </c>
      <c r="Q1417" s="8" t="inlineStr"/>
      <c r="R1417" s="8" t="n"/>
      <c r="S1417" s="19" t="n"/>
      <c r="T1417" s="19" t="n"/>
      <c r="U1417" s="14" t="n">
        <v>46191</v>
      </c>
      <c r="V1417" s="7" t="inlineStr">
        <is>
          <t>v2-cv-accuracy-13b988b18da8ea7d</t>
        </is>
      </c>
    </row>
    <row r="1418" ht="28" customHeight="1">
      <c r="A1418" s="12">
        <f>IF($L1418="applied","Applied",IF($L1418="interview","Interview",IF($L1418="offer","Offer",IF($L1418="rejected","Rejected",IF($L1418="ignore","Ignore",IF($L1418="archive","Archive",IF($L1418="closed","Closed",IF($B1418="","Unscored",IF(AND($B1418&gt;=8,OR($H1418="",$H1418-TODAY()&lt;=14)),"P1 Apply",IF($B1418&gt;=7,"P2 Strong",IF($B1418&gt;=5,"P3 Maybe","P4 Low")))))))))))</f>
        <v/>
      </c>
      <c r="B1418" s="13" t="n">
        <v>0</v>
      </c>
      <c r="C1418" s="12" t="inlineStr">
        <is>
          <t>Senior/Lead</t>
        </is>
      </c>
      <c r="D1418" s="8" t="inlineStr">
        <is>
          <t>Senior SASE Specialist, Enterprise (Central or East)</t>
        </is>
      </c>
      <c r="E1418" s="7" t="inlineStr">
        <is>
          <t>Cloudflare</t>
        </is>
      </c>
      <c r="F1418" s="8" t="inlineStr">
        <is>
          <t>Hybrid</t>
        </is>
      </c>
      <c r="G1418" s="8" t="n"/>
      <c r="H1418" s="14" t="n"/>
      <c r="I1418" s="15">
        <f>IF($H1418="","",$H1418-TODAY())</f>
        <v/>
      </c>
      <c r="J1418" s="16" t="inlineStr">
        <is>
          <t>Open posting</t>
        </is>
      </c>
      <c r="K1418" s="8" t="inlineStr">
        <is>
          <t>filtered by keyword pre-scan</t>
        </is>
      </c>
      <c r="L1418" s="17" t="inlineStr">
        <is>
          <t>new</t>
        </is>
      </c>
      <c r="M1418" s="18" t="inlineStr"/>
      <c r="N1418" s="7" t="inlineStr">
        <is>
          <t>c5551d69b97a2e1247cf7bdde988b10feeea0424</t>
        </is>
      </c>
      <c r="O1418" s="14" t="n">
        <v>46188</v>
      </c>
      <c r="P1418" s="7" t="inlineStr">
        <is>
          <t>greenhouse:cloudflare</t>
        </is>
      </c>
      <c r="Q1418" s="8" t="inlineStr"/>
      <c r="R1418" s="8" t="n"/>
      <c r="S1418" s="19" t="n"/>
      <c r="T1418" s="19" t="n"/>
      <c r="U1418" s="14" t="n">
        <v>46191</v>
      </c>
      <c r="V1418" s="7" t="inlineStr">
        <is>
          <t>v2-cv-accuracy-13b988b18da8ea7d</t>
        </is>
      </c>
    </row>
    <row r="1419" ht="28" customHeight="1">
      <c r="A1419" s="12">
        <f>IF($L1419="applied","Applied",IF($L1419="interview","Interview",IF($L1419="offer","Offer",IF($L1419="rejected","Rejected",IF($L1419="ignore","Ignore",IF($L1419="archive","Archive",IF($L1419="closed","Closed",IF($B1419="","Unscored",IF(AND($B1419&gt;=8,OR($H1419="",$H1419-TODAY()&lt;=14)),"P1 Apply",IF($B1419&gt;=7,"P2 Strong",IF($B1419&gt;=5,"P3 Maybe","P4 Low")))))))))))</f>
        <v/>
      </c>
      <c r="B1419" s="13" t="n">
        <v>0</v>
      </c>
      <c r="C1419" s="12" t="inlineStr">
        <is>
          <t>Senior/Lead</t>
        </is>
      </c>
      <c r="D1419" s="8" t="inlineStr">
        <is>
          <t>Senior SASE Specialist, Enterprise (West)</t>
        </is>
      </c>
      <c r="E1419" s="7" t="inlineStr">
        <is>
          <t>Cloudflare</t>
        </is>
      </c>
      <c r="F1419" s="8" t="inlineStr">
        <is>
          <t>Hybrid</t>
        </is>
      </c>
      <c r="G1419" s="8" t="n"/>
      <c r="H1419" s="14" t="n"/>
      <c r="I1419" s="15">
        <f>IF($H1419="","",$H1419-TODAY())</f>
        <v/>
      </c>
      <c r="J1419" s="16" t="inlineStr">
        <is>
          <t>Open posting</t>
        </is>
      </c>
      <c r="K1419" s="8" t="inlineStr">
        <is>
          <t>filtered by keyword pre-scan</t>
        </is>
      </c>
      <c r="L1419" s="17" t="inlineStr">
        <is>
          <t>new</t>
        </is>
      </c>
      <c r="M1419" s="18" t="inlineStr"/>
      <c r="N1419" s="7" t="inlineStr">
        <is>
          <t>b75679f40bc28c8878bdd798788c3966892889c6</t>
        </is>
      </c>
      <c r="O1419" s="14" t="n">
        <v>46188</v>
      </c>
      <c r="P1419" s="7" t="inlineStr">
        <is>
          <t>greenhouse:cloudflare</t>
        </is>
      </c>
      <c r="Q1419" s="8" t="inlineStr"/>
      <c r="R1419" s="8" t="n"/>
      <c r="S1419" s="19" t="n"/>
      <c r="T1419" s="19" t="n"/>
      <c r="U1419" s="14" t="n">
        <v>46191</v>
      </c>
      <c r="V1419" s="7" t="inlineStr">
        <is>
          <t>v2-cv-accuracy-13b988b18da8ea7d</t>
        </is>
      </c>
    </row>
    <row r="1420" ht="28" customHeight="1">
      <c r="A1420" s="12">
        <f>IF($L1420="applied","Applied",IF($L1420="interview","Interview",IF($L1420="offer","Offer",IF($L1420="rejected","Rejected",IF($L1420="ignore","Ignore",IF($L1420="archive","Archive",IF($L1420="closed","Closed",IF($B1420="","Unscored",IF(AND($B1420&gt;=8,OR($H1420="",$H1420-TODAY()&lt;=14)),"P1 Apply",IF($B1420&gt;=7,"P2 Strong",IF($B1420&gt;=5,"P3 Maybe","P4 Low")))))))))))</f>
        <v/>
      </c>
      <c r="B1420" s="13" t="n">
        <v>0</v>
      </c>
      <c r="C1420" s="12" t="inlineStr">
        <is>
          <t>Senior/Lead</t>
        </is>
      </c>
      <c r="D1420" s="8" t="inlineStr">
        <is>
          <t>Senior SCM Functional Specialist</t>
        </is>
      </c>
      <c r="E1420" s="7" t="inlineStr">
        <is>
          <t>Cloudflare</t>
        </is>
      </c>
      <c r="F1420" s="8" t="inlineStr">
        <is>
          <t>In-Office</t>
        </is>
      </c>
      <c r="G1420" s="8" t="n"/>
      <c r="H1420" s="14" t="n"/>
      <c r="I1420" s="15">
        <f>IF($H1420="","",$H1420-TODAY())</f>
        <v/>
      </c>
      <c r="J1420" s="16" t="inlineStr">
        <is>
          <t>Open posting</t>
        </is>
      </c>
      <c r="K1420" s="8" t="inlineStr">
        <is>
          <t>filtered by keyword pre-scan</t>
        </is>
      </c>
      <c r="L1420" s="17" t="inlineStr">
        <is>
          <t>new</t>
        </is>
      </c>
      <c r="M1420" s="18" t="inlineStr"/>
      <c r="N1420" s="7" t="inlineStr">
        <is>
          <t>c56abf37e738af6196f0a1bc1db9f34356160f8e</t>
        </is>
      </c>
      <c r="O1420" s="14" t="n">
        <v>46171</v>
      </c>
      <c r="P1420" s="7" t="inlineStr">
        <is>
          <t>greenhouse:cloudflare</t>
        </is>
      </c>
      <c r="Q1420" s="8" t="inlineStr"/>
      <c r="R1420" s="8" t="n"/>
      <c r="S1420" s="19" t="n"/>
      <c r="T1420" s="19" t="n"/>
      <c r="U1420" s="14" t="n">
        <v>46191</v>
      </c>
      <c r="V1420" s="7" t="inlineStr">
        <is>
          <t>v2-cv-accuracy-13b988b18da8ea7d</t>
        </is>
      </c>
    </row>
    <row r="1421" ht="28" customHeight="1">
      <c r="A1421" s="12">
        <f>IF($L1421="applied","Applied",IF($L1421="interview","Interview",IF($L1421="offer","Offer",IF($L1421="rejected","Rejected",IF($L1421="ignore","Ignore",IF($L1421="archive","Archive",IF($L1421="closed","Closed",IF($B1421="","Unscored",IF(AND($B1421&gt;=8,OR($H1421="",$H1421-TODAY()&lt;=14)),"P1 Apply",IF($B1421&gt;=7,"P2 Strong",IF($B1421&gt;=5,"P3 Maybe","P4 Low")))))))))))</f>
        <v/>
      </c>
      <c r="B1421" s="13" t="n">
        <v>0</v>
      </c>
      <c r="C1421" s="12" t="inlineStr">
        <is>
          <t>Senior/Lead</t>
        </is>
      </c>
      <c r="D1421" s="8" t="inlineStr">
        <is>
          <t>Senior Software Engineer - Egress</t>
        </is>
      </c>
      <c r="E1421" s="7" t="inlineStr">
        <is>
          <t>Cloudflare</t>
        </is>
      </c>
      <c r="F1421" s="8" t="inlineStr">
        <is>
          <t>Hybrid</t>
        </is>
      </c>
      <c r="G1421" s="8" t="n"/>
      <c r="H1421" s="14" t="n"/>
      <c r="I1421" s="15">
        <f>IF($H1421="","",$H1421-TODAY())</f>
        <v/>
      </c>
      <c r="J1421" s="16" t="inlineStr">
        <is>
          <t>Open posting</t>
        </is>
      </c>
      <c r="K1421" s="8" t="inlineStr">
        <is>
          <t>filtered by keyword pre-scan</t>
        </is>
      </c>
      <c r="L1421" s="17" t="inlineStr">
        <is>
          <t>new</t>
        </is>
      </c>
      <c r="M1421" s="18" t="inlineStr"/>
      <c r="N1421" s="7" t="inlineStr">
        <is>
          <t>7b78fba0371177566884500ad7ca14a7d0554a94</t>
        </is>
      </c>
      <c r="O1421" s="14" t="n">
        <v>46176</v>
      </c>
      <c r="P1421" s="7" t="inlineStr">
        <is>
          <t>greenhouse:cloudflare</t>
        </is>
      </c>
      <c r="Q1421" s="8" t="inlineStr">
        <is>
          <t>sql, software development</t>
        </is>
      </c>
      <c r="R1421" s="8" t="n"/>
      <c r="S1421" s="19" t="n"/>
      <c r="T1421" s="19" t="n"/>
      <c r="U1421" s="14" t="n">
        <v>46191</v>
      </c>
      <c r="V1421" s="7" t="inlineStr">
        <is>
          <t>v2-cv-accuracy-13b988b18da8ea7d</t>
        </is>
      </c>
    </row>
    <row r="1422" ht="28" customHeight="1">
      <c r="A1422" s="12">
        <f>IF($L1422="applied","Applied",IF($L1422="interview","Interview",IF($L1422="offer","Offer",IF($L1422="rejected","Rejected",IF($L1422="ignore","Ignore",IF($L1422="archive","Archive",IF($L1422="closed","Closed",IF($B1422="","Unscored",IF(AND($B1422&gt;=8,OR($H1422="",$H1422-TODAY()&lt;=14)),"P1 Apply",IF($B1422&gt;=7,"P2 Strong",IF($B1422&gt;=5,"P3 Maybe","P4 Low")))))))))))</f>
        <v/>
      </c>
      <c r="B1422" s="13" t="n">
        <v>0</v>
      </c>
      <c r="C1422" s="12" t="inlineStr">
        <is>
          <t>Senior/Lead</t>
        </is>
      </c>
      <c r="D1422" s="8" t="inlineStr">
        <is>
          <t>Senior Software Engineer - Network Connectivity</t>
        </is>
      </c>
      <c r="E1422" s="7" t="inlineStr">
        <is>
          <t>Cloudflare</t>
        </is>
      </c>
      <c r="F1422" s="8" t="inlineStr">
        <is>
          <t>Hybrid</t>
        </is>
      </c>
      <c r="G1422" s="8" t="n"/>
      <c r="H1422" s="14" t="n"/>
      <c r="I1422" s="15">
        <f>IF($H1422="","",$H1422-TODAY())</f>
        <v/>
      </c>
      <c r="J1422" s="16" t="inlineStr">
        <is>
          <t>Open posting</t>
        </is>
      </c>
      <c r="K1422" s="8" t="inlineStr">
        <is>
          <t>filtered by keyword pre-scan</t>
        </is>
      </c>
      <c r="L1422" s="17" t="inlineStr">
        <is>
          <t>new</t>
        </is>
      </c>
      <c r="M1422" s="18" t="inlineStr"/>
      <c r="N1422" s="7" t="inlineStr">
        <is>
          <t>2537a3f058b7d219377fdb642d8b0ce3c3130c4a</t>
        </is>
      </c>
      <c r="O1422" s="14" t="n">
        <v>46176</v>
      </c>
      <c r="P1422" s="7" t="inlineStr">
        <is>
          <t>greenhouse:cloudflare</t>
        </is>
      </c>
      <c r="Q1422" s="8" t="inlineStr">
        <is>
          <t>sql, software development</t>
        </is>
      </c>
      <c r="R1422" s="8" t="n"/>
      <c r="S1422" s="19" t="n"/>
      <c r="T1422" s="19" t="n"/>
      <c r="U1422" s="14" t="n">
        <v>46191</v>
      </c>
      <c r="V1422" s="7" t="inlineStr">
        <is>
          <t>v2-cv-accuracy-13b988b18da8ea7d</t>
        </is>
      </c>
    </row>
    <row r="1423" ht="28" customHeight="1">
      <c r="A1423" s="12">
        <f>IF($L1423="applied","Applied",IF($L1423="interview","Interview",IF($L1423="offer","Offer",IF($L1423="rejected","Rejected",IF($L1423="ignore","Ignore",IF($L1423="archive","Archive",IF($L1423="closed","Closed",IF($B1423="","Unscored",IF(AND($B1423&gt;=8,OR($H1423="",$H1423-TODAY()&lt;=14)),"P1 Apply",IF($B1423&gt;=7,"P2 Strong",IF($B1423&gt;=5,"P3 Maybe","P4 Low")))))))))))</f>
        <v/>
      </c>
      <c r="B1423" s="13" t="n">
        <v>0</v>
      </c>
      <c r="C1423" s="12" t="inlineStr">
        <is>
          <t>Senior/Lead</t>
        </is>
      </c>
      <c r="D1423" s="8" t="inlineStr">
        <is>
          <t>Senior Software Engineer, R2 Metadata</t>
        </is>
      </c>
      <c r="E1423" s="7" t="inlineStr">
        <is>
          <t>Cloudflare</t>
        </is>
      </c>
      <c r="F1423" s="8" t="inlineStr">
        <is>
          <t>Hybrid</t>
        </is>
      </c>
      <c r="G1423" s="8" t="n"/>
      <c r="H1423" s="14" t="n"/>
      <c r="I1423" s="15">
        <f>IF($H1423="","",$H1423-TODAY())</f>
        <v/>
      </c>
      <c r="J1423" s="16" t="inlineStr">
        <is>
          <t>Open posting</t>
        </is>
      </c>
      <c r="K1423" s="8" t="inlineStr">
        <is>
          <t>filtered by keyword pre-scan</t>
        </is>
      </c>
      <c r="L1423" s="17" t="inlineStr">
        <is>
          <t>new</t>
        </is>
      </c>
      <c r="M1423" s="18" t="inlineStr"/>
      <c r="N1423" s="7" t="inlineStr">
        <is>
          <t>670c745d1d4ab17b6b6d17cd37907a261294b55c</t>
        </is>
      </c>
      <c r="O1423" s="14" t="n">
        <v>46183</v>
      </c>
      <c r="P1423" s="7" t="inlineStr">
        <is>
          <t>greenhouse:cloudflare</t>
        </is>
      </c>
      <c r="Q1423" s="8" t="inlineStr">
        <is>
          <t>sql</t>
        </is>
      </c>
      <c r="R1423" s="8" t="n"/>
      <c r="S1423" s="19" t="n"/>
      <c r="T1423" s="19" t="n"/>
      <c r="U1423" s="14" t="n">
        <v>46191</v>
      </c>
      <c r="V1423" s="7" t="inlineStr">
        <is>
          <t>v2-cv-accuracy-13b988b18da8ea7d</t>
        </is>
      </c>
    </row>
    <row r="1424" ht="28" customHeight="1">
      <c r="A1424" s="12">
        <f>IF($L1424="applied","Applied",IF($L1424="interview","Interview",IF($L1424="offer","Offer",IF($L1424="rejected","Rejected",IF($L1424="ignore","Ignore",IF($L1424="archive","Archive",IF($L1424="closed","Closed",IF($B1424="","Unscored",IF(AND($B1424&gt;=8,OR($H1424="",$H1424-TODAY()&lt;=14)),"P1 Apply",IF($B1424&gt;=7,"P2 Strong",IF($B1424&gt;=5,"P3 Maybe","P4 Low")))))))))))</f>
        <v/>
      </c>
      <c r="B1424" s="13" t="n">
        <v>0</v>
      </c>
      <c r="C1424" s="12" t="inlineStr">
        <is>
          <t>Senior/Lead</t>
        </is>
      </c>
      <c r="D1424" s="8" t="inlineStr">
        <is>
          <t>Senior Solution Engineer - Mid Market - San Francisco</t>
        </is>
      </c>
      <c r="E1424" s="7" t="inlineStr">
        <is>
          <t>Cloudflare</t>
        </is>
      </c>
      <c r="F1424" s="8" t="inlineStr">
        <is>
          <t>Hybrid</t>
        </is>
      </c>
      <c r="G1424" s="8" t="n"/>
      <c r="H1424" s="14" t="n"/>
      <c r="I1424" s="15">
        <f>IF($H1424="","",$H1424-TODAY())</f>
        <v/>
      </c>
      <c r="J1424" s="16" t="inlineStr">
        <is>
          <t>Open posting</t>
        </is>
      </c>
      <c r="K1424" s="8" t="inlineStr">
        <is>
          <t>filtered by keyword pre-scan</t>
        </is>
      </c>
      <c r="L1424" s="17" t="inlineStr">
        <is>
          <t>new</t>
        </is>
      </c>
      <c r="M1424" s="18" t="inlineStr"/>
      <c r="N1424" s="7" t="inlineStr">
        <is>
          <t>e06fa7c0c80be33052dcf386a97822e36472d497</t>
        </is>
      </c>
      <c r="O1424" s="14" t="n">
        <v>46171</v>
      </c>
      <c r="P1424" s="7" t="inlineStr">
        <is>
          <t>greenhouse:cloudflare</t>
        </is>
      </c>
      <c r="Q1424" s="8" t="inlineStr">
        <is>
          <t>git</t>
        </is>
      </c>
      <c r="R1424" s="8" t="n"/>
      <c r="S1424" s="19" t="n"/>
      <c r="T1424" s="19" t="n"/>
      <c r="U1424" s="14" t="n">
        <v>46191</v>
      </c>
      <c r="V1424" s="7" t="inlineStr">
        <is>
          <t>v2-cv-accuracy-13b988b18da8ea7d</t>
        </is>
      </c>
    </row>
    <row r="1425" ht="28" customHeight="1">
      <c r="A1425" s="12">
        <f>IF($L1425="applied","Applied",IF($L1425="interview","Interview",IF($L1425="offer","Offer",IF($L1425="rejected","Rejected",IF($L1425="ignore","Ignore",IF($L1425="archive","Archive",IF($L1425="closed","Closed",IF($B1425="","Unscored",IF(AND($B1425&gt;=8,OR($H1425="",$H1425-TODAY()&lt;=14)),"P1 Apply",IF($B1425&gt;=7,"P2 Strong",IF($B1425&gt;=5,"P3 Maybe","P4 Low")))))))))))</f>
        <v/>
      </c>
      <c r="B1425" s="13" t="n">
        <v>0</v>
      </c>
      <c r="C1425" s="12" t="inlineStr">
        <is>
          <t>Senior/Lead</t>
        </is>
      </c>
      <c r="D1425" s="8" t="inlineStr">
        <is>
          <t>Senior Solutions Engineer - Arizona</t>
        </is>
      </c>
      <c r="E1425" s="7" t="inlineStr">
        <is>
          <t>Cloudflare</t>
        </is>
      </c>
      <c r="F1425" s="8" t="inlineStr">
        <is>
          <t>Distributed</t>
        </is>
      </c>
      <c r="G1425" s="8" t="n"/>
      <c r="H1425" s="14" t="n"/>
      <c r="I1425" s="15">
        <f>IF($H1425="","",$H1425-TODAY())</f>
        <v/>
      </c>
      <c r="J1425" s="16" t="inlineStr">
        <is>
          <t>Open posting</t>
        </is>
      </c>
      <c r="K1425" s="8" t="inlineStr">
        <is>
          <t>filtered by keyword pre-scan</t>
        </is>
      </c>
      <c r="L1425" s="17" t="inlineStr">
        <is>
          <t>new</t>
        </is>
      </c>
      <c r="M1425" s="18" t="inlineStr"/>
      <c r="N1425" s="7" t="inlineStr">
        <is>
          <t>d37adbdde337611e82a20f09c4de9ffe5422292d</t>
        </is>
      </c>
      <c r="O1425" s="14" t="n">
        <v>46184</v>
      </c>
      <c r="P1425" s="7" t="inlineStr">
        <is>
          <t>greenhouse:cloudflare</t>
        </is>
      </c>
      <c r="Q1425" s="8" t="inlineStr"/>
      <c r="R1425" s="8" t="n"/>
      <c r="S1425" s="19" t="n"/>
      <c r="T1425" s="19" t="n"/>
      <c r="U1425" s="14" t="n">
        <v>46191</v>
      </c>
      <c r="V1425" s="7" t="inlineStr">
        <is>
          <t>v2-cv-accuracy-13b988b18da8ea7d</t>
        </is>
      </c>
    </row>
    <row r="1426" ht="28" customHeight="1">
      <c r="A1426" s="12">
        <f>IF($L1426="applied","Applied",IF($L1426="interview","Interview",IF($L1426="offer","Offer",IF($L1426="rejected","Rejected",IF($L1426="ignore","Ignore",IF($L1426="archive","Archive",IF($L1426="closed","Closed",IF($B1426="","Unscored",IF(AND($B1426&gt;=8,OR($H1426="",$H1426-TODAY()&lt;=14)),"P1 Apply",IF($B1426&gt;=7,"P2 Strong",IF($B1426&gt;=5,"P3 Maybe","P4 Low")))))))))))</f>
        <v/>
      </c>
      <c r="B1426" s="13" t="n">
        <v>0</v>
      </c>
      <c r="C1426" s="12" t="inlineStr">
        <is>
          <t>Senior/Lead</t>
        </is>
      </c>
      <c r="D1426" s="8" t="inlineStr">
        <is>
          <t>Senior Solutions Engineer - Brazil (US based)</t>
        </is>
      </c>
      <c r="E1426" s="7" t="inlineStr">
        <is>
          <t>Cloudflare</t>
        </is>
      </c>
      <c r="F1426" s="8" t="inlineStr">
        <is>
          <t>Distributed</t>
        </is>
      </c>
      <c r="G1426" s="8" t="n"/>
      <c r="H1426" s="14" t="n"/>
      <c r="I1426" s="15">
        <f>IF($H1426="","",$H1426-TODAY())</f>
        <v/>
      </c>
      <c r="J1426" s="16" t="inlineStr">
        <is>
          <t>Open posting</t>
        </is>
      </c>
      <c r="K1426" s="8" t="inlineStr">
        <is>
          <t>filtered by keyword pre-scan</t>
        </is>
      </c>
      <c r="L1426" s="17" t="inlineStr">
        <is>
          <t>new</t>
        </is>
      </c>
      <c r="M1426" s="18" t="inlineStr"/>
      <c r="N1426" s="7" t="inlineStr">
        <is>
          <t>69df4d28932de4a9114bc69eba1db6c1d9e0a671</t>
        </is>
      </c>
      <c r="O1426" s="14" t="n">
        <v>46181</v>
      </c>
      <c r="P1426" s="7" t="inlineStr">
        <is>
          <t>greenhouse:cloudflare</t>
        </is>
      </c>
      <c r="Q1426" s="8" t="inlineStr">
        <is>
          <t>software development</t>
        </is>
      </c>
      <c r="R1426" s="8" t="n"/>
      <c r="S1426" s="19" t="n"/>
      <c r="T1426" s="19" t="n"/>
      <c r="U1426" s="14" t="n">
        <v>46191</v>
      </c>
      <c r="V1426" s="7" t="inlineStr">
        <is>
          <t>v2-cv-accuracy-13b988b18da8ea7d</t>
        </is>
      </c>
    </row>
    <row r="1427" ht="28" customHeight="1">
      <c r="A1427" s="12">
        <f>IF($L1427="applied","Applied",IF($L1427="interview","Interview",IF($L1427="offer","Offer",IF($L1427="rejected","Rejected",IF($L1427="ignore","Ignore",IF($L1427="archive","Archive",IF($L1427="closed","Closed",IF($B1427="","Unscored",IF(AND($B1427&gt;=8,OR($H1427="",$H1427-TODAY()&lt;=14)),"P1 Apply",IF($B1427&gt;=7,"P2 Strong",IF($B1427&gt;=5,"P3 Maybe","P4 Low")))))))))))</f>
        <v/>
      </c>
      <c r="B1427" s="13" t="n">
        <v>0</v>
      </c>
      <c r="C1427" s="12" t="inlineStr">
        <is>
          <t>Senior/Lead</t>
        </is>
      </c>
      <c r="D1427" s="8" t="inlineStr">
        <is>
          <t>Senior Solutions Engineer - Calgary</t>
        </is>
      </c>
      <c r="E1427" s="7" t="inlineStr">
        <is>
          <t>Cloudflare</t>
        </is>
      </c>
      <c r="F1427" s="8" t="inlineStr">
        <is>
          <t>Distributed</t>
        </is>
      </c>
      <c r="G1427" s="8" t="n"/>
      <c r="H1427" s="14" t="n"/>
      <c r="I1427" s="15">
        <f>IF($H1427="","",$H1427-TODAY())</f>
        <v/>
      </c>
      <c r="J1427" s="16" t="inlineStr">
        <is>
          <t>Open posting</t>
        </is>
      </c>
      <c r="K1427" s="8" t="inlineStr">
        <is>
          <t>filtered by keyword pre-scan</t>
        </is>
      </c>
      <c r="L1427" s="17" t="inlineStr">
        <is>
          <t>new</t>
        </is>
      </c>
      <c r="M1427" s="18" t="inlineStr"/>
      <c r="N1427" s="7" t="inlineStr">
        <is>
          <t>fd51100f26910f0713ccb15765b02fa6c5511cba</t>
        </is>
      </c>
      <c r="O1427" s="14" t="n">
        <v>46171</v>
      </c>
      <c r="P1427" s="7" t="inlineStr">
        <is>
          <t>greenhouse:cloudflare</t>
        </is>
      </c>
      <c r="Q1427" s="8" t="inlineStr"/>
      <c r="R1427" s="8" t="n"/>
      <c r="S1427" s="19" t="n"/>
      <c r="T1427" s="19" t="n"/>
      <c r="U1427" s="14" t="n">
        <v>46191</v>
      </c>
      <c r="V1427" s="7" t="inlineStr">
        <is>
          <t>v2-cv-accuracy-13b988b18da8ea7d</t>
        </is>
      </c>
    </row>
    <row r="1428" ht="28" customHeight="1">
      <c r="A1428" s="12">
        <f>IF($L1428="applied","Applied",IF($L1428="interview","Interview",IF($L1428="offer","Offer",IF($L1428="rejected","Rejected",IF($L1428="ignore","Ignore",IF($L1428="archive","Archive",IF($L1428="closed","Closed",IF($B1428="","Unscored",IF(AND($B1428&gt;=8,OR($H1428="",$H1428-TODAY()&lt;=14)),"P1 Apply",IF($B1428&gt;=7,"P2 Strong",IF($B1428&gt;=5,"P3 Maybe","P4 Low")))))))))))</f>
        <v/>
      </c>
      <c r="B1428" s="13" t="n">
        <v>0</v>
      </c>
      <c r="C1428" s="12" t="inlineStr">
        <is>
          <t>Senior/Lead</t>
        </is>
      </c>
      <c r="D1428" s="8" t="inlineStr">
        <is>
          <t>Senior Solutions Engineer - Digital Native Enterprise - West</t>
        </is>
      </c>
      <c r="E1428" s="7" t="inlineStr">
        <is>
          <t>Cloudflare</t>
        </is>
      </c>
      <c r="F1428" s="8" t="inlineStr">
        <is>
          <t>Hybrid</t>
        </is>
      </c>
      <c r="G1428" s="8" t="n"/>
      <c r="H1428" s="14" t="n"/>
      <c r="I1428" s="15">
        <f>IF($H1428="","",$H1428-TODAY())</f>
        <v/>
      </c>
      <c r="J1428" s="16" t="inlineStr">
        <is>
          <t>Open posting</t>
        </is>
      </c>
      <c r="K1428" s="8" t="inlineStr">
        <is>
          <t>filtered by keyword pre-scan</t>
        </is>
      </c>
      <c r="L1428" s="17" t="inlineStr">
        <is>
          <t>new</t>
        </is>
      </c>
      <c r="M1428" s="18" t="inlineStr"/>
      <c r="N1428" s="7" t="inlineStr">
        <is>
          <t>b7434c29abc1ee9a5f0c41639cef0eef26fc3d2b</t>
        </is>
      </c>
      <c r="O1428" s="14" t="n">
        <v>46171</v>
      </c>
      <c r="P1428" s="7" t="inlineStr">
        <is>
          <t>greenhouse:cloudflare</t>
        </is>
      </c>
      <c r="Q1428" s="8" t="inlineStr">
        <is>
          <t>git</t>
        </is>
      </c>
      <c r="R1428" s="8" t="n"/>
      <c r="S1428" s="19" t="n"/>
      <c r="T1428" s="19" t="n"/>
      <c r="U1428" s="14" t="n">
        <v>46191</v>
      </c>
      <c r="V1428" s="7" t="inlineStr">
        <is>
          <t>v2-cv-accuracy-13b988b18da8ea7d</t>
        </is>
      </c>
    </row>
    <row r="1429" ht="28" customHeight="1">
      <c r="A1429" s="12">
        <f>IF($L1429="applied","Applied",IF($L1429="interview","Interview",IF($L1429="offer","Offer",IF($L1429="rejected","Rejected",IF($L1429="ignore","Ignore",IF($L1429="archive","Archive",IF($L1429="closed","Closed",IF($B1429="","Unscored",IF(AND($B1429&gt;=8,OR($H1429="",$H1429-TODAY()&lt;=14)),"P1 Apply",IF($B1429&gt;=7,"P2 Strong",IF($B1429&gt;=5,"P3 Maybe","P4 Low")))))))))))</f>
        <v/>
      </c>
      <c r="B1429" s="13" t="n">
        <v>0</v>
      </c>
      <c r="C1429" s="12" t="inlineStr">
        <is>
          <t>Senior/Lead</t>
        </is>
      </c>
      <c r="D1429" s="8" t="inlineStr">
        <is>
          <t>Senior Solutions Engineer, Enterprise Accounts - Charlotte or Raleigh, NC</t>
        </is>
      </c>
      <c r="E1429" s="7" t="inlineStr">
        <is>
          <t>Cloudflare</t>
        </is>
      </c>
      <c r="F1429" s="8" t="inlineStr">
        <is>
          <t>Hybrid</t>
        </is>
      </c>
      <c r="G1429" s="8" t="n"/>
      <c r="H1429" s="14" t="n"/>
      <c r="I1429" s="15">
        <f>IF($H1429="","",$H1429-TODAY())</f>
        <v/>
      </c>
      <c r="J1429" s="16" t="inlineStr">
        <is>
          <t>Open posting</t>
        </is>
      </c>
      <c r="K1429" s="8" t="inlineStr">
        <is>
          <t>filtered by keyword pre-scan</t>
        </is>
      </c>
      <c r="L1429" s="17" t="inlineStr">
        <is>
          <t>new</t>
        </is>
      </c>
      <c r="M1429" s="18" t="inlineStr"/>
      <c r="N1429" s="7" t="inlineStr">
        <is>
          <t>ec1932bf3d35557534fcf8cbaeb03185e29be273</t>
        </is>
      </c>
      <c r="O1429" s="14" t="n">
        <v>46171</v>
      </c>
      <c r="P1429" s="7" t="inlineStr">
        <is>
          <t>greenhouse:cloudflare</t>
        </is>
      </c>
      <c r="Q1429" s="8" t="inlineStr"/>
      <c r="R1429" s="8" t="n"/>
      <c r="S1429" s="19" t="n"/>
      <c r="T1429" s="19" t="n"/>
      <c r="U1429" s="14" t="n">
        <v>46191</v>
      </c>
      <c r="V1429" s="7" t="inlineStr">
        <is>
          <t>v2-cv-accuracy-13b988b18da8ea7d</t>
        </is>
      </c>
    </row>
    <row r="1430" ht="28" customHeight="1">
      <c r="A1430" s="12">
        <f>IF($L1430="applied","Applied",IF($L1430="interview","Interview",IF($L1430="offer","Offer",IF($L1430="rejected","Rejected",IF($L1430="ignore","Ignore",IF($L1430="archive","Archive",IF($L1430="closed","Closed",IF($B1430="","Unscored",IF(AND($B1430&gt;=8,OR($H1430="",$H1430-TODAY()&lt;=14)),"P1 Apply",IF($B1430&gt;=7,"P2 Strong",IF($B1430&gt;=5,"P3 Maybe","P4 Low")))))))))))</f>
        <v/>
      </c>
      <c r="B1430" s="13" t="n">
        <v>0</v>
      </c>
      <c r="C1430" s="12" t="inlineStr">
        <is>
          <t>Senior/Lead</t>
        </is>
      </c>
      <c r="D1430" s="8" t="inlineStr">
        <is>
          <t>Senior Solutions Engineer, Enterprise Accounts - Miami</t>
        </is>
      </c>
      <c r="E1430" s="7" t="inlineStr">
        <is>
          <t>Cloudflare</t>
        </is>
      </c>
      <c r="F1430" s="8" t="inlineStr">
        <is>
          <t>Hybrid</t>
        </is>
      </c>
      <c r="G1430" s="8" t="n"/>
      <c r="H1430" s="14" t="n"/>
      <c r="I1430" s="15">
        <f>IF($H1430="","",$H1430-TODAY())</f>
        <v/>
      </c>
      <c r="J1430" s="16" t="inlineStr">
        <is>
          <t>Open posting</t>
        </is>
      </c>
      <c r="K1430" s="8" t="inlineStr">
        <is>
          <t>filtered by keyword pre-scan</t>
        </is>
      </c>
      <c r="L1430" s="17" t="inlineStr">
        <is>
          <t>new</t>
        </is>
      </c>
      <c r="M1430" s="18" t="inlineStr"/>
      <c r="N1430" s="7" t="inlineStr">
        <is>
          <t>f8222e72ebc29fca298d07ceb0de7277956156f9</t>
        </is>
      </c>
      <c r="O1430" s="14" t="n">
        <v>46171</v>
      </c>
      <c r="P1430" s="7" t="inlineStr">
        <is>
          <t>greenhouse:cloudflare</t>
        </is>
      </c>
      <c r="Q1430" s="8" t="inlineStr"/>
      <c r="R1430" s="8" t="n"/>
      <c r="S1430" s="19" t="n"/>
      <c r="T1430" s="19" t="n"/>
      <c r="U1430" s="14" t="n">
        <v>46191</v>
      </c>
      <c r="V1430" s="7" t="inlineStr">
        <is>
          <t>v2-cv-accuracy-13b988b18da8ea7d</t>
        </is>
      </c>
    </row>
    <row r="1431" ht="28" customHeight="1">
      <c r="A1431" s="12">
        <f>IF($L1431="applied","Applied",IF($L1431="interview","Interview",IF($L1431="offer","Offer",IF($L1431="rejected","Rejected",IF($L1431="ignore","Ignore",IF($L1431="archive","Archive",IF($L1431="closed","Closed",IF($B1431="","Unscored",IF(AND($B1431&gt;=8,OR($H1431="",$H1431-TODAY()&lt;=14)),"P1 Apply",IF($B1431&gt;=7,"P2 Strong",IF($B1431&gt;=5,"P3 Maybe","P4 Low")))))))))))</f>
        <v/>
      </c>
      <c r="B1431" s="13" t="n">
        <v>0</v>
      </c>
      <c r="C1431" s="12" t="inlineStr">
        <is>
          <t>Senior/Lead</t>
        </is>
      </c>
      <c r="D1431" s="8" t="inlineStr">
        <is>
          <t>Senior Solutions Engineer, Enterprise Accounts - NYC</t>
        </is>
      </c>
      <c r="E1431" s="7" t="inlineStr">
        <is>
          <t>Cloudflare</t>
        </is>
      </c>
      <c r="F1431" s="8" t="inlineStr">
        <is>
          <t>Distributed</t>
        </is>
      </c>
      <c r="G1431" s="8" t="n"/>
      <c r="H1431" s="14" t="n"/>
      <c r="I1431" s="15">
        <f>IF($H1431="","",$H1431-TODAY())</f>
        <v/>
      </c>
      <c r="J1431" s="16" t="inlineStr">
        <is>
          <t>Open posting</t>
        </is>
      </c>
      <c r="K1431" s="8" t="inlineStr">
        <is>
          <t>filtered by keyword pre-scan</t>
        </is>
      </c>
      <c r="L1431" s="17" t="inlineStr">
        <is>
          <t>new</t>
        </is>
      </c>
      <c r="M1431" s="18" t="inlineStr"/>
      <c r="N1431" s="7" t="inlineStr">
        <is>
          <t>ebbd3826826ee1d1f1ec6abea918bda371742137</t>
        </is>
      </c>
      <c r="O1431" s="14" t="n">
        <v>46183</v>
      </c>
      <c r="P1431" s="7" t="inlineStr">
        <is>
          <t>greenhouse:cloudflare</t>
        </is>
      </c>
      <c r="Q1431" s="8" t="inlineStr"/>
      <c r="R1431" s="8" t="n"/>
      <c r="S1431" s="19" t="n"/>
      <c r="T1431" s="19" t="n"/>
      <c r="U1431" s="14" t="n">
        <v>46191</v>
      </c>
      <c r="V1431" s="7" t="inlineStr">
        <is>
          <t>v2-cv-accuracy-13b988b18da8ea7d</t>
        </is>
      </c>
    </row>
    <row r="1432" ht="28" customHeight="1">
      <c r="A1432" s="12">
        <f>IF($L1432="applied","Applied",IF($L1432="interview","Interview",IF($L1432="offer","Offer",IF($L1432="rejected","Rejected",IF($L1432="ignore","Ignore",IF($L1432="archive","Archive",IF($L1432="closed","Closed",IF($B1432="","Unscored",IF(AND($B1432&gt;=8,OR($H1432="",$H1432-TODAY()&lt;=14)),"P1 Apply",IF($B1432&gt;=7,"P2 Strong",IF($B1432&gt;=5,"P3 Maybe","P4 Low")))))))))))</f>
        <v/>
      </c>
      <c r="B1432" s="13" t="n">
        <v>0</v>
      </c>
      <c r="C1432" s="12" t="inlineStr">
        <is>
          <t>Senior/Lead</t>
        </is>
      </c>
      <c r="D1432" s="8" t="inlineStr">
        <is>
          <t>Senior Solutions Engineer LATAM-MCR  (Mexico City)</t>
        </is>
      </c>
      <c r="E1432" s="7" t="inlineStr">
        <is>
          <t>Cloudflare</t>
        </is>
      </c>
      <c r="F1432" s="8" t="inlineStr">
        <is>
          <t>Hybrid</t>
        </is>
      </c>
      <c r="G1432" s="8" t="n"/>
      <c r="H1432" s="14" t="n"/>
      <c r="I1432" s="15">
        <f>IF($H1432="","",$H1432-TODAY())</f>
        <v/>
      </c>
      <c r="J1432" s="16" t="inlineStr">
        <is>
          <t>Open posting</t>
        </is>
      </c>
      <c r="K1432" s="8" t="inlineStr">
        <is>
          <t>filtered by keyword pre-scan</t>
        </is>
      </c>
      <c r="L1432" s="17" t="inlineStr">
        <is>
          <t>new</t>
        </is>
      </c>
      <c r="M1432" s="18" t="inlineStr"/>
      <c r="N1432" s="7" t="inlineStr">
        <is>
          <t>682e28ba290860c8851c1a62a820c6080fbc065e</t>
        </is>
      </c>
      <c r="O1432" s="14" t="n">
        <v>46175</v>
      </c>
      <c r="P1432" s="7" t="inlineStr">
        <is>
          <t>greenhouse:cloudflare</t>
        </is>
      </c>
      <c r="Q1432" s="8" t="inlineStr">
        <is>
          <t>software development</t>
        </is>
      </c>
      <c r="R1432" s="8" t="n"/>
      <c r="S1432" s="19" t="n"/>
      <c r="T1432" s="19" t="n"/>
      <c r="U1432" s="14" t="n">
        <v>46191</v>
      </c>
      <c r="V1432" s="7" t="inlineStr">
        <is>
          <t>v2-cv-accuracy-13b988b18da8ea7d</t>
        </is>
      </c>
    </row>
    <row r="1433" ht="28" customHeight="1">
      <c r="A1433" s="12">
        <f>IF($L1433="applied","Applied",IF($L1433="interview","Interview",IF($L1433="offer","Offer",IF($L1433="rejected","Rejected",IF($L1433="ignore","Ignore",IF($L1433="archive","Archive",IF($L1433="closed","Closed",IF($B1433="","Unscored",IF(AND($B1433&gt;=8,OR($H1433="",$H1433-TODAY()&lt;=14)),"P1 Apply",IF($B1433&gt;=7,"P2 Strong",IF($B1433&gt;=5,"P3 Maybe","P4 Low")))))))))))</f>
        <v/>
      </c>
      <c r="B1433" s="13" t="n">
        <v>0</v>
      </c>
      <c r="C1433" s="12" t="inlineStr">
        <is>
          <t>Senior/Lead</t>
        </is>
      </c>
      <c r="D1433" s="8" t="inlineStr">
        <is>
          <t>Senior Solutions Engineer, Majors</t>
        </is>
      </c>
      <c r="E1433" s="7" t="inlineStr">
        <is>
          <t>Cloudflare</t>
        </is>
      </c>
      <c r="F1433" s="8" t="inlineStr">
        <is>
          <t>Distributed</t>
        </is>
      </c>
      <c r="G1433" s="8" t="n"/>
      <c r="H1433" s="14" t="n"/>
      <c r="I1433" s="15">
        <f>IF($H1433="","",$H1433-TODAY())</f>
        <v/>
      </c>
      <c r="J1433" s="16" t="inlineStr">
        <is>
          <t>Open posting</t>
        </is>
      </c>
      <c r="K1433" s="8" t="inlineStr">
        <is>
          <t>filtered by keyword pre-scan</t>
        </is>
      </c>
      <c r="L1433" s="17" t="inlineStr">
        <is>
          <t>new</t>
        </is>
      </c>
      <c r="M1433" s="18" t="inlineStr"/>
      <c r="N1433" s="7" t="inlineStr">
        <is>
          <t>17e36200cac84be167e3f873ac8a52a8f95a9c20</t>
        </is>
      </c>
      <c r="O1433" s="14" t="n">
        <v>46184</v>
      </c>
      <c r="P1433" s="7" t="inlineStr">
        <is>
          <t>greenhouse:cloudflare</t>
        </is>
      </c>
      <c r="Q1433" s="8" t="inlineStr"/>
      <c r="R1433" s="8" t="n"/>
      <c r="S1433" s="19" t="n"/>
      <c r="T1433" s="19" t="n"/>
      <c r="U1433" s="14" t="n">
        <v>46191</v>
      </c>
      <c r="V1433" s="7" t="inlineStr">
        <is>
          <t>v2-cv-accuracy-13b988b18da8ea7d</t>
        </is>
      </c>
    </row>
    <row r="1434" ht="28" customHeight="1">
      <c r="A1434" s="12">
        <f>IF($L1434="applied","Applied",IF($L1434="interview","Interview",IF($L1434="offer","Offer",IF($L1434="rejected","Rejected",IF($L1434="ignore","Ignore",IF($L1434="archive","Archive",IF($L1434="closed","Closed",IF($B1434="","Unscored",IF(AND($B1434&gt;=8,OR($H1434="",$H1434-TODAY()&lt;=14)),"P1 Apply",IF($B1434&gt;=7,"P2 Strong",IF($B1434&gt;=5,"P3 Maybe","P4 Low")))))))))))</f>
        <v/>
      </c>
      <c r="B1434" s="13" t="n">
        <v>0</v>
      </c>
      <c r="C1434" s="12" t="inlineStr">
        <is>
          <t>Senior/Lead</t>
        </is>
      </c>
      <c r="D1434" s="8" t="inlineStr">
        <is>
          <t>Senior Solutions Engineer, Majors - Detroit, MI</t>
        </is>
      </c>
      <c r="E1434" s="7" t="inlineStr">
        <is>
          <t>Cloudflare</t>
        </is>
      </c>
      <c r="F1434" s="8" t="inlineStr">
        <is>
          <t>Distributed</t>
        </is>
      </c>
      <c r="G1434" s="8" t="n"/>
      <c r="H1434" s="14" t="n"/>
      <c r="I1434" s="15">
        <f>IF($H1434="","",$H1434-TODAY())</f>
        <v/>
      </c>
      <c r="J1434" s="16" t="inlineStr">
        <is>
          <t>Open posting</t>
        </is>
      </c>
      <c r="K1434" s="8" t="inlineStr">
        <is>
          <t>filtered by keyword pre-scan</t>
        </is>
      </c>
      <c r="L1434" s="17" t="inlineStr">
        <is>
          <t>new</t>
        </is>
      </c>
      <c r="M1434" s="18" t="inlineStr"/>
      <c r="N1434" s="7" t="inlineStr">
        <is>
          <t>0547871d3ba634fa86e19d943c1e904dff13105b</t>
        </is>
      </c>
      <c r="O1434" s="14" t="n">
        <v>46181</v>
      </c>
      <c r="P1434" s="7" t="inlineStr">
        <is>
          <t>greenhouse:cloudflare</t>
        </is>
      </c>
      <c r="Q1434" s="8" t="inlineStr"/>
      <c r="R1434" s="8" t="n"/>
      <c r="S1434" s="19" t="n"/>
      <c r="T1434" s="19" t="n"/>
      <c r="U1434" s="14" t="n">
        <v>46191</v>
      </c>
      <c r="V1434" s="7" t="inlineStr">
        <is>
          <t>v2-cv-accuracy-13b988b18da8ea7d</t>
        </is>
      </c>
    </row>
    <row r="1435" ht="28" customHeight="1">
      <c r="A1435" s="12">
        <f>IF($L1435="applied","Applied",IF($L1435="interview","Interview",IF($L1435="offer","Offer",IF($L1435="rejected","Rejected",IF($L1435="ignore","Ignore",IF($L1435="archive","Archive",IF($L1435="closed","Closed",IF($B1435="","Unscored",IF(AND($B1435&gt;=8,OR($H1435="",$H1435-TODAY()&lt;=14)),"P1 Apply",IF($B1435&gt;=7,"P2 Strong",IF($B1435&gt;=5,"P3 Maybe","P4 Low")))))))))))</f>
        <v/>
      </c>
      <c r="B1435" s="13" t="n">
        <v>0</v>
      </c>
      <c r="C1435" s="12" t="inlineStr">
        <is>
          <t>Senior/Lead</t>
        </is>
      </c>
      <c r="D1435" s="8" t="inlineStr">
        <is>
          <t>Senior Solutions Engineer, Majors - NYC</t>
        </is>
      </c>
      <c r="E1435" s="7" t="inlineStr">
        <is>
          <t>Cloudflare</t>
        </is>
      </c>
      <c r="F1435" s="8" t="inlineStr">
        <is>
          <t>Distributed</t>
        </is>
      </c>
      <c r="G1435" s="8" t="n"/>
      <c r="H1435" s="14" t="n"/>
      <c r="I1435" s="15">
        <f>IF($H1435="","",$H1435-TODAY())</f>
        <v/>
      </c>
      <c r="J1435" s="16" t="inlineStr">
        <is>
          <t>Open posting</t>
        </is>
      </c>
      <c r="K1435" s="8" t="inlineStr">
        <is>
          <t>filtered by keyword pre-scan</t>
        </is>
      </c>
      <c r="L1435" s="17" t="inlineStr">
        <is>
          <t>new</t>
        </is>
      </c>
      <c r="M1435" s="18" t="inlineStr"/>
      <c r="N1435" s="7" t="inlineStr">
        <is>
          <t>38150bab96afaa5f2b6ca827ee8f0406d75f598e</t>
        </is>
      </c>
      <c r="O1435" s="14" t="n">
        <v>46177</v>
      </c>
      <c r="P1435" s="7" t="inlineStr">
        <is>
          <t>greenhouse:cloudflare</t>
        </is>
      </c>
      <c r="Q1435" s="8" t="inlineStr"/>
      <c r="R1435" s="8" t="n"/>
      <c r="S1435" s="19" t="n"/>
      <c r="T1435" s="19" t="n"/>
      <c r="U1435" s="14" t="n">
        <v>46191</v>
      </c>
      <c r="V1435" s="7" t="inlineStr">
        <is>
          <t>v2-cv-accuracy-13b988b18da8ea7d</t>
        </is>
      </c>
    </row>
    <row r="1436" ht="28" customHeight="1">
      <c r="A1436" s="12">
        <f>IF($L1436="applied","Applied",IF($L1436="interview","Interview",IF($L1436="offer","Offer",IF($L1436="rejected","Rejected",IF($L1436="ignore","Ignore",IF($L1436="archive","Archive",IF($L1436="closed","Closed",IF($B1436="","Unscored",IF(AND($B1436&gt;=8,OR($H1436="",$H1436-TODAY()&lt;=14)),"P1 Apply",IF($B1436&gt;=7,"P2 Strong",IF($B1436&gt;=5,"P3 Maybe","P4 Low")))))))))))</f>
        <v/>
      </c>
      <c r="B1436" s="13" t="n">
        <v>0</v>
      </c>
      <c r="C1436" s="12" t="inlineStr">
        <is>
          <t>Senior/Lead</t>
        </is>
      </c>
      <c r="D1436" s="8" t="inlineStr">
        <is>
          <t>Senior Solutions Engineer, Majors, Philadelphia or Pittsburgh</t>
        </is>
      </c>
      <c r="E1436" s="7" t="inlineStr">
        <is>
          <t>Cloudflare</t>
        </is>
      </c>
      <c r="F1436" s="8" t="inlineStr">
        <is>
          <t>Distributed</t>
        </is>
      </c>
      <c r="G1436" s="8" t="n"/>
      <c r="H1436" s="14" t="n"/>
      <c r="I1436" s="15">
        <f>IF($H1436="","",$H1436-TODAY())</f>
        <v/>
      </c>
      <c r="J1436" s="16" t="inlineStr">
        <is>
          <t>Open posting</t>
        </is>
      </c>
      <c r="K1436" s="8" t="inlineStr">
        <is>
          <t>filtered by keyword pre-scan</t>
        </is>
      </c>
      <c r="L1436" s="17" t="inlineStr">
        <is>
          <t>new</t>
        </is>
      </c>
      <c r="M1436" s="18" t="inlineStr"/>
      <c r="N1436" s="7" t="inlineStr">
        <is>
          <t>cbfdee0d7d8baf44b691f22a671709508d85cfc0</t>
        </is>
      </c>
      <c r="O1436" s="14" t="n">
        <v>46171</v>
      </c>
      <c r="P1436" s="7" t="inlineStr">
        <is>
          <t>greenhouse:cloudflare</t>
        </is>
      </c>
      <c r="Q1436" s="8" t="inlineStr"/>
      <c r="R1436" s="8" t="n"/>
      <c r="S1436" s="19" t="n"/>
      <c r="T1436" s="19" t="n"/>
      <c r="U1436" s="14" t="n">
        <v>46191</v>
      </c>
      <c r="V1436" s="7" t="inlineStr">
        <is>
          <t>v2-cv-accuracy-13b988b18da8ea7d</t>
        </is>
      </c>
    </row>
    <row r="1437" ht="28" customHeight="1">
      <c r="A1437" s="12">
        <f>IF($L1437="applied","Applied",IF($L1437="interview","Interview",IF($L1437="offer","Offer",IF($L1437="rejected","Rejected",IF($L1437="ignore","Ignore",IF($L1437="archive","Archive",IF($L1437="closed","Closed",IF($B1437="","Unscored",IF(AND($B1437&gt;=8,OR($H1437="",$H1437-TODAY()&lt;=14)),"P1 Apply",IF($B1437&gt;=7,"P2 Strong",IF($B1437&gt;=5,"P3 Maybe","P4 Low")))))))))))</f>
        <v/>
      </c>
      <c r="B1437" s="13" t="n">
        <v>0</v>
      </c>
      <c r="C1437" s="12" t="inlineStr">
        <is>
          <t>Senior/Lead</t>
        </is>
      </c>
      <c r="D1437" s="8" t="inlineStr">
        <is>
          <t>Senior Solutions Engineer, Majors, Raleigh, NC</t>
        </is>
      </c>
      <c r="E1437" s="7" t="inlineStr">
        <is>
          <t>Cloudflare</t>
        </is>
      </c>
      <c r="F1437" s="8" t="inlineStr">
        <is>
          <t>Distributed</t>
        </is>
      </c>
      <c r="G1437" s="8" t="n"/>
      <c r="H1437" s="14" t="n"/>
      <c r="I1437" s="15">
        <f>IF($H1437="","",$H1437-TODAY())</f>
        <v/>
      </c>
      <c r="J1437" s="16" t="inlineStr">
        <is>
          <t>Open posting</t>
        </is>
      </c>
      <c r="K1437" s="8" t="inlineStr">
        <is>
          <t>filtered by keyword pre-scan</t>
        </is>
      </c>
      <c r="L1437" s="17" t="inlineStr">
        <is>
          <t>new</t>
        </is>
      </c>
      <c r="M1437" s="18" t="inlineStr"/>
      <c r="N1437" s="7" t="inlineStr">
        <is>
          <t>bd25a743ac49599f42f8b3d42a7063ee7a8846ba</t>
        </is>
      </c>
      <c r="O1437" s="14" t="n">
        <v>46171</v>
      </c>
      <c r="P1437" s="7" t="inlineStr">
        <is>
          <t>greenhouse:cloudflare</t>
        </is>
      </c>
      <c r="Q1437" s="8" t="inlineStr"/>
      <c r="R1437" s="8" t="n"/>
      <c r="S1437" s="19" t="n"/>
      <c r="T1437" s="19" t="n"/>
      <c r="U1437" s="14" t="n">
        <v>46191</v>
      </c>
      <c r="V1437" s="7" t="inlineStr">
        <is>
          <t>v2-cv-accuracy-13b988b18da8ea7d</t>
        </is>
      </c>
    </row>
    <row r="1438" ht="28" customHeight="1">
      <c r="A1438" s="12">
        <f>IF($L1438="applied","Applied",IF($L1438="interview","Interview",IF($L1438="offer","Offer",IF($L1438="rejected","Rejected",IF($L1438="ignore","Ignore",IF($L1438="archive","Archive",IF($L1438="closed","Closed",IF($B1438="","Unscored",IF(AND($B1438&gt;=8,OR($H1438="",$H1438-TODAY()&lt;=14)),"P1 Apply",IF($B1438&gt;=7,"P2 Strong",IF($B1438&gt;=5,"P3 Maybe","P4 Low")))))))))))</f>
        <v/>
      </c>
      <c r="B1438" s="13" t="n">
        <v>0</v>
      </c>
      <c r="C1438" s="12" t="inlineStr">
        <is>
          <t>Senior/Lead</t>
        </is>
      </c>
      <c r="D1438" s="8" t="inlineStr">
        <is>
          <t>Senior Solutions Engineer, Majors, San Francisco</t>
        </is>
      </c>
      <c r="E1438" s="7" t="inlineStr">
        <is>
          <t>Cloudflare</t>
        </is>
      </c>
      <c r="F1438" s="8" t="inlineStr">
        <is>
          <t>Hybrid</t>
        </is>
      </c>
      <c r="G1438" s="8" t="n"/>
      <c r="H1438" s="14" t="n"/>
      <c r="I1438" s="15">
        <f>IF($H1438="","",$H1438-TODAY())</f>
        <v/>
      </c>
      <c r="J1438" s="16" t="inlineStr">
        <is>
          <t>Open posting</t>
        </is>
      </c>
      <c r="K1438" s="8" t="inlineStr">
        <is>
          <t>filtered by keyword pre-scan</t>
        </is>
      </c>
      <c r="L1438" s="17" t="inlineStr">
        <is>
          <t>new</t>
        </is>
      </c>
      <c r="M1438" s="18" t="inlineStr"/>
      <c r="N1438" s="7" t="inlineStr">
        <is>
          <t>95716df1d0f8e2e99aae5338be6818d81c386f0c</t>
        </is>
      </c>
      <c r="O1438" s="14" t="n">
        <v>46171</v>
      </c>
      <c r="P1438" s="7" t="inlineStr">
        <is>
          <t>greenhouse:cloudflare</t>
        </is>
      </c>
      <c r="Q1438" s="8" t="inlineStr"/>
      <c r="R1438" s="8" t="n"/>
      <c r="S1438" s="19" t="n"/>
      <c r="T1438" s="19" t="n"/>
      <c r="U1438" s="14" t="n">
        <v>46191</v>
      </c>
      <c r="V1438" s="7" t="inlineStr">
        <is>
          <t>v2-cv-accuracy-13b988b18da8ea7d</t>
        </is>
      </c>
    </row>
    <row r="1439" ht="28" customHeight="1">
      <c r="A1439" s="12">
        <f>IF($L1439="applied","Applied",IF($L1439="interview","Interview",IF($L1439="offer","Offer",IF($L1439="rejected","Rejected",IF($L1439="ignore","Ignore",IF($L1439="archive","Archive",IF($L1439="closed","Closed",IF($B1439="","Unscored",IF(AND($B1439&gt;=8,OR($H1439="",$H1439-TODAY()&lt;=14)),"P1 Apply",IF($B1439&gt;=7,"P2 Strong",IF($B1439&gt;=5,"P3 Maybe","P4 Low")))))))))))</f>
        <v/>
      </c>
      <c r="B1439" s="13" t="n">
        <v>0</v>
      </c>
      <c r="C1439" s="12" t="inlineStr">
        <is>
          <t>Senior/Lead</t>
        </is>
      </c>
      <c r="D1439" s="8" t="inlineStr">
        <is>
          <t>Senior Solutions Engineer - Mid-Market Tampa</t>
        </is>
      </c>
      <c r="E1439" s="7" t="inlineStr">
        <is>
          <t>Cloudflare</t>
        </is>
      </c>
      <c r="F1439" s="8" t="inlineStr">
        <is>
          <t>Distributed</t>
        </is>
      </c>
      <c r="G1439" s="8" t="n"/>
      <c r="H1439" s="14" t="n"/>
      <c r="I1439" s="15">
        <f>IF($H1439="","",$H1439-TODAY())</f>
        <v/>
      </c>
      <c r="J1439" s="16" t="inlineStr">
        <is>
          <t>Open posting</t>
        </is>
      </c>
      <c r="K1439" s="8" t="inlineStr">
        <is>
          <t>filtered by keyword pre-scan</t>
        </is>
      </c>
      <c r="L1439" s="17" t="inlineStr">
        <is>
          <t>new</t>
        </is>
      </c>
      <c r="M1439" s="18" t="inlineStr"/>
      <c r="N1439" s="7" t="inlineStr">
        <is>
          <t>3c039b3348183be9699a6fb19dc4444238ff9115</t>
        </is>
      </c>
      <c r="O1439" s="14" t="n">
        <v>46171</v>
      </c>
      <c r="P1439" s="7" t="inlineStr">
        <is>
          <t>greenhouse:cloudflare</t>
        </is>
      </c>
      <c r="Q1439" s="8" t="inlineStr">
        <is>
          <t>software development</t>
        </is>
      </c>
      <c r="R1439" s="8" t="n"/>
      <c r="S1439" s="19" t="n"/>
      <c r="T1439" s="19" t="n"/>
      <c r="U1439" s="14" t="n">
        <v>46191</v>
      </c>
      <c r="V1439" s="7" t="inlineStr">
        <is>
          <t>v2-cv-accuracy-13b988b18da8ea7d</t>
        </is>
      </c>
    </row>
    <row r="1440" ht="28" customHeight="1">
      <c r="A1440" s="12">
        <f>IF($L1440="applied","Applied",IF($L1440="interview","Interview",IF($L1440="offer","Offer",IF($L1440="rejected","Rejected",IF($L1440="ignore","Ignore",IF($L1440="archive","Archive",IF($L1440="closed","Closed",IF($B1440="","Unscored",IF(AND($B1440&gt;=8,OR($H1440="",$H1440-TODAY()&lt;=14)),"P1 Apply",IF($B1440&gt;=7,"P2 Strong",IF($B1440&gt;=5,"P3 Maybe","P4 Low")))))))))))</f>
        <v/>
      </c>
      <c r="B1440" s="13" t="n">
        <v>0</v>
      </c>
      <c r="C1440" s="12" t="inlineStr">
        <is>
          <t>Senior/Lead</t>
        </is>
      </c>
      <c r="D1440" s="8" t="inlineStr">
        <is>
          <t>Senior Solutions Engineer, Named Accounts - Cincinnati, OH</t>
        </is>
      </c>
      <c r="E1440" s="7" t="inlineStr">
        <is>
          <t>Cloudflare</t>
        </is>
      </c>
      <c r="F1440" s="8" t="inlineStr">
        <is>
          <t>Distributed</t>
        </is>
      </c>
      <c r="G1440" s="8" t="n"/>
      <c r="H1440" s="14" t="n"/>
      <c r="I1440" s="15">
        <f>IF($H1440="","",$H1440-TODAY())</f>
        <v/>
      </c>
      <c r="J1440" s="16" t="inlineStr">
        <is>
          <t>Open posting</t>
        </is>
      </c>
      <c r="K1440" s="8" t="inlineStr">
        <is>
          <t>filtered by keyword pre-scan</t>
        </is>
      </c>
      <c r="L1440" s="17" t="inlineStr">
        <is>
          <t>new</t>
        </is>
      </c>
      <c r="M1440" s="18" t="inlineStr"/>
      <c r="N1440" s="7" t="inlineStr">
        <is>
          <t>34f418351fceef0fada28cda3b60aaa45bc5a086</t>
        </is>
      </c>
      <c r="O1440" s="14" t="n">
        <v>46171</v>
      </c>
      <c r="P1440" s="7" t="inlineStr">
        <is>
          <t>greenhouse:cloudflare</t>
        </is>
      </c>
      <c r="Q1440" s="8" t="inlineStr"/>
      <c r="R1440" s="8" t="n"/>
      <c r="S1440" s="19" t="n"/>
      <c r="T1440" s="19" t="n"/>
      <c r="U1440" s="14" t="n">
        <v>46191</v>
      </c>
      <c r="V1440" s="7" t="inlineStr">
        <is>
          <t>v2-cv-accuracy-13b988b18da8ea7d</t>
        </is>
      </c>
    </row>
    <row r="1441" ht="28" customHeight="1">
      <c r="A1441" s="12">
        <f>IF($L1441="applied","Applied",IF($L1441="interview","Interview",IF($L1441="offer","Offer",IF($L1441="rejected","Rejected",IF($L1441="ignore","Ignore",IF($L1441="archive","Archive",IF($L1441="closed","Closed",IF($B1441="","Unscored",IF(AND($B1441&gt;=8,OR($H1441="",$H1441-TODAY()&lt;=14)),"P1 Apply",IF($B1441&gt;=7,"P2 Strong",IF($B1441&gt;=5,"P3 Maybe","P4 Low")))))))))))</f>
        <v/>
      </c>
      <c r="B1441" s="13" t="n">
        <v>0</v>
      </c>
      <c r="C1441" s="12" t="inlineStr">
        <is>
          <t>Senior/Lead</t>
        </is>
      </c>
      <c r="D1441" s="8" t="inlineStr">
        <is>
          <t>Senior Solutions Engineer, Named Accounts - San Francisco</t>
        </is>
      </c>
      <c r="E1441" s="7" t="inlineStr">
        <is>
          <t>Cloudflare</t>
        </is>
      </c>
      <c r="F1441" s="8" t="inlineStr">
        <is>
          <t>Hybrid</t>
        </is>
      </c>
      <c r="G1441" s="8" t="n"/>
      <c r="H1441" s="14" t="n"/>
      <c r="I1441" s="15">
        <f>IF($H1441="","",$H1441-TODAY())</f>
        <v/>
      </c>
      <c r="J1441" s="16" t="inlineStr">
        <is>
          <t>Open posting</t>
        </is>
      </c>
      <c r="K1441" s="8" t="inlineStr">
        <is>
          <t>filtered by keyword pre-scan</t>
        </is>
      </c>
      <c r="L1441" s="17" t="inlineStr">
        <is>
          <t>new</t>
        </is>
      </c>
      <c r="M1441" s="18" t="inlineStr"/>
      <c r="N1441" s="7" t="inlineStr">
        <is>
          <t>ea8f261f3481dc9425491133adf12f08e6517d89</t>
        </is>
      </c>
      <c r="O1441" s="14" t="n">
        <v>46176</v>
      </c>
      <c r="P1441" s="7" t="inlineStr">
        <is>
          <t>greenhouse:cloudflare</t>
        </is>
      </c>
      <c r="Q1441" s="8" t="inlineStr"/>
      <c r="R1441" s="8" t="n"/>
      <c r="S1441" s="19" t="n"/>
      <c r="T1441" s="19" t="n"/>
      <c r="U1441" s="14" t="n">
        <v>46191</v>
      </c>
      <c r="V1441" s="7" t="inlineStr">
        <is>
          <t>v2-cv-accuracy-13b988b18da8ea7d</t>
        </is>
      </c>
    </row>
    <row r="1442" ht="28" customHeight="1">
      <c r="A1442" s="12">
        <f>IF($L1442="applied","Applied",IF($L1442="interview","Interview",IF($L1442="offer","Offer",IF($L1442="rejected","Rejected",IF($L1442="ignore","Ignore",IF($L1442="archive","Archive",IF($L1442="closed","Closed",IF($B1442="","Unscored",IF(AND($B1442&gt;=8,OR($H1442="",$H1442-TODAY()&lt;=14)),"P1 Apply",IF($B1442&gt;=7,"P2 Strong",IF($B1442&gt;=5,"P3 Maybe","P4 Low")))))))))))</f>
        <v/>
      </c>
      <c r="B1442" s="13" t="n">
        <v>0</v>
      </c>
      <c r="C1442" s="12" t="inlineStr">
        <is>
          <t>Senior/Lead</t>
        </is>
      </c>
      <c r="D1442" s="8" t="inlineStr">
        <is>
          <t>Senior Solutions Engineer - New England</t>
        </is>
      </c>
      <c r="E1442" s="7" t="inlineStr">
        <is>
          <t>Cloudflare</t>
        </is>
      </c>
      <c r="F1442" s="8" t="inlineStr">
        <is>
          <t>Distributed</t>
        </is>
      </c>
      <c r="G1442" s="8" t="n"/>
      <c r="H1442" s="14" t="n"/>
      <c r="I1442" s="15">
        <f>IF($H1442="","",$H1442-TODAY())</f>
        <v/>
      </c>
      <c r="J1442" s="16" t="inlineStr">
        <is>
          <t>Open posting</t>
        </is>
      </c>
      <c r="K1442" s="8" t="inlineStr">
        <is>
          <t>filtered by keyword pre-scan</t>
        </is>
      </c>
      <c r="L1442" s="17" t="inlineStr">
        <is>
          <t>new</t>
        </is>
      </c>
      <c r="M1442" s="18" t="inlineStr"/>
      <c r="N1442" s="7" t="inlineStr">
        <is>
          <t>30b7c0bbb29dc82890418d8014fb700416b00ea3</t>
        </is>
      </c>
      <c r="O1442" s="14" t="n">
        <v>46171</v>
      </c>
      <c r="P1442" s="7" t="inlineStr">
        <is>
          <t>greenhouse:cloudflare</t>
        </is>
      </c>
      <c r="Q1442" s="8" t="inlineStr"/>
      <c r="R1442" s="8" t="n"/>
      <c r="S1442" s="19" t="n"/>
      <c r="T1442" s="19" t="n"/>
      <c r="U1442" s="14" t="n">
        <v>46191</v>
      </c>
      <c r="V1442" s="7" t="inlineStr">
        <is>
          <t>v2-cv-accuracy-13b988b18da8ea7d</t>
        </is>
      </c>
    </row>
    <row r="1443" ht="28" customHeight="1">
      <c r="A1443" s="12">
        <f>IF($L1443="applied","Applied",IF($L1443="interview","Interview",IF($L1443="offer","Offer",IF($L1443="rejected","Rejected",IF($L1443="ignore","Ignore",IF($L1443="archive","Archive",IF($L1443="closed","Closed",IF($B1443="","Unscored",IF(AND($B1443&gt;=8,OR($H1443="",$H1443-TODAY()&lt;=14)),"P1 Apply",IF($B1443&gt;=7,"P2 Strong",IF($B1443&gt;=5,"P3 Maybe","P4 Low")))))))))))</f>
        <v/>
      </c>
      <c r="B1443" s="13" t="n">
        <v>0</v>
      </c>
      <c r="C1443" s="12" t="inlineStr">
        <is>
          <t>Senior/Lead</t>
        </is>
      </c>
      <c r="D1443" s="8" t="inlineStr">
        <is>
          <t>Senior Solutions Engineer, Public Sector Federal</t>
        </is>
      </c>
      <c r="E1443" s="7" t="inlineStr">
        <is>
          <t>Cloudflare</t>
        </is>
      </c>
      <c r="F1443" s="8" t="inlineStr">
        <is>
          <t>Hybrid</t>
        </is>
      </c>
      <c r="G1443" s="8" t="n"/>
      <c r="H1443" s="14" t="n"/>
      <c r="I1443" s="15">
        <f>IF($H1443="","",$H1443-TODAY())</f>
        <v/>
      </c>
      <c r="J1443" s="16" t="inlineStr">
        <is>
          <t>Open posting</t>
        </is>
      </c>
      <c r="K1443" s="8" t="inlineStr">
        <is>
          <t>filtered by keyword pre-scan</t>
        </is>
      </c>
      <c r="L1443" s="17" t="inlineStr">
        <is>
          <t>new</t>
        </is>
      </c>
      <c r="M1443" s="18" t="inlineStr"/>
      <c r="N1443" s="7" t="inlineStr">
        <is>
          <t>eb4225ca26825f3ef945e0b21c0fbe0e8fb7abe9</t>
        </is>
      </c>
      <c r="O1443" s="14" t="n">
        <v>46171</v>
      </c>
      <c r="P1443" s="7" t="inlineStr">
        <is>
          <t>greenhouse:cloudflare</t>
        </is>
      </c>
      <c r="Q1443" s="8" t="inlineStr">
        <is>
          <t>software development</t>
        </is>
      </c>
      <c r="R1443" s="8" t="n"/>
      <c r="S1443" s="19" t="n"/>
      <c r="T1443" s="19" t="n"/>
      <c r="U1443" s="14" t="n">
        <v>46191</v>
      </c>
      <c r="V1443" s="7" t="inlineStr">
        <is>
          <t>v2-cv-accuracy-13b988b18da8ea7d</t>
        </is>
      </c>
    </row>
    <row r="1444" ht="28" customHeight="1">
      <c r="A1444" s="12">
        <f>IF($L1444="applied","Applied",IF($L1444="interview","Interview",IF($L1444="offer","Offer",IF($L1444="rejected","Rejected",IF($L1444="ignore","Ignore",IF($L1444="archive","Archive",IF($L1444="closed","Closed",IF($B1444="","Unscored",IF(AND($B1444&gt;=8,OR($H1444="",$H1444-TODAY()&lt;=14)),"P1 Apply",IF($B1444&gt;=7,"P2 Strong",IF($B1444&gt;=5,"P3 Maybe","P4 Low")))))))))))</f>
        <v/>
      </c>
      <c r="B1444" s="13" t="n">
        <v>0</v>
      </c>
      <c r="C1444" s="12" t="inlineStr">
        <is>
          <t>Senior/Lead</t>
        </is>
      </c>
      <c r="D1444" s="8" t="inlineStr">
        <is>
          <t>Senior Solutions Engineer, Russian Speaker</t>
        </is>
      </c>
      <c r="E1444" s="7" t="inlineStr">
        <is>
          <t>Cloudflare</t>
        </is>
      </c>
      <c r="F1444" s="8" t="inlineStr">
        <is>
          <t>In-Office</t>
        </is>
      </c>
      <c r="G1444" s="8" t="n"/>
      <c r="H1444" s="14" t="n"/>
      <c r="I1444" s="15">
        <f>IF($H1444="","",$H1444-TODAY())</f>
        <v/>
      </c>
      <c r="J1444" s="16" t="inlineStr">
        <is>
          <t>Open posting</t>
        </is>
      </c>
      <c r="K1444" s="8" t="inlineStr">
        <is>
          <t>filtered by keyword pre-scan</t>
        </is>
      </c>
      <c r="L1444" s="17" t="inlineStr">
        <is>
          <t>new</t>
        </is>
      </c>
      <c r="M1444" s="18" t="inlineStr"/>
      <c r="N1444" s="7" t="inlineStr">
        <is>
          <t>2b2625a3e6e3fdbf6735b25cffe42a6cb7e2a6fa</t>
        </is>
      </c>
      <c r="O1444" s="14" t="n">
        <v>46181</v>
      </c>
      <c r="P1444" s="7" t="inlineStr">
        <is>
          <t>greenhouse:cloudflare</t>
        </is>
      </c>
      <c r="Q1444" s="8" t="inlineStr"/>
      <c r="R1444" s="8" t="n"/>
      <c r="S1444" s="19" t="n"/>
      <c r="T1444" s="19" t="n"/>
      <c r="U1444" s="14" t="n">
        <v>46191</v>
      </c>
      <c r="V1444" s="7" t="inlineStr">
        <is>
          <t>v2-cv-accuracy-13b988b18da8ea7d</t>
        </is>
      </c>
    </row>
    <row r="1445" ht="28" customHeight="1">
      <c r="A1445" s="12">
        <f>IF($L1445="applied","Applied",IF($L1445="interview","Interview",IF($L1445="offer","Offer",IF($L1445="rejected","Rejected",IF($L1445="ignore","Ignore",IF($L1445="archive","Archive",IF($L1445="closed","Closed",IF($B1445="","Unscored",IF(AND($B1445&gt;=8,OR($H1445="",$H1445-TODAY()&lt;=14)),"P1 Apply",IF($B1445&gt;=7,"P2 Strong",IF($B1445&gt;=5,"P3 Maybe","P4 Low")))))))))))</f>
        <v/>
      </c>
      <c r="B1445" s="13" t="n">
        <v>0</v>
      </c>
      <c r="C1445" s="12" t="inlineStr">
        <is>
          <t>Senior/Lead</t>
        </is>
      </c>
      <c r="D1445" s="8" t="inlineStr">
        <is>
          <t>Senior Specialist Solutions Engineer, Zero Trust - Japan</t>
        </is>
      </c>
      <c r="E1445" s="7" t="inlineStr">
        <is>
          <t>Cloudflare</t>
        </is>
      </c>
      <c r="F1445" s="8" t="inlineStr">
        <is>
          <t>Hybrid</t>
        </is>
      </c>
      <c r="G1445" s="8" t="n"/>
      <c r="H1445" s="14" t="n"/>
      <c r="I1445" s="15">
        <f>IF($H1445="","",$H1445-TODAY())</f>
        <v/>
      </c>
      <c r="J1445" s="16" t="inlineStr">
        <is>
          <t>Open posting</t>
        </is>
      </c>
      <c r="K1445" s="8" t="inlineStr">
        <is>
          <t>filtered by keyword pre-scan</t>
        </is>
      </c>
      <c r="L1445" s="17" t="inlineStr">
        <is>
          <t>new</t>
        </is>
      </c>
      <c r="M1445" s="18" t="inlineStr"/>
      <c r="N1445" s="7" t="inlineStr">
        <is>
          <t>3e768ea0ac63a04523d98f9948041664f3ebb967</t>
        </is>
      </c>
      <c r="O1445" s="14" t="n">
        <v>46188</v>
      </c>
      <c r="P1445" s="7" t="inlineStr">
        <is>
          <t>greenhouse:cloudflare</t>
        </is>
      </c>
      <c r="Q1445" s="8" t="inlineStr"/>
      <c r="R1445" s="8" t="n"/>
      <c r="S1445" s="19" t="n"/>
      <c r="T1445" s="19" t="n"/>
      <c r="U1445" s="14" t="n">
        <v>46191</v>
      </c>
      <c r="V1445" s="7" t="inlineStr">
        <is>
          <t>v2-cv-accuracy-13b988b18da8ea7d</t>
        </is>
      </c>
    </row>
    <row r="1446" ht="28" customHeight="1">
      <c r="A1446" s="12">
        <f>IF($L1446="applied","Applied",IF($L1446="interview","Interview",IF($L1446="offer","Offer",IF($L1446="rejected","Rejected",IF($L1446="ignore","Ignore",IF($L1446="archive","Archive",IF($L1446="closed","Closed",IF($B1446="","Unscored",IF(AND($B1446&gt;=8,OR($H1446="",$H1446-TODAY()&lt;=14)),"P1 Apply",IF($B1446&gt;=7,"P2 Strong",IF($B1446&gt;=5,"P3 Maybe","P4 Low")))))))))))</f>
        <v/>
      </c>
      <c r="B1446" s="13" t="n">
        <v>0</v>
      </c>
      <c r="C1446" s="12" t="inlineStr">
        <is>
          <t>Senior/Lead</t>
        </is>
      </c>
      <c r="D1446" s="8" t="inlineStr">
        <is>
          <t>Senior Stock Administration Analyst</t>
        </is>
      </c>
      <c r="E1446" s="7" t="inlineStr">
        <is>
          <t>Cloudflare</t>
        </is>
      </c>
      <c r="F1446" s="8" t="inlineStr">
        <is>
          <t>In-Office</t>
        </is>
      </c>
      <c r="G1446" s="8" t="n"/>
      <c r="H1446" s="14" t="n"/>
      <c r="I1446" s="15">
        <f>IF($H1446="","",$H1446-TODAY())</f>
        <v/>
      </c>
      <c r="J1446" s="16" t="inlineStr">
        <is>
          <t>Open posting</t>
        </is>
      </c>
      <c r="K1446" s="8" t="inlineStr">
        <is>
          <t>filtered by keyword pre-scan</t>
        </is>
      </c>
      <c r="L1446" s="17" t="inlineStr">
        <is>
          <t>new</t>
        </is>
      </c>
      <c r="M1446" s="18" t="inlineStr"/>
      <c r="N1446" s="7" t="inlineStr">
        <is>
          <t>6a93d3b2eba00f847f0c9e46defe4ef99e6e1e8c</t>
        </is>
      </c>
      <c r="O1446" s="14" t="n">
        <v>46186</v>
      </c>
      <c r="P1446" s="7" t="inlineStr">
        <is>
          <t>greenhouse:cloudflare</t>
        </is>
      </c>
      <c r="Q1446" s="8" t="inlineStr">
        <is>
          <t>data analysis</t>
        </is>
      </c>
      <c r="R1446" s="8" t="n"/>
      <c r="S1446" s="19" t="n"/>
      <c r="T1446" s="19" t="n"/>
      <c r="U1446" s="14" t="n">
        <v>46191</v>
      </c>
      <c r="V1446" s="7" t="inlineStr">
        <is>
          <t>v2-cv-accuracy-13b988b18da8ea7d</t>
        </is>
      </c>
    </row>
    <row r="1447" ht="28" customHeight="1">
      <c r="A1447" s="12">
        <f>IF($L1447="applied","Applied",IF($L1447="interview","Interview",IF($L1447="offer","Offer",IF($L1447="rejected","Rejected",IF($L1447="ignore","Ignore",IF($L1447="archive","Archive",IF($L1447="closed","Closed",IF($B1447="","Unscored",IF(AND($B1447&gt;=8,OR($H1447="",$H1447-TODAY()&lt;=14)),"P1 Apply",IF($B1447&gt;=7,"P2 Strong",IF($B1447&gt;=5,"P3 Maybe","P4 Low")))))))))))</f>
        <v/>
      </c>
      <c r="B1447" s="13" t="n">
        <v>0</v>
      </c>
      <c r="C1447" s="12" t="inlineStr">
        <is>
          <t>Senior/Lead</t>
        </is>
      </c>
      <c r="D1447" s="8" t="inlineStr">
        <is>
          <t>Senior Strategic Solutions Engineer</t>
        </is>
      </c>
      <c r="E1447" s="7" t="inlineStr">
        <is>
          <t>Cloudflare</t>
        </is>
      </c>
      <c r="F1447" s="8" t="inlineStr">
        <is>
          <t>Distributed</t>
        </is>
      </c>
      <c r="G1447" s="8" t="n"/>
      <c r="H1447" s="14" t="n"/>
      <c r="I1447" s="15">
        <f>IF($H1447="","",$H1447-TODAY())</f>
        <v/>
      </c>
      <c r="J1447" s="16" t="inlineStr">
        <is>
          <t>Open posting</t>
        </is>
      </c>
      <c r="K1447" s="8" t="inlineStr">
        <is>
          <t>filtered by keyword pre-scan</t>
        </is>
      </c>
      <c r="L1447" s="17" t="inlineStr">
        <is>
          <t>new</t>
        </is>
      </c>
      <c r="M1447" s="18" t="inlineStr"/>
      <c r="N1447" s="7" t="inlineStr">
        <is>
          <t>3c1ea8f11ceef55c074f286248dc9629897d2049</t>
        </is>
      </c>
      <c r="O1447" s="14" t="n">
        <v>46185</v>
      </c>
      <c r="P1447" s="7" t="inlineStr">
        <is>
          <t>greenhouse:cloudflare</t>
        </is>
      </c>
      <c r="Q1447" s="8" t="inlineStr">
        <is>
          <t>software development</t>
        </is>
      </c>
      <c r="R1447" s="8" t="n"/>
      <c r="S1447" s="19" t="n"/>
      <c r="T1447" s="19" t="n"/>
      <c r="U1447" s="14" t="n">
        <v>46191</v>
      </c>
      <c r="V1447" s="7" t="inlineStr">
        <is>
          <t>v2-cv-accuracy-13b988b18da8ea7d</t>
        </is>
      </c>
    </row>
    <row r="1448" ht="28" customHeight="1">
      <c r="A1448" s="12">
        <f>IF($L1448="applied","Applied",IF($L1448="interview","Interview",IF($L1448="offer","Offer",IF($L1448="rejected","Rejected",IF($L1448="ignore","Ignore",IF($L1448="archive","Archive",IF($L1448="closed","Closed",IF($B1448="","Unscored",IF(AND($B1448&gt;=8,OR($H1448="",$H1448-TODAY()&lt;=14)),"P1 Apply",IF($B1448&gt;=7,"P2 Strong",IF($B1448&gt;=5,"P3 Maybe","P4 Low")))))))))))</f>
        <v/>
      </c>
      <c r="B1448" s="13" t="n">
        <v>0</v>
      </c>
      <c r="C1448" s="12" t="inlineStr">
        <is>
          <t>Senior/Lead</t>
        </is>
      </c>
      <c r="D1448" s="8" t="inlineStr">
        <is>
          <t>Senior Strategic Solutions Engineer, Delhi NCR</t>
        </is>
      </c>
      <c r="E1448" s="7" t="inlineStr">
        <is>
          <t>Cloudflare</t>
        </is>
      </c>
      <c r="F1448" s="8" t="inlineStr">
        <is>
          <t>Hybrid</t>
        </is>
      </c>
      <c r="G1448" s="8" t="n"/>
      <c r="H1448" s="14" t="n"/>
      <c r="I1448" s="15">
        <f>IF($H1448="","",$H1448-TODAY())</f>
        <v/>
      </c>
      <c r="J1448" s="16" t="inlineStr">
        <is>
          <t>Open posting</t>
        </is>
      </c>
      <c r="K1448" s="8" t="inlineStr">
        <is>
          <t>filtered by keyword pre-scan</t>
        </is>
      </c>
      <c r="L1448" s="17" t="inlineStr">
        <is>
          <t>new</t>
        </is>
      </c>
      <c r="M1448" s="18" t="inlineStr"/>
      <c r="N1448" s="7" t="inlineStr">
        <is>
          <t>0394c0016d936342b50d1af945f6fa7a28cec307</t>
        </is>
      </c>
      <c r="O1448" s="14" t="n">
        <v>46171</v>
      </c>
      <c r="P1448" s="7" t="inlineStr">
        <is>
          <t>greenhouse:cloudflare</t>
        </is>
      </c>
      <c r="Q1448" s="8" t="inlineStr"/>
      <c r="R1448" s="8" t="n"/>
      <c r="S1448" s="19" t="n"/>
      <c r="T1448" s="19" t="n"/>
      <c r="U1448" s="14" t="n">
        <v>46191</v>
      </c>
      <c r="V1448" s="7" t="inlineStr">
        <is>
          <t>v2-cv-accuracy-13b988b18da8ea7d</t>
        </is>
      </c>
    </row>
    <row r="1449" ht="28" customHeight="1">
      <c r="A1449" s="12">
        <f>IF($L1449="applied","Applied",IF($L1449="interview","Interview",IF($L1449="offer","Offer",IF($L1449="rejected","Rejected",IF($L1449="ignore","Ignore",IF($L1449="archive","Archive",IF($L1449="closed","Closed",IF($B1449="","Unscored",IF(AND($B1449&gt;=8,OR($H1449="",$H1449-TODAY()&lt;=14)),"P1 Apply",IF($B1449&gt;=7,"P2 Strong",IF($B1449&gt;=5,"P3 Maybe","P4 Low")))))))))))</f>
        <v/>
      </c>
      <c r="B1449" s="13" t="n">
        <v>0</v>
      </c>
      <c r="C1449" s="12" t="inlineStr">
        <is>
          <t>Senior/Lead</t>
        </is>
      </c>
      <c r="D1449" s="8" t="inlineStr">
        <is>
          <t>Senior Threat Intelligence Engineer</t>
        </is>
      </c>
      <c r="E1449" s="7" t="inlineStr">
        <is>
          <t>Cloudflare</t>
        </is>
      </c>
      <c r="F1449" s="8" t="inlineStr">
        <is>
          <t>Hybrid</t>
        </is>
      </c>
      <c r="G1449" s="8" t="n"/>
      <c r="H1449" s="14" t="n"/>
      <c r="I1449" s="15">
        <f>IF($H1449="","",$H1449-TODAY())</f>
        <v/>
      </c>
      <c r="J1449" s="16" t="inlineStr">
        <is>
          <t>Open posting</t>
        </is>
      </c>
      <c r="K1449" s="8" t="inlineStr">
        <is>
          <t>filtered by keyword pre-scan</t>
        </is>
      </c>
      <c r="L1449" s="17" t="inlineStr">
        <is>
          <t>new</t>
        </is>
      </c>
      <c r="M1449" s="18" t="inlineStr"/>
      <c r="N1449" s="7" t="inlineStr">
        <is>
          <t>b55f559f1b0d0d396898d96da88bc5d47e999c14</t>
        </is>
      </c>
      <c r="O1449" s="14" t="n">
        <v>46190</v>
      </c>
      <c r="P1449" s="7" t="inlineStr">
        <is>
          <t>greenhouse:cloudflare</t>
        </is>
      </c>
      <c r="Q1449" s="8" t="inlineStr"/>
      <c r="R1449" s="8" t="n"/>
      <c r="S1449" s="19" t="n"/>
      <c r="T1449" s="19" t="n"/>
      <c r="U1449" s="14" t="n">
        <v>46191</v>
      </c>
      <c r="V1449" s="7" t="inlineStr">
        <is>
          <t>v2-cv-accuracy-13b988b18da8ea7d</t>
        </is>
      </c>
    </row>
    <row r="1450" ht="28" customHeight="1">
      <c r="A1450" s="12">
        <f>IF($L1450="applied","Applied",IF($L1450="interview","Interview",IF($L1450="offer","Offer",IF($L1450="rejected","Rejected",IF($L1450="ignore","Ignore",IF($L1450="archive","Archive",IF($L1450="closed","Closed",IF($B1450="","Unscored",IF(AND($B1450&gt;=8,OR($H1450="",$H1450-TODAY()&lt;=14)),"P1 Apply",IF($B1450&gt;=7,"P2 Strong",IF($B1450&gt;=5,"P3 Maybe","P4 Low")))))))))))</f>
        <v/>
      </c>
      <c r="B1450" s="13" t="n">
        <v>0</v>
      </c>
      <c r="C1450" s="12" t="inlineStr">
        <is>
          <t>Manager/Owner</t>
        </is>
      </c>
      <c r="D1450" s="8" t="inlineStr">
        <is>
          <t>Solutions Engineering Manager, Commercial -  West</t>
        </is>
      </c>
      <c r="E1450" s="7" t="inlineStr">
        <is>
          <t>Cloudflare</t>
        </is>
      </c>
      <c r="F1450" s="8" t="inlineStr">
        <is>
          <t>Distributed</t>
        </is>
      </c>
      <c r="G1450" s="8" t="n"/>
      <c r="H1450" s="14" t="n"/>
      <c r="I1450" s="15">
        <f>IF($H1450="","",$H1450-TODAY())</f>
        <v/>
      </c>
      <c r="J1450" s="16" t="inlineStr">
        <is>
          <t>Open posting</t>
        </is>
      </c>
      <c r="K1450" s="8" t="inlineStr">
        <is>
          <t>filtered by keyword pre-scan</t>
        </is>
      </c>
      <c r="L1450" s="17" t="inlineStr">
        <is>
          <t>new</t>
        </is>
      </c>
      <c r="M1450" s="18" t="inlineStr"/>
      <c r="N1450" s="7" t="inlineStr">
        <is>
          <t>3365a9f9f81e391eb09caebffa75e39aa9852786</t>
        </is>
      </c>
      <c r="O1450" s="14" t="n">
        <v>46171</v>
      </c>
      <c r="P1450" s="7" t="inlineStr">
        <is>
          <t>greenhouse:cloudflare</t>
        </is>
      </c>
      <c r="Q1450" s="8" t="inlineStr">
        <is>
          <t>software development</t>
        </is>
      </c>
      <c r="R1450" s="8" t="n"/>
      <c r="S1450" s="19" t="n"/>
      <c r="T1450" s="19" t="n"/>
      <c r="U1450" s="14" t="n">
        <v>46191</v>
      </c>
      <c r="V1450" s="7" t="inlineStr">
        <is>
          <t>v2-cv-accuracy-13b988b18da8ea7d</t>
        </is>
      </c>
    </row>
    <row r="1451" ht="28" customHeight="1">
      <c r="A1451" s="12">
        <f>IF($L1451="applied","Applied",IF($L1451="interview","Interview",IF($L1451="offer","Offer",IF($L1451="rejected","Rejected",IF($L1451="ignore","Ignore",IF($L1451="archive","Archive",IF($L1451="closed","Closed",IF($B1451="","Unscored",IF(AND($B1451&gt;=8,OR($H1451="",$H1451-TODAY()&lt;=14)),"P1 Apply",IF($B1451&gt;=7,"P2 Strong",IF($B1451&gt;=5,"P3 Maybe","P4 Low")))))))))))</f>
        <v/>
      </c>
      <c r="B1451" s="13" t="n">
        <v>0</v>
      </c>
      <c r="C1451" s="12" t="inlineStr">
        <is>
          <t>Manager/Owner</t>
        </is>
      </c>
      <c r="D1451" s="8" t="inlineStr">
        <is>
          <t>Solutions Engineer Manager, Associate Programs</t>
        </is>
      </c>
      <c r="E1451" s="7" t="inlineStr">
        <is>
          <t>Cloudflare</t>
        </is>
      </c>
      <c r="F1451" s="8" t="inlineStr">
        <is>
          <t>Distributed</t>
        </is>
      </c>
      <c r="G1451" s="8" t="n"/>
      <c r="H1451" s="14" t="n"/>
      <c r="I1451" s="15">
        <f>IF($H1451="","",$H1451-TODAY())</f>
        <v/>
      </c>
      <c r="J1451" s="16" t="inlineStr">
        <is>
          <t>Open posting</t>
        </is>
      </c>
      <c r="K1451" s="8" t="inlineStr">
        <is>
          <t>filtered by keyword pre-scan</t>
        </is>
      </c>
      <c r="L1451" s="17" t="inlineStr">
        <is>
          <t>new</t>
        </is>
      </c>
      <c r="M1451" s="18" t="inlineStr"/>
      <c r="N1451" s="7" t="inlineStr">
        <is>
          <t>17d5c5e7c53d415edc949281661563067d8c6152</t>
        </is>
      </c>
      <c r="O1451" s="14" t="n">
        <v>46171</v>
      </c>
      <c r="P1451" s="7" t="inlineStr">
        <is>
          <t>greenhouse:cloudflare</t>
        </is>
      </c>
      <c r="Q1451" s="8" t="inlineStr"/>
      <c r="R1451" s="8" t="n"/>
      <c r="S1451" s="19" t="n"/>
      <c r="T1451" s="19" t="n"/>
      <c r="U1451" s="14" t="n">
        <v>46191</v>
      </c>
      <c r="V1451" s="7" t="inlineStr">
        <is>
          <t>v2-cv-accuracy-13b988b18da8ea7d</t>
        </is>
      </c>
    </row>
    <row r="1452" ht="28" customHeight="1">
      <c r="A1452" s="12">
        <f>IF($L1452="applied","Applied",IF($L1452="interview","Interview",IF($L1452="offer","Offer",IF($L1452="rejected","Rejected",IF($L1452="ignore","Ignore",IF($L1452="archive","Archive",IF($L1452="closed","Closed",IF($B1452="","Unscored",IF(AND($B1452&gt;=8,OR($H1452="",$H1452-TODAY()&lt;=14)),"P1 Apply",IF($B1452&gt;=7,"P2 Strong",IF($B1452&gt;=5,"P3 Maybe","P4 Low")))))))))))</f>
        <v/>
      </c>
      <c r="B1452" s="13" t="n">
        <v>0</v>
      </c>
      <c r="C1452" s="12" t="inlineStr">
        <is>
          <t>Senior/Lead</t>
        </is>
      </c>
      <c r="D1452" s="8" t="inlineStr">
        <is>
          <t>Solutions Strategy Lead</t>
        </is>
      </c>
      <c r="E1452" s="7" t="inlineStr">
        <is>
          <t>Cloudflare</t>
        </is>
      </c>
      <c r="F1452" s="8" t="inlineStr">
        <is>
          <t>Hybrid</t>
        </is>
      </c>
      <c r="G1452" s="8" t="n"/>
      <c r="H1452" s="14" t="n"/>
      <c r="I1452" s="15">
        <f>IF($H1452="","",$H1452-TODAY())</f>
        <v/>
      </c>
      <c r="J1452" s="16" t="inlineStr">
        <is>
          <t>Open posting</t>
        </is>
      </c>
      <c r="K1452" s="8" t="inlineStr">
        <is>
          <t>filtered by keyword pre-scan</t>
        </is>
      </c>
      <c r="L1452" s="17" t="inlineStr">
        <is>
          <t>new</t>
        </is>
      </c>
      <c r="M1452" s="18" t="inlineStr"/>
      <c r="N1452" s="7" t="inlineStr">
        <is>
          <t>c214ce82bc64982f33a84aa1a0fef350049c4752</t>
        </is>
      </c>
      <c r="O1452" s="14" t="n">
        <v>46171</v>
      </c>
      <c r="P1452" s="7" t="inlineStr">
        <is>
          <t>greenhouse:cloudflare</t>
        </is>
      </c>
      <c r="Q1452" s="8" t="inlineStr"/>
      <c r="R1452" s="8" t="n"/>
      <c r="S1452" s="19" t="n"/>
      <c r="T1452" s="19" t="n"/>
      <c r="U1452" s="14" t="n">
        <v>46191</v>
      </c>
      <c r="V1452" s="7" t="inlineStr">
        <is>
          <t>v2-cv-accuracy-13b988b18da8ea7d</t>
        </is>
      </c>
    </row>
    <row r="1453" ht="28" customHeight="1">
      <c r="A1453" s="12">
        <f>IF($L1453="applied","Applied",IF($L1453="interview","Interview",IF($L1453="offer","Offer",IF($L1453="rejected","Rejected",IF($L1453="ignore","Ignore",IF($L1453="archive","Archive",IF($L1453="closed","Closed",IF($B1453="","Unscored",IF(AND($B1453&gt;=8,OR($H1453="",$H1453-TODAY()&lt;=14)),"P1 Apply",IF($B1453&gt;=7,"P2 Strong",IF($B1453&gt;=5,"P3 Maybe","P4 Low")))))))))))</f>
        <v/>
      </c>
      <c r="B1453" s="13" t="n">
        <v>0</v>
      </c>
      <c r="C1453" s="12" t="inlineStr">
        <is>
          <t>Internship</t>
        </is>
      </c>
      <c r="D1453" s="8" t="inlineStr">
        <is>
          <t>Technical Support Engineer Intern (July to December 2026)</t>
        </is>
      </c>
      <c r="E1453" s="7" t="inlineStr">
        <is>
          <t>Cloudflare</t>
        </is>
      </c>
      <c r="F1453" s="8" t="inlineStr">
        <is>
          <t>In-Office</t>
        </is>
      </c>
      <c r="G1453" s="8" t="n"/>
      <c r="H1453" s="14" t="n"/>
      <c r="I1453" s="15">
        <f>IF($H1453="","",$H1453-TODAY())</f>
        <v/>
      </c>
      <c r="J1453" s="16" t="inlineStr">
        <is>
          <t>Open posting</t>
        </is>
      </c>
      <c r="K1453" s="8" t="inlineStr">
        <is>
          <t>filtered by keyword pre-scan</t>
        </is>
      </c>
      <c r="L1453" s="17" t="inlineStr">
        <is>
          <t>new</t>
        </is>
      </c>
      <c r="M1453" s="18" t="inlineStr"/>
      <c r="N1453" s="7" t="inlineStr">
        <is>
          <t>9b287833b4f55959ba51b0b24e9769cfda56c97c</t>
        </is>
      </c>
      <c r="O1453" s="14" t="n">
        <v>46171</v>
      </c>
      <c r="P1453" s="7" t="inlineStr">
        <is>
          <t>greenhouse:cloudflare</t>
        </is>
      </c>
      <c r="Q1453" s="8" t="inlineStr"/>
      <c r="R1453" s="8" t="n"/>
      <c r="S1453" s="19" t="n"/>
      <c r="T1453" s="19" t="n"/>
      <c r="U1453" s="14" t="n">
        <v>46191</v>
      </c>
      <c r="V1453" s="7" t="inlineStr">
        <is>
          <t>v2-cv-accuracy-13b988b18da8ea7d</t>
        </is>
      </c>
    </row>
    <row r="1454" ht="28" customHeight="1">
      <c r="A1454" s="12">
        <f>IF($L1454="applied","Applied",IF($L1454="interview","Interview",IF($L1454="offer","Offer",IF($L1454="rejected","Rejected",IF($L1454="ignore","Ignore",IF($L1454="archive","Archive",IF($L1454="closed","Closed",IF($B1454="","Unscored",IF(AND($B1454&gt;=8,OR($H1454="",$H1454-TODAY()&lt;=14)),"P1 Apply",IF($B1454&gt;=7,"P2 Strong",IF($B1454&gt;=5,"P3 Maybe","P4 Low")))))))))))</f>
        <v/>
      </c>
      <c r="B1454" s="13" t="n">
        <v>0</v>
      </c>
      <c r="C1454" s="12" t="inlineStr">
        <is>
          <t>Internship</t>
        </is>
      </c>
      <c r="D1454" s="8" t="inlineStr">
        <is>
          <t>Threat Detection and Incident Response Intern (Summer 2026)</t>
        </is>
      </c>
      <c r="E1454" s="7" t="inlineStr">
        <is>
          <t>Cloudflare</t>
        </is>
      </c>
      <c r="F1454" s="8" t="inlineStr">
        <is>
          <t>In-Office</t>
        </is>
      </c>
      <c r="G1454" s="8" t="n"/>
      <c r="H1454" s="14" t="n"/>
      <c r="I1454" s="15">
        <f>IF($H1454="","",$H1454-TODAY())</f>
        <v/>
      </c>
      <c r="J1454" s="16" t="inlineStr">
        <is>
          <t>Open posting</t>
        </is>
      </c>
      <c r="K1454" s="8" t="inlineStr">
        <is>
          <t>filtered by keyword pre-scan</t>
        </is>
      </c>
      <c r="L1454" s="17" t="inlineStr">
        <is>
          <t>new</t>
        </is>
      </c>
      <c r="M1454" s="18" t="inlineStr"/>
      <c r="N1454" s="7" t="inlineStr">
        <is>
          <t>a71bc5afc2ccde57f2b4bb807878636445dfab02</t>
        </is>
      </c>
      <c r="O1454" s="14" t="n">
        <v>46171</v>
      </c>
      <c r="P1454" s="7" t="inlineStr">
        <is>
          <t>greenhouse:cloudflare</t>
        </is>
      </c>
      <c r="Q1454" s="8" t="inlineStr"/>
      <c r="R1454" s="8" t="n"/>
      <c r="S1454" s="19" t="n"/>
      <c r="T1454" s="19" t="n"/>
      <c r="U1454" s="14" t="n">
        <v>46191</v>
      </c>
      <c r="V1454" s="7" t="inlineStr">
        <is>
          <t>v2-cv-accuracy-13b988b18da8ea7d</t>
        </is>
      </c>
    </row>
    <row r="1455" ht="28" customHeight="1">
      <c r="A1455" s="12">
        <f>IF($L1455="applied","Applied",IF($L1455="interview","Interview",IF($L1455="offer","Offer",IF($L1455="rejected","Rejected",IF($L1455="ignore","Ignore",IF($L1455="archive","Archive",IF($L1455="closed","Closed",IF($B1455="","Unscored",IF(AND($B1455&gt;=8,OR($H1455="",$H1455-TODAY()&lt;=14)),"P1 Apply",IF($B1455&gt;=7,"P2 Strong",IF($B1455&gt;=5,"P3 Maybe","P4 Low")))))))))))</f>
        <v/>
      </c>
      <c r="B1455" s="13" t="n">
        <v>0</v>
      </c>
      <c r="C1455" s="12" t="inlineStr">
        <is>
          <t>Unspecified</t>
        </is>
      </c>
      <c r="D1455" s="8" t="inlineStr">
        <is>
          <t>Debug/Trace/Profiling Design Engineer</t>
        </is>
      </c>
      <c r="E1455" s="7" t="inlineStr">
        <is>
          <t>SiFive</t>
        </is>
      </c>
      <c r="F1455" s="8" t="inlineStr">
        <is>
          <t>4 Locations</t>
        </is>
      </c>
      <c r="G1455" s="8" t="n"/>
      <c r="H1455" s="14" t="n"/>
      <c r="I1455" s="15">
        <f>IF($H1455="","",$H1455-TODAY())</f>
        <v/>
      </c>
      <c r="J1455" s="16" t="inlineStr">
        <is>
          <t>Open posting</t>
        </is>
      </c>
      <c r="K1455" s="8" t="inlineStr">
        <is>
          <t>filtered by keyword pre-scan</t>
        </is>
      </c>
      <c r="L1455" s="17" t="inlineStr">
        <is>
          <t>new</t>
        </is>
      </c>
      <c r="M1455" s="18" t="inlineStr"/>
      <c r="N1455" s="7" t="inlineStr">
        <is>
          <t>d0613a0efa3801e5ef4b40b395c2cb722966466b</t>
        </is>
      </c>
      <c r="O1455" s="14" t="n"/>
      <c r="P1455" s="7" t="inlineStr">
        <is>
          <t>workday</t>
        </is>
      </c>
      <c r="Q1455" s="8" t="inlineStr"/>
      <c r="R1455" s="8" t="n"/>
      <c r="S1455" s="19" t="n"/>
      <c r="T1455" s="19" t="n"/>
      <c r="U1455" s="14" t="n">
        <v>46191</v>
      </c>
      <c r="V1455" s="7" t="inlineStr">
        <is>
          <t>v2-cv-accuracy-13b988b18da8ea7d</t>
        </is>
      </c>
    </row>
    <row r="1456" ht="28" customHeight="1">
      <c r="A1456" s="12">
        <f>IF($L1456="applied","Applied",IF($L1456="interview","Interview",IF($L1456="offer","Offer",IF($L1456="rejected","Rejected",IF($L1456="ignore","Ignore",IF($L1456="archive","Archive",IF($L1456="closed","Closed",IF($B1456="","Unscored",IF(AND($B1456&gt;=8,OR($H1456="",$H1456-TODAY()&lt;=14)),"P1 Apply",IF($B1456&gt;=7,"P2 Strong",IF($B1456&gt;=5,"P3 Maybe","P4 Low")))))))))))</f>
        <v/>
      </c>
      <c r="B1456" s="13" t="n">
        <v>0</v>
      </c>
      <c r="C1456" s="12" t="inlineStr">
        <is>
          <t>Senior/Lead</t>
        </is>
      </c>
      <c r="D1456" s="8" t="inlineStr">
        <is>
          <t>Lead Debug/Trace/Profiling Design Engineer</t>
        </is>
      </c>
      <c r="E1456" s="7" t="inlineStr">
        <is>
          <t>SiFive</t>
        </is>
      </c>
      <c r="F1456" s="8" t="inlineStr">
        <is>
          <t>4 Locations</t>
        </is>
      </c>
      <c r="G1456" s="8" t="n"/>
      <c r="H1456" s="14" t="n"/>
      <c r="I1456" s="15">
        <f>IF($H1456="","",$H1456-TODAY())</f>
        <v/>
      </c>
      <c r="J1456" s="16" t="inlineStr">
        <is>
          <t>Open posting</t>
        </is>
      </c>
      <c r="K1456" s="8" t="inlineStr">
        <is>
          <t>filtered by keyword pre-scan</t>
        </is>
      </c>
      <c r="L1456" s="17" t="inlineStr">
        <is>
          <t>new</t>
        </is>
      </c>
      <c r="M1456" s="18" t="inlineStr"/>
      <c r="N1456" s="7" t="inlineStr">
        <is>
          <t>dcec33457441a6d5e462c51470b1f2f4ce065175</t>
        </is>
      </c>
      <c r="O1456" s="14" t="n"/>
      <c r="P1456" s="7" t="inlineStr">
        <is>
          <t>workday</t>
        </is>
      </c>
      <c r="Q1456" s="8" t="inlineStr"/>
      <c r="R1456" s="8" t="n"/>
      <c r="S1456" s="19" t="n"/>
      <c r="T1456" s="19" t="n"/>
      <c r="U1456" s="14" t="n">
        <v>46191</v>
      </c>
      <c r="V1456" s="7" t="inlineStr">
        <is>
          <t>v2-cv-accuracy-13b988b18da8ea7d</t>
        </is>
      </c>
    </row>
    <row r="1457" ht="28" customHeight="1">
      <c r="A1457" s="12">
        <f>IF($L1457="applied","Applied",IF($L1457="interview","Interview",IF($L1457="offer","Offer",IF($L1457="rejected","Rejected",IF($L1457="ignore","Ignore",IF($L1457="archive","Archive",IF($L1457="closed","Closed",IF($B1457="","Unscored",IF(AND($B1457&gt;=8,OR($H1457="",$H1457-TODAY()&lt;=14)),"P1 Apply",IF($B1457&gt;=7,"P2 Strong",IF($B1457&gt;=5,"P3 Maybe","P4 Low")))))))))))</f>
        <v/>
      </c>
      <c r="B1457" s="13" t="n">
        <v>0</v>
      </c>
      <c r="C1457" s="12" t="inlineStr">
        <is>
          <t>Unspecified</t>
        </is>
      </c>
      <c r="D1457" s="8" t="inlineStr">
        <is>
          <t>Dyson Expert - Newcastle North Shields</t>
        </is>
      </c>
      <c r="E1457" s="7" t="inlineStr">
        <is>
          <t>Dyson</t>
        </is>
      </c>
      <c r="F1457" s="8" t="inlineStr">
        <is>
          <t>United Kingdom - England Remote</t>
        </is>
      </c>
      <c r="G1457" s="8" t="n"/>
      <c r="H1457" s="14" t="n"/>
      <c r="I1457" s="15">
        <f>IF($H1457="","",$H1457-TODAY())</f>
        <v/>
      </c>
      <c r="J1457" s="16" t="inlineStr">
        <is>
          <t>Open posting</t>
        </is>
      </c>
      <c r="K1457" s="8" t="inlineStr">
        <is>
          <t>filtered by keyword pre-scan</t>
        </is>
      </c>
      <c r="L1457" s="17" t="inlineStr">
        <is>
          <t>new</t>
        </is>
      </c>
      <c r="M1457" s="18" t="inlineStr"/>
      <c r="N1457" s="7" t="inlineStr">
        <is>
          <t>ab446a2743ab00b8dd84fbba201745387abe6d16</t>
        </is>
      </c>
      <c r="O1457" s="14" t="n"/>
      <c r="P1457" s="7" t="inlineStr">
        <is>
          <t>workday</t>
        </is>
      </c>
      <c r="Q1457" s="8" t="inlineStr"/>
      <c r="R1457" s="8" t="n"/>
      <c r="S1457" s="19" t="n"/>
      <c r="T1457" s="19" t="n"/>
      <c r="U1457" s="14" t="n">
        <v>46191</v>
      </c>
      <c r="V1457" s="7" t="inlineStr">
        <is>
          <t>v2-cv-accuracy-13b988b18da8ea7d</t>
        </is>
      </c>
    </row>
    <row r="1458" ht="28" customHeight="1">
      <c r="A1458" s="12">
        <f>IF($L1458="applied","Applied",IF($L1458="interview","Interview",IF($L1458="offer","Offer",IF($L1458="rejected","Rejected",IF($L1458="ignore","Ignore",IF($L1458="archive","Archive",IF($L1458="closed","Closed",IF($B1458="","Unscored",IF(AND($B1458&gt;=8,OR($H1458="",$H1458-TODAY()&lt;=14)),"P1 Apply",IF($B1458&gt;=7,"P2 Strong",IF($B1458&gt;=5,"P3 Maybe","P4 Low")))))))))))</f>
        <v/>
      </c>
      <c r="B1458" s="13" t="n">
        <v>0</v>
      </c>
      <c r="C1458" s="12" t="inlineStr">
        <is>
          <t>Senior/Lead</t>
        </is>
      </c>
      <c r="D1458" s="8" t="inlineStr">
        <is>
          <t>Associate Principal Engineer</t>
        </is>
      </c>
      <c r="E1458" s="7" t="inlineStr">
        <is>
          <t>Dyson</t>
        </is>
      </c>
      <c r="F1458" s="8" t="inlineStr">
        <is>
          <t>China - Shenzhen Office</t>
        </is>
      </c>
      <c r="G1458" s="8" t="n"/>
      <c r="H1458" s="14" t="n"/>
      <c r="I1458" s="15">
        <f>IF($H1458="","",$H1458-TODAY())</f>
        <v/>
      </c>
      <c r="J1458" s="16" t="inlineStr">
        <is>
          <t>Open posting</t>
        </is>
      </c>
      <c r="K1458" s="8" t="inlineStr">
        <is>
          <t>filtered by keyword pre-scan</t>
        </is>
      </c>
      <c r="L1458" s="17" t="inlineStr">
        <is>
          <t>new</t>
        </is>
      </c>
      <c r="M1458" s="18" t="inlineStr"/>
      <c r="N1458" s="7" t="inlineStr">
        <is>
          <t>ffd2070ac2f57f7d66bae617f31610710e5283f5</t>
        </is>
      </c>
      <c r="O1458" s="14" t="n"/>
      <c r="P1458" s="7" t="inlineStr">
        <is>
          <t>workday</t>
        </is>
      </c>
      <c r="Q1458" s="8" t="inlineStr"/>
      <c r="R1458" s="8" t="n"/>
      <c r="S1458" s="19" t="n"/>
      <c r="T1458" s="19" t="n"/>
      <c r="U1458" s="14" t="n">
        <v>46191</v>
      </c>
      <c r="V1458" s="7" t="inlineStr">
        <is>
          <t>v2-cv-accuracy-13b988b18da8ea7d</t>
        </is>
      </c>
    </row>
    <row r="1459" ht="28" customHeight="1">
      <c r="A1459" s="12">
        <f>IF($L1459="applied","Applied",IF($L1459="interview","Interview",IF($L1459="offer","Offer",IF($L1459="rejected","Rejected",IF($L1459="ignore","Ignore",IF($L1459="archive","Archive",IF($L1459="closed","Closed",IF($B1459="","Unscored",IF(AND($B1459&gt;=8,OR($H1459="",$H1459-TODAY()&lt;=14)),"P1 Apply",IF($B1459&gt;=7,"P2 Strong",IF($B1459&gt;=5,"P3 Maybe","P4 Low")))))))))))</f>
        <v/>
      </c>
      <c r="B1459" s="13" t="n">
        <v>0</v>
      </c>
      <c r="C1459" s="12" t="inlineStr">
        <is>
          <t>Unspecified</t>
        </is>
      </c>
      <c r="D1459" s="8" t="inlineStr">
        <is>
          <t>Service Parts Specialist</t>
        </is>
      </c>
      <c r="E1459" s="7" t="inlineStr">
        <is>
          <t>Dyson</t>
        </is>
      </c>
      <c r="F1459" s="8" t="inlineStr">
        <is>
          <t>China - Shenzhen Office</t>
        </is>
      </c>
      <c r="G1459" s="8" t="n"/>
      <c r="H1459" s="14" t="n"/>
      <c r="I1459" s="15">
        <f>IF($H1459="","",$H1459-TODAY())</f>
        <v/>
      </c>
      <c r="J1459" s="16" t="inlineStr">
        <is>
          <t>Open posting</t>
        </is>
      </c>
      <c r="K1459" s="8" t="inlineStr">
        <is>
          <t>filtered by keyword pre-scan</t>
        </is>
      </c>
      <c r="L1459" s="17" t="inlineStr">
        <is>
          <t>new</t>
        </is>
      </c>
      <c r="M1459" s="18" t="inlineStr"/>
      <c r="N1459" s="7" t="inlineStr">
        <is>
          <t>eebd25f40656bcdc782839f91c8db95c15c3137f</t>
        </is>
      </c>
      <c r="O1459" s="14" t="n"/>
      <c r="P1459" s="7" t="inlineStr">
        <is>
          <t>workday</t>
        </is>
      </c>
      <c r="Q1459" s="8" t="inlineStr"/>
      <c r="R1459" s="8" t="n"/>
      <c r="S1459" s="19" t="n"/>
      <c r="T1459" s="19" t="n"/>
      <c r="U1459" s="14" t="n">
        <v>46191</v>
      </c>
      <c r="V1459" s="7" t="inlineStr">
        <is>
          <t>v2-cv-accuracy-13b988b18da8ea7d</t>
        </is>
      </c>
    </row>
    <row r="1460" ht="28" customHeight="1">
      <c r="A1460" s="12">
        <f>IF($L1460="applied","Applied",IF($L1460="interview","Interview",IF($L1460="offer","Offer",IF($L1460="rejected","Rejected",IF($L1460="ignore","Ignore",IF($L1460="archive","Archive",IF($L1460="closed","Closed",IF($B1460="","Unscored",IF(AND($B1460&gt;=8,OR($H1460="",$H1460-TODAY()&lt;=14)),"P1 Apply",IF($B1460&gt;=7,"P2 Strong",IF($B1460&gt;=5,"P3 Maybe","P4 Low")))))))))))</f>
        <v/>
      </c>
      <c r="B1460" s="13" t="n">
        <v>0</v>
      </c>
      <c r="C1460" s="12" t="inlineStr">
        <is>
          <t>Senior/Lead</t>
        </is>
      </c>
      <c r="D1460" s="8" t="inlineStr">
        <is>
          <t>Senior Software Manager</t>
        </is>
      </c>
      <c r="E1460" s="7" t="inlineStr">
        <is>
          <t>Dyson</t>
        </is>
      </c>
      <c r="F1460" s="8" t="inlineStr">
        <is>
          <t>Philippines - Technology Campus</t>
        </is>
      </c>
      <c r="G1460" s="8" t="n"/>
      <c r="H1460" s="14" t="n"/>
      <c r="I1460" s="15">
        <f>IF($H1460="","",$H1460-TODAY())</f>
        <v/>
      </c>
      <c r="J1460" s="16" t="inlineStr">
        <is>
          <t>Open posting</t>
        </is>
      </c>
      <c r="K1460" s="8" t="inlineStr">
        <is>
          <t>filtered by keyword pre-scan</t>
        </is>
      </c>
      <c r="L1460" s="17" t="inlineStr">
        <is>
          <t>new</t>
        </is>
      </c>
      <c r="M1460" s="18" t="inlineStr"/>
      <c r="N1460" s="7" t="inlineStr">
        <is>
          <t>d2bb65e2693213eb961c51884d2385271bcdf1cc</t>
        </is>
      </c>
      <c r="O1460" s="14" t="n"/>
      <c r="P1460" s="7" t="inlineStr">
        <is>
          <t>workday</t>
        </is>
      </c>
      <c r="Q1460" s="8" t="inlineStr"/>
      <c r="R1460" s="8" t="n"/>
      <c r="S1460" s="19" t="n"/>
      <c r="T1460" s="19" t="n"/>
      <c r="U1460" s="14" t="n">
        <v>46191</v>
      </c>
      <c r="V1460" s="7" t="inlineStr">
        <is>
          <t>v2-cv-accuracy-13b988b18da8ea7d</t>
        </is>
      </c>
    </row>
    <row r="1461" ht="28" customHeight="1">
      <c r="A1461" s="12">
        <f>IF($L1461="applied","Applied",IF($L1461="interview","Interview",IF($L1461="offer","Offer",IF($L1461="rejected","Rejected",IF($L1461="ignore","Ignore",IF($L1461="archive","Archive",IF($L1461="closed","Closed",IF($B1461="","Unscored",IF(AND($B1461&gt;=8,OR($H1461="",$H1461-TODAY()&lt;=14)),"P1 Apply",IF($B1461&gt;=7,"P2 Strong",IF($B1461&gt;=5,"P3 Maybe","P4 Low")))))))))))</f>
        <v/>
      </c>
      <c r="B1461" s="13" t="n">
        <v>0</v>
      </c>
      <c r="C1461" s="12" t="inlineStr">
        <is>
          <t>Unspecified</t>
        </is>
      </c>
      <c r="D1461" s="8" t="inlineStr">
        <is>
          <t>Dyson Expert</t>
        </is>
      </c>
      <c r="E1461" s="7" t="inlineStr">
        <is>
          <t>Dyson</t>
        </is>
      </c>
      <c r="F1461" s="8" t="inlineStr">
        <is>
          <t>Canada - British Columbia Remote</t>
        </is>
      </c>
      <c r="G1461" s="8" t="n"/>
      <c r="H1461" s="14" t="n"/>
      <c r="I1461" s="15">
        <f>IF($H1461="","",$H1461-TODAY())</f>
        <v/>
      </c>
      <c r="J1461" s="16" t="inlineStr">
        <is>
          <t>Open posting</t>
        </is>
      </c>
      <c r="K1461" s="8" t="inlineStr">
        <is>
          <t>filtered by keyword pre-scan</t>
        </is>
      </c>
      <c r="L1461" s="17" t="inlineStr">
        <is>
          <t>new</t>
        </is>
      </c>
      <c r="M1461" s="18" t="inlineStr"/>
      <c r="N1461" s="7" t="inlineStr">
        <is>
          <t>92203d3b1721433b84b1c885cfee0c69432b1b3a</t>
        </is>
      </c>
      <c r="O1461" s="14" t="n"/>
      <c r="P1461" s="7" t="inlineStr">
        <is>
          <t>workday</t>
        </is>
      </c>
      <c r="Q1461" s="8" t="inlineStr"/>
      <c r="R1461" s="8" t="n"/>
      <c r="S1461" s="19" t="n"/>
      <c r="T1461" s="19" t="n"/>
      <c r="U1461" s="14" t="n">
        <v>46191</v>
      </c>
      <c r="V1461" s="7" t="inlineStr">
        <is>
          <t>v2-cv-accuracy-13b988b18da8ea7d</t>
        </is>
      </c>
    </row>
    <row r="1462" ht="28" customHeight="1">
      <c r="A1462" s="12">
        <f>IF($L1462="applied","Applied",IF($L1462="interview","Interview",IF($L1462="offer","Offer",IF($L1462="rejected","Rejected",IF($L1462="ignore","Ignore",IF($L1462="archive","Archive",IF($L1462="closed","Closed",IF($B1462="","Unscored",IF(AND($B1462&gt;=8,OR($H1462="",$H1462-TODAY()&lt;=14)),"P1 Apply",IF($B1462&gt;=7,"P2 Strong",IF($B1462&gt;=5,"P3 Maybe","P4 Low")))))))))))</f>
        <v/>
      </c>
      <c r="B1462" s="13" t="n">
        <v>0</v>
      </c>
      <c r="C1462" s="12" t="inlineStr">
        <is>
          <t>Unspecified</t>
        </is>
      </c>
      <c r="D1462" s="8" t="inlineStr">
        <is>
          <t>Dyson Expert - Milton Keynes Curry's (Part Time)</t>
        </is>
      </c>
      <c r="E1462" s="7" t="inlineStr">
        <is>
          <t>Dyson</t>
        </is>
      </c>
      <c r="F1462" s="8" t="inlineStr">
        <is>
          <t>United Kingdom - England Remote</t>
        </is>
      </c>
      <c r="G1462" s="8" t="n"/>
      <c r="H1462" s="14" t="n"/>
      <c r="I1462" s="15">
        <f>IF($H1462="","",$H1462-TODAY())</f>
        <v/>
      </c>
      <c r="J1462" s="16" t="inlineStr">
        <is>
          <t>Open posting</t>
        </is>
      </c>
      <c r="K1462" s="8" t="inlineStr">
        <is>
          <t>filtered by keyword pre-scan</t>
        </is>
      </c>
      <c r="L1462" s="17" t="inlineStr">
        <is>
          <t>new</t>
        </is>
      </c>
      <c r="M1462" s="18" t="inlineStr"/>
      <c r="N1462" s="7" t="inlineStr">
        <is>
          <t>cf3fcad7f6a303663ddab2c58fc77a9ccf15ecfa</t>
        </is>
      </c>
      <c r="O1462" s="14" t="n"/>
      <c r="P1462" s="7" t="inlineStr">
        <is>
          <t>workday</t>
        </is>
      </c>
      <c r="Q1462" s="8" t="inlineStr"/>
      <c r="R1462" s="8" t="n"/>
      <c r="S1462" s="19" t="n"/>
      <c r="T1462" s="19" t="n"/>
      <c r="U1462" s="14" t="n">
        <v>46191</v>
      </c>
      <c r="V1462" s="7" t="inlineStr">
        <is>
          <t>v2-cv-accuracy-13b988b18da8ea7d</t>
        </is>
      </c>
    </row>
    <row r="1463" ht="28" customHeight="1">
      <c r="A1463" s="12">
        <f>IF($L1463="applied","Applied",IF($L1463="interview","Interview",IF($L1463="offer","Offer",IF($L1463="rejected","Rejected",IF($L1463="ignore","Ignore",IF($L1463="archive","Archive",IF($L1463="closed","Closed",IF($B1463="","Unscored",IF(AND($B1463&gt;=8,OR($H1463="",$H1463-TODAY()&lt;=14)),"P1 Apply",IF($B1463&gt;=7,"P2 Strong",IF($B1463&gt;=5,"P3 Maybe","P4 Low")))))))))))</f>
        <v/>
      </c>
      <c r="B1463" s="13" t="n">
        <v>0</v>
      </c>
      <c r="C1463" s="12" t="inlineStr">
        <is>
          <t>Unspecified</t>
        </is>
      </c>
      <c r="D1463" s="8" t="inlineStr">
        <is>
          <t>Dyson Expert - London Staples Corner Curry's (Part Time)</t>
        </is>
      </c>
      <c r="E1463" s="7" t="inlineStr">
        <is>
          <t>Dyson</t>
        </is>
      </c>
      <c r="F1463" s="8" t="inlineStr">
        <is>
          <t>United Kingdom - England Remote</t>
        </is>
      </c>
      <c r="G1463" s="8" t="n"/>
      <c r="H1463" s="14" t="n"/>
      <c r="I1463" s="15">
        <f>IF($H1463="","",$H1463-TODAY())</f>
        <v/>
      </c>
      <c r="J1463" s="16" t="inlineStr">
        <is>
          <t>Open posting</t>
        </is>
      </c>
      <c r="K1463" s="8" t="inlineStr">
        <is>
          <t>filtered by keyword pre-scan</t>
        </is>
      </c>
      <c r="L1463" s="17" t="inlineStr">
        <is>
          <t>new</t>
        </is>
      </c>
      <c r="M1463" s="18" t="inlineStr"/>
      <c r="N1463" s="7" t="inlineStr">
        <is>
          <t>4cea4e1a543d61ea9e5fb2ff0b14228d01c7e581</t>
        </is>
      </c>
      <c r="O1463" s="14" t="n"/>
      <c r="P1463" s="7" t="inlineStr">
        <is>
          <t>workday</t>
        </is>
      </c>
      <c r="Q1463" s="8" t="inlineStr"/>
      <c r="R1463" s="8" t="n"/>
      <c r="S1463" s="19" t="n"/>
      <c r="T1463" s="19" t="n"/>
      <c r="U1463" s="14" t="n">
        <v>46191</v>
      </c>
      <c r="V1463" s="7" t="inlineStr">
        <is>
          <t>v2-cv-accuracy-13b988b18da8ea7d</t>
        </is>
      </c>
    </row>
    <row r="1464" ht="28" customHeight="1">
      <c r="A1464" s="12">
        <f>IF($L1464="applied","Applied",IF($L1464="interview","Interview",IF($L1464="offer","Offer",IF($L1464="rejected","Rejected",IF($L1464="ignore","Ignore",IF($L1464="archive","Archive",IF($L1464="closed","Closed",IF($B1464="","Unscored",IF(AND($B1464&gt;=8,OR($H1464="",$H1464-TODAY()&lt;=14)),"P1 Apply",IF($B1464&gt;=7,"P2 Strong",IF($B1464&gt;=5,"P3 Maybe","P4 Low")))))))))))</f>
        <v/>
      </c>
      <c r="B1464" s="13" t="n">
        <v>0</v>
      </c>
      <c r="C1464" s="12" t="inlineStr">
        <is>
          <t>Unspecified</t>
        </is>
      </c>
      <c r="D1464" s="8" t="inlineStr">
        <is>
          <t>Dyson Expert - Watford Curry's</t>
        </is>
      </c>
      <c r="E1464" s="7" t="inlineStr">
        <is>
          <t>Dyson</t>
        </is>
      </c>
      <c r="F1464" s="8" t="inlineStr">
        <is>
          <t>United Kingdom - England Remote</t>
        </is>
      </c>
      <c r="G1464" s="8" t="n"/>
      <c r="H1464" s="14" t="n"/>
      <c r="I1464" s="15">
        <f>IF($H1464="","",$H1464-TODAY())</f>
        <v/>
      </c>
      <c r="J1464" s="16" t="inlineStr">
        <is>
          <t>Open posting</t>
        </is>
      </c>
      <c r="K1464" s="8" t="inlineStr">
        <is>
          <t>filtered by keyword pre-scan</t>
        </is>
      </c>
      <c r="L1464" s="17" t="inlineStr">
        <is>
          <t>new</t>
        </is>
      </c>
      <c r="M1464" s="18" t="inlineStr"/>
      <c r="N1464" s="7" t="inlineStr">
        <is>
          <t>c13941f05ab78546c8dccceff8ab2ae5ac393bb4</t>
        </is>
      </c>
      <c r="O1464" s="14" t="n"/>
      <c r="P1464" s="7" t="inlineStr">
        <is>
          <t>workday</t>
        </is>
      </c>
      <c r="Q1464" s="8" t="inlineStr"/>
      <c r="R1464" s="8" t="n"/>
      <c r="S1464" s="19" t="n"/>
      <c r="T1464" s="19" t="n"/>
      <c r="U1464" s="14" t="n">
        <v>46191</v>
      </c>
      <c r="V1464" s="7" t="inlineStr">
        <is>
          <t>v2-cv-accuracy-13b988b18da8ea7d</t>
        </is>
      </c>
    </row>
    <row r="1465" ht="28" customHeight="1">
      <c r="A1465" s="12">
        <f>IF($L1465="applied","Applied",IF($L1465="interview","Interview",IF($L1465="offer","Offer",IF($L1465="rejected","Rejected",IF($L1465="ignore","Ignore",IF($L1465="archive","Archive",IF($L1465="closed","Closed",IF($B1465="","Unscored",IF(AND($B1465&gt;=8,OR($H1465="",$H1465-TODAY()&lt;=14)),"P1 Apply",IF($B1465&gt;=7,"P2 Strong",IF($B1465&gt;=5,"P3 Maybe","P4 Low")))))))))))</f>
        <v/>
      </c>
      <c r="B1465" s="13" t="n">
        <v>0</v>
      </c>
      <c r="C1465" s="12" t="inlineStr">
        <is>
          <t>Manager/Owner</t>
        </is>
      </c>
      <c r="D1465" s="8" t="inlineStr">
        <is>
          <t>Assistant Store Manager - Ankara Panora AVM</t>
        </is>
      </c>
      <c r="E1465" s="7" t="inlineStr">
        <is>
          <t>Dyson</t>
        </is>
      </c>
      <c r="F1465" s="8" t="inlineStr">
        <is>
          <t>Turkey - Ankara Panora Demo Zone</t>
        </is>
      </c>
      <c r="G1465" s="8" t="n"/>
      <c r="H1465" s="14" t="n"/>
      <c r="I1465" s="15">
        <f>IF($H1465="","",$H1465-TODAY())</f>
        <v/>
      </c>
      <c r="J1465" s="16" t="inlineStr">
        <is>
          <t>Open posting</t>
        </is>
      </c>
      <c r="K1465" s="8" t="inlineStr">
        <is>
          <t>filtered by keyword pre-scan</t>
        </is>
      </c>
      <c r="L1465" s="17" t="inlineStr">
        <is>
          <t>new</t>
        </is>
      </c>
      <c r="M1465" s="18" t="inlineStr"/>
      <c r="N1465" s="7" t="inlineStr">
        <is>
          <t>ae50b9b0f8f1cef05ea9bda9be862e88befbb95f</t>
        </is>
      </c>
      <c r="O1465" s="14" t="n"/>
      <c r="P1465" s="7" t="inlineStr">
        <is>
          <t>workday</t>
        </is>
      </c>
      <c r="Q1465" s="8" t="inlineStr"/>
      <c r="R1465" s="8" t="n"/>
      <c r="S1465" s="19" t="n"/>
      <c r="T1465" s="19" t="n"/>
      <c r="U1465" s="14" t="n">
        <v>46191</v>
      </c>
      <c r="V1465" s="7" t="inlineStr">
        <is>
          <t>v2-cv-accuracy-13b988b18da8ea7d</t>
        </is>
      </c>
    </row>
    <row r="1466" ht="28" customHeight="1">
      <c r="A1466" s="12">
        <f>IF($L1466="applied","Applied",IF($L1466="interview","Interview",IF($L1466="offer","Offer",IF($L1466="rejected","Rejected",IF($L1466="ignore","Ignore",IF($L1466="archive","Archive",IF($L1466="closed","Closed",IF($B1466="","Unscored",IF(AND($B1466&gt;=8,OR($H1466="",$H1466-TODAY()&lt;=14)),"P1 Apply",IF($B1466&gt;=7,"P2 Strong",IF($B1466&gt;=5,"P3 Maybe","P4 Low")))))))))))</f>
        <v/>
      </c>
      <c r="B1466" s="13" t="n">
        <v>0</v>
      </c>
      <c r="C1466" s="12" t="inlineStr">
        <is>
          <t>Unspecified</t>
        </is>
      </c>
      <c r="D1466" s="8" t="inlineStr">
        <is>
          <t>Hair Stylist - Ankara Panora AVM</t>
        </is>
      </c>
      <c r="E1466" s="7" t="inlineStr">
        <is>
          <t>Dyson</t>
        </is>
      </c>
      <c r="F1466" s="8" t="inlineStr">
        <is>
          <t>Turkey - Ankara Panora Demo Zone</t>
        </is>
      </c>
      <c r="G1466" s="8" t="n"/>
      <c r="H1466" s="14" t="n"/>
      <c r="I1466" s="15">
        <f>IF($H1466="","",$H1466-TODAY())</f>
        <v/>
      </c>
      <c r="J1466" s="16" t="inlineStr">
        <is>
          <t>Open posting</t>
        </is>
      </c>
      <c r="K1466" s="8" t="inlineStr">
        <is>
          <t>filtered by keyword pre-scan</t>
        </is>
      </c>
      <c r="L1466" s="17" t="inlineStr">
        <is>
          <t>new</t>
        </is>
      </c>
      <c r="M1466" s="18" t="inlineStr"/>
      <c r="N1466" s="7" t="inlineStr">
        <is>
          <t>784ef91a744ea1049ed5dc444a0fea7d7c70f9f0</t>
        </is>
      </c>
      <c r="O1466" s="14" t="n"/>
      <c r="P1466" s="7" t="inlineStr">
        <is>
          <t>workday</t>
        </is>
      </c>
      <c r="Q1466" s="8" t="inlineStr"/>
      <c r="R1466" s="8" t="n"/>
      <c r="S1466" s="19" t="n"/>
      <c r="T1466" s="19" t="n"/>
      <c r="U1466" s="14" t="n">
        <v>46191</v>
      </c>
      <c r="V1466" s="7" t="inlineStr">
        <is>
          <t>v2-cv-accuracy-13b988b18da8ea7d</t>
        </is>
      </c>
    </row>
    <row r="1467" ht="28" customHeight="1">
      <c r="A1467" s="12">
        <f>IF($L1467="applied","Applied",IF($L1467="interview","Interview",IF($L1467="offer","Offer",IF($L1467="rejected","Rejected",IF($L1467="ignore","Ignore",IF($L1467="archive","Archive",IF($L1467="closed","Closed",IF($B1467="","Unscored",IF(AND($B1467&gt;=8,OR($H1467="",$H1467-TODAY()&lt;=14)),"P1 Apply",IF($B1467&gt;=7,"P2 Strong",IF($B1467&gt;=5,"P3 Maybe","P4 Low")))))))))))</f>
        <v/>
      </c>
      <c r="B1467" s="13" t="n">
        <v>0</v>
      </c>
      <c r="C1467" s="12" t="inlineStr">
        <is>
          <t>Unspecified</t>
        </is>
      </c>
      <c r="D1467" s="8" t="inlineStr">
        <is>
          <t>Category Planner - Central Hub (Maternity Leave)</t>
        </is>
      </c>
      <c r="E1467" s="7" t="inlineStr">
        <is>
          <t>Dyson</t>
        </is>
      </c>
      <c r="F1467" s="8" t="inlineStr">
        <is>
          <t>Netherlands - Amsterdam Office</t>
        </is>
      </c>
      <c r="G1467" s="8" t="n"/>
      <c r="H1467" s="14" t="n"/>
      <c r="I1467" s="15">
        <f>IF($H1467="","",$H1467-TODAY())</f>
        <v/>
      </c>
      <c r="J1467" s="16" t="inlineStr">
        <is>
          <t>Open posting</t>
        </is>
      </c>
      <c r="K1467" s="8" t="inlineStr">
        <is>
          <t>filtered by keyword pre-scan</t>
        </is>
      </c>
      <c r="L1467" s="17" t="inlineStr">
        <is>
          <t>new</t>
        </is>
      </c>
      <c r="M1467" s="18" t="inlineStr"/>
      <c r="N1467" s="7" t="inlineStr">
        <is>
          <t>85230a4a4e289c60736256ed06de0571fc96cd19</t>
        </is>
      </c>
      <c r="O1467" s="14" t="n"/>
      <c r="P1467" s="7" t="inlineStr">
        <is>
          <t>workday</t>
        </is>
      </c>
      <c r="Q1467" s="8" t="inlineStr"/>
      <c r="R1467" s="8" t="n"/>
      <c r="S1467" s="19" t="n"/>
      <c r="T1467" s="19" t="n"/>
      <c r="U1467" s="14" t="n">
        <v>46191</v>
      </c>
      <c r="V1467" s="7" t="inlineStr">
        <is>
          <t>v2-cv-accuracy-13b988b18da8ea7d</t>
        </is>
      </c>
    </row>
    <row r="1468" ht="28" customHeight="1">
      <c r="A1468" s="12">
        <f>IF($L1468="applied","Applied",IF($L1468="interview","Interview",IF($L1468="offer","Offer",IF($L1468="rejected","Rejected",IF($L1468="ignore","Ignore",IF($L1468="archive","Archive",IF($L1468="closed","Closed",IF($B1468="","Unscored",IF(AND($B1468&gt;=8,OR($H1468="",$H1468-TODAY()&lt;=14)),"P1 Apply",IF($B1468&gt;=7,"P2 Strong",IF($B1468&gt;=5,"P3 Maybe","P4 Low")))))))))))</f>
        <v/>
      </c>
      <c r="B1468" s="13" t="n">
        <v>0</v>
      </c>
      <c r="C1468" s="12" t="inlineStr">
        <is>
          <t>Unspecified</t>
        </is>
      </c>
      <c r="D1468" s="8" t="inlineStr">
        <is>
          <t>Security Shift Officer</t>
        </is>
      </c>
      <c r="E1468" s="7" t="inlineStr">
        <is>
          <t>Dyson</t>
        </is>
      </c>
      <c r="F1468" s="8" t="inlineStr">
        <is>
          <t>United Kingdom - Malmesbury Office</t>
        </is>
      </c>
      <c r="G1468" s="8" t="n"/>
      <c r="H1468" s="14" t="n"/>
      <c r="I1468" s="15">
        <f>IF($H1468="","",$H1468-TODAY())</f>
        <v/>
      </c>
      <c r="J1468" s="16" t="inlineStr">
        <is>
          <t>Open posting</t>
        </is>
      </c>
      <c r="K1468" s="8" t="inlineStr">
        <is>
          <t>filtered by keyword pre-scan</t>
        </is>
      </c>
      <c r="L1468" s="17" t="inlineStr">
        <is>
          <t>new</t>
        </is>
      </c>
      <c r="M1468" s="18" t="inlineStr"/>
      <c r="N1468" s="7" t="inlineStr">
        <is>
          <t>420b62aece1cc35b3f1bb5dd262e16cfa5f70690</t>
        </is>
      </c>
      <c r="O1468" s="14" t="n"/>
      <c r="P1468" s="7" t="inlineStr">
        <is>
          <t>workday</t>
        </is>
      </c>
      <c r="Q1468" s="8" t="inlineStr"/>
      <c r="R1468" s="8" t="n"/>
      <c r="S1468" s="19" t="n"/>
      <c r="T1468" s="19" t="n"/>
      <c r="U1468" s="14" t="n">
        <v>46191</v>
      </c>
      <c r="V1468" s="7" t="inlineStr">
        <is>
          <t>v2-cv-accuracy-13b988b18da8ea7d</t>
        </is>
      </c>
    </row>
    <row r="1469" ht="28" customHeight="1">
      <c r="A1469" s="12">
        <f>IF($L1469="applied","Applied",IF($L1469="interview","Interview",IF($L1469="offer","Offer",IF($L1469="rejected","Rejected",IF($L1469="ignore","Ignore",IF($L1469="archive","Archive",IF($L1469="closed","Closed",IF($B1469="","Unscored",IF(AND($B1469&gt;=8,OR($H1469="",$H1469-TODAY()&lt;=14)),"P1 Apply",IF($B1469&gt;=7,"P2 Strong",IF($B1469&gt;=5,"P3 Maybe","P4 Low")))))))))))</f>
        <v/>
      </c>
      <c r="B1469" s="13" t="n">
        <v>0</v>
      </c>
      <c r="C1469" s="12" t="inlineStr">
        <is>
          <t>Senior/Lead</t>
        </is>
      </c>
      <c r="D1469" s="8" t="inlineStr">
        <is>
          <t>Delivery Lead</t>
        </is>
      </c>
      <c r="E1469" s="7" t="inlineStr">
        <is>
          <t>Dyson</t>
        </is>
      </c>
      <c r="F1469" s="8" t="inlineStr">
        <is>
          <t>Turkey - Istanbul Office</t>
        </is>
      </c>
      <c r="G1469" s="8" t="n"/>
      <c r="H1469" s="14" t="n"/>
      <c r="I1469" s="15">
        <f>IF($H1469="","",$H1469-TODAY())</f>
        <v/>
      </c>
      <c r="J1469" s="16" t="inlineStr">
        <is>
          <t>Open posting</t>
        </is>
      </c>
      <c r="K1469" s="8" t="inlineStr">
        <is>
          <t>filtered by keyword pre-scan</t>
        </is>
      </c>
      <c r="L1469" s="17" t="inlineStr">
        <is>
          <t>new</t>
        </is>
      </c>
      <c r="M1469" s="18" t="inlineStr"/>
      <c r="N1469" s="7" t="inlineStr">
        <is>
          <t>abf14735e34699383201903a4ac78323648cebff</t>
        </is>
      </c>
      <c r="O1469" s="14" t="n"/>
      <c r="P1469" s="7" t="inlineStr">
        <is>
          <t>workday</t>
        </is>
      </c>
      <c r="Q1469" s="8" t="inlineStr"/>
      <c r="R1469" s="8" t="n"/>
      <c r="S1469" s="19" t="n"/>
      <c r="T1469" s="19" t="n"/>
      <c r="U1469" s="14" t="n">
        <v>46191</v>
      </c>
      <c r="V1469" s="7" t="inlineStr">
        <is>
          <t>v2-cv-accuracy-13b988b18da8ea7d</t>
        </is>
      </c>
    </row>
    <row r="1470" ht="28" customHeight="1">
      <c r="A1470" s="12">
        <f>IF($L1470="applied","Applied",IF($L1470="interview","Interview",IF($L1470="offer","Offer",IF($L1470="rejected","Rejected",IF($L1470="ignore","Ignore",IF($L1470="archive","Archive",IF($L1470="closed","Closed",IF($B1470="","Unscored",IF(AND($B1470&gt;=8,OR($H1470="",$H1470-TODAY()&lt;=14)),"P1 Apply",IF($B1470&gt;=7,"P2 Strong",IF($B1470&gt;=5,"P3 Maybe","P4 Low")))))))))))</f>
        <v/>
      </c>
      <c r="B1470" s="13" t="n">
        <v>0</v>
      </c>
      <c r="C1470" s="12" t="inlineStr">
        <is>
          <t>Senior/Lead</t>
        </is>
      </c>
      <c r="D1470" s="8" t="inlineStr">
        <is>
          <t>Senior Software Engineer, Spectacles</t>
        </is>
      </c>
      <c r="E1470" s="7" t="inlineStr">
        <is>
          <t>Snap Inc.</t>
        </is>
      </c>
      <c r="F1470" s="8" t="inlineStr">
        <is>
          <t>London, ENG, GB</t>
        </is>
      </c>
      <c r="G1470" s="8" t="n"/>
      <c r="H1470" s="14" t="n"/>
      <c r="I1470" s="15">
        <f>IF($H1470="","",$H1470-TODAY())</f>
        <v/>
      </c>
      <c r="J1470" s="16" t="inlineStr">
        <is>
          <t>Open posting</t>
        </is>
      </c>
      <c r="K1470" s="8" t="inlineStr">
        <is>
          <t>filtered by keyword pre-scan</t>
        </is>
      </c>
      <c r="L1470" s="17" t="inlineStr">
        <is>
          <t>new</t>
        </is>
      </c>
      <c r="M1470" s="18" t="inlineStr"/>
      <c r="N1470" s="7" t="inlineStr">
        <is>
          <t>7d303705c9b629088cdb261d8954b46aff5907b3</t>
        </is>
      </c>
      <c r="O1470" s="14" t="n">
        <v>46190</v>
      </c>
      <c r="P1470" s="7" t="inlineStr">
        <is>
          <t>jobspy</t>
        </is>
      </c>
      <c r="Q1470" s="8" t="inlineStr">
        <is>
          <t>software development</t>
        </is>
      </c>
      <c r="R1470" s="8" t="inlineStr">
        <is>
          <t>Graduate Software Developer</t>
        </is>
      </c>
      <c r="S1470" s="19" t="n"/>
      <c r="T1470" s="19" t="n"/>
      <c r="U1470" s="14" t="n">
        <v>46191</v>
      </c>
      <c r="V1470" s="7" t="inlineStr">
        <is>
          <t>v2-cv-accuracy-13b988b18da8ea7d</t>
        </is>
      </c>
    </row>
    <row r="1471" ht="28" customHeight="1">
      <c r="A1471" s="12">
        <f>IF($L1471="applied","Applied",IF($L1471="interview","Interview",IF($L1471="offer","Offer",IF($L1471="rejected","Rejected",IF($L1471="ignore","Ignore",IF($L1471="archive","Archive",IF($L1471="closed","Closed",IF($B1471="","Unscored",IF(AND($B1471&gt;=8,OR($H1471="",$H1471-TODAY()&lt;=14)),"P1 Apply",IF($B1471&gt;=7,"P2 Strong",IF($B1471&gt;=5,"P3 Maybe","P4 Low")))))))))))</f>
        <v/>
      </c>
      <c r="B1471" s="13" t="n">
        <v>0</v>
      </c>
      <c r="C1471" s="12" t="inlineStr">
        <is>
          <t>Graduate/Entry</t>
        </is>
      </c>
      <c r="D1471" s="8" t="inlineStr">
        <is>
          <t>Software Engineer, Junior / Graduate (m/f/*)</t>
        </is>
      </c>
      <c r="E1471" s="7" t="inlineStr">
        <is>
          <t>Quaisr</t>
        </is>
      </c>
      <c r="F1471" s="8" t="inlineStr">
        <is>
          <t>London, ENG, GB</t>
        </is>
      </c>
      <c r="G1471" s="8" t="n"/>
      <c r="H1471" s="14" t="n"/>
      <c r="I1471" s="15">
        <f>IF($H1471="","",$H1471-TODAY())</f>
        <v/>
      </c>
      <c r="J1471" s="16" t="inlineStr">
        <is>
          <t>Open posting</t>
        </is>
      </c>
      <c r="K1471" s="8" t="inlineStr">
        <is>
          <t>filtered by keyword pre-scan</t>
        </is>
      </c>
      <c r="L1471" s="17" t="inlineStr">
        <is>
          <t>new</t>
        </is>
      </c>
      <c r="M1471" s="18" t="inlineStr"/>
      <c r="N1471" s="7" t="inlineStr">
        <is>
          <t>16e7c21737d7d26945e4fcdebd8d5acb22e82050</t>
        </is>
      </c>
      <c r="O1471" s="14" t="n">
        <v>46190</v>
      </c>
      <c r="P1471" s="7" t="inlineStr">
        <is>
          <t>jobspy</t>
        </is>
      </c>
      <c r="Q1471" s="8" t="inlineStr">
        <is>
          <t>software development</t>
        </is>
      </c>
      <c r="R1471" s="8" t="inlineStr">
        <is>
          <t>Graduate Software Developer</t>
        </is>
      </c>
      <c r="S1471" s="19" t="n"/>
      <c r="T1471" s="19" t="n"/>
      <c r="U1471" s="14" t="n">
        <v>46191</v>
      </c>
      <c r="V1471" s="7" t="inlineStr">
        <is>
          <t>v2-cv-accuracy-13b988b18da8ea7d</t>
        </is>
      </c>
    </row>
    <row r="1472" ht="28" customHeight="1">
      <c r="A1472" s="12">
        <f>IF($L1472="applied","Applied",IF($L1472="interview","Interview",IF($L1472="offer","Offer",IF($L1472="rejected","Rejected",IF($L1472="ignore","Ignore",IF($L1472="archive","Archive",IF($L1472="closed","Closed",IF($B1472="","Unscored",IF(AND($B1472&gt;=8,OR($H1472="",$H1472-TODAY()&lt;=14)),"P1 Apply",IF($B1472&gt;=7,"P2 Strong",IF($B1472&gt;=5,"P3 Maybe","P4 Low")))))))))))</f>
        <v/>
      </c>
      <c r="B1472" s="13" t="n">
        <v>0</v>
      </c>
      <c r="C1472" s="12" t="inlineStr">
        <is>
          <t>Senior/Lead</t>
        </is>
      </c>
      <c r="D1472" s="8" t="inlineStr">
        <is>
          <t>Lead Full Stack Developer</t>
        </is>
      </c>
      <c r="E1472" s="7" t="inlineStr">
        <is>
          <t>TD</t>
        </is>
      </c>
      <c r="F1472" s="8" t="inlineStr">
        <is>
          <t>Belfast, NIR, GB</t>
        </is>
      </c>
      <c r="G1472" s="8" t="n"/>
      <c r="H1472" s="14" t="n"/>
      <c r="I1472" s="15">
        <f>IF($H1472="","",$H1472-TODAY())</f>
        <v/>
      </c>
      <c r="J1472" s="16" t="inlineStr">
        <is>
          <t>Open posting</t>
        </is>
      </c>
      <c r="K1472" s="8" t="inlineStr">
        <is>
          <t>filtered by keyword pre-scan</t>
        </is>
      </c>
      <c r="L1472" s="17" t="inlineStr">
        <is>
          <t>new</t>
        </is>
      </c>
      <c r="M1472" s="18" t="inlineStr"/>
      <c r="N1472" s="7" t="inlineStr">
        <is>
          <t>3e641a685371868b559f4d126ce88f5e1648fce8</t>
        </is>
      </c>
      <c r="O1472" s="14" t="n">
        <v>46190</v>
      </c>
      <c r="P1472" s="7" t="inlineStr">
        <is>
          <t>jobspy</t>
        </is>
      </c>
      <c r="Q1472" s="8" t="inlineStr"/>
      <c r="R1472" s="8" t="inlineStr">
        <is>
          <t>Graduate Software Developer</t>
        </is>
      </c>
      <c r="S1472" s="19" t="n"/>
      <c r="T1472" s="19" t="n"/>
      <c r="U1472" s="14" t="n">
        <v>46191</v>
      </c>
      <c r="V1472" s="7" t="inlineStr">
        <is>
          <t>v2-cv-accuracy-13b988b18da8ea7d</t>
        </is>
      </c>
    </row>
    <row r="1473" ht="28" customHeight="1">
      <c r="A1473" s="12">
        <f>IF($L1473="applied","Applied",IF($L1473="interview","Interview",IF($L1473="offer","Offer",IF($L1473="rejected","Rejected",IF($L1473="ignore","Ignore",IF($L1473="archive","Archive",IF($L1473="closed","Closed",IF($B1473="","Unscored",IF(AND($B1473&gt;=8,OR($H1473="",$H1473-TODAY()&lt;=14)),"P1 Apply",IF($B1473&gt;=7,"P2 Strong",IF($B1473&gt;=5,"P3 Maybe","P4 Low")))))))))))</f>
        <v/>
      </c>
      <c r="B1473" s="13" t="n">
        <v>0</v>
      </c>
      <c r="C1473" s="12" t="inlineStr">
        <is>
          <t>Manager/Owner</t>
        </is>
      </c>
      <c r="D1473" s="8" t="inlineStr">
        <is>
          <t>Global Mobility Technology - Assistant Manager</t>
        </is>
      </c>
      <c r="E1473" s="7" t="inlineStr">
        <is>
          <t>KPMG</t>
        </is>
      </c>
      <c r="F1473" s="8" t="inlineStr">
        <is>
          <t>London, ENG, GB</t>
        </is>
      </c>
      <c r="G1473" s="8" t="n"/>
      <c r="H1473" s="14" t="n"/>
      <c r="I1473" s="15">
        <f>IF($H1473="","",$H1473-TODAY())</f>
        <v/>
      </c>
      <c r="J1473" s="16" t="inlineStr">
        <is>
          <t>Open posting</t>
        </is>
      </c>
      <c r="K1473" s="8" t="inlineStr">
        <is>
          <t>filtered by keyword pre-scan</t>
        </is>
      </c>
      <c r="L1473" s="17" t="inlineStr">
        <is>
          <t>new</t>
        </is>
      </c>
      <c r="M1473" s="18" t="inlineStr"/>
      <c r="N1473" s="7" t="inlineStr">
        <is>
          <t>e8916bf4efca475ae771bfed0a8e13de7a5e03a9</t>
        </is>
      </c>
      <c r="O1473" s="14" t="n">
        <v>46190</v>
      </c>
      <c r="P1473" s="7" t="inlineStr">
        <is>
          <t>jobspy</t>
        </is>
      </c>
      <c r="Q1473" s="8" t="inlineStr">
        <is>
          <t>git</t>
        </is>
      </c>
      <c r="R1473" s="8" t="inlineStr">
        <is>
          <t>Graduate Software Developer</t>
        </is>
      </c>
      <c r="S1473" s="19" t="n"/>
      <c r="T1473" s="19" t="n"/>
      <c r="U1473" s="14" t="n">
        <v>46191</v>
      </c>
      <c r="V1473" s="7" t="inlineStr">
        <is>
          <t>v2-cv-accuracy-13b988b18da8ea7d</t>
        </is>
      </c>
    </row>
    <row r="1474" ht="28" customHeight="1">
      <c r="A1474" s="12">
        <f>IF($L1474="applied","Applied",IF($L1474="interview","Interview",IF($L1474="offer","Offer",IF($L1474="rejected","Rejected",IF($L1474="ignore","Ignore",IF($L1474="archive","Archive",IF($L1474="closed","Closed",IF($B1474="","Unscored",IF(AND($B1474&gt;=8,OR($H1474="",$H1474-TODAY()&lt;=14)),"P1 Apply",IF($B1474&gt;=7,"P2 Strong",IF($B1474&gt;=5,"P3 Maybe","P4 Low")))))))))))</f>
        <v/>
      </c>
      <c r="B1474" s="13" t="n">
        <v>0</v>
      </c>
      <c r="C1474" s="12" t="inlineStr">
        <is>
          <t>Senior/Lead</t>
        </is>
      </c>
      <c r="D1474" s="8" t="inlineStr">
        <is>
          <t>Senior Analyst Developer, Senior Vice President</t>
        </is>
      </c>
      <c r="E1474" s="7" t="inlineStr">
        <is>
          <t>Citi</t>
        </is>
      </c>
      <c r="F1474" s="8" t="inlineStr">
        <is>
          <t>London, ENG, GB</t>
        </is>
      </c>
      <c r="G1474" s="8" t="n"/>
      <c r="H1474" s="14" t="n"/>
      <c r="I1474" s="15">
        <f>IF($H1474="","",$H1474-TODAY())</f>
        <v/>
      </c>
      <c r="J1474" s="16" t="inlineStr">
        <is>
          <t>Open posting</t>
        </is>
      </c>
      <c r="K1474" s="8" t="inlineStr">
        <is>
          <t>filtered by keyword pre-scan</t>
        </is>
      </c>
      <c r="L1474" s="17" t="inlineStr">
        <is>
          <t>new</t>
        </is>
      </c>
      <c r="M1474" s="18" t="inlineStr"/>
      <c r="N1474" s="7" t="inlineStr">
        <is>
          <t>7ecf03b0cdced88b0dd98a7da8091144ee9a58c6</t>
        </is>
      </c>
      <c r="O1474" s="14" t="n">
        <v>46189</v>
      </c>
      <c r="P1474" s="7" t="inlineStr">
        <is>
          <t>jobspy</t>
        </is>
      </c>
      <c r="Q1474" s="8" t="inlineStr">
        <is>
          <t>sql, git</t>
        </is>
      </c>
      <c r="R1474" s="8" t="inlineStr">
        <is>
          <t>Graduate Software Developer</t>
        </is>
      </c>
      <c r="S1474" s="19" t="n"/>
      <c r="T1474" s="19" t="n"/>
      <c r="U1474" s="14" t="n">
        <v>46191</v>
      </c>
      <c r="V1474" s="7" t="inlineStr">
        <is>
          <t>v2-cv-accuracy-13b988b18da8ea7d</t>
        </is>
      </c>
    </row>
    <row r="1475" ht="28" customHeight="1">
      <c r="A1475" s="12">
        <f>IF($L1475="applied","Applied",IF($L1475="interview","Interview",IF($L1475="offer","Offer",IF($L1475="rejected","Rejected",IF($L1475="ignore","Ignore",IF($L1475="archive","Archive",IF($L1475="closed","Closed",IF($B1475="","Unscored",IF(AND($B1475&gt;=8,OR($H1475="",$H1475-TODAY()&lt;=14)),"P1 Apply",IF($B1475&gt;=7,"P2 Strong",IF($B1475&gt;=5,"P3 Maybe","P4 Low")))))))))))</f>
        <v/>
      </c>
      <c r="B1475" s="13" t="n">
        <v>0</v>
      </c>
      <c r="C1475" s="12" t="inlineStr">
        <is>
          <t>Senior/Lead</t>
        </is>
      </c>
      <c r="D1475" s="8" t="inlineStr">
        <is>
          <t>Surveyor - Senior Surveyor - Valuation &amp; Asset Advisory - Specialist Valuations</t>
        </is>
      </c>
      <c r="E1475" s="7" t="inlineStr">
        <is>
          <t>Montagu Evans LLP</t>
        </is>
      </c>
      <c r="F1475" s="8" t="inlineStr">
        <is>
          <t>London, ENG, GB</t>
        </is>
      </c>
      <c r="G1475" s="8" t="n"/>
      <c r="H1475" s="14" t="n"/>
      <c r="I1475" s="15">
        <f>IF($H1475="","",$H1475-TODAY())</f>
        <v/>
      </c>
      <c r="J1475" s="16" t="inlineStr">
        <is>
          <t>Open posting</t>
        </is>
      </c>
      <c r="K1475" s="8" t="inlineStr">
        <is>
          <t>filtered by keyword pre-scan</t>
        </is>
      </c>
      <c r="L1475" s="17" t="inlineStr">
        <is>
          <t>new</t>
        </is>
      </c>
      <c r="M1475" s="18" t="inlineStr"/>
      <c r="N1475" s="7" t="inlineStr">
        <is>
          <t>a53a31d9d0704305090ade2774f357fa08b1486d</t>
        </is>
      </c>
      <c r="O1475" s="14" t="n">
        <v>46188</v>
      </c>
      <c r="P1475" s="7" t="inlineStr">
        <is>
          <t>jobspy</t>
        </is>
      </c>
      <c r="Q1475" s="8" t="inlineStr"/>
      <c r="R1475" s="8" t="inlineStr">
        <is>
          <t>Graduate Software Developer</t>
        </is>
      </c>
      <c r="S1475" s="19" t="n"/>
      <c r="T1475" s="19" t="n"/>
      <c r="U1475" s="14" t="n">
        <v>46191</v>
      </c>
      <c r="V1475" s="7" t="inlineStr">
        <is>
          <t>v2-cv-accuracy-13b988b18da8ea7d</t>
        </is>
      </c>
    </row>
    <row r="1476" ht="28" customHeight="1">
      <c r="A1476" s="12">
        <f>IF($L1476="applied","Applied",IF($L1476="interview","Interview",IF($L1476="offer","Offer",IF($L1476="rejected","Rejected",IF($L1476="ignore","Ignore",IF($L1476="archive","Archive",IF($L1476="closed","Closed",IF($B1476="","Unscored",IF(AND($B1476&gt;=8,OR($H1476="",$H1476-TODAY()&lt;=14)),"P1 Apply",IF($B1476&gt;=7,"P2 Strong",IF($B1476&gt;=5,"P3 Maybe","P4 Low")))))))))))</f>
        <v/>
      </c>
      <c r="B1476" s="13" t="n">
        <v>0</v>
      </c>
      <c r="C1476" s="12" t="inlineStr">
        <is>
          <t>Apprentice/Trainee</t>
        </is>
      </c>
      <c r="D1476" s="8" t="inlineStr">
        <is>
          <t>Systems Developer Graduate Apprentice</t>
        </is>
      </c>
      <c r="E1476" s="7" t="inlineStr">
        <is>
          <t>Fife Council</t>
        </is>
      </c>
      <c r="F1476" s="8" t="inlineStr">
        <is>
          <t>Glenrothes, SCT, GB</t>
        </is>
      </c>
      <c r="G1476" s="8" t="n"/>
      <c r="H1476" s="14" t="n"/>
      <c r="I1476" s="15">
        <f>IF($H1476="","",$H1476-TODAY())</f>
        <v/>
      </c>
      <c r="J1476" s="16" t="inlineStr">
        <is>
          <t>Open posting</t>
        </is>
      </c>
      <c r="K1476" s="8" t="inlineStr">
        <is>
          <t>filtered by keyword pre-scan</t>
        </is>
      </c>
      <c r="L1476" s="17" t="inlineStr">
        <is>
          <t>new</t>
        </is>
      </c>
      <c r="M1476" s="18" t="inlineStr"/>
      <c r="N1476" s="7" t="inlineStr">
        <is>
          <t>3a4acc99acd2ffbdf84818df1e1de5ec585d8310</t>
        </is>
      </c>
      <c r="O1476" s="14" t="n">
        <v>46187</v>
      </c>
      <c r="P1476" s="7" t="inlineStr">
        <is>
          <t>jobspy</t>
        </is>
      </c>
      <c r="Q1476" s="8" t="inlineStr">
        <is>
          <t>git, software development</t>
        </is>
      </c>
      <c r="R1476" s="8" t="inlineStr">
        <is>
          <t>Graduate Software Developer</t>
        </is>
      </c>
      <c r="S1476" s="19" t="n"/>
      <c r="T1476" s="19" t="n"/>
      <c r="U1476" s="14" t="n">
        <v>46191</v>
      </c>
      <c r="V1476" s="7" t="inlineStr">
        <is>
          <t>v2-cv-accuracy-13b988b18da8ea7d</t>
        </is>
      </c>
    </row>
    <row r="1477" ht="28" customHeight="1">
      <c r="A1477" s="12">
        <f>IF($L1477="applied","Applied",IF($L1477="interview","Interview",IF($L1477="offer","Offer",IF($L1477="rejected","Rejected",IF($L1477="ignore","Ignore",IF($L1477="archive","Archive",IF($L1477="closed","Closed",IF($B1477="","Unscored",IF(AND($B1477&gt;=8,OR($H1477="",$H1477-TODAY()&lt;=14)),"P1 Apply",IF($B1477&gt;=7,"P2 Strong",IF($B1477&gt;=5,"P3 Maybe","P4 Low")))))))))))</f>
        <v/>
      </c>
      <c r="B1477" s="13" t="n">
        <v>0</v>
      </c>
      <c r="C1477" s="12" t="inlineStr">
        <is>
          <t>Manager/Owner</t>
        </is>
      </c>
      <c r="D1477" s="8" t="inlineStr">
        <is>
          <t>Manager - Customer Interaction Suite</t>
        </is>
      </c>
      <c r="E1477" s="7" t="inlineStr">
        <is>
          <t>Tata Communications</t>
        </is>
      </c>
      <c r="F1477" s="8" t="inlineStr">
        <is>
          <t>London, ENG, GB</t>
        </is>
      </c>
      <c r="G1477" s="8" t="n"/>
      <c r="H1477" s="14" t="n"/>
      <c r="I1477" s="15">
        <f>IF($H1477="","",$H1477-TODAY())</f>
        <v/>
      </c>
      <c r="J1477" s="16" t="inlineStr">
        <is>
          <t>Open posting</t>
        </is>
      </c>
      <c r="K1477" s="8" t="inlineStr">
        <is>
          <t>filtered by keyword pre-scan</t>
        </is>
      </c>
      <c r="L1477" s="17" t="inlineStr">
        <is>
          <t>new</t>
        </is>
      </c>
      <c r="M1477" s="18" t="inlineStr"/>
      <c r="N1477" s="7" t="inlineStr">
        <is>
          <t>82da5cd9ebbe6696ed9f968e28eaf6a34272aa9e</t>
        </is>
      </c>
      <c r="O1477" s="14" t="n">
        <v>46185</v>
      </c>
      <c r="P1477" s="7" t="inlineStr">
        <is>
          <t>jobspy</t>
        </is>
      </c>
      <c r="Q1477" s="8" t="inlineStr">
        <is>
          <t>python, sql, git</t>
        </is>
      </c>
      <c r="R1477" s="8" t="inlineStr">
        <is>
          <t>Graduate Software Developer</t>
        </is>
      </c>
      <c r="S1477" s="19" t="n"/>
      <c r="T1477" s="19" t="n"/>
      <c r="U1477" s="14" t="n">
        <v>46191</v>
      </c>
      <c r="V1477" s="7" t="inlineStr">
        <is>
          <t>v2-cv-accuracy-13b988b18da8ea7d</t>
        </is>
      </c>
    </row>
    <row r="1478" ht="28" customHeight="1">
      <c r="A1478" s="12">
        <f>IF($L1478="applied","Applied",IF($L1478="interview","Interview",IF($L1478="offer","Offer",IF($L1478="rejected","Rejected",IF($L1478="ignore","Ignore",IF($L1478="archive","Archive",IF($L1478="closed","Closed",IF($B1478="","Unscored",IF(AND($B1478&gt;=8,OR($H1478="",$H1478-TODAY()&lt;=14)),"P1 Apply",IF($B1478&gt;=7,"P2 Strong",IF($B1478&gt;=5,"P3 Maybe","P4 Low")))))))))))</f>
        <v/>
      </c>
      <c r="B1478" s="13" t="n">
        <v>0</v>
      </c>
      <c r="C1478" s="12" t="inlineStr">
        <is>
          <t>Manager/Owner</t>
        </is>
      </c>
      <c r="D1478" s="8" t="inlineStr">
        <is>
          <t>Community Manager</t>
        </is>
      </c>
      <c r="E1478" s="7" t="inlineStr">
        <is>
          <t>Substrate Bio</t>
        </is>
      </c>
      <c r="F1478" s="8" t="inlineStr">
        <is>
          <t>London, ENG, GB</t>
        </is>
      </c>
      <c r="G1478" s="8" t="n"/>
      <c r="H1478" s="14" t="n"/>
      <c r="I1478" s="15">
        <f>IF($H1478="","",$H1478-TODAY())</f>
        <v/>
      </c>
      <c r="J1478" s="16" t="inlineStr">
        <is>
          <t>Open posting</t>
        </is>
      </c>
      <c r="K1478" s="8" t="inlineStr">
        <is>
          <t>filtered by keyword pre-scan</t>
        </is>
      </c>
      <c r="L1478" s="17" t="inlineStr">
        <is>
          <t>new</t>
        </is>
      </c>
      <c r="M1478" s="18" t="inlineStr"/>
      <c r="N1478" s="7" t="inlineStr">
        <is>
          <t>19178adef0abb76bc29eda31726cb1d1617943b2</t>
        </is>
      </c>
      <c r="O1478" s="14" t="n">
        <v>46185</v>
      </c>
      <c r="P1478" s="7" t="inlineStr">
        <is>
          <t>jobspy</t>
        </is>
      </c>
      <c r="Q1478" s="8" t="inlineStr"/>
      <c r="R1478" s="8" t="inlineStr">
        <is>
          <t>Graduate Software Developer</t>
        </is>
      </c>
      <c r="S1478" s="19" t="n"/>
      <c r="T1478" s="19" t="n"/>
      <c r="U1478" s="14" t="n">
        <v>46191</v>
      </c>
      <c r="V1478" s="7" t="inlineStr">
        <is>
          <t>v2-cv-accuracy-13b988b18da8ea7d</t>
        </is>
      </c>
    </row>
    <row r="1479" ht="28" customHeight="1">
      <c r="A1479" s="12">
        <f>IF($L1479="applied","Applied",IF($L1479="interview","Interview",IF($L1479="offer","Offer",IF($L1479="rejected","Rejected",IF($L1479="ignore","Ignore",IF($L1479="archive","Archive",IF($L1479="closed","Closed",IF($B1479="","Unscored",IF(AND($B1479&gt;=8,OR($H1479="",$H1479-TODAY()&lt;=14)),"P1 Apply",IF($B1479&gt;=7,"P2 Strong",IF($B1479&gt;=5,"P3 Maybe","P4 Low")))))))))))</f>
        <v/>
      </c>
      <c r="B1479" s="13" t="n">
        <v>0</v>
      </c>
      <c r="C1479" s="12" t="inlineStr">
        <is>
          <t>Apprentice/Trainee</t>
        </is>
      </c>
      <c r="D1479" s="8" t="inlineStr">
        <is>
          <t>Apprentice Software Developer</t>
        </is>
      </c>
      <c r="E1479" s="7" t="inlineStr">
        <is>
          <t>NEC Corporation</t>
        </is>
      </c>
      <c r="F1479" s="8" t="inlineStr">
        <is>
          <t>Bracknell, ENG, GB</t>
        </is>
      </c>
      <c r="G1479" s="8" t="n"/>
      <c r="H1479" s="14" t="n"/>
      <c r="I1479" s="15">
        <f>IF($H1479="","",$H1479-TODAY())</f>
        <v/>
      </c>
      <c r="J1479" s="16" t="inlineStr">
        <is>
          <t>Open posting</t>
        </is>
      </c>
      <c r="K1479" s="8" t="inlineStr">
        <is>
          <t>filtered by keyword pre-scan</t>
        </is>
      </c>
      <c r="L1479" s="17" t="inlineStr">
        <is>
          <t>new</t>
        </is>
      </c>
      <c r="M1479" s="18" t="inlineStr"/>
      <c r="N1479" s="7" t="inlineStr">
        <is>
          <t>3ac60210c6334b69ea2dcec88d23aff0e3b291f1</t>
        </is>
      </c>
      <c r="O1479" s="14" t="n">
        <v>46185</v>
      </c>
      <c r="P1479" s="7" t="inlineStr">
        <is>
          <t>jobspy</t>
        </is>
      </c>
      <c r="Q1479" s="8" t="inlineStr">
        <is>
          <t>git, software development</t>
        </is>
      </c>
      <c r="R1479" s="8" t="inlineStr">
        <is>
          <t>Graduate Software Developer</t>
        </is>
      </c>
      <c r="S1479" s="19" t="n"/>
      <c r="T1479" s="19" t="n"/>
      <c r="U1479" s="14" t="n">
        <v>46191</v>
      </c>
      <c r="V1479" s="7" t="inlineStr">
        <is>
          <t>v2-cv-accuracy-13b988b18da8ea7d</t>
        </is>
      </c>
    </row>
    <row r="1480" ht="28" customHeight="1">
      <c r="A1480" s="12">
        <f>IF($L1480="applied","Applied",IF($L1480="interview","Interview",IF($L1480="offer","Offer",IF($L1480="rejected","Rejected",IF($L1480="ignore","Ignore",IF($L1480="archive","Archive",IF($L1480="closed","Closed",IF($B1480="","Unscored",IF(AND($B1480&gt;=8,OR($H1480="",$H1480-TODAY()&lt;=14)),"P1 Apply",IF($B1480&gt;=7,"P2 Strong",IF($B1480&gt;=5,"P3 Maybe","P4 Low")))))))))))</f>
        <v/>
      </c>
      <c r="B1480" s="13" t="n">
        <v>0</v>
      </c>
      <c r="C1480" s="12" t="inlineStr">
        <is>
          <t>Junior</t>
        </is>
      </c>
      <c r="D1480" s="8" t="inlineStr">
        <is>
          <t>Junior Software Engineer</t>
        </is>
      </c>
      <c r="E1480" s="7" t="inlineStr">
        <is>
          <t>Tripadvisor</t>
        </is>
      </c>
      <c r="F1480" s="8" t="inlineStr">
        <is>
          <t>Oxford, England, UK</t>
        </is>
      </c>
      <c r="G1480" s="8" t="n"/>
      <c r="H1480" s="14" t="n"/>
      <c r="I1480" s="15">
        <f>IF($H1480="","",$H1480-TODAY())</f>
        <v/>
      </c>
      <c r="J1480" s="16" t="inlineStr">
        <is>
          <t>Open posting</t>
        </is>
      </c>
      <c r="K1480" s="8" t="inlineStr">
        <is>
          <t>filtered by keyword pre-scan</t>
        </is>
      </c>
      <c r="L1480" s="17" t="inlineStr">
        <is>
          <t>new</t>
        </is>
      </c>
      <c r="M1480" s="18" t="inlineStr"/>
      <c r="N1480" s="7" t="inlineStr">
        <is>
          <t>062d9aeb1c6d7678f0c6015bcf23028474d28eee</t>
        </is>
      </c>
      <c r="O1480" s="14" t="n">
        <v>46188</v>
      </c>
      <c r="P1480" s="7" t="inlineStr">
        <is>
          <t>jobspy</t>
        </is>
      </c>
      <c r="Q1480" s="8" t="inlineStr">
        <is>
          <t>python, sql</t>
        </is>
      </c>
      <c r="R1480" s="8" t="inlineStr">
        <is>
          <t>Graduate Software Developer</t>
        </is>
      </c>
      <c r="S1480" s="19" t="n"/>
      <c r="T1480" s="19" t="n"/>
      <c r="U1480" s="14" t="n">
        <v>46191</v>
      </c>
      <c r="V1480" s="7" t="inlineStr">
        <is>
          <t>v2-cv-accuracy-13b988b18da8ea7d</t>
        </is>
      </c>
    </row>
    <row r="1481" ht="28" customHeight="1">
      <c r="A1481" s="12">
        <f>IF($L1481="applied","Applied",IF($L1481="interview","Interview",IF($L1481="offer","Offer",IF($L1481="rejected","Rejected",IF($L1481="ignore","Ignore",IF($L1481="archive","Archive",IF($L1481="closed","Closed",IF($B1481="","Unscored",IF(AND($B1481&gt;=8,OR($H1481="",$H1481-TODAY()&lt;=14)),"P1 Apply",IF($B1481&gt;=7,"P2 Strong",IF($B1481&gt;=5,"P3 Maybe","P4 Low")))))))))))</f>
        <v/>
      </c>
      <c r="B1481" s="13" t="n">
        <v>0</v>
      </c>
      <c r="C1481" s="12" t="inlineStr">
        <is>
          <t>Junior</t>
        </is>
      </c>
      <c r="D1481" s="8" t="inlineStr">
        <is>
          <t>Junior Software Engineer</t>
        </is>
      </c>
      <c r="E1481" s="7" t="inlineStr">
        <is>
          <t>hackajob</t>
        </is>
      </c>
      <c r="F1481" s="8" t="inlineStr">
        <is>
          <t>London, England, UK</t>
        </is>
      </c>
      <c r="G1481" s="8" t="n"/>
      <c r="H1481" s="14" t="n"/>
      <c r="I1481" s="15">
        <f>IF($H1481="","",$H1481-TODAY())</f>
        <v/>
      </c>
      <c r="J1481" s="16" t="inlineStr">
        <is>
          <t>Open posting</t>
        </is>
      </c>
      <c r="K1481" s="8" t="inlineStr">
        <is>
          <t>filtered by keyword pre-scan</t>
        </is>
      </c>
      <c r="L1481" s="17" t="inlineStr">
        <is>
          <t>new</t>
        </is>
      </c>
      <c r="M1481" s="18" t="inlineStr"/>
      <c r="N1481" s="7" t="inlineStr">
        <is>
          <t>043265f8a83df9697a12fbd56ac171357fed6e8b</t>
        </is>
      </c>
      <c r="O1481" s="14" t="n">
        <v>46186</v>
      </c>
      <c r="P1481" s="7" t="inlineStr">
        <is>
          <t>jobspy</t>
        </is>
      </c>
      <c r="Q1481" s="8" t="inlineStr">
        <is>
          <t>python, sql, git</t>
        </is>
      </c>
      <c r="R1481" s="8" t="inlineStr">
        <is>
          <t>Graduate Software Developer</t>
        </is>
      </c>
      <c r="S1481" s="19" t="n"/>
      <c r="T1481" s="19" t="n"/>
      <c r="U1481" s="14" t="n">
        <v>46191</v>
      </c>
      <c r="V1481" s="7" t="inlineStr">
        <is>
          <t>v2-cv-accuracy-13b988b18da8ea7d</t>
        </is>
      </c>
    </row>
    <row r="1482" ht="28" customHeight="1">
      <c r="A1482" s="12">
        <f>IF($L1482="applied","Applied",IF($L1482="interview","Interview",IF($L1482="offer","Offer",IF($L1482="rejected","Rejected",IF($L1482="ignore","Ignore",IF($L1482="archive","Archive",IF($L1482="closed","Closed",IF($B1482="","Unscored",IF(AND($B1482&gt;=8,OR($H1482="",$H1482-TODAY()&lt;=14)),"P1 Apply",IF($B1482&gt;=7,"P2 Strong",IF($B1482&gt;=5,"P3 Maybe","P4 Low")))))))))))</f>
        <v/>
      </c>
      <c r="B1482" s="13" t="n">
        <v>0</v>
      </c>
      <c r="C1482" s="12" t="inlineStr">
        <is>
          <t>Junior</t>
        </is>
      </c>
      <c r="D1482" s="8" t="inlineStr">
        <is>
          <t>Junior Full Stack Software Engineer (Remote or Hybrid)</t>
        </is>
      </c>
      <c r="E1482" s="7" t="inlineStr">
        <is>
          <t>Spencer West</t>
        </is>
      </c>
      <c r="F1482" s="8" t="inlineStr">
        <is>
          <t>London, England, UK</t>
        </is>
      </c>
      <c r="G1482" s="8" t="n"/>
      <c r="H1482" s="14" t="n"/>
      <c r="I1482" s="15">
        <f>IF($H1482="","",$H1482-TODAY())</f>
        <v/>
      </c>
      <c r="J1482" s="16" t="inlineStr">
        <is>
          <t>Open posting</t>
        </is>
      </c>
      <c r="K1482" s="8" t="inlineStr">
        <is>
          <t>filtered by keyword pre-scan</t>
        </is>
      </c>
      <c r="L1482" s="17" t="inlineStr">
        <is>
          <t>new</t>
        </is>
      </c>
      <c r="M1482" s="18" t="inlineStr"/>
      <c r="N1482" s="7" t="inlineStr">
        <is>
          <t>99987743407fc988ea48c579611f36e958604d36</t>
        </is>
      </c>
      <c r="O1482" s="14" t="n">
        <v>46175</v>
      </c>
      <c r="P1482" s="7" t="inlineStr">
        <is>
          <t>jobspy</t>
        </is>
      </c>
      <c r="Q1482" s="8" t="inlineStr">
        <is>
          <t>sql, git</t>
        </is>
      </c>
      <c r="R1482" s="8" t="inlineStr">
        <is>
          <t>Graduate Software Developer</t>
        </is>
      </c>
      <c r="S1482" s="19" t="n"/>
      <c r="T1482" s="19" t="n"/>
      <c r="U1482" s="14" t="n">
        <v>46191</v>
      </c>
      <c r="V1482" s="7" t="inlineStr">
        <is>
          <t>v2-cv-accuracy-13b988b18da8ea7d</t>
        </is>
      </c>
    </row>
    <row r="1483" ht="28" customHeight="1">
      <c r="A1483" s="12">
        <f>IF($L1483="applied","Applied",IF($L1483="interview","Interview",IF($L1483="offer","Offer",IF($L1483="rejected","Rejected",IF($L1483="ignore","Ignore",IF($L1483="archive","Archive",IF($L1483="closed","Closed",IF($B1483="","Unscored",IF(AND($B1483&gt;=8,OR($H1483="",$H1483-TODAY()&lt;=14)),"P1 Apply",IF($B1483&gt;=7,"P2 Strong",IF($B1483&gt;=5,"P3 Maybe","P4 Low")))))))))))</f>
        <v/>
      </c>
      <c r="B1483" s="13" t="n">
        <v>0</v>
      </c>
      <c r="C1483" s="12" t="inlineStr">
        <is>
          <t>Graduate/Entry</t>
        </is>
      </c>
      <c r="D1483" s="8" t="inlineStr">
        <is>
          <t>Graduate Software Engineer</t>
        </is>
      </c>
      <c r="E1483" s="7" t="inlineStr">
        <is>
          <t>Tata Technologies</t>
        </is>
      </c>
      <c r="F1483" s="8" t="inlineStr">
        <is>
          <t>Warwick, England, UK</t>
        </is>
      </c>
      <c r="G1483" s="8" t="n"/>
      <c r="H1483" s="14" t="n"/>
      <c r="I1483" s="15">
        <f>IF($H1483="","",$H1483-TODAY())</f>
        <v/>
      </c>
      <c r="J1483" s="16" t="inlineStr">
        <is>
          <t>Open posting</t>
        </is>
      </c>
      <c r="K1483" s="8" t="inlineStr">
        <is>
          <t>filtered by keyword pre-scan</t>
        </is>
      </c>
      <c r="L1483" s="17" t="inlineStr">
        <is>
          <t>new</t>
        </is>
      </c>
      <c r="M1483" s="18" t="inlineStr"/>
      <c r="N1483" s="7" t="inlineStr">
        <is>
          <t>5d00d39f200ca8a9a3a8ba0726f5ab96a0d333d7</t>
        </is>
      </c>
      <c r="O1483" s="14" t="n">
        <v>46174</v>
      </c>
      <c r="P1483" s="7" t="inlineStr">
        <is>
          <t>jobspy</t>
        </is>
      </c>
      <c r="Q1483" s="8" t="inlineStr">
        <is>
          <t>git</t>
        </is>
      </c>
      <c r="R1483" s="8" t="inlineStr">
        <is>
          <t>Graduate Software Developer</t>
        </is>
      </c>
      <c r="S1483" s="19" t="n"/>
      <c r="T1483" s="19" t="n"/>
      <c r="U1483" s="14" t="n">
        <v>46191</v>
      </c>
      <c r="V1483" s="7" t="inlineStr">
        <is>
          <t>v2-cv-accuracy-13b988b18da8ea7d</t>
        </is>
      </c>
    </row>
    <row r="1484" ht="28" customHeight="1">
      <c r="A1484" s="12">
        <f>IF($L1484="applied","Applied",IF($L1484="interview","Interview",IF($L1484="offer","Offer",IF($L1484="rejected","Rejected",IF($L1484="ignore","Ignore",IF($L1484="archive","Archive",IF($L1484="closed","Closed",IF($B1484="","Unscored",IF(AND($B1484&gt;=8,OR($H1484="",$H1484-TODAY()&lt;=14)),"P1 Apply",IF($B1484&gt;=7,"P2 Strong",IF($B1484&gt;=5,"P3 Maybe","P4 Low")))))))))))</f>
        <v/>
      </c>
      <c r="B1484" s="13" t="n">
        <v>0</v>
      </c>
      <c r="C1484" s="12" t="inlineStr">
        <is>
          <t>Senior/Lead</t>
        </is>
      </c>
      <c r="D1484" s="8" t="inlineStr">
        <is>
          <t>Power Systems/ HV Leader- North</t>
        </is>
      </c>
      <c r="E1484" s="7" t="inlineStr">
        <is>
          <t>Arup</t>
        </is>
      </c>
      <c r="F1484" s="8" t="inlineStr">
        <is>
          <t>Glasgow, SCT, GB</t>
        </is>
      </c>
      <c r="G1484" s="8" t="n"/>
      <c r="H1484" s="14" t="n"/>
      <c r="I1484" s="15">
        <f>IF($H1484="","",$H1484-TODAY())</f>
        <v/>
      </c>
      <c r="J1484" s="16" t="inlineStr">
        <is>
          <t>Open posting</t>
        </is>
      </c>
      <c r="K1484" s="8" t="inlineStr">
        <is>
          <t>filtered by keyword pre-scan</t>
        </is>
      </c>
      <c r="L1484" s="17" t="inlineStr">
        <is>
          <t>new</t>
        </is>
      </c>
      <c r="M1484" s="18" t="inlineStr"/>
      <c r="N1484" s="7" t="inlineStr">
        <is>
          <t>683c04e5064d287a152af4c19d974813e4679b78</t>
        </is>
      </c>
      <c r="O1484" s="14" t="n">
        <v>46183</v>
      </c>
      <c r="P1484" s="7" t="inlineStr">
        <is>
          <t>jobspy</t>
        </is>
      </c>
      <c r="Q1484" s="8" t="inlineStr">
        <is>
          <t>git</t>
        </is>
      </c>
      <c r="R1484" s="8" t="inlineStr">
        <is>
          <t>Graduate Software Developer Sheffield</t>
        </is>
      </c>
      <c r="S1484" s="19" t="n"/>
      <c r="T1484" s="19" t="n"/>
      <c r="U1484" s="14" t="n">
        <v>46191</v>
      </c>
      <c r="V1484" s="7" t="inlineStr">
        <is>
          <t>v2-cv-accuracy-13b988b18da8ea7d</t>
        </is>
      </c>
    </row>
    <row r="1485" ht="28" customHeight="1">
      <c r="A1485" s="12">
        <f>IF($L1485="applied","Applied",IF($L1485="interview","Interview",IF($L1485="offer","Offer",IF($L1485="rejected","Rejected",IF($L1485="ignore","Ignore",IF($L1485="archive","Archive",IF($L1485="closed","Closed",IF($B1485="","Unscored",IF(AND($B1485&gt;=8,OR($H1485="",$H1485-TODAY()&lt;=14)),"P1 Apply",IF($B1485&gt;=7,"P2 Strong",IF($B1485&gt;=5,"P3 Maybe","P4 Low")))))))))))</f>
        <v/>
      </c>
      <c r="B1485" s="13" t="n">
        <v>0</v>
      </c>
      <c r="C1485" s="12" t="inlineStr">
        <is>
          <t>Unspecified</t>
        </is>
      </c>
      <c r="D1485" s="8" t="inlineStr">
        <is>
          <t>C#/ .Net Software Developer (New Role)</t>
        </is>
      </c>
      <c r="E1485" s="7" t="inlineStr">
        <is>
          <t>RedRock Resourcing</t>
        </is>
      </c>
      <c r="F1485" s="8" t="inlineStr">
        <is>
          <t>Sheffield, England, UK</t>
        </is>
      </c>
      <c r="G1485" s="8" t="n"/>
      <c r="H1485" s="14" t="n"/>
      <c r="I1485" s="15">
        <f>IF($H1485="","",$H1485-TODAY())</f>
        <v/>
      </c>
      <c r="J1485" s="16" t="inlineStr">
        <is>
          <t>Open posting</t>
        </is>
      </c>
      <c r="K1485" s="8" t="inlineStr">
        <is>
          <t>filtered by keyword pre-scan</t>
        </is>
      </c>
      <c r="L1485" s="17" t="inlineStr">
        <is>
          <t>new</t>
        </is>
      </c>
      <c r="M1485" s="18" t="inlineStr"/>
      <c r="N1485" s="7" t="inlineStr">
        <is>
          <t>12621556fff5c30b59c3fe5ae378fddf14cb1ae9</t>
        </is>
      </c>
      <c r="O1485" s="14" t="n">
        <v>46184</v>
      </c>
      <c r="P1485" s="7" t="inlineStr">
        <is>
          <t>jobspy</t>
        </is>
      </c>
      <c r="Q1485" s="8" t="inlineStr"/>
      <c r="R1485" s="8" t="inlineStr">
        <is>
          <t>Graduate Software Developer Sheffield</t>
        </is>
      </c>
      <c r="S1485" s="19" t="n"/>
      <c r="T1485" s="19" t="n"/>
      <c r="U1485" s="14" t="n">
        <v>46191</v>
      </c>
      <c r="V1485" s="7" t="inlineStr">
        <is>
          <t>v2-cv-accuracy-13b988b18da8ea7d</t>
        </is>
      </c>
    </row>
    <row r="1486" ht="28" customHeight="1">
      <c r="A1486" s="12">
        <f>IF($L1486="applied","Applied",IF($L1486="interview","Interview",IF($L1486="offer","Offer",IF($L1486="rejected","Rejected",IF($L1486="ignore","Ignore",IF($L1486="archive","Archive",IF($L1486="closed","Closed",IF($B1486="","Unscored",IF(AND($B1486&gt;=8,OR($H1486="",$H1486-TODAY()&lt;=14)),"P1 Apply",IF($B1486&gt;=7,"P2 Strong",IF($B1486&gt;=5,"P3 Maybe","P4 Low")))))))))))</f>
        <v/>
      </c>
      <c r="B1486" s="13" t="n">
        <v>0</v>
      </c>
      <c r="C1486" s="12" t="inlineStr">
        <is>
          <t>Unspecified</t>
        </is>
      </c>
      <c r="D1486" s="8" t="inlineStr">
        <is>
          <t>Software Engineer (Web Portal Developer) - SC Cleared</t>
        </is>
      </c>
      <c r="E1486" s="7" t="inlineStr">
        <is>
          <t>CGI</t>
        </is>
      </c>
      <c r="F1486" s="8" t="inlineStr">
        <is>
          <t>Sheffield, England, UK</t>
        </is>
      </c>
      <c r="G1486" s="8" t="n"/>
      <c r="H1486" s="14" t="n"/>
      <c r="I1486" s="15">
        <f>IF($H1486="","",$H1486-TODAY())</f>
        <v/>
      </c>
      <c r="J1486" s="16" t="inlineStr">
        <is>
          <t>Open posting</t>
        </is>
      </c>
      <c r="K1486" s="8" t="inlineStr">
        <is>
          <t>filtered by keyword pre-scan</t>
        </is>
      </c>
      <c r="L1486" s="17" t="inlineStr">
        <is>
          <t>new</t>
        </is>
      </c>
      <c r="M1486" s="18" t="inlineStr"/>
      <c r="N1486" s="7" t="inlineStr">
        <is>
          <t>38b1bf5655f30af18b9f40cbda027be04f544254</t>
        </is>
      </c>
      <c r="O1486" s="14" t="n">
        <v>46182</v>
      </c>
      <c r="P1486" s="7" t="inlineStr">
        <is>
          <t>jobspy</t>
        </is>
      </c>
      <c r="Q1486" s="8" t="inlineStr">
        <is>
          <t>git, software development</t>
        </is>
      </c>
      <c r="R1486" s="8" t="inlineStr">
        <is>
          <t>Graduate Software Developer Sheffield</t>
        </is>
      </c>
      <c r="S1486" s="19" t="n"/>
      <c r="T1486" s="19" t="n"/>
      <c r="U1486" s="14" t="n">
        <v>46191</v>
      </c>
      <c r="V1486" s="7" t="inlineStr">
        <is>
          <t>v2-cv-accuracy-13b988b18da8ea7d</t>
        </is>
      </c>
    </row>
    <row r="1487" ht="28" customHeight="1">
      <c r="A1487" s="12">
        <f>IF($L1487="applied","Applied",IF($L1487="interview","Interview",IF($L1487="offer","Offer",IF($L1487="rejected","Rejected",IF($L1487="ignore","Ignore",IF($L1487="archive","Archive",IF($L1487="closed","Closed",IF($B1487="","Unscored",IF(AND($B1487&gt;=8,OR($H1487="",$H1487-TODAY()&lt;=14)),"P1 Apply",IF($B1487&gt;=7,"P2 Strong",IF($B1487&gt;=5,"P3 Maybe","P4 Low")))))))))))</f>
        <v/>
      </c>
      <c r="B1487" s="13" t="n">
        <v>0</v>
      </c>
      <c r="C1487" s="12" t="inlineStr">
        <is>
          <t>Senior/Lead</t>
        </is>
      </c>
      <c r="D1487" s="8" t="inlineStr">
        <is>
          <t>Automation Test Lead</t>
        </is>
      </c>
      <c r="E1487" s="7" t="inlineStr">
        <is>
          <t>Coforge</t>
        </is>
      </c>
      <c r="F1487" s="8" t="inlineStr">
        <is>
          <t>Sheffield, England, UK</t>
        </is>
      </c>
      <c r="G1487" s="8" t="n"/>
      <c r="H1487" s="14" t="n"/>
      <c r="I1487" s="15">
        <f>IF($H1487="","",$H1487-TODAY())</f>
        <v/>
      </c>
      <c r="J1487" s="16" t="inlineStr">
        <is>
          <t>Open posting</t>
        </is>
      </c>
      <c r="K1487" s="8" t="inlineStr">
        <is>
          <t>filtered by keyword pre-scan</t>
        </is>
      </c>
      <c r="L1487" s="17" t="inlineStr">
        <is>
          <t>new</t>
        </is>
      </c>
      <c r="M1487" s="18" t="inlineStr"/>
      <c r="N1487" s="7" t="inlineStr">
        <is>
          <t>b92f0b7de8b7e8ca801e9605d9e0fbebc8c68cdf</t>
        </is>
      </c>
      <c r="O1487" s="14" t="n">
        <v>46169</v>
      </c>
      <c r="P1487" s="7" t="inlineStr">
        <is>
          <t>jobspy</t>
        </is>
      </c>
      <c r="Q1487" s="8" t="inlineStr">
        <is>
          <t>python, sql, git</t>
        </is>
      </c>
      <c r="R1487" s="8" t="inlineStr">
        <is>
          <t>Graduate Software Developer Sheffield</t>
        </is>
      </c>
      <c r="S1487" s="19" t="n"/>
      <c r="T1487" s="19" t="n"/>
      <c r="U1487" s="14" t="n">
        <v>46191</v>
      </c>
      <c r="V1487" s="7" t="inlineStr">
        <is>
          <t>v2-cv-accuracy-13b988b18da8ea7d</t>
        </is>
      </c>
    </row>
    <row r="1488" ht="28" customHeight="1">
      <c r="A1488" s="12">
        <f>IF($L1488="applied","Applied",IF($L1488="interview","Interview",IF($L1488="offer","Offer",IF($L1488="rejected","Rejected",IF($L1488="ignore","Ignore",IF($L1488="archive","Archive",IF($L1488="closed","Closed",IF($B1488="","Unscored",IF(AND($B1488&gt;=8,OR($H1488="",$H1488-TODAY()&lt;=14)),"P1 Apply",IF($B1488&gt;=7,"P2 Strong",IF($B1488&gt;=5,"P3 Maybe","P4 Low")))))))))))</f>
        <v/>
      </c>
      <c r="B1488" s="13" t="n">
        <v>0</v>
      </c>
      <c r="C1488" s="12" t="inlineStr">
        <is>
          <t>Unspecified</t>
        </is>
      </c>
      <c r="D1488" s="8" t="inlineStr">
        <is>
          <t>Test Engineer</t>
        </is>
      </c>
      <c r="E1488" s="7" t="inlineStr">
        <is>
          <t>Tata Consultancy Services</t>
        </is>
      </c>
      <c r="F1488" s="8" t="inlineStr">
        <is>
          <t>London Area, United Kingdom</t>
        </is>
      </c>
      <c r="G1488" s="8" t="n"/>
      <c r="H1488" s="14" t="n"/>
      <c r="I1488" s="15">
        <f>IF($H1488="","",$H1488-TODAY())</f>
        <v/>
      </c>
      <c r="J1488" s="16" t="inlineStr">
        <is>
          <t>Open posting</t>
        </is>
      </c>
      <c r="K1488" s="8" t="inlineStr">
        <is>
          <t>filtered by keyword pre-scan</t>
        </is>
      </c>
      <c r="L1488" s="17" t="inlineStr">
        <is>
          <t>new</t>
        </is>
      </c>
      <c r="M1488" s="18" t="inlineStr"/>
      <c r="N1488" s="7" t="inlineStr">
        <is>
          <t>2f8f8299595798480ca8b3afe7c34a1ea668803c</t>
        </is>
      </c>
      <c r="O1488" s="14" t="n">
        <v>46167</v>
      </c>
      <c r="P1488" s="7" t="inlineStr">
        <is>
          <t>jobspy</t>
        </is>
      </c>
      <c r="Q1488" s="8" t="inlineStr">
        <is>
          <t>python, git</t>
        </is>
      </c>
      <c r="R1488" s="8" t="inlineStr">
        <is>
          <t>Graduate Software Developer Sheffield</t>
        </is>
      </c>
      <c r="S1488" s="19" t="n"/>
      <c r="T1488" s="19" t="n"/>
      <c r="U1488" s="14" t="n">
        <v>46191</v>
      </c>
      <c r="V1488" s="7" t="inlineStr">
        <is>
          <t>v2-cv-accuracy-13b988b18da8ea7d</t>
        </is>
      </c>
    </row>
    <row r="1489" ht="28" customHeight="1">
      <c r="A1489" s="12">
        <f>IF($L1489="applied","Applied",IF($L1489="interview","Interview",IF($L1489="offer","Offer",IF($L1489="rejected","Rejected",IF($L1489="ignore","Ignore",IF($L1489="archive","Archive",IF($L1489="closed","Closed",IF($B1489="","Unscored",IF(AND($B1489&gt;=8,OR($H1489="",$H1489-TODAY()&lt;=14)),"P1 Apply",IF($B1489&gt;=7,"P2 Strong",IF($B1489&gt;=5,"P3 Maybe","P4 Low")))))))))))</f>
        <v/>
      </c>
      <c r="B1489" s="13" t="n">
        <v>0</v>
      </c>
      <c r="C1489" s="12" t="inlineStr">
        <is>
          <t>Junior</t>
        </is>
      </c>
      <c r="D1489" s="8" t="inlineStr">
        <is>
          <t>Java (Kotlin) Developer (Agile, Test-Driven) AVP</t>
        </is>
      </c>
      <c r="E1489" s="7" t="inlineStr">
        <is>
          <t>Citi</t>
        </is>
      </c>
      <c r="F1489" s="8" t="inlineStr">
        <is>
          <t>London, ENG, GB</t>
        </is>
      </c>
      <c r="G1489" s="8" t="n"/>
      <c r="H1489" s="14" t="n"/>
      <c r="I1489" s="15">
        <f>IF($H1489="","",$H1489-TODAY())</f>
        <v/>
      </c>
      <c r="J1489" s="16" t="inlineStr">
        <is>
          <t>Open posting</t>
        </is>
      </c>
      <c r="K1489" s="8" t="inlineStr">
        <is>
          <t>filtered by keyword pre-scan</t>
        </is>
      </c>
      <c r="L1489" s="17" t="inlineStr">
        <is>
          <t>new</t>
        </is>
      </c>
      <c r="M1489" s="18" t="inlineStr"/>
      <c r="N1489" s="7" t="inlineStr">
        <is>
          <t>1c7758b2490b167d27e52266cab636e066d25401</t>
        </is>
      </c>
      <c r="O1489" s="14" t="n">
        <v>46181</v>
      </c>
      <c r="P1489" s="7" t="inlineStr">
        <is>
          <t>jobspy</t>
        </is>
      </c>
      <c r="Q1489" s="8" t="inlineStr">
        <is>
          <t>sql</t>
        </is>
      </c>
      <c r="R1489" s="8" t="inlineStr">
        <is>
          <t>junior Graduate Software Developer</t>
        </is>
      </c>
      <c r="S1489" s="19" t="n"/>
      <c r="T1489" s="19" t="n"/>
      <c r="U1489" s="14" t="n">
        <v>46191</v>
      </c>
      <c r="V1489" s="7" t="inlineStr">
        <is>
          <t>v2-cv-accuracy-13b988b18da8ea7d</t>
        </is>
      </c>
    </row>
    <row r="1490" ht="28" customHeight="1">
      <c r="A1490" s="12">
        <f>IF($L1490="applied","Applied",IF($L1490="interview","Interview",IF($L1490="offer","Offer",IF($L1490="rejected","Rejected",IF($L1490="ignore","Ignore",IF($L1490="archive","Archive",IF($L1490="closed","Closed",IF($B1490="","Unscored",IF(AND($B1490&gt;=8,OR($H1490="",$H1490-TODAY()&lt;=14)),"P1 Apply",IF($B1490&gt;=7,"P2 Strong",IF($B1490&gt;=5,"P3 Maybe","P4 Low")))))))))))</f>
        <v/>
      </c>
      <c r="B1490" s="13" t="n">
        <v>0</v>
      </c>
      <c r="C1490" s="12" t="inlineStr">
        <is>
          <t>Junior</t>
        </is>
      </c>
      <c r="D1490" s="8" t="inlineStr">
        <is>
          <t>Digital Operations &amp; AI Coordinator (Part-Time)</t>
        </is>
      </c>
      <c r="E1490" s="7" t="inlineStr">
        <is>
          <t>Nomaz Limited T/A Online Chemist</t>
        </is>
      </c>
      <c r="F1490" s="8" t="inlineStr">
        <is>
          <t>Gorleston-on-Sea, ENG, GB</t>
        </is>
      </c>
      <c r="G1490" s="8" t="n"/>
      <c r="H1490" s="14" t="n"/>
      <c r="I1490" s="15">
        <f>IF($H1490="","",$H1490-TODAY())</f>
        <v/>
      </c>
      <c r="J1490" s="16" t="inlineStr">
        <is>
          <t>Open posting</t>
        </is>
      </c>
      <c r="K1490" s="8" t="inlineStr">
        <is>
          <t>filtered by keyword pre-scan</t>
        </is>
      </c>
      <c r="L1490" s="17" t="inlineStr">
        <is>
          <t>new</t>
        </is>
      </c>
      <c r="M1490" s="18" t="inlineStr"/>
      <c r="N1490" s="7" t="inlineStr">
        <is>
          <t>cc60b25abb33fd7cbd4be835e001412cf9380c27</t>
        </is>
      </c>
      <c r="O1490" s="14" t="n">
        <v>46172</v>
      </c>
      <c r="P1490" s="7" t="inlineStr">
        <is>
          <t>jobspy</t>
        </is>
      </c>
      <c r="Q1490" s="8" t="inlineStr">
        <is>
          <t>javascript, git</t>
        </is>
      </c>
      <c r="R1490" s="8" t="inlineStr">
        <is>
          <t>junior Graduate Software Developer</t>
        </is>
      </c>
      <c r="S1490" s="19" t="n"/>
      <c r="T1490" s="19" t="n"/>
      <c r="U1490" s="14" t="n">
        <v>46191</v>
      </c>
      <c r="V1490" s="7" t="inlineStr">
        <is>
          <t>v2-cv-accuracy-13b988b18da8ea7d</t>
        </is>
      </c>
    </row>
    <row r="1491" ht="28" customHeight="1">
      <c r="A1491" s="12">
        <f>IF($L1491="applied","Applied",IF($L1491="interview","Interview",IF($L1491="offer","Offer",IF($L1491="rejected","Rejected",IF($L1491="ignore","Ignore",IF($L1491="archive","Archive",IF($L1491="closed","Closed",IF($B1491="","Unscored",IF(AND($B1491&gt;=8,OR($H1491="",$H1491-TODAY()&lt;=14)),"P1 Apply",IF($B1491&gt;=7,"P2 Strong",IF($B1491&gt;=5,"P3 Maybe","P4 Low")))))))))))</f>
        <v/>
      </c>
      <c r="B1491" s="13" t="n">
        <v>0</v>
      </c>
      <c r="C1491" s="12" t="inlineStr">
        <is>
          <t>Senior/Lead</t>
        </is>
      </c>
      <c r="D1491" s="8" t="inlineStr">
        <is>
          <t>Surveyor/Senior Surveyor - Landlord &amp; Tenant</t>
        </is>
      </c>
      <c r="E1491" s="7" t="inlineStr">
        <is>
          <t>Colliers</t>
        </is>
      </c>
      <c r="F1491" s="8" t="inlineStr">
        <is>
          <t>Birmingham, ENG, GB</t>
        </is>
      </c>
      <c r="G1491" s="8" t="n"/>
      <c r="H1491" s="14" t="n"/>
      <c r="I1491" s="15">
        <f>IF($H1491="","",$H1491-TODAY())</f>
        <v/>
      </c>
      <c r="J1491" s="16" t="inlineStr">
        <is>
          <t>Open posting</t>
        </is>
      </c>
      <c r="K1491" s="8" t="inlineStr">
        <is>
          <t>filtered by keyword pre-scan</t>
        </is>
      </c>
      <c r="L1491" s="17" t="inlineStr">
        <is>
          <t>new</t>
        </is>
      </c>
      <c r="M1491" s="18" t="inlineStr"/>
      <c r="N1491" s="7" t="inlineStr">
        <is>
          <t>a176bd3973e8a5b58e70edf985fee60a9b49c377</t>
        </is>
      </c>
      <c r="O1491" s="14" t="n">
        <v>46162</v>
      </c>
      <c r="P1491" s="7" t="inlineStr">
        <is>
          <t>jobspy</t>
        </is>
      </c>
      <c r="Q1491" s="8" t="inlineStr"/>
      <c r="R1491" s="8" t="inlineStr">
        <is>
          <t>junior Graduate Software Developer</t>
        </is>
      </c>
      <c r="S1491" s="19" t="n"/>
      <c r="T1491" s="19" t="n"/>
      <c r="U1491" s="14" t="n">
        <v>46191</v>
      </c>
      <c r="V1491" s="7" t="inlineStr">
        <is>
          <t>v2-cv-accuracy-13b988b18da8ea7d</t>
        </is>
      </c>
    </row>
    <row r="1492" ht="28" customHeight="1">
      <c r="A1492" s="12">
        <f>IF($L1492="applied","Applied",IF($L1492="interview","Interview",IF($L1492="offer","Offer",IF($L1492="rejected","Rejected",IF($L1492="ignore","Ignore",IF($L1492="archive","Archive",IF($L1492="closed","Closed",IF($B1492="","Unscored",IF(AND($B1492&gt;=8,OR($H1492="",$H1492-TODAY()&lt;=14)),"P1 Apply",IF($B1492&gt;=7,"P2 Strong",IF($B1492&gt;=5,"P3 Maybe","P4 Low")))))))))))</f>
        <v/>
      </c>
      <c r="B1492" s="13" t="n">
        <v>0</v>
      </c>
      <c r="C1492" s="12" t="inlineStr">
        <is>
          <t>Graduate/Entry</t>
        </is>
      </c>
      <c r="D1492" s="8" t="inlineStr">
        <is>
          <t>Junior Full Stack Developer (Remote) – £35,000 + Training Provided – Entry Level</t>
        </is>
      </c>
      <c r="E1492" s="7" t="inlineStr">
        <is>
          <t>Apply4U | Apply4U | Human-Assisted AI Job &amp; Recruitment Platform</t>
        </is>
      </c>
      <c r="F1492" s="8" t="inlineStr"/>
      <c r="G1492" s="8" t="n"/>
      <c r="H1492" s="14" t="n"/>
      <c r="I1492" s="15">
        <f>IF($H1492="","",$H1492-TODAY())</f>
        <v/>
      </c>
      <c r="J1492" s="16" t="inlineStr">
        <is>
          <t>Open posting</t>
        </is>
      </c>
      <c r="K1492" s="8" t="inlineStr">
        <is>
          <t>filtered by keyword pre-scan</t>
        </is>
      </c>
      <c r="L1492" s="17" t="inlineStr">
        <is>
          <t>new</t>
        </is>
      </c>
      <c r="M1492" s="18" t="inlineStr"/>
      <c r="N1492" s="7" t="inlineStr">
        <is>
          <t>1075c9c043116c053ae0a24b66d962d7e12a9258</t>
        </is>
      </c>
      <c r="O1492" s="14" t="n">
        <v>46188</v>
      </c>
      <c r="P1492" s="7" t="inlineStr">
        <is>
          <t>jobspy</t>
        </is>
      </c>
      <c r="Q1492" s="8" t="inlineStr">
        <is>
          <t>javascript, git, software development</t>
        </is>
      </c>
      <c r="R1492" s="8" t="inlineStr">
        <is>
          <t>junior Graduate Software Developer</t>
        </is>
      </c>
      <c r="S1492" s="19" t="n"/>
      <c r="T1492" s="19" t="n"/>
      <c r="U1492" s="14" t="n">
        <v>46191</v>
      </c>
      <c r="V1492" s="7" t="inlineStr">
        <is>
          <t>v2-cv-accuracy-13b988b18da8ea7d</t>
        </is>
      </c>
    </row>
    <row r="1493" ht="28" customHeight="1">
      <c r="A1493" s="12">
        <f>IF($L1493="applied","Applied",IF($L1493="interview","Interview",IF($L1493="offer","Offer",IF($L1493="rejected","Rejected",IF($L1493="ignore","Ignore",IF($L1493="archive","Archive",IF($L1493="closed","Closed",IF($B1493="","Unscored",IF(AND($B1493&gt;=8,OR($H1493="",$H1493-TODAY()&lt;=14)),"P1 Apply",IF($B1493&gt;=7,"P2 Strong",IF($B1493&gt;=5,"P3 Maybe","P4 Low")))))))))))</f>
        <v/>
      </c>
      <c r="B1493" s="13" t="n">
        <v>0</v>
      </c>
      <c r="C1493" s="12" t="inlineStr">
        <is>
          <t>Junior</t>
        </is>
      </c>
      <c r="D1493" s="8" t="inlineStr">
        <is>
          <t>Junior Full Stack Software Engineer (Remote first)</t>
        </is>
      </c>
      <c r="E1493" s="7" t="inlineStr">
        <is>
          <t>Spencer West</t>
        </is>
      </c>
      <c r="F1493" s="8" t="inlineStr">
        <is>
          <t>Birmingham, England, UK</t>
        </is>
      </c>
      <c r="G1493" s="8" t="n"/>
      <c r="H1493" s="14" t="n"/>
      <c r="I1493" s="15">
        <f>IF($H1493="","",$H1493-TODAY())</f>
        <v/>
      </c>
      <c r="J1493" s="16" t="inlineStr">
        <is>
          <t>Open posting</t>
        </is>
      </c>
      <c r="K1493" s="8" t="inlineStr">
        <is>
          <t>filtered by keyword pre-scan</t>
        </is>
      </c>
      <c r="L1493" s="17" t="inlineStr">
        <is>
          <t>new</t>
        </is>
      </c>
      <c r="M1493" s="18" t="inlineStr"/>
      <c r="N1493" s="7" t="inlineStr">
        <is>
          <t>4a2d4e16d2b0bf5a034f2a0b66792edff7106ff1</t>
        </is>
      </c>
      <c r="O1493" s="14" t="n">
        <v>46170</v>
      </c>
      <c r="P1493" s="7" t="inlineStr">
        <is>
          <t>jobspy</t>
        </is>
      </c>
      <c r="Q1493" s="8" t="inlineStr">
        <is>
          <t>sql, git</t>
        </is>
      </c>
      <c r="R1493" s="8" t="inlineStr">
        <is>
          <t>junior Graduate Software Developer</t>
        </is>
      </c>
      <c r="S1493" s="19" t="n"/>
      <c r="T1493" s="19" t="n"/>
      <c r="U1493" s="14" t="n">
        <v>46191</v>
      </c>
      <c r="V1493" s="7" t="inlineStr">
        <is>
          <t>v2-cv-accuracy-13b988b18da8ea7d</t>
        </is>
      </c>
    </row>
    <row r="1494" ht="28" customHeight="1">
      <c r="A1494" s="12">
        <f>IF($L1494="applied","Applied",IF($L1494="interview","Interview",IF($L1494="offer","Offer",IF($L1494="rejected","Rejected",IF($L1494="ignore","Ignore",IF($L1494="archive","Archive",IF($L1494="closed","Closed",IF($B1494="","Unscored",IF(AND($B1494&gt;=8,OR($H1494="",$H1494-TODAY()&lt;=14)),"P1 Apply",IF($B1494&gt;=7,"P2 Strong",IF($B1494&gt;=5,"P3 Maybe","P4 Low")))))))))))</f>
        <v/>
      </c>
      <c r="B1494" s="13" t="n">
        <v>0</v>
      </c>
      <c r="C1494" s="12" t="inlineStr">
        <is>
          <t>Internship</t>
        </is>
      </c>
      <c r="D1494" s="8" t="inlineStr">
        <is>
          <t>Web Developer Intern</t>
        </is>
      </c>
      <c r="E1494" s="7" t="inlineStr">
        <is>
          <t>Blue Oak Consulting</t>
        </is>
      </c>
      <c r="F1494" s="8" t="inlineStr">
        <is>
          <t>Birmingham, England, UK</t>
        </is>
      </c>
      <c r="G1494" s="8" t="n"/>
      <c r="H1494" s="14" t="n"/>
      <c r="I1494" s="15">
        <f>IF($H1494="","",$H1494-TODAY())</f>
        <v/>
      </c>
      <c r="J1494" s="16" t="inlineStr">
        <is>
          <t>Open posting</t>
        </is>
      </c>
      <c r="K1494" s="8" t="inlineStr">
        <is>
          <t>filtered by keyword pre-scan</t>
        </is>
      </c>
      <c r="L1494" s="17" t="inlineStr">
        <is>
          <t>new</t>
        </is>
      </c>
      <c r="M1494" s="18" t="inlineStr"/>
      <c r="N1494" s="7" t="inlineStr">
        <is>
          <t>4d6f12a35bbd41efe106e7efacc99bc474419dca</t>
        </is>
      </c>
      <c r="O1494" s="14" t="n"/>
      <c r="P1494" s="7" t="inlineStr">
        <is>
          <t>jobspy</t>
        </is>
      </c>
      <c r="Q1494" s="8" t="inlineStr">
        <is>
          <t>javascript, git, web development</t>
        </is>
      </c>
      <c r="R1494" s="8" t="inlineStr">
        <is>
          <t>junior Graduate Software Developer</t>
        </is>
      </c>
      <c r="S1494" s="19" t="n"/>
      <c r="T1494" s="19" t="n"/>
      <c r="U1494" s="14" t="n">
        <v>46191</v>
      </c>
      <c r="V1494" s="7" t="inlineStr">
        <is>
          <t>v2-cv-accuracy-13b988b18da8ea7d</t>
        </is>
      </c>
    </row>
    <row r="1495" ht="28" customHeight="1">
      <c r="A1495" s="12">
        <f>IF($L1495="applied","Applied",IF($L1495="interview","Interview",IF($L1495="offer","Offer",IF($L1495="rejected","Rejected",IF($L1495="ignore","Ignore",IF($L1495="archive","Archive",IF($L1495="closed","Closed",IF($B1495="","Unscored",IF(AND($B1495&gt;=8,OR($H1495="",$H1495-TODAY()&lt;=14)),"P1 Apply",IF($B1495&gt;=7,"P2 Strong",IF($B1495&gt;=5,"P3 Maybe","P4 Low")))))))))))</f>
        <v/>
      </c>
      <c r="B1495" s="13" t="n">
        <v>0</v>
      </c>
      <c r="C1495" s="12" t="inlineStr">
        <is>
          <t>Graduate/Entry</t>
        </is>
      </c>
      <c r="D1495" s="8" t="inlineStr">
        <is>
          <t>Graduate Software Engineer</t>
        </is>
      </c>
      <c r="E1495" s="7" t="inlineStr">
        <is>
          <t>targetjobs UK</t>
        </is>
      </c>
      <c r="F1495" s="8" t="inlineStr">
        <is>
          <t>Great Preston, England, UK</t>
        </is>
      </c>
      <c r="G1495" s="8" t="n"/>
      <c r="H1495" s="14" t="n"/>
      <c r="I1495" s="15">
        <f>IF($H1495="","",$H1495-TODAY())</f>
        <v/>
      </c>
      <c r="J1495" s="16" t="inlineStr">
        <is>
          <t>Open posting</t>
        </is>
      </c>
      <c r="K1495" s="8" t="inlineStr">
        <is>
          <t>filtered by keyword pre-scan</t>
        </is>
      </c>
      <c r="L1495" s="17" t="inlineStr">
        <is>
          <t>new</t>
        </is>
      </c>
      <c r="M1495" s="18" t="inlineStr"/>
      <c r="N1495" s="7" t="inlineStr">
        <is>
          <t>471d01003e649a54a6e88e1adb31839ef22b12e3</t>
        </is>
      </c>
      <c r="O1495" s="14" t="n">
        <v>46175</v>
      </c>
      <c r="P1495" s="7" t="inlineStr">
        <is>
          <t>jobspy</t>
        </is>
      </c>
      <c r="Q1495" s="8" t="inlineStr"/>
      <c r="R1495" s="8" t="inlineStr">
        <is>
          <t>graduate Graduate Software Developer</t>
        </is>
      </c>
      <c r="S1495" s="19" t="n"/>
      <c r="T1495" s="19" t="n"/>
      <c r="U1495" s="14" t="n">
        <v>46191</v>
      </c>
      <c r="V1495" s="7" t="inlineStr">
        <is>
          <t>v2-cv-accuracy-13b988b18da8ea7d</t>
        </is>
      </c>
    </row>
    <row r="1496" ht="28" customHeight="1">
      <c r="A1496" s="12">
        <f>IF($L1496="applied","Applied",IF($L1496="interview","Interview",IF($L1496="offer","Offer",IF($L1496="rejected","Rejected",IF($L1496="ignore","Ignore",IF($L1496="archive","Archive",IF($L1496="closed","Closed",IF($B1496="","Unscored",IF(AND($B1496&gt;=8,OR($H1496="",$H1496-TODAY()&lt;=14)),"P1 Apply",IF($B1496&gt;=7,"P2 Strong",IF($B1496&gt;=5,"P3 Maybe","P4 Low")))))))))))</f>
        <v/>
      </c>
      <c r="B1496" s="13" t="n">
        <v>0</v>
      </c>
      <c r="C1496" s="12" t="inlineStr">
        <is>
          <t>Apprentice/Trainee</t>
        </is>
      </c>
      <c r="D1496" s="8" t="inlineStr">
        <is>
          <t>Software Data Science Degree Apprentice - Studentjob.co.uk</t>
        </is>
      </c>
      <c r="E1496" s="7" t="inlineStr">
        <is>
          <t>Jobster</t>
        </is>
      </c>
      <c r="F1496" s="8" t="inlineStr">
        <is>
          <t>Luton, England, UK</t>
        </is>
      </c>
      <c r="G1496" s="8" t="n"/>
      <c r="H1496" s="14" t="n"/>
      <c r="I1496" s="15">
        <f>IF($H1496="","",$H1496-TODAY())</f>
        <v/>
      </c>
      <c r="J1496" s="16" t="inlineStr">
        <is>
          <t>Open posting</t>
        </is>
      </c>
      <c r="K1496" s="8" t="inlineStr">
        <is>
          <t>filtered by keyword pre-scan</t>
        </is>
      </c>
      <c r="L1496" s="17" t="inlineStr">
        <is>
          <t>new</t>
        </is>
      </c>
      <c r="M1496" s="18" t="inlineStr"/>
      <c r="N1496" s="7" t="inlineStr">
        <is>
          <t>315ea2eebf78c104ea0b2ea0d459981af12a5ada</t>
        </is>
      </c>
      <c r="O1496" s="14" t="n">
        <v>46189</v>
      </c>
      <c r="P1496" s="7" t="inlineStr">
        <is>
          <t>jobspy</t>
        </is>
      </c>
      <c r="Q1496" s="8" t="inlineStr">
        <is>
          <t>git</t>
        </is>
      </c>
      <c r="R1496" s="8" t="inlineStr">
        <is>
          <t>entry level Graduate Software Developer</t>
        </is>
      </c>
      <c r="S1496" s="19" t="n"/>
      <c r="T1496" s="19" t="n"/>
      <c r="U1496" s="14" t="n">
        <v>46191</v>
      </c>
      <c r="V1496" s="7" t="inlineStr">
        <is>
          <t>v2-cv-accuracy-13b988b18da8ea7d</t>
        </is>
      </c>
    </row>
    <row r="1497" ht="28" customHeight="1">
      <c r="A1497" s="12">
        <f>IF($L1497="applied","Applied",IF($L1497="interview","Interview",IF($L1497="offer","Offer",IF($L1497="rejected","Rejected",IF($L1497="ignore","Ignore",IF($L1497="archive","Archive",IF($L1497="closed","Closed",IF($B1497="","Unscored",IF(AND($B1497&gt;=8,OR($H1497="",$H1497-TODAY()&lt;=14)),"P1 Apply",IF($B1497&gt;=7,"P2 Strong",IF($B1497&gt;=5,"P3 Maybe","P4 Low")))))))))))</f>
        <v/>
      </c>
      <c r="B1497" s="13" t="n">
        <v>0</v>
      </c>
      <c r="C1497" s="12" t="inlineStr">
        <is>
          <t>Junior</t>
        </is>
      </c>
      <c r="D1497" s="8" t="inlineStr">
        <is>
          <t>Junior Software Engineer</t>
        </is>
      </c>
      <c r="E1497" s="7" t="inlineStr">
        <is>
          <t>Miniclip</t>
        </is>
      </c>
      <c r="F1497" s="8" t="inlineStr">
        <is>
          <t>Derby, England, UK</t>
        </is>
      </c>
      <c r="G1497" s="8" t="n"/>
      <c r="H1497" s="14" t="n"/>
      <c r="I1497" s="15">
        <f>IF($H1497="","",$H1497-TODAY())</f>
        <v/>
      </c>
      <c r="J1497" s="16" t="inlineStr">
        <is>
          <t>Open posting</t>
        </is>
      </c>
      <c r="K1497" s="8" t="inlineStr">
        <is>
          <t>filtered by keyword pre-scan</t>
        </is>
      </c>
      <c r="L1497" s="17" t="inlineStr">
        <is>
          <t>new</t>
        </is>
      </c>
      <c r="M1497" s="18" t="inlineStr"/>
      <c r="N1497" s="7" t="inlineStr">
        <is>
          <t>22b11999dbfdf2d54b50eca41e9e2600bd3f83f5</t>
        </is>
      </c>
      <c r="O1497" s="14" t="n">
        <v>46188</v>
      </c>
      <c r="P1497" s="7" t="inlineStr">
        <is>
          <t>jobspy</t>
        </is>
      </c>
      <c r="Q1497" s="8" t="inlineStr">
        <is>
          <t>software development</t>
        </is>
      </c>
      <c r="R1497" s="8" t="inlineStr">
        <is>
          <t>entry level Graduate Software Developer</t>
        </is>
      </c>
      <c r="S1497" s="19" t="n"/>
      <c r="T1497" s="19" t="n"/>
      <c r="U1497" s="14" t="n">
        <v>46191</v>
      </c>
      <c r="V1497" s="7" t="inlineStr">
        <is>
          <t>v2-cv-accuracy-13b988b18da8ea7d</t>
        </is>
      </c>
    </row>
    <row r="1498" ht="28" customHeight="1">
      <c r="A1498" s="12">
        <f>IF($L1498="applied","Applied",IF($L1498="interview","Interview",IF($L1498="offer","Offer",IF($L1498="rejected","Rejected",IF($L1498="ignore","Ignore",IF($L1498="archive","Archive",IF($L1498="closed","Closed",IF($B1498="","Unscored",IF(AND($B1498&gt;=8,OR($H1498="",$H1498-TODAY()&lt;=14)),"P1 Apply",IF($B1498&gt;=7,"P2 Strong",IF($B1498&gt;=5,"P3 Maybe","P4 Low")))))))))))</f>
        <v/>
      </c>
      <c r="B1498" s="13" t="n">
        <v>0</v>
      </c>
      <c r="C1498" s="12" t="inlineStr">
        <is>
          <t>Graduate/Entry</t>
        </is>
      </c>
      <c r="D1498" s="8" t="inlineStr">
        <is>
          <t>Consultant Software Engineer</t>
        </is>
      </c>
      <c r="E1498" s="7" t="inlineStr">
        <is>
          <t>Softwire</t>
        </is>
      </c>
      <c r="F1498" s="8" t="inlineStr">
        <is>
          <t>London Area, United Kingdom</t>
        </is>
      </c>
      <c r="G1498" s="8" t="n"/>
      <c r="H1498" s="14" t="n"/>
      <c r="I1498" s="15">
        <f>IF($H1498="","",$H1498-TODAY())</f>
        <v/>
      </c>
      <c r="J1498" s="16" t="inlineStr">
        <is>
          <t>Open posting</t>
        </is>
      </c>
      <c r="K1498" s="8" t="inlineStr">
        <is>
          <t>filtered by keyword pre-scan</t>
        </is>
      </c>
      <c r="L1498" s="17" t="inlineStr">
        <is>
          <t>new</t>
        </is>
      </c>
      <c r="M1498" s="18" t="inlineStr"/>
      <c r="N1498" s="7" t="inlineStr">
        <is>
          <t>2efca163c85c85cc7a704e6deecb6cdd1665a68d</t>
        </is>
      </c>
      <c r="O1498" s="14" t="n">
        <v>46188</v>
      </c>
      <c r="P1498" s="7" t="inlineStr">
        <is>
          <t>jobspy</t>
        </is>
      </c>
      <c r="Q1498" s="8" t="inlineStr">
        <is>
          <t>git</t>
        </is>
      </c>
      <c r="R1498" s="8" t="inlineStr">
        <is>
          <t>entry level Graduate Software Developer</t>
        </is>
      </c>
      <c r="S1498" s="19" t="n"/>
      <c r="T1498" s="19" t="n"/>
      <c r="U1498" s="14" t="n">
        <v>46191</v>
      </c>
      <c r="V1498" s="7" t="inlineStr">
        <is>
          <t>v2-cv-accuracy-13b988b18da8ea7d</t>
        </is>
      </c>
    </row>
    <row r="1499" ht="28" customHeight="1">
      <c r="A1499" s="12">
        <f>IF($L1499="applied","Applied",IF($L1499="interview","Interview",IF($L1499="offer","Offer",IF($L1499="rejected","Rejected",IF($L1499="ignore","Ignore",IF($L1499="archive","Archive",IF($L1499="closed","Closed",IF($B1499="","Unscored",IF(AND($B1499&gt;=8,OR($H1499="",$H1499-TODAY()&lt;=14)),"P1 Apply",IF($B1499&gt;=7,"P2 Strong",IF($B1499&gt;=5,"P3 Maybe","P4 Low")))))))))))</f>
        <v/>
      </c>
      <c r="B1499" s="13" t="n">
        <v>0</v>
      </c>
      <c r="C1499" s="12" t="inlineStr">
        <is>
          <t>Junior</t>
        </is>
      </c>
      <c r="D1499" s="8" t="inlineStr">
        <is>
          <t>Research Assistant/Associate in Digital Twin Development</t>
        </is>
      </c>
      <c r="E1499" s="7" t="inlineStr">
        <is>
          <t>Newcastle University</t>
        </is>
      </c>
      <c r="F1499" s="8" t="inlineStr">
        <is>
          <t>Newcastle, England, UK</t>
        </is>
      </c>
      <c r="G1499" s="8" t="n"/>
      <c r="H1499" s="14" t="n">
        <v>46198</v>
      </c>
      <c r="I1499" s="15">
        <f>IF($H1499="","",$H1499-TODAY())</f>
        <v/>
      </c>
      <c r="J1499" s="16" t="inlineStr">
        <is>
          <t>Open posting</t>
        </is>
      </c>
      <c r="K1499" s="8" t="inlineStr">
        <is>
          <t>filtered by keyword pre-scan</t>
        </is>
      </c>
      <c r="L1499" s="17" t="inlineStr">
        <is>
          <t>new</t>
        </is>
      </c>
      <c r="M1499" s="18" t="inlineStr"/>
      <c r="N1499" s="7" t="inlineStr">
        <is>
          <t>f25e311a33b4cc275c7c23a2533e5d5a42923ce8</t>
        </is>
      </c>
      <c r="O1499" s="14" t="n">
        <v>46184</v>
      </c>
      <c r="P1499" s="7" t="inlineStr">
        <is>
          <t>jobspy</t>
        </is>
      </c>
      <c r="Q1499" s="8" t="inlineStr">
        <is>
          <t>git</t>
        </is>
      </c>
      <c r="R1499" s="8" t="inlineStr">
        <is>
          <t>entry level Graduate Software Developer</t>
        </is>
      </c>
      <c r="S1499" s="19" t="n"/>
      <c r="T1499" s="19" t="n"/>
      <c r="U1499" s="14" t="n">
        <v>46191</v>
      </c>
      <c r="V1499" s="7" t="inlineStr">
        <is>
          <t>v2-cv-accuracy-13b988b18da8ea7d</t>
        </is>
      </c>
    </row>
    <row r="1500" ht="28" customHeight="1">
      <c r="A1500" s="12">
        <f>IF($L1500="applied","Applied",IF($L1500="interview","Interview",IF($L1500="offer","Offer",IF($L1500="rejected","Rejected",IF($L1500="ignore","Ignore",IF($L1500="archive","Archive",IF($L1500="closed","Closed",IF($B1500="","Unscored",IF(AND($B1500&gt;=8,OR($H1500="",$H1500-TODAY()&lt;=14)),"P1 Apply",IF($B1500&gt;=7,"P2 Strong",IF($B1500&gt;=5,"P3 Maybe","P4 Low")))))))))))</f>
        <v/>
      </c>
      <c r="B1500" s="13" t="n">
        <v>0</v>
      </c>
      <c r="C1500" s="12" t="inlineStr">
        <is>
          <t>Graduate/Entry</t>
        </is>
      </c>
      <c r="D1500" s="8" t="inlineStr">
        <is>
          <t>Robotics Software Engineer</t>
        </is>
      </c>
      <c r="E1500" s="7" t="inlineStr">
        <is>
          <t>Hyster-Yale Materials Handling</t>
        </is>
      </c>
      <c r="F1500" s="8" t="inlineStr">
        <is>
          <t>Frimley, England, UK</t>
        </is>
      </c>
      <c r="G1500" s="8" t="n"/>
      <c r="H1500" s="14" t="n"/>
      <c r="I1500" s="15">
        <f>IF($H1500="","",$H1500-TODAY())</f>
        <v/>
      </c>
      <c r="J1500" s="16" t="inlineStr">
        <is>
          <t>Open posting</t>
        </is>
      </c>
      <c r="K1500" s="8" t="inlineStr">
        <is>
          <t>filtered by keyword pre-scan</t>
        </is>
      </c>
      <c r="L1500" s="17" t="inlineStr">
        <is>
          <t>new</t>
        </is>
      </c>
      <c r="M1500" s="18" t="inlineStr"/>
      <c r="N1500" s="7" t="inlineStr">
        <is>
          <t>8a794b29690e9cca1d9073d24e98bd6c44f107e7</t>
        </is>
      </c>
      <c r="O1500" s="14" t="n">
        <v>46178</v>
      </c>
      <c r="P1500" s="7" t="inlineStr">
        <is>
          <t>jobspy</t>
        </is>
      </c>
      <c r="Q1500" s="8" t="inlineStr"/>
      <c r="R1500" s="8" t="inlineStr">
        <is>
          <t>entry level Graduate Software Developer</t>
        </is>
      </c>
      <c r="S1500" s="19" t="n"/>
      <c r="T1500" s="19" t="n"/>
      <c r="U1500" s="14" t="n">
        <v>46191</v>
      </c>
      <c r="V1500" s="7" t="inlineStr">
        <is>
          <t>v2-cv-accuracy-13b988b18da8ea7d</t>
        </is>
      </c>
    </row>
    <row r="1501" ht="28" customHeight="1">
      <c r="A1501" s="12">
        <f>IF($L1501="applied","Applied",IF($L1501="interview","Interview",IF($L1501="offer","Offer",IF($L1501="rejected","Rejected",IF($L1501="ignore","Ignore",IF($L1501="archive","Archive",IF($L1501="closed","Closed",IF($B1501="","Unscored",IF(AND($B1501&gt;=8,OR($H1501="",$H1501-TODAY()&lt;=14)),"P1 Apply",IF($B1501&gt;=7,"P2 Strong",IF($B1501&gt;=5,"P3 Maybe","P4 Low")))))))))))</f>
        <v/>
      </c>
      <c r="B1501" s="13" t="n">
        <v>0</v>
      </c>
      <c r="C1501" s="12" t="inlineStr">
        <is>
          <t>Apprentice/Trainee</t>
        </is>
      </c>
      <c r="D1501" s="8" t="inlineStr">
        <is>
          <t>Software Data Science Degree Apprentice</t>
        </is>
      </c>
      <c r="E1501" s="7" t="inlineStr">
        <is>
          <t>Leonardo</t>
        </is>
      </c>
      <c r="F1501" s="8" t="inlineStr">
        <is>
          <t>Luton, England, UK</t>
        </is>
      </c>
      <c r="G1501" s="8" t="n"/>
      <c r="H1501" s="14" t="n"/>
      <c r="I1501" s="15">
        <f>IF($H1501="","",$H1501-TODAY())</f>
        <v/>
      </c>
      <c r="J1501" s="16" t="inlineStr">
        <is>
          <t>Open posting</t>
        </is>
      </c>
      <c r="K1501" s="8" t="inlineStr">
        <is>
          <t>filtered by keyword pre-scan</t>
        </is>
      </c>
      <c r="L1501" s="17" t="inlineStr">
        <is>
          <t>new</t>
        </is>
      </c>
      <c r="M1501" s="18" t="inlineStr"/>
      <c r="N1501" s="7" t="inlineStr">
        <is>
          <t>70e4291fb4810ed6c0301f455265dba62bee1737</t>
        </is>
      </c>
      <c r="O1501" s="14" t="n">
        <v>46177</v>
      </c>
      <c r="P1501" s="7" t="inlineStr">
        <is>
          <t>jobspy</t>
        </is>
      </c>
      <c r="Q1501" s="8" t="inlineStr">
        <is>
          <t>git</t>
        </is>
      </c>
      <c r="R1501" s="8" t="inlineStr">
        <is>
          <t>entry level Graduate Software Developer</t>
        </is>
      </c>
      <c r="S1501" s="19" t="n"/>
      <c r="T1501" s="19" t="n"/>
      <c r="U1501" s="14" t="n">
        <v>46191</v>
      </c>
      <c r="V1501" s="7" t="inlineStr">
        <is>
          <t>v2-cv-accuracy-13b988b18da8ea7d</t>
        </is>
      </c>
    </row>
    <row r="1502" ht="28" customHeight="1">
      <c r="A1502" s="12">
        <f>IF($L1502="applied","Applied",IF($L1502="interview","Interview",IF($L1502="offer","Offer",IF($L1502="rejected","Rejected",IF($L1502="ignore","Ignore",IF($L1502="archive","Archive",IF($L1502="closed","Closed",IF($B1502="","Unscored",IF(AND($B1502&gt;=8,OR($H1502="",$H1502-TODAY()&lt;=14)),"P1 Apply",IF($B1502&gt;=7,"P2 Strong",IF($B1502&gt;=5,"P3 Maybe","P4 Low")))))))))))</f>
        <v/>
      </c>
      <c r="B1502" s="13" t="n">
        <v>0</v>
      </c>
      <c r="C1502" s="12" t="inlineStr">
        <is>
          <t>Graduate/Entry</t>
        </is>
      </c>
      <c r="D1502" s="8" t="inlineStr">
        <is>
          <t>Graduate Software Engineer</t>
        </is>
      </c>
      <c r="E1502" s="7" t="inlineStr">
        <is>
          <t>Quant Capital</t>
        </is>
      </c>
      <c r="F1502" s="8" t="inlineStr">
        <is>
          <t>Greater London, England, UK</t>
        </is>
      </c>
      <c r="G1502" s="8" t="n"/>
      <c r="H1502" s="14" t="n"/>
      <c r="I1502" s="15">
        <f>IF($H1502="","",$H1502-TODAY())</f>
        <v/>
      </c>
      <c r="J1502" s="16" t="inlineStr">
        <is>
          <t>Open posting</t>
        </is>
      </c>
      <c r="K1502" s="8" t="inlineStr">
        <is>
          <t>filtered by keyword pre-scan</t>
        </is>
      </c>
      <c r="L1502" s="17" t="inlineStr">
        <is>
          <t>new</t>
        </is>
      </c>
      <c r="M1502" s="18" t="inlineStr"/>
      <c r="N1502" s="7" t="inlineStr">
        <is>
          <t>e516470b1ba53366ebe5c2fc34c0130621e60dc5</t>
        </is>
      </c>
      <c r="O1502" s="14" t="n">
        <v>46182</v>
      </c>
      <c r="P1502" s="7" t="inlineStr">
        <is>
          <t>jobspy</t>
        </is>
      </c>
      <c r="Q1502" s="8" t="inlineStr">
        <is>
          <t>sql</t>
        </is>
      </c>
      <c r="R1502" s="8" t="inlineStr">
        <is>
          <t>junior/graduate Graduate Software Developer</t>
        </is>
      </c>
      <c r="S1502" s="19" t="n"/>
      <c r="T1502" s="19" t="n"/>
      <c r="U1502" s="14" t="n">
        <v>46191</v>
      </c>
      <c r="V1502" s="7" t="inlineStr">
        <is>
          <t>v2-cv-accuracy-13b988b18da8ea7d</t>
        </is>
      </c>
    </row>
    <row r="1503" ht="28" customHeight="1">
      <c r="A1503" s="12">
        <f>IF($L1503="applied","Applied",IF($L1503="interview","Interview",IF($L1503="offer","Offer",IF($L1503="rejected","Rejected",IF($L1503="ignore","Ignore",IF($L1503="archive","Archive",IF($L1503="closed","Closed",IF($B1503="","Unscored",IF(AND($B1503&gt;=8,OR($H1503="",$H1503-TODAY()&lt;=14)),"P1 Apply",IF($B1503&gt;=7,"P2 Strong",IF($B1503&gt;=5,"P3 Maybe","P4 Low")))))))))))</f>
        <v/>
      </c>
      <c r="B1503" s="13" t="n">
        <v>0</v>
      </c>
      <c r="C1503" s="12" t="inlineStr">
        <is>
          <t>Unspecified</t>
        </is>
      </c>
      <c r="D1503" s="8" t="inlineStr">
        <is>
          <t>IT Application Designer</t>
        </is>
      </c>
      <c r="E1503" s="7" t="inlineStr">
        <is>
          <t>Ybrant Core Limited</t>
        </is>
      </c>
      <c r="F1503" s="8" t="inlineStr">
        <is>
          <t>Coventry, ENG, GB</t>
        </is>
      </c>
      <c r="G1503" s="8" t="n"/>
      <c r="H1503" s="14" t="n"/>
      <c r="I1503" s="15">
        <f>IF($H1503="","",$H1503-TODAY())</f>
        <v/>
      </c>
      <c r="J1503" s="16" t="inlineStr">
        <is>
          <t>Open posting</t>
        </is>
      </c>
      <c r="K1503" s="8" t="inlineStr">
        <is>
          <t>filtered by keyword pre-scan</t>
        </is>
      </c>
      <c r="L1503" s="17" t="inlineStr">
        <is>
          <t>new</t>
        </is>
      </c>
      <c r="M1503" s="18" t="inlineStr"/>
      <c r="N1503" s="7" t="inlineStr">
        <is>
          <t>6dc3f3bf9bfc6fd3e40197fb2882040de344f68f</t>
        </is>
      </c>
      <c r="O1503" s="14" t="n">
        <v>46182</v>
      </c>
      <c r="P1503" s="7" t="inlineStr">
        <is>
          <t>jobspy</t>
        </is>
      </c>
      <c r="Q1503" s="8" t="inlineStr"/>
      <c r="R1503" s="8" t="inlineStr">
        <is>
          <t>Graduate Software Developer remote</t>
        </is>
      </c>
      <c r="S1503" s="19" t="n"/>
      <c r="T1503" s="19" t="n"/>
      <c r="U1503" s="14" t="n">
        <v>46191</v>
      </c>
      <c r="V1503" s="7" t="inlineStr">
        <is>
          <t>v2-cv-accuracy-13b988b18da8ea7d</t>
        </is>
      </c>
    </row>
    <row r="1504" ht="28" customHeight="1">
      <c r="A1504" s="12">
        <f>IF($L1504="applied","Applied",IF($L1504="interview","Interview",IF($L1504="offer","Offer",IF($L1504="rejected","Rejected",IF($L1504="ignore","Ignore",IF($L1504="archive","Archive",IF($L1504="closed","Closed",IF($B1504="","Unscored",IF(AND($B1504&gt;=8,OR($H1504="",$H1504-TODAY()&lt;=14)),"P1 Apply",IF($B1504&gt;=7,"P2 Strong",IF($B1504&gt;=5,"P3 Maybe","P4 Low")))))))))))</f>
        <v/>
      </c>
      <c r="B1504" s="13" t="n">
        <v>0</v>
      </c>
      <c r="C1504" s="12" t="inlineStr">
        <is>
          <t>Senior/Lead</t>
        </is>
      </c>
      <c r="D1504" s="8" t="inlineStr">
        <is>
          <t>Technical Director Landscape Planner</t>
        </is>
      </c>
      <c r="E1504" s="7" t="inlineStr">
        <is>
          <t>AECOM</t>
        </is>
      </c>
      <c r="F1504" s="8" t="inlineStr">
        <is>
          <t>London, ENG, GB</t>
        </is>
      </c>
      <c r="G1504" s="8" t="n"/>
      <c r="H1504" s="14" t="n"/>
      <c r="I1504" s="15">
        <f>IF($H1504="","",$H1504-TODAY())</f>
        <v/>
      </c>
      <c r="J1504" s="16" t="inlineStr">
        <is>
          <t>Open posting</t>
        </is>
      </c>
      <c r="K1504" s="8" t="inlineStr">
        <is>
          <t>filtered by keyword pre-scan</t>
        </is>
      </c>
      <c r="L1504" s="17" t="inlineStr">
        <is>
          <t>new</t>
        </is>
      </c>
      <c r="M1504" s="18" t="inlineStr"/>
      <c r="N1504" s="7" t="inlineStr">
        <is>
          <t>69c049628f12f3b3347bd7a76cc62bf58e9f63f0</t>
        </is>
      </c>
      <c r="O1504" s="14" t="n">
        <v>46181</v>
      </c>
      <c r="P1504" s="7" t="inlineStr">
        <is>
          <t>jobspy</t>
        </is>
      </c>
      <c r="Q1504" s="8" t="inlineStr">
        <is>
          <t>git</t>
        </is>
      </c>
      <c r="R1504" s="8" t="inlineStr">
        <is>
          <t>Graduate Software Developer remote</t>
        </is>
      </c>
      <c r="S1504" s="19" t="n"/>
      <c r="T1504" s="19" t="n"/>
      <c r="U1504" s="14" t="n">
        <v>46191</v>
      </c>
      <c r="V1504" s="7" t="inlineStr">
        <is>
          <t>v2-cv-accuracy-13b988b18da8ea7d</t>
        </is>
      </c>
    </row>
    <row r="1505" ht="28" customHeight="1">
      <c r="A1505" s="12">
        <f>IF($L1505="applied","Applied",IF($L1505="interview","Interview",IF($L1505="offer","Offer",IF($L1505="rejected","Rejected",IF($L1505="ignore","Ignore",IF($L1505="archive","Archive",IF($L1505="closed","Closed",IF($B1505="","Unscored",IF(AND($B1505&gt;=8,OR($H1505="",$H1505-TODAY()&lt;=14)),"P1 Apply",IF($B1505&gt;=7,"P2 Strong",IF($B1505&gt;=5,"P3 Maybe","P4 Low")))))))))))</f>
        <v/>
      </c>
      <c r="B1505" s="13" t="n">
        <v>0</v>
      </c>
      <c r="C1505" s="12" t="inlineStr">
        <is>
          <t>Senior/Lead</t>
        </is>
      </c>
      <c r="D1505" s="8" t="inlineStr">
        <is>
          <t>Technical Director - Head of Landscape Planning (UK WIDE)</t>
        </is>
      </c>
      <c r="E1505" s="7" t="inlineStr">
        <is>
          <t>AECOM</t>
        </is>
      </c>
      <c r="F1505" s="8" t="inlineStr">
        <is>
          <t>London, ENG, GB</t>
        </is>
      </c>
      <c r="G1505" s="8" t="n"/>
      <c r="H1505" s="14" t="n"/>
      <c r="I1505" s="15">
        <f>IF($H1505="","",$H1505-TODAY())</f>
        <v/>
      </c>
      <c r="J1505" s="16" t="inlineStr">
        <is>
          <t>Open posting</t>
        </is>
      </c>
      <c r="K1505" s="8" t="inlineStr">
        <is>
          <t>filtered by keyword pre-scan</t>
        </is>
      </c>
      <c r="L1505" s="17" t="inlineStr">
        <is>
          <t>new</t>
        </is>
      </c>
      <c r="M1505" s="18" t="inlineStr"/>
      <c r="N1505" s="7" t="inlineStr">
        <is>
          <t>1e90b207ed8134b75b20041fd31d323e41b1e282</t>
        </is>
      </c>
      <c r="O1505" s="14" t="n">
        <v>46175</v>
      </c>
      <c r="P1505" s="7" t="inlineStr">
        <is>
          <t>jobspy</t>
        </is>
      </c>
      <c r="Q1505" s="8" t="inlineStr">
        <is>
          <t>git</t>
        </is>
      </c>
      <c r="R1505" s="8" t="inlineStr">
        <is>
          <t>Graduate Software Developer remote</t>
        </is>
      </c>
      <c r="S1505" s="19" t="n"/>
      <c r="T1505" s="19" t="n"/>
      <c r="U1505" s="14" t="n">
        <v>46191</v>
      </c>
      <c r="V1505" s="7" t="inlineStr">
        <is>
          <t>v2-cv-accuracy-13b988b18da8ea7d</t>
        </is>
      </c>
    </row>
    <row r="1506" ht="28" customHeight="1">
      <c r="A1506" s="12">
        <f>IF($L1506="applied","Applied",IF($L1506="interview","Interview",IF($L1506="offer","Offer",IF($L1506="rejected","Rejected",IF($L1506="ignore","Ignore",IF($L1506="archive","Archive",IF($L1506="closed","Closed",IF($B1506="","Unscored",IF(AND($B1506&gt;=8,OR($H1506="",$H1506-TODAY()&lt;=14)),"P1 Apply",IF($B1506&gt;=7,"P2 Strong",IF($B1506&gt;=5,"P3 Maybe","P4 Low")))))))))))</f>
        <v/>
      </c>
      <c r="B1506" s="13" t="n">
        <v>0</v>
      </c>
      <c r="C1506" s="12" t="inlineStr">
        <is>
          <t>Junior</t>
        </is>
      </c>
      <c r="D1506" s="8" t="inlineStr">
        <is>
          <t>Junior Developer – Application Services - IT Services - 107126 - Grade 5</t>
        </is>
      </c>
      <c r="E1506" s="7" t="inlineStr">
        <is>
          <t>University of Birmingham</t>
        </is>
      </c>
      <c r="F1506" s="8" t="inlineStr">
        <is>
          <t>Birmingham, ENG, GB</t>
        </is>
      </c>
      <c r="G1506" s="8" t="n"/>
      <c r="H1506" s="14" t="n">
        <v>46197</v>
      </c>
      <c r="I1506" s="15">
        <f>IF($H1506="","",$H1506-TODAY())</f>
        <v/>
      </c>
      <c r="J1506" s="16" t="inlineStr">
        <is>
          <t>Open posting</t>
        </is>
      </c>
      <c r="K1506" s="8" t="inlineStr">
        <is>
          <t>filtered by keyword pre-scan</t>
        </is>
      </c>
      <c r="L1506" s="17" t="inlineStr">
        <is>
          <t>new</t>
        </is>
      </c>
      <c r="M1506" s="18" t="inlineStr"/>
      <c r="N1506" s="7" t="inlineStr">
        <is>
          <t>1135237112485a7bbf0e8376694fae042b539485</t>
        </is>
      </c>
      <c r="O1506" s="14" t="n">
        <v>46189</v>
      </c>
      <c r="P1506" s="7" t="inlineStr">
        <is>
          <t>jobspy</t>
        </is>
      </c>
      <c r="Q1506" s="8" t="inlineStr">
        <is>
          <t>python, javascript, git, software development</t>
        </is>
      </c>
      <c r="R1506" s="8" t="inlineStr">
        <is>
          <t>Junior Python Developer</t>
        </is>
      </c>
      <c r="S1506" s="19" t="n"/>
      <c r="T1506" s="19" t="n"/>
      <c r="U1506" s="14" t="n">
        <v>46191</v>
      </c>
      <c r="V1506" s="7" t="inlineStr">
        <is>
          <t>v2-cv-accuracy-13b988b18da8ea7d</t>
        </is>
      </c>
    </row>
    <row r="1507" ht="28" customHeight="1">
      <c r="A1507" s="12">
        <f>IF($L1507="applied","Applied",IF($L1507="interview","Interview",IF($L1507="offer","Offer",IF($L1507="rejected","Rejected",IF($L1507="ignore","Ignore",IF($L1507="archive","Archive",IF($L1507="closed","Closed",IF($B1507="","Unscored",IF(AND($B1507&gt;=8,OR($H1507="",$H1507-TODAY()&lt;=14)),"P1 Apply",IF($B1507&gt;=7,"P2 Strong",IF($B1507&gt;=5,"P3 Maybe","P4 Low")))))))))))</f>
        <v/>
      </c>
      <c r="B1507" s="13" t="n">
        <v>0</v>
      </c>
      <c r="C1507" s="12" t="inlineStr">
        <is>
          <t>Senior/Lead</t>
        </is>
      </c>
      <c r="D1507" s="8" t="inlineStr">
        <is>
          <t>Senior Technical Lead</t>
        </is>
      </c>
      <c r="E1507" s="7" t="inlineStr">
        <is>
          <t>HCLTech</t>
        </is>
      </c>
      <c r="F1507" s="8" t="inlineStr">
        <is>
          <t>London, ENG, GB</t>
        </is>
      </c>
      <c r="G1507" s="8" t="n"/>
      <c r="H1507" s="14" t="n"/>
      <c r="I1507" s="15">
        <f>IF($H1507="","",$H1507-TODAY())</f>
        <v/>
      </c>
      <c r="J1507" s="16" t="inlineStr">
        <is>
          <t>Open posting</t>
        </is>
      </c>
      <c r="K1507" s="8" t="inlineStr">
        <is>
          <t>filtered by keyword pre-scan</t>
        </is>
      </c>
      <c r="L1507" s="17" t="inlineStr">
        <is>
          <t>new</t>
        </is>
      </c>
      <c r="M1507" s="18" t="inlineStr"/>
      <c r="N1507" s="7" t="inlineStr">
        <is>
          <t>462f192a2d19c1ce12324b92f050cbad2c618fb3</t>
        </is>
      </c>
      <c r="O1507" s="14" t="n">
        <v>46188</v>
      </c>
      <c r="P1507" s="7" t="inlineStr">
        <is>
          <t>jobspy</t>
        </is>
      </c>
      <c r="Q1507" s="8" t="inlineStr">
        <is>
          <t>python</t>
        </is>
      </c>
      <c r="R1507" s="8" t="inlineStr">
        <is>
          <t>Junior Python Developer</t>
        </is>
      </c>
      <c r="S1507" s="19" t="n"/>
      <c r="T1507" s="19" t="n"/>
      <c r="U1507" s="14" t="n">
        <v>46191</v>
      </c>
      <c r="V1507" s="7" t="inlineStr">
        <is>
          <t>v2-cv-accuracy-13b988b18da8ea7d</t>
        </is>
      </c>
    </row>
    <row r="1508" ht="28" customHeight="1">
      <c r="A1508" s="12">
        <f>IF($L1508="applied","Applied",IF($L1508="interview","Interview",IF($L1508="offer","Offer",IF($L1508="rejected","Rejected",IF($L1508="ignore","Ignore",IF($L1508="archive","Archive",IF($L1508="closed","Closed",IF($B1508="","Unscored",IF(AND($B1508&gt;=8,OR($H1508="",$H1508-TODAY()&lt;=14)),"P1 Apply",IF($B1508&gt;=7,"P2 Strong",IF($B1508&gt;=5,"P3 Maybe","P4 Low")))))))))))</f>
        <v/>
      </c>
      <c r="B1508" s="13" t="n">
        <v>0</v>
      </c>
      <c r="C1508" s="12" t="inlineStr">
        <is>
          <t>Senior/Lead</t>
        </is>
      </c>
      <c r="D1508" s="8" t="inlineStr">
        <is>
          <t>Lead Data Engineer</t>
        </is>
      </c>
      <c r="E1508" s="7" t="inlineStr">
        <is>
          <t>Liberis</t>
        </is>
      </c>
      <c r="F1508" s="8" t="inlineStr">
        <is>
          <t>London, ENG, GB</t>
        </is>
      </c>
      <c r="G1508" s="8" t="n"/>
      <c r="H1508" s="14" t="n"/>
      <c r="I1508" s="15">
        <f>IF($H1508="","",$H1508-TODAY())</f>
        <v/>
      </c>
      <c r="J1508" s="16" t="inlineStr">
        <is>
          <t>Open posting</t>
        </is>
      </c>
      <c r="K1508" s="8" t="inlineStr">
        <is>
          <t>filtered by keyword pre-scan</t>
        </is>
      </c>
      <c r="L1508" s="17" t="inlineStr">
        <is>
          <t>new</t>
        </is>
      </c>
      <c r="M1508" s="18" t="inlineStr"/>
      <c r="N1508" s="7" t="inlineStr">
        <is>
          <t>7b0653089d7447c00af814d5e23fbea3351f498a</t>
        </is>
      </c>
      <c r="O1508" s="14" t="n">
        <v>46188</v>
      </c>
      <c r="P1508" s="7" t="inlineStr">
        <is>
          <t>jobspy</t>
        </is>
      </c>
      <c r="Q1508" s="8" t="inlineStr">
        <is>
          <t>python, sql</t>
        </is>
      </c>
      <c r="R1508" s="8" t="inlineStr">
        <is>
          <t>Junior Python Developer</t>
        </is>
      </c>
      <c r="S1508" s="19" t="n"/>
      <c r="T1508" s="19" t="n"/>
      <c r="U1508" s="14" t="n">
        <v>46191</v>
      </c>
      <c r="V1508" s="7" t="inlineStr">
        <is>
          <t>v2-cv-accuracy-13b988b18da8ea7d</t>
        </is>
      </c>
    </row>
    <row r="1509" ht="28" customHeight="1">
      <c r="A1509" s="12">
        <f>IF($L1509="applied","Applied",IF($L1509="interview","Interview",IF($L1509="offer","Offer",IF($L1509="rejected","Rejected",IF($L1509="ignore","Ignore",IF($L1509="archive","Archive",IF($L1509="closed","Closed",IF($B1509="","Unscored",IF(AND($B1509&gt;=8,OR($H1509="",$H1509-TODAY()&lt;=14)),"P1 Apply",IF($B1509&gt;=7,"P2 Strong",IF($B1509&gt;=5,"P3 Maybe","P4 Low")))))))))))</f>
        <v/>
      </c>
      <c r="B1509" s="13" t="n">
        <v>0</v>
      </c>
      <c r="C1509" s="12" t="inlineStr">
        <is>
          <t>Senior/Lead</t>
        </is>
      </c>
      <c r="D1509" s="8" t="inlineStr">
        <is>
          <t>Lead Security - Full-Stack Software Engineer</t>
        </is>
      </c>
      <c r="E1509" s="7" t="inlineStr">
        <is>
          <t>JPMorganChase</t>
        </is>
      </c>
      <c r="F1509" s="8" t="inlineStr">
        <is>
          <t>London, ENG, GB</t>
        </is>
      </c>
      <c r="G1509" s="8" t="n"/>
      <c r="H1509" s="14" t="n"/>
      <c r="I1509" s="15">
        <f>IF($H1509="","",$H1509-TODAY())</f>
        <v/>
      </c>
      <c r="J1509" s="16" t="inlineStr">
        <is>
          <t>Open posting</t>
        </is>
      </c>
      <c r="K1509" s="8" t="inlineStr">
        <is>
          <t>filtered by keyword pre-scan</t>
        </is>
      </c>
      <c r="L1509" s="17" t="inlineStr">
        <is>
          <t>new</t>
        </is>
      </c>
      <c r="M1509" s="18" t="inlineStr"/>
      <c r="N1509" s="7" t="inlineStr">
        <is>
          <t>a68f8d51b48992e49190a67332e195d74f03ac14</t>
        </is>
      </c>
      <c r="O1509" s="14" t="n">
        <v>46188</v>
      </c>
      <c r="P1509" s="7" t="inlineStr">
        <is>
          <t>jobspy</t>
        </is>
      </c>
      <c r="Q1509" s="8" t="inlineStr">
        <is>
          <t>python, sql, javascript, git</t>
        </is>
      </c>
      <c r="R1509" s="8" t="inlineStr">
        <is>
          <t>Junior Python Developer</t>
        </is>
      </c>
      <c r="S1509" s="19" t="n"/>
      <c r="T1509" s="19" t="n"/>
      <c r="U1509" s="14" t="n">
        <v>46191</v>
      </c>
      <c r="V1509" s="7" t="inlineStr">
        <is>
          <t>v2-cv-accuracy-13b988b18da8ea7d</t>
        </is>
      </c>
    </row>
    <row r="1510" ht="28" customHeight="1">
      <c r="A1510" s="12">
        <f>IF($L1510="applied","Applied",IF($L1510="interview","Interview",IF($L1510="offer","Offer",IF($L1510="rejected","Rejected",IF($L1510="ignore","Ignore",IF($L1510="archive","Archive",IF($L1510="closed","Closed",IF($B1510="","Unscored",IF(AND($B1510&gt;=8,OR($H1510="",$H1510-TODAY()&lt;=14)),"P1 Apply",IF($B1510&gt;=7,"P2 Strong",IF($B1510&gt;=5,"P3 Maybe","P4 Low")))))))))))</f>
        <v/>
      </c>
      <c r="B1510" s="13" t="n">
        <v>0</v>
      </c>
      <c r="C1510" s="12" t="inlineStr">
        <is>
          <t>Junior</t>
        </is>
      </c>
      <c r="D1510" s="8" t="inlineStr">
        <is>
          <t>Software Engineer - Core Technology</t>
        </is>
      </c>
      <c r="E1510" s="7" t="inlineStr">
        <is>
          <t>AI Security Institute</t>
        </is>
      </c>
      <c r="F1510" s="8" t="inlineStr">
        <is>
          <t>London, ENG, GB</t>
        </is>
      </c>
      <c r="G1510" s="8" t="n"/>
      <c r="H1510" s="14" t="n"/>
      <c r="I1510" s="15">
        <f>IF($H1510="","",$H1510-TODAY())</f>
        <v/>
      </c>
      <c r="J1510" s="16" t="inlineStr">
        <is>
          <t>Open posting</t>
        </is>
      </c>
      <c r="K1510" s="8" t="inlineStr">
        <is>
          <t>filtered by keyword pre-scan</t>
        </is>
      </c>
      <c r="L1510" s="17" t="inlineStr">
        <is>
          <t>new</t>
        </is>
      </c>
      <c r="M1510" s="18" t="inlineStr"/>
      <c r="N1510" s="7" t="inlineStr">
        <is>
          <t>7617de3014bdae1a9f4c51d9530a6fde9c52d3cc</t>
        </is>
      </c>
      <c r="O1510" s="14" t="n">
        <v>46185</v>
      </c>
      <c r="P1510" s="7" t="inlineStr">
        <is>
          <t>jobspy</t>
        </is>
      </c>
      <c r="Q1510" s="8" t="inlineStr"/>
      <c r="R1510" s="8" t="inlineStr">
        <is>
          <t>Junior Python Developer</t>
        </is>
      </c>
      <c r="S1510" s="19" t="n"/>
      <c r="T1510" s="19" t="n"/>
      <c r="U1510" s="14" t="n">
        <v>46191</v>
      </c>
      <c r="V1510" s="7" t="inlineStr">
        <is>
          <t>v2-cv-accuracy-13b988b18da8ea7d</t>
        </is>
      </c>
    </row>
    <row r="1511" ht="28" customHeight="1">
      <c r="A1511" s="12">
        <f>IF($L1511="applied","Applied",IF($L1511="interview","Interview",IF($L1511="offer","Offer",IF($L1511="rejected","Rejected",IF($L1511="ignore","Ignore",IF($L1511="archive","Archive",IF($L1511="closed","Closed",IF($B1511="","Unscored",IF(AND($B1511&gt;=8,OR($H1511="",$H1511-TODAY()&lt;=14)),"P1 Apply",IF($B1511&gt;=7,"P2 Strong",IF($B1511&gt;=5,"P3 Maybe","P4 Low")))))))))))</f>
        <v/>
      </c>
      <c r="B1511" s="13" t="n">
        <v>0</v>
      </c>
      <c r="C1511" s="12" t="inlineStr">
        <is>
          <t>Senior/Lead</t>
        </is>
      </c>
      <c r="D1511" s="8" t="inlineStr">
        <is>
          <t>Senior Consultant - Full-stack Developer - DE - TC - UKI - Belfast</t>
        </is>
      </c>
      <c r="E1511" s="7" t="inlineStr">
        <is>
          <t>EY</t>
        </is>
      </c>
      <c r="F1511" s="8" t="inlineStr">
        <is>
          <t>Belfast, NIR, GB</t>
        </is>
      </c>
      <c r="G1511" s="8" t="n"/>
      <c r="H1511" s="14" t="n"/>
      <c r="I1511" s="15">
        <f>IF($H1511="","",$H1511-TODAY())</f>
        <v/>
      </c>
      <c r="J1511" s="16" t="inlineStr">
        <is>
          <t>Open posting</t>
        </is>
      </c>
      <c r="K1511" s="8" t="inlineStr">
        <is>
          <t>filtered by keyword pre-scan</t>
        </is>
      </c>
      <c r="L1511" s="17" t="inlineStr">
        <is>
          <t>new</t>
        </is>
      </c>
      <c r="M1511" s="18" t="inlineStr"/>
      <c r="N1511" s="7" t="inlineStr">
        <is>
          <t>340fe17ab14a4e2659dfe030cad6ae1596a30046</t>
        </is>
      </c>
      <c r="O1511" s="14" t="n">
        <v>46185</v>
      </c>
      <c r="P1511" s="7" t="inlineStr">
        <is>
          <t>jobspy</t>
        </is>
      </c>
      <c r="Q1511" s="8" t="inlineStr">
        <is>
          <t>javascript, git</t>
        </is>
      </c>
      <c r="R1511" s="8" t="inlineStr">
        <is>
          <t>Junior Python Developer</t>
        </is>
      </c>
      <c r="S1511" s="19" t="n"/>
      <c r="T1511" s="19" t="n"/>
      <c r="U1511" s="14" t="n">
        <v>46191</v>
      </c>
      <c r="V1511" s="7" t="inlineStr">
        <is>
          <t>v2-cv-accuracy-13b988b18da8ea7d</t>
        </is>
      </c>
    </row>
    <row r="1512" ht="28" customHeight="1">
      <c r="A1512" s="12">
        <f>IF($L1512="applied","Applied",IF($L1512="interview","Interview",IF($L1512="offer","Offer",IF($L1512="rejected","Rejected",IF($L1512="ignore","Ignore",IF($L1512="archive","Archive",IF($L1512="closed","Closed",IF($B1512="","Unscored",IF(AND($B1512&gt;=8,OR($H1512="",$H1512-TODAY()&lt;=14)),"P1 Apply",IF($B1512&gt;=7,"P2 Strong",IF($B1512&gt;=5,"P3 Maybe","P4 Low")))))))))))</f>
        <v/>
      </c>
      <c r="B1512" s="13" t="n">
        <v>0</v>
      </c>
      <c r="C1512" s="12" t="inlineStr">
        <is>
          <t>Junior</t>
        </is>
      </c>
      <c r="D1512" s="8" t="inlineStr">
        <is>
          <t>Data Engineer (Maternity Cover 12 month FTC)</t>
        </is>
      </c>
      <c r="E1512" s="7" t="inlineStr">
        <is>
          <t>JD Sports Fashion</t>
        </is>
      </c>
      <c r="F1512" s="8" t="inlineStr">
        <is>
          <t>Bury, ENG, GB</t>
        </is>
      </c>
      <c r="G1512" s="8" t="n"/>
      <c r="H1512" s="14" t="n"/>
      <c r="I1512" s="15">
        <f>IF($H1512="","",$H1512-TODAY())</f>
        <v/>
      </c>
      <c r="J1512" s="16" t="inlineStr">
        <is>
          <t>Open posting</t>
        </is>
      </c>
      <c r="K1512" s="8" t="inlineStr">
        <is>
          <t>filtered by keyword pre-scan</t>
        </is>
      </c>
      <c r="L1512" s="17" t="inlineStr">
        <is>
          <t>new</t>
        </is>
      </c>
      <c r="M1512" s="18" t="inlineStr"/>
      <c r="N1512" s="7" t="inlineStr">
        <is>
          <t>31a2c38af717e2a245bdf4eaf33d4814f664993a</t>
        </is>
      </c>
      <c r="O1512" s="14" t="n">
        <v>46184</v>
      </c>
      <c r="P1512" s="7" t="inlineStr">
        <is>
          <t>jobspy</t>
        </is>
      </c>
      <c r="Q1512" s="8" t="inlineStr">
        <is>
          <t>python, sql</t>
        </is>
      </c>
      <c r="R1512" s="8" t="inlineStr">
        <is>
          <t>Junior Python Developer</t>
        </is>
      </c>
      <c r="S1512" s="19" t="n"/>
      <c r="T1512" s="19" t="n"/>
      <c r="U1512" s="14" t="n">
        <v>46191</v>
      </c>
      <c r="V1512" s="7" t="inlineStr">
        <is>
          <t>v2-cv-accuracy-13b988b18da8ea7d</t>
        </is>
      </c>
    </row>
    <row r="1513" ht="28" customHeight="1">
      <c r="A1513" s="12">
        <f>IF($L1513="applied","Applied",IF($L1513="interview","Interview",IF($L1513="offer","Offer",IF($L1513="rejected","Rejected",IF($L1513="ignore","Ignore",IF($L1513="archive","Archive",IF($L1513="closed","Closed",IF($B1513="","Unscored",IF(AND($B1513&gt;=8,OR($H1513="",$H1513-TODAY()&lt;=14)),"P1 Apply",IF($B1513&gt;=7,"P2 Strong",IF($B1513&gt;=5,"P3 Maybe","P4 Low")))))))))))</f>
        <v/>
      </c>
      <c r="B1513" s="13" t="n">
        <v>0</v>
      </c>
      <c r="C1513" s="12" t="inlineStr">
        <is>
          <t>Junior</t>
        </is>
      </c>
      <c r="D1513" s="8" t="inlineStr">
        <is>
          <t>Junior Power Platform Developer</t>
        </is>
      </c>
      <c r="E1513" s="7" t="inlineStr">
        <is>
          <t>KLN</t>
        </is>
      </c>
      <c r="F1513" s="8" t="inlineStr">
        <is>
          <t>Manchester, ENG, GB</t>
        </is>
      </c>
      <c r="G1513" s="8" t="n"/>
      <c r="H1513" s="14" t="n"/>
      <c r="I1513" s="15">
        <f>IF($H1513="","",$H1513-TODAY())</f>
        <v/>
      </c>
      <c r="J1513" s="16" t="inlineStr">
        <is>
          <t>Open posting</t>
        </is>
      </c>
      <c r="K1513" s="8" t="inlineStr">
        <is>
          <t>filtered by keyword pre-scan</t>
        </is>
      </c>
      <c r="L1513" s="17" t="inlineStr">
        <is>
          <t>new</t>
        </is>
      </c>
      <c r="M1513" s="18" t="inlineStr"/>
      <c r="N1513" s="7" t="inlineStr">
        <is>
          <t>5876f3c0aebb6282cb3e4eb2c16c17ed83a84564</t>
        </is>
      </c>
      <c r="O1513" s="14" t="n">
        <v>46184</v>
      </c>
      <c r="P1513" s="7" t="inlineStr">
        <is>
          <t>jobspy</t>
        </is>
      </c>
      <c r="Q1513" s="8" t="inlineStr">
        <is>
          <t>python</t>
        </is>
      </c>
      <c r="R1513" s="8" t="inlineStr">
        <is>
          <t>Junior Python Developer</t>
        </is>
      </c>
      <c r="S1513" s="19" t="n"/>
      <c r="T1513" s="19" t="n"/>
      <c r="U1513" s="14" t="n">
        <v>46191</v>
      </c>
      <c r="V1513" s="7" t="inlineStr">
        <is>
          <t>v2-cv-accuracy-13b988b18da8ea7d</t>
        </is>
      </c>
    </row>
    <row r="1514" ht="28" customHeight="1">
      <c r="A1514" s="12">
        <f>IF($L1514="applied","Applied",IF($L1514="interview","Interview",IF($L1514="offer","Offer",IF($L1514="rejected","Rejected",IF($L1514="ignore","Ignore",IF($L1514="archive","Archive",IF($L1514="closed","Closed",IF($B1514="","Unscored",IF(AND($B1514&gt;=8,OR($H1514="",$H1514-TODAY()&lt;=14)),"P1 Apply",IF($B1514&gt;=7,"P2 Strong",IF($B1514&gt;=5,"P3 Maybe","P4 Low")))))))))))</f>
        <v/>
      </c>
      <c r="B1514" s="13" t="n">
        <v>0</v>
      </c>
      <c r="C1514" s="12" t="inlineStr">
        <is>
          <t>Senior/Lead</t>
        </is>
      </c>
      <c r="D1514" s="8" t="inlineStr">
        <is>
          <t>Senior Data/AI Engineer - Manager, Engineering AI &amp; Data, AI &amp; Data Solutions</t>
        </is>
      </c>
      <c r="E1514" s="7" t="inlineStr">
        <is>
          <t>Deloitte</t>
        </is>
      </c>
      <c r="F1514" s="8" t="inlineStr">
        <is>
          <t>Belfast, NIR, GB</t>
        </is>
      </c>
      <c r="G1514" s="8" t="n"/>
      <c r="H1514" s="14" t="n"/>
      <c r="I1514" s="15">
        <f>IF($H1514="","",$H1514-TODAY())</f>
        <v/>
      </c>
      <c r="J1514" s="16" t="inlineStr">
        <is>
          <t>Open posting</t>
        </is>
      </c>
      <c r="K1514" s="8" t="inlineStr">
        <is>
          <t>filtered by keyword pre-scan</t>
        </is>
      </c>
      <c r="L1514" s="17" t="inlineStr">
        <is>
          <t>new</t>
        </is>
      </c>
      <c r="M1514" s="18" t="inlineStr"/>
      <c r="N1514" s="7" t="inlineStr">
        <is>
          <t>114af5e99e10f5face2502270a234aa72b5cf511</t>
        </is>
      </c>
      <c r="O1514" s="14" t="n">
        <v>46182</v>
      </c>
      <c r="P1514" s="7" t="inlineStr">
        <is>
          <t>jobspy</t>
        </is>
      </c>
      <c r="Q1514" s="8" t="inlineStr">
        <is>
          <t>git</t>
        </is>
      </c>
      <c r="R1514" s="8" t="inlineStr">
        <is>
          <t>Junior Python Developer</t>
        </is>
      </c>
      <c r="S1514" s="19" t="n"/>
      <c r="T1514" s="19" t="n"/>
      <c r="U1514" s="14" t="n">
        <v>46191</v>
      </c>
      <c r="V1514" s="7" t="inlineStr">
        <is>
          <t>v2-cv-accuracy-13b988b18da8ea7d</t>
        </is>
      </c>
    </row>
    <row r="1515" ht="28" customHeight="1">
      <c r="A1515" s="12">
        <f>IF($L1515="applied","Applied",IF($L1515="interview","Interview",IF($L1515="offer","Offer",IF($L1515="rejected","Rejected",IF($L1515="ignore","Ignore",IF($L1515="archive","Archive",IF($L1515="closed","Closed",IF($B1515="","Unscored",IF(AND($B1515&gt;=8,OR($H1515="",$H1515-TODAY()&lt;=14)),"P1 Apply",IF($B1515&gt;=7,"P2 Strong",IF($B1515&gt;=5,"P3 Maybe","P4 Low")))))))))))</f>
        <v/>
      </c>
      <c r="B1515" s="13" t="n">
        <v>0</v>
      </c>
      <c r="C1515" s="12" t="inlineStr">
        <is>
          <t>Junior</t>
        </is>
      </c>
      <c r="D1515" s="8" t="inlineStr">
        <is>
          <t>DevOps Engineer (Junior/Mid-Level) - Bazel Monorepo</t>
        </is>
      </c>
      <c r="E1515" s="7" t="inlineStr">
        <is>
          <t>Fractile</t>
        </is>
      </c>
      <c r="F1515" s="8" t="inlineStr">
        <is>
          <t>Bristol, ENG, GB</t>
        </is>
      </c>
      <c r="G1515" s="8" t="n"/>
      <c r="H1515" s="14" t="n"/>
      <c r="I1515" s="15">
        <f>IF($H1515="","",$H1515-TODAY())</f>
        <v/>
      </c>
      <c r="J1515" s="16" t="inlineStr">
        <is>
          <t>Open posting</t>
        </is>
      </c>
      <c r="K1515" s="8" t="inlineStr">
        <is>
          <t>filtered by keyword pre-scan</t>
        </is>
      </c>
      <c r="L1515" s="17" t="inlineStr">
        <is>
          <t>new</t>
        </is>
      </c>
      <c r="M1515" s="18" t="inlineStr"/>
      <c r="N1515" s="7" t="inlineStr">
        <is>
          <t>a28665353a7cc671a1a28e01537a886dc9b6ab4d</t>
        </is>
      </c>
      <c r="O1515" s="14" t="n">
        <v>46182</v>
      </c>
      <c r="P1515" s="7" t="inlineStr">
        <is>
          <t>jobspy</t>
        </is>
      </c>
      <c r="Q1515" s="8" t="inlineStr">
        <is>
          <t>python, git</t>
        </is>
      </c>
      <c r="R1515" s="8" t="inlineStr">
        <is>
          <t>Junior Python Developer</t>
        </is>
      </c>
      <c r="S1515" s="19" t="n"/>
      <c r="T1515" s="19" t="n"/>
      <c r="U1515" s="14" t="n">
        <v>46191</v>
      </c>
      <c r="V1515" s="7" t="inlineStr">
        <is>
          <t>v2-cv-accuracy-13b988b18da8ea7d</t>
        </is>
      </c>
    </row>
    <row r="1516" ht="28" customHeight="1">
      <c r="A1516" s="12">
        <f>IF($L1516="applied","Applied",IF($L1516="interview","Interview",IF($L1516="offer","Offer",IF($L1516="rejected","Rejected",IF($L1516="ignore","Ignore",IF($L1516="archive","Archive",IF($L1516="closed","Closed",IF($B1516="","Unscored",IF(AND($B1516&gt;=8,OR($H1516="",$H1516-TODAY()&lt;=14)),"P1 Apply",IF($B1516&gt;=7,"P2 Strong",IF($B1516&gt;=5,"P3 Maybe","P4 Low")))))))))))</f>
        <v/>
      </c>
      <c r="B1516" s="13" t="n">
        <v>0</v>
      </c>
      <c r="C1516" s="12" t="inlineStr">
        <is>
          <t>Senior/Lead</t>
        </is>
      </c>
      <c r="D1516" s="8" t="inlineStr">
        <is>
          <t>Software Engineer (Mid and Senior Levels)</t>
        </is>
      </c>
      <c r="E1516" s="7" t="inlineStr">
        <is>
          <t>One Big Circle</t>
        </is>
      </c>
      <c r="F1516" s="8" t="inlineStr">
        <is>
          <t>Bristol, ENG, GB</t>
        </is>
      </c>
      <c r="G1516" s="8" t="n"/>
      <c r="H1516" s="14" t="n"/>
      <c r="I1516" s="15">
        <f>IF($H1516="","",$H1516-TODAY())</f>
        <v/>
      </c>
      <c r="J1516" s="16" t="inlineStr">
        <is>
          <t>Open posting</t>
        </is>
      </c>
      <c r="K1516" s="8" t="inlineStr">
        <is>
          <t>filtered by keyword pre-scan</t>
        </is>
      </c>
      <c r="L1516" s="17" t="inlineStr">
        <is>
          <t>new</t>
        </is>
      </c>
      <c r="M1516" s="18" t="inlineStr"/>
      <c r="N1516" s="7" t="inlineStr">
        <is>
          <t>12c9c95ceeb936ea37cf87b1e181e92945eecf29</t>
        </is>
      </c>
      <c r="O1516" s="14" t="n">
        <v>46181</v>
      </c>
      <c r="P1516" s="7" t="inlineStr">
        <is>
          <t>jobspy</t>
        </is>
      </c>
      <c r="Q1516" s="8" t="inlineStr">
        <is>
          <t>python, sql, javascript, git</t>
        </is>
      </c>
      <c r="R1516" s="8" t="inlineStr">
        <is>
          <t>Junior Python Developer</t>
        </is>
      </c>
      <c r="S1516" s="19" t="n"/>
      <c r="T1516" s="19" t="n"/>
      <c r="U1516" s="14" t="n">
        <v>46191</v>
      </c>
      <c r="V1516" s="7" t="inlineStr">
        <is>
          <t>v2-cv-accuracy-13b988b18da8ea7d</t>
        </is>
      </c>
    </row>
    <row r="1517" ht="28" customHeight="1">
      <c r="A1517" s="12">
        <f>IF($L1517="applied","Applied",IF($L1517="interview","Interview",IF($L1517="offer","Offer",IF($L1517="rejected","Rejected",IF($L1517="ignore","Ignore",IF($L1517="archive","Archive",IF($L1517="closed","Closed",IF($B1517="","Unscored",IF(AND($B1517&gt;=8,OR($H1517="",$H1517-TODAY()&lt;=14)),"P1 Apply",IF($B1517&gt;=7,"P2 Strong",IF($B1517&gt;=5,"P3 Maybe","P4 Low")))))))))))</f>
        <v/>
      </c>
      <c r="B1517" s="13" t="n">
        <v>0</v>
      </c>
      <c r="C1517" s="12" t="inlineStr">
        <is>
          <t>Senior/Lead</t>
        </is>
      </c>
      <c r="D1517" s="8" t="inlineStr">
        <is>
          <t>Senior Python Developer</t>
        </is>
      </c>
      <c r="E1517" s="7" t="inlineStr">
        <is>
          <t>NCC Group</t>
        </is>
      </c>
      <c r="F1517" s="8" t="inlineStr">
        <is>
          <t>Manchester, ENG, GB</t>
        </is>
      </c>
      <c r="G1517" s="8" t="n"/>
      <c r="H1517" s="14" t="n"/>
      <c r="I1517" s="15">
        <f>IF($H1517="","",$H1517-TODAY())</f>
        <v/>
      </c>
      <c r="J1517" s="16" t="inlineStr">
        <is>
          <t>Open posting</t>
        </is>
      </c>
      <c r="K1517" s="8" t="inlineStr">
        <is>
          <t>filtered by keyword pre-scan</t>
        </is>
      </c>
      <c r="L1517" s="17" t="inlineStr">
        <is>
          <t>new</t>
        </is>
      </c>
      <c r="M1517" s="18" t="inlineStr"/>
      <c r="N1517" s="7" t="inlineStr">
        <is>
          <t>9e28ffa7b516af284f964c324c9d6b99ceee34f0</t>
        </is>
      </c>
      <c r="O1517" s="14" t="n">
        <v>46171</v>
      </c>
      <c r="P1517" s="7" t="inlineStr">
        <is>
          <t>jobspy</t>
        </is>
      </c>
      <c r="Q1517" s="8" t="inlineStr">
        <is>
          <t>python, sql, rest apis, software development</t>
        </is>
      </c>
      <c r="R1517" s="8" t="inlineStr">
        <is>
          <t>Junior Python Developer</t>
        </is>
      </c>
      <c r="S1517" s="19" t="n"/>
      <c r="T1517" s="19" t="n"/>
      <c r="U1517" s="14" t="n">
        <v>46191</v>
      </c>
      <c r="V1517" s="7" t="inlineStr">
        <is>
          <t>v2-cv-accuracy-13b988b18da8ea7d</t>
        </is>
      </c>
    </row>
    <row r="1518" ht="28" customHeight="1">
      <c r="A1518" s="12">
        <f>IF($L1518="applied","Applied",IF($L1518="interview","Interview",IF($L1518="offer","Offer",IF($L1518="rejected","Rejected",IF($L1518="ignore","Ignore",IF($L1518="archive","Archive",IF($L1518="closed","Closed",IF($B1518="","Unscored",IF(AND($B1518&gt;=8,OR($H1518="",$H1518-TODAY()&lt;=14)),"P1 Apply",IF($B1518&gt;=7,"P2 Strong",IF($B1518&gt;=5,"P3 Maybe","P4 Low")))))))))))</f>
        <v/>
      </c>
      <c r="B1518" s="13" t="n">
        <v>0</v>
      </c>
      <c r="C1518" s="12" t="inlineStr">
        <is>
          <t>Unspecified</t>
        </is>
      </c>
      <c r="D1518" s="8" t="inlineStr">
        <is>
          <t>Python Developer</t>
        </is>
      </c>
      <c r="E1518" s="7" t="inlineStr">
        <is>
          <t>Damco Solutions</t>
        </is>
      </c>
      <c r="F1518" s="8" t="inlineStr">
        <is>
          <t>Knutsford, England, UK</t>
        </is>
      </c>
      <c r="G1518" s="8" t="n"/>
      <c r="H1518" s="14" t="n"/>
      <c r="I1518" s="15">
        <f>IF($H1518="","",$H1518-TODAY())</f>
        <v/>
      </c>
      <c r="J1518" s="16" t="inlineStr">
        <is>
          <t>Open posting</t>
        </is>
      </c>
      <c r="K1518" s="8" t="inlineStr">
        <is>
          <t>filtered by keyword pre-scan</t>
        </is>
      </c>
      <c r="L1518" s="17" t="inlineStr">
        <is>
          <t>new</t>
        </is>
      </c>
      <c r="M1518" s="18" t="inlineStr"/>
      <c r="N1518" s="7" t="inlineStr">
        <is>
          <t>0b5d6266e02cf9b8cfeea559413f3a6bdbf0033a</t>
        </is>
      </c>
      <c r="O1518" s="14" t="n">
        <v>46189</v>
      </c>
      <c r="P1518" s="7" t="inlineStr">
        <is>
          <t>jobspy</t>
        </is>
      </c>
      <c r="Q1518" s="8" t="inlineStr">
        <is>
          <t>python, git</t>
        </is>
      </c>
      <c r="R1518" s="8" t="inlineStr">
        <is>
          <t>Junior Python Developer</t>
        </is>
      </c>
      <c r="S1518" s="19" t="n"/>
      <c r="T1518" s="19" t="n"/>
      <c r="U1518" s="14" t="n">
        <v>46191</v>
      </c>
      <c r="V1518" s="7" t="inlineStr">
        <is>
          <t>v2-cv-accuracy-13b988b18da8ea7d</t>
        </is>
      </c>
    </row>
    <row r="1519" ht="28" customHeight="1">
      <c r="A1519" s="12">
        <f>IF($L1519="applied","Applied",IF($L1519="interview","Interview",IF($L1519="offer","Offer",IF($L1519="rejected","Rejected",IF($L1519="ignore","Ignore",IF($L1519="archive","Archive",IF($L1519="closed","Closed",IF($B1519="","Unscored",IF(AND($B1519&gt;=8,OR($H1519="",$H1519-TODAY()&lt;=14)),"P1 Apply",IF($B1519&gt;=7,"P2 Strong",IF($B1519&gt;=5,"P3 Maybe","P4 Low")))))))))))</f>
        <v/>
      </c>
      <c r="B1519" s="13" t="n">
        <v>0</v>
      </c>
      <c r="C1519" s="12" t="inlineStr">
        <is>
          <t>Unspecified</t>
        </is>
      </c>
      <c r="D1519" s="8" t="inlineStr">
        <is>
          <t>Python Developer - Fully Remote | Upto $100/hr</t>
        </is>
      </c>
      <c r="E1519" s="7" t="inlineStr">
        <is>
          <t>Mercor</t>
        </is>
      </c>
      <c r="F1519" s="8" t="inlineStr">
        <is>
          <t>London, England, UK</t>
        </is>
      </c>
      <c r="G1519" s="8" t="n"/>
      <c r="H1519" s="14" t="n"/>
      <c r="I1519" s="15">
        <f>IF($H1519="","",$H1519-TODAY())</f>
        <v/>
      </c>
      <c r="J1519" s="16" t="inlineStr">
        <is>
          <t>Open posting</t>
        </is>
      </c>
      <c r="K1519" s="8" t="inlineStr">
        <is>
          <t>filtered by keyword pre-scan</t>
        </is>
      </c>
      <c r="L1519" s="17" t="inlineStr">
        <is>
          <t>new</t>
        </is>
      </c>
      <c r="M1519" s="18" t="inlineStr"/>
      <c r="N1519" s="7" t="inlineStr">
        <is>
          <t>084ecbff34668a82b604d46659ad1f4f21b3bc7c</t>
        </is>
      </c>
      <c r="O1519" s="14" t="n">
        <v>46185</v>
      </c>
      <c r="P1519" s="7" t="inlineStr">
        <is>
          <t>jobspy</t>
        </is>
      </c>
      <c r="Q1519" s="8" t="inlineStr">
        <is>
          <t>python</t>
        </is>
      </c>
      <c r="R1519" s="8" t="inlineStr">
        <is>
          <t>Junior Python Developer</t>
        </is>
      </c>
      <c r="S1519" s="19" t="n"/>
      <c r="T1519" s="19" t="n"/>
      <c r="U1519" s="14" t="n">
        <v>46191</v>
      </c>
      <c r="V1519" s="7" t="inlineStr">
        <is>
          <t>v2-cv-accuracy-13b988b18da8ea7d</t>
        </is>
      </c>
    </row>
    <row r="1520" ht="28" customHeight="1">
      <c r="A1520" s="12">
        <f>IF($L1520="applied","Applied",IF($L1520="interview","Interview",IF($L1520="offer","Offer",IF($L1520="rejected","Rejected",IF($L1520="ignore","Ignore",IF($L1520="archive","Archive",IF($L1520="closed","Closed",IF($B1520="","Unscored",IF(AND($B1520&gt;=8,OR($H1520="",$H1520-TODAY()&lt;=14)),"P1 Apply",IF($B1520&gt;=7,"P2 Strong",IF($B1520&gt;=5,"P3 Maybe","P4 Low")))))))))))</f>
        <v/>
      </c>
      <c r="B1520" s="13" t="n">
        <v>0</v>
      </c>
      <c r="C1520" s="12" t="inlineStr">
        <is>
          <t>Unspecified</t>
        </is>
      </c>
      <c r="D1520" s="8" t="inlineStr">
        <is>
          <t>Python Developer - Fully Remote | Upto $100/hr</t>
        </is>
      </c>
      <c r="E1520" s="7" t="inlineStr">
        <is>
          <t>Mercor</t>
        </is>
      </c>
      <c r="F1520" s="8" t="inlineStr"/>
      <c r="G1520" s="8" t="n"/>
      <c r="H1520" s="14" t="n"/>
      <c r="I1520" s="15">
        <f>IF($H1520="","",$H1520-TODAY())</f>
        <v/>
      </c>
      <c r="J1520" s="16" t="inlineStr">
        <is>
          <t>Open posting</t>
        </is>
      </c>
      <c r="K1520" s="8" t="inlineStr">
        <is>
          <t>filtered by keyword pre-scan</t>
        </is>
      </c>
      <c r="L1520" s="17" t="inlineStr">
        <is>
          <t>new</t>
        </is>
      </c>
      <c r="M1520" s="18" t="inlineStr"/>
      <c r="N1520" s="7" t="inlineStr">
        <is>
          <t>b3b7e8c5a3b49fcb9e4a65389f0e33be52e8ab1d</t>
        </is>
      </c>
      <c r="O1520" s="14" t="n">
        <v>46181</v>
      </c>
      <c r="P1520" s="7" t="inlineStr">
        <is>
          <t>jobspy</t>
        </is>
      </c>
      <c r="Q1520" s="8" t="inlineStr">
        <is>
          <t>python</t>
        </is>
      </c>
      <c r="R1520" s="8" t="inlineStr">
        <is>
          <t>Junior Python Developer</t>
        </is>
      </c>
      <c r="S1520" s="19" t="n"/>
      <c r="T1520" s="19" t="n"/>
      <c r="U1520" s="14" t="n">
        <v>46191</v>
      </c>
      <c r="V1520" s="7" t="inlineStr">
        <is>
          <t>v2-cv-accuracy-13b988b18da8ea7d</t>
        </is>
      </c>
    </row>
    <row r="1521" ht="28" customHeight="1">
      <c r="A1521" s="12">
        <f>IF($L1521="applied","Applied",IF($L1521="interview","Interview",IF($L1521="offer","Offer",IF($L1521="rejected","Rejected",IF($L1521="ignore","Ignore",IF($L1521="archive","Archive",IF($L1521="closed","Closed",IF($B1521="","Unscored",IF(AND($B1521&gt;=8,OR($H1521="",$H1521-TODAY()&lt;=14)),"P1 Apply",IF($B1521&gt;=7,"P2 Strong",IF($B1521&gt;=5,"P3 Maybe","P4 Low")))))))))))</f>
        <v/>
      </c>
      <c r="B1521" s="13" t="n">
        <v>0</v>
      </c>
      <c r="C1521" s="12" t="inlineStr">
        <is>
          <t>Mid-level</t>
        </is>
      </c>
      <c r="D1521" s="8" t="inlineStr">
        <is>
          <t>Python Developer</t>
        </is>
      </c>
      <c r="E1521" s="7" t="inlineStr">
        <is>
          <t>Accenture</t>
        </is>
      </c>
      <c r="F1521" s="8" t="inlineStr">
        <is>
          <t>Manchester, England, UK</t>
        </is>
      </c>
      <c r="G1521" s="8" t="n"/>
      <c r="H1521" s="14" t="n"/>
      <c r="I1521" s="15">
        <f>IF($H1521="","",$H1521-TODAY())</f>
        <v/>
      </c>
      <c r="J1521" s="16" t="inlineStr">
        <is>
          <t>Open posting</t>
        </is>
      </c>
      <c r="K1521" s="8" t="inlineStr">
        <is>
          <t>filtered by keyword pre-scan</t>
        </is>
      </c>
      <c r="L1521" s="17" t="inlineStr">
        <is>
          <t>new</t>
        </is>
      </c>
      <c r="M1521" s="18" t="inlineStr"/>
      <c r="N1521" s="7" t="inlineStr">
        <is>
          <t>b35c10a7e699fa938be0e4716a2f3db02791a290</t>
        </is>
      </c>
      <c r="O1521" s="14" t="n">
        <v>46181</v>
      </c>
      <c r="P1521" s="7" t="inlineStr">
        <is>
          <t>jobspy</t>
        </is>
      </c>
      <c r="Q1521" s="8" t="inlineStr">
        <is>
          <t>python, git</t>
        </is>
      </c>
      <c r="R1521" s="8" t="inlineStr">
        <is>
          <t>Junior Python Developer</t>
        </is>
      </c>
      <c r="S1521" s="19" t="n"/>
      <c r="T1521" s="19" t="n"/>
      <c r="U1521" s="14" t="n">
        <v>46191</v>
      </c>
      <c r="V1521" s="7" t="inlineStr">
        <is>
          <t>v2-cv-accuracy-13b988b18da8ea7d</t>
        </is>
      </c>
    </row>
    <row r="1522" ht="28" customHeight="1">
      <c r="A1522" s="12">
        <f>IF($L1522="applied","Applied",IF($L1522="interview","Interview",IF($L1522="offer","Offer",IF($L1522="rejected","Rejected",IF($L1522="ignore","Ignore",IF($L1522="archive","Archive",IF($L1522="closed","Closed",IF($B1522="","Unscored",IF(AND($B1522&gt;=8,OR($H1522="",$H1522-TODAY()&lt;=14)),"P1 Apply",IF($B1522&gt;=7,"P2 Strong",IF($B1522&gt;=5,"P3 Maybe","P4 Low")))))))))))</f>
        <v/>
      </c>
      <c r="B1522" s="13" t="n">
        <v>0</v>
      </c>
      <c r="C1522" s="12" t="inlineStr">
        <is>
          <t>Mid-level</t>
        </is>
      </c>
      <c r="D1522" s="8" t="inlineStr">
        <is>
          <t>Python Developer</t>
        </is>
      </c>
      <c r="E1522" s="7" t="inlineStr">
        <is>
          <t>Accenture</t>
        </is>
      </c>
      <c r="F1522" s="8" t="inlineStr"/>
      <c r="G1522" s="8" t="n"/>
      <c r="H1522" s="14" t="n"/>
      <c r="I1522" s="15">
        <f>IF($H1522="","",$H1522-TODAY())</f>
        <v/>
      </c>
      <c r="J1522" s="16" t="inlineStr">
        <is>
          <t>Open posting</t>
        </is>
      </c>
      <c r="K1522" s="8" t="inlineStr">
        <is>
          <t>filtered by keyword pre-scan</t>
        </is>
      </c>
      <c r="L1522" s="17" t="inlineStr">
        <is>
          <t>new</t>
        </is>
      </c>
      <c r="M1522" s="18" t="inlineStr"/>
      <c r="N1522" s="7" t="inlineStr">
        <is>
          <t>195347b98a025267e43f7dcc116dca04061ffc39</t>
        </is>
      </c>
      <c r="O1522" s="14" t="n">
        <v>46172</v>
      </c>
      <c r="P1522" s="7" t="inlineStr">
        <is>
          <t>jobspy</t>
        </is>
      </c>
      <c r="Q1522" s="8" t="inlineStr">
        <is>
          <t>python, git</t>
        </is>
      </c>
      <c r="R1522" s="8" t="inlineStr">
        <is>
          <t>Junior Python Developer</t>
        </is>
      </c>
      <c r="S1522" s="19" t="n"/>
      <c r="T1522" s="19" t="n"/>
      <c r="U1522" s="14" t="n">
        <v>46191</v>
      </c>
      <c r="V1522" s="7" t="inlineStr">
        <is>
          <t>v2-cv-accuracy-13b988b18da8ea7d</t>
        </is>
      </c>
    </row>
    <row r="1523" ht="28" customHeight="1">
      <c r="A1523" s="12">
        <f>IF($L1523="applied","Applied",IF($L1523="interview","Interview",IF($L1523="offer","Offer",IF($L1523="rejected","Rejected",IF($L1523="ignore","Ignore",IF($L1523="archive","Archive",IF($L1523="closed","Closed",IF($B1523="","Unscored",IF(AND($B1523&gt;=8,OR($H1523="",$H1523-TODAY()&lt;=14)),"P1 Apply",IF($B1523&gt;=7,"P2 Strong",IF($B1523&gt;=5,"P3 Maybe","P4 Low")))))))))))</f>
        <v/>
      </c>
      <c r="B1523" s="13" t="n">
        <v>0</v>
      </c>
      <c r="C1523" s="12" t="inlineStr">
        <is>
          <t>Senior/Lead</t>
        </is>
      </c>
      <c r="D1523" s="8" t="inlineStr">
        <is>
          <t>Senior Frontend Developer</t>
        </is>
      </c>
      <c r="E1523" s="7" t="inlineStr">
        <is>
          <t>Albany Beck</t>
        </is>
      </c>
      <c r="F1523" s="8" t="inlineStr">
        <is>
          <t>Sheffield, England, UK</t>
        </is>
      </c>
      <c r="G1523" s="8" t="n"/>
      <c r="H1523" s="14" t="n"/>
      <c r="I1523" s="15">
        <f>IF($H1523="","",$H1523-TODAY())</f>
        <v/>
      </c>
      <c r="J1523" s="16" t="inlineStr">
        <is>
          <t>Open posting</t>
        </is>
      </c>
      <c r="K1523" s="8" t="inlineStr">
        <is>
          <t>filtered by keyword pre-scan</t>
        </is>
      </c>
      <c r="L1523" s="17" t="inlineStr">
        <is>
          <t>new</t>
        </is>
      </c>
      <c r="M1523" s="18" t="inlineStr"/>
      <c r="N1523" s="7" t="inlineStr">
        <is>
          <t>df5aac19bcb1c17421cef056e06df4d6dd89b788</t>
        </is>
      </c>
      <c r="O1523" s="14" t="n">
        <v>46185</v>
      </c>
      <c r="P1523" s="7" t="inlineStr">
        <is>
          <t>jobspy</t>
        </is>
      </c>
      <c r="Q1523" s="8" t="inlineStr">
        <is>
          <t>javascript, git</t>
        </is>
      </c>
      <c r="R1523" s="8" t="inlineStr">
        <is>
          <t>Junior Python Developer Sheffield</t>
        </is>
      </c>
      <c r="S1523" s="19" t="n"/>
      <c r="T1523" s="19" t="n"/>
      <c r="U1523" s="14" t="n">
        <v>46191</v>
      </c>
      <c r="V1523" s="7" t="inlineStr">
        <is>
          <t>v2-cv-accuracy-13b988b18da8ea7d</t>
        </is>
      </c>
    </row>
    <row r="1524" ht="28" customHeight="1">
      <c r="A1524" s="12">
        <f>IF($L1524="applied","Applied",IF($L1524="interview","Interview",IF($L1524="offer","Offer",IF($L1524="rejected","Rejected",IF($L1524="ignore","Ignore",IF($L1524="archive","Archive",IF($L1524="closed","Closed",IF($B1524="","Unscored",IF(AND($B1524&gt;=8,OR($H1524="",$H1524-TODAY()&lt;=14)),"P1 Apply",IF($B1524&gt;=7,"P2 Strong",IF($B1524&gt;=5,"P3 Maybe","P4 Low")))))))))))</f>
        <v/>
      </c>
      <c r="B1524" s="13" t="n">
        <v>0</v>
      </c>
      <c r="C1524" s="12" t="inlineStr">
        <is>
          <t>Senior/Lead</t>
        </is>
      </c>
      <c r="D1524" s="8" t="inlineStr">
        <is>
          <t>Senior Backend Engineer</t>
        </is>
      </c>
      <c r="E1524" s="7" t="inlineStr">
        <is>
          <t>Synechron</t>
        </is>
      </c>
      <c r="F1524" s="8" t="inlineStr">
        <is>
          <t>Sheffield, England, UK</t>
        </is>
      </c>
      <c r="G1524" s="8" t="n"/>
      <c r="H1524" s="14" t="n"/>
      <c r="I1524" s="15">
        <f>IF($H1524="","",$H1524-TODAY())</f>
        <v/>
      </c>
      <c r="J1524" s="16" t="inlineStr">
        <is>
          <t>Open posting</t>
        </is>
      </c>
      <c r="K1524" s="8" t="inlineStr">
        <is>
          <t>filtered by keyword pre-scan</t>
        </is>
      </c>
      <c r="L1524" s="17" t="inlineStr">
        <is>
          <t>new</t>
        </is>
      </c>
      <c r="M1524" s="18" t="inlineStr"/>
      <c r="N1524" s="7" t="inlineStr">
        <is>
          <t>8a04e32cf77db27961625340a6181c9860ecc63c</t>
        </is>
      </c>
      <c r="O1524" s="14" t="n">
        <v>46175</v>
      </c>
      <c r="P1524" s="7" t="inlineStr">
        <is>
          <t>jobspy</t>
        </is>
      </c>
      <c r="Q1524" s="8" t="inlineStr">
        <is>
          <t>python, javascript</t>
        </is>
      </c>
      <c r="R1524" s="8" t="inlineStr">
        <is>
          <t>Junior Python Developer Sheffield</t>
        </is>
      </c>
      <c r="S1524" s="19" t="n"/>
      <c r="T1524" s="19" t="n"/>
      <c r="U1524" s="14" t="n">
        <v>46191</v>
      </c>
      <c r="V1524" s="7" t="inlineStr">
        <is>
          <t>v2-cv-accuracy-13b988b18da8ea7d</t>
        </is>
      </c>
    </row>
    <row r="1525" ht="28" customHeight="1">
      <c r="A1525" s="12">
        <f>IF($L1525="applied","Applied",IF($L1525="interview","Interview",IF($L1525="offer","Offer",IF($L1525="rejected","Rejected",IF($L1525="ignore","Ignore",IF($L1525="archive","Archive",IF($L1525="closed","Closed",IF($B1525="","Unscored",IF(AND($B1525&gt;=8,OR($H1525="",$H1525-TODAY()&lt;=14)),"P1 Apply",IF($B1525&gt;=7,"P2 Strong",IF($B1525&gt;=5,"P3 Maybe","P4 Low")))))))))))</f>
        <v/>
      </c>
      <c r="B1525" s="13" t="n">
        <v>0</v>
      </c>
      <c r="C1525" s="12" t="inlineStr">
        <is>
          <t>Senior/Lead</t>
        </is>
      </c>
      <c r="D1525" s="8" t="inlineStr">
        <is>
          <t>Senior React Frontend Engineer</t>
        </is>
      </c>
      <c r="E1525" s="7" t="inlineStr">
        <is>
          <t>CRU</t>
        </is>
      </c>
      <c r="F1525" s="8" t="inlineStr">
        <is>
          <t>Sheffield, England, UK</t>
        </is>
      </c>
      <c r="G1525" s="8" t="n"/>
      <c r="H1525" s="14" t="n"/>
      <c r="I1525" s="15">
        <f>IF($H1525="","",$H1525-TODAY())</f>
        <v/>
      </c>
      <c r="J1525" s="16" t="inlineStr">
        <is>
          <t>Open posting</t>
        </is>
      </c>
      <c r="K1525" s="8" t="inlineStr">
        <is>
          <t>filtered by keyword pre-scan</t>
        </is>
      </c>
      <c r="L1525" s="17" t="inlineStr">
        <is>
          <t>new</t>
        </is>
      </c>
      <c r="M1525" s="18" t="inlineStr"/>
      <c r="N1525" s="7" t="inlineStr">
        <is>
          <t>b254b15b6693c3c414547a78794cb3c73c563ee1</t>
        </is>
      </c>
      <c r="O1525" s="14" t="n">
        <v>46169</v>
      </c>
      <c r="P1525" s="7" t="inlineStr">
        <is>
          <t>jobspy</t>
        </is>
      </c>
      <c r="Q1525" s="8" t="inlineStr">
        <is>
          <t>python, javascript, git</t>
        </is>
      </c>
      <c r="R1525" s="8" t="inlineStr">
        <is>
          <t>Junior Python Developer Sheffield</t>
        </is>
      </c>
      <c r="S1525" s="19" t="n"/>
      <c r="T1525" s="19" t="n"/>
      <c r="U1525" s="14" t="n">
        <v>46191</v>
      </c>
      <c r="V1525" s="7" t="inlineStr">
        <is>
          <t>v2-cv-accuracy-13b988b18da8ea7d</t>
        </is>
      </c>
    </row>
    <row r="1526" ht="28" customHeight="1">
      <c r="A1526" s="12">
        <f>IF($L1526="applied","Applied",IF($L1526="interview","Interview",IF($L1526="offer","Offer",IF($L1526="rejected","Rejected",IF($L1526="ignore","Ignore",IF($L1526="archive","Archive",IF($L1526="closed","Closed",IF($B1526="","Unscored",IF(AND($B1526&gt;=8,OR($H1526="",$H1526-TODAY()&lt;=14)),"P1 Apply",IF($B1526&gt;=7,"P2 Strong",IF($B1526&gt;=5,"P3 Maybe","P4 Low")))))))))))</f>
        <v/>
      </c>
      <c r="B1526" s="13" t="n">
        <v>0</v>
      </c>
      <c r="C1526" s="12" t="inlineStr">
        <is>
          <t>Senior/Lead</t>
        </is>
      </c>
      <c r="D1526" s="8" t="inlineStr">
        <is>
          <t>Senior/Principal Wind Energy Yield Analyst</t>
        </is>
      </c>
      <c r="E1526" s="7" t="inlineStr">
        <is>
          <t>AECOM</t>
        </is>
      </c>
      <c r="F1526" s="8" t="inlineStr">
        <is>
          <t>Bristol, ENG, GB</t>
        </is>
      </c>
      <c r="G1526" s="8" t="n"/>
      <c r="H1526" s="14" t="n"/>
      <c r="I1526" s="15">
        <f>IF($H1526="","",$H1526-TODAY())</f>
        <v/>
      </c>
      <c r="J1526" s="16" t="inlineStr">
        <is>
          <t>Open posting</t>
        </is>
      </c>
      <c r="K1526" s="8" t="inlineStr">
        <is>
          <t>filtered by keyword pre-scan</t>
        </is>
      </c>
      <c r="L1526" s="17" t="inlineStr">
        <is>
          <t>new</t>
        </is>
      </c>
      <c r="M1526" s="18" t="inlineStr"/>
      <c r="N1526" s="7" t="inlineStr">
        <is>
          <t>0e27b431950eb935eb725a41b42443123099b715</t>
        </is>
      </c>
      <c r="O1526" s="14" t="n">
        <v>46190</v>
      </c>
      <c r="P1526" s="7" t="inlineStr">
        <is>
          <t>jobspy</t>
        </is>
      </c>
      <c r="Q1526" s="8" t="inlineStr">
        <is>
          <t>git, data analysis</t>
        </is>
      </c>
      <c r="R1526" s="8" t="inlineStr">
        <is>
          <t>junior Junior Python Developer</t>
        </is>
      </c>
      <c r="S1526" s="19" t="n"/>
      <c r="T1526" s="19" t="n"/>
      <c r="U1526" s="14" t="n">
        <v>46191</v>
      </c>
      <c r="V1526" s="7" t="inlineStr">
        <is>
          <t>v2-cv-accuracy-13b988b18da8ea7d</t>
        </is>
      </c>
    </row>
    <row r="1527" ht="28" customHeight="1">
      <c r="A1527" s="12">
        <f>IF($L1527="applied","Applied",IF($L1527="interview","Interview",IF($L1527="offer","Offer",IF($L1527="rejected","Rejected",IF($L1527="ignore","Ignore",IF($L1527="archive","Archive",IF($L1527="closed","Closed",IF($B1527="","Unscored",IF(AND($B1527&gt;=8,OR($H1527="",$H1527-TODAY()&lt;=14)),"P1 Apply",IF($B1527&gt;=7,"P2 Strong",IF($B1527&gt;=5,"P3 Maybe","P4 Low")))))))))))</f>
        <v/>
      </c>
      <c r="B1527" s="13" t="n">
        <v>0</v>
      </c>
      <c r="C1527" s="12" t="inlineStr">
        <is>
          <t>Junior</t>
        </is>
      </c>
      <c r="D1527" s="8" t="inlineStr">
        <is>
          <t>FX Options Quantitative Analyst (Vice President)</t>
        </is>
      </c>
      <c r="E1527" s="7" t="inlineStr">
        <is>
          <t>Citi</t>
        </is>
      </c>
      <c r="F1527" s="8" t="inlineStr">
        <is>
          <t>London, ENG, GB</t>
        </is>
      </c>
      <c r="G1527" s="8" t="n"/>
      <c r="H1527" s="14" t="n"/>
      <c r="I1527" s="15">
        <f>IF($H1527="","",$H1527-TODAY())</f>
        <v/>
      </c>
      <c r="J1527" s="16" t="inlineStr">
        <is>
          <t>Open posting</t>
        </is>
      </c>
      <c r="K1527" s="8" t="inlineStr">
        <is>
          <t>filtered by keyword pre-scan</t>
        </is>
      </c>
      <c r="L1527" s="17" t="inlineStr">
        <is>
          <t>new</t>
        </is>
      </c>
      <c r="M1527" s="18" t="inlineStr"/>
      <c r="N1527" s="7" t="inlineStr">
        <is>
          <t>b25f5f73bff35e025681b4de4052d772c85edea1</t>
        </is>
      </c>
      <c r="O1527" s="14" t="n">
        <v>46189</v>
      </c>
      <c r="P1527" s="7" t="inlineStr">
        <is>
          <t>jobspy</t>
        </is>
      </c>
      <c r="Q1527" s="8" t="inlineStr">
        <is>
          <t>python, data analysis</t>
        </is>
      </c>
      <c r="R1527" s="8" t="inlineStr">
        <is>
          <t>junior Junior Python Developer</t>
        </is>
      </c>
      <c r="S1527" s="19" t="n"/>
      <c r="T1527" s="19" t="n"/>
      <c r="U1527" s="14" t="n">
        <v>46191</v>
      </c>
      <c r="V1527" s="7" t="inlineStr">
        <is>
          <t>v2-cv-accuracy-13b988b18da8ea7d</t>
        </is>
      </c>
    </row>
    <row r="1528" ht="28" customHeight="1">
      <c r="A1528" s="12">
        <f>IF($L1528="applied","Applied",IF($L1528="interview","Interview",IF($L1528="offer","Offer",IF($L1528="rejected","Rejected",IF($L1528="ignore","Ignore",IF($L1528="archive","Archive",IF($L1528="closed","Closed",IF($B1528="","Unscored",IF(AND($B1528&gt;=8,OR($H1528="",$H1528-TODAY()&lt;=14)),"P1 Apply",IF($B1528&gt;=7,"P2 Strong",IF($B1528&gt;=5,"P3 Maybe","P4 Low")))))))))))</f>
        <v/>
      </c>
      <c r="B1528" s="13" t="n">
        <v>0</v>
      </c>
      <c r="C1528" s="12" t="inlineStr">
        <is>
          <t>Junior</t>
        </is>
      </c>
      <c r="D1528" s="8" t="inlineStr">
        <is>
          <t>Forward Deployed Engineer</t>
        </is>
      </c>
      <c r="E1528" s="7" t="inlineStr">
        <is>
          <t>Salesforce</t>
        </is>
      </c>
      <c r="F1528" s="8" t="inlineStr">
        <is>
          <t>London, ENG, GB</t>
        </is>
      </c>
      <c r="G1528" s="8" t="n"/>
      <c r="H1528" s="14" t="n"/>
      <c r="I1528" s="15">
        <f>IF($H1528="","",$H1528-TODAY())</f>
        <v/>
      </c>
      <c r="J1528" s="16" t="inlineStr">
        <is>
          <t>Open posting</t>
        </is>
      </c>
      <c r="K1528" s="8" t="inlineStr">
        <is>
          <t>filtered by keyword pre-scan</t>
        </is>
      </c>
      <c r="L1528" s="17" t="inlineStr">
        <is>
          <t>new</t>
        </is>
      </c>
      <c r="M1528" s="18" t="inlineStr"/>
      <c r="N1528" s="7" t="inlineStr">
        <is>
          <t>255b443b763aa571efa6ae2fc42f08a095a06f43</t>
        </is>
      </c>
      <c r="O1528" s="14" t="n">
        <v>46188</v>
      </c>
      <c r="P1528" s="7" t="inlineStr">
        <is>
          <t>jobspy</t>
        </is>
      </c>
      <c r="Q1528" s="8" t="inlineStr"/>
      <c r="R1528" s="8" t="inlineStr">
        <is>
          <t>junior Junior Python Developer</t>
        </is>
      </c>
      <c r="S1528" s="19" t="n"/>
      <c r="T1528" s="19" t="n"/>
      <c r="U1528" s="14" t="n">
        <v>46191</v>
      </c>
      <c r="V1528" s="7" t="inlineStr">
        <is>
          <t>v2-cv-accuracy-13b988b18da8ea7d</t>
        </is>
      </c>
    </row>
    <row r="1529" ht="28" customHeight="1">
      <c r="A1529" s="12">
        <f>IF($L1529="applied","Applied",IF($L1529="interview","Interview",IF($L1529="offer","Offer",IF($L1529="rejected","Rejected",IF($L1529="ignore","Ignore",IF($L1529="archive","Archive",IF($L1529="closed","Closed",IF($B1529="","Unscored",IF(AND($B1529&gt;=8,OR($H1529="",$H1529-TODAY()&lt;=14)),"P1 Apply",IF($B1529&gt;=7,"P2 Strong",IF($B1529&gt;=5,"P3 Maybe","P4 Low")))))))))))</f>
        <v/>
      </c>
      <c r="B1529" s="13" t="n">
        <v>0</v>
      </c>
      <c r="C1529" s="12" t="inlineStr">
        <is>
          <t>Senior/Lead</t>
        </is>
      </c>
      <c r="D1529" s="8" t="inlineStr">
        <is>
          <t>Quant Model Risk Senior Associate/Vice President - Rates</t>
        </is>
      </c>
      <c r="E1529" s="7" t="inlineStr">
        <is>
          <t>JPMorganChase</t>
        </is>
      </c>
      <c r="F1529" s="8" t="inlineStr">
        <is>
          <t>London, ENG, GB</t>
        </is>
      </c>
      <c r="G1529" s="8" t="n"/>
      <c r="H1529" s="14" t="n"/>
      <c r="I1529" s="15">
        <f>IF($H1529="","",$H1529-TODAY())</f>
        <v/>
      </c>
      <c r="J1529" s="16" t="inlineStr">
        <is>
          <t>Open posting</t>
        </is>
      </c>
      <c r="K1529" s="8" t="inlineStr">
        <is>
          <t>filtered by keyword pre-scan</t>
        </is>
      </c>
      <c r="L1529" s="17" t="inlineStr">
        <is>
          <t>new</t>
        </is>
      </c>
      <c r="M1529" s="18" t="inlineStr"/>
      <c r="N1529" s="7" t="inlineStr">
        <is>
          <t>1553b35377f31a4f6daa708399146859e2ecf82f</t>
        </is>
      </c>
      <c r="O1529" s="14" t="n">
        <v>46187</v>
      </c>
      <c r="P1529" s="7" t="inlineStr">
        <is>
          <t>jobspy</t>
        </is>
      </c>
      <c r="Q1529" s="8" t="inlineStr">
        <is>
          <t>python</t>
        </is>
      </c>
      <c r="R1529" s="8" t="inlineStr">
        <is>
          <t>junior Junior Python Developer</t>
        </is>
      </c>
      <c r="S1529" s="19" t="n"/>
      <c r="T1529" s="19" t="n"/>
      <c r="U1529" s="14" t="n">
        <v>46191</v>
      </c>
      <c r="V1529" s="7" t="inlineStr">
        <is>
          <t>v2-cv-accuracy-13b988b18da8ea7d</t>
        </is>
      </c>
    </row>
    <row r="1530" ht="28" customHeight="1">
      <c r="A1530" s="12">
        <f>IF($L1530="applied","Applied",IF($L1530="interview","Interview",IF($L1530="offer","Offer",IF($L1530="rejected","Rejected",IF($L1530="ignore","Ignore",IF($L1530="archive","Archive",IF($L1530="closed","Closed",IF($B1530="","Unscored",IF(AND($B1530&gt;=8,OR($H1530="",$H1530-TODAY()&lt;=14)),"P1 Apply",IF($B1530&gt;=7,"P2 Strong",IF($B1530&gt;=5,"P3 Maybe","P4 Low")))))))))))</f>
        <v/>
      </c>
      <c r="B1530" s="13" t="n">
        <v>0</v>
      </c>
      <c r="C1530" s="12" t="inlineStr">
        <is>
          <t>Senior/Lead</t>
        </is>
      </c>
      <c r="D1530" s="8" t="inlineStr">
        <is>
          <t>AI Support Engineer</t>
        </is>
      </c>
      <c r="E1530" s="7" t="inlineStr">
        <is>
          <t>CRI Group</t>
        </is>
      </c>
      <c r="F1530" s="8" t="inlineStr">
        <is>
          <t>Coimbatore North, Tamil Nadu, India</t>
        </is>
      </c>
      <c r="G1530" s="8" t="n"/>
      <c r="H1530" s="14" t="n"/>
      <c r="I1530" s="15">
        <f>IF($H1530="","",$H1530-TODAY())</f>
        <v/>
      </c>
      <c r="J1530" s="16" t="inlineStr">
        <is>
          <t>Open posting</t>
        </is>
      </c>
      <c r="K1530" s="8" t="inlineStr">
        <is>
          <t>filtered by keyword pre-scan</t>
        </is>
      </c>
      <c r="L1530" s="17" t="inlineStr">
        <is>
          <t>new</t>
        </is>
      </c>
      <c r="M1530" s="18" t="inlineStr"/>
      <c r="N1530" s="7" t="inlineStr">
        <is>
          <t>31f878d7f5ad6d8b57f829ba299754f5ef6b642a</t>
        </is>
      </c>
      <c r="O1530" s="14" t="n">
        <v>46172</v>
      </c>
      <c r="P1530" s="7" t="inlineStr">
        <is>
          <t>jobspy</t>
        </is>
      </c>
      <c r="Q1530" s="8" t="inlineStr">
        <is>
          <t>python, sql, git, data analysis</t>
        </is>
      </c>
      <c r="R1530" s="8" t="inlineStr">
        <is>
          <t>graduate Junior Python Developer</t>
        </is>
      </c>
      <c r="S1530" s="19" t="n"/>
      <c r="T1530" s="19" t="n"/>
      <c r="U1530" s="14" t="n">
        <v>46191</v>
      </c>
      <c r="V1530" s="7" t="inlineStr">
        <is>
          <t>v2-cv-accuracy-13b988b18da8ea7d</t>
        </is>
      </c>
    </row>
    <row r="1531" ht="28" customHeight="1">
      <c r="A1531" s="12">
        <f>IF($L1531="applied","Applied",IF($L1531="interview","Interview",IF($L1531="offer","Offer",IF($L1531="rejected","Rejected",IF($L1531="ignore","Ignore",IF($L1531="archive","Archive",IF($L1531="closed","Closed",IF($B1531="","Unscored",IF(AND($B1531&gt;=8,OR($H1531="",$H1531-TODAY()&lt;=14)),"P1 Apply",IF($B1531&gt;=7,"P2 Strong",IF($B1531&gt;=5,"P3 Maybe","P4 Low")))))))))))</f>
        <v/>
      </c>
      <c r="B1531" s="13" t="n">
        <v>0</v>
      </c>
      <c r="C1531" s="12" t="inlineStr">
        <is>
          <t>Junior</t>
        </is>
      </c>
      <c r="D1531" s="8" t="inlineStr">
        <is>
          <t>Associate Analyst-Business Analytics</t>
        </is>
      </c>
      <c r="E1531" s="7" t="inlineStr">
        <is>
          <t>Allianz Services</t>
        </is>
      </c>
      <c r="F1531" s="8" t="inlineStr">
        <is>
          <t>Trivandrum, Kerala, India</t>
        </is>
      </c>
      <c r="G1531" s="8" t="n"/>
      <c r="H1531" s="14" t="n"/>
      <c r="I1531" s="15">
        <f>IF($H1531="","",$H1531-TODAY())</f>
        <v/>
      </c>
      <c r="J1531" s="16" t="inlineStr">
        <is>
          <t>Open posting</t>
        </is>
      </c>
      <c r="K1531" s="8" t="inlineStr">
        <is>
          <t>filtered by keyword pre-scan</t>
        </is>
      </c>
      <c r="L1531" s="17" t="inlineStr">
        <is>
          <t>new</t>
        </is>
      </c>
      <c r="M1531" s="18" t="inlineStr"/>
      <c r="N1531" s="7" t="inlineStr">
        <is>
          <t>9df8a52d7548f14cf1d6210572ae9a6554ea4e03</t>
        </is>
      </c>
      <c r="O1531" s="14" t="n">
        <v>46170</v>
      </c>
      <c r="P1531" s="7" t="inlineStr">
        <is>
          <t>jobspy</t>
        </is>
      </c>
      <c r="Q1531" s="8" t="inlineStr">
        <is>
          <t>python, rest apis</t>
        </is>
      </c>
      <c r="R1531" s="8" t="inlineStr">
        <is>
          <t>graduate Junior Python Developer</t>
        </is>
      </c>
      <c r="S1531" s="19" t="n"/>
      <c r="T1531" s="19" t="n"/>
      <c r="U1531" s="14" t="n">
        <v>46191</v>
      </c>
      <c r="V1531" s="7" t="inlineStr">
        <is>
          <t>v2-cv-accuracy-13b988b18da8ea7d</t>
        </is>
      </c>
    </row>
    <row r="1532" ht="28" customHeight="1">
      <c r="A1532" s="12">
        <f>IF($L1532="applied","Applied",IF($L1532="interview","Interview",IF($L1532="offer","Offer",IF($L1532="rejected","Rejected",IF($L1532="ignore","Ignore",IF($L1532="archive","Archive",IF($L1532="closed","Closed",IF($B1532="","Unscored",IF(AND($B1532&gt;=8,OR($H1532="",$H1532-TODAY()&lt;=14)),"P1 Apply",IF($B1532&gt;=7,"P2 Strong",IF($B1532&gt;=5,"P3 Maybe","P4 Low")))))))))))</f>
        <v/>
      </c>
      <c r="B1532" s="13" t="n">
        <v>0</v>
      </c>
      <c r="C1532" s="12" t="inlineStr">
        <is>
          <t>Unspecified</t>
        </is>
      </c>
      <c r="D1532" s="8" t="inlineStr">
        <is>
          <t>Python Developer</t>
        </is>
      </c>
      <c r="E1532" s="7" t="inlineStr">
        <is>
          <t>Indium</t>
        </is>
      </c>
      <c r="F1532" s="8" t="inlineStr">
        <is>
          <t>Hyderabad, Telangana, India</t>
        </is>
      </c>
      <c r="G1532" s="8" t="n"/>
      <c r="H1532" s="14" t="n"/>
      <c r="I1532" s="15">
        <f>IF($H1532="","",$H1532-TODAY())</f>
        <v/>
      </c>
      <c r="J1532" s="16" t="inlineStr">
        <is>
          <t>Open posting</t>
        </is>
      </c>
      <c r="K1532" s="8" t="inlineStr">
        <is>
          <t>filtered by keyword pre-scan</t>
        </is>
      </c>
      <c r="L1532" s="17" t="inlineStr">
        <is>
          <t>new</t>
        </is>
      </c>
      <c r="M1532" s="18" t="inlineStr"/>
      <c r="N1532" s="7" t="inlineStr">
        <is>
          <t>30f09a684b277e55e544987bd205d1dd8dbf4083</t>
        </is>
      </c>
      <c r="O1532" s="14" t="n">
        <v>46167</v>
      </c>
      <c r="P1532" s="7" t="inlineStr">
        <is>
          <t>jobspy</t>
        </is>
      </c>
      <c r="Q1532" s="8" t="inlineStr">
        <is>
          <t>python</t>
        </is>
      </c>
      <c r="R1532" s="8" t="inlineStr">
        <is>
          <t>graduate Junior Python Developer</t>
        </is>
      </c>
      <c r="S1532" s="19" t="n"/>
      <c r="T1532" s="19" t="n"/>
      <c r="U1532" s="14" t="n">
        <v>46191</v>
      </c>
      <c r="V1532" s="7" t="inlineStr">
        <is>
          <t>v2-cv-accuracy-13b988b18da8ea7d</t>
        </is>
      </c>
    </row>
    <row r="1533" ht="28" customHeight="1">
      <c r="A1533" s="12">
        <f>IF($L1533="applied","Applied",IF($L1533="interview","Interview",IF($L1533="offer","Offer",IF($L1533="rejected","Rejected",IF($L1533="ignore","Ignore",IF($L1533="archive","Archive",IF($L1533="closed","Closed",IF($B1533="","Unscored",IF(AND($B1533&gt;=8,OR($H1533="",$H1533-TODAY()&lt;=14)),"P1 Apply",IF($B1533&gt;=7,"P2 Strong",IF($B1533&gt;=5,"P3 Maybe","P4 Low")))))))))))</f>
        <v/>
      </c>
      <c r="B1533" s="13" t="n">
        <v>0</v>
      </c>
      <c r="C1533" s="12" t="inlineStr">
        <is>
          <t>Senior/Lead</t>
        </is>
      </c>
      <c r="D1533" s="8" t="inlineStr">
        <is>
          <t>Senior Back End Engineer Interviewer</t>
        </is>
      </c>
      <c r="E1533" s="7" t="inlineStr">
        <is>
          <t>Qurated</t>
        </is>
      </c>
      <c r="F1533" s="8" t="inlineStr"/>
      <c r="G1533" s="8" t="n"/>
      <c r="H1533" s="14" t="n"/>
      <c r="I1533" s="15">
        <f>IF($H1533="","",$H1533-TODAY())</f>
        <v/>
      </c>
      <c r="J1533" s="16" t="inlineStr">
        <is>
          <t>Open posting</t>
        </is>
      </c>
      <c r="K1533" s="8" t="inlineStr">
        <is>
          <t>filtered by keyword pre-scan</t>
        </is>
      </c>
      <c r="L1533" s="17" t="inlineStr">
        <is>
          <t>new</t>
        </is>
      </c>
      <c r="M1533" s="18" t="inlineStr"/>
      <c r="N1533" s="7" t="inlineStr">
        <is>
          <t>c9534f9c97025a2808a95086642cf986d210bd9e</t>
        </is>
      </c>
      <c r="O1533" s="14" t="n">
        <v>46189</v>
      </c>
      <c r="P1533" s="7" t="inlineStr">
        <is>
          <t>jobspy</t>
        </is>
      </c>
      <c r="Q1533" s="8" t="inlineStr"/>
      <c r="R1533" s="8" t="inlineStr">
        <is>
          <t>entry level Junior Python Developer</t>
        </is>
      </c>
      <c r="S1533" s="19" t="n"/>
      <c r="T1533" s="19" t="n"/>
      <c r="U1533" s="14" t="n">
        <v>46191</v>
      </c>
      <c r="V1533" s="7" t="inlineStr">
        <is>
          <t>v2-cv-accuracy-13b988b18da8ea7d</t>
        </is>
      </c>
    </row>
    <row r="1534" ht="28" customHeight="1">
      <c r="A1534" s="12">
        <f>IF($L1534="applied","Applied",IF($L1534="interview","Interview",IF($L1534="offer","Offer",IF($L1534="rejected","Rejected",IF($L1534="ignore","Ignore",IF($L1534="archive","Archive",IF($L1534="closed","Closed",IF($B1534="","Unscored",IF(AND($B1534&gt;=8,OR($H1534="",$H1534-TODAY()&lt;=14)),"P1 Apply",IF($B1534&gt;=7,"P2 Strong",IF($B1534&gt;=5,"P3 Maybe","P4 Low")))))))))))</f>
        <v/>
      </c>
      <c r="B1534" s="13" t="n">
        <v>0</v>
      </c>
      <c r="C1534" s="12" t="inlineStr">
        <is>
          <t>Junior</t>
        </is>
      </c>
      <c r="D1534" s="8" t="inlineStr">
        <is>
          <t>Software Engineer</t>
        </is>
      </c>
      <c r="E1534" s="7" t="inlineStr">
        <is>
          <t>Experis UK</t>
        </is>
      </c>
      <c r="F1534" s="8" t="inlineStr">
        <is>
          <t>Newcastle Upon Tyne, England, UK</t>
        </is>
      </c>
      <c r="G1534" s="8" t="n"/>
      <c r="H1534" s="14" t="n"/>
      <c r="I1534" s="15">
        <f>IF($H1534="","",$H1534-TODAY())</f>
        <v/>
      </c>
      <c r="J1534" s="16" t="inlineStr">
        <is>
          <t>Open posting</t>
        </is>
      </c>
      <c r="K1534" s="8" t="inlineStr">
        <is>
          <t>filtered by keyword pre-scan</t>
        </is>
      </c>
      <c r="L1534" s="17" t="inlineStr">
        <is>
          <t>new</t>
        </is>
      </c>
      <c r="M1534" s="18" t="inlineStr"/>
      <c r="N1534" s="7" t="inlineStr">
        <is>
          <t>3e4ccea9014d316167139bbf6666e513831c4a0c</t>
        </is>
      </c>
      <c r="O1534" s="14" t="n">
        <v>46189</v>
      </c>
      <c r="P1534" s="7" t="inlineStr">
        <is>
          <t>jobspy</t>
        </is>
      </c>
      <c r="Q1534" s="8" t="inlineStr">
        <is>
          <t>python</t>
        </is>
      </c>
      <c r="R1534" s="8" t="inlineStr">
        <is>
          <t>junior/graduate Junior Python Developer</t>
        </is>
      </c>
      <c r="S1534" s="19" t="n"/>
      <c r="T1534" s="19" t="n"/>
      <c r="U1534" s="14" t="n">
        <v>46191</v>
      </c>
      <c r="V1534" s="7" t="inlineStr">
        <is>
          <t>v2-cv-accuracy-13b988b18da8ea7d</t>
        </is>
      </c>
    </row>
    <row r="1535" ht="28" customHeight="1">
      <c r="A1535" s="12">
        <f>IF($L1535="applied","Applied",IF($L1535="interview","Interview",IF($L1535="offer","Offer",IF($L1535="rejected","Rejected",IF($L1535="ignore","Ignore",IF($L1535="archive","Archive",IF($L1535="closed","Closed",IF($B1535="","Unscored",IF(AND($B1535&gt;=8,OR($H1535="",$H1535-TODAY()&lt;=14)),"P1 Apply",IF($B1535&gt;=7,"P2 Strong",IF($B1535&gt;=5,"P3 Maybe","P4 Low")))))))))))</f>
        <v/>
      </c>
      <c r="B1535" s="13" t="n">
        <v>0</v>
      </c>
      <c r="C1535" s="12" t="inlineStr">
        <is>
          <t>Junior</t>
        </is>
      </c>
      <c r="D1535" s="8" t="inlineStr">
        <is>
          <t>Junior Engineer</t>
        </is>
      </c>
      <c r="E1535" s="7" t="inlineStr">
        <is>
          <t>Artefact</t>
        </is>
      </c>
      <c r="F1535" s="8" t="inlineStr">
        <is>
          <t>London, England, UK</t>
        </is>
      </c>
      <c r="G1535" s="8" t="n"/>
      <c r="H1535" s="14" t="n"/>
      <c r="I1535" s="15">
        <f>IF($H1535="","",$H1535-TODAY())</f>
        <v/>
      </c>
      <c r="J1535" s="16" t="inlineStr">
        <is>
          <t>Open posting</t>
        </is>
      </c>
      <c r="K1535" s="8" t="inlineStr">
        <is>
          <t>filtered by keyword pre-scan</t>
        </is>
      </c>
      <c r="L1535" s="17" t="inlineStr">
        <is>
          <t>new</t>
        </is>
      </c>
      <c r="M1535" s="18" t="inlineStr"/>
      <c r="N1535" s="7" t="inlineStr">
        <is>
          <t>268a00ffd808067755032a836a8c3b63042d0ec0</t>
        </is>
      </c>
      <c r="O1535" s="14" t="n">
        <v>46184</v>
      </c>
      <c r="P1535" s="7" t="inlineStr">
        <is>
          <t>jobspy</t>
        </is>
      </c>
      <c r="Q1535" s="8" t="inlineStr">
        <is>
          <t>python, sql, git</t>
        </is>
      </c>
      <c r="R1535" s="8" t="inlineStr">
        <is>
          <t>junior/graduate Junior Python Developer</t>
        </is>
      </c>
      <c r="S1535" s="19" t="n"/>
      <c r="T1535" s="19" t="n"/>
      <c r="U1535" s="14" t="n">
        <v>46191</v>
      </c>
      <c r="V1535" s="7" t="inlineStr">
        <is>
          <t>v2-cv-accuracy-13b988b18da8ea7d</t>
        </is>
      </c>
    </row>
    <row r="1536" ht="28" customHeight="1">
      <c r="A1536" s="12">
        <f>IF($L1536="applied","Applied",IF($L1536="interview","Interview",IF($L1536="offer","Offer",IF($L1536="rejected","Rejected",IF($L1536="ignore","Ignore",IF($L1536="archive","Archive",IF($L1536="closed","Closed",IF($B1536="","Unscored",IF(AND($B1536&gt;=8,OR($H1536="",$H1536-TODAY()&lt;=14)),"P1 Apply",IF($B1536&gt;=7,"P2 Strong",IF($B1536&gt;=5,"P3 Maybe","P4 Low")))))))))))</f>
        <v/>
      </c>
      <c r="B1536" s="13" t="n">
        <v>0</v>
      </c>
      <c r="C1536" s="12" t="inlineStr">
        <is>
          <t>Senior/Lead</t>
        </is>
      </c>
      <c r="D1536" s="8" t="inlineStr">
        <is>
          <t>Senior Full Stack Developer - 6-month Fixed Term Contract</t>
        </is>
      </c>
      <c r="E1536" s="7" t="inlineStr">
        <is>
          <t>Singer Instruments</t>
        </is>
      </c>
      <c r="F1536" s="8" t="inlineStr">
        <is>
          <t>Minehead, ENG, GB</t>
        </is>
      </c>
      <c r="G1536" s="8" t="n"/>
      <c r="H1536" s="14" t="n"/>
      <c r="I1536" s="15">
        <f>IF($H1536="","",$H1536-TODAY())</f>
        <v/>
      </c>
      <c r="J1536" s="16" t="inlineStr">
        <is>
          <t>Open posting</t>
        </is>
      </c>
      <c r="K1536" s="8" t="inlineStr">
        <is>
          <t>filtered by keyword pre-scan</t>
        </is>
      </c>
      <c r="L1536" s="17" t="inlineStr">
        <is>
          <t>new</t>
        </is>
      </c>
      <c r="M1536" s="18" t="inlineStr"/>
      <c r="N1536" s="7" t="inlineStr">
        <is>
          <t>e1118ad1e031f208e169412dd98d703c9d5dae3f</t>
        </is>
      </c>
      <c r="O1536" s="14" t="n">
        <v>46178</v>
      </c>
      <c r="P1536" s="7" t="inlineStr">
        <is>
          <t>jobspy</t>
        </is>
      </c>
      <c r="Q1536" s="8" t="inlineStr">
        <is>
          <t>python, sql, git, data analysis</t>
        </is>
      </c>
      <c r="R1536" s="8" t="inlineStr">
        <is>
          <t>Junior Python Developer remote</t>
        </is>
      </c>
      <c r="S1536" s="19" t="n"/>
      <c r="T1536" s="19" t="n"/>
      <c r="U1536" s="14" t="n">
        <v>46191</v>
      </c>
      <c r="V1536" s="7" t="inlineStr">
        <is>
          <t>v2-cv-accuracy-13b988b18da8ea7d</t>
        </is>
      </c>
    </row>
    <row r="1537" ht="28" customHeight="1">
      <c r="A1537" s="12">
        <f>IF($L1537="applied","Applied",IF($L1537="interview","Interview",IF($L1537="offer","Offer",IF($L1537="rejected","Rejected",IF($L1537="ignore","Ignore",IF($L1537="archive","Archive",IF($L1537="closed","Closed",IF($B1537="","Unscored",IF(AND($B1537&gt;=8,OR($H1537="",$H1537-TODAY()&lt;=14)),"P1 Apply",IF($B1537&gt;=7,"P2 Strong",IF($B1537&gt;=5,"P3 Maybe","P4 Low")))))))))))</f>
        <v/>
      </c>
      <c r="B1537" s="13" t="n">
        <v>0</v>
      </c>
      <c r="C1537" s="12" t="inlineStr">
        <is>
          <t>Senior/Lead</t>
        </is>
      </c>
      <c r="D1537" s="8" t="inlineStr">
        <is>
          <t>Senior Full Stack Developer - 6-month Fixed Term Contract</t>
        </is>
      </c>
      <c r="E1537" s="7" t="inlineStr">
        <is>
          <t>Singer Instrument Co Ltd</t>
        </is>
      </c>
      <c r="F1537" s="8" t="inlineStr">
        <is>
          <t>Minehead, ENG, GB</t>
        </is>
      </c>
      <c r="G1537" s="8" t="n"/>
      <c r="H1537" s="14" t="n"/>
      <c r="I1537" s="15">
        <f>IF($H1537="","",$H1537-TODAY())</f>
        <v/>
      </c>
      <c r="J1537" s="16" t="inlineStr">
        <is>
          <t>Open posting</t>
        </is>
      </c>
      <c r="K1537" s="8" t="inlineStr">
        <is>
          <t>filtered by keyword pre-scan</t>
        </is>
      </c>
      <c r="L1537" s="17" t="inlineStr">
        <is>
          <t>new</t>
        </is>
      </c>
      <c r="M1537" s="18" t="inlineStr"/>
      <c r="N1537" s="7" t="inlineStr">
        <is>
          <t>3e61caee2f4f35f534fc9632ac8eabff8d36dafb</t>
        </is>
      </c>
      <c r="O1537" s="14" t="n">
        <v>46178</v>
      </c>
      <c r="P1537" s="7" t="inlineStr">
        <is>
          <t>jobspy</t>
        </is>
      </c>
      <c r="Q1537" s="8" t="inlineStr">
        <is>
          <t>python, sql, git, data analysis</t>
        </is>
      </c>
      <c r="R1537" s="8" t="inlineStr">
        <is>
          <t>Junior Python Developer remote</t>
        </is>
      </c>
      <c r="S1537" s="19" t="n"/>
      <c r="T1537" s="19" t="n"/>
      <c r="U1537" s="14" t="n">
        <v>46191</v>
      </c>
      <c r="V1537" s="7" t="inlineStr">
        <is>
          <t>v2-cv-accuracy-13b988b18da8ea7d</t>
        </is>
      </c>
    </row>
    <row r="1538" ht="28" customHeight="1">
      <c r="A1538" s="12">
        <f>IF($L1538="applied","Applied",IF($L1538="interview","Interview",IF($L1538="offer","Offer",IF($L1538="rejected","Rejected",IF($L1538="ignore","Ignore",IF($L1538="archive","Archive",IF($L1538="closed","Closed",IF($B1538="","Unscored",IF(AND($B1538&gt;=8,OR($H1538="",$H1538-TODAY()&lt;=14)),"P1 Apply",IF($B1538&gt;=7,"P2 Strong",IF($B1538&gt;=5,"P3 Maybe","P4 Low")))))))))))</f>
        <v/>
      </c>
      <c r="B1538" s="13" t="n">
        <v>0</v>
      </c>
      <c r="C1538" s="12" t="inlineStr">
        <is>
          <t>Mid-level</t>
        </is>
      </c>
      <c r="D1538" s="8" t="inlineStr">
        <is>
          <t>Python Developer</t>
        </is>
      </c>
      <c r="E1538" s="7" t="inlineStr">
        <is>
          <t>wherewework Jobs</t>
        </is>
      </c>
      <c r="F1538" s="8" t="inlineStr">
        <is>
          <t>London, England, UK</t>
        </is>
      </c>
      <c r="G1538" s="8" t="n"/>
      <c r="H1538" s="14" t="n"/>
      <c r="I1538" s="15">
        <f>IF($H1538="","",$H1538-TODAY())</f>
        <v/>
      </c>
      <c r="J1538" s="16" t="inlineStr">
        <is>
          <t>Open posting</t>
        </is>
      </c>
      <c r="K1538" s="8" t="inlineStr">
        <is>
          <t>filtered by keyword pre-scan</t>
        </is>
      </c>
      <c r="L1538" s="17" t="inlineStr">
        <is>
          <t>new</t>
        </is>
      </c>
      <c r="M1538" s="18" t="inlineStr"/>
      <c r="N1538" s="7" t="inlineStr">
        <is>
          <t>b06c415baa0959eea023d94ae34f21763b884630</t>
        </is>
      </c>
      <c r="O1538" s="14" t="n">
        <v>46186</v>
      </c>
      <c r="P1538" s="7" t="inlineStr">
        <is>
          <t>jobspy</t>
        </is>
      </c>
      <c r="Q1538" s="8" t="inlineStr">
        <is>
          <t>python, sql, git</t>
        </is>
      </c>
      <c r="R1538" s="8" t="inlineStr">
        <is>
          <t>Junior Python Developer remote</t>
        </is>
      </c>
      <c r="S1538" s="19" t="n"/>
      <c r="T1538" s="19" t="n"/>
      <c r="U1538" s="14" t="n">
        <v>46191</v>
      </c>
      <c r="V1538" s="7" t="inlineStr">
        <is>
          <t>v2-cv-accuracy-13b988b18da8ea7d</t>
        </is>
      </c>
    </row>
    <row r="1539" ht="28" customHeight="1">
      <c r="A1539" s="12">
        <f>IF($L1539="applied","Applied",IF($L1539="interview","Interview",IF($L1539="offer","Offer",IF($L1539="rejected","Rejected",IF($L1539="ignore","Ignore",IF($L1539="archive","Archive",IF($L1539="closed","Closed",IF($B1539="","Unscored",IF(AND($B1539&gt;=8,OR($H1539="",$H1539-TODAY()&lt;=14)),"P1 Apply",IF($B1539&gt;=7,"P2 Strong",IF($B1539&gt;=5,"P3 Maybe","P4 Low")))))))))))</f>
        <v/>
      </c>
      <c r="B1539" s="13" t="n">
        <v>0</v>
      </c>
      <c r="C1539" s="12" t="inlineStr">
        <is>
          <t>Unspecified</t>
        </is>
      </c>
      <c r="D1539" s="8" t="inlineStr">
        <is>
          <t>Python Developer | $55/hr Remote</t>
        </is>
      </c>
      <c r="E1539" s="7" t="inlineStr">
        <is>
          <t>Crossing Hurdles</t>
        </is>
      </c>
      <c r="F1539" s="8" t="inlineStr"/>
      <c r="G1539" s="8" t="n"/>
      <c r="H1539" s="14" t="n"/>
      <c r="I1539" s="15">
        <f>IF($H1539="","",$H1539-TODAY())</f>
        <v/>
      </c>
      <c r="J1539" s="16" t="inlineStr">
        <is>
          <t>Open posting</t>
        </is>
      </c>
      <c r="K1539" s="8" t="inlineStr">
        <is>
          <t>filtered by keyword pre-scan</t>
        </is>
      </c>
      <c r="L1539" s="17" t="inlineStr">
        <is>
          <t>new</t>
        </is>
      </c>
      <c r="M1539" s="18" t="inlineStr"/>
      <c r="N1539" s="7" t="inlineStr">
        <is>
          <t>6ce034566dd5b2ab6933b2ee9b13de3f5e8c965d</t>
        </is>
      </c>
      <c r="O1539" s="14" t="n">
        <v>46178</v>
      </c>
      <c r="P1539" s="7" t="inlineStr">
        <is>
          <t>jobspy</t>
        </is>
      </c>
      <c r="Q1539" s="8" t="inlineStr">
        <is>
          <t>python</t>
        </is>
      </c>
      <c r="R1539" s="8" t="inlineStr">
        <is>
          <t>Junior Python Developer remote</t>
        </is>
      </c>
      <c r="S1539" s="19" t="n"/>
      <c r="T1539" s="19" t="n"/>
      <c r="U1539" s="14" t="n">
        <v>46191</v>
      </c>
      <c r="V1539" s="7" t="inlineStr">
        <is>
          <t>v2-cv-accuracy-13b988b18da8ea7d</t>
        </is>
      </c>
    </row>
    <row r="1540" ht="28" customHeight="1">
      <c r="A1540" s="12">
        <f>IF($L1540="applied","Applied",IF($L1540="interview","Interview",IF($L1540="offer","Offer",IF($L1540="rejected","Rejected",IF($L1540="ignore","Ignore",IF($L1540="archive","Archive",IF($L1540="closed","Closed",IF($B1540="","Unscored",IF(AND($B1540&gt;=8,OR($H1540="",$H1540-TODAY()&lt;=14)),"P1 Apply",IF($B1540&gt;=7,"P2 Strong",IF($B1540&gt;=5,"P3 Maybe","P4 Low")))))))))))</f>
        <v/>
      </c>
      <c r="B1540" s="13" t="n">
        <v>0</v>
      </c>
      <c r="C1540" s="12" t="inlineStr">
        <is>
          <t>Unspecified</t>
        </is>
      </c>
      <c r="D1540" s="8" t="inlineStr">
        <is>
          <t>Python Developer | $90/hr Remote</t>
        </is>
      </c>
      <c r="E1540" s="7" t="inlineStr">
        <is>
          <t>Crossing Hurdles</t>
        </is>
      </c>
      <c r="F1540" s="8" t="inlineStr"/>
      <c r="G1540" s="8" t="n"/>
      <c r="H1540" s="14" t="n"/>
      <c r="I1540" s="15">
        <f>IF($H1540="","",$H1540-TODAY())</f>
        <v/>
      </c>
      <c r="J1540" s="16" t="inlineStr">
        <is>
          <t>Open posting</t>
        </is>
      </c>
      <c r="K1540" s="8" t="inlineStr">
        <is>
          <t>filtered by keyword pre-scan</t>
        </is>
      </c>
      <c r="L1540" s="17" t="inlineStr">
        <is>
          <t>new</t>
        </is>
      </c>
      <c r="M1540" s="18" t="inlineStr"/>
      <c r="N1540" s="7" t="inlineStr">
        <is>
          <t>922eaa1844d77714669c00e9fedad848f0310e42</t>
        </is>
      </c>
      <c r="O1540" s="14" t="n"/>
      <c r="P1540" s="7" t="inlineStr">
        <is>
          <t>jobspy</t>
        </is>
      </c>
      <c r="Q1540" s="8" t="inlineStr">
        <is>
          <t>python</t>
        </is>
      </c>
      <c r="R1540" s="8" t="inlineStr">
        <is>
          <t>Junior Python Developer remote</t>
        </is>
      </c>
      <c r="S1540" s="19" t="n"/>
      <c r="T1540" s="19" t="n"/>
      <c r="U1540" s="14" t="n">
        <v>46191</v>
      </c>
      <c r="V1540" s="7" t="inlineStr">
        <is>
          <t>v2-cv-accuracy-13b988b18da8ea7d</t>
        </is>
      </c>
    </row>
    <row r="1541" ht="28" customHeight="1">
      <c r="A1541" s="12">
        <f>IF($L1541="applied","Applied",IF($L1541="interview","Interview",IF($L1541="offer","Offer",IF($L1541="rejected","Rejected",IF($L1541="ignore","Ignore",IF($L1541="archive","Archive",IF($L1541="closed","Closed",IF($B1541="","Unscored",IF(AND($B1541&gt;=8,OR($H1541="",$H1541-TODAY()&lt;=14)),"P1 Apply",IF($B1541&gt;=7,"P2 Strong",IF($B1541&gt;=5,"P3 Maybe","P4 Low")))))))))))</f>
        <v/>
      </c>
      <c r="B1541" s="13" t="n">
        <v>0</v>
      </c>
      <c r="C1541" s="12" t="inlineStr">
        <is>
          <t>Senior/Lead</t>
        </is>
      </c>
      <c r="D1541" s="8" t="inlineStr">
        <is>
          <t>Senior Software Engineer, Developer and Agent Experience</t>
        </is>
      </c>
      <c r="E1541" s="7" t="inlineStr">
        <is>
          <t>Google</t>
        </is>
      </c>
      <c r="F1541" s="8" t="inlineStr">
        <is>
          <t>London, ENG, GB</t>
        </is>
      </c>
      <c r="G1541" s="8" t="n"/>
      <c r="H1541" s="14" t="n"/>
      <c r="I1541" s="15">
        <f>IF($H1541="","",$H1541-TODAY())</f>
        <v/>
      </c>
      <c r="J1541" s="16" t="inlineStr">
        <is>
          <t>Open posting</t>
        </is>
      </c>
      <c r="K1541" s="8" t="inlineStr">
        <is>
          <t>filtered by keyword pre-scan</t>
        </is>
      </c>
      <c r="L1541" s="17" t="inlineStr">
        <is>
          <t>new</t>
        </is>
      </c>
      <c r="M1541" s="18" t="inlineStr"/>
      <c r="N1541" s="7" t="inlineStr">
        <is>
          <t>a0b89a5ce2153f12dfa5f69154204012ab98b715</t>
        </is>
      </c>
      <c r="O1541" s="14" t="n">
        <v>46190</v>
      </c>
      <c r="P1541" s="7" t="inlineStr">
        <is>
          <t>jobspy</t>
        </is>
      </c>
      <c r="Q1541" s="8" t="inlineStr">
        <is>
          <t>python, software development</t>
        </is>
      </c>
      <c r="R1541" s="8" t="inlineStr">
        <is>
          <t>Full Stack Developer</t>
        </is>
      </c>
      <c r="S1541" s="19" t="n"/>
      <c r="T1541" s="19" t="n"/>
      <c r="U1541" s="14" t="n">
        <v>46191</v>
      </c>
      <c r="V1541" s="7" t="inlineStr">
        <is>
          <t>v2-cv-accuracy-13b988b18da8ea7d</t>
        </is>
      </c>
    </row>
    <row r="1542" ht="28" customHeight="1">
      <c r="A1542" s="12">
        <f>IF($L1542="applied","Applied",IF($L1542="interview","Interview",IF($L1542="offer","Offer",IF($L1542="rejected","Rejected",IF($L1542="ignore","Ignore",IF($L1542="archive","Archive",IF($L1542="closed","Closed",IF($B1542="","Unscored",IF(AND($B1542&gt;=8,OR($H1542="",$H1542-TODAY()&lt;=14)),"P1 Apply",IF($B1542&gt;=7,"P2 Strong",IF($B1542&gt;=5,"P3 Maybe","P4 Low")))))))))))</f>
        <v/>
      </c>
      <c r="B1542" s="13" t="n">
        <v>0</v>
      </c>
      <c r="C1542" s="12" t="inlineStr">
        <is>
          <t>Senior/Lead</t>
        </is>
      </c>
      <c r="D1542" s="8" t="inlineStr">
        <is>
          <t>Senior Full Stack Engineer, Ecomm – 12 month contract</t>
        </is>
      </c>
      <c r="E1542" s="7" t="inlineStr">
        <is>
          <t>Games Workshop</t>
        </is>
      </c>
      <c r="F1542" s="8" t="inlineStr">
        <is>
          <t>Nottingham, ENG, GB</t>
        </is>
      </c>
      <c r="G1542" s="8" t="n"/>
      <c r="H1542" s="14" t="n"/>
      <c r="I1542" s="15">
        <f>IF($H1542="","",$H1542-TODAY())</f>
        <v/>
      </c>
      <c r="J1542" s="16" t="inlineStr">
        <is>
          <t>Open posting</t>
        </is>
      </c>
      <c r="K1542" s="8" t="inlineStr">
        <is>
          <t>filtered by keyword pre-scan</t>
        </is>
      </c>
      <c r="L1542" s="17" t="inlineStr">
        <is>
          <t>new</t>
        </is>
      </c>
      <c r="M1542" s="18" t="inlineStr"/>
      <c r="N1542" s="7" t="inlineStr">
        <is>
          <t>b8556ba4e938d1be1020a7b685ed45454e72927c</t>
        </is>
      </c>
      <c r="O1542" s="14" t="n">
        <v>46190</v>
      </c>
      <c r="P1542" s="7" t="inlineStr">
        <is>
          <t>jobspy</t>
        </is>
      </c>
      <c r="Q1542" s="8" t="inlineStr">
        <is>
          <t>git</t>
        </is>
      </c>
      <c r="R1542" s="8" t="inlineStr">
        <is>
          <t>Full Stack Developer</t>
        </is>
      </c>
      <c r="S1542" s="19" t="n"/>
      <c r="T1542" s="19" t="n"/>
      <c r="U1542" s="14" t="n">
        <v>46191</v>
      </c>
      <c r="V1542" s="7" t="inlineStr">
        <is>
          <t>v2-cv-accuracy-13b988b18da8ea7d</t>
        </is>
      </c>
    </row>
    <row r="1543" ht="28" customHeight="1">
      <c r="A1543" s="12">
        <f>IF($L1543="applied","Applied",IF($L1543="interview","Interview",IF($L1543="offer","Offer",IF($L1543="rejected","Rejected",IF($L1543="ignore","Ignore",IF($L1543="archive","Archive",IF($L1543="closed","Closed",IF($B1543="","Unscored",IF(AND($B1543&gt;=8,OR($H1543="",$H1543-TODAY()&lt;=14)),"P1 Apply",IF($B1543&gt;=7,"P2 Strong",IF($B1543&gt;=5,"P3 Maybe","P4 Low")))))))))))</f>
        <v/>
      </c>
      <c r="B1543" s="13" t="n">
        <v>0</v>
      </c>
      <c r="C1543" s="12" t="inlineStr">
        <is>
          <t>Senior/Lead</t>
        </is>
      </c>
      <c r="D1543" s="8" t="inlineStr">
        <is>
          <t>Senior Software Engineer - Web Platform</t>
        </is>
      </c>
      <c r="E1543" s="7" t="inlineStr">
        <is>
          <t>Marks &amp; Spencer</t>
        </is>
      </c>
      <c r="F1543" s="8" t="inlineStr">
        <is>
          <t>London, ENG, GB</t>
        </is>
      </c>
      <c r="G1543" s="8" t="n"/>
      <c r="H1543" s="14" t="n">
        <v>46204</v>
      </c>
      <c r="I1543" s="15">
        <f>IF($H1543="","",$H1543-TODAY())</f>
        <v/>
      </c>
      <c r="J1543" s="16" t="inlineStr">
        <is>
          <t>Open posting</t>
        </is>
      </c>
      <c r="K1543" s="8" t="inlineStr">
        <is>
          <t>filtered by keyword pre-scan</t>
        </is>
      </c>
      <c r="L1543" s="17" t="inlineStr">
        <is>
          <t>new</t>
        </is>
      </c>
      <c r="M1543" s="18" t="inlineStr"/>
      <c r="N1543" s="7" t="inlineStr">
        <is>
          <t>b0402db41524c914ededd5be28444390e8c348b6</t>
        </is>
      </c>
      <c r="O1543" s="14" t="n">
        <v>46190</v>
      </c>
      <c r="P1543" s="7" t="inlineStr">
        <is>
          <t>jobspy</t>
        </is>
      </c>
      <c r="Q1543" s="8" t="inlineStr">
        <is>
          <t>git</t>
        </is>
      </c>
      <c r="R1543" s="8" t="inlineStr">
        <is>
          <t>Full Stack Developer</t>
        </is>
      </c>
      <c r="S1543" s="19" t="n"/>
      <c r="T1543" s="19" t="n"/>
      <c r="U1543" s="14" t="n">
        <v>46191</v>
      </c>
      <c r="V1543" s="7" t="inlineStr">
        <is>
          <t>v2-cv-accuracy-13b988b18da8ea7d</t>
        </is>
      </c>
    </row>
    <row r="1544" ht="28" customHeight="1">
      <c r="A1544" s="12">
        <f>IF($L1544="applied","Applied",IF($L1544="interview","Interview",IF($L1544="offer","Offer",IF($L1544="rejected","Rejected",IF($L1544="ignore","Ignore",IF($L1544="archive","Archive",IF($L1544="closed","Closed",IF($B1544="","Unscored",IF(AND($B1544&gt;=8,OR($H1544="",$H1544-TODAY()&lt;=14)),"P1 Apply",IF($B1544&gt;=7,"P2 Strong",IF($B1544&gt;=5,"P3 Maybe","P4 Low")))))))))))</f>
        <v/>
      </c>
      <c r="B1544" s="13" t="n">
        <v>0</v>
      </c>
      <c r="C1544" s="12" t="inlineStr">
        <is>
          <t>Senior/Lead</t>
        </is>
      </c>
      <c r="D1544" s="8" t="inlineStr">
        <is>
          <t>Lead Engineer</t>
        </is>
      </c>
      <c r="E1544" s="7" t="inlineStr">
        <is>
          <t>Disguise Technologies Ltd</t>
        </is>
      </c>
      <c r="F1544" s="8" t="inlineStr">
        <is>
          <t>London, ENG, GB</t>
        </is>
      </c>
      <c r="G1544" s="8" t="n"/>
      <c r="H1544" s="14" t="n"/>
      <c r="I1544" s="15">
        <f>IF($H1544="","",$H1544-TODAY())</f>
        <v/>
      </c>
      <c r="J1544" s="16" t="inlineStr">
        <is>
          <t>Open posting</t>
        </is>
      </c>
      <c r="K1544" s="8" t="inlineStr">
        <is>
          <t>filtered by keyword pre-scan</t>
        </is>
      </c>
      <c r="L1544" s="17" t="inlineStr">
        <is>
          <t>new</t>
        </is>
      </c>
      <c r="M1544" s="18" t="inlineStr"/>
      <c r="N1544" s="7" t="inlineStr">
        <is>
          <t>f1ee22a3bb809149f2c96f4c2b993180459b9ed7</t>
        </is>
      </c>
      <c r="O1544" s="14" t="n">
        <v>46189</v>
      </c>
      <c r="P1544" s="7" t="inlineStr">
        <is>
          <t>jobspy</t>
        </is>
      </c>
      <c r="Q1544" s="8" t="inlineStr">
        <is>
          <t>git</t>
        </is>
      </c>
      <c r="R1544" s="8" t="inlineStr">
        <is>
          <t>Full Stack Developer</t>
        </is>
      </c>
      <c r="S1544" s="19" t="n"/>
      <c r="T1544" s="19" t="n"/>
      <c r="U1544" s="14" t="n">
        <v>46191</v>
      </c>
      <c r="V1544" s="7" t="inlineStr">
        <is>
          <t>v2-cv-accuracy-13b988b18da8ea7d</t>
        </is>
      </c>
    </row>
    <row r="1545" ht="28" customHeight="1">
      <c r="A1545" s="12">
        <f>IF($L1545="applied","Applied",IF($L1545="interview","Interview",IF($L1545="offer","Offer",IF($L1545="rejected","Rejected",IF($L1545="ignore","Ignore",IF($L1545="archive","Archive",IF($L1545="closed","Closed",IF($B1545="","Unscored",IF(AND($B1545&gt;=8,OR($H1545="",$H1545-TODAY()&lt;=14)),"P1 Apply",IF($B1545&gt;=7,"P2 Strong",IF($B1545&gt;=5,"P3 Maybe","P4 Low")))))))))))</f>
        <v/>
      </c>
      <c r="B1545" s="13" t="n">
        <v>0</v>
      </c>
      <c r="C1545" s="12" t="inlineStr">
        <is>
          <t>Senior/Lead</t>
        </is>
      </c>
      <c r="D1545" s="8" t="inlineStr">
        <is>
          <t>Senior Full Stack Software Engineer (eDV)</t>
        </is>
      </c>
      <c r="E1545" s="7" t="inlineStr">
        <is>
          <t>Frontier Resourcing</t>
        </is>
      </c>
      <c r="F1545" s="8" t="inlineStr">
        <is>
          <t>London, ENG, GB</t>
        </is>
      </c>
      <c r="G1545" s="8" t="n"/>
      <c r="H1545" s="14" t="n"/>
      <c r="I1545" s="15">
        <f>IF($H1545="","",$H1545-TODAY())</f>
        <v/>
      </c>
      <c r="J1545" s="16" t="inlineStr">
        <is>
          <t>Open posting</t>
        </is>
      </c>
      <c r="K1545" s="8" t="inlineStr">
        <is>
          <t>filtered by keyword pre-scan</t>
        </is>
      </c>
      <c r="L1545" s="17" t="inlineStr">
        <is>
          <t>new</t>
        </is>
      </c>
      <c r="M1545" s="18" t="inlineStr"/>
      <c r="N1545" s="7" t="inlineStr">
        <is>
          <t>5a2ba21e92a1293defb572eb48e41b740bd08460</t>
        </is>
      </c>
      <c r="O1545" s="14" t="n">
        <v>46189</v>
      </c>
      <c r="P1545" s="7" t="inlineStr">
        <is>
          <t>jobspy</t>
        </is>
      </c>
      <c r="Q1545" s="8" t="inlineStr">
        <is>
          <t>javascript, git</t>
        </is>
      </c>
      <c r="R1545" s="8" t="inlineStr">
        <is>
          <t>Full Stack Developer</t>
        </is>
      </c>
      <c r="S1545" s="19" t="n"/>
      <c r="T1545" s="19" t="n"/>
      <c r="U1545" s="14" t="n">
        <v>46191</v>
      </c>
      <c r="V1545" s="7" t="inlineStr">
        <is>
          <t>v2-cv-accuracy-13b988b18da8ea7d</t>
        </is>
      </c>
    </row>
    <row r="1546" ht="28" customHeight="1">
      <c r="A1546" s="12">
        <f>IF($L1546="applied","Applied",IF($L1546="interview","Interview",IF($L1546="offer","Offer",IF($L1546="rejected","Rejected",IF($L1546="ignore","Ignore",IF($L1546="archive","Archive",IF($L1546="closed","Closed",IF($B1546="","Unscored",IF(AND($B1546&gt;=8,OR($H1546="",$H1546-TODAY()&lt;=14)),"P1 Apply",IF($B1546&gt;=7,"P2 Strong",IF($B1546&gt;=5,"P3 Maybe","P4 Low")))))))))))</f>
        <v/>
      </c>
      <c r="B1546" s="13" t="n">
        <v>0</v>
      </c>
      <c r="C1546" s="12" t="inlineStr">
        <is>
          <t>Unspecified</t>
        </is>
      </c>
      <c r="D1546" s="8" t="inlineStr">
        <is>
          <t>Frontend Developer - Fully Remote | Upto $85/hr</t>
        </is>
      </c>
      <c r="E1546" s="7" t="inlineStr">
        <is>
          <t>Mercor</t>
        </is>
      </c>
      <c r="F1546" s="8" t="inlineStr"/>
      <c r="G1546" s="8" t="n"/>
      <c r="H1546" s="14" t="n"/>
      <c r="I1546" s="15">
        <f>IF($H1546="","",$H1546-TODAY())</f>
        <v/>
      </c>
      <c r="J1546" s="16" t="inlineStr">
        <is>
          <t>Open posting</t>
        </is>
      </c>
      <c r="K1546" s="8" t="inlineStr">
        <is>
          <t>filtered by keyword pre-scan</t>
        </is>
      </c>
      <c r="L1546" s="17" t="inlineStr">
        <is>
          <t>new</t>
        </is>
      </c>
      <c r="M1546" s="18" t="inlineStr"/>
      <c r="N1546" s="7" t="inlineStr">
        <is>
          <t>7bc8cb266c1a1b4a728667f402a588e9653bb85d</t>
        </is>
      </c>
      <c r="O1546" s="14" t="n">
        <v>46190</v>
      </c>
      <c r="P1546" s="7" t="inlineStr">
        <is>
          <t>jobspy</t>
        </is>
      </c>
      <c r="Q1546" s="8" t="inlineStr">
        <is>
          <t>javascript</t>
        </is>
      </c>
      <c r="R1546" s="8" t="inlineStr">
        <is>
          <t>Full Stack Developer</t>
        </is>
      </c>
      <c r="S1546" s="19" t="n"/>
      <c r="T1546" s="19" t="n"/>
      <c r="U1546" s="14" t="n">
        <v>46191</v>
      </c>
      <c r="V1546" s="7" t="inlineStr">
        <is>
          <t>v2-cv-accuracy-13b988b18da8ea7d</t>
        </is>
      </c>
    </row>
    <row r="1547" ht="28" customHeight="1">
      <c r="A1547" s="12">
        <f>IF($L1547="applied","Applied",IF($L1547="interview","Interview",IF($L1547="offer","Offer",IF($L1547="rejected","Rejected",IF($L1547="ignore","Ignore",IF($L1547="archive","Archive",IF($L1547="closed","Closed",IF($B1547="","Unscored",IF(AND($B1547&gt;=8,OR($H1547="",$H1547-TODAY()&lt;=14)),"P1 Apply",IF($B1547&gt;=7,"P2 Strong",IF($B1547&gt;=5,"P3 Maybe","P4 Low")))))))))))</f>
        <v/>
      </c>
      <c r="B1547" s="13" t="n">
        <v>0</v>
      </c>
      <c r="C1547" s="12" t="inlineStr">
        <is>
          <t>Junior</t>
        </is>
      </c>
      <c r="D1547" s="8" t="inlineStr">
        <is>
          <t>Associate Frontend Engineer</t>
        </is>
      </c>
      <c r="E1547" s="7" t="inlineStr">
        <is>
          <t>numi</t>
        </is>
      </c>
      <c r="F1547" s="8" t="inlineStr">
        <is>
          <t>London Area, United Kingdom</t>
        </is>
      </c>
      <c r="G1547" s="8" t="n"/>
      <c r="H1547" s="14" t="n"/>
      <c r="I1547" s="15">
        <f>IF($H1547="","",$H1547-TODAY())</f>
        <v/>
      </c>
      <c r="J1547" s="16" t="inlineStr">
        <is>
          <t>Open posting</t>
        </is>
      </c>
      <c r="K1547" s="8" t="inlineStr">
        <is>
          <t>filtered by keyword pre-scan</t>
        </is>
      </c>
      <c r="L1547" s="17" t="inlineStr">
        <is>
          <t>new</t>
        </is>
      </c>
      <c r="M1547" s="18" t="inlineStr"/>
      <c r="N1547" s="7" t="inlineStr">
        <is>
          <t>5a04dcb6dc6009b03b32d2939862096470b28594</t>
        </is>
      </c>
      <c r="O1547" s="14" t="n">
        <v>46185</v>
      </c>
      <c r="P1547" s="7" t="inlineStr">
        <is>
          <t>jobspy</t>
        </is>
      </c>
      <c r="Q1547" s="8" t="inlineStr">
        <is>
          <t>javascript</t>
        </is>
      </c>
      <c r="R1547" s="8" t="inlineStr">
        <is>
          <t>Full Stack Developer</t>
        </is>
      </c>
      <c r="S1547" s="19" t="n"/>
      <c r="T1547" s="19" t="n"/>
      <c r="U1547" s="14" t="n">
        <v>46191</v>
      </c>
      <c r="V1547" s="7" t="inlineStr">
        <is>
          <t>v2-cv-accuracy-13b988b18da8ea7d</t>
        </is>
      </c>
    </row>
    <row r="1548" ht="28" customHeight="1">
      <c r="A1548" s="12">
        <f>IF($L1548="applied","Applied",IF($L1548="interview","Interview",IF($L1548="offer","Offer",IF($L1548="rejected","Rejected",IF($L1548="ignore","Ignore",IF($L1548="archive","Archive",IF($L1548="closed","Closed",IF($B1548="","Unscored",IF(AND($B1548&gt;=8,OR($H1548="",$H1548-TODAY()&lt;=14)),"P1 Apply",IF($B1548&gt;=7,"P2 Strong",IF($B1548&gt;=5,"P3 Maybe","P4 Low")))))))))))</f>
        <v/>
      </c>
      <c r="B1548" s="13" t="n">
        <v>0</v>
      </c>
      <c r="C1548" s="12" t="inlineStr">
        <is>
          <t>Junior</t>
        </is>
      </c>
      <c r="D1548" s="8" t="inlineStr">
        <is>
          <t>Junior Front End Web Developer (Website Development)</t>
        </is>
      </c>
      <c r="E1548" s="7" t="inlineStr">
        <is>
          <t>Moneycorp</t>
        </is>
      </c>
      <c r="F1548" s="8" t="inlineStr">
        <is>
          <t>London, England, UK</t>
        </is>
      </c>
      <c r="G1548" s="8" t="n"/>
      <c r="H1548" s="14" t="n"/>
      <c r="I1548" s="15">
        <f>IF($H1548="","",$H1548-TODAY())</f>
        <v/>
      </c>
      <c r="J1548" s="16" t="inlineStr">
        <is>
          <t>Open posting</t>
        </is>
      </c>
      <c r="K1548" s="8" t="inlineStr">
        <is>
          <t>filtered by keyword pre-scan</t>
        </is>
      </c>
      <c r="L1548" s="17" t="inlineStr">
        <is>
          <t>new</t>
        </is>
      </c>
      <c r="M1548" s="18" t="inlineStr"/>
      <c r="N1548" s="7" t="inlineStr">
        <is>
          <t>55fcccf486d059af20f19659b99099a8d35be287</t>
        </is>
      </c>
      <c r="O1548" s="14" t="n">
        <v>46174</v>
      </c>
      <c r="P1548" s="7" t="inlineStr">
        <is>
          <t>jobspy</t>
        </is>
      </c>
      <c r="Q1548" s="8" t="inlineStr">
        <is>
          <t>javascript, git</t>
        </is>
      </c>
      <c r="R1548" s="8" t="inlineStr">
        <is>
          <t>Full Stack Developer</t>
        </is>
      </c>
      <c r="S1548" s="19" t="n"/>
      <c r="T1548" s="19" t="n"/>
      <c r="U1548" s="14" t="n">
        <v>46191</v>
      </c>
      <c r="V1548" s="7" t="inlineStr">
        <is>
          <t>v2-cv-accuracy-13b988b18da8ea7d</t>
        </is>
      </c>
    </row>
    <row r="1549" ht="28" customHeight="1">
      <c r="A1549" s="12">
        <f>IF($L1549="applied","Applied",IF($L1549="interview","Interview",IF($L1549="offer","Offer",IF($L1549="rejected","Rejected",IF($L1549="ignore","Ignore",IF($L1549="archive","Archive",IF($L1549="closed","Closed",IF($B1549="","Unscored",IF(AND($B1549&gt;=8,OR($H1549="",$H1549-TODAY()&lt;=14)),"P1 Apply",IF($B1549&gt;=7,"P2 Strong",IF($B1549&gt;=5,"P3 Maybe","P4 Low")))))))))))</f>
        <v/>
      </c>
      <c r="B1549" s="13" t="n">
        <v>0</v>
      </c>
      <c r="C1549" s="12" t="inlineStr">
        <is>
          <t>Unspecified</t>
        </is>
      </c>
      <c r="D1549" s="8" t="inlineStr">
        <is>
          <t>Webflow Developer / Front-End Engineer</t>
        </is>
      </c>
      <c r="E1549" s="7" t="inlineStr">
        <is>
          <t>Synthesia</t>
        </is>
      </c>
      <c r="F1549" s="8" t="inlineStr">
        <is>
          <t>London, England, UK</t>
        </is>
      </c>
      <c r="G1549" s="8" t="n"/>
      <c r="H1549" s="14" t="n"/>
      <c r="I1549" s="15">
        <f>IF($H1549="","",$H1549-TODAY())</f>
        <v/>
      </c>
      <c r="J1549" s="16" t="inlineStr">
        <is>
          <t>Open posting</t>
        </is>
      </c>
      <c r="K1549" s="8" t="inlineStr">
        <is>
          <t>filtered by keyword pre-scan</t>
        </is>
      </c>
      <c r="L1549" s="17" t="inlineStr">
        <is>
          <t>new</t>
        </is>
      </c>
      <c r="M1549" s="18" t="inlineStr"/>
      <c r="N1549" s="7" t="inlineStr">
        <is>
          <t>8f1ed2034294615014c663679187e11c3ff4c58a</t>
        </is>
      </c>
      <c r="O1549" s="14" t="n">
        <v>46172</v>
      </c>
      <c r="P1549" s="7" t="inlineStr">
        <is>
          <t>jobspy</t>
        </is>
      </c>
      <c r="Q1549" s="8" t="inlineStr">
        <is>
          <t>javascript</t>
        </is>
      </c>
      <c r="R1549" s="8" t="inlineStr">
        <is>
          <t>Full Stack Developer</t>
        </is>
      </c>
      <c r="S1549" s="19" t="n"/>
      <c r="T1549" s="19" t="n"/>
      <c r="U1549" s="14" t="n">
        <v>46191</v>
      </c>
      <c r="V1549" s="7" t="inlineStr">
        <is>
          <t>v2-cv-accuracy-13b988b18da8ea7d</t>
        </is>
      </c>
    </row>
    <row r="1550" ht="28" customHeight="1">
      <c r="A1550" s="12">
        <f>IF($L1550="applied","Applied",IF($L1550="interview","Interview",IF($L1550="offer","Offer",IF($L1550="rejected","Rejected",IF($L1550="ignore","Ignore",IF($L1550="archive","Archive",IF($L1550="closed","Closed",IF($B1550="","Unscored",IF(AND($B1550&gt;=8,OR($H1550="",$H1550-TODAY()&lt;=14)),"P1 Apply",IF($B1550&gt;=7,"P2 Strong",IF($B1550&gt;=5,"P3 Maybe","P4 Low")))))))))))</f>
        <v/>
      </c>
      <c r="B1550" s="13" t="n">
        <v>0</v>
      </c>
      <c r="C1550" s="12" t="inlineStr">
        <is>
          <t>Unspecified</t>
        </is>
      </c>
      <c r="D1550" s="8" t="inlineStr">
        <is>
          <t>Webflow Developer / Front-End Engineer</t>
        </is>
      </c>
      <c r="E1550" s="7" t="inlineStr">
        <is>
          <t>Synthesia</t>
        </is>
      </c>
      <c r="F1550" s="8" t="inlineStr">
        <is>
          <t>London, England, UK</t>
        </is>
      </c>
      <c r="G1550" s="8" t="n"/>
      <c r="H1550" s="14" t="n"/>
      <c r="I1550" s="15">
        <f>IF($H1550="","",$H1550-TODAY())</f>
        <v/>
      </c>
      <c r="J1550" s="16" t="inlineStr">
        <is>
          <t>Open posting</t>
        </is>
      </c>
      <c r="K1550" s="8" t="inlineStr">
        <is>
          <t>filtered by keyword pre-scan</t>
        </is>
      </c>
      <c r="L1550" s="17" t="inlineStr">
        <is>
          <t>new</t>
        </is>
      </c>
      <c r="M1550" s="18" t="inlineStr"/>
      <c r="N1550" s="7" t="inlineStr">
        <is>
          <t>79c575c27165047415bfc82181adabd86723b408</t>
        </is>
      </c>
      <c r="O1550" s="14" t="n">
        <v>46172</v>
      </c>
      <c r="P1550" s="7" t="inlineStr">
        <is>
          <t>jobspy</t>
        </is>
      </c>
      <c r="Q1550" s="8" t="inlineStr">
        <is>
          <t>javascript</t>
        </is>
      </c>
      <c r="R1550" s="8" t="inlineStr">
        <is>
          <t>Full Stack Developer</t>
        </is>
      </c>
      <c r="S1550" s="19" t="n"/>
      <c r="T1550" s="19" t="n"/>
      <c r="U1550" s="14" t="n">
        <v>46191</v>
      </c>
      <c r="V1550" s="7" t="inlineStr">
        <is>
          <t>v2-cv-accuracy-13b988b18da8ea7d</t>
        </is>
      </c>
    </row>
    <row r="1551" ht="28" customHeight="1">
      <c r="A1551" s="12">
        <f>IF($L1551="applied","Applied",IF($L1551="interview","Interview",IF($L1551="offer","Offer",IF($L1551="rejected","Rejected",IF($L1551="ignore","Ignore",IF($L1551="archive","Archive",IF($L1551="closed","Closed",IF($B1551="","Unscored",IF(AND($B1551&gt;=8,OR($H1551="",$H1551-TODAY()&lt;=14)),"P1 Apply",IF($B1551&gt;=7,"P2 Strong",IF($B1551&gt;=5,"P3 Maybe","P4 Low")))))))))))</f>
        <v/>
      </c>
      <c r="B1551" s="13" t="n">
        <v>0</v>
      </c>
      <c r="C1551" s="12" t="inlineStr">
        <is>
          <t>Junior</t>
        </is>
      </c>
      <c r="D1551" s="8" t="inlineStr">
        <is>
          <t>Associate Software Engineer - Full Stack</t>
        </is>
      </c>
      <c r="E1551" s="7" t="inlineStr">
        <is>
          <t>Studio Graphene</t>
        </is>
      </c>
      <c r="F1551" s="8" t="inlineStr">
        <is>
          <t>London, England, UK</t>
        </is>
      </c>
      <c r="G1551" s="8" t="n"/>
      <c r="H1551" s="14" t="n"/>
      <c r="I1551" s="15">
        <f>IF($H1551="","",$H1551-TODAY())</f>
        <v/>
      </c>
      <c r="J1551" s="16" t="inlineStr">
        <is>
          <t>Open posting</t>
        </is>
      </c>
      <c r="K1551" s="8" t="inlineStr">
        <is>
          <t>filtered by keyword pre-scan</t>
        </is>
      </c>
      <c r="L1551" s="17" t="inlineStr">
        <is>
          <t>new</t>
        </is>
      </c>
      <c r="M1551" s="18" t="inlineStr"/>
      <c r="N1551" s="7" t="inlineStr">
        <is>
          <t>499505ae698d6578196373c02b0039696f7206fc</t>
        </is>
      </c>
      <c r="O1551" s="14" t="n">
        <v>46163</v>
      </c>
      <c r="P1551" s="7" t="inlineStr">
        <is>
          <t>jobspy</t>
        </is>
      </c>
      <c r="Q1551" s="8" t="inlineStr">
        <is>
          <t>python, sql, git</t>
        </is>
      </c>
      <c r="R1551" s="8" t="inlineStr">
        <is>
          <t>Full Stack Developer</t>
        </is>
      </c>
      <c r="S1551" s="19" t="n"/>
      <c r="T1551" s="19" t="n"/>
      <c r="U1551" s="14" t="n">
        <v>46191</v>
      </c>
      <c r="V1551" s="7" t="inlineStr">
        <is>
          <t>v2-cv-accuracy-13b988b18da8ea7d</t>
        </is>
      </c>
    </row>
    <row r="1552" ht="28" customHeight="1">
      <c r="A1552" s="12">
        <f>IF($L1552="applied","Applied",IF($L1552="interview","Interview",IF($L1552="offer","Offer",IF($L1552="rejected","Rejected",IF($L1552="ignore","Ignore",IF($L1552="archive","Archive",IF($L1552="closed","Closed",IF($B1552="","Unscored",IF(AND($B1552&gt;=8,OR($H1552="",$H1552-TODAY()&lt;=14)),"P1 Apply",IF($B1552&gt;=7,"P2 Strong",IF($B1552&gt;=5,"P3 Maybe","P4 Low")))))))))))</f>
        <v/>
      </c>
      <c r="B1552" s="13" t="n">
        <v>0</v>
      </c>
      <c r="C1552" s="12" t="inlineStr">
        <is>
          <t>Junior</t>
        </is>
      </c>
      <c r="D1552" s="8" t="inlineStr">
        <is>
          <t>Junior Frontend Developer</t>
        </is>
      </c>
      <c r="E1552" s="7" t="inlineStr">
        <is>
          <t>Blue Oak Consulting</t>
        </is>
      </c>
      <c r="F1552" s="8" t="inlineStr">
        <is>
          <t>London, England, UK</t>
        </is>
      </c>
      <c r="G1552" s="8" t="n"/>
      <c r="H1552" s="14" t="n"/>
      <c r="I1552" s="15">
        <f>IF($H1552="","",$H1552-TODAY())</f>
        <v/>
      </c>
      <c r="J1552" s="16" t="inlineStr">
        <is>
          <t>Open posting</t>
        </is>
      </c>
      <c r="K1552" s="8" t="inlineStr">
        <is>
          <t>filtered by keyword pre-scan</t>
        </is>
      </c>
      <c r="L1552" s="17" t="inlineStr">
        <is>
          <t>new</t>
        </is>
      </c>
      <c r="M1552" s="18" t="inlineStr"/>
      <c r="N1552" s="7" t="inlineStr">
        <is>
          <t>be425a980229b9bdc9c91646757d4c11de89f255</t>
        </is>
      </c>
      <c r="O1552" s="14" t="n"/>
      <c r="P1552" s="7" t="inlineStr">
        <is>
          <t>jobspy</t>
        </is>
      </c>
      <c r="Q1552" s="8" t="inlineStr">
        <is>
          <t>javascript, git, web development</t>
        </is>
      </c>
      <c r="R1552" s="8" t="inlineStr">
        <is>
          <t>Full Stack Developer</t>
        </is>
      </c>
      <c r="S1552" s="19" t="n"/>
      <c r="T1552" s="19" t="n"/>
      <c r="U1552" s="14" t="n">
        <v>46191</v>
      </c>
      <c r="V1552" s="7" t="inlineStr">
        <is>
          <t>v2-cv-accuracy-13b988b18da8ea7d</t>
        </is>
      </c>
    </row>
    <row r="1553" ht="28" customHeight="1">
      <c r="A1553" s="12">
        <f>IF($L1553="applied","Applied",IF($L1553="interview","Interview",IF($L1553="offer","Offer",IF($L1553="rejected","Rejected",IF($L1553="ignore","Ignore",IF($L1553="archive","Archive",IF($L1553="closed","Closed",IF($B1553="","Unscored",IF(AND($B1553&gt;=8,OR($H1553="",$H1553-TODAY()&lt;=14)),"P1 Apply",IF($B1553&gt;=7,"P2 Strong",IF($B1553&gt;=5,"P3 Maybe","P4 Low")))))))))))</f>
        <v/>
      </c>
      <c r="B1553" s="13" t="n">
        <v>0</v>
      </c>
      <c r="C1553" s="12" t="inlineStr">
        <is>
          <t>Mid-level</t>
        </is>
      </c>
      <c r="D1553" s="8" t="inlineStr">
        <is>
          <t>Frontend Developer</t>
        </is>
      </c>
      <c r="E1553" s="7" t="inlineStr">
        <is>
          <t>Opus Recruitment Solutions</t>
        </is>
      </c>
      <c r="F1553" s="8" t="inlineStr">
        <is>
          <t>England, United Kingdom</t>
        </is>
      </c>
      <c r="G1553" s="8" t="n"/>
      <c r="H1553" s="14" t="n"/>
      <c r="I1553" s="15">
        <f>IF($H1553="","",$H1553-TODAY())</f>
        <v/>
      </c>
      <c r="J1553" s="16" t="inlineStr">
        <is>
          <t>Open posting</t>
        </is>
      </c>
      <c r="K1553" s="8" t="inlineStr">
        <is>
          <t>filtered by keyword pre-scan</t>
        </is>
      </c>
      <c r="L1553" s="17" t="inlineStr">
        <is>
          <t>new</t>
        </is>
      </c>
      <c r="M1553" s="18" t="inlineStr"/>
      <c r="N1553" s="7" t="inlineStr">
        <is>
          <t>a496f5c742b584058122ce5a138fd295efbc0a1c</t>
        </is>
      </c>
      <c r="O1553" s="14" t="n"/>
      <c r="P1553" s="7" t="inlineStr">
        <is>
          <t>jobspy</t>
        </is>
      </c>
      <c r="Q1553" s="8" t="inlineStr">
        <is>
          <t>javascript, git</t>
        </is>
      </c>
      <c r="R1553" s="8" t="inlineStr">
        <is>
          <t>Full Stack Developer Sheffield</t>
        </is>
      </c>
      <c r="S1553" s="19" t="n"/>
      <c r="T1553" s="19" t="n"/>
      <c r="U1553" s="14" t="n">
        <v>46191</v>
      </c>
      <c r="V1553" s="7" t="inlineStr">
        <is>
          <t>v2-cv-accuracy-13b988b18da8ea7d</t>
        </is>
      </c>
    </row>
    <row r="1554" ht="28" customHeight="1">
      <c r="A1554" s="12">
        <f>IF($L1554="applied","Applied",IF($L1554="interview","Interview",IF($L1554="offer","Offer",IF($L1554="rejected","Rejected",IF($L1554="ignore","Ignore",IF($L1554="archive","Archive",IF($L1554="closed","Closed",IF($B1554="","Unscored",IF(AND($B1554&gt;=8,OR($H1554="",$H1554-TODAY()&lt;=14)),"P1 Apply",IF($B1554&gt;=7,"P2 Strong",IF($B1554&gt;=5,"P3 Maybe","P4 Low")))))))))))</f>
        <v/>
      </c>
      <c r="B1554" s="13" t="n">
        <v>0</v>
      </c>
      <c r="C1554" s="12" t="inlineStr">
        <is>
          <t>Senior/Lead</t>
        </is>
      </c>
      <c r="D1554" s="8" t="inlineStr">
        <is>
          <t>Senior Software Engineer (Cards)</t>
        </is>
      </c>
      <c r="E1554" s="7" t="inlineStr">
        <is>
          <t>Lloyds Banking Group</t>
        </is>
      </c>
      <c r="F1554" s="8" t="inlineStr">
        <is>
          <t>Chester, ENG, GB</t>
        </is>
      </c>
      <c r="G1554" s="8" t="n"/>
      <c r="H1554" s="14" t="n"/>
      <c r="I1554" s="15">
        <f>IF($H1554="","",$H1554-TODAY())</f>
        <v/>
      </c>
      <c r="J1554" s="16" t="inlineStr">
        <is>
          <t>Open posting</t>
        </is>
      </c>
      <c r="K1554" s="8" t="inlineStr">
        <is>
          <t>filtered by keyword pre-scan</t>
        </is>
      </c>
      <c r="L1554" s="17" t="inlineStr">
        <is>
          <t>new</t>
        </is>
      </c>
      <c r="M1554" s="18" t="inlineStr"/>
      <c r="N1554" s="7" t="inlineStr">
        <is>
          <t>8a47488b952634e2907bb2645edfdbd4aedb9aef</t>
        </is>
      </c>
      <c r="O1554" s="14" t="n">
        <v>46188</v>
      </c>
      <c r="P1554" s="7" t="inlineStr">
        <is>
          <t>jobspy</t>
        </is>
      </c>
      <c r="Q1554" s="8" t="inlineStr">
        <is>
          <t>javascript, git</t>
        </is>
      </c>
      <c r="R1554" s="8" t="inlineStr">
        <is>
          <t>junior Full Stack Developer</t>
        </is>
      </c>
      <c r="S1554" s="19" t="n"/>
      <c r="T1554" s="19" t="n"/>
      <c r="U1554" s="14" t="n">
        <v>46191</v>
      </c>
      <c r="V1554" s="7" t="inlineStr">
        <is>
          <t>v2-cv-accuracy-13b988b18da8ea7d</t>
        </is>
      </c>
    </row>
    <row r="1555" ht="28" customHeight="1">
      <c r="A1555" s="12">
        <f>IF($L1555="applied","Applied",IF($L1555="interview","Interview",IF($L1555="offer","Offer",IF($L1555="rejected","Rejected",IF($L1555="ignore","Ignore",IF($L1555="archive","Archive",IF($L1555="closed","Closed",IF($B1555="","Unscored",IF(AND($B1555&gt;=8,OR($H1555="",$H1555-TODAY()&lt;=14)),"P1 Apply",IF($B1555&gt;=7,"P2 Strong",IF($B1555&gt;=5,"P3 Maybe","P4 Low")))))))))))</f>
        <v/>
      </c>
      <c r="B1555" s="13" t="n">
        <v>0</v>
      </c>
      <c r="C1555" s="12" t="inlineStr">
        <is>
          <t>Senior/Lead</t>
        </is>
      </c>
      <c r="D1555" s="8" t="inlineStr">
        <is>
          <t>Senior Fullstack Engineer</t>
        </is>
      </c>
      <c r="E1555" s="7" t="inlineStr">
        <is>
          <t>Openr</t>
        </is>
      </c>
      <c r="F1555" s="8" t="inlineStr">
        <is>
          <t>London, ENG, GB</t>
        </is>
      </c>
      <c r="G1555" s="8" t="n"/>
      <c r="H1555" s="14" t="n"/>
      <c r="I1555" s="15">
        <f>IF($H1555="","",$H1555-TODAY())</f>
        <v/>
      </c>
      <c r="J1555" s="16" t="inlineStr">
        <is>
          <t>Open posting</t>
        </is>
      </c>
      <c r="K1555" s="8" t="inlineStr">
        <is>
          <t>filtered by keyword pre-scan</t>
        </is>
      </c>
      <c r="L1555" s="17" t="inlineStr">
        <is>
          <t>new</t>
        </is>
      </c>
      <c r="M1555" s="18" t="inlineStr"/>
      <c r="N1555" s="7" t="inlineStr">
        <is>
          <t>361056a76f717877993ef8c68fc57ccd85cdb749</t>
        </is>
      </c>
      <c r="O1555" s="14" t="n">
        <v>46188</v>
      </c>
      <c r="P1555" s="7" t="inlineStr">
        <is>
          <t>jobspy</t>
        </is>
      </c>
      <c r="Q1555" s="8" t="inlineStr">
        <is>
          <t>sql</t>
        </is>
      </c>
      <c r="R1555" s="8" t="inlineStr">
        <is>
          <t>junior Full Stack Developer</t>
        </is>
      </c>
      <c r="S1555" s="19" t="n"/>
      <c r="T1555" s="19" t="n"/>
      <c r="U1555" s="14" t="n">
        <v>46191</v>
      </c>
      <c r="V1555" s="7" t="inlineStr">
        <is>
          <t>v2-cv-accuracy-13b988b18da8ea7d</t>
        </is>
      </c>
    </row>
    <row r="1556" ht="28" customHeight="1">
      <c r="A1556" s="12">
        <f>IF($L1556="applied","Applied",IF($L1556="interview","Interview",IF($L1556="offer","Offer",IF($L1556="rejected","Rejected",IF($L1556="ignore","Ignore",IF($L1556="archive","Archive",IF($L1556="closed","Closed",IF($B1556="","Unscored",IF(AND($B1556&gt;=8,OR($H1556="",$H1556-TODAY()&lt;=14)),"P1 Apply",IF($B1556&gt;=7,"P2 Strong",IF($B1556&gt;=5,"P3 Maybe","P4 Low")))))))))))</f>
        <v/>
      </c>
      <c r="B1556" s="13" t="n">
        <v>0</v>
      </c>
      <c r="C1556" s="12" t="inlineStr">
        <is>
          <t>Junior</t>
        </is>
      </c>
      <c r="D1556" s="8" t="inlineStr">
        <is>
          <t>Associate Software Engineer</t>
        </is>
      </c>
      <c r="E1556" s="7" t="inlineStr">
        <is>
          <t>Cubic Corporation</t>
        </is>
      </c>
      <c r="F1556" s="8" t="inlineStr">
        <is>
          <t>Camberley, ENG, GB</t>
        </is>
      </c>
      <c r="G1556" s="8" t="n"/>
      <c r="H1556" s="14" t="n"/>
      <c r="I1556" s="15">
        <f>IF($H1556="","",$H1556-TODAY())</f>
        <v/>
      </c>
      <c r="J1556" s="16" t="inlineStr">
        <is>
          <t>Open posting</t>
        </is>
      </c>
      <c r="K1556" s="8" t="inlineStr">
        <is>
          <t>filtered by keyword pre-scan</t>
        </is>
      </c>
      <c r="L1556" s="17" t="inlineStr">
        <is>
          <t>new</t>
        </is>
      </c>
      <c r="M1556" s="18" t="inlineStr"/>
      <c r="N1556" s="7" t="inlineStr">
        <is>
          <t>a3b246cc0c895d5ac31ea1494f8785e487f13c27</t>
        </is>
      </c>
      <c r="O1556" s="14" t="n">
        <v>46181</v>
      </c>
      <c r="P1556" s="7" t="inlineStr">
        <is>
          <t>jobspy</t>
        </is>
      </c>
      <c r="Q1556" s="8" t="inlineStr">
        <is>
          <t>python, javascript, git, software development</t>
        </is>
      </c>
      <c r="R1556" s="8" t="inlineStr">
        <is>
          <t>junior Full Stack Developer</t>
        </is>
      </c>
      <c r="S1556" s="19" t="n"/>
      <c r="T1556" s="19" t="n"/>
      <c r="U1556" s="14" t="n">
        <v>46191</v>
      </c>
      <c r="V1556" s="7" t="inlineStr">
        <is>
          <t>v2-cv-accuracy-13b988b18da8ea7d</t>
        </is>
      </c>
    </row>
    <row r="1557" ht="28" customHeight="1">
      <c r="A1557" s="12">
        <f>IF($L1557="applied","Applied",IF($L1557="interview","Interview",IF($L1557="offer","Offer",IF($L1557="rejected","Rejected",IF($L1557="ignore","Ignore",IF($L1557="archive","Archive",IF($L1557="closed","Closed",IF($B1557="","Unscored",IF(AND($B1557&gt;=8,OR($H1557="",$H1557-TODAY()&lt;=14)),"P1 Apply",IF($B1557&gt;=7,"P2 Strong",IF($B1557&gt;=5,"P3 Maybe","P4 Low")))))))))))</f>
        <v/>
      </c>
      <c r="B1557" s="13" t="n">
        <v>0</v>
      </c>
      <c r="C1557" s="12" t="inlineStr">
        <is>
          <t>Senior/Lead</t>
        </is>
      </c>
      <c r="D1557" s="8" t="inlineStr">
        <is>
          <t>Lead Software Engineer</t>
        </is>
      </c>
      <c r="E1557" s="7" t="inlineStr">
        <is>
          <t>SearchLand</t>
        </is>
      </c>
      <c r="F1557" s="8" t="inlineStr">
        <is>
          <t>London, ENG, GB</t>
        </is>
      </c>
      <c r="G1557" s="8" t="n"/>
      <c r="H1557" s="14" t="n"/>
      <c r="I1557" s="15">
        <f>IF($H1557="","",$H1557-TODAY())</f>
        <v/>
      </c>
      <c r="J1557" s="16" t="inlineStr">
        <is>
          <t>Open posting</t>
        </is>
      </c>
      <c r="K1557" s="8" t="inlineStr">
        <is>
          <t>filtered by keyword pre-scan</t>
        </is>
      </c>
      <c r="L1557" s="17" t="inlineStr">
        <is>
          <t>new</t>
        </is>
      </c>
      <c r="M1557" s="18" t="inlineStr"/>
      <c r="N1557" s="7" t="inlineStr">
        <is>
          <t>638ca476beaff179175b5243cffbfcab38360b3c</t>
        </is>
      </c>
      <c r="O1557" s="14" t="n">
        <v>46181</v>
      </c>
      <c r="P1557" s="7" t="inlineStr">
        <is>
          <t>jobspy</t>
        </is>
      </c>
      <c r="Q1557" s="8" t="inlineStr">
        <is>
          <t>sql</t>
        </is>
      </c>
      <c r="R1557" s="8" t="inlineStr">
        <is>
          <t>junior Full Stack Developer</t>
        </is>
      </c>
      <c r="S1557" s="19" t="n"/>
      <c r="T1557" s="19" t="n"/>
      <c r="U1557" s="14" t="n">
        <v>46191</v>
      </c>
      <c r="V1557" s="7" t="inlineStr">
        <is>
          <t>v2-cv-accuracy-13b988b18da8ea7d</t>
        </is>
      </c>
    </row>
    <row r="1558" ht="28" customHeight="1">
      <c r="A1558" s="12">
        <f>IF($L1558="applied","Applied",IF($L1558="interview","Interview",IF($L1558="offer","Offer",IF($L1558="rejected","Rejected",IF($L1558="ignore","Ignore",IF($L1558="archive","Archive",IF($L1558="closed","Closed",IF($B1558="","Unscored",IF(AND($B1558&gt;=8,OR($H1558="",$H1558-TODAY()&lt;=14)),"P1 Apply",IF($B1558&gt;=7,"P2 Strong",IF($B1558&gt;=5,"P3 Maybe","P4 Low")))))))))))</f>
        <v/>
      </c>
      <c r="B1558" s="13" t="n">
        <v>0</v>
      </c>
      <c r="C1558" s="12" t="inlineStr">
        <is>
          <t>Junior</t>
        </is>
      </c>
      <c r="D1558" s="8" t="inlineStr">
        <is>
          <t>Full Stack Engineer (Python and/or Java) – VP</t>
        </is>
      </c>
      <c r="E1558" s="7" t="inlineStr">
        <is>
          <t>Citi</t>
        </is>
      </c>
      <c r="F1558" s="8" t="inlineStr">
        <is>
          <t>London, ENG, GB</t>
        </is>
      </c>
      <c r="G1558" s="8" t="n"/>
      <c r="H1558" s="14" t="n"/>
      <c r="I1558" s="15">
        <f>IF($H1558="","",$H1558-TODAY())</f>
        <v/>
      </c>
      <c r="J1558" s="16" t="inlineStr">
        <is>
          <t>Open posting</t>
        </is>
      </c>
      <c r="K1558" s="8" t="inlineStr">
        <is>
          <t>filtered by keyword pre-scan</t>
        </is>
      </c>
      <c r="L1558" s="17" t="inlineStr">
        <is>
          <t>new</t>
        </is>
      </c>
      <c r="M1558" s="18" t="inlineStr"/>
      <c r="N1558" s="7" t="inlineStr">
        <is>
          <t>e036048a9d0d1977709c2b35598bcafedcc804ce</t>
        </is>
      </c>
      <c r="O1558" s="14" t="n">
        <v>46181</v>
      </c>
      <c r="P1558" s="7" t="inlineStr">
        <is>
          <t>jobspy</t>
        </is>
      </c>
      <c r="Q1558" s="8" t="inlineStr">
        <is>
          <t>python</t>
        </is>
      </c>
      <c r="R1558" s="8" t="inlineStr">
        <is>
          <t>junior Full Stack Developer</t>
        </is>
      </c>
      <c r="S1558" s="19" t="n"/>
      <c r="T1558" s="19" t="n"/>
      <c r="U1558" s="14" t="n">
        <v>46191</v>
      </c>
      <c r="V1558" s="7" t="inlineStr">
        <is>
          <t>v2-cv-accuracy-13b988b18da8ea7d</t>
        </is>
      </c>
    </row>
    <row r="1559" ht="28" customHeight="1">
      <c r="A1559" s="12">
        <f>IF($L1559="applied","Applied",IF($L1559="interview","Interview",IF($L1559="offer","Offer",IF($L1559="rejected","Rejected",IF($L1559="ignore","Ignore",IF($L1559="archive","Archive",IF($L1559="closed","Closed",IF($B1559="","Unscored",IF(AND($B1559&gt;=8,OR($H1559="",$H1559-TODAY()&lt;=14)),"P1 Apply",IF($B1559&gt;=7,"P2 Strong",IF($B1559&gt;=5,"P3 Maybe","P4 Low")))))))))))</f>
        <v/>
      </c>
      <c r="B1559" s="13" t="n">
        <v>0</v>
      </c>
      <c r="C1559" s="12" t="inlineStr">
        <is>
          <t>Unspecified</t>
        </is>
      </c>
      <c r="D1559" s="8" t="inlineStr">
        <is>
          <t>Frontend Developer | $70/hr Remote</t>
        </is>
      </c>
      <c r="E1559" s="7" t="inlineStr">
        <is>
          <t>Crossing Hurdles</t>
        </is>
      </c>
      <c r="F1559" s="8" t="inlineStr"/>
      <c r="G1559" s="8" t="n"/>
      <c r="H1559" s="14" t="n"/>
      <c r="I1559" s="15">
        <f>IF($H1559="","",$H1559-TODAY())</f>
        <v/>
      </c>
      <c r="J1559" s="16" t="inlineStr">
        <is>
          <t>Open posting</t>
        </is>
      </c>
      <c r="K1559" s="8" t="inlineStr">
        <is>
          <t>filtered by keyword pre-scan</t>
        </is>
      </c>
      <c r="L1559" s="17" t="inlineStr">
        <is>
          <t>new</t>
        </is>
      </c>
      <c r="M1559" s="18" t="inlineStr"/>
      <c r="N1559" s="7" t="inlineStr">
        <is>
          <t>4f243c185aa0db61f8892433a2641ef19b429be2</t>
        </is>
      </c>
      <c r="O1559" s="14" t="n">
        <v>46178</v>
      </c>
      <c r="P1559" s="7" t="inlineStr">
        <is>
          <t>jobspy</t>
        </is>
      </c>
      <c r="Q1559" s="8" t="inlineStr">
        <is>
          <t>javascript, git</t>
        </is>
      </c>
      <c r="R1559" s="8" t="inlineStr">
        <is>
          <t>junior Full Stack Developer</t>
        </is>
      </c>
      <c r="S1559" s="19" t="n"/>
      <c r="T1559" s="19" t="n"/>
      <c r="U1559" s="14" t="n">
        <v>46191</v>
      </c>
      <c r="V1559" s="7" t="inlineStr">
        <is>
          <t>v2-cv-accuracy-13b988b18da8ea7d</t>
        </is>
      </c>
    </row>
    <row r="1560" ht="28" customHeight="1">
      <c r="A1560" s="12">
        <f>IF($L1560="applied","Applied",IF($L1560="interview","Interview",IF($L1560="offer","Offer",IF($L1560="rejected","Rejected",IF($L1560="ignore","Ignore",IF($L1560="archive","Archive",IF($L1560="closed","Closed",IF($B1560="","Unscored",IF(AND($B1560&gt;=8,OR($H1560="",$H1560-TODAY()&lt;=14)),"P1 Apply",IF($B1560&gt;=7,"P2 Strong",IF($B1560&gt;=5,"P3 Maybe","P4 Low")))))))))))</f>
        <v/>
      </c>
      <c r="B1560" s="13" t="n">
        <v>0</v>
      </c>
      <c r="C1560" s="12" t="inlineStr">
        <is>
          <t>Graduate/Entry</t>
        </is>
      </c>
      <c r="D1560" s="8" t="inlineStr">
        <is>
          <t>Graduate Software Developer</t>
        </is>
      </c>
      <c r="E1560" s="7" t="inlineStr">
        <is>
          <t>NSG Group</t>
        </is>
      </c>
      <c r="F1560" s="8" t="inlineStr">
        <is>
          <t>Ormskirk, ENG, GB</t>
        </is>
      </c>
      <c r="G1560" s="8" t="n"/>
      <c r="H1560" s="14" t="n"/>
      <c r="I1560" s="15">
        <f>IF($H1560="","",$H1560-TODAY())</f>
        <v/>
      </c>
      <c r="J1560" s="16" t="inlineStr">
        <is>
          <t>Open posting</t>
        </is>
      </c>
      <c r="K1560" s="8" t="inlineStr">
        <is>
          <t>filtered by keyword pre-scan</t>
        </is>
      </c>
      <c r="L1560" s="17" t="inlineStr">
        <is>
          <t>new</t>
        </is>
      </c>
      <c r="M1560" s="18" t="inlineStr"/>
      <c r="N1560" s="7" t="inlineStr">
        <is>
          <t>b6cf3002d0b2113dd5175b332bb9d8bb94577e4e</t>
        </is>
      </c>
      <c r="O1560" s="14" t="n">
        <v>46183</v>
      </c>
      <c r="P1560" s="7" t="inlineStr">
        <is>
          <t>jobspy</t>
        </is>
      </c>
      <c r="Q1560" s="8" t="inlineStr">
        <is>
          <t>sql, javascript, software development</t>
        </is>
      </c>
      <c r="R1560" s="8" t="inlineStr">
        <is>
          <t>graduate Full Stack Developer</t>
        </is>
      </c>
      <c r="S1560" s="19" t="n"/>
      <c r="T1560" s="19" t="n"/>
      <c r="U1560" s="14" t="n">
        <v>46191</v>
      </c>
      <c r="V1560" s="7" t="inlineStr">
        <is>
          <t>v2-cv-accuracy-13b988b18da8ea7d</t>
        </is>
      </c>
    </row>
    <row r="1561" ht="28" customHeight="1">
      <c r="A1561" s="12">
        <f>IF($L1561="applied","Applied",IF($L1561="interview","Interview",IF($L1561="offer","Offer",IF($L1561="rejected","Rejected",IF($L1561="ignore","Ignore",IF($L1561="archive","Archive",IF($L1561="closed","Closed",IF($B1561="","Unscored",IF(AND($B1561&gt;=8,OR($H1561="",$H1561-TODAY()&lt;=14)),"P1 Apply",IF($B1561&gt;=7,"P2 Strong",IF($B1561&gt;=5,"P3 Maybe","P4 Low")))))))))))</f>
        <v/>
      </c>
      <c r="B1561" s="13" t="n">
        <v>0</v>
      </c>
      <c r="C1561" s="12" t="inlineStr">
        <is>
          <t>Senior/Lead</t>
        </is>
      </c>
      <c r="D1561" s="8" t="inlineStr">
        <is>
          <t>Full Stack Engineer</t>
        </is>
      </c>
      <c r="E1561" s="7" t="inlineStr">
        <is>
          <t>Arrows</t>
        </is>
      </c>
      <c r="F1561" s="8" t="inlineStr">
        <is>
          <t>London Area, United Kingdom</t>
        </is>
      </c>
      <c r="G1561" s="8" t="n"/>
      <c r="H1561" s="14" t="n"/>
      <c r="I1561" s="15">
        <f>IF($H1561="","",$H1561-TODAY())</f>
        <v/>
      </c>
      <c r="J1561" s="16" t="inlineStr">
        <is>
          <t>Open posting</t>
        </is>
      </c>
      <c r="K1561" s="8" t="inlineStr">
        <is>
          <t>filtered by keyword pre-scan</t>
        </is>
      </c>
      <c r="L1561" s="17" t="inlineStr">
        <is>
          <t>new</t>
        </is>
      </c>
      <c r="M1561" s="18" t="inlineStr"/>
      <c r="N1561" s="7" t="inlineStr">
        <is>
          <t>15da69edece6719e6f9b25ce3f699847c83f8741</t>
        </is>
      </c>
      <c r="O1561" s="14" t="n">
        <v>46183</v>
      </c>
      <c r="P1561" s="7" t="inlineStr">
        <is>
          <t>jobspy</t>
        </is>
      </c>
      <c r="Q1561" s="8" t="inlineStr"/>
      <c r="R1561" s="8" t="inlineStr">
        <is>
          <t>graduate Full Stack Developer</t>
        </is>
      </c>
      <c r="S1561" s="19" t="n"/>
      <c r="T1561" s="19" t="n"/>
      <c r="U1561" s="14" t="n">
        <v>46191</v>
      </c>
      <c r="V1561" s="7" t="inlineStr">
        <is>
          <t>v2-cv-accuracy-13b988b18da8ea7d</t>
        </is>
      </c>
    </row>
    <row r="1562" ht="28" customHeight="1">
      <c r="A1562" s="12">
        <f>IF($L1562="applied","Applied",IF($L1562="interview","Interview",IF($L1562="offer","Offer",IF($L1562="rejected","Rejected",IF($L1562="ignore","Ignore",IF($L1562="archive","Archive",IF($L1562="closed","Closed",IF($B1562="","Unscored",IF(AND($B1562&gt;=8,OR($H1562="",$H1562-TODAY()&lt;=14)),"P1 Apply",IF($B1562&gt;=7,"P2 Strong",IF($B1562&gt;=5,"P3 Maybe","P4 Low")))))))))))</f>
        <v/>
      </c>
      <c r="B1562" s="13" t="n">
        <v>0</v>
      </c>
      <c r="C1562" s="12" t="inlineStr">
        <is>
          <t>Graduate/Entry</t>
        </is>
      </c>
      <c r="D1562" s="8" t="inlineStr">
        <is>
          <t>Graduate Web Developer</t>
        </is>
      </c>
      <c r="E1562" s="7" t="inlineStr">
        <is>
          <t>Wide Angle Software Ltd</t>
        </is>
      </c>
      <c r="F1562" s="8" t="inlineStr">
        <is>
          <t>Stafford, England, UK</t>
        </is>
      </c>
      <c r="G1562" s="8" t="n"/>
      <c r="H1562" s="14" t="n"/>
      <c r="I1562" s="15">
        <f>IF($H1562="","",$H1562-TODAY())</f>
        <v/>
      </c>
      <c r="J1562" s="16" t="inlineStr">
        <is>
          <t>Open posting</t>
        </is>
      </c>
      <c r="K1562" s="8" t="inlineStr">
        <is>
          <t>filtered by keyword pre-scan</t>
        </is>
      </c>
      <c r="L1562" s="17" t="inlineStr">
        <is>
          <t>new</t>
        </is>
      </c>
      <c r="M1562" s="18" t="inlineStr"/>
      <c r="N1562" s="7" t="inlineStr">
        <is>
          <t>55700a523b1a59b473852b145fd34b7b79036ba6</t>
        </is>
      </c>
      <c r="O1562" s="14" t="n"/>
      <c r="P1562" s="7" t="inlineStr">
        <is>
          <t>jobspy</t>
        </is>
      </c>
      <c r="Q1562" s="8" t="inlineStr">
        <is>
          <t>javascript, git, web development</t>
        </is>
      </c>
      <c r="R1562" s="8" t="inlineStr">
        <is>
          <t>graduate Full Stack Developer</t>
        </is>
      </c>
      <c r="S1562" s="19" t="n"/>
      <c r="T1562" s="19" t="n"/>
      <c r="U1562" s="14" t="n">
        <v>46191</v>
      </c>
      <c r="V1562" s="7" t="inlineStr">
        <is>
          <t>v2-cv-accuracy-13b988b18da8ea7d</t>
        </is>
      </c>
    </row>
    <row r="1563" ht="28" customHeight="1">
      <c r="A1563" s="12">
        <f>IF($L1563="applied","Applied",IF($L1563="interview","Interview",IF($L1563="offer","Offer",IF($L1563="rejected","Rejected",IF($L1563="ignore","Ignore",IF($L1563="archive","Archive",IF($L1563="closed","Closed",IF($B1563="","Unscored",IF(AND($B1563&gt;=8,OR($H1563="",$H1563-TODAY()&lt;=14)),"P1 Apply",IF($B1563&gt;=7,"P2 Strong",IF($B1563&gt;=5,"P3 Maybe","P4 Low")))))))))))</f>
        <v/>
      </c>
      <c r="B1563" s="13" t="n">
        <v>0</v>
      </c>
      <c r="C1563" s="12" t="inlineStr">
        <is>
          <t>Unspecified</t>
        </is>
      </c>
      <c r="D1563" s="8" t="inlineStr">
        <is>
          <t>Customer Service Executive</t>
        </is>
      </c>
      <c r="E1563" s="7" t="inlineStr">
        <is>
          <t>Epassi</t>
        </is>
      </c>
      <c r="F1563" s="8" t="inlineStr">
        <is>
          <t>Haywards Heath, ENG, GB</t>
        </is>
      </c>
      <c r="G1563" s="8" t="n"/>
      <c r="H1563" s="14" t="n"/>
      <c r="I1563" s="15">
        <f>IF($H1563="","",$H1563-TODAY())</f>
        <v/>
      </c>
      <c r="J1563" s="16" t="inlineStr">
        <is>
          <t>Open posting</t>
        </is>
      </c>
      <c r="K1563" s="8" t="inlineStr">
        <is>
          <t>filtered by keyword pre-scan</t>
        </is>
      </c>
      <c r="L1563" s="17" t="inlineStr">
        <is>
          <t>new</t>
        </is>
      </c>
      <c r="M1563" s="18" t="inlineStr"/>
      <c r="N1563" s="7" t="inlineStr">
        <is>
          <t>647c55b556586e7be25411748f9deb3cf251e976</t>
        </is>
      </c>
      <c r="O1563" s="14" t="n">
        <v>46174</v>
      </c>
      <c r="P1563" s="7" t="inlineStr">
        <is>
          <t>jobspy</t>
        </is>
      </c>
      <c r="Q1563" s="8" t="inlineStr"/>
      <c r="R1563" s="8" t="inlineStr">
        <is>
          <t>entry level Full Stack Developer</t>
        </is>
      </c>
      <c r="S1563" s="19" t="n"/>
      <c r="T1563" s="19" t="n"/>
      <c r="U1563" s="14" t="n">
        <v>46191</v>
      </c>
      <c r="V1563" s="7" t="inlineStr">
        <is>
          <t>v2-cv-accuracy-13b988b18da8ea7d</t>
        </is>
      </c>
    </row>
    <row r="1564" ht="28" customHeight="1">
      <c r="A1564" s="12">
        <f>IF($L1564="applied","Applied",IF($L1564="interview","Interview",IF($L1564="offer","Offer",IF($L1564="rejected","Rejected",IF($L1564="ignore","Ignore",IF($L1564="archive","Archive",IF($L1564="closed","Closed",IF($B1564="","Unscored",IF(AND($B1564&gt;=8,OR($H1564="",$H1564-TODAY()&lt;=14)),"P1 Apply",IF($B1564&gt;=7,"P2 Strong",IF($B1564&gt;=5,"P3 Maybe","P4 Low")))))))))))</f>
        <v/>
      </c>
      <c r="B1564" s="13" t="n">
        <v>0</v>
      </c>
      <c r="C1564" s="12" t="inlineStr">
        <is>
          <t>Senior/Lead</t>
        </is>
      </c>
      <c r="D1564" s="8" t="inlineStr">
        <is>
          <t>Lead Insurance Pricing Analyst</t>
        </is>
      </c>
      <c r="E1564" s="7" t="inlineStr">
        <is>
          <t>Monzo</t>
        </is>
      </c>
      <c r="F1564" s="8" t="inlineStr">
        <is>
          <t>Cardiff, London or Remote (UK)</t>
        </is>
      </c>
      <c r="G1564" s="8" t="n"/>
      <c r="H1564" s="14" t="n"/>
      <c r="I1564" s="15">
        <f>IF($H1564="","",$H1564-TODAY())</f>
        <v/>
      </c>
      <c r="J1564" s="16" t="inlineStr">
        <is>
          <t>Open posting</t>
        </is>
      </c>
      <c r="K1564" s="8" t="inlineStr">
        <is>
          <t>filtered by keyword pre-scan</t>
        </is>
      </c>
      <c r="L1564" s="17" t="inlineStr">
        <is>
          <t>new</t>
        </is>
      </c>
      <c r="M1564" s="18" t="inlineStr"/>
      <c r="N1564" s="7" t="inlineStr">
        <is>
          <t>af4188031151741440406cba8fda956143d52e50</t>
        </is>
      </c>
      <c r="O1564" s="14" t="n">
        <v>46191</v>
      </c>
      <c r="P1564" s="7" t="inlineStr">
        <is>
          <t>greenhouse:monzo</t>
        </is>
      </c>
      <c r="Q1564" s="8" t="inlineStr">
        <is>
          <t>python, sql, git, data analysis</t>
        </is>
      </c>
      <c r="R1564" s="8" t="n"/>
      <c r="S1564" s="19" t="n"/>
      <c r="T1564" s="19" t="n"/>
      <c r="U1564" s="14" t="n">
        <v>46191</v>
      </c>
      <c r="V1564" s="7" t="inlineStr">
        <is>
          <t>v2-cv-accuracy-13b988b18da8ea7d</t>
        </is>
      </c>
    </row>
    <row r="1565" ht="28" customHeight="1">
      <c r="A1565" s="12">
        <f>IF($L1565="applied","Applied",IF($L1565="interview","Interview",IF($L1565="offer","Offer",IF($L1565="rejected","Rejected",IF($L1565="ignore","Ignore",IF($L1565="archive","Archive",IF($L1565="closed","Closed",IF($B1565="","Unscored",IF(AND($B1565&gt;=8,OR($H1565="",$H1565-TODAY()&lt;=14)),"P1 Apply",IF($B1565&gt;=7,"P2 Strong",IF($B1565&gt;=5,"P3 Maybe","P4 Low")))))))))))</f>
        <v/>
      </c>
      <c r="B1565" s="13" t="n">
        <v>0</v>
      </c>
      <c r="C1565" s="12" t="inlineStr">
        <is>
          <t>Junior</t>
        </is>
      </c>
      <c r="D1565" s="8" t="inlineStr">
        <is>
          <t>Operations Strategy Associate (Customer Experience)</t>
        </is>
      </c>
      <c r="E1565" s="7" t="inlineStr">
        <is>
          <t>Monzo</t>
        </is>
      </c>
      <c r="F1565" s="8" t="inlineStr">
        <is>
          <t>London</t>
        </is>
      </c>
      <c r="G1565" s="8" t="n"/>
      <c r="H1565" s="14" t="n"/>
      <c r="I1565" s="15">
        <f>IF($H1565="","",$H1565-TODAY())</f>
        <v/>
      </c>
      <c r="J1565" s="16" t="inlineStr">
        <is>
          <t>Open posting</t>
        </is>
      </c>
      <c r="K1565" s="8" t="inlineStr">
        <is>
          <t>filtered by keyword pre-scan</t>
        </is>
      </c>
      <c r="L1565" s="17" t="inlineStr">
        <is>
          <t>new</t>
        </is>
      </c>
      <c r="M1565" s="18" t="inlineStr"/>
      <c r="N1565" s="7" t="inlineStr">
        <is>
          <t>db7d5b8b8e59de751abd7cc99c1e48d4c024b0d3</t>
        </is>
      </c>
      <c r="O1565" s="14" t="n">
        <v>46191</v>
      </c>
      <c r="P1565" s="7" t="inlineStr">
        <is>
          <t>greenhouse:monzo</t>
        </is>
      </c>
      <c r="Q1565" s="8" t="inlineStr"/>
      <c r="R1565" s="8" t="n"/>
      <c r="S1565" s="19" t="n"/>
      <c r="T1565" s="19" t="n"/>
      <c r="U1565" s="14" t="n">
        <v>46191</v>
      </c>
      <c r="V1565" s="7" t="inlineStr">
        <is>
          <t>v2-cv-accuracy-13b988b18da8ea7d</t>
        </is>
      </c>
    </row>
    <row r="1566" ht="28" customHeight="1">
      <c r="A1566" s="12">
        <f>IF($L1566="applied","Applied",IF($L1566="interview","Interview",IF($L1566="offer","Offer",IF($L1566="rejected","Rejected",IF($L1566="ignore","Ignore",IF($L1566="archive","Archive",IF($L1566="closed","Closed",IF($B1566="","Unscored",IF(AND($B1566&gt;=8,OR($H1566="",$H1566-TODAY()&lt;=14)),"P1 Apply",IF($B1566&gt;=7,"P2 Strong",IF($B1566&gt;=5,"P3 Maybe","P4 Low")))))))))))</f>
        <v/>
      </c>
      <c r="B1566" s="13" t="n">
        <v>0</v>
      </c>
      <c r="C1566" s="12" t="inlineStr">
        <is>
          <t>Junior</t>
        </is>
      </c>
      <c r="D1566" s="8" t="inlineStr">
        <is>
          <t>Associate Software Engineer</t>
        </is>
      </c>
      <c r="E1566" s="7" t="inlineStr">
        <is>
          <t>WMJobs</t>
        </is>
      </c>
      <c r="F1566" s="8" t="inlineStr">
        <is>
          <t>Birmingham, England, UK</t>
        </is>
      </c>
      <c r="G1566" s="8" t="n"/>
      <c r="H1566" s="14" t="n"/>
      <c r="I1566" s="15">
        <f>IF($H1566="","",$H1566-TODAY())</f>
        <v/>
      </c>
      <c r="J1566" s="16" t="inlineStr">
        <is>
          <t>Open posting</t>
        </is>
      </c>
      <c r="K1566" s="8" t="inlineStr">
        <is>
          <t>filtered by keyword pre-scan</t>
        </is>
      </c>
      <c r="L1566" s="17" t="inlineStr">
        <is>
          <t>new</t>
        </is>
      </c>
      <c r="M1566" s="18" t="inlineStr"/>
      <c r="N1566" s="7" t="inlineStr">
        <is>
          <t>02cf5252b3dcc0a06c308c92d14b1e8f456ab685</t>
        </is>
      </c>
      <c r="O1566" s="14" t="n">
        <v>46189</v>
      </c>
      <c r="P1566" s="7" t="inlineStr">
        <is>
          <t>jobspy</t>
        </is>
      </c>
      <c r="Q1566" s="8" t="inlineStr">
        <is>
          <t>git, software development</t>
        </is>
      </c>
      <c r="R1566" s="8" t="inlineStr">
        <is>
          <t>graduate Graduate Software Developer</t>
        </is>
      </c>
      <c r="S1566" s="19" t="n"/>
      <c r="T1566" s="19" t="n"/>
      <c r="U1566" s="14" t="n">
        <v>46191</v>
      </c>
      <c r="V1566" s="7" t="inlineStr">
        <is>
          <t>v2-cv-accuracy-13b988b18da8ea7d</t>
        </is>
      </c>
    </row>
    <row r="1567" ht="28" customHeight="1">
      <c r="A1567" s="12">
        <f>IF($L1567="applied","Applied",IF($L1567="interview","Interview",IF($L1567="offer","Offer",IF($L1567="rejected","Rejected",IF($L1567="ignore","Ignore",IF($L1567="archive","Archive",IF($L1567="closed","Closed",IF($B1567="","Unscored",IF(AND($B1567&gt;=8,OR($H1567="",$H1567-TODAY()&lt;=14)),"P1 Apply",IF($B1567&gt;=7,"P2 Strong",IF($B1567&gt;=5,"P3 Maybe","P4 Low")))))))))))</f>
        <v/>
      </c>
      <c r="B1567" s="13" t="n">
        <v>0</v>
      </c>
      <c r="C1567" s="12" t="inlineStr">
        <is>
          <t>Graduate/Entry</t>
        </is>
      </c>
      <c r="D1567" s="8" t="inlineStr">
        <is>
          <t>Graduate Software Developer</t>
        </is>
      </c>
      <c r="E1567" s="7" t="inlineStr">
        <is>
          <t>Scott Logic</t>
        </is>
      </c>
      <c r="F1567" s="8" t="inlineStr">
        <is>
          <t>Newcastle Upon Tyne, England, UK</t>
        </is>
      </c>
      <c r="G1567" s="8" t="n"/>
      <c r="H1567" s="14" t="n"/>
      <c r="I1567" s="15">
        <f>IF($H1567="","",$H1567-TODAY())</f>
        <v/>
      </c>
      <c r="J1567" s="16" t="inlineStr">
        <is>
          <t>Open posting</t>
        </is>
      </c>
      <c r="K1567" s="8" t="inlineStr">
        <is>
          <t>filtered by keyword pre-scan</t>
        </is>
      </c>
      <c r="L1567" s="17" t="inlineStr">
        <is>
          <t>new</t>
        </is>
      </c>
      <c r="M1567" s="18" t="inlineStr"/>
      <c r="N1567" s="7" t="inlineStr">
        <is>
          <t>af9947ef63b0a32506e46d4099cbdb0f98ff22c7</t>
        </is>
      </c>
      <c r="O1567" s="14" t="n">
        <v>46163</v>
      </c>
      <c r="P1567" s="7" t="inlineStr">
        <is>
          <t>jobspy</t>
        </is>
      </c>
      <c r="Q1567" s="8" t="inlineStr"/>
      <c r="R1567" s="8" t="inlineStr">
        <is>
          <t>entry level Graduate Software Developer</t>
        </is>
      </c>
      <c r="S1567" s="19" t="n"/>
      <c r="T1567" s="19" t="n"/>
      <c r="U1567" s="14" t="n">
        <v>46191</v>
      </c>
      <c r="V1567" s="7" t="inlineStr">
        <is>
          <t>v2-cv-accuracy-13b988b18da8ea7d</t>
        </is>
      </c>
    </row>
    <row r="1568" ht="28" customHeight="1">
      <c r="A1568" s="12">
        <f>IF($L1568="applied","Applied",IF($L1568="interview","Interview",IF($L1568="offer","Offer",IF($L1568="rejected","Rejected",IF($L1568="ignore","Ignore",IF($L1568="archive","Archive",IF($L1568="closed","Closed",IF($B1568="","Unscored",IF(AND($B1568&gt;=8,OR($H1568="",$H1568-TODAY()&lt;=14)),"P1 Apply",IF($B1568&gt;=7,"P2 Strong",IF($B1568&gt;=5,"P3 Maybe","P4 Low")))))))))))</f>
        <v/>
      </c>
      <c r="B1568" s="13" t="n">
        <v>0</v>
      </c>
      <c r="C1568" s="12" t="inlineStr">
        <is>
          <t>Graduate/Entry</t>
        </is>
      </c>
      <c r="D1568" s="8" t="inlineStr">
        <is>
          <t>Graduate Software Developer</t>
        </is>
      </c>
      <c r="E1568" s="7" t="inlineStr">
        <is>
          <t>Scott Logic</t>
        </is>
      </c>
      <c r="F1568" s="8" t="inlineStr">
        <is>
          <t>Bristol, England, UK</t>
        </is>
      </c>
      <c r="G1568" s="8" t="n"/>
      <c r="H1568" s="14" t="n"/>
      <c r="I1568" s="15">
        <f>IF($H1568="","",$H1568-TODAY())</f>
        <v/>
      </c>
      <c r="J1568" s="16" t="inlineStr">
        <is>
          <t>Open posting</t>
        </is>
      </c>
      <c r="K1568" s="8" t="inlineStr">
        <is>
          <t>filtered by keyword pre-scan</t>
        </is>
      </c>
      <c r="L1568" s="17" t="inlineStr">
        <is>
          <t>new</t>
        </is>
      </c>
      <c r="M1568" s="18" t="inlineStr"/>
      <c r="N1568" s="7" t="inlineStr">
        <is>
          <t>adc66f36957a9b1eeddae89abc410bcc20fc8155</t>
        </is>
      </c>
      <c r="O1568" s="14" t="n">
        <v>46162</v>
      </c>
      <c r="P1568" s="7" t="inlineStr">
        <is>
          <t>jobspy</t>
        </is>
      </c>
      <c r="Q1568" s="8" t="inlineStr"/>
      <c r="R1568" s="8" t="inlineStr">
        <is>
          <t>entry level Graduate Software Developer</t>
        </is>
      </c>
      <c r="S1568" s="19" t="n"/>
      <c r="T1568" s="19" t="n"/>
      <c r="U1568" s="14" t="n">
        <v>46191</v>
      </c>
      <c r="V1568" s="7" t="inlineStr">
        <is>
          <t>v2-cv-accuracy-13b988b18da8ea7d</t>
        </is>
      </c>
    </row>
    <row r="1569" ht="28" customHeight="1">
      <c r="A1569" s="12">
        <f>IF($L1569="applied","Applied",IF($L1569="interview","Interview",IF($L1569="offer","Offer",IF($L1569="rejected","Rejected",IF($L1569="ignore","Ignore",IF($L1569="archive","Archive",IF($L1569="closed","Closed",IF($B1569="","Unscored",IF(AND($B1569&gt;=8,OR($H1569="",$H1569-TODAY()&lt;=14)),"P1 Apply",IF($B1569&gt;=7,"P2 Strong",IF($B1569&gt;=5,"P3 Maybe","P4 Low")))))))))))</f>
        <v/>
      </c>
      <c r="B1569" s="13" t="n">
        <v>0</v>
      </c>
      <c r="C1569" s="12" t="inlineStr">
        <is>
          <t>Junior</t>
        </is>
      </c>
      <c r="D1569" s="8" t="inlineStr">
        <is>
          <t>Associate Python Engineers</t>
        </is>
      </c>
      <c r="E1569" s="7" t="inlineStr">
        <is>
          <t>numi</t>
        </is>
      </c>
      <c r="F1569" s="8" t="inlineStr">
        <is>
          <t>London Area, United Kingdom</t>
        </is>
      </c>
      <c r="G1569" s="8" t="n"/>
      <c r="H1569" s="14" t="n"/>
      <c r="I1569" s="15">
        <f>IF($H1569="","",$H1569-TODAY())</f>
        <v/>
      </c>
      <c r="J1569" s="16" t="inlineStr">
        <is>
          <t>Open posting</t>
        </is>
      </c>
      <c r="K1569" s="8" t="inlineStr">
        <is>
          <t>filtered by keyword pre-scan</t>
        </is>
      </c>
      <c r="L1569" s="17" t="inlineStr">
        <is>
          <t>new</t>
        </is>
      </c>
      <c r="M1569" s="18" t="inlineStr"/>
      <c r="N1569" s="7" t="inlineStr">
        <is>
          <t>d38eea37612ea10166a7fe64dc90cbad15ddc058</t>
        </is>
      </c>
      <c r="O1569" s="14" t="n">
        <v>46185</v>
      </c>
      <c r="P1569" s="7" t="inlineStr">
        <is>
          <t>jobspy</t>
        </is>
      </c>
      <c r="Q1569" s="8" t="inlineStr">
        <is>
          <t>python</t>
        </is>
      </c>
      <c r="R1569" s="8" t="inlineStr">
        <is>
          <t>junior/graduate Junior Python Developer</t>
        </is>
      </c>
      <c r="S1569" s="19" t="n"/>
      <c r="T1569" s="19" t="n"/>
      <c r="U1569" s="14" t="n">
        <v>46191</v>
      </c>
      <c r="V1569" s="7" t="inlineStr">
        <is>
          <t>v2-cv-accuracy-13b988b18da8ea7d</t>
        </is>
      </c>
    </row>
    <row r="1570" ht="28" customHeight="1">
      <c r="A1570" s="12">
        <f>IF($L1570="applied","Applied",IF($L1570="interview","Interview",IF($L1570="offer","Offer",IF($L1570="rejected","Rejected",IF($L1570="ignore","Ignore",IF($L1570="archive","Archive",IF($L1570="closed","Closed",IF($B1570="","Unscored",IF(AND($B1570&gt;=8,OR($H1570="",$H1570-TODAY()&lt;=14)),"P1 Apply",IF($B1570&gt;=7,"P2 Strong",IF($B1570&gt;=5,"P3 Maybe","P4 Low")))))))))))</f>
        <v/>
      </c>
      <c r="B1570" s="13" t="n">
        <v>0</v>
      </c>
      <c r="C1570" s="12" t="inlineStr">
        <is>
          <t>Mid-level</t>
        </is>
      </c>
      <c r="D1570" s="8" t="inlineStr">
        <is>
          <t>Python Developers</t>
        </is>
      </c>
      <c r="E1570" s="7" t="inlineStr">
        <is>
          <t>CGI</t>
        </is>
      </c>
      <c r="F1570" s="8" t="inlineStr">
        <is>
          <t>London, England, UK</t>
        </is>
      </c>
      <c r="G1570" s="8" t="n"/>
      <c r="H1570" s="14" t="n"/>
      <c r="I1570" s="15">
        <f>IF($H1570="","",$H1570-TODAY())</f>
        <v/>
      </c>
      <c r="J1570" s="16" t="inlineStr">
        <is>
          <t>Open posting</t>
        </is>
      </c>
      <c r="K1570" s="8" t="inlineStr">
        <is>
          <t>filtered by keyword pre-scan</t>
        </is>
      </c>
      <c r="L1570" s="17" t="inlineStr">
        <is>
          <t>new</t>
        </is>
      </c>
      <c r="M1570" s="18" t="inlineStr"/>
      <c r="N1570" s="7" t="inlineStr">
        <is>
          <t>7726cbc792e6e079ae71425594bd49ce25db07fa</t>
        </is>
      </c>
      <c r="O1570" s="14" t="n">
        <v>46179</v>
      </c>
      <c r="P1570" s="7" t="inlineStr">
        <is>
          <t>jobspy</t>
        </is>
      </c>
      <c r="Q1570" s="8" t="inlineStr">
        <is>
          <t>python, git</t>
        </is>
      </c>
      <c r="R1570" s="8" t="inlineStr">
        <is>
          <t>junior/graduate Junior Python Developer</t>
        </is>
      </c>
      <c r="S1570" s="19" t="n"/>
      <c r="T1570" s="19" t="n"/>
      <c r="U1570" s="14" t="n">
        <v>46191</v>
      </c>
      <c r="V1570" s="7" t="inlineStr">
        <is>
          <t>v2-cv-accuracy-13b988b18da8ea7d</t>
        </is>
      </c>
    </row>
    <row r="1571" ht="28" customHeight="1">
      <c r="A1571" s="12">
        <f>IF($L1571="applied","Applied",IF($L1571="interview","Interview",IF($L1571="offer","Offer",IF($L1571="rejected","Rejected",IF($L1571="ignore","Ignore",IF($L1571="archive","Archive",IF($L1571="closed","Closed",IF($B1571="","Unscored",IF(AND($B1571&gt;=8,OR($H1571="",$H1571-TODAY()&lt;=14)),"P1 Apply",IF($B1571&gt;=7,"P2 Strong",IF($B1571&gt;=5,"P3 Maybe","P4 Low")))))))))))</f>
        <v/>
      </c>
      <c r="B1571" s="13" t="n">
        <v>0</v>
      </c>
      <c r="C1571" s="12" t="inlineStr">
        <is>
          <t>Mid-level</t>
        </is>
      </c>
      <c r="D1571" s="8" t="inlineStr">
        <is>
          <t>Full Stack Engineer</t>
        </is>
      </c>
      <c r="E1571" s="7" t="inlineStr">
        <is>
          <t>Housr</t>
        </is>
      </c>
      <c r="F1571" s="8" t="inlineStr">
        <is>
          <t>Manchester, England, UK</t>
        </is>
      </c>
      <c r="G1571" s="8" t="n"/>
      <c r="H1571" s="14" t="n"/>
      <c r="I1571" s="15">
        <f>IF($H1571="","",$H1571-TODAY())</f>
        <v/>
      </c>
      <c r="J1571" s="16" t="inlineStr">
        <is>
          <t>Open posting</t>
        </is>
      </c>
      <c r="K1571" s="8" t="inlineStr">
        <is>
          <t>filtered by keyword pre-scan</t>
        </is>
      </c>
      <c r="L1571" s="17" t="inlineStr">
        <is>
          <t>new</t>
        </is>
      </c>
      <c r="M1571" s="18" t="inlineStr"/>
      <c r="N1571" s="7" t="inlineStr">
        <is>
          <t>02135b795e7542b15509f83d881ead8e5ab5f5e6</t>
        </is>
      </c>
      <c r="O1571" s="14" t="n">
        <v>46184</v>
      </c>
      <c r="P1571" s="7" t="inlineStr">
        <is>
          <t>jobspy</t>
        </is>
      </c>
      <c r="Q1571" s="8" t="inlineStr"/>
      <c r="R1571" s="8" t="inlineStr">
        <is>
          <t>Full Stack Developer Sheffield</t>
        </is>
      </c>
      <c r="S1571" s="19" t="n"/>
      <c r="T1571" s="19" t="n"/>
      <c r="U1571" s="14" t="n">
        <v>46191</v>
      </c>
      <c r="V1571" s="7" t="inlineStr">
        <is>
          <t>v2-cv-accuracy-13b988b18da8ea7d</t>
        </is>
      </c>
    </row>
    <row r="1572" ht="28" customHeight="1">
      <c r="A1572" s="12">
        <f>IF($L1572="applied","Applied",IF($L1572="interview","Interview",IF($L1572="offer","Offer",IF($L1572="rejected","Rejected",IF($L1572="ignore","Ignore",IF($L1572="archive","Archive",IF($L1572="closed","Closed",IF($B1572="","Unscored",IF(AND($B1572&gt;=8,OR($H1572="",$H1572-TODAY()&lt;=14)),"P1 Apply",IF($B1572&gt;=7,"P2 Strong",IF($B1572&gt;=5,"P3 Maybe","P4 Low")))))))))))</f>
        <v/>
      </c>
      <c r="B1572" s="13" t="n">
        <v>0</v>
      </c>
      <c r="C1572" s="12" t="inlineStr">
        <is>
          <t>Senior/Lead</t>
        </is>
      </c>
      <c r="D1572" s="8" t="inlineStr">
        <is>
          <t>Developer</t>
        </is>
      </c>
      <c r="E1572" s="7" t="inlineStr">
        <is>
          <t>Change Grow Live</t>
        </is>
      </c>
      <c r="F1572" s="8" t="inlineStr">
        <is>
          <t>Leeds, England, UK</t>
        </is>
      </c>
      <c r="G1572" s="8" t="n"/>
      <c r="H1572" s="14" t="n"/>
      <c r="I1572" s="15">
        <f>IF($H1572="","",$H1572-TODAY())</f>
        <v/>
      </c>
      <c r="J1572" s="16" t="inlineStr">
        <is>
          <t>Open posting</t>
        </is>
      </c>
      <c r="K1572" s="8" t="inlineStr">
        <is>
          <t>filtered by keyword pre-scan</t>
        </is>
      </c>
      <c r="L1572" s="17" t="inlineStr">
        <is>
          <t>new</t>
        </is>
      </c>
      <c r="M1572" s="18" t="inlineStr"/>
      <c r="N1572" s="7" t="inlineStr">
        <is>
          <t>9473b677402e70372fc439e96306d568973add78</t>
        </is>
      </c>
      <c r="O1572" s="14" t="n">
        <v>46185</v>
      </c>
      <c r="P1572" s="7" t="inlineStr">
        <is>
          <t>jobspy</t>
        </is>
      </c>
      <c r="Q1572" s="8" t="inlineStr">
        <is>
          <t>sql, javascript</t>
        </is>
      </c>
      <c r="R1572" s="8" t="inlineStr">
        <is>
          <t>graduate Full Stack Developer</t>
        </is>
      </c>
      <c r="S1572" s="19" t="n"/>
      <c r="T1572" s="19" t="n"/>
      <c r="U1572" s="14" t="n">
        <v>46191</v>
      </c>
      <c r="V1572" s="7" t="inlineStr">
        <is>
          <t>v2-cv-accuracy-13b988b18da8ea7d</t>
        </is>
      </c>
    </row>
    <row r="1573" ht="28" customHeight="1">
      <c r="A1573" s="12">
        <f>IF($L1573="applied","Applied",IF($L1573="interview","Interview",IF($L1573="offer","Offer",IF($L1573="rejected","Rejected",IF($L1573="ignore","Ignore",IF($L1573="archive","Archive",IF($L1573="closed","Closed",IF($B1573="","Unscored",IF(AND($B1573&gt;=8,OR($H1573="",$H1573-TODAY()&lt;=14)),"P1 Apply",IF($B1573&gt;=7,"P2 Strong",IF($B1573&gt;=5,"P3 Maybe","P4 Low")))))))))))</f>
        <v/>
      </c>
      <c r="B1573" s="13" t="n">
        <v>0</v>
      </c>
      <c r="C1573" s="12" t="inlineStr">
        <is>
          <t>Junior</t>
        </is>
      </c>
      <c r="D1573" s="8" t="inlineStr">
        <is>
          <t>Junior/Mid Software Engineer</t>
        </is>
      </c>
      <c r="E1573" s="7" t="inlineStr">
        <is>
          <t>Mytos</t>
        </is>
      </c>
      <c r="F1573" s="8" t="inlineStr">
        <is>
          <t>London, England, UK</t>
        </is>
      </c>
      <c r="G1573" s="8" t="n"/>
      <c r="H1573" s="14" t="n"/>
      <c r="I1573" s="15">
        <f>IF($H1573="","",$H1573-TODAY())</f>
        <v/>
      </c>
      <c r="J1573" s="16" t="inlineStr">
        <is>
          <t>Open posting</t>
        </is>
      </c>
      <c r="K1573" s="8" t="inlineStr">
        <is>
          <t>filtered by keyword pre-scan</t>
        </is>
      </c>
      <c r="L1573" s="17" t="inlineStr">
        <is>
          <t>new</t>
        </is>
      </c>
      <c r="M1573" s="18" t="inlineStr"/>
      <c r="N1573" s="7" t="inlineStr">
        <is>
          <t>2bd8a934ae3ea49b11b48074737a6551c0f6c724</t>
        </is>
      </c>
      <c r="O1573" s="14" t="n">
        <v>46170</v>
      </c>
      <c r="P1573" s="7" t="inlineStr">
        <is>
          <t>jobspy</t>
        </is>
      </c>
      <c r="Q1573" s="8" t="inlineStr"/>
      <c r="R1573" s="8" t="inlineStr">
        <is>
          <t>junior/graduate Full Stack Developer</t>
        </is>
      </c>
      <c r="S1573" s="19" t="n"/>
      <c r="T1573" s="19" t="n"/>
      <c r="U1573" s="14" t="n">
        <v>46191</v>
      </c>
      <c r="V1573" s="7" t="inlineStr">
        <is>
          <t>v2-cv-accuracy-13b988b18da8ea7d</t>
        </is>
      </c>
    </row>
    <row r="1574" ht="28" customHeight="1">
      <c r="A1574" s="12">
        <f>IF($L1574="applied","Applied",IF($L1574="interview","Interview",IF($L1574="offer","Offer",IF($L1574="rejected","Rejected",IF($L1574="ignore","Ignore",IF($L1574="archive","Archive",IF($L1574="closed","Closed",IF($B1574="","Unscored",IF(AND($B1574&gt;=8,OR($H1574="",$H1574-TODAY()&lt;=14)),"P1 Apply",IF($B1574&gt;=7,"P2 Strong",IF($B1574&gt;=5,"P3 Maybe","P4 Low")))))))))))</f>
        <v/>
      </c>
      <c r="B1574" s="13" t="n">
        <v>0</v>
      </c>
      <c r="C1574" s="12" t="inlineStr">
        <is>
          <t>Senior/Lead</t>
        </is>
      </c>
      <c r="D1574" s="8" t="inlineStr">
        <is>
          <t>Senior Manufacturing Product Engineer</t>
        </is>
      </c>
      <c r="E1574" s="7" t="inlineStr">
        <is>
          <t>Graphcore</t>
        </is>
      </c>
      <c r="F1574" s="8" t="inlineStr">
        <is>
          <t>Hsinchu City, Hsinchu City, Taiwan; 臺北市, Taipei, Taiwan</t>
        </is>
      </c>
      <c r="G1574" s="8" t="n"/>
      <c r="H1574" s="14" t="n"/>
      <c r="I1574" s="15">
        <f>IF($H1574="","",$H1574-TODAY())</f>
        <v/>
      </c>
      <c r="J1574" s="16" t="inlineStr">
        <is>
          <t>Open posting</t>
        </is>
      </c>
      <c r="K1574" s="8" t="inlineStr">
        <is>
          <t>filtered by keyword pre-scan</t>
        </is>
      </c>
      <c r="L1574" s="17" t="inlineStr">
        <is>
          <t>new</t>
        </is>
      </c>
      <c r="M1574" s="18" t="inlineStr"/>
      <c r="N1574" s="7" t="inlineStr">
        <is>
          <t>4a1abc587445c5152e1b1df554ba77b96ed9582b</t>
        </is>
      </c>
      <c r="O1574" s="14" t="n">
        <v>46191</v>
      </c>
      <c r="P1574" s="7" t="inlineStr">
        <is>
          <t>greenhouse:graphcore</t>
        </is>
      </c>
      <c r="Q1574" s="8" t="inlineStr"/>
      <c r="R1574" s="8" t="n"/>
      <c r="S1574" s="19" t="n"/>
      <c r="T1574" s="19" t="n"/>
      <c r="U1574" s="14" t="n">
        <v>46191</v>
      </c>
      <c r="V1574" s="7" t="inlineStr">
        <is>
          <t>v2-cv-accuracy-13b988b18da8ea7d</t>
        </is>
      </c>
    </row>
    <row r="1575" ht="28" customHeight="1">
      <c r="A1575" s="12">
        <f>IF($L1575="applied","Applied",IF($L1575="interview","Interview",IF($L1575="offer","Offer",IF($L1575="rejected","Rejected",IF($L1575="ignore","Ignore",IF($L1575="archive","Archive",IF($L1575="closed","Closed",IF($B1575="","Unscored",IF(AND($B1575&gt;=8,OR($H1575="",$H1575-TODAY()&lt;=14)),"P1 Apply",IF($B1575&gt;=7,"P2 Strong",IF($B1575&gt;=5,"P3 Maybe","P4 Low")))))))))))</f>
        <v/>
      </c>
      <c r="B1575" s="13" t="n">
        <v>0</v>
      </c>
      <c r="C1575" s="12" t="inlineStr">
        <is>
          <t>Senior/Lead</t>
        </is>
      </c>
      <c r="D1575" s="8" t="inlineStr">
        <is>
          <t>Staff Engineering Program Support</t>
        </is>
      </c>
      <c r="E1575" s="7" t="inlineStr">
        <is>
          <t>Graphcore</t>
        </is>
      </c>
      <c r="F1575" s="8" t="inlineStr">
        <is>
          <t>Austin, Texas, United States</t>
        </is>
      </c>
      <c r="G1575" s="8" t="n"/>
      <c r="H1575" s="14" t="n"/>
      <c r="I1575" s="15">
        <f>IF($H1575="","",$H1575-TODAY())</f>
        <v/>
      </c>
      <c r="J1575" s="16" t="inlineStr">
        <is>
          <t>Open posting</t>
        </is>
      </c>
      <c r="K1575" s="8" t="inlineStr">
        <is>
          <t>filtered by keyword pre-scan</t>
        </is>
      </c>
      <c r="L1575" s="17" t="inlineStr">
        <is>
          <t>new</t>
        </is>
      </c>
      <c r="M1575" s="18" t="inlineStr"/>
      <c r="N1575" s="7" t="inlineStr">
        <is>
          <t>0e5a235f2925e9c5f130ea0ecffee70ebc76948b</t>
        </is>
      </c>
      <c r="O1575" s="14" t="n">
        <v>46191</v>
      </c>
      <c r="P1575" s="7" t="inlineStr">
        <is>
          <t>greenhouse:graphcore</t>
        </is>
      </c>
      <c r="Q1575" s="8" t="inlineStr"/>
      <c r="R1575" s="8" t="n"/>
      <c r="S1575" s="19" t="n"/>
      <c r="T1575" s="19" t="n"/>
      <c r="U1575" s="14" t="n">
        <v>46191</v>
      </c>
      <c r="V1575" s="7" t="inlineStr">
        <is>
          <t>v2-cv-accuracy-13b988b18da8ea7d</t>
        </is>
      </c>
    </row>
    <row r="1576" ht="28" customHeight="1">
      <c r="A1576" s="12">
        <f>IF($L1576="applied","Applied",IF($L1576="interview","Interview",IF($L1576="offer","Offer",IF($L1576="rejected","Rejected",IF($L1576="ignore","Ignore",IF($L1576="archive","Archive",IF($L1576="closed","Closed",IF($B1576="","Unscored",IF(AND($B1576&gt;=8,OR($H1576="",$H1576-TODAY()&lt;=14)),"P1 Apply",IF($B1576&gt;=7,"P2 Strong",IF($B1576&gt;=5,"P3 Maybe","P4 Low")))))))))))</f>
        <v/>
      </c>
      <c r="B1576" s="13" t="n">
        <v>0</v>
      </c>
      <c r="C1576" s="12" t="inlineStr">
        <is>
          <t>Senior/Lead</t>
        </is>
      </c>
      <c r="D1576" s="8" t="inlineStr">
        <is>
          <t>Compliance Assurance Analyst</t>
        </is>
      </c>
      <c r="E1576" s="7" t="inlineStr">
        <is>
          <t>Monzo</t>
        </is>
      </c>
      <c r="F1576" s="8" t="inlineStr">
        <is>
          <t>Cardiff, London or Remote (UK)</t>
        </is>
      </c>
      <c r="G1576" s="8" t="n"/>
      <c r="H1576" s="14" t="n"/>
      <c r="I1576" s="15">
        <f>IF($H1576="","",$H1576-TODAY())</f>
        <v/>
      </c>
      <c r="J1576" s="16" t="inlineStr">
        <is>
          <t>Open posting</t>
        </is>
      </c>
      <c r="K1576" s="8" t="inlineStr">
        <is>
          <t>filtered by keyword pre-scan</t>
        </is>
      </c>
      <c r="L1576" s="17" t="inlineStr">
        <is>
          <t>new</t>
        </is>
      </c>
      <c r="M1576" s="18" t="inlineStr"/>
      <c r="N1576" s="7" t="inlineStr">
        <is>
          <t>e7509422abcf1d31b475eec5aa7b2ea7b7b4c2d1</t>
        </is>
      </c>
      <c r="O1576" s="14" t="n">
        <v>46191</v>
      </c>
      <c r="P1576" s="7" t="inlineStr">
        <is>
          <t>greenhouse:monzo</t>
        </is>
      </c>
      <c r="Q1576" s="8" t="inlineStr"/>
      <c r="R1576" s="8" t="n"/>
      <c r="S1576" s="19" t="n"/>
      <c r="T1576" s="19" t="n"/>
      <c r="U1576" s="14" t="n">
        <v>46191</v>
      </c>
      <c r="V1576" s="7" t="inlineStr">
        <is>
          <t>v2-cv-accuracy-13b988b18da8ea7d</t>
        </is>
      </c>
    </row>
    <row r="1577" ht="28" customHeight="1">
      <c r="A1577" s="12">
        <f>IF($L1577="applied","Applied",IF($L1577="interview","Interview",IF($L1577="offer","Offer",IF($L1577="rejected","Rejected",IF($L1577="ignore","Ignore",IF($L1577="archive","Archive",IF($L1577="closed","Closed",IF($B1577="","Unscored",IF(AND($B1577&gt;=8,OR($H1577="",$H1577-TODAY()&lt;=14)),"P1 Apply",IF($B1577&gt;=7,"P2 Strong",IF($B1577&gt;=5,"P3 Maybe","P4 Low")))))))))))</f>
        <v/>
      </c>
      <c r="B1577" s="13" t="n">
        <v>0</v>
      </c>
      <c r="C1577" s="12" t="inlineStr">
        <is>
          <t>Senior/Lead</t>
        </is>
      </c>
      <c r="D1577" s="8" t="inlineStr">
        <is>
          <t>Lead Analytics Engineer</t>
        </is>
      </c>
      <c r="E1577" s="7" t="inlineStr">
        <is>
          <t>Monzo</t>
        </is>
      </c>
      <c r="F1577" s="8" t="inlineStr">
        <is>
          <t>Cardiff, London or Remote (UK)</t>
        </is>
      </c>
      <c r="G1577" s="8" t="n"/>
      <c r="H1577" s="14" t="n"/>
      <c r="I1577" s="15">
        <f>IF($H1577="","",$H1577-TODAY())</f>
        <v/>
      </c>
      <c r="J1577" s="16" t="inlineStr">
        <is>
          <t>Open posting</t>
        </is>
      </c>
      <c r="K1577" s="8" t="inlineStr">
        <is>
          <t>filtered by keyword pre-scan</t>
        </is>
      </c>
      <c r="L1577" s="17" t="inlineStr">
        <is>
          <t>new</t>
        </is>
      </c>
      <c r="M1577" s="18" t="inlineStr"/>
      <c r="N1577" s="7" t="inlineStr">
        <is>
          <t>615623769980d99a09ab2d080a63f0e6be9251dd</t>
        </is>
      </c>
      <c r="O1577" s="14" t="n">
        <v>46191</v>
      </c>
      <c r="P1577" s="7" t="inlineStr">
        <is>
          <t>greenhouse:monzo</t>
        </is>
      </c>
      <c r="Q1577" s="8" t="inlineStr"/>
      <c r="R1577" s="8" t="n"/>
      <c r="S1577" s="19" t="n"/>
      <c r="T1577" s="19" t="n"/>
      <c r="U1577" s="14" t="n">
        <v>46191</v>
      </c>
      <c r="V1577" s="7" t="inlineStr">
        <is>
          <t>v2-cv-accuracy-13b988b18da8ea7d</t>
        </is>
      </c>
    </row>
    <row r="1578" ht="28" customHeight="1">
      <c r="A1578" s="12">
        <f>IF($L1578="applied","Applied",IF($L1578="interview","Interview",IF($L1578="offer","Offer",IF($L1578="rejected","Rejected",IF($L1578="ignore","Ignore",IF($L1578="archive","Archive",IF($L1578="closed","Closed",IF($B1578="","Unscored",IF(AND($B1578&gt;=8,OR($H1578="",$H1578-TODAY()&lt;=14)),"P1 Apply",IF($B1578&gt;=7,"P2 Strong",IF($B1578&gt;=5,"P3 Maybe","P4 Low")))))))))))</f>
        <v/>
      </c>
      <c r="B1578" s="13" t="n">
        <v>0</v>
      </c>
      <c r="C1578" s="12" t="inlineStr">
        <is>
          <t>Senior/Lead</t>
        </is>
      </c>
      <c r="D1578" s="8" t="inlineStr">
        <is>
          <t>Senior Analytics Engineer</t>
        </is>
      </c>
      <c r="E1578" s="7" t="inlineStr">
        <is>
          <t>Monzo</t>
        </is>
      </c>
      <c r="F1578" s="8" t="inlineStr">
        <is>
          <t>Cardiff, London or Remote (UK)</t>
        </is>
      </c>
      <c r="G1578" s="8" t="n"/>
      <c r="H1578" s="14" t="n"/>
      <c r="I1578" s="15">
        <f>IF($H1578="","",$H1578-TODAY())</f>
        <v/>
      </c>
      <c r="J1578" s="16" t="inlineStr">
        <is>
          <t>Open posting</t>
        </is>
      </c>
      <c r="K1578" s="8" t="inlineStr">
        <is>
          <t>filtered by keyword pre-scan</t>
        </is>
      </c>
      <c r="L1578" s="17" t="inlineStr">
        <is>
          <t>new</t>
        </is>
      </c>
      <c r="M1578" s="18" t="inlineStr"/>
      <c r="N1578" s="7" t="inlineStr">
        <is>
          <t>e271e129b05e60eff5b969efbf158f1c0afb35f5</t>
        </is>
      </c>
      <c r="O1578" s="14" t="n">
        <v>46191</v>
      </c>
      <c r="P1578" s="7" t="inlineStr">
        <is>
          <t>greenhouse:monzo</t>
        </is>
      </c>
      <c r="Q1578" s="8" t="inlineStr">
        <is>
          <t>python</t>
        </is>
      </c>
      <c r="R1578" s="8" t="n"/>
      <c r="S1578" s="19" t="n"/>
      <c r="T1578" s="19" t="n"/>
      <c r="U1578" s="14" t="n">
        <v>46191</v>
      </c>
      <c r="V1578" s="7" t="inlineStr">
        <is>
          <t>v2-cv-accuracy-13b988b18da8ea7d</t>
        </is>
      </c>
    </row>
    <row r="1579" ht="28" customHeight="1">
      <c r="A1579" s="12">
        <f>IF($L1579="applied","Applied",IF($L1579="interview","Interview",IF($L1579="offer","Offer",IF($L1579="rejected","Rejected",IF($L1579="ignore","Ignore",IF($L1579="archive","Archive",IF($L1579="closed","Closed",IF($B1579="","Unscored",IF(AND($B1579&gt;=8,OR($H1579="",$H1579-TODAY()&lt;=14)),"P1 Apply",IF($B1579&gt;=7,"P2 Strong",IF($B1579&gt;=5,"P3 Maybe","P4 Low")))))))))))</f>
        <v/>
      </c>
      <c r="B1579" s="13" t="n">
        <v>0</v>
      </c>
      <c r="C1579" s="12" t="inlineStr">
        <is>
          <t>Manager/Owner</t>
        </is>
      </c>
      <c r="D1579" s="8" t="inlineStr">
        <is>
          <t>Editorial Manager</t>
        </is>
      </c>
      <c r="E1579" s="7" t="inlineStr">
        <is>
          <t>Typeform</t>
        </is>
      </c>
      <c r="F1579" s="8" t="inlineStr">
        <is>
          <t>United States (Remote)</t>
        </is>
      </c>
      <c r="G1579" s="8" t="n"/>
      <c r="H1579" s="14" t="n"/>
      <c r="I1579" s="15">
        <f>IF($H1579="","",$H1579-TODAY())</f>
        <v/>
      </c>
      <c r="J1579" s="16" t="inlineStr">
        <is>
          <t>Open posting</t>
        </is>
      </c>
      <c r="K1579" s="8" t="inlineStr">
        <is>
          <t>filtered by keyword pre-scan</t>
        </is>
      </c>
      <c r="L1579" s="17" t="inlineStr">
        <is>
          <t>new</t>
        </is>
      </c>
      <c r="M1579" s="18" t="inlineStr"/>
      <c r="N1579" s="7" t="inlineStr">
        <is>
          <t>7e56f678ffbc6bb3ba49ecc680e7377ca4c8d90d</t>
        </is>
      </c>
      <c r="O1579" s="14" t="n">
        <v>46191</v>
      </c>
      <c r="P1579" s="7" t="inlineStr">
        <is>
          <t>greenhouse:typeform</t>
        </is>
      </c>
      <c r="Q1579" s="8" t="inlineStr">
        <is>
          <t>git</t>
        </is>
      </c>
      <c r="R1579" s="8" t="n"/>
      <c r="S1579" s="19" t="n"/>
      <c r="T1579" s="19" t="n"/>
      <c r="U1579" s="14" t="n">
        <v>46191</v>
      </c>
      <c r="V1579" s="7" t="inlineStr">
        <is>
          <t>v2-cv-accuracy-13b988b18da8ea7d</t>
        </is>
      </c>
    </row>
    <row r="1580" ht="28" customHeight="1">
      <c r="A1580" s="12">
        <f>IF($L1580="applied","Applied",IF($L1580="interview","Interview",IF($L1580="offer","Offer",IF($L1580="rejected","Rejected",IF($L1580="ignore","Ignore",IF($L1580="archive","Archive",IF($L1580="closed","Closed",IF($B1580="","Unscored",IF(AND($B1580&gt;=8,OR($H1580="",$H1580-TODAY()&lt;=14)),"P1 Apply",IF($B1580&gt;=7,"P2 Strong",IF($B1580&gt;=5,"P3 Maybe","P4 Low")))))))))))</f>
        <v/>
      </c>
      <c r="B1580" s="13" t="n">
        <v>0</v>
      </c>
      <c r="C1580" s="12" t="inlineStr">
        <is>
          <t>Senior/Lead</t>
        </is>
      </c>
      <c r="D1580" s="8" t="inlineStr">
        <is>
          <t>Head of Creative</t>
        </is>
      </c>
      <c r="E1580" s="7" t="inlineStr">
        <is>
          <t>Typeform</t>
        </is>
      </c>
      <c r="F1580" s="8" t="inlineStr">
        <is>
          <t>Germany (Remote) ; Ireland (Remote); Netherlands (Remote) ; Portugal (Remote) ; Spain (Remote) ; United Kingdom (Remote) ; United States (Remote)</t>
        </is>
      </c>
      <c r="G1580" s="8" t="n"/>
      <c r="H1580" s="14" t="n"/>
      <c r="I1580" s="15">
        <f>IF($H1580="","",$H1580-TODAY())</f>
        <v/>
      </c>
      <c r="J1580" s="16" t="inlineStr">
        <is>
          <t>Open posting</t>
        </is>
      </c>
      <c r="K1580" s="8" t="inlineStr">
        <is>
          <t>filtered by keyword pre-scan</t>
        </is>
      </c>
      <c r="L1580" s="17" t="inlineStr">
        <is>
          <t>new</t>
        </is>
      </c>
      <c r="M1580" s="18" t="inlineStr"/>
      <c r="N1580" s="7" t="inlineStr">
        <is>
          <t>b442658d95e149e648c7ee92a906ec9d007ca665</t>
        </is>
      </c>
      <c r="O1580" s="14" t="n">
        <v>46191</v>
      </c>
      <c r="P1580" s="7" t="inlineStr">
        <is>
          <t>greenhouse:typeform</t>
        </is>
      </c>
      <c r="Q1580" s="8" t="inlineStr"/>
      <c r="R1580" s="8" t="n"/>
      <c r="S1580" s="19" t="n"/>
      <c r="T1580" s="19" t="n"/>
      <c r="U1580" s="14" t="n">
        <v>46191</v>
      </c>
      <c r="V1580" s="7" t="inlineStr">
        <is>
          <t>v2-cv-accuracy-13b988b18da8ea7d</t>
        </is>
      </c>
    </row>
    <row r="1581" ht="28" customHeight="1">
      <c r="A1581" s="12">
        <f>IF($L1581="applied","Applied",IF($L1581="interview","Interview",IF($L1581="offer","Offer",IF($L1581="rejected","Rejected",IF($L1581="ignore","Ignore",IF($L1581="archive","Archive",IF($L1581="closed","Closed",IF($B1581="","Unscored",IF(AND($B1581&gt;=8,OR($H1581="",$H1581-TODAY()&lt;=14)),"P1 Apply",IF($B1581&gt;=7,"P2 Strong",IF($B1581&gt;=5,"P3 Maybe","P4 Low")))))))))))</f>
        <v/>
      </c>
      <c r="B1581" s="13" t="n">
        <v>0</v>
      </c>
      <c r="C1581" s="12" t="inlineStr">
        <is>
          <t>Unspecified</t>
        </is>
      </c>
      <c r="D1581" s="8" t="inlineStr">
        <is>
          <t>Social Media Coordinator</t>
        </is>
      </c>
      <c r="E1581" s="7" t="inlineStr">
        <is>
          <t>Typeform</t>
        </is>
      </c>
      <c r="F1581" s="8" t="inlineStr">
        <is>
          <t>United States (Remote)</t>
        </is>
      </c>
      <c r="G1581" s="8" t="n"/>
      <c r="H1581" s="14" t="n"/>
      <c r="I1581" s="15">
        <f>IF($H1581="","",$H1581-TODAY())</f>
        <v/>
      </c>
      <c r="J1581" s="16" t="inlineStr">
        <is>
          <t>Open posting</t>
        </is>
      </c>
      <c r="K1581" s="8" t="inlineStr">
        <is>
          <t>filtered by keyword pre-scan</t>
        </is>
      </c>
      <c r="L1581" s="17" t="inlineStr">
        <is>
          <t>new</t>
        </is>
      </c>
      <c r="M1581" s="18" t="inlineStr"/>
      <c r="N1581" s="7" t="inlineStr">
        <is>
          <t>69bf3c928fddeeec82540b6ec33dddd06c54ec3a</t>
        </is>
      </c>
      <c r="O1581" s="14" t="n">
        <v>46191</v>
      </c>
      <c r="P1581" s="7" t="inlineStr">
        <is>
          <t>greenhouse:typeform</t>
        </is>
      </c>
      <c r="Q1581" s="8" t="inlineStr"/>
      <c r="R1581" s="8" t="n"/>
      <c r="S1581" s="19" t="n"/>
      <c r="T1581" s="19" t="n"/>
      <c r="U1581" s="14" t="n">
        <v>46191</v>
      </c>
      <c r="V1581" s="7" t="inlineStr">
        <is>
          <t>v2-cv-accuracy-13b988b18da8ea7d</t>
        </is>
      </c>
    </row>
    <row r="1582" ht="28" customHeight="1">
      <c r="A1582" s="12">
        <f>IF($L1582="applied","Applied",IF($L1582="interview","Interview",IF($L1582="offer","Offer",IF($L1582="rejected","Rejected",IF($L1582="ignore","Ignore",IF($L1582="archive","Archive",IF($L1582="closed","Closed",IF($B1582="","Unscored",IF(AND($B1582&gt;=8,OR($H1582="",$H1582-TODAY()&lt;=14)),"P1 Apply",IF($B1582&gt;=7,"P2 Strong",IF($B1582&gt;=5,"P3 Maybe","P4 Low")))))))))))</f>
        <v/>
      </c>
      <c r="B1582" s="13" t="n">
        <v>0</v>
      </c>
      <c r="C1582" s="12" t="inlineStr">
        <is>
          <t>Senior/Lead</t>
        </is>
      </c>
      <c r="D1582" s="8" t="inlineStr">
        <is>
          <t>Principal People Team Business Partner - M&amp;A / Strategy</t>
        </is>
      </c>
      <c r="E1582" s="7" t="inlineStr">
        <is>
          <t>Cloudflare</t>
        </is>
      </c>
      <c r="F1582" s="8" t="inlineStr">
        <is>
          <t>Hybrid</t>
        </is>
      </c>
      <c r="G1582" s="8" t="n"/>
      <c r="H1582" s="14" t="n"/>
      <c r="I1582" s="15">
        <f>IF($H1582="","",$H1582-TODAY())</f>
        <v/>
      </c>
      <c r="J1582" s="16" t="inlineStr">
        <is>
          <t>Open posting</t>
        </is>
      </c>
      <c r="K1582" s="8" t="inlineStr">
        <is>
          <t>filtered by keyword pre-scan</t>
        </is>
      </c>
      <c r="L1582" s="17" t="inlineStr">
        <is>
          <t>new</t>
        </is>
      </c>
      <c r="M1582" s="18" t="inlineStr"/>
      <c r="N1582" s="7" t="inlineStr">
        <is>
          <t>ca4e91cd5fd0c03910e204143b2576bd844bf173</t>
        </is>
      </c>
      <c r="O1582" s="14" t="n">
        <v>46191</v>
      </c>
      <c r="P1582" s="7" t="inlineStr">
        <is>
          <t>greenhouse:cloudflare</t>
        </is>
      </c>
      <c r="Q1582" s="8" t="inlineStr"/>
      <c r="R1582" s="8" t="n"/>
      <c r="S1582" s="19" t="n"/>
      <c r="T1582" s="19" t="n"/>
      <c r="U1582" s="14" t="n">
        <v>46191</v>
      </c>
      <c r="V1582" s="7" t="inlineStr">
        <is>
          <t>v2-cv-accuracy-13b988b18da8ea7d</t>
        </is>
      </c>
    </row>
    <row r="1583" ht="28" customHeight="1">
      <c r="A1583" s="12">
        <f>IF($L1583="applied","Applied",IF($L1583="interview","Interview",IF($L1583="offer","Offer",IF($L1583="rejected","Rejected",IF($L1583="ignore","Ignore",IF($L1583="archive","Archive",IF($L1583="closed","Closed",IF($B1583="","Unscored",IF(AND($B1583&gt;=8,OR($H1583="",$H1583-TODAY()&lt;=14)),"P1 Apply",IF($B1583&gt;=7,"P2 Strong",IF($B1583&gt;=5,"P3 Maybe","P4 Low")))))))))))</f>
        <v/>
      </c>
      <c r="B1583" s="13" t="n">
        <v>0</v>
      </c>
      <c r="C1583" s="12" t="inlineStr">
        <is>
          <t>Senior/Lead</t>
        </is>
      </c>
      <c r="D1583" s="8" t="inlineStr">
        <is>
          <t>Senior Software Engineer, Distributed Databases</t>
        </is>
      </c>
      <c r="E1583" s="7" t="inlineStr">
        <is>
          <t>Cloudflare</t>
        </is>
      </c>
      <c r="F1583" s="8" t="inlineStr">
        <is>
          <t>In-Office</t>
        </is>
      </c>
      <c r="G1583" s="8" t="n"/>
      <c r="H1583" s="14" t="n"/>
      <c r="I1583" s="15">
        <f>IF($H1583="","",$H1583-TODAY())</f>
        <v/>
      </c>
      <c r="J1583" s="16" t="inlineStr">
        <is>
          <t>Open posting</t>
        </is>
      </c>
      <c r="K1583" s="8" t="inlineStr">
        <is>
          <t>filtered by keyword pre-scan</t>
        </is>
      </c>
      <c r="L1583" s="17" t="inlineStr">
        <is>
          <t>new</t>
        </is>
      </c>
      <c r="M1583" s="18" t="inlineStr"/>
      <c r="N1583" s="7" t="inlineStr">
        <is>
          <t>5d21f1c57c7ddf20940e31827ee32dfe9ea95ba8</t>
        </is>
      </c>
      <c r="O1583" s="14" t="n">
        <v>46191</v>
      </c>
      <c r="P1583" s="7" t="inlineStr">
        <is>
          <t>greenhouse:cloudflare</t>
        </is>
      </c>
      <c r="Q1583" s="8" t="inlineStr"/>
      <c r="R1583" s="8" t="n"/>
      <c r="S1583" s="19" t="n"/>
      <c r="T1583" s="19" t="n"/>
      <c r="U1583" s="14" t="n">
        <v>46191</v>
      </c>
      <c r="V1583" s="7" t="inlineStr">
        <is>
          <t>v2-cv-accuracy-13b988b18da8ea7d</t>
        </is>
      </c>
    </row>
    <row r="1584" ht="28" customHeight="1">
      <c r="A1584" s="12">
        <f>IF($L1584="applied","Applied",IF($L1584="interview","Interview",IF($L1584="offer","Offer",IF($L1584="rejected","Rejected",IF($L1584="ignore","Ignore",IF($L1584="archive","Archive",IF($L1584="closed","Closed",IF($B1584="","Unscored",IF(AND($B1584&gt;=8,OR($H1584="",$H1584-TODAY()&lt;=14)),"P1 Apply",IF($B1584&gt;=7,"P2 Strong",IF($B1584&gt;=5,"P3 Maybe","P4 Low")))))))))))</f>
        <v/>
      </c>
      <c r="B1584" s="13" t="n">
        <v>0</v>
      </c>
      <c r="C1584" s="12" t="inlineStr">
        <is>
          <t>Manager/Owner</t>
        </is>
      </c>
      <c r="D1584" s="8" t="inlineStr">
        <is>
          <t>E‑Commerce Traffic &amp; CRM Manager</t>
        </is>
      </c>
      <c r="E1584" s="7" t="inlineStr">
        <is>
          <t>Dyson</t>
        </is>
      </c>
      <c r="F1584" s="8" t="inlineStr">
        <is>
          <t>United Arab Emirates - Dubai Office</t>
        </is>
      </c>
      <c r="G1584" s="8" t="n"/>
      <c r="H1584" s="14" t="n"/>
      <c r="I1584" s="15">
        <f>IF($H1584="","",$H1584-TODAY())</f>
        <v/>
      </c>
      <c r="J1584" s="16" t="inlineStr">
        <is>
          <t>Open posting</t>
        </is>
      </c>
      <c r="K1584" s="8" t="inlineStr">
        <is>
          <t>filtered by keyword pre-scan</t>
        </is>
      </c>
      <c r="L1584" s="17" t="inlineStr">
        <is>
          <t>new</t>
        </is>
      </c>
      <c r="M1584" s="18" t="inlineStr"/>
      <c r="N1584" s="7" t="inlineStr">
        <is>
          <t>38d03dc4040b5454dd0cc9884c647adc616e17d6</t>
        </is>
      </c>
      <c r="O1584" s="14" t="n"/>
      <c r="P1584" s="7" t="inlineStr">
        <is>
          <t>workday</t>
        </is>
      </c>
      <c r="Q1584" s="8" t="inlineStr"/>
      <c r="R1584" s="8" t="n"/>
      <c r="S1584" s="19" t="n"/>
      <c r="T1584" s="19" t="n"/>
      <c r="U1584" s="14" t="n">
        <v>46191</v>
      </c>
      <c r="V1584" s="7" t="inlineStr">
        <is>
          <t>v2-cv-accuracy-13b988b18da8ea7d</t>
        </is>
      </c>
    </row>
    <row r="1585" ht="28" customHeight="1">
      <c r="A1585" s="12">
        <f>IF($L1585="applied","Applied",IF($L1585="interview","Interview",IF($L1585="offer","Offer",IF($L1585="rejected","Rejected",IF($L1585="ignore","Ignore",IF($L1585="archive","Archive",IF($L1585="closed","Closed",IF($B1585="","Unscored",IF(AND($B1585&gt;=8,OR($H1585="",$H1585-TODAY()&lt;=14)),"P1 Apply",IF($B1585&gt;=7,"P2 Strong",IF($B1585&gt;=5,"P3 Maybe","P4 Low")))))))))))</f>
        <v/>
      </c>
      <c r="B1585" s="13" t="n">
        <v>0</v>
      </c>
      <c r="C1585" s="12" t="inlineStr">
        <is>
          <t>Unspecified</t>
        </is>
      </c>
      <c r="D1585" s="8" t="inlineStr">
        <is>
          <t>Content and Social Strategy Executive</t>
        </is>
      </c>
      <c r="E1585" s="7" t="inlineStr">
        <is>
          <t>Dyson</t>
        </is>
      </c>
      <c r="F1585" s="8" t="inlineStr">
        <is>
          <t>United Arab Emirates - Dubai Office</t>
        </is>
      </c>
      <c r="G1585" s="8" t="n"/>
      <c r="H1585" s="14" t="n"/>
      <c r="I1585" s="15">
        <f>IF($H1585="","",$H1585-TODAY())</f>
        <v/>
      </c>
      <c r="J1585" s="16" t="inlineStr">
        <is>
          <t>Open posting</t>
        </is>
      </c>
      <c r="K1585" s="8" t="inlineStr">
        <is>
          <t>filtered by keyword pre-scan</t>
        </is>
      </c>
      <c r="L1585" s="17" t="inlineStr">
        <is>
          <t>new</t>
        </is>
      </c>
      <c r="M1585" s="18" t="inlineStr"/>
      <c r="N1585" s="7" t="inlineStr">
        <is>
          <t>6f2d42d0442d8c221bf5587a2548b00619cc71a5</t>
        </is>
      </c>
      <c r="O1585" s="14" t="n"/>
      <c r="P1585" s="7" t="inlineStr">
        <is>
          <t>workday</t>
        </is>
      </c>
      <c r="Q1585" s="8" t="inlineStr"/>
      <c r="R1585" s="8" t="n"/>
      <c r="S1585" s="19" t="n"/>
      <c r="T1585" s="19" t="n"/>
      <c r="U1585" s="14" t="n">
        <v>46191</v>
      </c>
      <c r="V1585" s="7" t="inlineStr">
        <is>
          <t>v2-cv-accuracy-13b988b18da8ea7d</t>
        </is>
      </c>
    </row>
    <row r="1586" ht="28" customHeight="1">
      <c r="A1586" s="12">
        <f>IF($L1586="applied","Applied",IF($L1586="interview","Interview",IF($L1586="offer","Offer",IF($L1586="rejected","Rejected",IF($L1586="ignore","Ignore",IF($L1586="archive","Archive",IF($L1586="closed","Closed",IF($B1586="","Unscored",IF(AND($B1586&gt;=8,OR($H1586="",$H1586-TODAY()&lt;=14)),"P1 Apply",IF($B1586&gt;=7,"P2 Strong",IF($B1586&gt;=5,"P3 Maybe","P4 Low")))))))))))</f>
        <v/>
      </c>
      <c r="B1586" s="13" t="n">
        <v>0</v>
      </c>
      <c r="C1586" s="12" t="inlineStr">
        <is>
          <t>Unspecified</t>
        </is>
      </c>
      <c r="D1586" s="8" t="inlineStr">
        <is>
          <t>Friseur.in/Hair Stylist.in</t>
        </is>
      </c>
      <c r="E1586" s="7" t="inlineStr">
        <is>
          <t>Dyson</t>
        </is>
      </c>
      <c r="F1586" s="8" t="inlineStr">
        <is>
          <t>Germany - Baden-Württemberg Remote</t>
        </is>
      </c>
      <c r="G1586" s="8" t="n"/>
      <c r="H1586" s="14" t="n"/>
      <c r="I1586" s="15">
        <f>IF($H1586="","",$H1586-TODAY())</f>
        <v/>
      </c>
      <c r="J1586" s="16" t="inlineStr">
        <is>
          <t>Open posting</t>
        </is>
      </c>
      <c r="K1586" s="8" t="inlineStr">
        <is>
          <t>filtered by keyword pre-scan</t>
        </is>
      </c>
      <c r="L1586" s="17" t="inlineStr">
        <is>
          <t>new</t>
        </is>
      </c>
      <c r="M1586" s="18" t="inlineStr"/>
      <c r="N1586" s="7" t="inlineStr">
        <is>
          <t>bd5904949f89ce37140c58709ebeea1eb5e6cf24</t>
        </is>
      </c>
      <c r="O1586" s="14" t="n"/>
      <c r="P1586" s="7" t="inlineStr">
        <is>
          <t>workday</t>
        </is>
      </c>
      <c r="Q1586" s="8" t="inlineStr"/>
      <c r="R1586" s="8" t="n"/>
      <c r="S1586" s="19" t="n"/>
      <c r="T1586" s="19" t="n"/>
      <c r="U1586" s="14" t="n">
        <v>46191</v>
      </c>
      <c r="V1586" s="7" t="inlineStr">
        <is>
          <t>v2-cv-accuracy-13b988b18da8ea7d</t>
        </is>
      </c>
    </row>
    <row r="1587" ht="28" customHeight="1">
      <c r="A1587" s="12">
        <f>IF($L1587="applied","Applied",IF($L1587="interview","Interview",IF($L1587="offer","Offer",IF($L1587="rejected","Rejected",IF($L1587="ignore","Ignore",IF($L1587="archive","Archive",IF($L1587="closed","Closed",IF($B1587="","Unscored",IF(AND($B1587&gt;=8,OR($H1587="",$H1587-TODAY()&lt;=14)),"P1 Apply",IF($B1587&gt;=7,"P2 Strong",IF($B1587&gt;=5,"P3 Maybe","P4 Low")))))))))))</f>
        <v/>
      </c>
      <c r="B1587" s="13" t="n">
        <v>0</v>
      </c>
      <c r="C1587" s="12" t="inlineStr">
        <is>
          <t>Unspecified</t>
        </is>
      </c>
      <c r="D1587" s="8" t="inlineStr">
        <is>
          <t>Friseur.in/Hair Stylist.in</t>
        </is>
      </c>
      <c r="E1587" s="7" t="inlineStr">
        <is>
          <t>Dyson</t>
        </is>
      </c>
      <c r="F1587" s="8" t="inlineStr">
        <is>
          <t>Germany - Baden-Württemberg Remote</t>
        </is>
      </c>
      <c r="G1587" s="8" t="n"/>
      <c r="H1587" s="14" t="n"/>
      <c r="I1587" s="15">
        <f>IF($H1587="","",$H1587-TODAY())</f>
        <v/>
      </c>
      <c r="J1587" s="16" t="inlineStr">
        <is>
          <t>Open posting</t>
        </is>
      </c>
      <c r="K1587" s="8" t="inlineStr">
        <is>
          <t>filtered by keyword pre-scan</t>
        </is>
      </c>
      <c r="L1587" s="17" t="inlineStr">
        <is>
          <t>new</t>
        </is>
      </c>
      <c r="M1587" s="18" t="inlineStr"/>
      <c r="N1587" s="7" t="inlineStr">
        <is>
          <t>8fc7528cd9e824f05acc8dc018180809dc385a5c</t>
        </is>
      </c>
      <c r="O1587" s="14" t="n"/>
      <c r="P1587" s="7" t="inlineStr">
        <is>
          <t>workday</t>
        </is>
      </c>
      <c r="Q1587" s="8" t="inlineStr"/>
      <c r="R1587" s="8" t="n"/>
      <c r="S1587" s="19" t="n"/>
      <c r="T1587" s="19" t="n"/>
      <c r="U1587" s="14" t="n">
        <v>46191</v>
      </c>
      <c r="V1587" s="7" t="inlineStr">
        <is>
          <t>v2-cv-accuracy-13b988b18da8ea7d</t>
        </is>
      </c>
    </row>
    <row r="1588" ht="28" customHeight="1">
      <c r="A1588" s="12">
        <f>IF($L1588="applied","Applied",IF($L1588="interview","Interview",IF($L1588="offer","Offer",IF($L1588="rejected","Rejected",IF($L1588="ignore","Ignore",IF($L1588="archive","Archive",IF($L1588="closed","Closed",IF($B1588="","Unscored",IF(AND($B1588&gt;=8,OR($H1588="",$H1588-TODAY()&lt;=14)),"P1 Apply",IF($B1588&gt;=7,"P2 Strong",IF($B1588&gt;=5,"P3 Maybe","P4 Low")))))))))))</f>
        <v/>
      </c>
      <c r="B1588" s="13" t="n">
        <v>0</v>
      </c>
      <c r="C1588" s="12" t="inlineStr">
        <is>
          <t>Unspecified</t>
        </is>
      </c>
      <c r="D1588" s="8" t="inlineStr">
        <is>
          <t>Merchandiser</t>
        </is>
      </c>
      <c r="E1588" s="7" t="inlineStr">
        <is>
          <t>Dyson</t>
        </is>
      </c>
      <c r="F1588" s="8" t="inlineStr">
        <is>
          <t>Germany - Sachsen Remote</t>
        </is>
      </c>
      <c r="G1588" s="8" t="n"/>
      <c r="H1588" s="14" t="n"/>
      <c r="I1588" s="15">
        <f>IF($H1588="","",$H1588-TODAY())</f>
        <v/>
      </c>
      <c r="J1588" s="16" t="inlineStr">
        <is>
          <t>Open posting</t>
        </is>
      </c>
      <c r="K1588" s="8" t="inlineStr">
        <is>
          <t>filtered by keyword pre-scan</t>
        </is>
      </c>
      <c r="L1588" s="17" t="inlineStr">
        <is>
          <t>new</t>
        </is>
      </c>
      <c r="M1588" s="18" t="inlineStr"/>
      <c r="N1588" s="7" t="inlineStr">
        <is>
          <t>d3947f45864e97b5e4eee63e0584f0ab1cf3bbe7</t>
        </is>
      </c>
      <c r="O1588" s="14" t="n"/>
      <c r="P1588" s="7" t="inlineStr">
        <is>
          <t>workday</t>
        </is>
      </c>
      <c r="Q1588" s="8" t="inlineStr"/>
      <c r="R1588" s="8" t="n"/>
      <c r="S1588" s="19" t="n"/>
      <c r="T1588" s="19" t="n"/>
      <c r="U1588" s="14" t="n">
        <v>46191</v>
      </c>
      <c r="V1588" s="7" t="inlineStr">
        <is>
          <t>v2-cv-accuracy-13b988b18da8ea7d</t>
        </is>
      </c>
    </row>
    <row r="1589" ht="28" customHeight="1">
      <c r="A1589" s="12">
        <f>IF($L1589="applied","Applied",IF($L1589="interview","Interview",IF($L1589="offer","Offer",IF($L1589="rejected","Rejected",IF($L1589="ignore","Ignore",IF($L1589="archive","Archive",IF($L1589="closed","Closed",IF($B1589="","Unscored",IF(AND($B1589&gt;=8,OR($H1589="",$H1589-TODAY()&lt;=14)),"P1 Apply",IF($B1589&gt;=7,"P2 Strong",IF($B1589&gt;=5,"P3 Maybe","P4 Low")))))))))))</f>
        <v/>
      </c>
      <c r="B1589" s="13" t="n">
        <v>0</v>
      </c>
      <c r="C1589" s="12" t="inlineStr">
        <is>
          <t>Manager/Owner</t>
        </is>
      </c>
      <c r="D1589" s="8" t="inlineStr">
        <is>
          <t>Software Engineering Manager</t>
        </is>
      </c>
      <c r="E1589" s="7" t="inlineStr">
        <is>
          <t>Motorola Solutions</t>
        </is>
      </c>
      <c r="F1589" s="8" t="inlineStr">
        <is>
          <t>Edinburgh, SCT, GB</t>
        </is>
      </c>
      <c r="G1589" s="8" t="n"/>
      <c r="H1589" s="14" t="n"/>
      <c r="I1589" s="15">
        <f>IF($H1589="","",$H1589-TODAY())</f>
        <v/>
      </c>
      <c r="J1589" s="16" t="inlineStr">
        <is>
          <t>Open posting</t>
        </is>
      </c>
      <c r="K1589" s="8" t="inlineStr">
        <is>
          <t>filtered by keyword pre-scan</t>
        </is>
      </c>
      <c r="L1589" s="17" t="inlineStr">
        <is>
          <t>new</t>
        </is>
      </c>
      <c r="M1589" s="18" t="inlineStr"/>
      <c r="N1589" s="7" t="inlineStr">
        <is>
          <t>3aa674cfb0d5b21ad87ab56a8d2a87f7d4ef60d6</t>
        </is>
      </c>
      <c r="O1589" s="14" t="n">
        <v>46176</v>
      </c>
      <c r="P1589" s="7" t="inlineStr">
        <is>
          <t>jobspy</t>
        </is>
      </c>
      <c r="Q1589" s="8" t="inlineStr">
        <is>
          <t>software development</t>
        </is>
      </c>
      <c r="R1589" s="8" t="inlineStr">
        <is>
          <t>Graduate Software Developer</t>
        </is>
      </c>
      <c r="S1589" s="19" t="n"/>
      <c r="T1589" s="19" t="n"/>
      <c r="U1589" s="14" t="n">
        <v>46191</v>
      </c>
      <c r="V1589" s="7" t="inlineStr">
        <is>
          <t>v2-cv-accuracy-13b988b18da8ea7d</t>
        </is>
      </c>
    </row>
    <row r="1590" ht="28" customHeight="1">
      <c r="A1590" s="12">
        <f>IF($L1590="applied","Applied",IF($L1590="interview","Interview",IF($L1590="offer","Offer",IF($L1590="rejected","Rejected",IF($L1590="ignore","Ignore",IF($L1590="archive","Archive",IF($L1590="closed","Closed",IF($B1590="","Unscored",IF(AND($B1590&gt;=8,OR($H1590="",$H1590-TODAY()&lt;=14)),"P1 Apply",IF($B1590&gt;=7,"P2 Strong",IF($B1590&gt;=5,"P3 Maybe","P4 Low")))))))))))</f>
        <v/>
      </c>
      <c r="B1590" s="13" t="n">
        <v>0</v>
      </c>
      <c r="C1590" s="12" t="inlineStr">
        <is>
          <t>Unspecified</t>
        </is>
      </c>
      <c r="D1590" s="8" t="inlineStr">
        <is>
          <t>Java Engineer</t>
        </is>
      </c>
      <c r="E1590" s="7" t="inlineStr">
        <is>
          <t>Harrah's Cherokee Valley River</t>
        </is>
      </c>
      <c r="F1590" s="8" t="inlineStr">
        <is>
          <t>Leeds, England, UK</t>
        </is>
      </c>
      <c r="G1590" s="8" t="n"/>
      <c r="H1590" s="14" t="n"/>
      <c r="I1590" s="15">
        <f>IF($H1590="","",$H1590-TODAY())</f>
        <v/>
      </c>
      <c r="J1590" s="16" t="inlineStr">
        <is>
          <t>Open posting</t>
        </is>
      </c>
      <c r="K1590" s="8" t="inlineStr">
        <is>
          <t>filtered by keyword pre-scan</t>
        </is>
      </c>
      <c r="L1590" s="17" t="inlineStr">
        <is>
          <t>new</t>
        </is>
      </c>
      <c r="M1590" s="18" t="inlineStr"/>
      <c r="N1590" s="7" t="inlineStr">
        <is>
          <t>8187efb2f25861846123fd624a65679cf3ea890c</t>
        </is>
      </c>
      <c r="O1590" s="14" t="n">
        <v>46189</v>
      </c>
      <c r="P1590" s="7" t="inlineStr">
        <is>
          <t>jobspy</t>
        </is>
      </c>
      <c r="Q1590" s="8" t="inlineStr"/>
      <c r="R1590" s="8" t="inlineStr">
        <is>
          <t>Graduate Software Developer Sheffield</t>
        </is>
      </c>
      <c r="S1590" s="19" t="n"/>
      <c r="T1590" s="19" t="n"/>
      <c r="U1590" s="14" t="n">
        <v>46191</v>
      </c>
      <c r="V1590" s="7" t="inlineStr">
        <is>
          <t>v2-cv-accuracy-13b988b18da8ea7d</t>
        </is>
      </c>
    </row>
    <row r="1591" ht="28" customHeight="1">
      <c r="A1591" s="12">
        <f>IF($L1591="applied","Applied",IF($L1591="interview","Interview",IF($L1591="offer","Offer",IF($L1591="rejected","Rejected",IF($L1591="ignore","Ignore",IF($L1591="archive","Archive",IF($L1591="closed","Closed",IF($B1591="","Unscored",IF(AND($B1591&gt;=8,OR($H1591="",$H1591-TODAY()&lt;=14)),"P1 Apply",IF($B1591&gt;=7,"P2 Strong",IF($B1591&gt;=5,"P3 Maybe","P4 Low")))))))))))</f>
        <v/>
      </c>
      <c r="B1591" s="13" t="n">
        <v>0</v>
      </c>
      <c r="C1591" s="12" t="inlineStr">
        <is>
          <t>Graduate/Entry</t>
        </is>
      </c>
      <c r="D1591" s="8" t="inlineStr">
        <is>
          <t>Graduate Software Engineer</t>
        </is>
      </c>
      <c r="E1591" s="7" t="inlineStr">
        <is>
          <t>Motorola Solutions</t>
        </is>
      </c>
      <c r="F1591" s="8" t="inlineStr">
        <is>
          <t>Glasgow, Scotland, UK</t>
        </is>
      </c>
      <c r="G1591" s="8" t="n"/>
      <c r="H1591" s="14" t="n"/>
      <c r="I1591" s="15">
        <f>IF($H1591="","",$H1591-TODAY())</f>
        <v/>
      </c>
      <c r="J1591" s="16" t="inlineStr">
        <is>
          <t>Open posting</t>
        </is>
      </c>
      <c r="K1591" s="8" t="inlineStr">
        <is>
          <t>filtered by keyword pre-scan</t>
        </is>
      </c>
      <c r="L1591" s="17" t="inlineStr">
        <is>
          <t>new</t>
        </is>
      </c>
      <c r="M1591" s="18" t="inlineStr"/>
      <c r="N1591" s="7" t="inlineStr">
        <is>
          <t>f5de8c18d22394f32da1250b990012626ef174fe</t>
        </is>
      </c>
      <c r="O1591" s="14" t="n">
        <v>46184</v>
      </c>
      <c r="P1591" s="7" t="inlineStr">
        <is>
          <t>jobspy</t>
        </is>
      </c>
      <c r="Q1591" s="8" t="inlineStr"/>
      <c r="R1591" s="8" t="inlineStr">
        <is>
          <t>junior Graduate Software Developer</t>
        </is>
      </c>
      <c r="S1591" s="19" t="n"/>
      <c r="T1591" s="19" t="n"/>
      <c r="U1591" s="14" t="n">
        <v>46191</v>
      </c>
      <c r="V1591" s="7" t="inlineStr">
        <is>
          <t>v2-cv-accuracy-13b988b18da8ea7d</t>
        </is>
      </c>
    </row>
    <row r="1592" ht="28" customHeight="1">
      <c r="A1592" s="12">
        <f>IF($L1592="applied","Applied",IF($L1592="interview","Interview",IF($L1592="offer","Offer",IF($L1592="rejected","Rejected",IF($L1592="ignore","Ignore",IF($L1592="archive","Archive",IF($L1592="closed","Closed",IF($B1592="","Unscored",IF(AND($B1592&gt;=8,OR($H1592="",$H1592-TODAY()&lt;=14)),"P1 Apply",IF($B1592&gt;=7,"P2 Strong",IF($B1592&gt;=5,"P3 Maybe","P4 Low")))))))))))</f>
        <v/>
      </c>
      <c r="B1592" s="13" t="n">
        <v>0</v>
      </c>
      <c r="C1592" s="12" t="inlineStr">
        <is>
          <t>Unspecified</t>
        </is>
      </c>
      <c r="D1592" s="8" t="inlineStr">
        <is>
          <t>Java Developer - Newcastle</t>
        </is>
      </c>
      <c r="E1592" s="7" t="inlineStr">
        <is>
          <t>Accenture UK &amp; Ireland</t>
        </is>
      </c>
      <c r="F1592" s="8" t="inlineStr">
        <is>
          <t>Newcastle Upon Tyne, England, UK</t>
        </is>
      </c>
      <c r="G1592" s="8" t="n"/>
      <c r="H1592" s="14" t="n"/>
      <c r="I1592" s="15">
        <f>IF($H1592="","",$H1592-TODAY())</f>
        <v/>
      </c>
      <c r="J1592" s="16" t="inlineStr">
        <is>
          <t>Open posting</t>
        </is>
      </c>
      <c r="K1592" s="8" t="inlineStr">
        <is>
          <t>filtered by keyword pre-scan</t>
        </is>
      </c>
      <c r="L1592" s="17" t="inlineStr">
        <is>
          <t>new</t>
        </is>
      </c>
      <c r="M1592" s="18" t="inlineStr"/>
      <c r="N1592" s="7" t="inlineStr">
        <is>
          <t>9067424f7ff8fe7727661b4f0054bec0f646d10e</t>
        </is>
      </c>
      <c r="O1592" s="14" t="n">
        <v>46184</v>
      </c>
      <c r="P1592" s="7" t="inlineStr">
        <is>
          <t>jobspy</t>
        </is>
      </c>
      <c r="Q1592" s="8" t="inlineStr">
        <is>
          <t>rest apis, git</t>
        </is>
      </c>
      <c r="R1592" s="8" t="inlineStr">
        <is>
          <t>graduate Graduate Software Developer</t>
        </is>
      </c>
      <c r="S1592" s="19" t="n"/>
      <c r="T1592" s="19" t="n"/>
      <c r="U1592" s="14" t="n">
        <v>46191</v>
      </c>
      <c r="V1592" s="7" t="inlineStr">
        <is>
          <t>v2-cv-accuracy-13b988b18da8ea7d</t>
        </is>
      </c>
    </row>
    <row r="1593" ht="28" customHeight="1">
      <c r="A1593" s="12">
        <f>IF($L1593="applied","Applied",IF($L1593="interview","Interview",IF($L1593="offer","Offer",IF($L1593="rejected","Rejected",IF($L1593="ignore","Ignore",IF($L1593="archive","Archive",IF($L1593="closed","Closed",IF($B1593="","Unscored",IF(AND($B1593&gt;=8,OR($H1593="",$H1593-TODAY()&lt;=14)),"P1 Apply",IF($B1593&gt;=7,"P2 Strong",IF($B1593&gt;=5,"P3 Maybe","P4 Low")))))))))))</f>
        <v/>
      </c>
      <c r="B1593" s="13" t="n">
        <v>0</v>
      </c>
      <c r="C1593" s="12" t="inlineStr">
        <is>
          <t>Apprentice/Trainee</t>
        </is>
      </c>
      <c r="D1593" s="8" t="inlineStr">
        <is>
          <t>Software Data Science Degree Apprentice - Studentjob.co.uk</t>
        </is>
      </c>
      <c r="E1593" s="7" t="inlineStr">
        <is>
          <t>Jobster</t>
        </is>
      </c>
      <c r="F1593" s="8" t="inlineStr">
        <is>
          <t>Luton, England, UK</t>
        </is>
      </c>
      <c r="G1593" s="8" t="n"/>
      <c r="H1593" s="14" t="n"/>
      <c r="I1593" s="15">
        <f>IF($H1593="","",$H1593-TODAY())</f>
        <v/>
      </c>
      <c r="J1593" s="16" t="inlineStr">
        <is>
          <t>Open posting</t>
        </is>
      </c>
      <c r="K1593" s="8" t="inlineStr">
        <is>
          <t>filtered by keyword pre-scan</t>
        </is>
      </c>
      <c r="L1593" s="17" t="inlineStr">
        <is>
          <t>new</t>
        </is>
      </c>
      <c r="M1593" s="18" t="inlineStr"/>
      <c r="N1593" s="7" t="inlineStr">
        <is>
          <t>27544c88fe5f8086cc0a326210da7461210ed316</t>
        </is>
      </c>
      <c r="O1593" s="14" t="n"/>
      <c r="P1593" s="7" t="inlineStr">
        <is>
          <t>jobspy</t>
        </is>
      </c>
      <c r="Q1593" s="8" t="inlineStr">
        <is>
          <t>git</t>
        </is>
      </c>
      <c r="R1593" s="8" t="inlineStr">
        <is>
          <t>entry level Graduate Software Developer</t>
        </is>
      </c>
      <c r="S1593" s="19" t="n"/>
      <c r="T1593" s="19" t="n"/>
      <c r="U1593" s="14" t="n">
        <v>46191</v>
      </c>
      <c r="V1593" s="7" t="inlineStr">
        <is>
          <t>v2-cv-accuracy-13b988b18da8ea7d</t>
        </is>
      </c>
    </row>
    <row r="1594" ht="28" customHeight="1">
      <c r="A1594" s="12">
        <f>IF($L1594="applied","Applied",IF($L1594="interview","Interview",IF($L1594="offer","Offer",IF($L1594="rejected","Rejected",IF($L1594="ignore","Ignore",IF($L1594="archive","Archive",IF($L1594="closed","Closed",IF($B1594="","Unscored",IF(AND($B1594&gt;=8,OR($H1594="",$H1594-TODAY()&lt;=14)),"P1 Apply",IF($B1594&gt;=7,"P2 Strong",IF($B1594&gt;=5,"P3 Maybe","P4 Low")))))))))))</f>
        <v/>
      </c>
      <c r="B1594" s="13" t="n">
        <v>0</v>
      </c>
      <c r="C1594" s="12" t="inlineStr">
        <is>
          <t>Graduate/Entry</t>
        </is>
      </c>
      <c r="D1594" s="8" t="inlineStr">
        <is>
          <t>Graduate Software Systems Engineer</t>
        </is>
      </c>
      <c r="E1594" s="7" t="inlineStr">
        <is>
          <t>Sensata Technologies</t>
        </is>
      </c>
      <c r="F1594" s="8" t="inlineStr">
        <is>
          <t>Newtownabbey, Northern Ireland, UK</t>
        </is>
      </c>
      <c r="G1594" s="8" t="n"/>
      <c r="H1594" s="14" t="n"/>
      <c r="I1594" s="15">
        <f>IF($H1594="","",$H1594-TODAY())</f>
        <v/>
      </c>
      <c r="J1594" s="16" t="inlineStr">
        <is>
          <t>Open posting</t>
        </is>
      </c>
      <c r="K1594" s="8" t="inlineStr">
        <is>
          <t>filtered by keyword pre-scan</t>
        </is>
      </c>
      <c r="L1594" s="17" t="inlineStr">
        <is>
          <t>new</t>
        </is>
      </c>
      <c r="M1594" s="18" t="inlineStr"/>
      <c r="N1594" s="7" t="inlineStr">
        <is>
          <t>61fc1f8e393f761442232eefe6eb2a4ebe0de0bb</t>
        </is>
      </c>
      <c r="O1594" s="14" t="n">
        <v>46183</v>
      </c>
      <c r="P1594" s="7" t="inlineStr">
        <is>
          <t>jobspy</t>
        </is>
      </c>
      <c r="Q1594" s="8" t="inlineStr">
        <is>
          <t>sql, data analysis</t>
        </is>
      </c>
      <c r="R1594" s="8" t="inlineStr">
        <is>
          <t>junior/graduate Graduate Software Developer</t>
        </is>
      </c>
      <c r="S1594" s="19" t="n"/>
      <c r="T1594" s="19" t="n"/>
      <c r="U1594" s="14" t="n">
        <v>46191</v>
      </c>
      <c r="V1594" s="7" t="inlineStr">
        <is>
          <t>v2-cv-accuracy-13b988b18da8ea7d</t>
        </is>
      </c>
    </row>
    <row r="1595" ht="28" customHeight="1">
      <c r="A1595" s="12">
        <f>IF($L1595="applied","Applied",IF($L1595="interview","Interview",IF($L1595="offer","Offer",IF($L1595="rejected","Rejected",IF($L1595="ignore","Ignore",IF($L1595="archive","Archive",IF($L1595="closed","Closed",IF($B1595="","Unscored",IF(AND($B1595&gt;=8,OR($H1595="",$H1595-TODAY()&lt;=14)),"P1 Apply",IF($B1595&gt;=7,"P2 Strong",IF($B1595&gt;=5,"P3 Maybe","P4 Low")))))))))))</f>
        <v/>
      </c>
      <c r="B1595" s="13" t="n">
        <v>0</v>
      </c>
      <c r="C1595" s="12" t="inlineStr">
        <is>
          <t>Junior</t>
        </is>
      </c>
      <c r="D1595" s="8" t="inlineStr">
        <is>
          <t>Associate Software Developer</t>
        </is>
      </c>
      <c r="E1595" s="7" t="inlineStr">
        <is>
          <t>Solicitors Regulation Authority</t>
        </is>
      </c>
      <c r="F1595" s="8" t="inlineStr">
        <is>
          <t>West Midlands, England, UK</t>
        </is>
      </c>
      <c r="G1595" s="8" t="n"/>
      <c r="H1595" s="14" t="n"/>
      <c r="I1595" s="15">
        <f>IF($H1595="","",$H1595-TODAY())</f>
        <v/>
      </c>
      <c r="J1595" s="16" t="inlineStr">
        <is>
          <t>Open posting</t>
        </is>
      </c>
      <c r="K1595" s="8" t="inlineStr">
        <is>
          <t>filtered by keyword pre-scan</t>
        </is>
      </c>
      <c r="L1595" s="17" t="inlineStr">
        <is>
          <t>new</t>
        </is>
      </c>
      <c r="M1595" s="18" t="inlineStr"/>
      <c r="N1595" s="7" t="inlineStr">
        <is>
          <t>97085a3dc017165bc8700f50c012d384bbc4ffda</t>
        </is>
      </c>
      <c r="O1595" s="14" t="n">
        <v>46183</v>
      </c>
      <c r="P1595" s="7" t="inlineStr">
        <is>
          <t>jobspy</t>
        </is>
      </c>
      <c r="Q1595" s="8" t="inlineStr">
        <is>
          <t>sql, git, software development</t>
        </is>
      </c>
      <c r="R1595" s="8" t="inlineStr">
        <is>
          <t>Graduate Software Developer remote</t>
        </is>
      </c>
      <c r="S1595" s="19" t="n"/>
      <c r="T1595" s="19" t="n"/>
      <c r="U1595" s="14" t="n">
        <v>46191</v>
      </c>
      <c r="V1595" s="7" t="inlineStr">
        <is>
          <t>v2-cv-accuracy-13b988b18da8ea7d</t>
        </is>
      </c>
    </row>
    <row r="1596" ht="28" customHeight="1">
      <c r="A1596" s="12">
        <f>IF($L1596="applied","Applied",IF($L1596="interview","Interview",IF($L1596="offer","Offer",IF($L1596="rejected","Rejected",IF($L1596="ignore","Ignore",IF($L1596="archive","Archive",IF($L1596="closed","Closed",IF($B1596="","Unscored",IF(AND($B1596&gt;=8,OR($H1596="",$H1596-TODAY()&lt;=14)),"P1 Apply",IF($B1596&gt;=7,"P2 Strong",IF($B1596&gt;=5,"P3 Maybe","P4 Low")))))))))))</f>
        <v/>
      </c>
      <c r="B1596" s="13" t="n">
        <v>0</v>
      </c>
      <c r="C1596" s="12" t="inlineStr">
        <is>
          <t>Unspecified</t>
        </is>
      </c>
      <c r="D1596" s="8" t="inlineStr">
        <is>
          <t>Software Engineer</t>
        </is>
      </c>
      <c r="E1596" s="7" t="inlineStr">
        <is>
          <t>MDA Space</t>
        </is>
      </c>
      <c r="F1596" s="8" t="inlineStr">
        <is>
          <t>Manchester, England, UK</t>
        </is>
      </c>
      <c r="G1596" s="8" t="n"/>
      <c r="H1596" s="14" t="n"/>
      <c r="I1596" s="15">
        <f>IF($H1596="","",$H1596-TODAY())</f>
        <v/>
      </c>
      <c r="J1596" s="16" t="inlineStr">
        <is>
          <t>Open posting</t>
        </is>
      </c>
      <c r="K1596" s="8" t="inlineStr">
        <is>
          <t>filtered by keyword pre-scan</t>
        </is>
      </c>
      <c r="L1596" s="17" t="inlineStr">
        <is>
          <t>new</t>
        </is>
      </c>
      <c r="M1596" s="18" t="inlineStr"/>
      <c r="N1596" s="7" t="inlineStr">
        <is>
          <t>10f4cb5a649155f4c65dfd9492da378acd79708c</t>
        </is>
      </c>
      <c r="O1596" s="14" t="n">
        <v>46170</v>
      </c>
      <c r="P1596" s="7" t="inlineStr">
        <is>
          <t>jobspy</t>
        </is>
      </c>
      <c r="Q1596" s="8" t="inlineStr">
        <is>
          <t>python, git</t>
        </is>
      </c>
      <c r="R1596" s="8" t="inlineStr">
        <is>
          <t>Junior Python Developer Sheffield</t>
        </is>
      </c>
      <c r="S1596" s="19" t="n"/>
      <c r="T1596" s="19" t="n"/>
      <c r="U1596" s="14" t="n">
        <v>46191</v>
      </c>
      <c r="V1596" s="7" t="inlineStr">
        <is>
          <t>v2-cv-accuracy-13b988b18da8ea7d</t>
        </is>
      </c>
    </row>
    <row r="1597" ht="28" customHeight="1">
      <c r="A1597" s="12">
        <f>IF($L1597="applied","Applied",IF($L1597="interview","Interview",IF($L1597="offer","Offer",IF($L1597="rejected","Rejected",IF($L1597="ignore","Ignore",IF($L1597="archive","Archive",IF($L1597="closed","Closed",IF($B1597="","Unscored",IF(AND($B1597&gt;=8,OR($H1597="",$H1597-TODAY()&lt;=14)),"P1 Apply",IF($B1597&gt;=7,"P2 Strong",IF($B1597&gt;=5,"P3 Maybe","P4 Low")))))))))))</f>
        <v/>
      </c>
      <c r="B1597" s="13" t="n">
        <v>0</v>
      </c>
      <c r="C1597" s="12" t="inlineStr">
        <is>
          <t>Senior/Lead</t>
        </is>
      </c>
      <c r="D1597" s="8" t="inlineStr">
        <is>
          <t>Senior Kotlin Backend Engineer</t>
        </is>
      </c>
      <c r="E1597" s="7" t="inlineStr">
        <is>
          <t>RedRock Consulting</t>
        </is>
      </c>
      <c r="F1597" s="8" t="inlineStr">
        <is>
          <t>Leeds, England, UK</t>
        </is>
      </c>
      <c r="G1597" s="8" t="n"/>
      <c r="H1597" s="14" t="n"/>
      <c r="I1597" s="15">
        <f>IF($H1597="","",$H1597-TODAY())</f>
        <v/>
      </c>
      <c r="J1597" s="16" t="inlineStr">
        <is>
          <t>Open posting</t>
        </is>
      </c>
      <c r="K1597" s="8" t="inlineStr">
        <is>
          <t>filtered by keyword pre-scan</t>
        </is>
      </c>
      <c r="L1597" s="17" t="inlineStr">
        <is>
          <t>new</t>
        </is>
      </c>
      <c r="M1597" s="18" t="inlineStr"/>
      <c r="N1597" s="7" t="inlineStr">
        <is>
          <t>6402753d0d8fcfdbcca87b90e2d15f1229ee65df</t>
        </is>
      </c>
      <c r="O1597" s="14" t="n"/>
      <c r="P1597" s="7" t="inlineStr">
        <is>
          <t>jobspy</t>
        </is>
      </c>
      <c r="Q1597" s="8" t="inlineStr">
        <is>
          <t>git</t>
        </is>
      </c>
      <c r="R1597" s="8" t="inlineStr">
        <is>
          <t>Junior Python Developer Sheffield</t>
        </is>
      </c>
      <c r="S1597" s="19" t="n"/>
      <c r="T1597" s="19" t="n"/>
      <c r="U1597" s="14" t="n">
        <v>46191</v>
      </c>
      <c r="V1597" s="7" t="inlineStr">
        <is>
          <t>v2-cv-accuracy-13b988b18da8ea7d</t>
        </is>
      </c>
    </row>
    <row r="1598" ht="28" customHeight="1">
      <c r="A1598" s="12">
        <f>IF($L1598="applied","Applied",IF($L1598="interview","Interview",IF($L1598="offer","Offer",IF($L1598="rejected","Rejected",IF($L1598="ignore","Ignore",IF($L1598="archive","Archive",IF($L1598="closed","Closed",IF($B1598="","Unscored",IF(AND($B1598&gt;=8,OR($H1598="",$H1598-TODAY()&lt;=14)),"P1 Apply",IF($B1598&gt;=7,"P2 Strong",IF($B1598&gt;=5,"P3 Maybe","P4 Low")))))))))))</f>
        <v/>
      </c>
      <c r="B1598" s="13" t="n">
        <v>0</v>
      </c>
      <c r="C1598" s="12" t="inlineStr">
        <is>
          <t>Senior/Lead</t>
        </is>
      </c>
      <c r="D1598" s="8" t="inlineStr">
        <is>
          <t>Senior Kotlin Backend Engineer</t>
        </is>
      </c>
      <c r="E1598" s="7" t="inlineStr">
        <is>
          <t>RedRock Consulting</t>
        </is>
      </c>
      <c r="F1598" s="8" t="inlineStr">
        <is>
          <t>London Area, United Kingdom</t>
        </is>
      </c>
      <c r="G1598" s="8" t="n"/>
      <c r="H1598" s="14" t="n"/>
      <c r="I1598" s="15">
        <f>IF($H1598="","",$H1598-TODAY())</f>
        <v/>
      </c>
      <c r="J1598" s="16" t="inlineStr">
        <is>
          <t>Open posting</t>
        </is>
      </c>
      <c r="K1598" s="8" t="inlineStr">
        <is>
          <t>filtered by keyword pre-scan</t>
        </is>
      </c>
      <c r="L1598" s="17" t="inlineStr">
        <is>
          <t>new</t>
        </is>
      </c>
      <c r="M1598" s="18" t="inlineStr"/>
      <c r="N1598" s="7" t="inlineStr">
        <is>
          <t>ffa36192bfe3f25e3b08400a66d20c72c0734c8b</t>
        </is>
      </c>
      <c r="O1598" s="14" t="n"/>
      <c r="P1598" s="7" t="inlineStr">
        <is>
          <t>jobspy</t>
        </is>
      </c>
      <c r="Q1598" s="8" t="inlineStr">
        <is>
          <t>git</t>
        </is>
      </c>
      <c r="R1598" s="8" t="inlineStr">
        <is>
          <t>Junior Python Developer Sheffield</t>
        </is>
      </c>
      <c r="S1598" s="19" t="n"/>
      <c r="T1598" s="19" t="n"/>
      <c r="U1598" s="14" t="n">
        <v>46191</v>
      </c>
      <c r="V1598" s="7" t="inlineStr">
        <is>
          <t>v2-cv-accuracy-13b988b18da8ea7d</t>
        </is>
      </c>
    </row>
    <row r="1599" ht="28" customHeight="1">
      <c r="A1599" s="12">
        <f>IF($L1599="applied","Applied",IF($L1599="interview","Interview",IF($L1599="offer","Offer",IF($L1599="rejected","Rejected",IF($L1599="ignore","Ignore",IF($L1599="archive","Archive",IF($L1599="closed","Closed",IF($B1599="","Unscored",IF(AND($B1599&gt;=8,OR($H1599="",$H1599-TODAY()&lt;=14)),"P1 Apply",IF($B1599&gt;=7,"P2 Strong",IF($B1599&gt;=5,"P3 Maybe","P4 Low")))))))))))</f>
        <v/>
      </c>
      <c r="B1599" s="13" t="n">
        <v>0</v>
      </c>
      <c r="C1599" s="12" t="inlineStr">
        <is>
          <t>Senior/Lead</t>
        </is>
      </c>
      <c r="D1599" s="8" t="inlineStr">
        <is>
          <t>Senior Fullstack Engineer (Ruby)</t>
        </is>
      </c>
      <c r="E1599" s="7" t="inlineStr">
        <is>
          <t>The National College</t>
        </is>
      </c>
      <c r="F1599" s="8" t="inlineStr">
        <is>
          <t>Sheffield, England, UK</t>
        </is>
      </c>
      <c r="G1599" s="8" t="n"/>
      <c r="H1599" s="14" t="n"/>
      <c r="I1599" s="15">
        <f>IF($H1599="","",$H1599-TODAY())</f>
        <v/>
      </c>
      <c r="J1599" s="16" t="inlineStr">
        <is>
          <t>Open posting</t>
        </is>
      </c>
      <c r="K1599" s="8" t="inlineStr">
        <is>
          <t>filtered by keyword pre-scan</t>
        </is>
      </c>
      <c r="L1599" s="17" t="inlineStr">
        <is>
          <t>new</t>
        </is>
      </c>
      <c r="M1599" s="18" t="inlineStr"/>
      <c r="N1599" s="7" t="inlineStr">
        <is>
          <t>041e4d7573f48e7de8150b8633f6b22ba653dfdf</t>
        </is>
      </c>
      <c r="O1599" s="14" t="n"/>
      <c r="P1599" s="7" t="inlineStr">
        <is>
          <t>jobspy</t>
        </is>
      </c>
      <c r="Q1599" s="8" t="inlineStr">
        <is>
          <t>sql, javascript, git, software development</t>
        </is>
      </c>
      <c r="R1599" s="8" t="inlineStr">
        <is>
          <t>Junior Python Developer Sheffield</t>
        </is>
      </c>
      <c r="S1599" s="19" t="n"/>
      <c r="T1599" s="19" t="n"/>
      <c r="U1599" s="14" t="n">
        <v>46191</v>
      </c>
      <c r="V1599" s="7" t="inlineStr">
        <is>
          <t>v2-cv-accuracy-13b988b18da8ea7d</t>
        </is>
      </c>
    </row>
    <row r="1600" ht="28" customHeight="1">
      <c r="A1600" s="12">
        <f>IF($L1600="applied","Applied",IF($L1600="interview","Interview",IF($L1600="offer","Offer",IF($L1600="rejected","Rejected",IF($L1600="ignore","Ignore",IF($L1600="archive","Archive",IF($L1600="closed","Closed",IF($B1600="","Unscored",IF(AND($B1600&gt;=8,OR($H1600="",$H1600-TODAY()&lt;=14)),"P1 Apply",IF($B1600&gt;=7,"P2 Strong",IF($B1600&gt;=5,"P3 Maybe","P4 Low")))))))))))</f>
        <v/>
      </c>
      <c r="B1600" s="13" t="n">
        <v>0</v>
      </c>
      <c r="C1600" s="12" t="inlineStr">
        <is>
          <t>Senior/Lead</t>
        </is>
      </c>
      <c r="D1600" s="8" t="inlineStr">
        <is>
          <t>Embedded Specialist Engineer (M/F/D)</t>
        </is>
      </c>
      <c r="E1600" s="7" t="inlineStr">
        <is>
          <t>TLD</t>
        </is>
      </c>
      <c r="F1600" s="8" t="inlineStr">
        <is>
          <t>Kempston, ENG, GB</t>
        </is>
      </c>
      <c r="G1600" s="8" t="n"/>
      <c r="H1600" s="14" t="n"/>
      <c r="I1600" s="15">
        <f>IF($H1600="","",$H1600-TODAY())</f>
        <v/>
      </c>
      <c r="J1600" s="16" t="inlineStr">
        <is>
          <t>Open posting</t>
        </is>
      </c>
      <c r="K1600" s="8" t="inlineStr">
        <is>
          <t>filtered by keyword pre-scan</t>
        </is>
      </c>
      <c r="L1600" s="17" t="inlineStr">
        <is>
          <t>new</t>
        </is>
      </c>
      <c r="M1600" s="18" t="inlineStr"/>
      <c r="N1600" s="7" t="inlineStr">
        <is>
          <t>f7956b60dd306e7195026494b6c62865b00f8dba</t>
        </is>
      </c>
      <c r="O1600" s="14" t="n">
        <v>46191</v>
      </c>
      <c r="P1600" s="7" t="inlineStr">
        <is>
          <t>jobspy</t>
        </is>
      </c>
      <c r="Q1600" s="8" t="inlineStr">
        <is>
          <t>git</t>
        </is>
      </c>
      <c r="R1600" s="8" t="inlineStr">
        <is>
          <t>Full Stack Developer</t>
        </is>
      </c>
      <c r="S1600" s="19" t="n"/>
      <c r="T1600" s="19" t="n"/>
      <c r="U1600" s="14" t="n">
        <v>46191</v>
      </c>
      <c r="V1600" s="7" t="inlineStr">
        <is>
          <t>v2-cv-accuracy-13b988b18da8ea7d</t>
        </is>
      </c>
    </row>
    <row r="1601" ht="28" customHeight="1">
      <c r="A1601" s="12">
        <f>IF($L1601="applied","Applied",IF($L1601="interview","Interview",IF($L1601="offer","Offer",IF($L1601="rejected","Rejected",IF($L1601="ignore","Ignore",IF($L1601="archive","Archive",IF($L1601="closed","Closed",IF($B1601="","Unscored",IF(AND($B1601&gt;=8,OR($H1601="",$H1601-TODAY()&lt;=14)),"P1 Apply",IF($B1601&gt;=7,"P2 Strong",IF($B1601&gt;=5,"P3 Maybe","P4 Low")))))))))))</f>
        <v/>
      </c>
      <c r="B1601" s="13" t="n">
        <v>0</v>
      </c>
      <c r="C1601" s="12" t="inlineStr">
        <is>
          <t>Senior/Lead</t>
        </is>
      </c>
      <c r="D1601" s="8" t="inlineStr">
        <is>
          <t>Senior Full Stack Engineer: Improbable</t>
        </is>
      </c>
      <c r="E1601" s="7" t="inlineStr">
        <is>
          <t>Improbable</t>
        </is>
      </c>
      <c r="F1601" s="8" t="inlineStr">
        <is>
          <t>London, ENG, GB</t>
        </is>
      </c>
      <c r="G1601" s="8" t="n"/>
      <c r="H1601" s="14" t="n"/>
      <c r="I1601" s="15">
        <f>IF($H1601="","",$H1601-TODAY())</f>
        <v/>
      </c>
      <c r="J1601" s="16" t="inlineStr">
        <is>
          <t>Open posting</t>
        </is>
      </c>
      <c r="K1601" s="8" t="inlineStr">
        <is>
          <t>filtered by keyword pre-scan</t>
        </is>
      </c>
      <c r="L1601" s="17" t="inlineStr">
        <is>
          <t>new</t>
        </is>
      </c>
      <c r="M1601" s="18" t="inlineStr"/>
      <c r="N1601" s="7" t="inlineStr">
        <is>
          <t>96b6d2ec829a4120602f10e8adce7b089f4081f7</t>
        </is>
      </c>
      <c r="O1601" s="14" t="n">
        <v>46191</v>
      </c>
      <c r="P1601" s="7" t="inlineStr">
        <is>
          <t>jobspy</t>
        </is>
      </c>
      <c r="Q1601" s="8" t="inlineStr"/>
      <c r="R1601" s="8" t="inlineStr">
        <is>
          <t>Full Stack Developer</t>
        </is>
      </c>
      <c r="S1601" s="19" t="n"/>
      <c r="T1601" s="19" t="n"/>
      <c r="U1601" s="14" t="n">
        <v>46191</v>
      </c>
      <c r="V1601" s="7" t="inlineStr">
        <is>
          <t>v2-cv-accuracy-13b988b18da8ea7d</t>
        </is>
      </c>
    </row>
    <row r="1602" ht="28" customHeight="1">
      <c r="A1602" s="12">
        <f>IF($L1602="applied","Applied",IF($L1602="interview","Interview",IF($L1602="offer","Offer",IF($L1602="rejected","Rejected",IF($L1602="ignore","Ignore",IF($L1602="archive","Archive",IF($L1602="closed","Closed",IF($B1602="","Unscored",IF(AND($B1602&gt;=8,OR($H1602="",$H1602-TODAY()&lt;=14)),"P1 Apply",IF($B1602&gt;=7,"P2 Strong",IF($B1602&gt;=5,"P3 Maybe","P4 Low")))))))))))</f>
        <v/>
      </c>
      <c r="B1602" s="13" t="n">
        <v>0</v>
      </c>
      <c r="C1602" s="12" t="inlineStr">
        <is>
          <t>Senior/Lead</t>
        </is>
      </c>
      <c r="D1602" s="8" t="inlineStr">
        <is>
          <t>Senior Developer</t>
        </is>
      </c>
      <c r="E1602" s="7" t="inlineStr">
        <is>
          <t>Home Office</t>
        </is>
      </c>
      <c r="F1602" s="8" t="inlineStr">
        <is>
          <t>Sheffield, ENG, GB</t>
        </is>
      </c>
      <c r="G1602" s="8" t="n"/>
      <c r="H1602" s="14" t="n"/>
      <c r="I1602" s="15">
        <f>IF($H1602="","",$H1602-TODAY())</f>
        <v/>
      </c>
      <c r="J1602" s="16" t="inlineStr">
        <is>
          <t>Open posting</t>
        </is>
      </c>
      <c r="K1602" s="8" t="inlineStr">
        <is>
          <t>filtered by keyword pre-scan</t>
        </is>
      </c>
      <c r="L1602" s="17" t="inlineStr">
        <is>
          <t>new</t>
        </is>
      </c>
      <c r="M1602" s="18" t="inlineStr"/>
      <c r="N1602" s="7" t="inlineStr">
        <is>
          <t>2ab213d7d57ef3db41bd1388ff9621d816f36a5a</t>
        </is>
      </c>
      <c r="O1602" s="14" t="n">
        <v>46191</v>
      </c>
      <c r="P1602" s="7" t="inlineStr">
        <is>
          <t>jobspy</t>
        </is>
      </c>
      <c r="Q1602" s="8" t="inlineStr">
        <is>
          <t>python, sql, javascript, git</t>
        </is>
      </c>
      <c r="R1602" s="8" t="inlineStr">
        <is>
          <t>Full Stack Developer</t>
        </is>
      </c>
      <c r="S1602" s="19" t="n"/>
      <c r="T1602" s="19" t="n"/>
      <c r="U1602" s="14" t="n">
        <v>46191</v>
      </c>
      <c r="V1602" s="7" t="inlineStr">
        <is>
          <t>v2-cv-accuracy-13b988b18da8ea7d</t>
        </is>
      </c>
    </row>
    <row r="1603" ht="28" customHeight="1">
      <c r="A1603" s="12">
        <f>IF($L1603="applied","Applied",IF($L1603="interview","Interview",IF($L1603="offer","Offer",IF($L1603="rejected","Rejected",IF($L1603="ignore","Ignore",IF($L1603="archive","Archive",IF($L1603="closed","Closed",IF($B1603="","Unscored",IF(AND($B1603&gt;=8,OR($H1603="",$H1603-TODAY()&lt;=14)),"P1 Apply",IF($B1603&gt;=7,"P2 Strong",IF($B1603&gt;=5,"P3 Maybe","P4 Low")))))))))))</f>
        <v/>
      </c>
      <c r="B1603" s="13" t="n">
        <v>0</v>
      </c>
      <c r="C1603" s="12" t="inlineStr">
        <is>
          <t>Senior/Lead</t>
        </is>
      </c>
      <c r="D1603" s="8" t="inlineStr">
        <is>
          <t>IT Group Platform and DevOps Lead</t>
        </is>
      </c>
      <c r="E1603" s="7" t="inlineStr">
        <is>
          <t>Bravissimo Ltd</t>
        </is>
      </c>
      <c r="F1603" s="8" t="inlineStr">
        <is>
          <t>Warwick, ENG, GB</t>
        </is>
      </c>
      <c r="G1603" s="8" t="n"/>
      <c r="H1603" s="14" t="n"/>
      <c r="I1603" s="15">
        <f>IF($H1603="","",$H1603-TODAY())</f>
        <v/>
      </c>
      <c r="J1603" s="16" t="inlineStr">
        <is>
          <t>Open posting</t>
        </is>
      </c>
      <c r="K1603" s="8" t="inlineStr">
        <is>
          <t>filtered by keyword pre-scan</t>
        </is>
      </c>
      <c r="L1603" s="17" t="inlineStr">
        <is>
          <t>new</t>
        </is>
      </c>
      <c r="M1603" s="18" t="inlineStr"/>
      <c r="N1603" s="7" t="inlineStr">
        <is>
          <t>fd87882430477a19a243e1c73d8a1e19fc598f95</t>
        </is>
      </c>
      <c r="O1603" s="14" t="n">
        <v>46191</v>
      </c>
      <c r="P1603" s="7" t="inlineStr">
        <is>
          <t>jobspy</t>
        </is>
      </c>
      <c r="Q1603" s="8" t="inlineStr">
        <is>
          <t>sql, javascript, git</t>
        </is>
      </c>
      <c r="R1603" s="8" t="inlineStr">
        <is>
          <t>Full Stack Developer</t>
        </is>
      </c>
      <c r="S1603" s="19" t="n"/>
      <c r="T1603" s="19" t="n"/>
      <c r="U1603" s="14" t="n">
        <v>46191</v>
      </c>
      <c r="V1603" s="7" t="inlineStr">
        <is>
          <t>v2-cv-accuracy-13b988b18da8ea7d</t>
        </is>
      </c>
    </row>
    <row r="1604" ht="28" customHeight="1">
      <c r="A1604" s="12">
        <f>IF($L1604="applied","Applied",IF($L1604="interview","Interview",IF($L1604="offer","Offer",IF($L1604="rejected","Rejected",IF($L1604="ignore","Ignore",IF($L1604="archive","Archive",IF($L1604="closed","Closed",IF($B1604="","Unscored",IF(AND($B1604&gt;=8,OR($H1604="",$H1604-TODAY()&lt;=14)),"P1 Apply",IF($B1604&gt;=7,"P2 Strong",IF($B1604&gt;=5,"P3 Maybe","P4 Low")))))))))))</f>
        <v/>
      </c>
      <c r="B1604" s="13" t="n">
        <v>0</v>
      </c>
      <c r="C1604" s="12" t="inlineStr">
        <is>
          <t>Mid-level</t>
        </is>
      </c>
      <c r="D1604" s="8" t="inlineStr">
        <is>
          <t>Full Stack Developer | Python &amp; JavaScript</t>
        </is>
      </c>
      <c r="E1604" s="7" t="inlineStr">
        <is>
          <t>RedRock Resourcing</t>
        </is>
      </c>
      <c r="F1604" s="8" t="inlineStr">
        <is>
          <t>Greater Bristol Area, United Kingdom</t>
        </is>
      </c>
      <c r="G1604" s="8" t="n"/>
      <c r="H1604" s="14" t="n"/>
      <c r="I1604" s="15">
        <f>IF($H1604="","",$H1604-TODAY())</f>
        <v/>
      </c>
      <c r="J1604" s="16" t="inlineStr">
        <is>
          <t>Open posting</t>
        </is>
      </c>
      <c r="K1604" s="8" t="inlineStr">
        <is>
          <t>filtered by keyword pre-scan</t>
        </is>
      </c>
      <c r="L1604" s="17" t="inlineStr">
        <is>
          <t>new</t>
        </is>
      </c>
      <c r="M1604" s="18" t="inlineStr"/>
      <c r="N1604" s="7" t="inlineStr">
        <is>
          <t>01bdb2daed8969de7c0369bd265f27d8aa41729f</t>
        </is>
      </c>
      <c r="O1604" s="14" t="n">
        <v>46184</v>
      </c>
      <c r="P1604" s="7" t="inlineStr">
        <is>
          <t>jobspy</t>
        </is>
      </c>
      <c r="Q1604" s="8" t="inlineStr">
        <is>
          <t>python, sql, javascript</t>
        </is>
      </c>
      <c r="R1604" s="8" t="inlineStr">
        <is>
          <t>graduate Full Stack Developer</t>
        </is>
      </c>
      <c r="S1604" s="19" t="n"/>
      <c r="T1604" s="19" t="n"/>
      <c r="U1604" s="14" t="n">
        <v>46191</v>
      </c>
      <c r="V1604" s="7" t="inlineStr">
        <is>
          <t>v2-cv-accuracy-13b988b18da8ea7d</t>
        </is>
      </c>
    </row>
    <row r="1605" ht="28" customHeight="1">
      <c r="A1605" s="12">
        <f>IF($L1605="applied","Applied",IF($L1605="interview","Interview",IF($L1605="offer","Offer",IF($L1605="rejected","Rejected",IF($L1605="ignore","Ignore",IF($L1605="archive","Archive",IF($L1605="closed","Closed",IF($B1605="","Unscored",IF(AND($B1605&gt;=8,OR($H1605="",$H1605-TODAY()&lt;=14)),"P1 Apply",IF($B1605&gt;=7,"P2 Strong",IF($B1605&gt;=5,"P3 Maybe","P4 Low")))))))))))</f>
        <v/>
      </c>
      <c r="B1605" s="13" t="n">
        <v>0</v>
      </c>
      <c r="C1605" s="12" t="inlineStr">
        <is>
          <t>Junior</t>
        </is>
      </c>
      <c r="D1605" s="8" t="inlineStr">
        <is>
          <t>Associate Software Developer</t>
        </is>
      </c>
      <c r="E1605" s="7" t="inlineStr">
        <is>
          <t>SOCOTEC UK &amp; Ireland</t>
        </is>
      </c>
      <c r="F1605" s="8" t="inlineStr">
        <is>
          <t>Burton Upon Trent, England, UK</t>
        </is>
      </c>
      <c r="G1605" s="8" t="n"/>
      <c r="H1605" s="14" t="n"/>
      <c r="I1605" s="15">
        <f>IF($H1605="","",$H1605-TODAY())</f>
        <v/>
      </c>
      <c r="J1605" s="16" t="inlineStr">
        <is>
          <t>Open posting</t>
        </is>
      </c>
      <c r="K1605" s="8" t="inlineStr">
        <is>
          <t>filtered by keyword pre-scan</t>
        </is>
      </c>
      <c r="L1605" s="17" t="inlineStr">
        <is>
          <t>new</t>
        </is>
      </c>
      <c r="M1605" s="18" t="inlineStr"/>
      <c r="N1605" s="7" t="inlineStr">
        <is>
          <t>f6109d6f233a59bed194f9ef95d3b6d0d7453e57</t>
        </is>
      </c>
      <c r="O1605" s="14" t="n">
        <v>46170</v>
      </c>
      <c r="P1605" s="7" t="inlineStr">
        <is>
          <t>jobspy</t>
        </is>
      </c>
      <c r="Q1605" s="8" t="inlineStr">
        <is>
          <t>sql</t>
        </is>
      </c>
      <c r="R1605" s="8" t="inlineStr">
        <is>
          <t>graduate Full Stack Developer</t>
        </is>
      </c>
      <c r="S1605" s="19" t="n"/>
      <c r="T1605" s="19" t="n"/>
      <c r="U1605" s="14" t="n">
        <v>46191</v>
      </c>
      <c r="V1605" s="7" t="inlineStr">
        <is>
          <t>v2-cv-accuracy-13b988b18da8ea7d</t>
        </is>
      </c>
    </row>
    <row r="1606" ht="28" customHeight="1">
      <c r="A1606" s="12">
        <f>IF($L1606="applied","Applied",IF($L1606="interview","Interview",IF($L1606="offer","Offer",IF($L1606="rejected","Rejected",IF($L1606="ignore","Ignore",IF($L1606="archive","Archive",IF($L1606="closed","Closed",IF($B1606="","Unscored",IF(AND($B1606&gt;=8,OR($H1606="",$H1606-TODAY()&lt;=14)),"P1 Apply",IF($B1606&gt;=7,"P2 Strong",IF($B1606&gt;=5,"P3 Maybe","P4 Low")))))))))))</f>
        <v/>
      </c>
      <c r="B1606" s="13" t="n">
        <v>0</v>
      </c>
      <c r="C1606" s="12" t="inlineStr">
        <is>
          <t>Senior/Lead</t>
        </is>
      </c>
      <c r="D1606" s="8" t="inlineStr">
        <is>
          <t>Senior Engineering Program Coordinator</t>
        </is>
      </c>
      <c r="E1606" s="7" t="inlineStr">
        <is>
          <t>Graphcore</t>
        </is>
      </c>
      <c r="F1606" s="8" t="inlineStr">
        <is>
          <t>Austin, Texas, United States</t>
        </is>
      </c>
      <c r="G1606" s="8" t="n"/>
      <c r="H1606" s="14" t="n"/>
      <c r="I1606" s="15">
        <f>IF($H1606="","",$H1606-TODAY())</f>
        <v/>
      </c>
      <c r="J1606" s="16" t="inlineStr">
        <is>
          <t>Open posting</t>
        </is>
      </c>
      <c r="K1606" s="8" t="inlineStr">
        <is>
          <t>filtered by keyword pre-scan</t>
        </is>
      </c>
      <c r="L1606" s="17" t="inlineStr">
        <is>
          <t>new</t>
        </is>
      </c>
      <c r="M1606" s="18" t="inlineStr"/>
      <c r="N1606" s="7" t="inlineStr">
        <is>
          <t>974f1dda4f97aacecaf95957a87b3172d41f9e3a</t>
        </is>
      </c>
      <c r="O1606" s="14" t="n">
        <v>46191</v>
      </c>
      <c r="P1606" s="7" t="inlineStr">
        <is>
          <t>greenhouse:graphcore</t>
        </is>
      </c>
      <c r="Q1606" s="8" t="inlineStr"/>
      <c r="R1606" s="8" t="n"/>
      <c r="S1606" s="19" t="n"/>
      <c r="T1606" s="19" t="n"/>
      <c r="U1606" s="14" t="n">
        <v>46191</v>
      </c>
      <c r="V1606" s="7" t="inlineStr">
        <is>
          <t>v2-cv-accuracy-13b988b18da8ea7d</t>
        </is>
      </c>
    </row>
    <row r="1607" ht="28" customHeight="1">
      <c r="A1607" s="12">
        <f>IF($L1607="applied","Applied",IF($L1607="interview","Interview",IF($L1607="offer","Offer",IF($L1607="rejected","Rejected",IF($L1607="ignore","Ignore",IF($L1607="archive","Archive",IF($L1607="closed","Closed",IF($B1607="","Unscored",IF(AND($B1607&gt;=8,OR($H1607="",$H1607-TODAY()&lt;=14)),"P1 Apply",IF($B1607&gt;=7,"P2 Strong",IF($B1607&gt;=5,"P3 Maybe","P4 Low")))))))))))</f>
        <v/>
      </c>
      <c r="B1607" s="13" t="n">
        <v>0</v>
      </c>
      <c r="C1607" s="12" t="inlineStr">
        <is>
          <t>Senior/Lead</t>
        </is>
      </c>
      <c r="D1607" s="8" t="inlineStr">
        <is>
          <t>Lead React Engineer</t>
        </is>
      </c>
      <c r="E1607" s="7" t="inlineStr">
        <is>
          <t>RED Global</t>
        </is>
      </c>
      <c r="F1607" s="8" t="inlineStr">
        <is>
          <t>Sheffield, England, UK</t>
        </is>
      </c>
      <c r="G1607" s="8" t="n"/>
      <c r="H1607" s="14" t="n"/>
      <c r="I1607" s="15">
        <f>IF($H1607="","",$H1607-TODAY())</f>
        <v/>
      </c>
      <c r="J1607" s="16" t="inlineStr">
        <is>
          <t>Open posting</t>
        </is>
      </c>
      <c r="K1607" s="8" t="inlineStr">
        <is>
          <t>filtered by keyword pre-scan</t>
        </is>
      </c>
      <c r="L1607" s="17" t="inlineStr">
        <is>
          <t>new</t>
        </is>
      </c>
      <c r="M1607" s="18" t="inlineStr"/>
      <c r="N1607" s="7" t="inlineStr">
        <is>
          <t>2c95fe02e3a3db7e686b0ae2ba03a7a2c7dc85b7</t>
        </is>
      </c>
      <c r="O1607" s="14" t="n">
        <v>46182</v>
      </c>
      <c r="P1607" s="7" t="inlineStr">
        <is>
          <t>jobspy</t>
        </is>
      </c>
      <c r="Q1607" s="8" t="inlineStr">
        <is>
          <t>javascript</t>
        </is>
      </c>
      <c r="R1607" s="8" t="inlineStr">
        <is>
          <t>Graduate Software Developer Sheffield</t>
        </is>
      </c>
      <c r="S1607" s="19" t="n"/>
      <c r="T1607" s="19" t="n"/>
      <c r="U1607" s="14" t="n">
        <v>46191</v>
      </c>
      <c r="V1607" s="7" t="inlineStr">
        <is>
          <t>v2-cv-accuracy-13b988b18da8ea7d</t>
        </is>
      </c>
    </row>
    <row r="1608" ht="28" customHeight="1">
      <c r="A1608" s="12">
        <f>IF($L1608="applied","Applied",IF($L1608="interview","Interview",IF($L1608="offer","Offer",IF($L1608="rejected","Rejected",IF($L1608="ignore","Ignore",IF($L1608="archive","Archive",IF($L1608="closed","Closed",IF($B1608="","Unscored",IF(AND($B1608&gt;=8,OR($H1608="",$H1608-TODAY()&lt;=14)),"P1 Apply",IF($B1608&gt;=7,"P2 Strong",IF($B1608&gt;=5,"P3 Maybe","P4 Low")))))))))))</f>
        <v/>
      </c>
      <c r="B1608" s="13" t="n">
        <v>0</v>
      </c>
      <c r="C1608" s="12" t="inlineStr">
        <is>
          <t>Senior/Lead</t>
        </is>
      </c>
      <c r="D1608" s="8" t="inlineStr">
        <is>
          <t>Senior Frontend Developer</t>
        </is>
      </c>
      <c r="E1608" s="7" t="inlineStr">
        <is>
          <t>Acorn Group</t>
        </is>
      </c>
      <c r="F1608" s="8" t="inlineStr">
        <is>
          <t>Liverpool, England, UK</t>
        </is>
      </c>
      <c r="G1608" s="8" t="n"/>
      <c r="H1608" s="14" t="n"/>
      <c r="I1608" s="15">
        <f>IF($H1608="","",$H1608-TODAY())</f>
        <v/>
      </c>
      <c r="J1608" s="16" t="inlineStr">
        <is>
          <t>Open posting</t>
        </is>
      </c>
      <c r="K1608" s="8" t="inlineStr">
        <is>
          <t>filtered by keyword pre-scan</t>
        </is>
      </c>
      <c r="L1608" s="17" t="inlineStr">
        <is>
          <t>new</t>
        </is>
      </c>
      <c r="M1608" s="18" t="inlineStr"/>
      <c r="N1608" s="7" t="inlineStr">
        <is>
          <t>a8c84f0c0fe6176c1e9142fe948eb8fc2f673e05</t>
        </is>
      </c>
      <c r="O1608" s="14" t="n">
        <v>46187</v>
      </c>
      <c r="P1608" s="7" t="inlineStr">
        <is>
          <t>jobspy</t>
        </is>
      </c>
      <c r="Q1608" s="8" t="inlineStr">
        <is>
          <t>git</t>
        </is>
      </c>
      <c r="R1608" s="8" t="inlineStr">
        <is>
          <t>graduate Junior Python Developer</t>
        </is>
      </c>
      <c r="S1608" s="19" t="n"/>
      <c r="T1608" s="19" t="n"/>
      <c r="U1608" s="14" t="n">
        <v>46191</v>
      </c>
      <c r="V1608" s="7" t="inlineStr">
        <is>
          <t>v2-cv-accuracy-13b988b18da8ea7d</t>
        </is>
      </c>
    </row>
    <row r="1609" ht="28" customHeight="1">
      <c r="A1609" s="12">
        <f>IF($L1609="applied","Applied",IF($L1609="interview","Interview",IF($L1609="offer","Offer",IF($L1609="rejected","Rejected",IF($L1609="ignore","Ignore",IF($L1609="archive","Archive",IF($L1609="closed","Closed",IF($B1609="","Unscored",IF(AND($B1609&gt;=8,OR($H1609="",$H1609-TODAY()&lt;=14)),"P1 Apply",IF($B1609&gt;=7,"P2 Strong",IF($B1609&gt;=5,"P3 Maybe","P4 Low")))))))))))</f>
        <v/>
      </c>
      <c r="B1609" s="13" t="n">
        <v>0</v>
      </c>
      <c r="C1609" s="12" t="inlineStr">
        <is>
          <t>Mid-level</t>
        </is>
      </c>
      <c r="D1609" s="8" t="inlineStr">
        <is>
          <t>Software Engineer</t>
        </is>
      </c>
      <c r="E1609" s="7" t="inlineStr">
        <is>
          <t>Zego</t>
        </is>
      </c>
      <c r="F1609" s="8" t="inlineStr">
        <is>
          <t>London Area, United Kingdom</t>
        </is>
      </c>
      <c r="G1609" s="8" t="n"/>
      <c r="H1609" s="14" t="n"/>
      <c r="I1609" s="15">
        <f>IF($H1609="","",$H1609-TODAY())</f>
        <v/>
      </c>
      <c r="J1609" s="16" t="inlineStr">
        <is>
          <t>Open posting</t>
        </is>
      </c>
      <c r="K1609" s="8" t="inlineStr">
        <is>
          <t>filtered by keyword pre-scan</t>
        </is>
      </c>
      <c r="L1609" s="17" t="inlineStr">
        <is>
          <t>new</t>
        </is>
      </c>
      <c r="M1609" s="18" t="inlineStr"/>
      <c r="N1609" s="7" t="inlineStr">
        <is>
          <t>7137d816b43a635088915be9904d526c3059436f</t>
        </is>
      </c>
      <c r="O1609" s="14" t="n">
        <v>46183</v>
      </c>
      <c r="P1609" s="7" t="inlineStr">
        <is>
          <t>jobspy</t>
        </is>
      </c>
      <c r="Q1609" s="8" t="inlineStr">
        <is>
          <t>python</t>
        </is>
      </c>
      <c r="R1609" s="8" t="inlineStr">
        <is>
          <t>junior/graduate Junior Python Developer</t>
        </is>
      </c>
      <c r="S1609" s="19" t="n"/>
      <c r="T1609" s="19" t="n"/>
      <c r="U1609" s="14" t="n">
        <v>46191</v>
      </c>
      <c r="V1609" s="7" t="inlineStr">
        <is>
          <t>v2-cv-accuracy-13b988b18da8ea7d</t>
        </is>
      </c>
    </row>
    <row r="1610" ht="28" customHeight="1">
      <c r="A1610" s="12">
        <f>IF($L1610="applied","Applied",IF($L1610="interview","Interview",IF($L1610="offer","Offer",IF($L1610="rejected","Rejected",IF($L1610="ignore","Ignore",IF($L1610="archive","Archive",IF($L1610="closed","Closed",IF($B1610="","Unscored",IF(AND($B1610&gt;=8,OR($H1610="",$H1610-TODAY()&lt;=14)),"P1 Apply",IF($B1610&gt;=7,"P2 Strong",IF($B1610&gt;=5,"P3 Maybe","P4 Low")))))))))))</f>
        <v/>
      </c>
      <c r="B1610" s="13" t="n">
        <v>0</v>
      </c>
      <c r="C1610" s="12" t="inlineStr">
        <is>
          <t>Unspecified</t>
        </is>
      </c>
      <c r="D1610" s="8" t="inlineStr">
        <is>
          <t>JavaScript Developer | $55/hr Remote</t>
        </is>
      </c>
      <c r="E1610" s="7" t="inlineStr">
        <is>
          <t>Crossing Hurdles</t>
        </is>
      </c>
      <c r="F1610" s="8" t="inlineStr"/>
      <c r="G1610" s="8" t="n"/>
      <c r="H1610" s="14" t="n"/>
      <c r="I1610" s="15">
        <f>IF($H1610="","",$H1610-TODAY())</f>
        <v/>
      </c>
      <c r="J1610" s="16" t="inlineStr">
        <is>
          <t>Open posting</t>
        </is>
      </c>
      <c r="K1610" s="8" t="inlineStr">
        <is>
          <t>filtered by keyword pre-scan</t>
        </is>
      </c>
      <c r="L1610" s="17" t="inlineStr">
        <is>
          <t>new</t>
        </is>
      </c>
      <c r="M1610" s="18" t="inlineStr"/>
      <c r="N1610" s="7" t="inlineStr">
        <is>
          <t>ca5d952506d93ed1a928c12380f58fb90448bb57</t>
        </is>
      </c>
      <c r="O1610" s="14" t="n">
        <v>46178</v>
      </c>
      <c r="P1610" s="7" t="inlineStr">
        <is>
          <t>jobspy</t>
        </is>
      </c>
      <c r="Q1610" s="8" t="inlineStr">
        <is>
          <t>javascript</t>
        </is>
      </c>
      <c r="R1610" s="8" t="inlineStr">
        <is>
          <t>Full Stack Developer</t>
        </is>
      </c>
      <c r="S1610" s="19" t="n"/>
      <c r="T1610" s="19" t="n"/>
      <c r="U1610" s="14" t="n">
        <v>46191</v>
      </c>
      <c r="V1610" s="7" t="inlineStr">
        <is>
          <t>v2-cv-accuracy-13b988b18da8ea7d</t>
        </is>
      </c>
    </row>
    <row r="1611" ht="28" customHeight="1">
      <c r="A1611" s="12">
        <f>IF($L1611="applied","Applied",IF($L1611="interview","Interview",IF($L1611="offer","Offer",IF($L1611="rejected","Rejected",IF($L1611="ignore","Ignore",IF($L1611="archive","Archive",IF($L1611="closed","Closed",IF($B1611="","Unscored",IF(AND($B1611&gt;=8,OR($H1611="",$H1611-TODAY()&lt;=14)),"P1 Apply",IF($B1611&gt;=7,"P2 Strong",IF($B1611&gt;=5,"P3 Maybe","P4 Low")))))))))))</f>
        <v/>
      </c>
      <c r="B1611" s="13" t="n">
        <v>0</v>
      </c>
      <c r="C1611" s="12" t="inlineStr">
        <is>
          <t>Unspecified</t>
        </is>
      </c>
      <c r="D1611" s="8" t="inlineStr">
        <is>
          <t>VodafoneThree - Full Stack Developer</t>
        </is>
      </c>
      <c r="E1611" s="7" t="inlineStr">
        <is>
          <t>VodafoneThree</t>
        </is>
      </c>
      <c r="F1611" s="8" t="inlineStr">
        <is>
          <t>Newbury, England, UK</t>
        </is>
      </c>
      <c r="G1611" s="8" t="n"/>
      <c r="H1611" s="14" t="n"/>
      <c r="I1611" s="15">
        <f>IF($H1611="","",$H1611-TODAY())</f>
        <v/>
      </c>
      <c r="J1611" s="16" t="inlineStr">
        <is>
          <t>Open posting</t>
        </is>
      </c>
      <c r="K1611" s="8" t="inlineStr">
        <is>
          <t>filtered by keyword pre-scan</t>
        </is>
      </c>
      <c r="L1611" s="17" t="inlineStr">
        <is>
          <t>new</t>
        </is>
      </c>
      <c r="M1611" s="18" t="inlineStr"/>
      <c r="N1611" s="7" t="inlineStr">
        <is>
          <t>ec5f1f46651fe3b445f9a6c2775180d029d8f134</t>
        </is>
      </c>
      <c r="O1611" s="14" t="n">
        <v>46189</v>
      </c>
      <c r="P1611" s="7" t="inlineStr">
        <is>
          <t>jobspy</t>
        </is>
      </c>
      <c r="Q1611" s="8" t="inlineStr">
        <is>
          <t>python, sql, git</t>
        </is>
      </c>
      <c r="R1611" s="8" t="inlineStr">
        <is>
          <t>graduate Full Stack Developer</t>
        </is>
      </c>
      <c r="S1611" s="19" t="n"/>
      <c r="T1611" s="19" t="n"/>
      <c r="U1611" s="14" t="n">
        <v>46191</v>
      </c>
      <c r="V1611" s="7" t="inlineStr">
        <is>
          <t>v2-cv-accuracy-13b988b18da8ea7d</t>
        </is>
      </c>
    </row>
    <row r="1612" ht="28" customHeight="1">
      <c r="A1612" s="12">
        <f>IF($L1612="applied","Applied",IF($L1612="interview","Interview",IF($L1612="offer","Offer",IF($L1612="rejected","Rejected",IF($L1612="ignore","Ignore",IF($L1612="archive","Archive",IF($L1612="closed","Closed",IF($B1612="","Unscored",IF(AND($B1612&gt;=8,OR($H1612="",$H1612-TODAY()&lt;=14)),"P1 Apply",IF($B1612&gt;=7,"P2 Strong",IF($B1612&gt;=5,"P3 Maybe","P4 Low")))))))))))</f>
        <v/>
      </c>
      <c r="B1612" s="13" t="n">
        <v>0</v>
      </c>
      <c r="C1612" s="12" t="inlineStr">
        <is>
          <t>Junior</t>
        </is>
      </c>
      <c r="D1612" s="8" t="inlineStr">
        <is>
          <t>Junior Full Stack Engineer (React + Java) - Glasgow - Fulltime Hybrid - C1</t>
        </is>
      </c>
      <c r="E1612" s="7" t="inlineStr">
        <is>
          <t>Capgemini</t>
        </is>
      </c>
      <c r="F1612" s="8" t="inlineStr">
        <is>
          <t>Glasgow, Scotland, UK</t>
        </is>
      </c>
      <c r="G1612" s="8" t="n"/>
      <c r="H1612" s="14" t="n"/>
      <c r="I1612" s="15">
        <f>IF($H1612="","",$H1612-TODAY())</f>
        <v/>
      </c>
      <c r="J1612" s="16" t="inlineStr">
        <is>
          <t>Open posting</t>
        </is>
      </c>
      <c r="K1612" s="8" t="inlineStr">
        <is>
          <t>filtered by keyword pre-scan</t>
        </is>
      </c>
      <c r="L1612" s="17" t="inlineStr">
        <is>
          <t>new</t>
        </is>
      </c>
      <c r="M1612" s="18" t="inlineStr"/>
      <c r="N1612" s="7" t="inlineStr">
        <is>
          <t>6e40f5a7027ae7c74bda9972b69fd0ffb2a95795</t>
        </is>
      </c>
      <c r="O1612" s="14" t="n">
        <v>46189</v>
      </c>
      <c r="P1612" s="7" t="inlineStr">
        <is>
          <t>jobspy</t>
        </is>
      </c>
      <c r="Q1612" s="8" t="inlineStr">
        <is>
          <t>javascript, git</t>
        </is>
      </c>
      <c r="R1612" s="8" t="inlineStr">
        <is>
          <t>entry level Full Stack Developer</t>
        </is>
      </c>
      <c r="S1612" s="19" t="n"/>
      <c r="T1612" s="19" t="n"/>
      <c r="U1612" s="14" t="n">
        <v>46191</v>
      </c>
      <c r="V1612" s="7" t="inlineStr">
        <is>
          <t>v2-cv-accuracy-13b988b18da8ea7d</t>
        </is>
      </c>
    </row>
    <row r="1613" ht="28" customHeight="1">
      <c r="A1613" s="12">
        <f>IF($L1613="applied","Applied",IF($L1613="interview","Interview",IF($L1613="offer","Offer",IF($L1613="rejected","Rejected",IF($L1613="ignore","Ignore",IF($L1613="archive","Archive",IF($L1613="closed","Closed",IF($B1613="","Unscored",IF(AND($B1613&gt;=8,OR($H1613="",$H1613-TODAY()&lt;=14)),"P1 Apply",IF($B1613&gt;=7,"P2 Strong",IF($B1613&gt;=5,"P3 Maybe","P4 Low")))))))))))</f>
        <v/>
      </c>
      <c r="B1613" s="13" t="n">
        <v>0</v>
      </c>
      <c r="C1613" s="12" t="inlineStr">
        <is>
          <t>Graduate/Entry</t>
        </is>
      </c>
      <c r="D1613" s="8" t="inlineStr">
        <is>
          <t>2026 Graduate Software Engineer - Triton</t>
        </is>
      </c>
      <c r="E1613" s="7" t="inlineStr">
        <is>
          <t>Graphcore</t>
        </is>
      </c>
      <c r="F1613" s="8" t="inlineStr">
        <is>
          <t>Bristol, England, UK</t>
        </is>
      </c>
      <c r="G1613" s="8" t="n"/>
      <c r="H1613" s="14" t="n"/>
      <c r="I1613" s="15">
        <f>IF($H1613="","",$H1613-TODAY())</f>
        <v/>
      </c>
      <c r="J1613" s="16" t="inlineStr">
        <is>
          <t>Open posting</t>
        </is>
      </c>
      <c r="K1613" s="8" t="inlineStr">
        <is>
          <t>filtered by keyword pre-scan</t>
        </is>
      </c>
      <c r="L1613" s="17" t="inlineStr">
        <is>
          <t>new</t>
        </is>
      </c>
      <c r="M1613" s="18" t="inlineStr"/>
      <c r="N1613" s="7" t="inlineStr">
        <is>
          <t>93f7df269cfae5aa84e293d72218d11eb64cbb87</t>
        </is>
      </c>
      <c r="O1613" s="14" t="n">
        <v>46178</v>
      </c>
      <c r="P1613" s="7" t="inlineStr">
        <is>
          <t>jobspy</t>
        </is>
      </c>
      <c r="Q1613" s="8" t="inlineStr">
        <is>
          <t>python</t>
        </is>
      </c>
      <c r="R1613" s="8" t="inlineStr">
        <is>
          <t>Graduate Software Developer Sheffield</t>
        </is>
      </c>
      <c r="S1613" s="19" t="n"/>
      <c r="T1613" s="19" t="n"/>
      <c r="U1613" s="14" t="n">
        <v>46191</v>
      </c>
      <c r="V1613" s="7" t="inlineStr">
        <is>
          <t>v2-cv-accuracy-13b988b18da8ea7d</t>
        </is>
      </c>
    </row>
    <row r="1614" ht="28" customHeight="1">
      <c r="A1614" s="12">
        <f>IF($L1614="applied","Applied",IF($L1614="interview","Interview",IF($L1614="offer","Offer",IF($L1614="rejected","Rejected",IF($L1614="ignore","Ignore",IF($L1614="archive","Archive",IF($L1614="closed","Closed",IF($B1614="","Unscored",IF(AND($B1614&gt;=8,OR($H1614="",$H1614-TODAY()&lt;=14)),"P1 Apply",IF($B1614&gt;=7,"P2 Strong",IF($B1614&gt;=5,"P3 Maybe","P4 Low")))))))))))</f>
        <v/>
      </c>
      <c r="B1614" s="13" t="n">
        <v>0</v>
      </c>
      <c r="C1614" s="12" t="inlineStr">
        <is>
          <t>Mid-level</t>
        </is>
      </c>
      <c r="D1614" s="8" t="inlineStr">
        <is>
          <t>Salesforce Implementation Specialist</t>
        </is>
      </c>
      <c r="E1614" s="7" t="inlineStr">
        <is>
          <t>UniHomes</t>
        </is>
      </c>
      <c r="F1614" s="8" t="inlineStr">
        <is>
          <t>South Yorkshire, England, UK</t>
        </is>
      </c>
      <c r="G1614" s="8" t="n"/>
      <c r="H1614" s="14" t="n"/>
      <c r="I1614" s="15">
        <f>IF($H1614="","",$H1614-TODAY())</f>
        <v/>
      </c>
      <c r="J1614" s="16" t="inlineStr">
        <is>
          <t>Open posting</t>
        </is>
      </c>
      <c r="K1614" s="8" t="inlineStr">
        <is>
          <t>filtered by keyword pre-scan</t>
        </is>
      </c>
      <c r="L1614" s="17" t="inlineStr">
        <is>
          <t>new</t>
        </is>
      </c>
      <c r="M1614" s="18" t="inlineStr"/>
      <c r="N1614" s="7" t="inlineStr">
        <is>
          <t>574866f2bc1d0d6771fb134d312268131817467d</t>
        </is>
      </c>
      <c r="O1614" s="14" t="n">
        <v>46176</v>
      </c>
      <c r="P1614" s="7" t="inlineStr">
        <is>
          <t>jobspy</t>
        </is>
      </c>
      <c r="Q1614" s="8" t="inlineStr"/>
      <c r="R1614" s="8" t="inlineStr">
        <is>
          <t>Graduate Software Developer Sheffield</t>
        </is>
      </c>
      <c r="S1614" s="19" t="n"/>
      <c r="T1614" s="19" t="n"/>
      <c r="U1614" s="14" t="n">
        <v>46191</v>
      </c>
      <c r="V1614" s="7" t="inlineStr">
        <is>
          <t>v2-cv-accuracy-13b988b18da8ea7d</t>
        </is>
      </c>
    </row>
    <row r="1615" ht="28" customHeight="1">
      <c r="A1615" s="12">
        <f>IF($L1615="applied","Applied",IF($L1615="interview","Interview",IF($L1615="offer","Offer",IF($L1615="rejected","Rejected",IF($L1615="ignore","Ignore",IF($L1615="archive","Archive",IF($L1615="closed","Closed",IF($B1615="","Unscored",IF(AND($B1615&gt;=8,OR($H1615="",$H1615-TODAY()&lt;=14)),"P1 Apply",IF($B1615&gt;=7,"P2 Strong",IF($B1615&gt;=5,"P3 Maybe","P4 Low")))))))))))</f>
        <v/>
      </c>
      <c r="B1615" s="13" t="n">
        <v>0</v>
      </c>
      <c r="C1615" s="12" t="inlineStr">
        <is>
          <t>Unspecified</t>
        </is>
      </c>
      <c r="D1615" s="8" t="inlineStr">
        <is>
          <t>IAM-Automation Test engineer</t>
        </is>
      </c>
      <c r="E1615" s="7" t="inlineStr">
        <is>
          <t>Test Yantra</t>
        </is>
      </c>
      <c r="F1615" s="8" t="inlineStr">
        <is>
          <t>Sheffield, England, UK</t>
        </is>
      </c>
      <c r="G1615" s="8" t="n"/>
      <c r="H1615" s="14" t="n"/>
      <c r="I1615" s="15">
        <f>IF($H1615="","",$H1615-TODAY())</f>
        <v/>
      </c>
      <c r="J1615" s="16" t="inlineStr">
        <is>
          <t>Open posting</t>
        </is>
      </c>
      <c r="K1615" s="8" t="inlineStr">
        <is>
          <t>filtered by keyword pre-scan</t>
        </is>
      </c>
      <c r="L1615" s="17" t="inlineStr">
        <is>
          <t>new</t>
        </is>
      </c>
      <c r="M1615" s="18" t="inlineStr"/>
      <c r="N1615" s="7" t="inlineStr">
        <is>
          <t>4b6c00f9a31cd516e5c69da74336173acb56c38f</t>
        </is>
      </c>
      <c r="O1615" s="14" t="n"/>
      <c r="P1615" s="7" t="inlineStr">
        <is>
          <t>jobspy</t>
        </is>
      </c>
      <c r="Q1615" s="8" t="inlineStr">
        <is>
          <t>python, sql</t>
        </is>
      </c>
      <c r="R1615" s="8" t="inlineStr">
        <is>
          <t>Graduate Software Developer Sheffield</t>
        </is>
      </c>
      <c r="S1615" s="19" t="n"/>
      <c r="T1615" s="19" t="n"/>
      <c r="U1615" s="14" t="n">
        <v>46191</v>
      </c>
      <c r="V1615" s="7" t="inlineStr">
        <is>
          <t>v2-cv-accuracy-13b988b18da8ea7d</t>
        </is>
      </c>
    </row>
    <row r="1616" ht="28" customHeight="1">
      <c r="A1616" s="12">
        <f>IF($L1616="applied","Applied",IF($L1616="interview","Interview",IF($L1616="offer","Offer",IF($L1616="rejected","Rejected",IF($L1616="ignore","Ignore",IF($L1616="archive","Archive",IF($L1616="closed","Closed",IF($B1616="","Unscored",IF(AND($B1616&gt;=8,OR($H1616="",$H1616-TODAY()&lt;=14)),"P1 Apply",IF($B1616&gt;=7,"P2 Strong",IF($B1616&gt;=5,"P3 Maybe","P4 Low")))))))))))</f>
        <v/>
      </c>
      <c r="B1616" s="13" t="n">
        <v>0</v>
      </c>
      <c r="C1616" s="12" t="inlineStr">
        <is>
          <t>Senior/Lead</t>
        </is>
      </c>
      <c r="D1616" s="8" t="inlineStr">
        <is>
          <t>Principal Content Model Lead</t>
        </is>
      </c>
      <c r="E1616" s="7" t="inlineStr">
        <is>
          <t>Autodesk</t>
        </is>
      </c>
      <c r="F1616" s="8" t="inlineStr">
        <is>
          <t>Sheffield, England, UK</t>
        </is>
      </c>
      <c r="G1616" s="8" t="n"/>
      <c r="H1616" s="14" t="n"/>
      <c r="I1616" s="15">
        <f>IF($H1616="","",$H1616-TODAY())</f>
        <v/>
      </c>
      <c r="J1616" s="16" t="inlineStr">
        <is>
          <t>Open posting</t>
        </is>
      </c>
      <c r="K1616" s="8" t="inlineStr">
        <is>
          <t>filtered by keyword pre-scan</t>
        </is>
      </c>
      <c r="L1616" s="17" t="inlineStr">
        <is>
          <t>new</t>
        </is>
      </c>
      <c r="M1616" s="18" t="inlineStr"/>
      <c r="N1616" s="7" t="inlineStr">
        <is>
          <t>3392ac649e95a15c718bc920cd4bd4aae3669118</t>
        </is>
      </c>
      <c r="O1616" s="14" t="n"/>
      <c r="P1616" s="7" t="inlineStr">
        <is>
          <t>jobspy</t>
        </is>
      </c>
      <c r="Q1616" s="8" t="inlineStr">
        <is>
          <t>python</t>
        </is>
      </c>
      <c r="R1616" s="8" t="inlineStr">
        <is>
          <t>Graduate Software Developer Sheffield</t>
        </is>
      </c>
      <c r="S1616" s="19" t="n"/>
      <c r="T1616" s="19" t="n"/>
      <c r="U1616" s="14" t="n">
        <v>46191</v>
      </c>
      <c r="V1616" s="7" t="inlineStr">
        <is>
          <t>v2-cv-accuracy-13b988b18da8ea7d</t>
        </is>
      </c>
    </row>
    <row r="1617" ht="28" customHeight="1">
      <c r="A1617" s="12">
        <f>IF($L1617="applied","Applied",IF($L1617="interview","Interview",IF($L1617="offer","Offer",IF($L1617="rejected","Rejected",IF($L1617="ignore","Ignore",IF($L1617="archive","Archive",IF($L1617="closed","Closed",IF($B1617="","Unscored",IF(AND($B1617&gt;=8,OR($H1617="",$H1617-TODAY()&lt;=14)),"P1 Apply",IF($B1617&gt;=7,"P2 Strong",IF($B1617&gt;=5,"P3 Maybe","P4 Low")))))))))))</f>
        <v/>
      </c>
      <c r="B1617" s="13" t="n">
        <v>0</v>
      </c>
      <c r="C1617" s="12" t="inlineStr">
        <is>
          <t>Junior</t>
        </is>
      </c>
      <c r="D1617" s="8" t="inlineStr">
        <is>
          <t>Junior Back End Engineer</t>
        </is>
      </c>
      <c r="E1617" s="7" t="inlineStr">
        <is>
          <t>Motorola Solutions</t>
        </is>
      </c>
      <c r="F1617" s="8" t="inlineStr">
        <is>
          <t>Edinburgh, Scotland, UK</t>
        </is>
      </c>
      <c r="G1617" s="8" t="n"/>
      <c r="H1617" s="14" t="n"/>
      <c r="I1617" s="15">
        <f>IF($H1617="","",$H1617-TODAY())</f>
        <v/>
      </c>
      <c r="J1617" s="16" t="inlineStr">
        <is>
          <t>Open posting</t>
        </is>
      </c>
      <c r="K1617" s="8" t="inlineStr">
        <is>
          <t>filtered by keyword pre-scan</t>
        </is>
      </c>
      <c r="L1617" s="17" t="inlineStr">
        <is>
          <t>new</t>
        </is>
      </c>
      <c r="M1617" s="18" t="inlineStr"/>
      <c r="N1617" s="7" t="inlineStr">
        <is>
          <t>a629cac7d5a7237c1dab1c916d67f2a17d3d90c5</t>
        </is>
      </c>
      <c r="O1617" s="14" t="n">
        <v>46176</v>
      </c>
      <c r="P1617" s="7" t="inlineStr">
        <is>
          <t>jobspy</t>
        </is>
      </c>
      <c r="Q1617" s="8" t="inlineStr">
        <is>
          <t>python, javascript, rest apis, git</t>
        </is>
      </c>
      <c r="R1617" s="8" t="inlineStr">
        <is>
          <t>graduate Graduate Software Developer</t>
        </is>
      </c>
      <c r="S1617" s="19" t="n"/>
      <c r="T1617" s="19" t="n"/>
      <c r="U1617" s="14" t="n">
        <v>46191</v>
      </c>
      <c r="V1617" s="7" t="inlineStr">
        <is>
          <t>v2-cv-accuracy-13b988b18da8ea7d</t>
        </is>
      </c>
    </row>
    <row r="1618" ht="28" customHeight="1">
      <c r="A1618" s="12">
        <f>IF($L1618="applied","Applied",IF($L1618="interview","Interview",IF($L1618="offer","Offer",IF($L1618="rejected","Rejected",IF($L1618="ignore","Ignore",IF($L1618="archive","Archive",IF($L1618="closed","Closed",IF($B1618="","Unscored",IF(AND($B1618&gt;=8,OR($H1618="",$H1618-TODAY()&lt;=14)),"P1 Apply",IF($B1618&gt;=7,"P2 Strong",IF($B1618&gt;=5,"P3 Maybe","P4 Low")))))))))))</f>
        <v/>
      </c>
      <c r="B1618" s="13" t="n">
        <v>0</v>
      </c>
      <c r="C1618" s="12" t="inlineStr">
        <is>
          <t>Junior</t>
        </is>
      </c>
      <c r="D1618" s="8" t="inlineStr">
        <is>
          <t>Junior Device Software Developer</t>
        </is>
      </c>
      <c r="E1618" s="7" t="inlineStr">
        <is>
          <t>One Big Circle Ltd</t>
        </is>
      </c>
      <c r="F1618" s="8" t="inlineStr">
        <is>
          <t>City Of Bristol, England, UK</t>
        </is>
      </c>
      <c r="G1618" s="8" t="n"/>
      <c r="H1618" s="14" t="n"/>
      <c r="I1618" s="15">
        <f>IF($H1618="","",$H1618-TODAY())</f>
        <v/>
      </c>
      <c r="J1618" s="16" t="inlineStr">
        <is>
          <t>Open posting</t>
        </is>
      </c>
      <c r="K1618" s="8" t="inlineStr">
        <is>
          <t>filtered by keyword pre-scan</t>
        </is>
      </c>
      <c r="L1618" s="17" t="inlineStr">
        <is>
          <t>new</t>
        </is>
      </c>
      <c r="M1618" s="18" t="inlineStr"/>
      <c r="N1618" s="7" t="inlineStr">
        <is>
          <t>d1e5bebe88651c72ff0daf52a3bb53c56a47f366</t>
        </is>
      </c>
      <c r="O1618" s="14" t="n">
        <v>46181</v>
      </c>
      <c r="P1618" s="7" t="inlineStr">
        <is>
          <t>jobspy</t>
        </is>
      </c>
      <c r="Q1618" s="8" t="inlineStr">
        <is>
          <t>python, software development</t>
        </is>
      </c>
      <c r="R1618" s="8" t="inlineStr">
        <is>
          <t>junior/graduate Graduate Software Developer</t>
        </is>
      </c>
      <c r="S1618" s="19" t="n"/>
      <c r="T1618" s="19" t="n"/>
      <c r="U1618" s="14" t="n">
        <v>46191</v>
      </c>
      <c r="V1618" s="7" t="inlineStr">
        <is>
          <t>v2-cv-accuracy-13b988b18da8ea7d</t>
        </is>
      </c>
    </row>
    <row r="1619" ht="28" customHeight="1">
      <c r="A1619" s="12">
        <f>IF($L1619="applied","Applied",IF($L1619="interview","Interview",IF($L1619="offer","Offer",IF($L1619="rejected","Rejected",IF($L1619="ignore","Ignore",IF($L1619="archive","Archive",IF($L1619="closed","Closed",IF($B1619="","Unscored",IF(AND($B1619&gt;=8,OR($H1619="",$H1619-TODAY()&lt;=14)),"P1 Apply",IF($B1619&gt;=7,"P2 Strong",IF($B1619&gt;=5,"P3 Maybe","P4 Low")))))))))))</f>
        <v/>
      </c>
      <c r="B1619" s="13" t="n">
        <v>0</v>
      </c>
      <c r="C1619" s="12" t="inlineStr">
        <is>
          <t>Apprentice/Trainee</t>
        </is>
      </c>
      <c r="D1619" s="8" t="inlineStr">
        <is>
          <t>Apprentice Software Developer</t>
        </is>
      </c>
      <c r="E1619" s="7" t="inlineStr">
        <is>
          <t>NEC Software Solutions</t>
        </is>
      </c>
      <c r="F1619" s="8" t="inlineStr">
        <is>
          <t>Bracknell, England, UK</t>
        </is>
      </c>
      <c r="G1619" s="8" t="n"/>
      <c r="H1619" s="14" t="n"/>
      <c r="I1619" s="15">
        <f>IF($H1619="","",$H1619-TODAY())</f>
        <v/>
      </c>
      <c r="J1619" s="16" t="inlineStr">
        <is>
          <t>Open posting</t>
        </is>
      </c>
      <c r="K1619" s="8" t="inlineStr">
        <is>
          <t>filtered by keyword pre-scan</t>
        </is>
      </c>
      <c r="L1619" s="17" t="inlineStr">
        <is>
          <t>new</t>
        </is>
      </c>
      <c r="M1619" s="18" t="inlineStr"/>
      <c r="N1619" s="7" t="inlineStr">
        <is>
          <t>33252c7e8e70e8c97cc360545aadf95003d0144b</t>
        </is>
      </c>
      <c r="O1619" s="14" t="n">
        <v>46185</v>
      </c>
      <c r="P1619" s="7" t="inlineStr">
        <is>
          <t>jobspy</t>
        </is>
      </c>
      <c r="Q1619" s="8" t="inlineStr">
        <is>
          <t>git, software development</t>
        </is>
      </c>
      <c r="R1619" s="8" t="inlineStr">
        <is>
          <t>Graduate Software Developer remote</t>
        </is>
      </c>
      <c r="S1619" s="19" t="n"/>
      <c r="T1619" s="19" t="n"/>
      <c r="U1619" s="14" t="n">
        <v>46191</v>
      </c>
      <c r="V1619" s="7" t="inlineStr">
        <is>
          <t>v2-cv-accuracy-13b988b18da8ea7d</t>
        </is>
      </c>
    </row>
    <row r="1620" ht="28" customHeight="1">
      <c r="A1620" s="12">
        <f>IF($L1620="applied","Applied",IF($L1620="interview","Interview",IF($L1620="offer","Offer",IF($L1620="rejected","Rejected",IF($L1620="ignore","Ignore",IF($L1620="archive","Archive",IF($L1620="closed","Closed",IF($B1620="","Unscored",IF(AND($B1620&gt;=8,OR($H1620="",$H1620-TODAY()&lt;=14)),"P1 Apply",IF($B1620&gt;=7,"P2 Strong",IF($B1620&gt;=5,"P3 Maybe","P4 Low")))))))))))</f>
        <v/>
      </c>
      <c r="B1620" s="13" t="n">
        <v>0</v>
      </c>
      <c r="C1620" s="12" t="inlineStr">
        <is>
          <t>Junior</t>
        </is>
      </c>
      <c r="D1620" s="8" t="inlineStr">
        <is>
          <t>Associate Backend Software Engineer (Python)</t>
        </is>
      </c>
      <c r="E1620" s="7" t="inlineStr">
        <is>
          <t>Anaplan</t>
        </is>
      </c>
      <c r="F1620" s="8" t="inlineStr">
        <is>
          <t>Manchester, England, UK</t>
        </is>
      </c>
      <c r="G1620" s="8" t="n"/>
      <c r="H1620" s="14" t="n"/>
      <c r="I1620" s="15">
        <f>IF($H1620="","",$H1620-TODAY())</f>
        <v/>
      </c>
      <c r="J1620" s="16" t="inlineStr">
        <is>
          <t>Open posting</t>
        </is>
      </c>
      <c r="K1620" s="8" t="inlineStr">
        <is>
          <t>filtered by keyword pre-scan</t>
        </is>
      </c>
      <c r="L1620" s="17" t="inlineStr">
        <is>
          <t>new</t>
        </is>
      </c>
      <c r="M1620" s="18" t="inlineStr"/>
      <c r="N1620" s="7" t="inlineStr">
        <is>
          <t>0cc5f515dc3f85c660a0a9c6d51a22003eb1b4ef</t>
        </is>
      </c>
      <c r="O1620" s="14" t="n">
        <v>46185</v>
      </c>
      <c r="P1620" s="7" t="inlineStr">
        <is>
          <t>jobspy</t>
        </is>
      </c>
      <c r="Q1620" s="8" t="inlineStr">
        <is>
          <t>python, sql, git</t>
        </is>
      </c>
      <c r="R1620" s="8" t="inlineStr">
        <is>
          <t>Junior Python Developer Sheffield</t>
        </is>
      </c>
      <c r="S1620" s="19" t="n"/>
      <c r="T1620" s="19" t="n"/>
      <c r="U1620" s="14" t="n">
        <v>46191</v>
      </c>
      <c r="V1620" s="7" t="inlineStr">
        <is>
          <t>v2-cv-accuracy-13b988b18da8ea7d</t>
        </is>
      </c>
    </row>
    <row r="1621" ht="28" customHeight="1">
      <c r="A1621" s="12">
        <f>IF($L1621="applied","Applied",IF($L1621="interview","Interview",IF($L1621="offer","Offer",IF($L1621="rejected","Rejected",IF($L1621="ignore","Ignore",IF($L1621="archive","Archive",IF($L1621="closed","Closed",IF($B1621="","Unscored",IF(AND($B1621&gt;=8,OR($H1621="",$H1621-TODAY()&lt;=14)),"P1 Apply",IF($B1621&gt;=7,"P2 Strong",IF($B1621&gt;=5,"P3 Maybe","P4 Low")))))))))))</f>
        <v/>
      </c>
      <c r="B1621" s="13" t="n">
        <v>0</v>
      </c>
      <c r="C1621" s="12" t="inlineStr">
        <is>
          <t>Unspecified</t>
        </is>
      </c>
      <c r="D1621" s="8" t="inlineStr">
        <is>
          <t>Full-Stack Engineer (Back-End Leaning)</t>
        </is>
      </c>
      <c r="E1621" s="7" t="inlineStr">
        <is>
          <t>ElevenLabs</t>
        </is>
      </c>
      <c r="F1621" s="8" t="inlineStr"/>
      <c r="G1621" s="8" t="n"/>
      <c r="H1621" s="14" t="n"/>
      <c r="I1621" s="15">
        <f>IF($H1621="","",$H1621-TODAY())</f>
        <v/>
      </c>
      <c r="J1621" s="16" t="inlineStr">
        <is>
          <t>Open posting</t>
        </is>
      </c>
      <c r="K1621" s="8" t="inlineStr">
        <is>
          <t>filtered by keyword pre-scan</t>
        </is>
      </c>
      <c r="L1621" s="17" t="inlineStr">
        <is>
          <t>new</t>
        </is>
      </c>
      <c r="M1621" s="18" t="inlineStr"/>
      <c r="N1621" s="7" t="inlineStr">
        <is>
          <t>366e511205b04a9d73bb1391c7ba641b9e03a696</t>
        </is>
      </c>
      <c r="O1621" s="14" t="n">
        <v>46184</v>
      </c>
      <c r="P1621" s="7" t="inlineStr">
        <is>
          <t>jobspy</t>
        </is>
      </c>
      <c r="Q1621" s="8" t="inlineStr">
        <is>
          <t>python, git</t>
        </is>
      </c>
      <c r="R1621" s="8" t="inlineStr">
        <is>
          <t>Junior Python Developer remote</t>
        </is>
      </c>
      <c r="S1621" s="19" t="n"/>
      <c r="T1621" s="19" t="n"/>
      <c r="U1621" s="14" t="n">
        <v>46191</v>
      </c>
      <c r="V1621" s="7" t="inlineStr">
        <is>
          <t>v2-cv-accuracy-13b988b18da8ea7d</t>
        </is>
      </c>
    </row>
    <row r="1622" ht="28" customHeight="1">
      <c r="A1622" s="12">
        <f>IF($L1622="applied","Applied",IF($L1622="interview","Interview",IF($L1622="offer","Offer",IF($L1622="rejected","Rejected",IF($L1622="ignore","Ignore",IF($L1622="archive","Archive",IF($L1622="closed","Closed",IF($B1622="","Unscored",IF(AND($B1622&gt;=8,OR($H1622="",$H1622-TODAY()&lt;=14)),"P1 Apply",IF($B1622&gt;=7,"P2 Strong",IF($B1622&gt;=5,"P3 Maybe","P4 Low")))))))))))</f>
        <v/>
      </c>
      <c r="B1622" s="13" t="n">
        <v>0</v>
      </c>
      <c r="C1622" s="12" t="inlineStr">
        <is>
          <t>Junior</t>
        </is>
      </c>
      <c r="D1622" s="8" t="inlineStr">
        <is>
          <t>Junior Software Engineer</t>
        </is>
      </c>
      <c r="E1622" s="7" t="inlineStr">
        <is>
          <t>Spectrum IT Recruitment</t>
        </is>
      </c>
      <c r="F1622" s="8" t="inlineStr">
        <is>
          <t>London Area, United Kingdom</t>
        </is>
      </c>
      <c r="G1622" s="8" t="n"/>
      <c r="H1622" s="14" t="n"/>
      <c r="I1622" s="15">
        <f>IF($H1622="","",$H1622-TODAY())</f>
        <v/>
      </c>
      <c r="J1622" s="16" t="inlineStr">
        <is>
          <t>Open posting</t>
        </is>
      </c>
      <c r="K1622" s="8" t="inlineStr">
        <is>
          <t>filtered by keyword pre-scan</t>
        </is>
      </c>
      <c r="L1622" s="17" t="inlineStr">
        <is>
          <t>new</t>
        </is>
      </c>
      <c r="M1622" s="18" t="inlineStr"/>
      <c r="N1622" s="7" t="inlineStr">
        <is>
          <t>791ddaa4114a9747e69518e189194cb0bfd9cf40</t>
        </is>
      </c>
      <c r="O1622" s="14" t="n">
        <v>46188</v>
      </c>
      <c r="P1622" s="7" t="inlineStr">
        <is>
          <t>jobspy</t>
        </is>
      </c>
      <c r="Q1622" s="8" t="inlineStr">
        <is>
          <t>sql, git, software development</t>
        </is>
      </c>
      <c r="R1622" s="8" t="inlineStr">
        <is>
          <t>junior Graduate Software Developer</t>
        </is>
      </c>
      <c r="S1622" s="19" t="n"/>
      <c r="T1622" s="19" t="n"/>
      <c r="U1622" s="14" t="n">
        <v>46191</v>
      </c>
      <c r="V1622" s="7" t="inlineStr">
        <is>
          <t>v2-cv-accuracy-13b988b18da8ea7d</t>
        </is>
      </c>
    </row>
    <row r="1623" ht="28" customHeight="1">
      <c r="A1623" s="12">
        <f>IF($L1623="applied","Applied",IF($L1623="interview","Interview",IF($L1623="offer","Offer",IF($L1623="rejected","Rejected",IF($L1623="ignore","Ignore",IF($L1623="archive","Archive",IF($L1623="closed","Closed",IF($B1623="","Unscored",IF(AND($B1623&gt;=8,OR($H1623="",$H1623-TODAY()&lt;=14)),"P1 Apply",IF($B1623&gt;=7,"P2 Strong",IF($B1623&gt;=5,"P3 Maybe","P4 Low")))))))))))</f>
        <v/>
      </c>
      <c r="B1623" s="13" t="n">
        <v>0</v>
      </c>
      <c r="C1623" s="12" t="inlineStr">
        <is>
          <t>Mid-level</t>
        </is>
      </c>
      <c r="D1623" s="8" t="inlineStr">
        <is>
          <t>Software Engineer</t>
        </is>
      </c>
      <c r="E1623" s="7" t="inlineStr">
        <is>
          <t>Accenture</t>
        </is>
      </c>
      <c r="F1623" s="8" t="inlineStr">
        <is>
          <t>Leeds, England, UK</t>
        </is>
      </c>
      <c r="G1623" s="8" t="n"/>
      <c r="H1623" s="14" t="n"/>
      <c r="I1623" s="15">
        <f>IF($H1623="","",$H1623-TODAY())</f>
        <v/>
      </c>
      <c r="J1623" s="16" t="inlineStr">
        <is>
          <t>Open posting</t>
        </is>
      </c>
      <c r="K1623" s="8" t="inlineStr">
        <is>
          <t>filtered by keyword pre-scan</t>
        </is>
      </c>
      <c r="L1623" s="17" t="inlineStr">
        <is>
          <t>new</t>
        </is>
      </c>
      <c r="M1623" s="18" t="inlineStr"/>
      <c r="N1623" s="7" t="inlineStr">
        <is>
          <t>307d47fb514c89ac4bf260934a5808d15b18be4c</t>
        </is>
      </c>
      <c r="O1623" s="14" t="n">
        <v>46176</v>
      </c>
      <c r="P1623" s="7" t="inlineStr">
        <is>
          <t>jobspy</t>
        </is>
      </c>
      <c r="Q1623" s="8" t="inlineStr">
        <is>
          <t>python, git</t>
        </is>
      </c>
      <c r="R1623" s="8" t="inlineStr">
        <is>
          <t>Graduate Software Developer Sheffield</t>
        </is>
      </c>
      <c r="S1623" s="19" t="n"/>
      <c r="T1623" s="19" t="n"/>
      <c r="U1623" s="14" t="n">
        <v>46191</v>
      </c>
      <c r="V1623" s="7" t="inlineStr">
        <is>
          <t>v2-cv-accuracy-13b988b18da8ea7d</t>
        </is>
      </c>
    </row>
    <row r="1624" ht="28" customHeight="1">
      <c r="A1624" s="12">
        <f>IF($L1624="applied","Applied",IF($L1624="interview","Interview",IF($L1624="offer","Offer",IF($L1624="rejected","Rejected",IF($L1624="ignore","Ignore",IF($L1624="archive","Archive",IF($L1624="closed","Closed",IF($B1624="","Unscored",IF(AND($B1624&gt;=8,OR($H1624="",$H1624-TODAY()&lt;=14)),"P1 Apply",IF($B1624&gt;=7,"P2 Strong",IF($B1624&gt;=5,"P3 Maybe","P4 Low")))))))))))</f>
        <v/>
      </c>
      <c r="B1624" s="13" t="n">
        <v>0</v>
      </c>
      <c r="C1624" s="12" t="inlineStr">
        <is>
          <t>Junior</t>
        </is>
      </c>
      <c r="D1624" s="8" t="inlineStr">
        <is>
          <t>Associate Software Engineer</t>
        </is>
      </c>
      <c r="E1624" s="7" t="inlineStr">
        <is>
          <t>Awaze</t>
        </is>
      </c>
      <c r="F1624" s="8" t="inlineStr">
        <is>
          <t>Manchester, England, UK</t>
        </is>
      </c>
      <c r="G1624" s="8" t="n"/>
      <c r="H1624" s="14" t="n"/>
      <c r="I1624" s="15">
        <f>IF($H1624="","",$H1624-TODAY())</f>
        <v/>
      </c>
      <c r="J1624" s="16" t="inlineStr">
        <is>
          <t>Open posting</t>
        </is>
      </c>
      <c r="K1624" s="8" t="inlineStr">
        <is>
          <t>filtered by keyword pre-scan</t>
        </is>
      </c>
      <c r="L1624" s="17" t="inlineStr">
        <is>
          <t>new</t>
        </is>
      </c>
      <c r="M1624" s="18" t="inlineStr"/>
      <c r="N1624" s="7" t="inlineStr">
        <is>
          <t>6e644117ca3c00e29171af1b88c184d9b046b065</t>
        </is>
      </c>
      <c r="O1624" s="14" t="n">
        <v>46172</v>
      </c>
      <c r="P1624" s="7" t="inlineStr">
        <is>
          <t>jobspy</t>
        </is>
      </c>
      <c r="Q1624" s="8" t="inlineStr">
        <is>
          <t>git</t>
        </is>
      </c>
      <c r="R1624" s="8" t="inlineStr">
        <is>
          <t>Graduate Software Developer Sheffield</t>
        </is>
      </c>
      <c r="S1624" s="19" t="n"/>
      <c r="T1624" s="19" t="n"/>
      <c r="U1624" s="14" t="n">
        <v>46191</v>
      </c>
      <c r="V1624" s="7" t="inlineStr">
        <is>
          <t>v2-cv-accuracy-13b988b18da8ea7d</t>
        </is>
      </c>
    </row>
    <row r="1625" ht="28" customHeight="1">
      <c r="A1625" s="12">
        <f>IF($L1625="applied","Applied",IF($L1625="interview","Interview",IF($L1625="offer","Offer",IF($L1625="rejected","Rejected",IF($L1625="ignore","Ignore",IF($L1625="archive","Archive",IF($L1625="closed","Closed",IF($B1625="","Unscored",IF(AND($B1625&gt;=8,OR($H1625="",$H1625-TODAY()&lt;=14)),"P1 Apply",IF($B1625&gt;=7,"P2 Strong",IF($B1625&gt;=5,"P3 Maybe","P4 Low")))))))))))</f>
        <v/>
      </c>
      <c r="B1625" s="13" t="n">
        <v>0</v>
      </c>
      <c r="C1625" s="12" t="inlineStr">
        <is>
          <t>Mid-level</t>
        </is>
      </c>
      <c r="D1625" s="8" t="inlineStr">
        <is>
          <t>Software Development Engineer – 2026</t>
        </is>
      </c>
      <c r="E1625" s="7" t="inlineStr">
        <is>
          <t>Amazon</t>
        </is>
      </c>
      <c r="F1625" s="8" t="inlineStr">
        <is>
          <t>Edinburgh, Scotland, UK</t>
        </is>
      </c>
      <c r="G1625" s="8" t="n"/>
      <c r="H1625" s="14" t="n"/>
      <c r="I1625" s="15">
        <f>IF($H1625="","",$H1625-TODAY())</f>
        <v/>
      </c>
      <c r="J1625" s="16" t="inlineStr">
        <is>
          <t>Open posting</t>
        </is>
      </c>
      <c r="K1625" s="8" t="inlineStr">
        <is>
          <t>filtered by keyword pre-scan</t>
        </is>
      </c>
      <c r="L1625" s="17" t="inlineStr">
        <is>
          <t>new</t>
        </is>
      </c>
      <c r="M1625" s="18" t="inlineStr"/>
      <c r="N1625" s="7" t="inlineStr">
        <is>
          <t>965f4f286988c6c81a828e152433d3d98d18ca3f</t>
        </is>
      </c>
      <c r="O1625" s="14" t="n">
        <v>46186</v>
      </c>
      <c r="P1625" s="7" t="inlineStr">
        <is>
          <t>jobspy</t>
        </is>
      </c>
      <c r="Q1625" s="8" t="inlineStr">
        <is>
          <t>python, sql, software development</t>
        </is>
      </c>
      <c r="R1625" s="8" t="inlineStr">
        <is>
          <t>junior Graduate Software Developer</t>
        </is>
      </c>
      <c r="S1625" s="19" t="n"/>
      <c r="T1625" s="19" t="n"/>
      <c r="U1625" s="14" t="n">
        <v>46191</v>
      </c>
      <c r="V1625" s="7" t="inlineStr">
        <is>
          <t>v2-cv-accuracy-13b988b18da8ea7d</t>
        </is>
      </c>
    </row>
    <row r="1626" ht="28" customHeight="1">
      <c r="A1626" s="12">
        <f>IF($L1626="applied","Applied",IF($L1626="interview","Interview",IF($L1626="offer","Offer",IF($L1626="rejected","Rejected",IF($L1626="ignore","Ignore",IF($L1626="archive","Archive",IF($L1626="closed","Closed",IF($B1626="","Unscored",IF(AND($B1626&gt;=8,OR($H1626="",$H1626-TODAY()&lt;=14)),"P1 Apply",IF($B1626&gt;=7,"P2 Strong",IF($B1626&gt;=5,"P3 Maybe","P4 Low")))))))))))</f>
        <v/>
      </c>
      <c r="B1626" s="13" t="n">
        <v>0</v>
      </c>
      <c r="C1626" s="12" t="inlineStr">
        <is>
          <t>Senior/Lead</t>
        </is>
      </c>
      <c r="D1626" s="8" t="inlineStr">
        <is>
          <t>Senior Engineer- Platform Engineering</t>
        </is>
      </c>
      <c r="E1626" s="7" t="inlineStr">
        <is>
          <t>Janus Henderson Investors</t>
        </is>
      </c>
      <c r="F1626" s="8" t="inlineStr">
        <is>
          <t>London, ENG, GB</t>
        </is>
      </c>
      <c r="G1626" s="8" t="n"/>
      <c r="H1626" s="14" t="n"/>
      <c r="I1626" s="15">
        <f>IF($H1626="","",$H1626-TODAY())</f>
        <v/>
      </c>
      <c r="J1626" s="16" t="inlineStr">
        <is>
          <t>Open posting</t>
        </is>
      </c>
      <c r="K1626" s="8" t="inlineStr">
        <is>
          <t>filtered by keyword pre-scan</t>
        </is>
      </c>
      <c r="L1626" s="17" t="inlineStr">
        <is>
          <t>new</t>
        </is>
      </c>
      <c r="M1626" s="18" t="inlineStr"/>
      <c r="N1626" s="7" t="inlineStr">
        <is>
          <t>5c4fd235af8ec899059abd4e0389ecc4c927f945</t>
        </is>
      </c>
      <c r="O1626" s="14" t="n">
        <v>46182</v>
      </c>
      <c r="P1626" s="7" t="inlineStr">
        <is>
          <t>jobspy</t>
        </is>
      </c>
      <c r="Q1626" s="8" t="inlineStr">
        <is>
          <t>git</t>
        </is>
      </c>
      <c r="R1626" s="8" t="inlineStr">
        <is>
          <t>junior Junior Python Developer</t>
        </is>
      </c>
      <c r="S1626" s="19" t="n"/>
      <c r="T1626" s="19" t="n"/>
      <c r="U1626" s="14" t="n">
        <v>46191</v>
      </c>
      <c r="V1626" s="7" t="inlineStr">
        <is>
          <t>v2-cv-accuracy-13b988b18da8ea7d</t>
        </is>
      </c>
    </row>
  </sheetData>
  <autoFilter ref="A1:V1626"/>
  <conditionalFormatting sqref="B2:B1626">
    <cfRule type="expression" priority="1" dxfId="0">
      <formula>B2&gt;=8</formula>
    </cfRule>
    <cfRule type="expression" priority="2" dxfId="1">
      <formula>AND(B2&gt;=5,B2&lt;8)</formula>
    </cfRule>
    <cfRule type="expression" priority="3" dxfId="2">
      <formula>AND(B2&lt;&gt;"",B2&lt;5)</formula>
    </cfRule>
  </conditionalFormatting>
  <conditionalFormatting sqref="L2:L1626">
    <cfRule type="expression" priority="4" dxfId="3">
      <formula>L2="new"</formula>
    </cfRule>
    <cfRule type="expression" priority="5" dxfId="4">
      <formula>L2="applied"</formula>
    </cfRule>
    <cfRule type="expression" priority="6" dxfId="5">
      <formula>L2="interview"</formula>
    </cfRule>
    <cfRule type="expression" priority="7" dxfId="6">
      <formula>L2="offer"</formula>
    </cfRule>
    <cfRule type="expression" priority="8" dxfId="7">
      <formula>L2="rejected"</formula>
    </cfRule>
    <cfRule type="expression" priority="9" dxfId="8">
      <formula>L2="archive"</formula>
    </cfRule>
    <cfRule type="expression" priority="10" dxfId="9">
      <formula>L2="closed"</formula>
    </cfRule>
    <cfRule type="expression" priority="11" dxfId="10">
      <formula>L2="ignore"</formula>
    </cfRule>
  </conditionalFormatting>
  <conditionalFormatting sqref="A2:A1626">
    <cfRule type="expression" priority="12" dxfId="7">
      <formula>A2="P1 Apply"</formula>
    </cfRule>
    <cfRule type="expression" priority="13" dxfId="11">
      <formula>A2="P2 Strong"</formula>
    </cfRule>
    <cfRule type="expression" priority="14" dxfId="12">
      <formula>A2="P3 Maybe"</formula>
    </cfRule>
    <cfRule type="expression" priority="15" dxfId="13">
      <formula>A2="P4 Low"</formula>
    </cfRule>
    <cfRule type="expression" priority="16" dxfId="4">
      <formula>A2="Applied"</formula>
    </cfRule>
    <cfRule type="expression" priority="17" dxfId="5">
      <formula>A2="Interview"</formula>
    </cfRule>
    <cfRule type="expression" priority="18" dxfId="6">
      <formula>A2="Offer"</formula>
    </cfRule>
    <cfRule type="expression" priority="19" dxfId="14">
      <formula>A2="Rejected"</formula>
    </cfRule>
    <cfRule type="expression" priority="20" dxfId="15">
      <formula>A2="Closed"</formula>
    </cfRule>
    <cfRule type="expression" priority="21" dxfId="15">
      <formula>A2="Ignore"</formula>
    </cfRule>
    <cfRule type="expression" priority="22" dxfId="15">
      <formula>A2="Archive"</formula>
    </cfRule>
    <cfRule type="expression" priority="23" dxfId="16">
      <formula>A2="Unscored"</formula>
    </cfRule>
  </conditionalFormatting>
  <conditionalFormatting sqref="C2:C1626">
    <cfRule type="expression" priority="24" dxfId="17">
      <formula>C2="Internship"</formula>
    </cfRule>
    <cfRule type="expression" priority="25" dxfId="17">
      <formula>C2="Apprentice/Trainee"</formula>
    </cfRule>
    <cfRule type="expression" priority="26" dxfId="4">
      <formula>C2="Graduate/Entry"</formula>
    </cfRule>
    <cfRule type="expression" priority="27" dxfId="18">
      <formula>C2="Junior"</formula>
    </cfRule>
    <cfRule type="expression" priority="28" dxfId="12">
      <formula>C2="Mid-level"</formula>
    </cfRule>
    <cfRule type="expression" priority="29" dxfId="7">
      <formula>C2="Senior/Lead"</formula>
    </cfRule>
    <cfRule type="expression" priority="30" dxfId="13">
      <formula>C2="Manager/Owner"</formula>
    </cfRule>
    <cfRule type="expression" priority="31" dxfId="16">
      <formula>C2="Unspecified"</formula>
    </cfRule>
  </conditionalFormatting>
  <conditionalFormatting sqref="I2:I1626">
    <cfRule type="expression" priority="32" dxfId="19">
      <formula>AND(I2&lt;&gt;"",I2&gt;=0,I2&lt;=7)</formula>
    </cfRule>
  </conditionalFormatting>
  <conditionalFormatting sqref="A2:V1626">
    <cfRule type="expression" priority="33" dxfId="20">
      <formula>$B2&gt;=9</formula>
    </cfRule>
    <cfRule type="expression" priority="34" dxfId="21">
      <formula>AND($B2&gt;=7,$B2&lt;9)</formula>
    </cfRule>
  </conditionalFormatting>
  <dataValidations count="1">
    <dataValidation sqref="L2:L1726" showDropDown="0" showInputMessage="0" showErrorMessage="0" allowBlank="0" errorTitle="Invalid status" error="Choose one of: new, applied, interview, offer, rejected, ignore, archive, closed" promptTitle="Track this job" prompt="Use applied/interview/offer/rejected to track applications." type="list">
      <formula1>"new,applied,interview,offer,rejected,ignore,archive,closed"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s>
  <pageMargins left="0.75" right="0.75" top="1" bottom="1" header="0.5" footer="0.5"/>
  <legacyDrawing xmlns:r="http://schemas.openxmlformats.org/officeDocument/2006/relationships" r:id="anysvml"/>
  <tableParts count="1">
    <tablePart xmlns:r="http://schemas.openxmlformats.org/officeDocument/2006/relationships" r:id="rId1626"/>
  </tableParts>
</worksheet>
</file>

<file path=xl/worksheets/sheet3.xml><?xml version="1.0" encoding="utf-8"?>
<worksheet xmlns="http://schemas.openxmlformats.org/spreadsheetml/2006/main">
  <sheetPr>
    <outlinePr summaryBelow="1" summaryRight="1"/>
    <pageSetUpPr/>
  </sheetPr>
  <dimension ref="A1:J19"/>
  <sheetViews>
    <sheetView workbookViewId="0">
      <pane ySplit="1" topLeftCell="A2" activePane="bottomLeft" state="frozen"/>
      <selection pane="bottomLeft" activeCell="A1" sqref="A1"/>
    </sheetView>
  </sheetViews>
  <sheetFormatPr baseColWidth="8" defaultRowHeight="15"/>
  <sheetData>
    <row r="1">
      <c r="A1" s="20" t="inlineStr">
        <is>
          <t>ID</t>
        </is>
      </c>
      <c r="B1" s="20" t="inlineStr">
        <is>
          <t>Started</t>
        </is>
      </c>
      <c r="C1" s="20" t="inlineStr">
        <is>
          <t>Finished</t>
        </is>
      </c>
      <c r="D1" s="20" t="inlineStr">
        <is>
          <t>Duration (s)</t>
        </is>
      </c>
      <c r="E1" s="20" t="inlineStr">
        <is>
          <t>Sources OK</t>
        </is>
      </c>
      <c r="F1" s="20" t="inlineStr">
        <is>
          <t>Sources Failed</t>
        </is>
      </c>
      <c r="G1" s="20" t="inlineStr">
        <is>
          <t>Jobs Scraped</t>
        </is>
      </c>
      <c r="H1" s="20" t="inlineStr">
        <is>
          <t>Jobs New</t>
        </is>
      </c>
      <c r="I1" s="20" t="inlineStr">
        <is>
          <t>Jobs Closed</t>
        </is>
      </c>
      <c r="J1" s="20" t="inlineStr">
        <is>
          <t>Errors</t>
        </is>
      </c>
    </row>
    <row r="2">
      <c r="A2" t="n">
        <v>18</v>
      </c>
      <c r="B2" t="inlineStr">
        <is>
          <t>2026-06-20T20:18:23.177852</t>
        </is>
      </c>
      <c r="D2" t="n">
        <v>0</v>
      </c>
      <c r="E2" t="n">
        <v>5</v>
      </c>
      <c r="F2" t="n">
        <v>0</v>
      </c>
      <c r="G2" t="n">
        <v>1057</v>
      </c>
      <c r="H2" t="n">
        <v>120</v>
      </c>
      <c r="I2" t="n">
        <v>0</v>
      </c>
      <c r="J2" t="inlineStr">
        <is>
          <t>[]</t>
        </is>
      </c>
    </row>
    <row r="3">
      <c r="A3" t="n">
        <v>17</v>
      </c>
      <c r="B3" t="inlineStr">
        <is>
          <t>2026-06-20T15:15:13.727639</t>
        </is>
      </c>
      <c r="D3" t="n">
        <v>0</v>
      </c>
      <c r="E3" t="n">
        <v>5</v>
      </c>
      <c r="F3" t="n">
        <v>0</v>
      </c>
      <c r="G3" t="n">
        <v>950</v>
      </c>
      <c r="H3" t="n">
        <v>60</v>
      </c>
      <c r="I3" t="n">
        <v>0</v>
      </c>
      <c r="J3" t="inlineStr">
        <is>
          <t>[]</t>
        </is>
      </c>
    </row>
    <row r="4">
      <c r="A4" t="n">
        <v>16</v>
      </c>
      <c r="B4" t="inlineStr">
        <is>
          <t>2026-06-20T10:04:12.507394</t>
        </is>
      </c>
      <c r="D4" t="n">
        <v>0</v>
      </c>
      <c r="E4" t="n">
        <v>5</v>
      </c>
      <c r="F4" t="n">
        <v>0</v>
      </c>
      <c r="G4" t="n">
        <v>872</v>
      </c>
      <c r="H4" t="n">
        <v>52</v>
      </c>
      <c r="I4" t="n">
        <v>0</v>
      </c>
      <c r="J4" t="inlineStr">
        <is>
          <t>[]</t>
        </is>
      </c>
    </row>
    <row r="5">
      <c r="A5" t="n">
        <v>15</v>
      </c>
      <c r="B5" t="inlineStr">
        <is>
          <t>2026-06-19T20:30:38.590790</t>
        </is>
      </c>
      <c r="D5" t="n">
        <v>0</v>
      </c>
      <c r="E5" t="n">
        <v>5</v>
      </c>
      <c r="F5" t="n">
        <v>0</v>
      </c>
      <c r="G5" t="n">
        <v>934</v>
      </c>
      <c r="H5" t="n">
        <v>90</v>
      </c>
      <c r="I5" t="n">
        <v>0</v>
      </c>
      <c r="J5" t="inlineStr">
        <is>
          <t>[]</t>
        </is>
      </c>
    </row>
    <row r="6">
      <c r="A6" t="n">
        <v>14</v>
      </c>
      <c r="B6" t="inlineStr">
        <is>
          <t>2026-06-19T16:05:19.692486</t>
        </is>
      </c>
      <c r="D6" t="n">
        <v>0</v>
      </c>
      <c r="E6" t="n">
        <v>5</v>
      </c>
      <c r="F6" t="n">
        <v>0</v>
      </c>
      <c r="G6" t="n">
        <v>900</v>
      </c>
      <c r="H6" t="n">
        <v>85</v>
      </c>
      <c r="I6" t="n">
        <v>0</v>
      </c>
      <c r="J6" t="inlineStr">
        <is>
          <t>[]</t>
        </is>
      </c>
    </row>
    <row r="7">
      <c r="A7" t="n">
        <v>13</v>
      </c>
      <c r="B7" t="inlineStr">
        <is>
          <t>2026-06-19T11:47:40.966430</t>
        </is>
      </c>
      <c r="D7" t="n">
        <v>0</v>
      </c>
      <c r="E7" t="n">
        <v>5</v>
      </c>
      <c r="F7" t="n">
        <v>0</v>
      </c>
      <c r="G7" t="n">
        <v>880</v>
      </c>
      <c r="H7" t="n">
        <v>74</v>
      </c>
      <c r="I7" t="n">
        <v>0</v>
      </c>
      <c r="J7" t="inlineStr">
        <is>
          <t>[]</t>
        </is>
      </c>
    </row>
    <row r="8">
      <c r="A8" t="n">
        <v>12</v>
      </c>
      <c r="B8" t="inlineStr">
        <is>
          <t>2026-06-19T11:27:01.075003</t>
        </is>
      </c>
      <c r="D8" t="n">
        <v>0</v>
      </c>
      <c r="E8" t="n">
        <v>5</v>
      </c>
      <c r="F8" t="n">
        <v>0</v>
      </c>
      <c r="G8" t="n">
        <v>1028</v>
      </c>
      <c r="H8" t="n">
        <v>46</v>
      </c>
      <c r="I8" t="n">
        <v>0</v>
      </c>
      <c r="J8" t="inlineStr">
        <is>
          <t>[]</t>
        </is>
      </c>
    </row>
    <row r="9">
      <c r="A9" t="n">
        <v>11</v>
      </c>
      <c r="B9" t="inlineStr">
        <is>
          <t>2026-06-18T23:02:27.809714</t>
        </is>
      </c>
      <c r="D9" t="n">
        <v>0</v>
      </c>
      <c r="E9" t="n">
        <v>5</v>
      </c>
      <c r="F9" t="n">
        <v>0</v>
      </c>
      <c r="G9" t="n">
        <v>1036</v>
      </c>
      <c r="H9" t="n">
        <v>8</v>
      </c>
      <c r="I9" t="n">
        <v>0</v>
      </c>
      <c r="J9" t="inlineStr">
        <is>
          <t>[]</t>
        </is>
      </c>
    </row>
    <row r="10">
      <c r="A10" t="n">
        <v>10</v>
      </c>
      <c r="B10" t="inlineStr">
        <is>
          <t>2026-06-18T21:24:06.196346</t>
        </is>
      </c>
      <c r="D10" t="n">
        <v>0</v>
      </c>
      <c r="E10" t="n">
        <v>5</v>
      </c>
      <c r="F10" t="n">
        <v>0</v>
      </c>
      <c r="G10" t="n">
        <v>1046</v>
      </c>
      <c r="H10" t="n">
        <v>4</v>
      </c>
      <c r="I10" t="n">
        <v>0</v>
      </c>
      <c r="J10" t="inlineStr">
        <is>
          <t>[]</t>
        </is>
      </c>
    </row>
    <row r="11">
      <c r="A11" t="n">
        <v>9</v>
      </c>
      <c r="B11" t="inlineStr">
        <is>
          <t>2026-06-18T20:53:21.169585</t>
        </is>
      </c>
      <c r="D11" t="n">
        <v>0</v>
      </c>
      <c r="E11" t="n">
        <v>5</v>
      </c>
      <c r="F11" t="n">
        <v>0</v>
      </c>
      <c r="G11" t="n">
        <v>1037</v>
      </c>
      <c r="H11" t="n">
        <v>21</v>
      </c>
      <c r="I11" t="n">
        <v>0</v>
      </c>
      <c r="J11" t="inlineStr">
        <is>
          <t>[]</t>
        </is>
      </c>
    </row>
    <row r="12">
      <c r="A12" t="n">
        <v>8</v>
      </c>
      <c r="B12" t="inlineStr">
        <is>
          <t>2026-06-18T20:39:56.505028</t>
        </is>
      </c>
      <c r="D12" t="n">
        <v>0</v>
      </c>
      <c r="E12" t="n">
        <v>5</v>
      </c>
      <c r="F12" t="n">
        <v>0</v>
      </c>
      <c r="G12" t="n">
        <v>1042</v>
      </c>
      <c r="H12" t="n">
        <v>32</v>
      </c>
      <c r="I12" t="n">
        <v>0</v>
      </c>
      <c r="J12" t="inlineStr">
        <is>
          <t>[]</t>
        </is>
      </c>
    </row>
    <row r="13">
      <c r="A13" t="n">
        <v>7</v>
      </c>
      <c r="B13" t="inlineStr">
        <is>
          <t>2026-06-18T16:38:55.488547</t>
        </is>
      </c>
      <c r="D13" t="n">
        <v>0</v>
      </c>
      <c r="E13" t="n">
        <v>5</v>
      </c>
      <c r="F13" t="n">
        <v>0</v>
      </c>
      <c r="G13" t="n">
        <v>1042</v>
      </c>
      <c r="H13" t="n">
        <v>116</v>
      </c>
      <c r="I13" t="n">
        <v>0</v>
      </c>
      <c r="J13" t="inlineStr">
        <is>
          <t>[]</t>
        </is>
      </c>
    </row>
    <row r="14">
      <c r="A14" t="n">
        <v>6</v>
      </c>
      <c r="B14" t="inlineStr">
        <is>
          <t>2026-06-18T11:22:06.370109</t>
        </is>
      </c>
      <c r="D14" t="n">
        <v>0</v>
      </c>
      <c r="E14" t="n">
        <v>5</v>
      </c>
      <c r="F14" t="n">
        <v>0</v>
      </c>
      <c r="G14" t="n">
        <v>1003</v>
      </c>
      <c r="H14" t="n">
        <v>51</v>
      </c>
      <c r="I14" t="n">
        <v>0</v>
      </c>
      <c r="J14" t="inlineStr">
        <is>
          <t>[]</t>
        </is>
      </c>
    </row>
    <row r="15">
      <c r="A15" t="n">
        <v>5</v>
      </c>
      <c r="B15" t="inlineStr">
        <is>
          <t>2026-06-18T09:03:56.175664</t>
        </is>
      </c>
      <c r="D15" t="n">
        <v>0</v>
      </c>
      <c r="E15" t="n">
        <v>5</v>
      </c>
      <c r="F15" t="n">
        <v>0</v>
      </c>
      <c r="G15" t="n">
        <v>994</v>
      </c>
      <c r="H15" t="n">
        <v>452</v>
      </c>
      <c r="I15" t="n">
        <v>0</v>
      </c>
      <c r="J15" t="inlineStr">
        <is>
          <t>[]</t>
        </is>
      </c>
    </row>
    <row r="16">
      <c r="A16" t="n">
        <v>4</v>
      </c>
      <c r="B16" t="inlineStr">
        <is>
          <t>2026-06-18T08:39:44.918699</t>
        </is>
      </c>
      <c r="D16" t="n">
        <v>0</v>
      </c>
      <c r="E16" t="n">
        <v>0</v>
      </c>
      <c r="F16" t="n">
        <v>0</v>
      </c>
      <c r="G16" t="n">
        <v>0</v>
      </c>
      <c r="H16" t="n">
        <v>0</v>
      </c>
      <c r="I16" t="n">
        <v>0</v>
      </c>
      <c r="J16" t="inlineStr">
        <is>
          <t>[]</t>
        </is>
      </c>
    </row>
    <row r="17">
      <c r="A17" t="n">
        <v>3</v>
      </c>
      <c r="B17" t="inlineStr">
        <is>
          <t>2026-06-17T11:42:41.171381</t>
        </is>
      </c>
      <c r="D17" t="n">
        <v>0</v>
      </c>
      <c r="E17" t="n">
        <v>2</v>
      </c>
      <c r="F17" t="n">
        <v>0</v>
      </c>
      <c r="G17" t="n">
        <v>401</v>
      </c>
      <c r="H17" t="n">
        <v>14</v>
      </c>
      <c r="I17" t="n">
        <v>0</v>
      </c>
      <c r="J17" t="inlineStr">
        <is>
          <t>[]</t>
        </is>
      </c>
    </row>
    <row r="18">
      <c r="A18" t="n">
        <v>2</v>
      </c>
      <c r="B18" t="inlineStr">
        <is>
          <t>2026-06-16T21:42:28.671494</t>
        </is>
      </c>
      <c r="D18" t="n">
        <v>0</v>
      </c>
      <c r="E18" t="n">
        <v>2</v>
      </c>
      <c r="F18" t="n">
        <v>0</v>
      </c>
      <c r="G18" t="n">
        <v>400</v>
      </c>
      <c r="H18" t="n">
        <v>0</v>
      </c>
      <c r="I18" t="n">
        <v>0</v>
      </c>
      <c r="J18" t="inlineStr">
        <is>
          <t>[]</t>
        </is>
      </c>
    </row>
    <row r="19">
      <c r="A19" t="n">
        <v>1</v>
      </c>
      <c r="B19" t="inlineStr">
        <is>
          <t>2026-06-16T21:02:36.618455</t>
        </is>
      </c>
      <c r="D19" t="n">
        <v>0</v>
      </c>
      <c r="E19" t="n">
        <v>2</v>
      </c>
      <c r="F19" t="n">
        <v>0</v>
      </c>
      <c r="G19" t="n">
        <v>400</v>
      </c>
      <c r="H19" t="n">
        <v>400</v>
      </c>
      <c r="I19" t="n">
        <v>0</v>
      </c>
      <c r="J19"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60" customWidth="1" min="2" max="2"/>
  </cols>
  <sheetData>
    <row r="1">
      <c r="A1" s="20" t="inlineStr">
        <is>
          <t>Key</t>
        </is>
      </c>
      <c r="B1" s="20" t="inlineStr">
        <is>
          <t>Value</t>
        </is>
      </c>
    </row>
    <row r="2">
      <c r="A2" t="inlineStr">
        <is>
          <t>name</t>
        </is>
      </c>
      <c r="B2" t="inlineStr">
        <is>
          <t>David Cracknell</t>
        </is>
      </c>
    </row>
    <row r="3">
      <c r="A3" t="inlineStr">
        <is>
          <t>domain</t>
        </is>
      </c>
      <c r="B3" t="inlineStr">
        <is>
          <t>general</t>
        </is>
      </c>
    </row>
    <row r="4">
      <c r="A4" t="inlineStr">
        <is>
          <t>secondary_domains</t>
        </is>
      </c>
      <c r="B4" t="inlineStr">
        <is>
          <t>[]</t>
        </is>
      </c>
    </row>
    <row r="5">
      <c r="A5" t="inlineStr">
        <is>
          <t>location.city</t>
        </is>
      </c>
      <c r="B5" t="inlineStr">
        <is>
          <t>Sheffield</t>
        </is>
      </c>
    </row>
    <row r="6">
      <c r="A6" t="inlineStr">
        <is>
          <t>location.lat</t>
        </is>
      </c>
      <c r="B6" t="inlineStr">
        <is>
          <t>53.38</t>
        </is>
      </c>
    </row>
    <row r="7">
      <c r="A7" t="inlineStr">
        <is>
          <t>location.lon</t>
        </is>
      </c>
      <c r="B7" t="inlineStr">
        <is>
          <t>-1.47</t>
        </is>
      </c>
    </row>
    <row r="8">
      <c r="A8" t="inlineStr">
        <is>
          <t>search_radius_miles</t>
        </is>
      </c>
      <c r="B8" t="inlineStr">
        <is>
          <t>60</t>
        </is>
      </c>
    </row>
    <row r="9">
      <c r="A9" t="inlineStr">
        <is>
          <t>remote_ok</t>
        </is>
      </c>
      <c r="B9" t="inlineStr">
        <is>
          <t>true</t>
        </is>
      </c>
    </row>
    <row r="10">
      <c r="A10" t="inlineStr">
        <is>
          <t>education.highest_qualification</t>
        </is>
      </c>
      <c r="B10" t="inlineStr">
        <is>
          <t>MEng Electronic and Computer Engineering</t>
        </is>
      </c>
    </row>
    <row r="11">
      <c r="A11" t="inlineStr">
        <is>
          <t>education.institution</t>
        </is>
      </c>
      <c r="B11" t="inlineStr">
        <is>
          <t>University of Sheffield</t>
        </is>
      </c>
    </row>
    <row r="12">
      <c r="A12" t="inlineStr">
        <is>
          <t>education.completion_year</t>
        </is>
      </c>
      <c r="B12" t="inlineStr">
        <is>
          <t>2026</t>
        </is>
      </c>
    </row>
    <row r="13">
      <c r="A13" t="inlineStr">
        <is>
          <t>education.grade</t>
        </is>
      </c>
      <c r="B13" t="inlineStr">
        <is>
          <t>First-class (years 1-3)</t>
        </is>
      </c>
    </row>
    <row r="14">
      <c r="A14" t="inlineStr">
        <is>
          <t>education.registrations</t>
        </is>
      </c>
      <c r="B14" t="inlineStr">
        <is>
          <t>[]</t>
        </is>
      </c>
    </row>
    <row r="15">
      <c r="A15" t="inlineStr">
        <is>
          <t>experience_years</t>
        </is>
      </c>
      <c r="B15" t="inlineStr">
        <is>
          <t>2</t>
        </is>
      </c>
    </row>
    <row r="16">
      <c r="A16" t="inlineStr">
        <is>
          <t>experience_summary</t>
        </is>
      </c>
      <c r="B16" t="inlineStr">
        <is>
          <t>MEng Electronic and Computer Engineering student graduating 2026, first-class years 1-3. Two AMRC internships: SQL databases, LoRaWAN IoT, API integration, SolidWorks CAD, AR/VR demos. FPGA dissertation using Vivado and Verilog, AI accelerator with measured power results. Backend dev with Raspberry Pi, MySQL, Docker, Kubernetes. Sheffield Space Initiative treasurer. Strong across hardware-software interfaces, embedded systems, digital design, and backend data pipelines.</t>
        </is>
      </c>
    </row>
    <row r="17">
      <c r="A17" t="inlineStr">
        <is>
          <t>core_skills</t>
        </is>
      </c>
      <c r="B17" t="inlineStr">
        <is>
          <t>["Python", "SQL", "Verilog", "FPGA", "Vivado", "STM32", "KL25Z", "Raspberry Pi", "LoRaWAN", "API integration", "MySQL", "Docker", "Kubernetes", "Git", "SolidWorks", "C", "JavaScript", "embedded systems", "digital design", "hardware design", "DSP", "data capture", "backend development", "sensor integration"]</t>
        </is>
      </c>
    </row>
    <row r="18">
      <c r="A18" t="inlineStr">
        <is>
          <t>adjacent_skills</t>
        </is>
      </c>
      <c r="B18" t="inlineStr">
        <is>
          <t>["React", "Node.js", "REST APIs", "BLE", "IoT", "AR/VR", "CAD", "MATLAB", "Linux", "CI/CD", "Expo", "mobile development", "Monte Carlo analysis", "tolerance analysis", "signal processing", "microcontrollers", "budget management", "technical writing", "safety supervision", "project management", "data analysis"]</t>
        </is>
      </c>
    </row>
    <row r="19">
      <c r="A19" t="inlineStr">
        <is>
          <t>negative_signals.title_excludes</t>
        </is>
      </c>
      <c r="B19" t="inlineStr">
        <is>
          <t>["senior", "staff", "principal", "lead", "head of", "director", "manager", "vp", "vice president", "sales", "retail", "account manager", "business development", "marketing", "compliance", "sourcing", "procurement", "legal", "hr", "recruitment", "office manager", "programme manager", "program manager", "product manager"]</t>
        </is>
      </c>
    </row>
    <row r="20">
      <c r="A20" t="inlineStr">
        <is>
          <t>negative_signals.requires_years_above</t>
        </is>
      </c>
      <c r="B20" t="inlineStr">
        <is>
          <t>4</t>
        </is>
      </c>
    </row>
    <row r="21">
      <c r="A21" t="inlineStr">
        <is>
          <t>negative_signals.description_excludes</t>
        </is>
      </c>
      <c r="B21" t="inlineStr">
        <is>
          <t>["10+ years", "8+ years", "7+ years", "6+ years", "5+ years", "must have right to work", "active sc clearance", "active dv clearance"]</t>
        </is>
      </c>
    </row>
    <row r="22">
      <c r="A22" t="inlineStr">
        <is>
          <t>negative_signals.company_blocklist</t>
        </is>
      </c>
      <c r="B22" t="inlineStr">
        <is>
          <t>[]</t>
        </is>
      </c>
    </row>
    <row r="23">
      <c r="A23" t="inlineStr">
        <is>
          <t>target_roles.core</t>
        </is>
      </c>
      <c r="B23" t="inlineStr">
        <is>
          <t>["Graduate Hardware Engineer", "Graduate Electronics Engineer", "Graduate Embedded Engineer", "Graduate Software Engineer", "Graduate Engineer", "Graduate FPGA Engineer", "Junior Hardware Engineer", "Junior Embedded Engineer", "Junior Software Engineer", "Graduate Defence Engineer", "Graduate Systems Engineer", "Graduate Digital Engineer", "Graduate Computer Engineer", "Associate Engineer", "Graduate Backend Developer", "Graduate Software Developer", "Junior Python Developer", "Graduate Data Engineer", "Graduate Aerospace Engineer"]</t>
        </is>
      </c>
    </row>
    <row r="24">
      <c r="A24" t="inlineStr">
        <is>
          <t>target_roles.adjacent</t>
        </is>
      </c>
      <c r="B24" t="inlineStr">
        <is>
          <t>["Software Developer", "Backend Developer", "Embedded Software Engineer", "Digital Design Engineer", "FPGA Engineer", "Systems Engineer", "Verification Engineer", "Signal Processing Engineer", "IoT Engineer", "Data Engineer", "Platform Engineer", "DevOps Engineer", "Full Stack Developer", "Junior Data Analyst", "Application Developer", "Graduate Avionics Engineer", "Firmware Engineer", "Hardware Engineer"]</t>
        </is>
      </c>
    </row>
    <row r="25">
      <c r="A25" t="inlineStr">
        <is>
          <t>target_roles.stretch</t>
        </is>
      </c>
      <c r="B25" t="inlineStr">
        <is>
          <t>["Electronics Engineer", "RF Engineer", "Avionics Engineer", "Defence Engineer", "Machine Learning Engineer", "Cloud Engineer", "Test Engineer", "Graduate Fintech Engineer"]</t>
        </is>
      </c>
    </row>
    <row r="26">
      <c r="A26" t="inlineStr">
        <is>
          <t>filters.salary_floor_gbp</t>
        </is>
      </c>
      <c r="B26" t="inlineStr">
        <is>
          <t>25000</t>
        </is>
      </c>
    </row>
    <row r="27">
      <c r="A27" t="inlineStr">
        <is>
          <t>filters.salary_unit</t>
        </is>
      </c>
      <c r="B27" t="inlineStr">
        <is>
          <t>annual</t>
        </is>
      </c>
    </row>
    <row r="28">
      <c r="A28" t="inlineStr">
        <is>
          <t>filters.max_days_since_posted</t>
        </is>
      </c>
      <c r="B28" t="inlineStr">
        <is>
          <t>30</t>
        </is>
      </c>
    </row>
    <row r="29">
      <c r="A29" t="inlineStr">
        <is>
          <t>filters.exclude_companies</t>
        </is>
      </c>
      <c r="B29" t="inlineStr">
        <is>
          <t>[]</t>
        </is>
      </c>
    </row>
    <row r="30">
      <c r="A30" t="inlineStr">
        <is>
          <t>filters.rejected_company_cooldown_days</t>
        </is>
      </c>
      <c r="B30" t="inlineStr">
        <is>
          <t>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sheetData>
    <row r="1">
      <c r="A1" s="20" t="inlineStr">
        <is>
          <t>Date</t>
        </is>
      </c>
      <c r="B1" s="20" t="inlineStr">
        <is>
          <t>Operation</t>
        </is>
      </c>
      <c r="C1" s="20" t="inlineStr">
        <is>
          <t>Model</t>
        </is>
      </c>
      <c r="D1" s="20" t="inlineStr">
        <is>
          <t>Calls</t>
        </is>
      </c>
      <c r="E1" s="20" t="inlineStr">
        <is>
          <t>Input Tokens</t>
        </is>
      </c>
      <c r="F1" s="20" t="inlineStr">
        <is>
          <t>Cached Tokens</t>
        </is>
      </c>
      <c r="G1" s="20" t="inlineStr">
        <is>
          <t>Output Tokens</t>
        </is>
      </c>
      <c r="H1" s="20" t="inlineStr">
        <is>
          <t>Est. Cost (GBP)</t>
        </is>
      </c>
    </row>
    <row r="2">
      <c r="A2" t="inlineStr">
        <is>
          <t>2026-06-20</t>
        </is>
      </c>
      <c r="B2" t="inlineStr">
        <is>
          <t>rank</t>
        </is>
      </c>
      <c r="C2" t="inlineStr">
        <is>
          <t>claude-sonnet-4-6</t>
        </is>
      </c>
      <c r="D2" t="n">
        <v>17</v>
      </c>
      <c r="E2" t="n">
        <v>58173</v>
      </c>
      <c r="F2" t="n">
        <v>23002</v>
      </c>
      <c r="G2" t="n">
        <v>5580</v>
      </c>
      <c r="H2" t="n">
        <v>0.1598</v>
      </c>
    </row>
    <row r="3">
      <c r="A3" t="inlineStr">
        <is>
          <t>2026-06-20</t>
        </is>
      </c>
      <c r="B3" t="inlineStr">
        <is>
          <t>queries</t>
        </is>
      </c>
      <c r="C3" t="inlineStr">
        <is>
          <t>claude-sonnet-4-6</t>
        </is>
      </c>
      <c r="D3" t="n">
        <v>3</v>
      </c>
      <c r="E3" t="n">
        <v>3135</v>
      </c>
      <c r="F3" t="n">
        <v>0</v>
      </c>
      <c r="G3" t="n">
        <v>730</v>
      </c>
      <c r="H3" t="n">
        <v>0.0163</v>
      </c>
    </row>
    <row r="4">
      <c r="A4" t="inlineStr">
        <is>
          <t>2026-06-19</t>
        </is>
      </c>
      <c r="B4" t="inlineStr">
        <is>
          <t>rank</t>
        </is>
      </c>
      <c r="C4" t="inlineStr">
        <is>
          <t>claude-sonnet-4-6</t>
        </is>
      </c>
      <c r="D4" t="n">
        <v>30</v>
      </c>
      <c r="E4" t="n">
        <v>104726</v>
      </c>
      <c r="F4" t="n">
        <v>39754</v>
      </c>
      <c r="G4" t="n">
        <v>9875</v>
      </c>
      <c r="H4" t="n">
        <v>0.284</v>
      </c>
    </row>
    <row r="5">
      <c r="A5" t="inlineStr">
        <is>
          <t>2026-06-19</t>
        </is>
      </c>
      <c r="B5" t="inlineStr">
        <is>
          <t>queries</t>
        </is>
      </c>
      <c r="C5" t="inlineStr">
        <is>
          <t>claude-sonnet-4-6</t>
        </is>
      </c>
      <c r="D5" t="n">
        <v>3</v>
      </c>
      <c r="E5" t="n">
        <v>3135</v>
      </c>
      <c r="F5" t="n">
        <v>0</v>
      </c>
      <c r="G5" t="n">
        <v>730</v>
      </c>
      <c r="H5" t="n">
        <v>0.0163</v>
      </c>
    </row>
    <row r="6">
      <c r="A6" t="inlineStr">
        <is>
          <t>2026-06-19</t>
        </is>
      </c>
      <c r="B6" t="inlineStr">
        <is>
          <t>queries</t>
        </is>
      </c>
      <c r="C6" t="inlineStr"/>
      <c r="D6" t="n">
        <v>1</v>
      </c>
      <c r="E6" t="n">
        <v>0</v>
      </c>
      <c r="F6" t="n">
        <v>0</v>
      </c>
      <c r="G6" t="n">
        <v>0</v>
      </c>
      <c r="H6" t="n">
        <v>0</v>
      </c>
    </row>
    <row r="7">
      <c r="A7" t="inlineStr">
        <is>
          <t>2026-06-18</t>
        </is>
      </c>
      <c r="B7" t="inlineStr">
        <is>
          <t>queries</t>
        </is>
      </c>
      <c r="C7" t="inlineStr"/>
      <c r="D7" t="n">
        <v>8</v>
      </c>
      <c r="E7" t="n">
        <v>0</v>
      </c>
      <c r="F7" t="n">
        <v>0</v>
      </c>
      <c r="G7" t="n">
        <v>0</v>
      </c>
      <c r="H7" t="n">
        <v>0</v>
      </c>
    </row>
    <row r="8">
      <c r="A8" t="inlineStr">
        <is>
          <t>2026-06-18</t>
        </is>
      </c>
      <c r="B8" t="inlineStr">
        <is>
          <t>rank</t>
        </is>
      </c>
      <c r="C8" t="inlineStr"/>
      <c r="D8" t="n">
        <v>129</v>
      </c>
      <c r="E8" t="n">
        <v>0</v>
      </c>
      <c r="F8" t="n">
        <v>0</v>
      </c>
      <c r="G8" t="n">
        <v>0</v>
      </c>
      <c r="H8" t="n">
        <v>0</v>
      </c>
    </row>
    <row r="9">
      <c r="A9" t="inlineStr">
        <is>
          <t>2026-06-17</t>
        </is>
      </c>
      <c r="B9" t="inlineStr">
        <is>
          <t>rank</t>
        </is>
      </c>
      <c r="C9" t="inlineStr"/>
      <c r="D9" t="n">
        <v>35</v>
      </c>
      <c r="E9" t="n">
        <v>0</v>
      </c>
      <c r="F9" t="n">
        <v>0</v>
      </c>
      <c r="G9" t="n">
        <v>0</v>
      </c>
      <c r="H9" t="n">
        <v>0</v>
      </c>
    </row>
    <row r="10">
      <c r="A10" t="inlineStr">
        <is>
          <t>2026-06-16</t>
        </is>
      </c>
      <c r="B10" t="inlineStr">
        <is>
          <t>rank</t>
        </is>
      </c>
      <c r="C10" t="inlineStr"/>
      <c r="D10" t="n">
        <v>70</v>
      </c>
      <c r="E10" t="n">
        <v>0</v>
      </c>
      <c r="F10" t="n">
        <v>0</v>
      </c>
      <c r="G10" t="n">
        <v>0</v>
      </c>
      <c r="H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2026-06-20T20:18:23Z</dcterms:created>
  <dcterms:modified xsi:type="dcterms:W3CDTF">2026-06-20T20:18:24Z</dcterms:modified>
</cp:coreProperties>
</file>